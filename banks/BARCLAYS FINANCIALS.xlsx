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'Overview'!L6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'Overview'!$M$5:$T$5</f>
            </numRef>
          </cat>
          <val>
            <numRef>
              <f>'Overview'!$M$6:$T$6</f>
            </numRef>
          </val>
        </ser>
        <ser>
          <idx val="1"/>
          <order val="1"/>
          <tx>
            <strRef>
              <f>'Overview'!L7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'Overview'!$M$5:$T$5</f>
            </numRef>
          </cat>
          <val>
            <numRef>
              <f>'Overview'!$M$7:$T$7</f>
            </numRef>
          </val>
        </ser>
        <ser>
          <idx val="2"/>
          <order val="2"/>
          <tx>
            <strRef>
              <f>'Overview'!L8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'Overview'!$M$5:$T$5</f>
            </numRef>
          </cat>
          <val>
            <numRef>
              <f>'Overview'!$M$8:$T$8</f>
            </numRef>
          </val>
        </ser>
        <ser>
          <idx val="3"/>
          <order val="3"/>
          <tx>
            <strRef>
              <f>'Overview'!L9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'Overview'!$M$5:$T$5</f>
            </numRef>
          </cat>
          <val>
            <numRef>
              <f>'Overview'!$M$9:$T$9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'Overview'!W13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'Overview'!$X$12:$AE$12</f>
            </numRef>
          </cat>
          <val>
            <numRef>
              <f>'Overview'!$X$13:$AE$13</f>
            </numRef>
          </val>
        </ser>
        <ser>
          <idx val="1"/>
          <order val="1"/>
          <tx>
            <strRef>
              <f>'Overview'!W14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'Overview'!$X$12:$AE$12</f>
            </numRef>
          </cat>
          <val>
            <numRef>
              <f>'Overview'!$X$14:$AE$14</f>
            </numRef>
          </val>
        </ser>
        <ser>
          <idx val="2"/>
          <order val="2"/>
          <tx>
            <strRef>
              <f>'Overview'!W15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'Overview'!$X$12:$AE$12</f>
            </numRef>
          </cat>
          <val>
            <numRef>
              <f>'Overview'!$X$15:$AE$15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'Overview'!AH19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'Overview'!$AI$18:$AP$18</f>
            </numRef>
          </cat>
          <val>
            <numRef>
              <f>'Overview'!$AI$19:$AP$19</f>
            </numRef>
          </val>
        </ser>
        <ser>
          <idx val="1"/>
          <order val="1"/>
          <tx>
            <strRef>
              <f>'Overview'!AH20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'Overview'!$AI$18:$AP$18</f>
            </numRef>
          </cat>
          <val>
            <numRef>
              <f>'Overview'!$AI$20:$AP$20</f>
            </numRef>
          </val>
        </ser>
        <ser>
          <idx val="2"/>
          <order val="2"/>
          <tx>
            <strRef>
              <f>'Overview'!AH21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'Overview'!$AI$18:$AP$18</f>
            </numRef>
          </cat>
          <val>
            <numRef>
              <f>'Overview'!$AI$21:$AP$21</f>
            </numRef>
          </val>
        </ser>
        <ser>
          <idx val="3"/>
          <order val="3"/>
          <tx>
            <strRef>
              <f>'Overview'!AH22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'Overview'!$AI$18:$AP$18</f>
            </numRef>
          </cat>
          <val>
            <numRef>
              <f>'Overview'!$AI$22:$AP$22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'Overview'!AS26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'Overview'!$AT$25:$BA$25</f>
            </numRef>
          </cat>
          <val>
            <numRef>
              <f>'Overview'!$AT$26:$BA$26</f>
            </numRef>
          </val>
        </ser>
        <ser>
          <idx val="1"/>
          <order val="1"/>
          <tx>
            <strRef>
              <f>'Overview'!AS27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'Overview'!$AT$25:$BA$25</f>
            </numRef>
          </cat>
          <val>
            <numRef>
              <f>'Overview'!$AT$27:$BA$27</f>
            </numRef>
          </val>
        </ser>
        <ser>
          <idx val="2"/>
          <order val="2"/>
          <tx>
            <strRef>
              <f>'Overview'!AS28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'Overview'!$AT$25:$BA$25</f>
            </numRef>
          </cat>
          <val>
            <numRef>
              <f>'Overview'!$AT$28:$BA$28</f>
            </numRef>
          </val>
        </ser>
        <ser>
          <idx val="3"/>
          <order val="3"/>
          <tx>
            <strRef>
              <f>'Overview'!AS29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'Overview'!$AT$25:$BA$25</f>
            </numRef>
          </cat>
          <val>
            <numRef>
              <f>'Overview'!$AT$29:$BA$29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Barclays Bank UK Group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'Overview'!BD6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'Overview'!$BE$6:$BL$6</f>
            </numRef>
          </val>
          <smooth val="0"/>
        </ser>
        <ser>
          <idx val="1"/>
          <order val="1"/>
          <tx>
            <strRef>
              <f>'Overview'!BD7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'Overview'!$BE$7:$BL$7</f>
            </numRef>
          </val>
          <smooth val="0"/>
        </ser>
        <ser>
          <idx val="2"/>
          <order val="2"/>
          <tx>
            <strRef>
              <f>'Overview'!BD8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'Overview'!$BE$8:$BL$8</f>
            </numRef>
          </val>
          <smooth val="0"/>
        </ser>
        <ser>
          <idx val="3"/>
          <order val="3"/>
          <tx>
            <strRef>
              <f>'Overview'!BD9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'Overview'!$BE$9:$BL$9</f>
            </numRef>
          </val>
          <smooth val="0"/>
        </ser>
        <ser>
          <idx val="4"/>
          <order val="4"/>
          <tx>
            <strRef>
              <f>'Overview'!BD10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'Overview'!$BE$10:$BL$10</f>
            </numRef>
          </val>
          <smooth val="0"/>
        </ser>
        <ser>
          <idx val="5"/>
          <order val="5"/>
          <tx>
            <strRef>
              <f>'Overview'!BD11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'Overview'!$BE$5:$BL$5</f>
            </numRef>
          </cat>
          <val>
            <numRef>
              <f>'Overview'!$BE$11:$BL$11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</cols>
  <sheetData>
    <row r="1">
      <c r="A1" s="1" t="inlineStr">
        <is>
          <t>Barclays Bank UK Group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G5" s="4" t="inlineStr">
        <is>
          <t>FY2020</t>
        </is>
      </c>
      <c r="H5" s="4" t="inlineStr">
        <is>
          <t>FY2019</t>
        </is>
      </c>
      <c r="I5" s="4" t="inlineStr">
        <is>
          <t>FY2018</t>
        </is>
      </c>
      <c r="M5" t="inlineStr">
        <is>
          <t>FY2018</t>
        </is>
      </c>
      <c r="N5" t="inlineStr">
        <is>
          <t>FY2019</t>
        </is>
      </c>
      <c r="O5" t="inlineStr">
        <is>
          <t>FY2020</t>
        </is>
      </c>
      <c r="P5" t="inlineStr">
        <is>
          <t>FY2021</t>
        </is>
      </c>
      <c r="Q5" t="inlineStr">
        <is>
          <t>FY2022</t>
        </is>
      </c>
      <c r="R5" t="inlineStr">
        <is>
          <t>FY2023</t>
        </is>
      </c>
      <c r="S5" t="inlineStr">
        <is>
          <t>FY2024</t>
        </is>
      </c>
      <c r="T5" t="inlineStr">
        <is>
          <t>FY2025</t>
        </is>
      </c>
      <c r="BE5" t="inlineStr">
        <is>
          <t>FY2018</t>
        </is>
      </c>
      <c r="BF5" t="inlineStr">
        <is>
          <t>FY2019</t>
        </is>
      </c>
      <c r="BG5" t="inlineStr">
        <is>
          <t>FY2020</t>
        </is>
      </c>
      <c r="BH5" t="inlineStr">
        <is>
          <t>FY2021</t>
        </is>
      </c>
      <c r="BI5" t="inlineStr">
        <is>
          <t>FY2022</t>
        </is>
      </c>
      <c r="BJ5" t="inlineStr">
        <is>
          <t>FY2023</t>
        </is>
      </c>
      <c r="BK5" t="inlineStr">
        <is>
          <t>FY2024</t>
        </is>
      </c>
      <c r="BL5" t="inlineStr">
        <is>
          <t>FY2025</t>
        </is>
      </c>
    </row>
    <row r="6">
      <c r="A6" s="5" t="inlineStr">
        <is>
          <t>Total assets</t>
        </is>
      </c>
      <c r="B6" s="5" t="n">
        <v>302824</v>
      </c>
      <c r="C6" s="5" t="n">
        <v>303179</v>
      </c>
      <c r="D6" s="5" t="n">
        <v>293559</v>
      </c>
      <c r="E6" s="5" t="n">
        <v>312179</v>
      </c>
      <c r="F6" s="5" t="n">
        <v>319695</v>
      </c>
      <c r="G6" s="5" t="n">
        <v>287498</v>
      </c>
      <c r="H6" s="5" t="n">
        <v>258398</v>
      </c>
      <c r="I6" s="5" t="n">
        <v>251305</v>
      </c>
      <c r="L6" t="inlineStr">
        <is>
          <t>Total assets</t>
        </is>
      </c>
      <c r="M6" t="n">
        <v>251305</v>
      </c>
      <c r="N6" t="n">
        <v>258398</v>
      </c>
      <c r="O6" t="n">
        <v>287498</v>
      </c>
      <c r="P6" t="n">
        <v>319695</v>
      </c>
      <c r="Q6" t="n">
        <v>312179</v>
      </c>
      <c r="R6" t="n">
        <v>293559</v>
      </c>
      <c r="S6" t="n">
        <v>303179</v>
      </c>
      <c r="T6" t="n">
        <v>302824</v>
      </c>
      <c r="BD6" t="inlineStr">
        <is>
          <t>CET1 Ratio</t>
        </is>
      </c>
      <c r="BE6" t="n">
        <v>14.2</v>
      </c>
      <c r="BF6" t="n">
        <v>13.5</v>
      </c>
      <c r="BG6" t="n">
        <v>15.6</v>
      </c>
      <c r="BH6" t="n">
        <v>15.2</v>
      </c>
      <c r="BI6" t="n">
        <v>14.7</v>
      </c>
      <c r="BJ6" t="n">
        <v>14.8</v>
      </c>
      <c r="BK6" t="n">
        <v>14.2</v>
      </c>
      <c r="BL6" t="n">
        <v>14.5</v>
      </c>
    </row>
    <row r="7">
      <c r="A7" s="5" t="inlineStr">
        <is>
          <t>Loans and advances at amortised cost to customers</t>
        </is>
      </c>
      <c r="B7" s="5" t="n">
        <v>215634</v>
      </c>
      <c r="C7" s="5" t="n">
        <v>206435</v>
      </c>
      <c r="D7" s="5" t="n">
        <v>200782</v>
      </c>
      <c r="E7" s="5" t="n">
        <v>203279</v>
      </c>
      <c r="F7" s="5" t="n">
        <v>220271</v>
      </c>
      <c r="G7" s="5" t="n">
        <v>211649</v>
      </c>
      <c r="H7" s="5" t="n">
        <v>197569</v>
      </c>
      <c r="I7" s="5" t="n">
        <v>188565</v>
      </c>
      <c r="L7" t="inlineStr">
        <is>
          <t>Loans and advances at amortised cost to customers</t>
        </is>
      </c>
      <c r="M7" t="n">
        <v>188565</v>
      </c>
      <c r="N7" t="n">
        <v>197569</v>
      </c>
      <c r="O7" t="n">
        <v>211649</v>
      </c>
      <c r="P7" t="n">
        <v>220271</v>
      </c>
      <c r="Q7" t="n">
        <v>203279</v>
      </c>
      <c r="R7" t="n">
        <v>200782</v>
      </c>
      <c r="S7" t="n">
        <v>206435</v>
      </c>
      <c r="T7" t="n">
        <v>215634</v>
      </c>
      <c r="BD7" t="inlineStr">
        <is>
          <t>Tier 1 Ratio</t>
        </is>
      </c>
      <c r="BE7" t="n">
        <v>17</v>
      </c>
      <c r="BF7" t="n">
        <v>16.9</v>
      </c>
      <c r="BG7" t="n">
        <v>19.2</v>
      </c>
      <c r="BH7" t="n">
        <v>18.8</v>
      </c>
      <c r="BI7" t="n">
        <v>18.2</v>
      </c>
      <c r="BJ7" t="n">
        <v>18.1</v>
      </c>
      <c r="BK7" t="n">
        <v>17.1</v>
      </c>
      <c r="BL7" t="n">
        <v>17.1</v>
      </c>
    </row>
    <row r="8">
      <c r="A8" s="5" t="inlineStr">
        <is>
          <t>Deposits at amortised cost from customers</t>
        </is>
      </c>
      <c r="B8" s="5" t="n">
        <v>244666</v>
      </c>
      <c r="C8" s="5" t="n">
        <v>244376</v>
      </c>
      <c r="D8" s="5" t="n">
        <v>241218</v>
      </c>
      <c r="E8" s="5" t="n">
        <v>258058</v>
      </c>
      <c r="F8" s="5" t="n">
        <v>260732</v>
      </c>
      <c r="G8" s="5" t="n">
        <v>240535</v>
      </c>
      <c r="H8" s="5" t="n">
        <v>205696</v>
      </c>
      <c r="I8" s="5" t="n">
        <v>197485</v>
      </c>
      <c r="L8" t="inlineStr">
        <is>
          <t>Deposits at amortised cost from customers</t>
        </is>
      </c>
      <c r="M8" t="n">
        <v>197485</v>
      </c>
      <c r="N8" t="n">
        <v>205696</v>
      </c>
      <c r="O8" t="n">
        <v>240535</v>
      </c>
      <c r="P8" t="n">
        <v>260732</v>
      </c>
      <c r="Q8" t="n">
        <v>258058</v>
      </c>
      <c r="R8" t="n">
        <v>241218</v>
      </c>
      <c r="S8" t="n">
        <v>244376</v>
      </c>
      <c r="T8" t="n">
        <v>244666</v>
      </c>
      <c r="BD8" t="inlineStr">
        <is>
          <t>Total Capital Ratio</t>
        </is>
      </c>
      <c r="BE8" t="n">
        <v>21.3</v>
      </c>
      <c r="BF8" t="n">
        <v>21.3</v>
      </c>
      <c r="BG8" t="n">
        <v>23.9</v>
      </c>
      <c r="BH8" t="n">
        <v>23.1</v>
      </c>
      <c r="BI8" t="n">
        <v>21.8</v>
      </c>
      <c r="BJ8" t="n">
        <v>21.6</v>
      </c>
      <c r="BK8" t="n">
        <v>20.5</v>
      </c>
      <c r="BL8" t="n">
        <v>20</v>
      </c>
    </row>
    <row r="9">
      <c r="A9" s="5" t="inlineStr">
        <is>
          <t>Total equity</t>
        </is>
      </c>
      <c r="B9" s="5" t="n">
        <v>20278</v>
      </c>
      <c r="C9" s="5" t="n">
        <v>18585</v>
      </c>
      <c r="D9" s="5" t="n">
        <v>16861</v>
      </c>
      <c r="E9" s="5" t="n">
        <v>15413</v>
      </c>
      <c r="F9" s="5" t="n">
        <v>17400</v>
      </c>
      <c r="G9" s="5" t="n">
        <v>17027</v>
      </c>
      <c r="H9" s="5" t="n">
        <v>16513</v>
      </c>
      <c r="I9" s="5" t="n">
        <v>16943</v>
      </c>
      <c r="L9" t="inlineStr">
        <is>
          <t>Total equity</t>
        </is>
      </c>
      <c r="M9" t="n">
        <v>16943</v>
      </c>
      <c r="N9" t="n">
        <v>16513</v>
      </c>
      <c r="O9" t="n">
        <v>17027</v>
      </c>
      <c r="P9" t="n">
        <v>17400</v>
      </c>
      <c r="Q9" t="n">
        <v>15413</v>
      </c>
      <c r="R9" t="n">
        <v>16861</v>
      </c>
      <c r="S9" t="n">
        <v>18585</v>
      </c>
      <c r="T9" t="n">
        <v>20278</v>
      </c>
      <c r="BD9" t="inlineStr">
        <is>
          <t>Leverage Ratio</t>
        </is>
      </c>
      <c r="BE9" t="n">
        <v>4.9</v>
      </c>
      <c r="BF9" t="n">
        <v>5.4</v>
      </c>
      <c r="BG9" t="n">
        <v>5.6</v>
      </c>
      <c r="BH9" t="n">
        <v>5.6</v>
      </c>
      <c r="BI9" t="n">
        <v>5.3</v>
      </c>
      <c r="BJ9" t="n">
        <v>5.2</v>
      </c>
      <c r="BK9" t="n">
        <v>5.3</v>
      </c>
      <c r="BL9" t="n">
        <v>5.2</v>
      </c>
    </row>
    <row r="10">
      <c r="BD10" t="inlineStr">
        <is>
          <t>LCR</t>
        </is>
      </c>
      <c r="BE10" t="n">
        <v>164</v>
      </c>
      <c r="BF10" t="n">
        <v>144</v>
      </c>
      <c r="BG10" t="n">
        <v>160</v>
      </c>
      <c r="BH10" t="n">
        <v>204</v>
      </c>
      <c r="BI10" t="n">
        <v>186</v>
      </c>
      <c r="BJ10" t="n">
        <v>180</v>
      </c>
      <c r="BK10" t="n">
        <v>202</v>
      </c>
      <c r="BL10" t="n">
        <v>186.6</v>
      </c>
    </row>
    <row r="11">
      <c r="A11" s="3" t="inlineStr">
        <is>
          <t>Profit &amp; Loss Summary (£m)</t>
        </is>
      </c>
      <c r="BD11" t="inlineStr">
        <is>
          <t>NSFR</t>
        </is>
      </c>
      <c r="BI11" t="n">
        <v>168</v>
      </c>
      <c r="BJ11" t="n">
        <v>165</v>
      </c>
      <c r="BK11" t="n">
        <v>159.3</v>
      </c>
      <c r="BL11" t="n">
        <v>152.4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G12" s="4" t="inlineStr">
        <is>
          <t>FY2020</t>
        </is>
      </c>
      <c r="H12" s="4" t="inlineStr">
        <is>
          <t>FY2019</t>
        </is>
      </c>
      <c r="I12" s="4" t="inlineStr">
        <is>
          <t>FY2018</t>
        </is>
      </c>
      <c r="X12" t="inlineStr">
        <is>
          <t>FY2018</t>
        </is>
      </c>
      <c r="Y12" t="inlineStr">
        <is>
          <t>FY2019</t>
        </is>
      </c>
      <c r="Z12" t="inlineStr">
        <is>
          <t>FY2020</t>
        </is>
      </c>
      <c r="AA12" t="inlineStr">
        <is>
          <t>FY2021</t>
        </is>
      </c>
      <c r="AB12" t="inlineStr">
        <is>
          <t>FY2022</t>
        </is>
      </c>
      <c r="AC12" t="inlineStr">
        <is>
          <t>FY2023</t>
        </is>
      </c>
      <c r="AD12" t="inlineStr">
        <is>
          <t>FY2024</t>
        </is>
      </c>
      <c r="AE12" t="inlineStr">
        <is>
          <t>FY2025</t>
        </is>
      </c>
    </row>
    <row r="13">
      <c r="A13" s="5" t="inlineStr">
        <is>
          <t>Total income</t>
        </is>
      </c>
      <c r="B13" s="5" t="n">
        <v>8811</v>
      </c>
      <c r="C13" s="5" t="n">
        <v>8423</v>
      </c>
      <c r="D13" s="5" t="n">
        <v>7670</v>
      </c>
      <c r="E13" s="5" t="n">
        <v>7397</v>
      </c>
      <c r="F13" s="5" t="n">
        <v>6482</v>
      </c>
      <c r="G13" s="5" t="n">
        <v>6424</v>
      </c>
      <c r="H13" s="5" t="n">
        <v>7322</v>
      </c>
      <c r="I13" s="5" t="n">
        <v>5606</v>
      </c>
      <c r="W13" t="inlineStr">
        <is>
          <t>Total income</t>
        </is>
      </c>
      <c r="X13" t="n">
        <v>5606</v>
      </c>
      <c r="Y13" t="n">
        <v>7322</v>
      </c>
      <c r="Z13" t="n">
        <v>6424</v>
      </c>
      <c r="AA13" t="n">
        <v>6482</v>
      </c>
      <c r="AB13" t="n">
        <v>7397</v>
      </c>
      <c r="AC13" t="n">
        <v>7670</v>
      </c>
      <c r="AD13" t="n">
        <v>8423</v>
      </c>
      <c r="AE13" t="n">
        <v>8811</v>
      </c>
    </row>
    <row r="14">
      <c r="A14" s="5" t="inlineStr">
        <is>
          <t>Operating expenses</t>
        </is>
      </c>
      <c r="B14" s="5" t="n">
        <v>-5093</v>
      </c>
      <c r="C14" s="5" t="n">
        <v>-4511</v>
      </c>
      <c r="D14" s="5" t="n">
        <v>-4567</v>
      </c>
      <c r="E14" s="5" t="n">
        <v>-4577</v>
      </c>
      <c r="F14" s="5" t="n">
        <v>-4691</v>
      </c>
      <c r="G14" s="5" t="n">
        <v>-4646</v>
      </c>
      <c r="H14" s="5" t="n">
        <v>-5944</v>
      </c>
      <c r="I14" s="5" t="n">
        <v>-3434</v>
      </c>
      <c r="W14" t="inlineStr">
        <is>
          <t>Operating expenses</t>
        </is>
      </c>
      <c r="X14" t="n">
        <v>-3434</v>
      </c>
      <c r="Y14" t="n">
        <v>-5944</v>
      </c>
      <c r="Z14" t="n">
        <v>-4646</v>
      </c>
      <c r="AA14" t="n">
        <v>-4691</v>
      </c>
      <c r="AB14" t="n">
        <v>-4577</v>
      </c>
      <c r="AC14" t="n">
        <v>-4567</v>
      </c>
      <c r="AD14" t="n">
        <v>-4511</v>
      </c>
      <c r="AE14" t="n">
        <v>-5093</v>
      </c>
    </row>
    <row r="15">
      <c r="A15" s="5" t="inlineStr">
        <is>
          <t>Profit after tax</t>
        </is>
      </c>
      <c r="B15" s="5" t="n">
        <v>2594</v>
      </c>
      <c r="C15" s="5" t="n">
        <v>2620</v>
      </c>
      <c r="D15" s="5" t="n">
        <v>1922</v>
      </c>
      <c r="E15" s="5" t="n">
        <v>1807</v>
      </c>
      <c r="F15" s="5" t="n">
        <v>1869</v>
      </c>
      <c r="G15" s="5" t="n">
        <v>379</v>
      </c>
      <c r="H15" s="5" t="n">
        <v>156</v>
      </c>
      <c r="I15" s="5" t="n">
        <v>1115</v>
      </c>
      <c r="W15" t="inlineStr">
        <is>
          <t>Profit after tax</t>
        </is>
      </c>
      <c r="X15" t="n">
        <v>1115</v>
      </c>
      <c r="Y15" t="n">
        <v>156</v>
      </c>
      <c r="Z15" t="n">
        <v>379</v>
      </c>
      <c r="AA15" t="n">
        <v>1869</v>
      </c>
      <c r="AB15" t="n">
        <v>1807</v>
      </c>
      <c r="AC15" t="n">
        <v>1922</v>
      </c>
      <c r="AD15" t="n">
        <v>2620</v>
      </c>
      <c r="AE15" t="n">
        <v>2594</v>
      </c>
    </row>
    <row r="17">
      <c r="A17" s="3" t="inlineStr">
        <is>
          <t>Statement of Changes in Equity Summary (£m)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G18" s="4" t="inlineStr">
        <is>
          <t>FY2020</t>
        </is>
      </c>
      <c r="H18" s="4" t="inlineStr">
        <is>
          <t>FY2019</t>
        </is>
      </c>
      <c r="I18" s="4" t="inlineStr">
        <is>
          <t>FY2018</t>
        </is>
      </c>
      <c r="AI18" t="inlineStr">
        <is>
          <t>FY2018</t>
        </is>
      </c>
      <c r="AJ18" t="inlineStr">
        <is>
          <t>FY2019</t>
        </is>
      </c>
      <c r="AK18" t="inlineStr">
        <is>
          <t>FY2020</t>
        </is>
      </c>
      <c r="AL18" t="inlineStr">
        <is>
          <t>FY2021</t>
        </is>
      </c>
      <c r="AM18" t="inlineStr">
        <is>
          <t>FY2022</t>
        </is>
      </c>
      <c r="AN18" t="inlineStr">
        <is>
          <t>FY2023</t>
        </is>
      </c>
      <c r="AO18" t="inlineStr">
        <is>
          <t>FY2024</t>
        </is>
      </c>
      <c r="AP18" t="inlineStr">
        <is>
          <t>FY2025</t>
        </is>
      </c>
    </row>
    <row r="19">
      <c r="A19" s="5" t="inlineStr">
        <is>
          <t>Opening equity</t>
        </is>
      </c>
      <c r="B19" s="5" t="n">
        <v>18585</v>
      </c>
      <c r="C19" s="5" t="n">
        <v>16861</v>
      </c>
      <c r="D19" s="5" t="n">
        <v>15413</v>
      </c>
      <c r="E19" s="5" t="n">
        <v>17400</v>
      </c>
      <c r="F19" s="5" t="n">
        <v>17027</v>
      </c>
      <c r="G19" s="5" t="n">
        <v>16513</v>
      </c>
      <c r="H19" s="5" t="n">
        <v>16943</v>
      </c>
      <c r="I19" s="5" t="n">
        <v>46</v>
      </c>
      <c r="AH19" t="inlineStr">
        <is>
          <t>Opening equity</t>
        </is>
      </c>
      <c r="AI19" t="n">
        <v>46</v>
      </c>
      <c r="AJ19" t="n">
        <v>16943</v>
      </c>
      <c r="AK19" t="n">
        <v>16513</v>
      </c>
      <c r="AL19" t="n">
        <v>17027</v>
      </c>
      <c r="AM19" t="n">
        <v>17400</v>
      </c>
      <c r="AN19" t="n">
        <v>15413</v>
      </c>
      <c r="AO19" t="n">
        <v>16861</v>
      </c>
      <c r="AP19" t="n">
        <v>18585</v>
      </c>
    </row>
    <row r="20">
      <c r="A20" s="5" t="inlineStr">
        <is>
          <t>Total comprehensive income for the year</t>
        </is>
      </c>
      <c r="B20" s="5" t="n">
        <v>3498</v>
      </c>
      <c r="C20" s="5" t="n">
        <v>2875</v>
      </c>
      <c r="D20" s="5" t="n">
        <v>3050</v>
      </c>
      <c r="E20" s="5" t="n">
        <v>-106</v>
      </c>
      <c r="F20" s="5" t="n">
        <v>1030</v>
      </c>
      <c r="G20" s="5" t="n">
        <v>670</v>
      </c>
      <c r="H20" s="5" t="n">
        <v>263</v>
      </c>
      <c r="I20" s="5" t="n">
        <v>1118</v>
      </c>
      <c r="AH20" t="inlineStr">
        <is>
          <t>Total comprehensive income for the year</t>
        </is>
      </c>
      <c r="AI20" t="n">
        <v>1118</v>
      </c>
      <c r="AJ20" t="n">
        <v>263</v>
      </c>
      <c r="AK20" t="n">
        <v>670</v>
      </c>
      <c r="AL20" t="n">
        <v>1030</v>
      </c>
      <c r="AM20" t="n">
        <v>-106</v>
      </c>
      <c r="AN20" t="n">
        <v>3050</v>
      </c>
      <c r="AO20" t="n">
        <v>2875</v>
      </c>
      <c r="AP20" t="n">
        <v>3498</v>
      </c>
    </row>
    <row r="21">
      <c r="A21" s="5" t="inlineStr">
        <is>
          <t>Other movements, net</t>
        </is>
      </c>
      <c r="B21" s="5" t="n">
        <v>-1805</v>
      </c>
      <c r="C21" s="5" t="n">
        <v>-1151</v>
      </c>
      <c r="D21" s="5" t="n">
        <v>-1602</v>
      </c>
      <c r="E21" s="5" t="n">
        <v>-1881</v>
      </c>
      <c r="F21" s="5" t="n">
        <v>-657</v>
      </c>
      <c r="G21" s="5" t="n">
        <v>-156</v>
      </c>
      <c r="H21" s="5" t="n">
        <v>-693</v>
      </c>
      <c r="I21" s="5" t="n">
        <v>15779</v>
      </c>
      <c r="AH21" t="inlineStr">
        <is>
          <t>Other movements, net</t>
        </is>
      </c>
      <c r="AI21" t="n">
        <v>15779</v>
      </c>
      <c r="AJ21" t="n">
        <v>-693</v>
      </c>
      <c r="AK21" t="n">
        <v>-156</v>
      </c>
      <c r="AL21" t="n">
        <v>-657</v>
      </c>
      <c r="AM21" t="n">
        <v>-1881</v>
      </c>
      <c r="AN21" t="n">
        <v>-1602</v>
      </c>
      <c r="AO21" t="n">
        <v>-1151</v>
      </c>
      <c r="AP21" t="n">
        <v>-1805</v>
      </c>
    </row>
    <row r="22">
      <c r="A22" s="5" t="inlineStr">
        <is>
          <t>Closing equity</t>
        </is>
      </c>
      <c r="B22" s="5" t="n">
        <v>20278</v>
      </c>
      <c r="C22" s="5" t="n">
        <v>18585</v>
      </c>
      <c r="D22" s="5" t="n">
        <v>16861</v>
      </c>
      <c r="E22" s="5" t="n">
        <v>15413</v>
      </c>
      <c r="F22" s="5" t="n">
        <v>17400</v>
      </c>
      <c r="G22" s="5" t="n">
        <v>17027</v>
      </c>
      <c r="H22" s="5" t="n">
        <v>16513</v>
      </c>
      <c r="I22" s="5" t="n">
        <v>16943</v>
      </c>
      <c r="AH22" t="inlineStr">
        <is>
          <t>Closing equity</t>
        </is>
      </c>
      <c r="AI22" t="n">
        <v>16943</v>
      </c>
      <c r="AJ22" t="n">
        <v>16513</v>
      </c>
      <c r="AK22" t="n">
        <v>17027</v>
      </c>
      <c r="AL22" t="n">
        <v>17400</v>
      </c>
      <c r="AM22" t="n">
        <v>15413</v>
      </c>
      <c r="AN22" t="n">
        <v>16861</v>
      </c>
      <c r="AO22" t="n">
        <v>18585</v>
      </c>
      <c r="AP22" t="n">
        <v>20278</v>
      </c>
    </row>
    <row r="24">
      <c r="A24" s="3" t="inlineStr">
        <is>
          <t>Cash Flow Summary (£m)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G25" s="4" t="inlineStr">
        <is>
          <t>FY2020</t>
        </is>
      </c>
      <c r="H25" s="4" t="inlineStr">
        <is>
          <t>FY2019</t>
        </is>
      </c>
      <c r="I25" s="4" t="inlineStr">
        <is>
          <t>FY2018</t>
        </is>
      </c>
      <c r="AT25" t="inlineStr">
        <is>
          <t>FY2018</t>
        </is>
      </c>
      <c r="AU25" t="inlineStr">
        <is>
          <t>FY2019</t>
        </is>
      </c>
      <c r="AV25" t="inlineStr">
        <is>
          <t>FY2020</t>
        </is>
      </c>
      <c r="AW25" t="inlineStr">
        <is>
          <t>FY2021</t>
        </is>
      </c>
      <c r="AX25" t="inlineStr">
        <is>
          <t>FY2022</t>
        </is>
      </c>
      <c r="AY25" t="inlineStr">
        <is>
          <t>FY2023</t>
        </is>
      </c>
      <c r="AZ25" t="inlineStr">
        <is>
          <t>FY2024</t>
        </is>
      </c>
      <c r="BA25" t="inlineStr">
        <is>
          <t>FY2025</t>
        </is>
      </c>
    </row>
    <row r="26">
      <c r="A26" s="5" t="inlineStr">
        <is>
          <t>Net cash from operating activities</t>
        </is>
      </c>
      <c r="B26" s="5" t="n">
        <v>-7860</v>
      </c>
      <c r="C26" s="5" t="n">
        <v>1959</v>
      </c>
      <c r="D26" s="5" t="n">
        <v>-17451</v>
      </c>
      <c r="E26" s="5" t="n">
        <v>1466</v>
      </c>
      <c r="F26" s="5" t="n">
        <v>29314</v>
      </c>
      <c r="G26" s="5" t="n">
        <v>13976</v>
      </c>
      <c r="H26" s="5" t="n">
        <v>-3111</v>
      </c>
      <c r="I26" s="5" t="n">
        <v>-257</v>
      </c>
      <c r="AS26" t="inlineStr">
        <is>
          <t>Net cash from operating activities</t>
        </is>
      </c>
      <c r="AT26" t="n">
        <v>-257</v>
      </c>
      <c r="AU26" t="n">
        <v>-3111</v>
      </c>
      <c r="AV26" t="n">
        <v>13976</v>
      </c>
      <c r="AW26" t="n">
        <v>29314</v>
      </c>
      <c r="AX26" t="n">
        <v>1466</v>
      </c>
      <c r="AY26" t="n">
        <v>-17451</v>
      </c>
      <c r="AZ26" t="n">
        <v>1959</v>
      </c>
      <c r="BA26" t="n">
        <v>-7860</v>
      </c>
    </row>
    <row r="27">
      <c r="A27" s="5" t="inlineStr">
        <is>
          <t>Net cash from investing activities</t>
        </is>
      </c>
      <c r="B27" s="5" t="n">
        <v>330</v>
      </c>
      <c r="C27" s="5" t="n">
        <v>-7308</v>
      </c>
      <c r="D27" s="5" t="n">
        <v>-2830</v>
      </c>
      <c r="E27" s="5" t="n">
        <v>-12601</v>
      </c>
      <c r="F27" s="5" t="n">
        <v>6430</v>
      </c>
      <c r="G27" s="5" t="n">
        <v>-5574</v>
      </c>
      <c r="H27" s="5" t="n">
        <v>-11876</v>
      </c>
      <c r="I27" s="5" t="n">
        <v>45003</v>
      </c>
      <c r="AS27" t="inlineStr">
        <is>
          <t>Net cash from investing activities</t>
        </is>
      </c>
      <c r="AT27" t="n">
        <v>45003</v>
      </c>
      <c r="AU27" t="n">
        <v>-11876</v>
      </c>
      <c r="AV27" t="n">
        <v>-5574</v>
      </c>
      <c r="AW27" t="n">
        <v>6430</v>
      </c>
      <c r="AX27" t="n">
        <v>-12601</v>
      </c>
      <c r="AY27" t="n">
        <v>-2830</v>
      </c>
      <c r="AZ27" t="n">
        <v>-7308</v>
      </c>
      <c r="BA27" t="n">
        <v>330</v>
      </c>
    </row>
    <row r="28">
      <c r="A28" s="5" t="inlineStr">
        <is>
          <t>Net cash from financing activities</t>
        </is>
      </c>
      <c r="B28" s="5" t="n">
        <v>-1009</v>
      </c>
      <c r="C28" s="5" t="n">
        <v>660</v>
      </c>
      <c r="D28" s="5" t="n">
        <v>1565</v>
      </c>
      <c r="E28" s="5" t="n">
        <v>-3161</v>
      </c>
      <c r="F28" s="5" t="n">
        <v>-785</v>
      </c>
      <c r="G28" s="5" t="n">
        <v>2077</v>
      </c>
      <c r="H28" s="5" t="n">
        <v>-568</v>
      </c>
      <c r="I28" s="5" t="n">
        <v>-465</v>
      </c>
      <c r="AS28" t="inlineStr">
        <is>
          <t>Net cash from financing activities</t>
        </is>
      </c>
      <c r="AT28" t="n">
        <v>-465</v>
      </c>
      <c r="AU28" t="n">
        <v>-568</v>
      </c>
      <c r="AV28" t="n">
        <v>2077</v>
      </c>
      <c r="AW28" t="n">
        <v>-785</v>
      </c>
      <c r="AX28" t="n">
        <v>-3161</v>
      </c>
      <c r="AY28" t="n">
        <v>1565</v>
      </c>
      <c r="AZ28" t="n">
        <v>660</v>
      </c>
      <c r="BA28" t="n">
        <v>-1009</v>
      </c>
    </row>
    <row r="29">
      <c r="A29" s="5" t="inlineStr">
        <is>
          <t>Cash and cash equivalents at end of year</t>
        </is>
      </c>
      <c r="B29" s="5" t="n">
        <v>27136</v>
      </c>
      <c r="C29" s="5" t="n">
        <v>35675</v>
      </c>
      <c r="D29" s="5" t="n">
        <v>40364</v>
      </c>
      <c r="E29" s="5" t="n">
        <v>59080</v>
      </c>
      <c r="F29" s="5" t="n">
        <v>73376</v>
      </c>
      <c r="G29" s="5" t="n">
        <v>38417</v>
      </c>
      <c r="H29" s="5" t="n">
        <v>28042</v>
      </c>
      <c r="I29" s="5" t="n">
        <v>44334</v>
      </c>
      <c r="AS29" t="inlineStr">
        <is>
          <t>Cash and cash equivalents at end of year</t>
        </is>
      </c>
      <c r="AT29" t="n">
        <v>44334</v>
      </c>
      <c r="AU29" t="n">
        <v>28042</v>
      </c>
      <c r="AV29" t="n">
        <v>38417</v>
      </c>
      <c r="AW29" t="n">
        <v>73376</v>
      </c>
      <c r="AX29" t="n">
        <v>59080</v>
      </c>
      <c r="AY29" t="n">
        <v>40364</v>
      </c>
      <c r="AZ29" t="n">
        <v>35675</v>
      </c>
      <c r="BA29" t="n">
        <v>27136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  <c r="G32" s="4" t="inlineStr">
        <is>
          <t>FY2020</t>
        </is>
      </c>
      <c r="H32" s="4" t="inlineStr">
        <is>
          <t>FY2019</t>
        </is>
      </c>
      <c r="I32" s="4" t="inlineStr">
        <is>
          <t>FY2018</t>
        </is>
      </c>
    </row>
    <row r="33">
      <c r="A33" s="6" t="inlineStr">
        <is>
          <t>CET1 Ratio</t>
        </is>
      </c>
      <c r="B33" s="6" t="inlineStr">
        <is>
          <t>14.5%</t>
        </is>
      </c>
      <c r="C33" s="6" t="inlineStr">
        <is>
          <t>14.2%</t>
        </is>
      </c>
      <c r="D33" s="6" t="inlineStr">
        <is>
          <t>14.8%</t>
        </is>
      </c>
      <c r="E33" s="6" t="inlineStr">
        <is>
          <t>14.7%</t>
        </is>
      </c>
      <c r="F33" s="6" t="inlineStr">
        <is>
          <t>15.2%</t>
        </is>
      </c>
      <c r="G33" s="6" t="inlineStr">
        <is>
          <t>15.6%</t>
        </is>
      </c>
      <c r="H33" s="6" t="inlineStr">
        <is>
          <t>13.5%</t>
        </is>
      </c>
      <c r="I33" s="6" t="inlineStr">
        <is>
          <t>14.2%</t>
        </is>
      </c>
    </row>
    <row r="34">
      <c r="A34" s="6" t="inlineStr">
        <is>
          <t>Tier 1 Ratio</t>
        </is>
      </c>
      <c r="B34" s="6" t="inlineStr">
        <is>
          <t>17.1%</t>
        </is>
      </c>
      <c r="C34" s="6" t="inlineStr">
        <is>
          <t>17.1%</t>
        </is>
      </c>
      <c r="D34" s="6" t="inlineStr">
        <is>
          <t>18.1%</t>
        </is>
      </c>
      <c r="E34" s="6" t="inlineStr">
        <is>
          <t>18.2%</t>
        </is>
      </c>
      <c r="F34" s="6" t="inlineStr">
        <is>
          <t>18.8%</t>
        </is>
      </c>
      <c r="G34" s="6" t="inlineStr">
        <is>
          <t>19.2%</t>
        </is>
      </c>
      <c r="H34" s="6" t="inlineStr">
        <is>
          <t>16.9%</t>
        </is>
      </c>
      <c r="I34" s="6" t="inlineStr">
        <is>
          <t>17.0%</t>
        </is>
      </c>
    </row>
    <row r="35">
      <c r="A35" s="6" t="inlineStr">
        <is>
          <t>Total Capital Ratio</t>
        </is>
      </c>
      <c r="B35" s="6" t="inlineStr">
        <is>
          <t>20.0%</t>
        </is>
      </c>
      <c r="C35" s="6" t="inlineStr">
        <is>
          <t>20.5%</t>
        </is>
      </c>
      <c r="D35" s="6" t="inlineStr">
        <is>
          <t>21.6%</t>
        </is>
      </c>
      <c r="E35" s="6" t="inlineStr">
        <is>
          <t>21.8%</t>
        </is>
      </c>
      <c r="F35" s="6" t="inlineStr">
        <is>
          <t>23.1%</t>
        </is>
      </c>
      <c r="G35" s="6" t="inlineStr">
        <is>
          <t>23.9%</t>
        </is>
      </c>
      <c r="H35" s="6" t="inlineStr">
        <is>
          <t>21.3%</t>
        </is>
      </c>
      <c r="I35" s="6" t="inlineStr">
        <is>
          <t>21.3%</t>
        </is>
      </c>
    </row>
    <row r="36">
      <c r="A36" s="6" t="inlineStr">
        <is>
          <t>Leverage Ratio</t>
        </is>
      </c>
      <c r="B36" s="6" t="inlineStr">
        <is>
          <t>5.2%</t>
        </is>
      </c>
      <c r="C36" s="6" t="inlineStr">
        <is>
          <t>5.3%</t>
        </is>
      </c>
      <c r="D36" s="6" t="inlineStr">
        <is>
          <t>5.2%</t>
        </is>
      </c>
      <c r="E36" s="6" t="inlineStr">
        <is>
          <t>5.3%</t>
        </is>
      </c>
      <c r="F36" s="6" t="inlineStr">
        <is>
          <t>5.6%</t>
        </is>
      </c>
      <c r="G36" s="6" t="inlineStr">
        <is>
          <t>5.6%</t>
        </is>
      </c>
      <c r="H36" s="6" t="inlineStr">
        <is>
          <t>5.4%</t>
        </is>
      </c>
      <c r="I36" s="6" t="inlineStr">
        <is>
          <t>4.9%*</t>
        </is>
      </c>
    </row>
    <row r="37">
      <c r="A37" s="6" t="inlineStr">
        <is>
          <t>LCR</t>
        </is>
      </c>
      <c r="B37" s="6" t="inlineStr">
        <is>
          <t>186.6%</t>
        </is>
      </c>
      <c r="C37" s="6" t="inlineStr">
        <is>
          <t>202.0%</t>
        </is>
      </c>
      <c r="D37" s="6" t="inlineStr">
        <is>
          <t>180%</t>
        </is>
      </c>
      <c r="E37" s="6" t="inlineStr">
        <is>
          <t>186%</t>
        </is>
      </c>
      <c r="F37" s="6" t="inlineStr">
        <is>
          <t>204%</t>
        </is>
      </c>
      <c r="G37" s="6" t="inlineStr">
        <is>
          <t>160%</t>
        </is>
      </c>
      <c r="H37" s="6" t="inlineStr">
        <is>
          <t>144%</t>
        </is>
      </c>
      <c r="I37" s="6" t="inlineStr">
        <is>
          <t>164%</t>
        </is>
      </c>
    </row>
    <row r="38">
      <c r="A38" s="6" t="inlineStr">
        <is>
          <t>NSFR</t>
        </is>
      </c>
      <c r="B38" s="6" t="inlineStr">
        <is>
          <t>152.4%</t>
        </is>
      </c>
      <c r="C38" s="6" t="inlineStr">
        <is>
          <t>159.3%</t>
        </is>
      </c>
      <c r="D38" s="6" t="inlineStr">
        <is>
          <t>165%</t>
        </is>
      </c>
      <c r="E38" s="6" t="inlineStr">
        <is>
          <t>168%</t>
        </is>
      </c>
      <c r="F38" s="6" t="inlineStr">
        <is>
          <t>Not disclosed</t>
        </is>
      </c>
      <c r="G38" s="6" t="inlineStr">
        <is>
          <t>Not disclosed</t>
        </is>
      </c>
      <c r="H38" s="6" t="inlineStr">
        <is>
          <t>Not disclosed</t>
        </is>
      </c>
      <c r="I38" s="6" t="inlineStr">
        <is>
          <t>Not disclosed</t>
        </is>
      </c>
    </row>
    <row r="40" ht="45" customHeight="1">
      <c r="A40" s="7" t="inlineStr">
        <is>
          <t>Note: Figures are duplicated from the detail sheets for at-a-glance trend viewing; see each sheet's own source citation for the underlying document/page. Leverage ratio shown on the 'excluding claims on central banks' basis for comparability across years (see Leverage Ratio sheet for the 'including' variant and FY2021-FY2018 basis notes); FY2018's figure (marked *) is instead the single 'CRR leverage ratio' disclosed that year (an 'including claims on central banks' basis), since no UK-basis 'excluding' equivalent was published for FY2018 - see the Leverage Ratio sheet's own note. FY2018's 'Other movements, net' in the equity roll-forward is dominated by the £13,044m ordinary share issue and capital reorganisation and £2,169m net equity impact of the UK banking business transfer that established Barclays Bank UK Group in April 2018, not a comparable year-on-year 'other movements' figure.</t>
        </is>
      </c>
    </row>
  </sheetData>
  <mergeCells count="1">
    <mergeCell ref="A40:I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Consolidated Balance Sheet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inlineStr">
        <is>
          <t>Cash and balances at central banks</t>
        </is>
      </c>
      <c r="B5" s="6" t="n">
        <v>21208</v>
      </c>
      <c r="C5" s="6" t="n">
        <v>29819</v>
      </c>
      <c r="D5" s="6" t="n">
        <v>34948</v>
      </c>
      <c r="E5" s="6" t="n">
        <v>54208</v>
      </c>
      <c r="F5" s="6" t="n">
        <v>69488</v>
      </c>
      <c r="G5" s="6" t="n">
        <v>35218</v>
      </c>
      <c r="H5" s="6" t="n">
        <v>24305</v>
      </c>
      <c r="I5" s="6" t="n">
        <v>40669</v>
      </c>
    </row>
    <row r="6">
      <c r="A6" s="6" t="inlineStr">
        <is>
          <t>Cash collateral and settlement balances</t>
        </is>
      </c>
      <c r="B6" s="6" t="n">
        <v>6120</v>
      </c>
      <c r="C6" s="6" t="n">
        <v>6002</v>
      </c>
      <c r="D6" s="6" t="n">
        <v>5507</v>
      </c>
      <c r="E6" s="6" t="n">
        <v>5194</v>
      </c>
      <c r="F6" s="6" t="n">
        <v>5067</v>
      </c>
      <c r="G6" s="6" t="n">
        <v>4345</v>
      </c>
      <c r="H6" s="6" t="n">
        <v>4331</v>
      </c>
      <c r="I6" s="6" t="n">
        <v>3349</v>
      </c>
    </row>
    <row r="7">
      <c r="A7" s="6" t="inlineStr">
        <is>
          <t>Debt securities at amortised cost</t>
        </is>
      </c>
      <c r="B7" s="6" t="n">
        <v>13492</v>
      </c>
      <c r="C7" s="6" t="n">
        <v>17983</v>
      </c>
      <c r="D7" s="6" t="n">
        <v>17794</v>
      </c>
      <c r="E7" s="6" t="n">
        <v>18537</v>
      </c>
      <c r="F7" s="6" t="n"/>
      <c r="G7" s="6" t="n"/>
      <c r="H7" s="6" t="n"/>
      <c r="I7" s="6" t="n"/>
    </row>
    <row r="8">
      <c r="A8" s="6" t="inlineStr">
        <is>
          <t>Loans and advances at amortised cost to banks</t>
        </is>
      </c>
      <c r="B8" s="6" t="n">
        <v>228</v>
      </c>
      <c r="C8" s="6" t="n">
        <v>281</v>
      </c>
      <c r="D8" s="6" t="n">
        <v>1213</v>
      </c>
      <c r="E8" s="6" t="n">
        <v>1391</v>
      </c>
      <c r="F8" s="6" t="n"/>
      <c r="G8" s="6" t="n"/>
      <c r="H8" s="6" t="n"/>
      <c r="I8" s="6" t="n"/>
    </row>
    <row r="9">
      <c r="A9" s="6" t="inlineStr">
        <is>
          <t>Loans and advances at amortised cost to customers</t>
        </is>
      </c>
      <c r="B9" s="6" t="n">
        <v>215634</v>
      </c>
      <c r="C9" s="6" t="n">
        <v>206435</v>
      </c>
      <c r="D9" s="6" t="n">
        <v>200782</v>
      </c>
      <c r="E9" s="6" t="n">
        <v>203279</v>
      </c>
      <c r="F9" s="6" t="n"/>
      <c r="G9" s="6" t="n"/>
      <c r="H9" s="6" t="n"/>
      <c r="I9" s="6" t="n"/>
    </row>
    <row r="10">
      <c r="A10" s="6" t="inlineStr">
        <is>
          <t>Loans and advances at amortised cost (combined, as reported)</t>
        </is>
      </c>
      <c r="B10" s="6" t="n"/>
      <c r="C10" s="6" t="n"/>
      <c r="D10" s="6" t="n"/>
      <c r="E10" s="6" t="n"/>
      <c r="F10" s="6" t="n">
        <v>220271</v>
      </c>
      <c r="G10" s="6" t="n">
        <v>211649</v>
      </c>
      <c r="H10" s="6" t="n">
        <v>197569</v>
      </c>
      <c r="I10" s="6" t="n">
        <v>188565</v>
      </c>
    </row>
    <row r="11">
      <c r="A11" s="6" t="inlineStr">
        <is>
          <t>Reverse repurchase agreements and other similar secured lending at amortised cost</t>
        </is>
      </c>
      <c r="B11" s="6" t="n">
        <v>6001</v>
      </c>
      <c r="C11" s="6" t="n">
        <v>5894</v>
      </c>
      <c r="D11" s="6" t="n">
        <v>3567</v>
      </c>
      <c r="E11" s="6" t="n">
        <v>477</v>
      </c>
      <c r="F11" s="6" t="n">
        <v>65</v>
      </c>
      <c r="G11" s="6" t="n">
        <v>133</v>
      </c>
      <c r="H11" s="6" t="n">
        <v>1761</v>
      </c>
      <c r="I11" s="6" t="n">
        <v>1759</v>
      </c>
    </row>
    <row r="12">
      <c r="A12" s="6" t="inlineStr">
        <is>
          <t>Trading portfolio assets</t>
        </is>
      </c>
      <c r="B12" s="6" t="n">
        <v>385</v>
      </c>
      <c r="C12" s="6" t="n">
        <v>242</v>
      </c>
      <c r="D12" s="6" t="n">
        <v>43</v>
      </c>
      <c r="E12" s="6" t="n">
        <v>54</v>
      </c>
      <c r="F12" s="6" t="n">
        <v>169</v>
      </c>
      <c r="G12" s="6" t="n">
        <v>298</v>
      </c>
      <c r="H12" s="6" t="n">
        <v>860</v>
      </c>
      <c r="I12" s="6" t="n">
        <v>151</v>
      </c>
    </row>
    <row r="13">
      <c r="A13" s="6" t="inlineStr">
        <is>
          <t>Financial assets at fair value through the income statement</t>
        </is>
      </c>
      <c r="B13" s="6" t="n">
        <v>1413</v>
      </c>
      <c r="C13" s="6" t="n">
        <v>1543</v>
      </c>
      <c r="D13" s="6" t="n">
        <v>1716</v>
      </c>
      <c r="E13" s="6" t="n">
        <v>1980</v>
      </c>
      <c r="F13" s="6" t="n">
        <v>2767</v>
      </c>
      <c r="G13" s="6" t="n">
        <v>3432</v>
      </c>
      <c r="H13" s="6" t="n">
        <v>3571</v>
      </c>
      <c r="I13" s="6" t="n">
        <v>3880</v>
      </c>
    </row>
    <row r="14">
      <c r="A14" s="6" t="inlineStr">
        <is>
          <t>Derivative financial instruments</t>
        </is>
      </c>
      <c r="B14" s="6" t="n">
        <v>890</v>
      </c>
      <c r="C14" s="6" t="n">
        <v>1901</v>
      </c>
      <c r="D14" s="6" t="n">
        <v>1566</v>
      </c>
      <c r="E14" s="6" t="n">
        <v>611</v>
      </c>
      <c r="F14" s="6" t="n">
        <v>890</v>
      </c>
      <c r="G14" s="6" t="n">
        <v>550</v>
      </c>
      <c r="H14" s="6" t="n">
        <v>192</v>
      </c>
      <c r="I14" s="6" t="n">
        <v>241</v>
      </c>
    </row>
    <row r="15">
      <c r="A15" s="6" t="inlineStr">
        <is>
          <t>Financial assets at fair value through other comprehensive income</t>
        </is>
      </c>
      <c r="B15" s="6" t="n">
        <v>31572</v>
      </c>
      <c r="C15" s="6" t="n">
        <v>27045</v>
      </c>
      <c r="D15" s="6" t="n">
        <v>20409</v>
      </c>
      <c r="E15" s="6" t="n">
        <v>19970</v>
      </c>
      <c r="F15" s="6" t="n">
        <v>14945</v>
      </c>
      <c r="G15" s="6" t="n">
        <v>26026</v>
      </c>
      <c r="H15" s="6" t="n">
        <v>19322</v>
      </c>
      <c r="I15" s="6" t="n">
        <v>6710</v>
      </c>
    </row>
    <row r="16">
      <c r="A16" s="6" t="inlineStr">
        <is>
          <t>Goodwill and intangible assets</t>
        </is>
      </c>
      <c r="B16" s="6" t="n">
        <v>3933</v>
      </c>
      <c r="C16" s="6" t="n">
        <v>3948</v>
      </c>
      <c r="D16" s="6" t="n">
        <v>3870</v>
      </c>
      <c r="E16" s="6" t="n">
        <v>3528</v>
      </c>
      <c r="F16" s="6" t="n">
        <v>3526</v>
      </c>
      <c r="G16" s="6" t="n">
        <v>3527</v>
      </c>
      <c r="H16" s="6" t="n">
        <v>3530</v>
      </c>
      <c r="I16" s="6" t="n">
        <v>3534</v>
      </c>
    </row>
    <row r="17">
      <c r="A17" s="6" t="inlineStr">
        <is>
          <t>Property, plant and equipment</t>
        </is>
      </c>
      <c r="B17" s="6" t="n">
        <v>287</v>
      </c>
      <c r="C17" s="6" t="n">
        <v>239</v>
      </c>
      <c r="D17" s="6" t="n">
        <v>261</v>
      </c>
      <c r="E17" s="6" t="n">
        <v>382</v>
      </c>
      <c r="F17" s="6" t="n">
        <v>562</v>
      </c>
      <c r="G17" s="6" t="n">
        <v>737</v>
      </c>
      <c r="H17" s="6" t="n">
        <v>893</v>
      </c>
      <c r="I17" s="6" t="n">
        <v>498</v>
      </c>
    </row>
    <row r="18">
      <c r="A18" s="6" t="inlineStr">
        <is>
          <t>Current tax assets</t>
        </is>
      </c>
      <c r="B18" s="6" t="n"/>
      <c r="C18" s="6" t="n"/>
      <c r="D18" s="6" t="n"/>
      <c r="E18" s="6" t="n"/>
      <c r="F18" s="6" t="n"/>
      <c r="G18" s="6" t="n">
        <v>75</v>
      </c>
      <c r="H18" s="6" t="n"/>
      <c r="I18" s="6" t="n"/>
    </row>
    <row r="19">
      <c r="A19" s="6" t="inlineStr">
        <is>
          <t>Deferred tax assets</t>
        </is>
      </c>
      <c r="B19" s="6" t="n">
        <v>884</v>
      </c>
      <c r="C19" s="6" t="n">
        <v>1212</v>
      </c>
      <c r="D19" s="6" t="n">
        <v>1296</v>
      </c>
      <c r="E19" s="6" t="n">
        <v>1916</v>
      </c>
      <c r="F19" s="6" t="n">
        <v>1368</v>
      </c>
      <c r="G19" s="6" t="n">
        <v>780</v>
      </c>
      <c r="H19" s="6" t="n">
        <v>810</v>
      </c>
      <c r="I19" s="6" t="n">
        <v>792</v>
      </c>
    </row>
    <row r="20">
      <c r="A20" s="6" t="inlineStr">
        <is>
          <t>Retirement benefit assets</t>
        </is>
      </c>
      <c r="B20" s="6" t="n">
        <v>69</v>
      </c>
      <c r="C20" s="6" t="n"/>
      <c r="D20" s="6" t="n"/>
      <c r="E20" s="6" t="n"/>
      <c r="F20" s="6" t="n"/>
      <c r="G20" s="6" t="n"/>
      <c r="H20" s="6" t="n"/>
      <c r="I20" s="6" t="n"/>
    </row>
    <row r="21">
      <c r="A21" s="6" t="inlineStr">
        <is>
          <t>Other assets</t>
        </is>
      </c>
      <c r="B21" s="6" t="n">
        <v>708</v>
      </c>
      <c r="C21" s="6" t="n">
        <v>635</v>
      </c>
      <c r="D21" s="6" t="n">
        <v>587</v>
      </c>
      <c r="E21" s="6" t="n">
        <v>652</v>
      </c>
      <c r="F21" s="6" t="n">
        <v>577</v>
      </c>
      <c r="G21" s="6" t="n">
        <v>728</v>
      </c>
      <c r="H21" s="6" t="n">
        <v>1254</v>
      </c>
      <c r="I21" s="6" t="n">
        <v>1157</v>
      </c>
    </row>
    <row r="22">
      <c r="A22" s="5" t="inlineStr">
        <is>
          <t>Total assets</t>
        </is>
      </c>
      <c r="B22" s="5" t="n">
        <v>302824</v>
      </c>
      <c r="C22" s="5" t="n">
        <v>303179</v>
      </c>
      <c r="D22" s="5" t="n">
        <v>293559</v>
      </c>
      <c r="E22" s="5" t="n">
        <v>312179</v>
      </c>
      <c r="F22" s="5" t="n">
        <v>319695</v>
      </c>
      <c r="G22" s="5" t="n">
        <v>287498</v>
      </c>
      <c r="H22" s="5" t="n">
        <v>258398</v>
      </c>
      <c r="I22" s="5" t="n">
        <v>251305</v>
      </c>
    </row>
    <row r="23">
      <c r="A23" s="5" t="inlineStr">
        <is>
          <t>Liabilities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inlineStr">
        <is>
          <t>Deposits at amortised cost from banks</t>
        </is>
      </c>
      <c r="B24" s="6" t="n">
        <v>125</v>
      </c>
      <c r="C24" s="6" t="n">
        <v>85</v>
      </c>
      <c r="D24" s="6" t="n">
        <v>6</v>
      </c>
      <c r="E24" s="6" t="n">
        <v>59</v>
      </c>
      <c r="F24" s="6" t="n"/>
      <c r="G24" s="6" t="n"/>
      <c r="H24" s="6" t="n"/>
      <c r="I24" s="6" t="n"/>
    </row>
    <row r="25">
      <c r="A25" s="6" t="inlineStr">
        <is>
          <t>Deposits at amortised cost from customers</t>
        </is>
      </c>
      <c r="B25" s="6" t="n">
        <v>244666</v>
      </c>
      <c r="C25" s="6" t="n">
        <v>244376</v>
      </c>
      <c r="D25" s="6" t="n">
        <v>241218</v>
      </c>
      <c r="E25" s="6" t="n">
        <v>258058</v>
      </c>
      <c r="F25" s="6" t="n"/>
      <c r="G25" s="6" t="n"/>
      <c r="H25" s="6" t="n"/>
      <c r="I25" s="6" t="n"/>
    </row>
    <row r="26">
      <c r="A26" s="6" t="inlineStr">
        <is>
          <t>Deposits at amortised cost (combined, as reported)</t>
        </is>
      </c>
      <c r="B26" s="6" t="n"/>
      <c r="C26" s="6" t="n"/>
      <c r="D26" s="6" t="n"/>
      <c r="E26" s="6" t="n"/>
      <c r="F26" s="6" t="n">
        <v>260732</v>
      </c>
      <c r="G26" s="6" t="n">
        <v>240535</v>
      </c>
      <c r="H26" s="6" t="n">
        <v>205696</v>
      </c>
      <c r="I26" s="6" t="n">
        <v>197485</v>
      </c>
    </row>
    <row r="27">
      <c r="A27" s="6" t="inlineStr">
        <is>
          <t>Cash collateral and settlement balances</t>
        </is>
      </c>
      <c r="B27" s="6" t="n">
        <v>828</v>
      </c>
      <c r="C27" s="6" t="n">
        <v>1779</v>
      </c>
      <c r="D27" s="6" t="n">
        <v>1370</v>
      </c>
      <c r="E27" s="6" t="n">
        <v>553</v>
      </c>
      <c r="F27" s="6" t="n">
        <v>774</v>
      </c>
      <c r="G27" s="6" t="n">
        <v>455</v>
      </c>
      <c r="H27" s="6" t="n">
        <v>214</v>
      </c>
      <c r="I27" s="6" t="n">
        <v>239</v>
      </c>
    </row>
    <row r="28">
      <c r="A28" s="6" t="inlineStr">
        <is>
          <t>Repurchase agreements and other similar secured borrowing at amortised cost</t>
        </is>
      </c>
      <c r="B28" s="6" t="n">
        <v>13600</v>
      </c>
      <c r="C28" s="6" t="n">
        <v>15506</v>
      </c>
      <c r="D28" s="6" t="n">
        <v>15265</v>
      </c>
      <c r="E28" s="6" t="n">
        <v>17702</v>
      </c>
      <c r="F28" s="6" t="n">
        <v>18160</v>
      </c>
      <c r="G28" s="6" t="n">
        <v>7178</v>
      </c>
      <c r="H28" s="6" t="n">
        <v>13420</v>
      </c>
      <c r="I28" s="6" t="n">
        <v>11978</v>
      </c>
    </row>
    <row r="29">
      <c r="A29" s="6" t="inlineStr">
        <is>
          <t>Debt securities in issue</t>
        </is>
      </c>
      <c r="B29" s="6" t="n">
        <v>4703</v>
      </c>
      <c r="C29" s="6" t="n">
        <v>2619</v>
      </c>
      <c r="D29" s="6" t="n">
        <v>3307</v>
      </c>
      <c r="E29" s="6" t="n">
        <v>8009</v>
      </c>
      <c r="F29" s="6" t="n">
        <v>8684</v>
      </c>
      <c r="G29" s="6" t="n">
        <v>7503</v>
      </c>
      <c r="H29" s="6" t="n">
        <v>8271</v>
      </c>
      <c r="I29" s="6" t="n">
        <v>11172</v>
      </c>
    </row>
    <row r="30">
      <c r="A30" s="6" t="inlineStr">
        <is>
          <t>Subordinated liabilities</t>
        </is>
      </c>
      <c r="B30" s="6" t="n">
        <v>14049</v>
      </c>
      <c r="C30" s="6" t="n">
        <v>13512</v>
      </c>
      <c r="D30" s="6" t="n">
        <v>11499</v>
      </c>
      <c r="E30" s="6" t="n">
        <v>8268</v>
      </c>
      <c r="F30" s="6" t="n">
        <v>9516</v>
      </c>
      <c r="G30" s="6" t="n">
        <v>9869</v>
      </c>
      <c r="H30" s="6" t="n">
        <v>7688</v>
      </c>
      <c r="I30" s="6" t="n">
        <v>7548</v>
      </c>
    </row>
    <row r="31">
      <c r="A31" s="6" t="inlineStr">
        <is>
          <t>Trading portfolio liabilities</t>
        </is>
      </c>
      <c r="B31" s="6" t="n">
        <v>908</v>
      </c>
      <c r="C31" s="6" t="n">
        <v>726</v>
      </c>
      <c r="D31" s="6" t="n">
        <v>908</v>
      </c>
      <c r="E31" s="6" t="n">
        <v>464</v>
      </c>
      <c r="F31" s="6" t="n">
        <v>878</v>
      </c>
      <c r="G31" s="6" t="n">
        <v>1265</v>
      </c>
      <c r="H31" s="6" t="n">
        <v>1704</v>
      </c>
      <c r="I31" s="6" t="n">
        <v>1269</v>
      </c>
    </row>
    <row r="32">
      <c r="A32" s="6" t="inlineStr">
        <is>
          <t>Financial liabilities designated at fair value</t>
        </is>
      </c>
      <c r="B32" s="6" t="n">
        <v>1003</v>
      </c>
      <c r="C32" s="6" t="n">
        <v>2848</v>
      </c>
      <c r="D32" s="6" t="n">
        <v>196</v>
      </c>
      <c r="E32" s="6" t="n"/>
      <c r="F32" s="6" t="n"/>
      <c r="G32" s="6" t="n"/>
      <c r="H32" s="6" t="n"/>
      <c r="I32" s="6" t="n"/>
    </row>
    <row r="33">
      <c r="A33" s="6" t="inlineStr">
        <is>
          <t>Derivative financial instruments</t>
        </is>
      </c>
      <c r="B33" s="6" t="n">
        <v>195</v>
      </c>
      <c r="C33" s="6" t="n">
        <v>300</v>
      </c>
      <c r="D33" s="6" t="n">
        <v>398</v>
      </c>
      <c r="E33" s="6" t="n">
        <v>962</v>
      </c>
      <c r="F33" s="6" t="n">
        <v>814</v>
      </c>
      <c r="G33" s="6" t="n">
        <v>880</v>
      </c>
      <c r="H33" s="6" t="n">
        <v>740</v>
      </c>
      <c r="I33" s="6" t="n">
        <v>419</v>
      </c>
    </row>
    <row r="34">
      <c r="A34" s="6" t="inlineStr">
        <is>
          <t>Current tax liabilities</t>
        </is>
      </c>
      <c r="B34" s="6" t="n">
        <v>598</v>
      </c>
      <c r="C34" s="6" t="n">
        <v>954</v>
      </c>
      <c r="D34" s="6" t="n">
        <v>540</v>
      </c>
      <c r="E34" s="6" t="n">
        <v>578</v>
      </c>
      <c r="F34" s="6" t="n">
        <v>377</v>
      </c>
      <c r="G34" s="6" t="n">
        <v>0</v>
      </c>
      <c r="H34" s="6" t="n">
        <v>458</v>
      </c>
      <c r="I34" s="6" t="n">
        <v>984</v>
      </c>
    </row>
    <row r="35">
      <c r="A35" s="6" t="inlineStr">
        <is>
          <t>Provisions</t>
        </is>
      </c>
      <c r="B35" s="6" t="n">
        <v>364</v>
      </c>
      <c r="C35" s="6" t="n">
        <v>323</v>
      </c>
      <c r="D35" s="6" t="n">
        <v>364</v>
      </c>
      <c r="E35" s="6" t="n">
        <v>338</v>
      </c>
      <c r="F35" s="6" t="n">
        <v>536</v>
      </c>
      <c r="G35" s="6" t="n">
        <v>880</v>
      </c>
      <c r="H35" s="6" t="n">
        <v>1660</v>
      </c>
      <c r="I35" s="6" t="n">
        <v>1380</v>
      </c>
    </row>
    <row r="36">
      <c r="A36" s="6" t="inlineStr">
        <is>
          <t>Other liabilities</t>
        </is>
      </c>
      <c r="B36" s="6" t="n">
        <v>1507</v>
      </c>
      <c r="C36" s="6" t="n">
        <v>1566</v>
      </c>
      <c r="D36" s="6" t="n">
        <v>1627</v>
      </c>
      <c r="E36" s="6" t="n">
        <v>1775</v>
      </c>
      <c r="F36" s="6" t="n">
        <v>1824</v>
      </c>
      <c r="G36" s="6" t="n">
        <v>1906</v>
      </c>
      <c r="H36" s="6" t="n">
        <v>2034</v>
      </c>
      <c r="I36" s="6" t="n">
        <v>1888</v>
      </c>
    </row>
    <row r="37">
      <c r="A37" s="5" t="inlineStr">
        <is>
          <t>Total liabilities</t>
        </is>
      </c>
      <c r="B37" s="5" t="n">
        <v>282546</v>
      </c>
      <c r="C37" s="5" t="n">
        <v>284594</v>
      </c>
      <c r="D37" s="5" t="n">
        <v>276698</v>
      </c>
      <c r="E37" s="5" t="n">
        <v>296766</v>
      </c>
      <c r="F37" s="5" t="n">
        <v>302295</v>
      </c>
      <c r="G37" s="5" t="n">
        <v>270471</v>
      </c>
      <c r="H37" s="5" t="n">
        <v>241885</v>
      </c>
      <c r="I37" s="5" t="n">
        <v>234362</v>
      </c>
    </row>
    <row r="38">
      <c r="A38" s="5" t="inlineStr">
        <is>
          <t>Equity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s="6" t="inlineStr">
        <is>
          <t>Called up share capital and share premium</t>
        </is>
      </c>
      <c r="B39" s="6" t="n">
        <v>5</v>
      </c>
      <c r="C39" s="6" t="n">
        <v>5</v>
      </c>
      <c r="D39" s="6" t="n">
        <v>5</v>
      </c>
      <c r="E39" s="6" t="n">
        <v>5</v>
      </c>
      <c r="F39" s="6" t="n">
        <v>5</v>
      </c>
      <c r="G39" s="6" t="n">
        <v>5</v>
      </c>
      <c r="H39" s="6" t="n">
        <v>5</v>
      </c>
      <c r="I39" s="6" t="n">
        <v>5</v>
      </c>
    </row>
    <row r="40">
      <c r="A40" s="6" t="inlineStr">
        <is>
          <t>Other equity instruments</t>
        </is>
      </c>
      <c r="B40" s="6" t="n">
        <v>2227</v>
      </c>
      <c r="C40" s="6" t="n">
        <v>2425</v>
      </c>
      <c r="D40" s="6" t="n">
        <v>2429</v>
      </c>
      <c r="E40" s="6" t="n">
        <v>2560</v>
      </c>
      <c r="F40" s="6" t="n">
        <v>2560</v>
      </c>
      <c r="G40" s="6" t="n">
        <v>2560</v>
      </c>
      <c r="H40" s="6" t="n">
        <v>2560</v>
      </c>
      <c r="I40" s="6" t="n">
        <v>2070</v>
      </c>
    </row>
    <row r="41">
      <c r="A41" s="6" t="inlineStr">
        <is>
          <t>Other reserves</t>
        </is>
      </c>
      <c r="B41" s="6" t="n">
        <v>-38</v>
      </c>
      <c r="C41" s="6" t="n">
        <v>-896</v>
      </c>
      <c r="D41" s="6" t="n">
        <v>-1151</v>
      </c>
      <c r="E41" s="6" t="n">
        <v>-2279</v>
      </c>
      <c r="F41" s="6" t="n">
        <v>-366</v>
      </c>
      <c r="G41" s="6" t="n">
        <v>473</v>
      </c>
      <c r="H41" s="6" t="n">
        <v>183</v>
      </c>
      <c r="I41" s="6" t="n">
        <v>76</v>
      </c>
    </row>
    <row r="42">
      <c r="A42" s="6" t="inlineStr">
        <is>
          <t>Retained earnings</t>
        </is>
      </c>
      <c r="B42" s="6" t="n">
        <v>18084</v>
      </c>
      <c r="C42" s="6" t="n">
        <v>17051</v>
      </c>
      <c r="D42" s="6" t="n">
        <v>15578</v>
      </c>
      <c r="E42" s="6" t="n">
        <v>15127</v>
      </c>
      <c r="F42" s="6" t="n">
        <v>15201</v>
      </c>
      <c r="G42" s="6" t="n">
        <v>13989</v>
      </c>
      <c r="H42" s="6" t="n">
        <v>13765</v>
      </c>
      <c r="I42" s="6" t="n">
        <v>14792</v>
      </c>
    </row>
    <row r="43">
      <c r="A43" s="5" t="inlineStr">
        <is>
          <t>Total equity</t>
        </is>
      </c>
      <c r="B43" s="5" t="n">
        <v>20278</v>
      </c>
      <c r="C43" s="5" t="n">
        <v>18585</v>
      </c>
      <c r="D43" s="5" t="n">
        <v>16861</v>
      </c>
      <c r="E43" s="5" t="n">
        <v>15413</v>
      </c>
      <c r="F43" s="5" t="n">
        <v>17400</v>
      </c>
      <c r="G43" s="5" t="n">
        <v>17027</v>
      </c>
      <c r="H43" s="5" t="n">
        <v>16513</v>
      </c>
      <c r="I43" s="5" t="n">
        <v>16943</v>
      </c>
    </row>
    <row r="44">
      <c r="A44" s="5" t="inlineStr">
        <is>
          <t>Total liabilities and equity</t>
        </is>
      </c>
      <c r="B44" s="5" t="n">
        <v>302824</v>
      </c>
      <c r="C44" s="5" t="n">
        <v>303179</v>
      </c>
      <c r="D44" s="5" t="n">
        <v>293559</v>
      </c>
      <c r="E44" s="5" t="n">
        <v>312179</v>
      </c>
      <c r="F44" s="5" t="n">
        <v>319695</v>
      </c>
      <c r="G44" s="5" t="n">
        <v>287498</v>
      </c>
      <c r="H44" s="5" t="n">
        <v>258398</v>
      </c>
      <c r="I44" s="5" t="n">
        <v>251305</v>
      </c>
    </row>
    <row r="46" ht="200" customHeight="1">
      <c r="A46" s="8" t="inlineStr">
        <is>
          <t>Sources — all figures are Barclays Bank UK Group consolidated (audited), £m:
FY2025 &amp; FY2024: Barclays Bank UK PLC Annual Report 2025, pp.197 (income statement), 199 (balance sheet), 200 (statement of changes in equity) — https://home.barclays/content/dam/home-barclays/documents/investor-relations/reports-and-events/annual-reports/2025/Barclays-Bank-UK-PLC-Annual-Report-2025.pdf
FY2023 &amp; FY2022: Barclays Bank UK PLC Annual Report 2023, pp.162 (income statement), 164 (balance sheet), 165 (statement of changes in equity) — https://home.barclays/content/dam/home-barclays/documents/investor-relations/reports-and-events/annual-reports/2023/Barclays-Bank-UK-Annual-Report-2023-Results-committee.pdf
FY2021: Barclays Bank UK PLC Annual Report 2021, pp.134 (income statement), 136 (balance sheet), 137 (statement of changes in equity) — https://home.barclays/content/dam/home-barclays/documents/investor-relations/reports-and-events/annual-reports/2021/Barclays-Bank-UK-PLC-2021-Annual-Report.pdf
FY2020: Barclays Bank UK PLC Annual Report 2020, pp.123 (income statement), 125 (balance sheet), 126 (statement of changes in equity) — https://home.barclays/content/dam/home-barclays/documents/investor-relations/reports-and-events/annual-reports/2020/Barclays-Bank-UK-PLC-2020-Annual-Report.pdf
FY2019: Barclays Bank UK PLC Annual Report 2019, pp.104 (income statement), 106 (balance sheet), 107 (statement of changes in equity) — https://home.barclays/content/dam/home-barclays/documents/investor-relations/reports-and-events/annual-reports/2019/Barclays%20Bank%20UK%20PLC%20Annual%20Report%202019.pdf
FY2018: Barclays Bank UK PLC Annual Report 2018, pp.105 (income statement), 107 (balance sheet), 108 (statement of changes in equity) — https://home.barclays/content/dam/home-barclays/documents/investor-relations/reports-and-events/annual-reports/2018/2018-barclays-bank-uk-plc-annual-report.pdf
Balance sheet note: FY2018-FY2021 do not split loans and advances at amortised cost into a bank/customer split, do not disclose a separate debt securities at amortised cost line, and report deposits at amortised cost as a single combined line - the combined figures appear on their own row for those years only; FY2022-2025 all split these. FY2020 is the only year with a separate 'Current tax assets' line (a small net asset position; other years report a nil/immaterial current tax asset position folded into other lines). Income statement note: FY2018-FY2021 place credit impairment charges/(releases) before operating expenses (subtotalled as 'Net operating income'), while FY2022-2025 place it after operating expenses (subtotalled as 'Profit before impairment') - a genuine presentation restructuring, not a transcription error; each year's own subtotals are reproduced as reported. FY2020 and FY2021 both separately disclose a 'Profit on disposal of subsidiaries, associates and joint ventures' line before profit before tax. Figures for FY2018-FY2020 are each reproduced exactly as originally reported in that year's own Annual Report, not as later restated comparatives (e.g. Barclays restated FY2018's tax charge by £28m from FY2019 onward following an IAS 12 update on AT1 coupon tax relief) - consistent with this workbook's sourcing convention throughout.</t>
        </is>
      </c>
    </row>
  </sheetData>
  <mergeCells count="1">
    <mergeCell ref="A46:I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Consolidated Income Statement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inlineStr">
        <is>
          <t>Interest and similar income</t>
        </is>
      </c>
      <c r="B5" s="6" t="n">
        <v>13136</v>
      </c>
      <c r="C5" s="6" t="n">
        <v>12588</v>
      </c>
      <c r="D5" s="6" t="n">
        <v>11024</v>
      </c>
      <c r="E5" s="6" t="n">
        <v>6981</v>
      </c>
      <c r="F5" s="6" t="n">
        <v>5775</v>
      </c>
      <c r="G5" s="6" t="n">
        <v>6201</v>
      </c>
      <c r="H5" s="6" t="n">
        <v>7218</v>
      </c>
      <c r="I5" s="6" t="n">
        <v>5267</v>
      </c>
    </row>
    <row r="6">
      <c r="A6" s="6" t="inlineStr">
        <is>
          <t>Interest and similar expense</t>
        </is>
      </c>
      <c r="B6" s="6" t="n">
        <v>-5371</v>
      </c>
      <c r="C6" s="6" t="n">
        <v>-5851</v>
      </c>
      <c r="D6" s="6" t="n">
        <v>-4597</v>
      </c>
      <c r="E6" s="6" t="n">
        <v>-1340</v>
      </c>
      <c r="F6" s="6" t="n">
        <v>-769</v>
      </c>
      <c r="G6" s="6" t="n">
        <v>-1021</v>
      </c>
      <c r="H6" s="6" t="n">
        <v>-1413</v>
      </c>
      <c r="I6" s="6" t="n">
        <v>-830</v>
      </c>
    </row>
    <row r="7">
      <c r="A7" s="5" t="inlineStr">
        <is>
          <t>Net interest income</t>
        </is>
      </c>
      <c r="B7" s="5" t="n">
        <v>7765</v>
      </c>
      <c r="C7" s="5" t="n">
        <v>6737</v>
      </c>
      <c r="D7" s="5" t="n">
        <v>6427</v>
      </c>
      <c r="E7" s="5" t="n">
        <v>5641</v>
      </c>
      <c r="F7" s="5" t="n">
        <v>5006</v>
      </c>
      <c r="G7" s="5" t="n">
        <v>5180</v>
      </c>
      <c r="H7" s="5" t="n">
        <v>5805</v>
      </c>
      <c r="I7" s="5" t="n">
        <v>4437</v>
      </c>
    </row>
    <row r="8">
      <c r="A8" s="6" t="inlineStr">
        <is>
          <t>Fee and commission income</t>
        </is>
      </c>
      <c r="B8" s="6" t="n">
        <v>1565</v>
      </c>
      <c r="C8" s="6" t="n">
        <v>1507</v>
      </c>
      <c r="D8" s="6" t="n">
        <v>1605</v>
      </c>
      <c r="E8" s="6" t="n">
        <v>1689</v>
      </c>
      <c r="F8" s="6" t="n">
        <v>1466</v>
      </c>
      <c r="G8" s="6" t="n">
        <v>1375</v>
      </c>
      <c r="H8" s="6" t="n">
        <v>1674</v>
      </c>
      <c r="I8" s="6" t="n">
        <v>1315</v>
      </c>
    </row>
    <row r="9">
      <c r="A9" s="6" t="inlineStr">
        <is>
          <t>Fee and commission expense</t>
        </is>
      </c>
      <c r="B9" s="6" t="n">
        <v>-482</v>
      </c>
      <c r="C9" s="6" t="n">
        <v>-411</v>
      </c>
      <c r="D9" s="6" t="n">
        <v>-370</v>
      </c>
      <c r="E9" s="6" t="n">
        <v>-322</v>
      </c>
      <c r="F9" s="6" t="n">
        <v>-219</v>
      </c>
      <c r="G9" s="6" t="n">
        <v>-310</v>
      </c>
      <c r="H9" s="6" t="n">
        <v>-368</v>
      </c>
      <c r="I9" s="6" t="n">
        <v>-273</v>
      </c>
    </row>
    <row r="10">
      <c r="A10" s="5" t="inlineStr">
        <is>
          <t>Net fee and commission income</t>
        </is>
      </c>
      <c r="B10" s="5" t="n">
        <v>1083</v>
      </c>
      <c r="C10" s="5" t="n">
        <v>1096</v>
      </c>
      <c r="D10" s="5" t="n">
        <v>1235</v>
      </c>
      <c r="E10" s="5" t="n">
        <v>1367</v>
      </c>
      <c r="F10" s="5" t="n">
        <v>1247</v>
      </c>
      <c r="G10" s="5" t="n">
        <v>1065</v>
      </c>
      <c r="H10" s="5" t="n">
        <v>1306</v>
      </c>
      <c r="I10" s="5" t="n">
        <v>1042</v>
      </c>
    </row>
    <row r="11">
      <c r="A11" s="6" t="inlineStr">
        <is>
          <t>Net trading income/(expense)</t>
        </is>
      </c>
      <c r="B11" s="6" t="n">
        <v>-48</v>
      </c>
      <c r="C11" s="6" t="n">
        <v>-16</v>
      </c>
      <c r="D11" s="6" t="n">
        <v>35</v>
      </c>
      <c r="E11" s="6" t="n">
        <v>385</v>
      </c>
      <c r="F11" s="6" t="n">
        <v>40</v>
      </c>
      <c r="G11" s="6" t="n">
        <v>53</v>
      </c>
      <c r="H11" s="6" t="n">
        <v>33</v>
      </c>
      <c r="I11" s="6" t="n">
        <v>30</v>
      </c>
    </row>
    <row r="12">
      <c r="A12" s="6" t="inlineStr">
        <is>
          <t>Net investment income/(expense)</t>
        </is>
      </c>
      <c r="B12" s="6" t="n">
        <v>-7</v>
      </c>
      <c r="C12" s="6" t="n">
        <v>41</v>
      </c>
      <c r="D12" s="6" t="n">
        <v>-91</v>
      </c>
      <c r="E12" s="6" t="n">
        <v>1</v>
      </c>
      <c r="F12" s="6" t="n">
        <v>181</v>
      </c>
      <c r="G12" s="6" t="n">
        <v>106</v>
      </c>
      <c r="H12" s="6" t="n">
        <v>172</v>
      </c>
      <c r="I12" s="6" t="n">
        <v>86</v>
      </c>
    </row>
    <row r="13">
      <c r="A13" s="6" t="inlineStr">
        <is>
          <t>Gain on acquisition</t>
        </is>
      </c>
      <c r="B13" s="6" t="n">
        <v>0</v>
      </c>
      <c r="C13" s="6" t="n">
        <v>558</v>
      </c>
      <c r="D13" s="6" t="n"/>
      <c r="E13" s="6" t="n"/>
      <c r="F13" s="6" t="n"/>
      <c r="G13" s="6" t="n"/>
      <c r="H13" s="6" t="n"/>
      <c r="I13" s="6" t="n"/>
    </row>
    <row r="14">
      <c r="A14" s="6" t="inlineStr">
        <is>
          <t>Other income</t>
        </is>
      </c>
      <c r="B14" s="6" t="n">
        <v>18</v>
      </c>
      <c r="C14" s="6" t="n">
        <v>7</v>
      </c>
      <c r="D14" s="6" t="n">
        <v>64</v>
      </c>
      <c r="E14" s="6" t="n">
        <v>3</v>
      </c>
      <c r="F14" s="6" t="n">
        <v>8</v>
      </c>
      <c r="G14" s="6" t="n">
        <v>20</v>
      </c>
      <c r="H14" s="6" t="n">
        <v>6</v>
      </c>
      <c r="I14" s="6" t="n">
        <v>11</v>
      </c>
    </row>
    <row r="15">
      <c r="A15" s="5" t="inlineStr">
        <is>
          <t>Total income</t>
        </is>
      </c>
      <c r="B15" s="5" t="n">
        <v>8811</v>
      </c>
      <c r="C15" s="5" t="n">
        <v>8423</v>
      </c>
      <c r="D15" s="5" t="n">
        <v>7670</v>
      </c>
      <c r="E15" s="5" t="n">
        <v>7397</v>
      </c>
      <c r="F15" s="5" t="n">
        <v>6482</v>
      </c>
      <c r="G15" s="5" t="n">
        <v>6424</v>
      </c>
      <c r="H15" s="5" t="n">
        <v>7322</v>
      </c>
      <c r="I15" s="5" t="n">
        <v>5606</v>
      </c>
    </row>
    <row r="16">
      <c r="A16" s="6" t="inlineStr">
        <is>
          <t>Credit impairment releases/(charges) (pre-opex, FY2018-FY2021)</t>
        </is>
      </c>
      <c r="B16" s="6" t="n"/>
      <c r="C16" s="6" t="n"/>
      <c r="D16" s="6" t="n"/>
      <c r="E16" s="6" t="n"/>
      <c r="F16" s="6" t="n">
        <v>371</v>
      </c>
      <c r="G16" s="6" t="n">
        <v>-1427</v>
      </c>
      <c r="H16" s="6" t="n">
        <v>-709</v>
      </c>
      <c r="I16" s="6" t="n">
        <v>-624</v>
      </c>
    </row>
    <row r="17">
      <c r="A17" s="5" t="inlineStr">
        <is>
          <t>Net operating income (FY2018-FY2021)</t>
        </is>
      </c>
      <c r="B17" s="5" t="n"/>
      <c r="C17" s="5" t="n"/>
      <c r="D17" s="5" t="n"/>
      <c r="E17" s="5" t="n"/>
      <c r="F17" s="5" t="n">
        <v>6853</v>
      </c>
      <c r="G17" s="5" t="n">
        <v>4997</v>
      </c>
      <c r="H17" s="5" t="n">
        <v>6613</v>
      </c>
      <c r="I17" s="5" t="n">
        <v>4982</v>
      </c>
    </row>
    <row r="18">
      <c r="A18" s="5" t="inlineStr">
        <is>
          <t>Operating expenses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inlineStr">
        <is>
          <t>Staff costs</t>
        </is>
      </c>
      <c r="B19" s="6" t="n">
        <v>-1555</v>
      </c>
      <c r="C19" s="6" t="n">
        <v>-1215</v>
      </c>
      <c r="D19" s="6" t="n">
        <v>-1209</v>
      </c>
      <c r="E19" s="6" t="n">
        <v>-1170</v>
      </c>
      <c r="F19" s="6" t="n">
        <v>-1392</v>
      </c>
      <c r="G19" s="6" t="n">
        <v>-1311</v>
      </c>
      <c r="H19" s="6" t="n">
        <v>-1252</v>
      </c>
      <c r="I19" s="6" t="n">
        <v>-1016</v>
      </c>
    </row>
    <row r="20">
      <c r="A20" s="6" t="inlineStr">
        <is>
          <t>Infrastructure costs</t>
        </is>
      </c>
      <c r="B20" s="6" t="n">
        <v>-300</v>
      </c>
      <c r="C20" s="6" t="n">
        <v>-258</v>
      </c>
      <c r="D20" s="6" t="n">
        <v>-343</v>
      </c>
      <c r="E20" s="6" t="n">
        <v>-385</v>
      </c>
      <c r="F20" s="6" t="n">
        <v>-389</v>
      </c>
      <c r="G20" s="6" t="n">
        <v>-444</v>
      </c>
      <c r="H20" s="6" t="n">
        <v>-382</v>
      </c>
      <c r="I20" s="6" t="n">
        <v>-307</v>
      </c>
    </row>
    <row r="21">
      <c r="A21" s="6" t="inlineStr">
        <is>
          <t>Administration and general expenses</t>
        </is>
      </c>
      <c r="B21" s="6" t="n">
        <v>-3104</v>
      </c>
      <c r="C21" s="6" t="n">
        <v>-2939</v>
      </c>
      <c r="D21" s="6" t="n">
        <v>-3024</v>
      </c>
      <c r="E21" s="6" t="n">
        <v>-2977</v>
      </c>
      <c r="F21" s="6" t="n">
        <v>-2859</v>
      </c>
      <c r="G21" s="6" t="n">
        <v>-2848</v>
      </c>
      <c r="H21" s="6" t="n">
        <v>-2724</v>
      </c>
      <c r="I21" s="6" t="n">
        <v>-2033</v>
      </c>
    </row>
    <row r="22">
      <c r="A22" s="6" t="inlineStr">
        <is>
          <t>UK regulatory levies</t>
        </is>
      </c>
      <c r="B22" s="6" t="n">
        <v>-85</v>
      </c>
      <c r="C22" s="6" t="n">
        <v>-78</v>
      </c>
      <c r="D22" s="6" t="n"/>
      <c r="E22" s="6" t="n"/>
      <c r="F22" s="6" t="n"/>
      <c r="G22" s="6" t="n"/>
      <c r="H22" s="6" t="n"/>
      <c r="I22" s="6" t="n"/>
    </row>
    <row r="23">
      <c r="A23" s="6" t="inlineStr">
        <is>
          <t>Litigation and conduct / provisions for litigation and conduct</t>
        </is>
      </c>
      <c r="B23" s="6" t="n">
        <v>-49</v>
      </c>
      <c r="C23" s="6" t="n">
        <v>-21</v>
      </c>
      <c r="D23" s="6" t="n">
        <v>9</v>
      </c>
      <c r="E23" s="6" t="n">
        <v>-45</v>
      </c>
      <c r="F23" s="6" t="n">
        <v>-51</v>
      </c>
      <c r="G23" s="6" t="n">
        <v>-43</v>
      </c>
      <c r="H23" s="6" t="n">
        <v>-1586</v>
      </c>
      <c r="I23" s="6" t="n">
        <v>-78</v>
      </c>
    </row>
    <row r="24">
      <c r="A24" s="5" t="inlineStr">
        <is>
          <t>Operating expenses</t>
        </is>
      </c>
      <c r="B24" s="5" t="n">
        <v>-5093</v>
      </c>
      <c r="C24" s="5" t="n">
        <v>-4511</v>
      </c>
      <c r="D24" s="5" t="n">
        <v>-4567</v>
      </c>
      <c r="E24" s="5" t="n">
        <v>-4577</v>
      </c>
      <c r="F24" s="5" t="n">
        <v>-4691</v>
      </c>
      <c r="G24" s="5" t="n">
        <v>-4646</v>
      </c>
      <c r="H24" s="5" t="n">
        <v>-5944</v>
      </c>
      <c r="I24" s="5" t="n">
        <v>-3434</v>
      </c>
    </row>
    <row r="25">
      <c r="A25" s="6" t="inlineStr">
        <is>
          <t>Loss on disposal of subsidiaries, associates and joint ventures</t>
        </is>
      </c>
      <c r="B25" s="6" t="n"/>
      <c r="C25" s="6" t="n"/>
      <c r="D25" s="6" t="n">
        <v>-124</v>
      </c>
      <c r="E25" s="6" t="n">
        <v>0</v>
      </c>
      <c r="F25" s="6" t="n"/>
      <c r="G25" s="6" t="n"/>
      <c r="H25" s="6" t="n"/>
      <c r="I25" s="6" t="n"/>
    </row>
    <row r="26">
      <c r="A26" s="6" t="inlineStr">
        <is>
          <t>Profit on disposal of subsidiaries, associates and joint ventures (FY2020-FY2021 only)</t>
        </is>
      </c>
      <c r="B26" s="6" t="n"/>
      <c r="C26" s="6" t="n"/>
      <c r="D26" s="6" t="n"/>
      <c r="E26" s="6" t="n"/>
      <c r="F26" s="6" t="n">
        <v>1</v>
      </c>
      <c r="G26" s="6" t="n">
        <v>16</v>
      </c>
      <c r="H26" s="6" t="n"/>
      <c r="I26" s="6" t="n"/>
    </row>
    <row r="27">
      <c r="A27" s="5" t="inlineStr">
        <is>
          <t>Profit before impairment (FY2022-FY2025 only)</t>
        </is>
      </c>
      <c r="B27" s="5" t="n">
        <v>3718</v>
      </c>
      <c r="C27" s="5" t="n">
        <v>3912</v>
      </c>
      <c r="D27" s="5" t="n">
        <v>2979</v>
      </c>
      <c r="E27" s="5" t="n">
        <v>2820</v>
      </c>
      <c r="F27" s="5" t="n"/>
      <c r="G27" s="5" t="n"/>
      <c r="H27" s="5" t="n"/>
      <c r="I27" s="5" t="n"/>
    </row>
    <row r="28">
      <c r="A28" s="6" t="inlineStr">
        <is>
          <t>Credit impairment (charges)/releases (post-opex, FY2022-FY2025)</t>
        </is>
      </c>
      <c r="B28" s="6" t="n">
        <v>-393</v>
      </c>
      <c r="C28" s="6" t="n">
        <v>-352</v>
      </c>
      <c r="D28" s="6" t="n">
        <v>-308</v>
      </c>
      <c r="E28" s="6" t="n">
        <v>-268</v>
      </c>
      <c r="F28" s="6" t="n"/>
      <c r="G28" s="6" t="n"/>
      <c r="H28" s="6" t="n"/>
      <c r="I28" s="6" t="n"/>
    </row>
    <row r="29">
      <c r="A29" s="5" t="inlineStr">
        <is>
          <t>Profit before tax</t>
        </is>
      </c>
      <c r="B29" s="5" t="n">
        <v>3325</v>
      </c>
      <c r="C29" s="5" t="n">
        <v>3560</v>
      </c>
      <c r="D29" s="5" t="n">
        <v>2671</v>
      </c>
      <c r="E29" s="5" t="n">
        <v>2552</v>
      </c>
      <c r="F29" s="5" t="n">
        <v>2163</v>
      </c>
      <c r="G29" s="5" t="n">
        <v>367</v>
      </c>
      <c r="H29" s="5" t="n">
        <v>669</v>
      </c>
      <c r="I29" s="5" t="n">
        <v>1548</v>
      </c>
    </row>
    <row r="30">
      <c r="A30" s="6" t="inlineStr">
        <is>
          <t>Taxation</t>
        </is>
      </c>
      <c r="B30" s="6" t="n">
        <v>-731</v>
      </c>
      <c r="C30" s="6" t="n">
        <v>-940</v>
      </c>
      <c r="D30" s="6" t="n">
        <v>-749</v>
      </c>
      <c r="E30" s="6" t="n">
        <v>-745</v>
      </c>
      <c r="F30" s="6" t="n">
        <v>-294</v>
      </c>
      <c r="G30" s="6" t="n">
        <v>12</v>
      </c>
      <c r="H30" s="6" t="n">
        <v>-513</v>
      </c>
      <c r="I30" s="6" t="n">
        <v>-433</v>
      </c>
    </row>
    <row r="31">
      <c r="A31" s="5" t="inlineStr">
        <is>
          <t>Profit after tax</t>
        </is>
      </c>
      <c r="B31" s="5" t="n">
        <v>2594</v>
      </c>
      <c r="C31" s="5" t="n">
        <v>2620</v>
      </c>
      <c r="D31" s="5" t="n">
        <v>1922</v>
      </c>
      <c r="E31" s="5" t="n">
        <v>1807</v>
      </c>
      <c r="F31" s="5" t="n">
        <v>1869</v>
      </c>
      <c r="G31" s="5" t="n">
        <v>379</v>
      </c>
      <c r="H31" s="5" t="n">
        <v>156</v>
      </c>
      <c r="I31" s="5" t="n">
        <v>1115</v>
      </c>
    </row>
    <row r="33" ht="200" customHeight="1">
      <c r="A33" s="8" t="inlineStr">
        <is>
          <t>Sources — all figures are Barclays Bank UK Group consolidated (audited), £m:
FY2025 &amp; FY2024: Barclays Bank UK PLC Annual Report 2025, pp.197 (income statement), 199 (balance sheet), 200 (statement of changes in equity) — https://home.barclays/content/dam/home-barclays/documents/investor-relations/reports-and-events/annual-reports/2025/Barclays-Bank-UK-PLC-Annual-Report-2025.pdf
FY2023 &amp; FY2022: Barclays Bank UK PLC Annual Report 2023, pp.162 (income statement), 164 (balance sheet), 165 (statement of changes in equity) — https://home.barclays/content/dam/home-barclays/documents/investor-relations/reports-and-events/annual-reports/2023/Barclays-Bank-UK-Annual-Report-2023-Results-committee.pdf
FY2021: Barclays Bank UK PLC Annual Report 2021, pp.134 (income statement), 136 (balance sheet), 137 (statement of changes in equity) — https://home.barclays/content/dam/home-barclays/documents/investor-relations/reports-and-events/annual-reports/2021/Barclays-Bank-UK-PLC-2021-Annual-Report.pdf
FY2020: Barclays Bank UK PLC Annual Report 2020, pp.123 (income statement), 125 (balance sheet), 126 (statement of changes in equity) — https://home.barclays/content/dam/home-barclays/documents/investor-relations/reports-and-events/annual-reports/2020/Barclays-Bank-UK-PLC-2020-Annual-Report.pdf
FY2019: Barclays Bank UK PLC Annual Report 2019, pp.104 (income statement), 106 (balance sheet), 107 (statement of changes in equity) — https://home.barclays/content/dam/home-barclays/documents/investor-relations/reports-and-events/annual-reports/2019/Barclays%20Bank%20UK%20PLC%20Annual%20Report%202019.pdf
FY2018: Barclays Bank UK PLC Annual Report 2018, pp.105 (income statement), 107 (balance sheet), 108 (statement of changes in equity) — https://home.barclays/content/dam/home-barclays/documents/investor-relations/reports-and-events/annual-reports/2018/2018-barclays-bank-uk-plc-annual-report.pdf
Balance sheet note: FY2018-FY2021 do not split loans and advances at amortised cost into a bank/customer split, do not disclose a separate debt securities at amortised cost line, and report deposits at amortised cost as a single combined line - the combined figures appear on their own row for those years only; FY2022-2025 all split these. FY2020 is the only year with a separate 'Current tax assets' line (a small net asset position; other years report a nil/immaterial current tax asset position folded into other lines). Income statement note: FY2018-FY2021 place credit impairment charges/(releases) before operating expenses (subtotalled as 'Net operating income'), while FY2022-2025 place it after operating expenses (subtotalled as 'Profit before impairment') - a genuine presentation restructuring, not a transcription error; each year's own subtotals are reproduced as reported. FY2020 and FY2021 both separately disclose a 'Profit on disposal of subsidiaries, associates and joint ventures' line before profit before tax. Figures for FY2018-FY2020 are each reproduced exactly as originally reported in that year's own Annual Report, not as later restated comparatives (e.g. Barclays restated FY2018's tax charge by £28m from FY2019 onward following an IAS 12 update on AT1 coupon tax relief) - consistent with this workbook's sourcing convention throughout.</t>
        </is>
      </c>
    </row>
  </sheetData>
  <mergeCells count="1">
    <mergeCell ref="A33:I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Barclays Bank UK PLC — Consolidated Statement of Changes in Equity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Movement</t>
        </is>
      </c>
      <c r="B3" s="4" t="inlineStr">
        <is>
          <t>Called up share capital and share premium</t>
        </is>
      </c>
      <c r="C3" s="4" t="inlineStr">
        <is>
          <t>Other equity instruments</t>
        </is>
      </c>
      <c r="D3" s="4" t="inlineStr">
        <is>
          <t>Other reserves</t>
        </is>
      </c>
      <c r="E3" s="4" t="inlineStr">
        <is>
          <t>Retained earnings</t>
        </is>
      </c>
      <c r="F3" s="4" t="inlineStr">
        <is>
          <t>Total equity</t>
        </is>
      </c>
    </row>
    <row r="4">
      <c r="A4" s="5" t="inlineStr">
        <is>
          <t>Balance as at 1 January 2018</t>
        </is>
      </c>
      <c r="B4" s="5" t="n">
        <v>5</v>
      </c>
      <c r="C4" s="5" t="n">
        <v>0</v>
      </c>
      <c r="D4" s="5" t="n">
        <v>20</v>
      </c>
      <c r="E4" s="5" t="n">
        <v>21</v>
      </c>
      <c r="F4" s="5" t="n">
        <v>46</v>
      </c>
    </row>
    <row r="5">
      <c r="A5" s="6" t="inlineStr">
        <is>
          <t>Profit after tax</t>
        </is>
      </c>
      <c r="B5" s="6" t="n"/>
      <c r="C5" s="6" t="n">
        <v>105</v>
      </c>
      <c r="D5" s="6" t="n"/>
      <c r="E5" s="6" t="n">
        <v>1010</v>
      </c>
      <c r="F5" s="6" t="n">
        <v>1115</v>
      </c>
    </row>
    <row r="6">
      <c r="A6" s="6" t="inlineStr">
        <is>
          <t>Financial assets at FVOCI reserve movement</t>
        </is>
      </c>
      <c r="B6" s="6" t="n"/>
      <c r="C6" s="6" t="n"/>
      <c r="D6" s="6" t="n">
        <v>-17</v>
      </c>
      <c r="E6" s="6" t="n"/>
      <c r="F6" s="6" t="n">
        <v>-17</v>
      </c>
    </row>
    <row r="7">
      <c r="A7" s="6" t="inlineStr">
        <is>
          <t>Cash flow hedges</t>
        </is>
      </c>
      <c r="B7" s="6" t="n"/>
      <c r="C7" s="6" t="n"/>
      <c r="D7" s="6" t="n">
        <v>20</v>
      </c>
      <c r="E7" s="6" t="n"/>
      <c r="F7" s="6" t="n">
        <v>20</v>
      </c>
    </row>
    <row r="8">
      <c r="A8" s="5" t="inlineStr">
        <is>
          <t>Total comprehensive income for the year (FY2018)</t>
        </is>
      </c>
      <c r="B8" s="5" t="n"/>
      <c r="C8" s="5" t="n">
        <v>105</v>
      </c>
      <c r="D8" s="5" t="n">
        <v>3</v>
      </c>
      <c r="E8" s="5" t="n">
        <v>1010</v>
      </c>
      <c r="F8" s="5" t="n">
        <v>1118</v>
      </c>
    </row>
    <row r="9">
      <c r="A9" s="6" t="inlineStr">
        <is>
          <t>Issue of new ordinary shares</t>
        </is>
      </c>
      <c r="B9" s="6" t="n">
        <v>13044</v>
      </c>
      <c r="C9" s="6" t="n"/>
      <c r="D9" s="6" t="n"/>
      <c r="E9" s="6" t="n"/>
      <c r="F9" s="6" t="n">
        <v>13044</v>
      </c>
    </row>
    <row r="10">
      <c r="A10" s="6" t="inlineStr">
        <is>
          <t>Equity settled share schemes</t>
        </is>
      </c>
      <c r="B10" s="6" t="n"/>
      <c r="C10" s="6" t="n"/>
      <c r="D10" s="6" t="n"/>
      <c r="E10" s="6" t="n">
        <v>19</v>
      </c>
      <c r="F10" s="6" t="n">
        <v>19</v>
      </c>
    </row>
    <row r="11">
      <c r="A11" s="6" t="inlineStr">
        <is>
          <t>Net equity impact of the UK banking business transfer</t>
        </is>
      </c>
      <c r="B11" s="6" t="n"/>
      <c r="C11" s="6" t="n">
        <v>2070</v>
      </c>
      <c r="D11" s="6" t="n">
        <v>53</v>
      </c>
      <c r="E11" s="6" t="n">
        <v>46</v>
      </c>
      <c r="F11" s="6" t="n">
        <v>2169</v>
      </c>
    </row>
    <row r="12">
      <c r="A12" s="6" t="inlineStr">
        <is>
          <t>Capital reorganisation</t>
        </is>
      </c>
      <c r="B12" s="6" t="n">
        <v>-13044</v>
      </c>
      <c r="C12" s="6" t="n"/>
      <c r="D12" s="6" t="n"/>
      <c r="E12" s="6" t="n">
        <v>13044</v>
      </c>
      <c r="F12" s="6" t="n">
        <v>0</v>
      </c>
    </row>
    <row r="13">
      <c r="A13" s="6" t="inlineStr">
        <is>
          <t>Other equity instruments coupons paid</t>
        </is>
      </c>
      <c r="B13" s="6" t="n"/>
      <c r="C13" s="6" t="n">
        <v>-105</v>
      </c>
      <c r="D13" s="6" t="n"/>
      <c r="E13" s="6" t="n">
        <v>28</v>
      </c>
      <c r="F13" s="6" t="n">
        <v>-77</v>
      </c>
    </row>
    <row r="14">
      <c r="A14" s="6" t="inlineStr">
        <is>
          <t>Vesting of employee share schemes</t>
        </is>
      </c>
      <c r="B14" s="6" t="n"/>
      <c r="C14" s="6" t="n"/>
      <c r="D14" s="6" t="n"/>
      <c r="E14" s="6" t="n">
        <v>-10</v>
      </c>
      <c r="F14" s="6" t="n">
        <v>-10</v>
      </c>
    </row>
    <row r="15">
      <c r="A15" s="6" t="inlineStr">
        <is>
          <t>Dividends paid</t>
        </is>
      </c>
      <c r="B15" s="6" t="n"/>
      <c r="C15" s="6" t="n"/>
      <c r="D15" s="6" t="n"/>
      <c r="E15" s="6" t="n">
        <v>-350</v>
      </c>
      <c r="F15" s="6" t="n">
        <v>-350</v>
      </c>
    </row>
    <row r="16">
      <c r="A16" s="6" t="inlineStr">
        <is>
          <t>Capital contribution from Barclays Bank PLC</t>
        </is>
      </c>
      <c r="B16" s="6" t="n"/>
      <c r="C16" s="6" t="n"/>
      <c r="D16" s="6" t="n"/>
      <c r="E16" s="6" t="n">
        <v>983</v>
      </c>
      <c r="F16" s="6" t="n">
        <v>983</v>
      </c>
    </row>
    <row r="17">
      <c r="A17" s="6" t="inlineStr">
        <is>
          <t>Other reserve movements</t>
        </is>
      </c>
      <c r="B17" s="6" t="n"/>
      <c r="C17" s="6" t="n"/>
      <c r="D17" s="6" t="n"/>
      <c r="E17" s="6" t="n">
        <v>1</v>
      </c>
      <c r="F17" s="6" t="n">
        <v>1</v>
      </c>
    </row>
    <row r="18">
      <c r="A18" s="5" t="inlineStr">
        <is>
          <t>Balance as at 31 December 2018</t>
        </is>
      </c>
      <c r="B18" s="5" t="n">
        <v>5</v>
      </c>
      <c r="C18" s="5" t="n">
        <v>2070</v>
      </c>
      <c r="D18" s="5" t="n">
        <v>76</v>
      </c>
      <c r="E18" s="5" t="n">
        <v>14792</v>
      </c>
      <c r="F18" s="5" t="n">
        <v>16943</v>
      </c>
    </row>
    <row r="19">
      <c r="A19" s="6" t="inlineStr">
        <is>
          <t>Profit after tax</t>
        </is>
      </c>
      <c r="B19" s="6" t="n"/>
      <c r="C19" s="6" t="n">
        <v>153</v>
      </c>
      <c r="D19" s="6" t="n"/>
      <c r="E19" s="6" t="n">
        <v>3</v>
      </c>
      <c r="F19" s="6" t="n">
        <v>156</v>
      </c>
    </row>
    <row r="20">
      <c r="A20" s="6" t="inlineStr">
        <is>
          <t>Financial assets at FVOCI reserve movement</t>
        </is>
      </c>
      <c r="B20" s="6" t="n"/>
      <c r="C20" s="6" t="n"/>
      <c r="D20" s="6" t="n">
        <v>4</v>
      </c>
      <c r="E20" s="6" t="n"/>
      <c r="F20" s="6" t="n">
        <v>4</v>
      </c>
    </row>
    <row r="21">
      <c r="A21" s="6" t="inlineStr">
        <is>
          <t>Cash flow hedges</t>
        </is>
      </c>
      <c r="B21" s="6" t="n"/>
      <c r="C21" s="6" t="n"/>
      <c r="D21" s="6" t="n">
        <v>103</v>
      </c>
      <c r="E21" s="6" t="n"/>
      <c r="F21" s="6" t="n">
        <v>103</v>
      </c>
    </row>
    <row r="22">
      <c r="A22" s="5" t="inlineStr">
        <is>
          <t>Total comprehensive income for the year (FY2019)</t>
        </is>
      </c>
      <c r="B22" s="5" t="n"/>
      <c r="C22" s="5" t="n">
        <v>153</v>
      </c>
      <c r="D22" s="5" t="n">
        <v>107</v>
      </c>
      <c r="E22" s="5" t="n">
        <v>3</v>
      </c>
      <c r="F22" s="5" t="n">
        <v>263</v>
      </c>
    </row>
    <row r="23">
      <c r="A23" s="6" t="inlineStr">
        <is>
          <t>Issue and exchange of other equity instruments</t>
        </is>
      </c>
      <c r="B23" s="6" t="n"/>
      <c r="C23" s="6" t="n">
        <v>490</v>
      </c>
      <c r="D23" s="6" t="n"/>
      <c r="E23" s="6" t="n"/>
      <c r="F23" s="6" t="n">
        <v>490</v>
      </c>
    </row>
    <row r="24">
      <c r="A24" s="6" t="inlineStr">
        <is>
          <t>Equity settled share schemes</t>
        </is>
      </c>
      <c r="B24" s="6" t="n"/>
      <c r="C24" s="6" t="n"/>
      <c r="D24" s="6" t="n"/>
      <c r="E24" s="6" t="n">
        <v>32</v>
      </c>
      <c r="F24" s="6" t="n">
        <v>32</v>
      </c>
    </row>
    <row r="25">
      <c r="A25" s="6" t="inlineStr">
        <is>
          <t>Other equity instruments coupons paid</t>
        </is>
      </c>
      <c r="B25" s="6" t="n"/>
      <c r="C25" s="6" t="n">
        <v>-153</v>
      </c>
      <c r="D25" s="6" t="n"/>
      <c r="E25" s="6" t="n"/>
      <c r="F25" s="6" t="n">
        <v>-153</v>
      </c>
    </row>
    <row r="26">
      <c r="A26" s="6" t="inlineStr">
        <is>
          <t>Vesting of employee share schemes</t>
        </is>
      </c>
      <c r="B26" s="6" t="n"/>
      <c r="C26" s="6" t="n"/>
      <c r="D26" s="6" t="n"/>
      <c r="E26" s="6" t="n">
        <v>-12</v>
      </c>
      <c r="F26" s="6" t="n">
        <v>-12</v>
      </c>
    </row>
    <row r="27">
      <c r="A27" s="6" t="inlineStr">
        <is>
          <t>Dividends paid</t>
        </is>
      </c>
      <c r="B27" s="6" t="n"/>
      <c r="C27" s="6" t="n"/>
      <c r="D27" s="6" t="n"/>
      <c r="E27" s="6" t="n">
        <v>-1050</v>
      </c>
      <c r="F27" s="6" t="n">
        <v>-1050</v>
      </c>
    </row>
    <row r="28">
      <c r="A28" s="5" t="inlineStr">
        <is>
          <t>Balance as at 31 December 2019</t>
        </is>
      </c>
      <c r="B28" s="5" t="n">
        <v>5</v>
      </c>
      <c r="C28" s="5" t="n">
        <v>2560</v>
      </c>
      <c r="D28" s="5" t="n">
        <v>183</v>
      </c>
      <c r="E28" s="5" t="n">
        <v>13765</v>
      </c>
      <c r="F28" s="5" t="n">
        <v>16513</v>
      </c>
    </row>
    <row r="29">
      <c r="A29" s="6" t="inlineStr">
        <is>
          <t>Profit after tax</t>
        </is>
      </c>
      <c r="B29" s="6" t="n"/>
      <c r="C29" s="6" t="n">
        <v>180</v>
      </c>
      <c r="D29" s="6" t="n"/>
      <c r="E29" s="6" t="n">
        <v>199</v>
      </c>
      <c r="F29" s="6" t="n">
        <v>379</v>
      </c>
    </row>
    <row r="30">
      <c r="A30" s="6" t="inlineStr">
        <is>
          <t>Financial assets at FVOCI reserve movement</t>
        </is>
      </c>
      <c r="B30" s="6" t="n"/>
      <c r="C30" s="6" t="n"/>
      <c r="D30" s="6" t="n">
        <v>72</v>
      </c>
      <c r="E30" s="6" t="n"/>
      <c r="F30" s="6" t="n">
        <v>72</v>
      </c>
    </row>
    <row r="31">
      <c r="A31" s="6" t="inlineStr">
        <is>
          <t>Cash flow hedges</t>
        </is>
      </c>
      <c r="B31" s="6" t="n"/>
      <c r="C31" s="6" t="n"/>
      <c r="D31" s="6" t="n">
        <v>218</v>
      </c>
      <c r="E31" s="6" t="n"/>
      <c r="F31" s="6" t="n">
        <v>218</v>
      </c>
    </row>
    <row r="32">
      <c r="A32" s="6" t="inlineStr">
        <is>
          <t>Other</t>
        </is>
      </c>
      <c r="B32" s="6" t="n"/>
      <c r="C32" s="6" t="n"/>
      <c r="D32" s="6" t="n"/>
      <c r="E32" s="6" t="n">
        <v>1</v>
      </c>
      <c r="F32" s="6" t="n">
        <v>1</v>
      </c>
    </row>
    <row r="33">
      <c r="A33" s="5" t="inlineStr">
        <is>
          <t>Total comprehensive income for the year (FY2020)</t>
        </is>
      </c>
      <c r="B33" s="5" t="n"/>
      <c r="C33" s="5" t="n">
        <v>180</v>
      </c>
      <c r="D33" s="5" t="n">
        <v>290</v>
      </c>
      <c r="E33" s="5" t="n">
        <v>200</v>
      </c>
      <c r="F33" s="5" t="n">
        <v>670</v>
      </c>
    </row>
    <row r="34">
      <c r="A34" s="6" t="inlineStr">
        <is>
          <t>Equity settled share schemes</t>
        </is>
      </c>
      <c r="B34" s="6" t="n"/>
      <c r="C34" s="6" t="n"/>
      <c r="D34" s="6" t="n"/>
      <c r="E34" s="6" t="n">
        <v>31</v>
      </c>
      <c r="F34" s="6" t="n">
        <v>31</v>
      </c>
    </row>
    <row r="35">
      <c r="A35" s="6" t="inlineStr">
        <is>
          <t>Other equity instruments coupons paid</t>
        </is>
      </c>
      <c r="B35" s="6" t="n"/>
      <c r="C35" s="6" t="n">
        <v>-180</v>
      </c>
      <c r="D35" s="6" t="n"/>
      <c r="E35" s="6" t="n"/>
      <c r="F35" s="6" t="n">
        <v>-180</v>
      </c>
    </row>
    <row r="36">
      <c r="A36" s="6" t="inlineStr">
        <is>
          <t>Vesting of employee share schemes</t>
        </is>
      </c>
      <c r="B36" s="6" t="n"/>
      <c r="C36" s="6" t="n"/>
      <c r="D36" s="6" t="n"/>
      <c r="E36" s="6" t="n">
        <v>-12</v>
      </c>
      <c r="F36" s="6" t="n">
        <v>-12</v>
      </c>
    </row>
    <row r="37">
      <c r="A37" s="6" t="inlineStr">
        <is>
          <t>Dividends paid</t>
        </is>
      </c>
      <c r="B37" s="6" t="n"/>
      <c r="C37" s="6" t="n"/>
      <c r="D37" s="6" t="n"/>
      <c r="E37" s="6" t="n">
        <v>-220</v>
      </c>
      <c r="F37" s="6" t="n">
        <v>-220</v>
      </c>
    </row>
    <row r="38">
      <c r="A38" s="6" t="inlineStr">
        <is>
          <t>Capital contribution from Barclays PLC</t>
        </is>
      </c>
      <c r="B38" s="6" t="n"/>
      <c r="C38" s="6" t="n"/>
      <c r="D38" s="6" t="n"/>
      <c r="E38" s="6" t="n">
        <v>220</v>
      </c>
      <c r="F38" s="6" t="n">
        <v>220</v>
      </c>
    </row>
    <row r="39">
      <c r="A39" s="6" t="inlineStr">
        <is>
          <t>Other reserve movements</t>
        </is>
      </c>
      <c r="B39" s="6" t="n"/>
      <c r="C39" s="6" t="n"/>
      <c r="D39" s="6" t="n"/>
      <c r="E39" s="6" t="n">
        <v>5</v>
      </c>
      <c r="F39" s="6" t="n">
        <v>5</v>
      </c>
    </row>
    <row r="40">
      <c r="A40" s="5" t="inlineStr">
        <is>
          <t>Balance as at 31 December 2020 / 1 January 2021</t>
        </is>
      </c>
      <c r="B40" s="5" t="n">
        <v>5</v>
      </c>
      <c r="C40" s="5" t="n">
        <v>2560</v>
      </c>
      <c r="D40" s="5" t="n">
        <v>473</v>
      </c>
      <c r="E40" s="5" t="n">
        <v>13989</v>
      </c>
      <c r="F40" s="5" t="n">
        <v>17027</v>
      </c>
    </row>
    <row r="41">
      <c r="A41" s="6" t="inlineStr">
        <is>
          <t>Profit after tax</t>
        </is>
      </c>
      <c r="B41" s="6" t="n"/>
      <c r="C41" s="6" t="n">
        <v>173</v>
      </c>
      <c r="D41" s="6" t="n"/>
      <c r="E41" s="6" t="n">
        <v>1696</v>
      </c>
      <c r="F41" s="6" t="n">
        <v>1869</v>
      </c>
    </row>
    <row r="42">
      <c r="A42" s="6" t="inlineStr">
        <is>
          <t>Financial assets at FVOCI reserve movement</t>
        </is>
      </c>
      <c r="B42" s="6" t="n"/>
      <c r="C42" s="6" t="n"/>
      <c r="D42" s="6" t="n">
        <v>-67</v>
      </c>
      <c r="E42" s="6" t="n"/>
      <c r="F42" s="6" t="n">
        <v>-67</v>
      </c>
    </row>
    <row r="43">
      <c r="A43" s="6" t="inlineStr">
        <is>
          <t>Cash flow hedges</t>
        </is>
      </c>
      <c r="B43" s="6" t="n"/>
      <c r="C43" s="6" t="n"/>
      <c r="D43" s="6" t="n">
        <v>-772</v>
      </c>
      <c r="E43" s="6" t="n"/>
      <c r="F43" s="6" t="n">
        <v>-772</v>
      </c>
    </row>
    <row r="44">
      <c r="A44" s="5" t="inlineStr">
        <is>
          <t>Total comprehensive income for the year (FY2021)</t>
        </is>
      </c>
      <c r="B44" s="5" t="n"/>
      <c r="C44" s="5" t="n">
        <v>173</v>
      </c>
      <c r="D44" s="5" t="n">
        <v>-839</v>
      </c>
      <c r="E44" s="5" t="n">
        <v>1696</v>
      </c>
      <c r="F44" s="5" t="n">
        <v>1030</v>
      </c>
    </row>
    <row r="45">
      <c r="A45" s="6" t="inlineStr">
        <is>
          <t>Employee share schemes</t>
        </is>
      </c>
      <c r="B45" s="6" t="n"/>
      <c r="C45" s="6" t="n"/>
      <c r="D45" s="6" t="n"/>
      <c r="E45" s="6" t="n">
        <v>37</v>
      </c>
      <c r="F45" s="6" t="n">
        <v>37</v>
      </c>
    </row>
    <row r="46">
      <c r="A46" s="6" t="inlineStr">
        <is>
          <t>Other equity instruments coupons paid</t>
        </is>
      </c>
      <c r="B46" s="6" t="n"/>
      <c r="C46" s="6" t="n">
        <v>-173</v>
      </c>
      <c r="D46" s="6" t="n"/>
      <c r="E46" s="6" t="n"/>
      <c r="F46" s="6" t="n">
        <v>-173</v>
      </c>
    </row>
    <row r="47">
      <c r="A47" s="6" t="inlineStr">
        <is>
          <t>Vesting of employee share schemes</t>
        </is>
      </c>
      <c r="B47" s="6" t="n"/>
      <c r="C47" s="6" t="n"/>
      <c r="D47" s="6" t="n"/>
      <c r="E47" s="6" t="n">
        <v>-11</v>
      </c>
      <c r="F47" s="6" t="n">
        <v>-11</v>
      </c>
    </row>
    <row r="48">
      <c r="A48" s="6" t="inlineStr">
        <is>
          <t>Dividends paid</t>
        </is>
      </c>
      <c r="B48" s="6" t="n"/>
      <c r="C48" s="6" t="n"/>
      <c r="D48" s="6" t="n"/>
      <c r="E48" s="6" t="n">
        <v>-510</v>
      </c>
      <c r="F48" s="6" t="n">
        <v>-510</v>
      </c>
    </row>
    <row r="49">
      <c r="A49" s="6" t="inlineStr">
        <is>
          <t>Capital contribution from Barclays PLC</t>
        </is>
      </c>
      <c r="B49" s="6" t="n"/>
      <c r="C49" s="6" t="n"/>
      <c r="D49" s="6" t="n"/>
      <c r="E49" s="6" t="n">
        <v>0</v>
      </c>
      <c r="F49" s="6" t="n">
        <v>0</v>
      </c>
    </row>
    <row r="50">
      <c r="A50" s="5" t="inlineStr">
        <is>
          <t>Balance as at 31 December 2021</t>
        </is>
      </c>
      <c r="B50" s="5" t="n">
        <v>5</v>
      </c>
      <c r="C50" s="5" t="n">
        <v>2560</v>
      </c>
      <c r="D50" s="5" t="n">
        <v>-366</v>
      </c>
      <c r="E50" s="5" t="n">
        <v>15201</v>
      </c>
      <c r="F50" s="5" t="n">
        <v>17400</v>
      </c>
    </row>
    <row r="51">
      <c r="A51" s="6" t="inlineStr">
        <is>
          <t>Profit after tax</t>
        </is>
      </c>
      <c r="B51" s="6" t="n"/>
      <c r="C51" s="6" t="n">
        <v>173</v>
      </c>
      <c r="D51" s="6" t="n"/>
      <c r="E51" s="6" t="n">
        <v>1634</v>
      </c>
      <c r="F51" s="6" t="n">
        <v>1807</v>
      </c>
    </row>
    <row r="52">
      <c r="A52" s="6" t="inlineStr">
        <is>
          <t>Financial assets at FVOCI reserve movement</t>
        </is>
      </c>
      <c r="B52" s="6" t="n"/>
      <c r="C52" s="6" t="n"/>
      <c r="D52" s="6" t="n">
        <v>-198</v>
      </c>
      <c r="E52" s="6" t="n"/>
      <c r="F52" s="6" t="n">
        <v>-198</v>
      </c>
    </row>
    <row r="53">
      <c r="A53" s="6" t="inlineStr">
        <is>
          <t>Cash flow hedges</t>
        </is>
      </c>
      <c r="B53" s="6" t="n"/>
      <c r="C53" s="6" t="n"/>
      <c r="D53" s="6" t="n">
        <v>-1715</v>
      </c>
      <c r="E53" s="6" t="n"/>
      <c r="F53" s="6" t="n">
        <v>-1715</v>
      </c>
    </row>
    <row r="54">
      <c r="A54" s="5" t="inlineStr">
        <is>
          <t>Total comprehensive income for the year (FY2022)</t>
        </is>
      </c>
      <c r="B54" s="5" t="n"/>
      <c r="C54" s="5" t="n">
        <v>173</v>
      </c>
      <c r="D54" s="5" t="n">
        <v>-1913</v>
      </c>
      <c r="E54" s="5" t="n">
        <v>1634</v>
      </c>
      <c r="F54" s="5" t="n">
        <v>-106</v>
      </c>
    </row>
    <row r="55">
      <c r="A55" s="6" t="inlineStr">
        <is>
          <t>Employee share schemes</t>
        </is>
      </c>
      <c r="B55" s="6" t="n"/>
      <c r="C55" s="6" t="n"/>
      <c r="D55" s="6" t="n"/>
      <c r="E55" s="6" t="n">
        <v>22</v>
      </c>
      <c r="F55" s="6" t="n">
        <v>22</v>
      </c>
    </row>
    <row r="56">
      <c r="A56" s="6" t="inlineStr">
        <is>
          <t>Other equity instruments coupons paid</t>
        </is>
      </c>
      <c r="B56" s="6" t="n"/>
      <c r="C56" s="6" t="n">
        <v>-173</v>
      </c>
      <c r="D56" s="6" t="n"/>
      <c r="E56" s="6" t="n"/>
      <c r="F56" s="6" t="n">
        <v>-173</v>
      </c>
    </row>
    <row r="57">
      <c r="A57" s="6" t="inlineStr">
        <is>
          <t>Vesting of Barclays PLC shares under share based payment schemes</t>
        </is>
      </c>
      <c r="B57" s="6" t="n"/>
      <c r="C57" s="6" t="n"/>
      <c r="D57" s="6" t="n"/>
      <c r="E57" s="6" t="n">
        <v>-14</v>
      </c>
      <c r="F57" s="6" t="n">
        <v>-14</v>
      </c>
    </row>
    <row r="58">
      <c r="A58" s="6" t="inlineStr">
        <is>
          <t>Dividends paid</t>
        </is>
      </c>
      <c r="B58" s="6" t="n"/>
      <c r="C58" s="6" t="n"/>
      <c r="D58" s="6" t="n"/>
      <c r="E58" s="6" t="n">
        <v>-1715</v>
      </c>
      <c r="F58" s="6" t="n">
        <v>-1715</v>
      </c>
    </row>
    <row r="59">
      <c r="A59" s="6" t="inlineStr">
        <is>
          <t>Other reserve movements</t>
        </is>
      </c>
      <c r="B59" s="6" t="n"/>
      <c r="C59" s="6" t="n"/>
      <c r="D59" s="6" t="n"/>
      <c r="E59" s="6" t="n">
        <v>-1</v>
      </c>
      <c r="F59" s="6" t="n">
        <v>-1</v>
      </c>
    </row>
    <row r="60">
      <c r="A60" s="5" t="inlineStr">
        <is>
          <t>Balance as at 31 December 2022</t>
        </is>
      </c>
      <c r="B60" s="5" t="n">
        <v>5</v>
      </c>
      <c r="C60" s="5" t="n">
        <v>2560</v>
      </c>
      <c r="D60" s="5" t="n">
        <v>-2279</v>
      </c>
      <c r="E60" s="5" t="n">
        <v>15127</v>
      </c>
      <c r="F60" s="5" t="n">
        <v>15413</v>
      </c>
    </row>
    <row r="61">
      <c r="A61" s="6" t="inlineStr">
        <is>
          <t>Profit after tax</t>
        </is>
      </c>
      <c r="B61" s="6" t="n"/>
      <c r="C61" s="6" t="n">
        <v>177</v>
      </c>
      <c r="D61" s="6" t="n"/>
      <c r="E61" s="6" t="n">
        <v>1745</v>
      </c>
      <c r="F61" s="6" t="n">
        <v>1922</v>
      </c>
    </row>
    <row r="62">
      <c r="A62" s="6" t="inlineStr">
        <is>
          <t>Financial assets at FVOCI reserve movement</t>
        </is>
      </c>
      <c r="B62" s="6" t="n"/>
      <c r="C62" s="6" t="n"/>
      <c r="D62" s="6" t="n">
        <v>63</v>
      </c>
      <c r="E62" s="6" t="n"/>
      <c r="F62" s="6" t="n">
        <v>63</v>
      </c>
    </row>
    <row r="63">
      <c r="A63" s="6" t="inlineStr">
        <is>
          <t>Cash flow hedges</t>
        </is>
      </c>
      <c r="B63" s="6" t="n"/>
      <c r="C63" s="6" t="n"/>
      <c r="D63" s="6" t="n">
        <v>1065</v>
      </c>
      <c r="E63" s="6" t="n"/>
      <c r="F63" s="6" t="n">
        <v>1065</v>
      </c>
    </row>
    <row r="64">
      <c r="A64" s="5" t="inlineStr">
        <is>
          <t>Total comprehensive income for the year (FY2023)</t>
        </is>
      </c>
      <c r="B64" s="5" t="n"/>
      <c r="C64" s="5" t="n">
        <v>177</v>
      </c>
      <c r="D64" s="5" t="n">
        <v>1128</v>
      </c>
      <c r="E64" s="5" t="n">
        <v>1745</v>
      </c>
      <c r="F64" s="5" t="n">
        <v>3050</v>
      </c>
    </row>
    <row r="65">
      <c r="A65" s="6" t="inlineStr">
        <is>
          <t>Employee share schemes</t>
        </is>
      </c>
      <c r="B65" s="6" t="n"/>
      <c r="C65" s="6" t="n"/>
      <c r="D65" s="6" t="n"/>
      <c r="E65" s="6" t="n">
        <v>22</v>
      </c>
      <c r="F65" s="6" t="n">
        <v>22</v>
      </c>
    </row>
    <row r="66">
      <c r="A66" s="6" t="inlineStr">
        <is>
          <t>Issue and redemption of other equity</t>
        </is>
      </c>
      <c r="B66" s="6" t="n"/>
      <c r="C66" s="6" t="n">
        <v>-131</v>
      </c>
      <c r="D66" s="6" t="n"/>
      <c r="E66" s="6" t="n">
        <v>2</v>
      </c>
      <c r="F66" s="6" t="n">
        <v>-129</v>
      </c>
    </row>
    <row r="67">
      <c r="A67" s="6" t="inlineStr">
        <is>
          <t>Other equity instruments coupons paid</t>
        </is>
      </c>
      <c r="B67" s="6" t="n"/>
      <c r="C67" s="6" t="n">
        <v>-177</v>
      </c>
      <c r="D67" s="6" t="n"/>
      <c r="E67" s="6" t="n"/>
      <c r="F67" s="6" t="n">
        <v>-177</v>
      </c>
    </row>
    <row r="68">
      <c r="A68" s="6" t="inlineStr">
        <is>
          <t>Vesting of Barclays PLC shares under share based payment schemes</t>
        </is>
      </c>
      <c r="B68" s="6" t="n"/>
      <c r="C68" s="6" t="n"/>
      <c r="D68" s="6" t="n"/>
      <c r="E68" s="6" t="n">
        <v>-16</v>
      </c>
      <c r="F68" s="6" t="n">
        <v>-16</v>
      </c>
    </row>
    <row r="69">
      <c r="A69" s="6" t="inlineStr">
        <is>
          <t>Dividends paid</t>
        </is>
      </c>
      <c r="B69" s="6" t="n"/>
      <c r="C69" s="6" t="n"/>
      <c r="D69" s="6" t="n"/>
      <c r="E69" s="6" t="n">
        <v>-1305</v>
      </c>
      <c r="F69" s="6" t="n">
        <v>-1305</v>
      </c>
    </row>
    <row r="70">
      <c r="A70" s="6" t="inlineStr">
        <is>
          <t>Other reserve movements</t>
        </is>
      </c>
      <c r="B70" s="6" t="n"/>
      <c r="C70" s="6" t="n"/>
      <c r="D70" s="6" t="n"/>
      <c r="E70" s="6" t="n">
        <v>3</v>
      </c>
      <c r="F70" s="6" t="n">
        <v>3</v>
      </c>
    </row>
    <row r="71">
      <c r="A71" s="5" t="inlineStr">
        <is>
          <t>Balance as at 31 December 2023</t>
        </is>
      </c>
      <c r="B71" s="5" t="n">
        <v>5</v>
      </c>
      <c r="C71" s="5" t="n">
        <v>2429</v>
      </c>
      <c r="D71" s="5" t="n">
        <v>-1151</v>
      </c>
      <c r="E71" s="5" t="n">
        <v>15578</v>
      </c>
      <c r="F71" s="5" t="n">
        <v>16861</v>
      </c>
    </row>
    <row r="72">
      <c r="A72" s="6" t="inlineStr">
        <is>
          <t>Profit after tax</t>
        </is>
      </c>
      <c r="B72" s="6" t="n"/>
      <c r="C72" s="6" t="n">
        <v>198</v>
      </c>
      <c r="D72" s="6" t="n"/>
      <c r="E72" s="6" t="n">
        <v>2422</v>
      </c>
      <c r="F72" s="6" t="n">
        <v>2620</v>
      </c>
    </row>
    <row r="73">
      <c r="A73" s="6" t="inlineStr">
        <is>
          <t>Financial assets at FVOCI reserve movement</t>
        </is>
      </c>
      <c r="B73" s="6" t="n"/>
      <c r="C73" s="6" t="n"/>
      <c r="D73" s="6" t="n">
        <v>-33</v>
      </c>
      <c r="E73" s="6" t="n"/>
      <c r="F73" s="6" t="n">
        <v>-33</v>
      </c>
    </row>
    <row r="74">
      <c r="A74" s="6" t="inlineStr">
        <is>
          <t>Cash flow hedges</t>
        </is>
      </c>
      <c r="B74" s="6" t="n"/>
      <c r="C74" s="6" t="n"/>
      <c r="D74" s="6" t="n">
        <v>288</v>
      </c>
      <c r="E74" s="6" t="n"/>
      <c r="F74" s="6" t="n">
        <v>288</v>
      </c>
    </row>
    <row r="75">
      <c r="A75" s="5" t="inlineStr">
        <is>
          <t>Total comprehensive income for the year (FY2024)</t>
        </is>
      </c>
      <c r="B75" s="5" t="n"/>
      <c r="C75" s="5" t="n">
        <v>198</v>
      </c>
      <c r="D75" s="5" t="n">
        <v>255</v>
      </c>
      <c r="E75" s="5" t="n">
        <v>2422</v>
      </c>
      <c r="F75" s="5" t="n">
        <v>2875</v>
      </c>
    </row>
    <row r="76">
      <c r="A76" s="6" t="inlineStr">
        <is>
          <t>Employee share schemes</t>
        </is>
      </c>
      <c r="B76" s="6" t="n"/>
      <c r="C76" s="6" t="n"/>
      <c r="D76" s="6" t="n"/>
      <c r="E76" s="6" t="n">
        <v>42</v>
      </c>
      <c r="F76" s="6" t="n">
        <v>42</v>
      </c>
    </row>
    <row r="77">
      <c r="A77" s="6" t="inlineStr">
        <is>
          <t>Issue and exchange of other equity</t>
        </is>
      </c>
      <c r="B77" s="6" t="n"/>
      <c r="C77" s="6" t="n">
        <v>-4</v>
      </c>
      <c r="D77" s="6" t="n"/>
      <c r="E77" s="6" t="n"/>
      <c r="F77" s="6" t="n">
        <v>-4</v>
      </c>
    </row>
    <row r="78">
      <c r="A78" s="6" t="inlineStr">
        <is>
          <t>Other equity instruments coupons paid</t>
        </is>
      </c>
      <c r="B78" s="6" t="n"/>
      <c r="C78" s="6" t="n">
        <v>-198</v>
      </c>
      <c r="D78" s="6" t="n"/>
      <c r="E78" s="6" t="n"/>
      <c r="F78" s="6" t="n">
        <v>-198</v>
      </c>
    </row>
    <row r="79">
      <c r="A79" s="6" t="inlineStr">
        <is>
          <t>Vesting of Barclays PLC shares under share based payment schemes</t>
        </is>
      </c>
      <c r="B79" s="6" t="n"/>
      <c r="C79" s="6" t="n"/>
      <c r="D79" s="6" t="n"/>
      <c r="E79" s="6" t="n">
        <v>-15</v>
      </c>
      <c r="F79" s="6" t="n">
        <v>-15</v>
      </c>
    </row>
    <row r="80">
      <c r="A80" s="6" t="inlineStr">
        <is>
          <t>Dividends paid</t>
        </is>
      </c>
      <c r="B80" s="6" t="n"/>
      <c r="C80" s="6" t="n"/>
      <c r="D80" s="6" t="n"/>
      <c r="E80" s="6" t="n">
        <v>-975</v>
      </c>
      <c r="F80" s="6" t="n">
        <v>-975</v>
      </c>
    </row>
    <row r="81">
      <c r="A81" s="6" t="inlineStr">
        <is>
          <t>Other reserve movements</t>
        </is>
      </c>
      <c r="B81" s="6" t="n"/>
      <c r="C81" s="6" t="n"/>
      <c r="D81" s="6" t="n"/>
      <c r="E81" s="6" t="n">
        <v>-1</v>
      </c>
      <c r="F81" s="6" t="n">
        <v>-1</v>
      </c>
    </row>
    <row r="82">
      <c r="A82" s="5" t="inlineStr">
        <is>
          <t>Balance as at 31 December 2024</t>
        </is>
      </c>
      <c r="B82" s="5" t="n">
        <v>5</v>
      </c>
      <c r="C82" s="5" t="n">
        <v>2425</v>
      </c>
      <c r="D82" s="5" t="n">
        <v>-896</v>
      </c>
      <c r="E82" s="5" t="n">
        <v>17051</v>
      </c>
      <c r="F82" s="5" t="n">
        <v>18585</v>
      </c>
    </row>
    <row r="83">
      <c r="A83" s="6" t="inlineStr">
        <is>
          <t>Profit after tax</t>
        </is>
      </c>
      <c r="B83" s="6" t="n"/>
      <c r="C83" s="6" t="n">
        <v>214</v>
      </c>
      <c r="D83" s="6" t="n"/>
      <c r="E83" s="6" t="n">
        <v>2380</v>
      </c>
      <c r="F83" s="6" t="n">
        <v>2594</v>
      </c>
    </row>
    <row r="84">
      <c r="A84" s="6" t="inlineStr">
        <is>
          <t>Financial assets at FVOCI reserve movement</t>
        </is>
      </c>
      <c r="B84" s="6" t="n"/>
      <c r="C84" s="6" t="n"/>
      <c r="D84" s="6" t="n">
        <v>106</v>
      </c>
      <c r="E84" s="6" t="n"/>
      <c r="F84" s="6" t="n">
        <v>106</v>
      </c>
    </row>
    <row r="85">
      <c r="A85" s="6" t="inlineStr">
        <is>
          <t>Cash flow hedges</t>
        </is>
      </c>
      <c r="B85" s="6" t="n"/>
      <c r="C85" s="6" t="n"/>
      <c r="D85" s="6" t="n">
        <v>752</v>
      </c>
      <c r="E85" s="6" t="n"/>
      <c r="F85" s="6" t="n">
        <v>752</v>
      </c>
    </row>
    <row r="86">
      <c r="A86" s="6" t="inlineStr">
        <is>
          <t>Pension remeasurement</t>
        </is>
      </c>
      <c r="B86" s="6" t="n"/>
      <c r="C86" s="6" t="n"/>
      <c r="D86" s="6" t="n"/>
      <c r="E86" s="6" t="n">
        <v>46</v>
      </c>
      <c r="F86" s="6" t="n">
        <v>46</v>
      </c>
    </row>
    <row r="87">
      <c r="A87" s="5" t="inlineStr">
        <is>
          <t>Total comprehensive income for the year (FY2025)</t>
        </is>
      </c>
      <c r="B87" s="5" t="n"/>
      <c r="C87" s="5" t="n">
        <v>214</v>
      </c>
      <c r="D87" s="5" t="n">
        <v>858</v>
      </c>
      <c r="E87" s="5" t="n">
        <v>2426</v>
      </c>
      <c r="F87" s="5" t="n">
        <v>3498</v>
      </c>
    </row>
    <row r="88">
      <c r="A88" s="6" t="inlineStr">
        <is>
          <t>Employee share schemes</t>
        </is>
      </c>
      <c r="B88" s="6" t="n"/>
      <c r="C88" s="6" t="n"/>
      <c r="D88" s="6" t="n"/>
      <c r="E88" s="6" t="n">
        <v>72</v>
      </c>
      <c r="F88" s="6" t="n">
        <v>72</v>
      </c>
    </row>
    <row r="89">
      <c r="A89" s="6" t="inlineStr">
        <is>
          <t>Issue and redemption of other equity</t>
        </is>
      </c>
      <c r="B89" s="6" t="n"/>
      <c r="C89" s="6" t="n">
        <v>-198</v>
      </c>
      <c r="D89" s="6" t="n"/>
      <c r="E89" s="6" t="n">
        <v>-9</v>
      </c>
      <c r="F89" s="6" t="n">
        <v>-207</v>
      </c>
    </row>
    <row r="90">
      <c r="A90" s="6" t="inlineStr">
        <is>
          <t>Other equity instruments coupons paid</t>
        </is>
      </c>
      <c r="B90" s="6" t="n"/>
      <c r="C90" s="6" t="n">
        <v>-214</v>
      </c>
      <c r="D90" s="6" t="n"/>
      <c r="E90" s="6" t="n"/>
      <c r="F90" s="6" t="n">
        <v>-214</v>
      </c>
    </row>
    <row r="91">
      <c r="A91" s="6" t="inlineStr">
        <is>
          <t>Vesting of Barclays PLC shares under share based payment schemes</t>
        </is>
      </c>
      <c r="B91" s="6" t="n"/>
      <c r="C91" s="6" t="n"/>
      <c r="D91" s="6" t="n"/>
      <c r="E91" s="6" t="n">
        <v>-28</v>
      </c>
      <c r="F91" s="6" t="n">
        <v>-28</v>
      </c>
    </row>
    <row r="92">
      <c r="A92" s="6" t="inlineStr">
        <is>
          <t>Dividends paid</t>
        </is>
      </c>
      <c r="B92" s="6" t="n"/>
      <c r="C92" s="6" t="n"/>
      <c r="D92" s="6" t="n"/>
      <c r="E92" s="6" t="n">
        <v>-1425</v>
      </c>
      <c r="F92" s="6" t="n">
        <v>-1425</v>
      </c>
    </row>
    <row r="93">
      <c r="A93" s="6" t="inlineStr">
        <is>
          <t>Other reserve movements</t>
        </is>
      </c>
      <c r="B93" s="6" t="n"/>
      <c r="C93" s="6" t="n"/>
      <c r="D93" s="6" t="n"/>
      <c r="E93" s="6" t="n">
        <v>-3</v>
      </c>
      <c r="F93" s="6" t="n">
        <v>-3</v>
      </c>
    </row>
    <row r="94">
      <c r="A94" s="5" t="inlineStr">
        <is>
          <t>Balance as at 31 December 2025</t>
        </is>
      </c>
      <c r="B94" s="5" t="n">
        <v>5</v>
      </c>
      <c r="C94" s="5" t="n">
        <v>2227</v>
      </c>
      <c r="D94" s="5" t="n">
        <v>-38</v>
      </c>
      <c r="E94" s="5" t="n">
        <v>18084</v>
      </c>
      <c r="F94" s="5" t="n">
        <v>20278</v>
      </c>
    </row>
    <row r="96" ht="200" customHeight="1">
      <c r="A96" s="8" t="inlineStr">
        <is>
          <t>Sources — all figures are Barclays Bank UK Group consolidated (audited), £m:
FY2025 &amp; FY2024: Barclays Bank UK PLC Annual Report 2025, pp.197 (income statement), 199 (balance sheet), 200 (statement of changes in equity) — https://home.barclays/content/dam/home-barclays/documents/investor-relations/reports-and-events/annual-reports/2025/Barclays-Bank-UK-PLC-Annual-Report-2025.pdf
FY2023 &amp; FY2022: Barclays Bank UK PLC Annual Report 2023, pp.162 (income statement), 164 (balance sheet), 165 (statement of changes in equity) — https://home.barclays/content/dam/home-barclays/documents/investor-relations/reports-and-events/annual-reports/2023/Barclays-Bank-UK-Annual-Report-2023-Results-committee.pdf
FY2021: Barclays Bank UK PLC Annual Report 2021, pp.134 (income statement), 136 (balance sheet), 137 (statement of changes in equity) — https://home.barclays/content/dam/home-barclays/documents/investor-relations/reports-and-events/annual-reports/2021/Barclays-Bank-UK-PLC-2021-Annual-Report.pdf
FY2020: Barclays Bank UK PLC Annual Report 2020, pp.123 (income statement), 125 (balance sheet), 126 (statement of changes in equity) — https://home.barclays/content/dam/home-barclays/documents/investor-relations/reports-and-events/annual-reports/2020/Barclays-Bank-UK-PLC-2020-Annual-Report.pdf
FY2019: Barclays Bank UK PLC Annual Report 2019, pp.104 (income statement), 106 (balance sheet), 107 (statement of changes in equity) — https://home.barclays/content/dam/home-barclays/documents/investor-relations/reports-and-events/annual-reports/2019/Barclays%20Bank%20UK%20PLC%20Annual%20Report%202019.pdf
FY2018: Barclays Bank UK PLC Annual Report 2018, pp.105 (income statement), 107 (balance sheet), 108 (statement of changes in equity) — https://home.barclays/content/dam/home-barclays/documents/investor-relations/reports-and-events/annual-reports/2018/2018-barclays-bank-uk-plc-annual-report.pdf
Balance sheet note: FY2018-FY2021 do not split loans and advances at amortised cost into a bank/customer split, do not disclose a separate debt securities at amortised cost line, and report deposits at amortised cost as a single combined line - the combined figures appear on their own row for those years only; FY2022-2025 all split these. FY2020 is the only year with a separate 'Current tax assets' line (a small net asset position; other years report a nil/immaterial current tax asset position folded into other lines). Income statement note: FY2018-FY2021 place credit impairment charges/(releases) before operating expenses (subtotalled as 'Net operating income'), while FY2022-2025 place it after operating expenses (subtotalled as 'Profit before impairment') - a genuine presentation restructuring, not a transcription error; each year's own subtotals are reproduced as reported. FY2020 and FY2021 both separately disclose a 'Profit on disposal of subsidiaries, associates and joint ventures' line before profit before tax. Figures for FY2018-FY2020 are each reproduced exactly as originally reported in that year's own Annual Report, not as later restated comparatives (e.g. Barclays restated FY2018's tax charge by £28m from FY2019 onward following an IAS 12 update on AT1 coupon tax relief) - consistent with this workbook's sourcing convention throughout.</t>
        </is>
      </c>
    </row>
  </sheetData>
  <mergeCells count="1">
    <mergeCell ref="A96:F9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Consolidated Cash Flow Statement</t>
        </is>
      </c>
    </row>
    <row r="2">
      <c r="A2" s="2" t="inlineStr">
        <is>
          <t>Barclays Bank UK Group (consolidated basis), £m unless stated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inlineStr">
        <is>
          <t>Profit before tax</t>
        </is>
      </c>
      <c r="B5" s="6" t="n">
        <v>3325</v>
      </c>
      <c r="C5" s="6" t="n">
        <v>3560</v>
      </c>
      <c r="D5" s="6" t="n">
        <v>2671</v>
      </c>
      <c r="E5" s="6" t="n">
        <v>2552</v>
      </c>
      <c r="F5" s="6" t="n">
        <v>2163</v>
      </c>
      <c r="G5" s="6" t="n">
        <v>367</v>
      </c>
      <c r="H5" s="6" t="n">
        <v>669</v>
      </c>
      <c r="I5" s="6" t="n">
        <v>1548</v>
      </c>
    </row>
    <row r="6">
      <c r="A6" s="6" t="inlineStr">
        <is>
          <t>Credit impairment charges/(releases)</t>
        </is>
      </c>
      <c r="B6" s="6" t="n">
        <v>393</v>
      </c>
      <c r="C6" s="6" t="n">
        <v>352</v>
      </c>
      <c r="D6" s="6" t="n">
        <v>308</v>
      </c>
      <c r="E6" s="6" t="n">
        <v>268</v>
      </c>
      <c r="F6" s="6" t="n">
        <v>-371</v>
      </c>
      <c r="G6" s="6" t="n">
        <v>1427</v>
      </c>
      <c r="H6" s="6" t="n">
        <v>709</v>
      </c>
      <c r="I6" s="6" t="n">
        <v>624</v>
      </c>
    </row>
    <row r="7">
      <c r="A7" s="6" t="inlineStr">
        <is>
          <t>Depreciation, amortisation and impairment of property, plant, equipment and intangibles</t>
        </is>
      </c>
      <c r="B7" s="6" t="n">
        <v>97</v>
      </c>
      <c r="C7" s="6" t="n">
        <v>95</v>
      </c>
      <c r="D7" s="6" t="n">
        <v>146</v>
      </c>
      <c r="E7" s="6" t="n">
        <v>187</v>
      </c>
      <c r="F7" s="6" t="n">
        <v>169</v>
      </c>
      <c r="G7" s="6" t="n">
        <v>175</v>
      </c>
      <c r="H7" s="6" t="n">
        <v>150</v>
      </c>
      <c r="I7" s="6" t="n">
        <v>50</v>
      </c>
    </row>
    <row r="8">
      <c r="A8" s="6" t="inlineStr">
        <is>
          <t>Loss on disposal of subsidiaries</t>
        </is>
      </c>
      <c r="B8" s="6" t="n"/>
      <c r="C8" s="6" t="n"/>
      <c r="D8" s="6" t="n">
        <v>124</v>
      </c>
      <c r="E8" s="6" t="n">
        <v>0</v>
      </c>
      <c r="F8" s="6" t="n"/>
      <c r="G8" s="6" t="n"/>
      <c r="H8" s="6" t="n"/>
      <c r="I8" s="6" t="n"/>
    </row>
    <row r="9">
      <c r="A9" s="6" t="inlineStr">
        <is>
          <t>Other provisions (including pensions where noted)</t>
        </is>
      </c>
      <c r="B9" s="6" t="n">
        <v>144</v>
      </c>
      <c r="C9" s="6" t="n">
        <v>68</v>
      </c>
      <c r="D9" s="6" t="n">
        <v>69</v>
      </c>
      <c r="E9" s="6" t="n">
        <v>47</v>
      </c>
      <c r="F9" s="6" t="n">
        <v>25</v>
      </c>
      <c r="G9" s="6" t="n">
        <v>427</v>
      </c>
      <c r="H9" s="6" t="n">
        <v>1665</v>
      </c>
      <c r="I9" s="6" t="n">
        <v>104</v>
      </c>
    </row>
    <row r="10">
      <c r="A10" s="6" t="inlineStr">
        <is>
          <t>Other non-cash items / exchange rate movements</t>
        </is>
      </c>
      <c r="B10" s="6" t="n">
        <v>375</v>
      </c>
      <c r="C10" s="6" t="n">
        <v>228</v>
      </c>
      <c r="D10" s="6" t="n">
        <v>2401</v>
      </c>
      <c r="E10" s="6" t="n">
        <v>-878</v>
      </c>
      <c r="F10" s="6" t="n">
        <v>-480</v>
      </c>
      <c r="G10" s="6" t="n">
        <v>-1217</v>
      </c>
      <c r="H10" s="6" t="n">
        <v>110</v>
      </c>
      <c r="I10" s="6" t="n">
        <v>-39</v>
      </c>
    </row>
    <row r="11">
      <c r="A11" s="5" t="inlineStr">
        <is>
          <t>Changes in operating assets and liabilities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inlineStr">
        <is>
          <t>Net (increase)/decrease in cash collateral and settlement balances</t>
        </is>
      </c>
      <c r="B12" s="6" t="n">
        <v>-944</v>
      </c>
      <c r="C12" s="6" t="n">
        <v>414</v>
      </c>
      <c r="D12" s="6" t="n">
        <v>1108</v>
      </c>
      <c r="E12" s="6" t="n">
        <v>335</v>
      </c>
      <c r="F12" s="6" t="n">
        <v>322</v>
      </c>
      <c r="G12" s="6" t="n">
        <v>227</v>
      </c>
      <c r="H12" s="6" t="n">
        <v>-531</v>
      </c>
      <c r="I12" s="6" t="n">
        <v>-130</v>
      </c>
    </row>
    <row r="13">
      <c r="A13" s="6" t="inlineStr">
        <is>
          <t>Net (increase)/decrease in loans and advances at amortised cost</t>
        </is>
      </c>
      <c r="B13" s="6" t="n">
        <v>-9592</v>
      </c>
      <c r="C13" s="6" t="n">
        <v>3023</v>
      </c>
      <c r="D13" s="6" t="n">
        <v>4402</v>
      </c>
      <c r="E13" s="6" t="n">
        <v>2893</v>
      </c>
      <c r="F13" s="6" t="n">
        <v>-4591</v>
      </c>
      <c r="G13" s="6" t="n">
        <v>-15513</v>
      </c>
      <c r="H13" s="6" t="n">
        <v>-10117</v>
      </c>
      <c r="I13" s="6" t="n">
        <v>-4022</v>
      </c>
    </row>
    <row r="14">
      <c r="A14" s="6" t="inlineStr">
        <is>
          <t>Net (increase) in reverse repurchase agreements and other similar secured lending</t>
        </is>
      </c>
      <c r="B14" s="6" t="n">
        <v>-107</v>
      </c>
      <c r="C14" s="6" t="n">
        <v>-2327</v>
      </c>
      <c r="D14" s="6" t="n"/>
      <c r="E14" s="6" t="n"/>
      <c r="F14" s="6" t="n"/>
      <c r="G14" s="6" t="n"/>
      <c r="H14" s="6" t="n"/>
      <c r="I14" s="6" t="n">
        <v>-421</v>
      </c>
    </row>
    <row r="15">
      <c r="A15" s="6" t="inlineStr">
        <is>
          <t>Net (decrease)/increase in repurchase agreements and other similar secured borrowing</t>
        </is>
      </c>
      <c r="B15" s="6" t="n">
        <v>-1906</v>
      </c>
      <c r="C15" s="6" t="n">
        <v>241</v>
      </c>
      <c r="D15" s="6" t="n"/>
      <c r="E15" s="6" t="n"/>
      <c r="F15" s="6" t="n"/>
      <c r="G15" s="6" t="n"/>
      <c r="H15" s="6" t="n"/>
      <c r="I15" s="6" t="n">
        <v>-171</v>
      </c>
    </row>
    <row r="16">
      <c r="A16" s="6" t="inlineStr">
        <is>
          <t>Repurchase and reverse repurchase agreements (combined, as reported)</t>
        </is>
      </c>
      <c r="B16" s="6" t="n"/>
      <c r="C16" s="6" t="n"/>
      <c r="D16" s="6" t="n">
        <v>-5527</v>
      </c>
      <c r="E16" s="6" t="n">
        <v>-870</v>
      </c>
      <c r="F16" s="6" t="n">
        <v>11050</v>
      </c>
      <c r="G16" s="6" t="n">
        <v>-4614</v>
      </c>
      <c r="H16" s="6" t="n">
        <v>1440</v>
      </c>
      <c r="I16" s="6" t="n"/>
    </row>
    <row r="17">
      <c r="A17" s="6" t="inlineStr">
        <is>
          <t>Net increase/(decrease) in deposits at amortised cost</t>
        </is>
      </c>
      <c r="B17" s="6" t="n">
        <v>330</v>
      </c>
      <c r="C17" s="6" t="n">
        <v>-3686</v>
      </c>
      <c r="D17" s="6" t="n">
        <v>-17016</v>
      </c>
      <c r="E17" s="6" t="n">
        <v>-2615</v>
      </c>
      <c r="F17" s="6" t="n">
        <v>20197</v>
      </c>
      <c r="G17" s="6" t="n">
        <v>34839</v>
      </c>
      <c r="H17" s="6" t="n"/>
      <c r="I17" s="6" t="n"/>
    </row>
    <row r="18">
      <c r="A18" s="6" t="inlineStr">
        <is>
          <t>Net increase/(decrease) in debt securities in issue</t>
        </is>
      </c>
      <c r="B18" s="6" t="n">
        <v>2084</v>
      </c>
      <c r="C18" s="6" t="n">
        <v>-1242</v>
      </c>
      <c r="D18" s="6" t="n">
        <v>-4702</v>
      </c>
      <c r="E18" s="6" t="n">
        <v>-675</v>
      </c>
      <c r="F18" s="6" t="n">
        <v>1181</v>
      </c>
      <c r="G18" s="6" t="n">
        <v>-768</v>
      </c>
      <c r="H18" s="6" t="n"/>
      <c r="I18" s="6" t="n"/>
    </row>
    <row r="19">
      <c r="A19" s="6" t="inlineStr">
        <is>
          <t>Net increase in deposits and debt securities in issue (combined, as reported)</t>
        </is>
      </c>
      <c r="B19" s="6" t="n"/>
      <c r="C19" s="6" t="n"/>
      <c r="D19" s="6" t="n"/>
      <c r="E19" s="6" t="n"/>
      <c r="F19" s="6" t="n"/>
      <c r="G19" s="6" t="n"/>
      <c r="H19" s="6" t="n">
        <v>5310</v>
      </c>
      <c r="I19" s="6" t="n">
        <v>6532</v>
      </c>
    </row>
    <row r="20">
      <c r="A20" s="6" t="inlineStr">
        <is>
          <t>Net decrease/(increase) in derivative financial instruments</t>
        </is>
      </c>
      <c r="B20" s="6" t="n">
        <v>906</v>
      </c>
      <c r="C20" s="6" t="n">
        <v>-413</v>
      </c>
      <c r="D20" s="6" t="n">
        <v>-1519</v>
      </c>
      <c r="E20" s="6" t="n">
        <v>427</v>
      </c>
      <c r="F20" s="6" t="n">
        <v>-406</v>
      </c>
      <c r="G20" s="6" t="n">
        <v>-218</v>
      </c>
      <c r="H20" s="6" t="n">
        <v>370</v>
      </c>
      <c r="I20" s="6" t="n">
        <v>-5854</v>
      </c>
    </row>
    <row r="21">
      <c r="A21" s="6" t="inlineStr">
        <is>
          <t>Net (increase) in trading portfolio assets</t>
        </is>
      </c>
      <c r="B21" s="6" t="n">
        <v>-143</v>
      </c>
      <c r="C21" s="6" t="n">
        <v>-199</v>
      </c>
      <c r="D21" s="6" t="n"/>
      <c r="E21" s="6" t="n"/>
      <c r="F21" s="6" t="n"/>
      <c r="G21" s="6" t="n"/>
      <c r="H21" s="6" t="n"/>
      <c r="I21" s="6" t="n">
        <v>-151</v>
      </c>
    </row>
    <row r="22">
      <c r="A22" s="6" t="inlineStr">
        <is>
          <t>Net increase/(decrease) in trading portfolio liabilities</t>
        </is>
      </c>
      <c r="B22" s="6" t="n">
        <v>182</v>
      </c>
      <c r="C22" s="6" t="n">
        <v>-182</v>
      </c>
      <c r="D22" s="6" t="n"/>
      <c r="E22" s="6" t="n"/>
      <c r="F22" s="6" t="n"/>
      <c r="G22" s="6" t="n"/>
      <c r="H22" s="6" t="n"/>
      <c r="I22" s="6" t="n">
        <v>-496</v>
      </c>
    </row>
    <row r="23">
      <c r="A23" s="6" t="inlineStr">
        <is>
          <t>Trading assets and liabilities (combined, as reported)</t>
        </is>
      </c>
      <c r="B23" s="6" t="n"/>
      <c r="C23" s="6" t="n"/>
      <c r="D23" s="6" t="n">
        <v>455</v>
      </c>
      <c r="E23" s="6" t="n">
        <v>-299</v>
      </c>
      <c r="F23" s="6" t="n">
        <v>-258</v>
      </c>
      <c r="G23" s="6" t="n">
        <v>123</v>
      </c>
      <c r="H23" s="6" t="n">
        <v>-274</v>
      </c>
      <c r="I23" s="6" t="n"/>
    </row>
    <row r="24">
      <c r="A24" s="6" t="inlineStr">
        <is>
          <t>Net decrease in financial assets at fair value through the income statement</t>
        </is>
      </c>
      <c r="B24" s="6" t="n">
        <v>130</v>
      </c>
      <c r="C24" s="6" t="n">
        <v>173</v>
      </c>
      <c r="D24" s="6" t="n"/>
      <c r="E24" s="6" t="n"/>
      <c r="F24" s="6" t="n"/>
      <c r="G24" s="6" t="n"/>
      <c r="H24" s="6" t="n"/>
      <c r="I24" s="6" t="n"/>
    </row>
    <row r="25">
      <c r="A25" s="6" t="inlineStr">
        <is>
          <t>Net (decrease)/increase in financial liabilities designated at fair value</t>
        </is>
      </c>
      <c r="B25" s="6" t="n">
        <v>-1845</v>
      </c>
      <c r="C25" s="6" t="n">
        <v>2652</v>
      </c>
      <c r="D25" s="6" t="n"/>
      <c r="E25" s="6" t="n"/>
      <c r="F25" s="6" t="n"/>
      <c r="G25" s="6" t="n"/>
      <c r="H25" s="6" t="n"/>
      <c r="I25" s="6" t="n"/>
    </row>
    <row r="26">
      <c r="A26" s="6" t="inlineStr">
        <is>
          <t>Financial assets and liabilities at fair value through the income statement (combined, as reported)</t>
        </is>
      </c>
      <c r="B26" s="6" t="n"/>
      <c r="C26" s="6" t="n"/>
      <c r="D26" s="6" t="n">
        <v>264</v>
      </c>
      <c r="E26" s="6" t="n">
        <v>787</v>
      </c>
      <c r="F26" s="6" t="n">
        <v>665</v>
      </c>
      <c r="G26" s="6" t="n">
        <v>139</v>
      </c>
      <c r="H26" s="6" t="n">
        <v>309</v>
      </c>
      <c r="I26" s="6" t="n">
        <v>1736</v>
      </c>
    </row>
    <row r="27">
      <c r="A27" s="6" t="inlineStr">
        <is>
          <t>Net (increase) in other assets and liabilities</t>
        </is>
      </c>
      <c r="B27" s="6" t="n">
        <v>-215</v>
      </c>
      <c r="C27" s="6" t="n">
        <v>-276</v>
      </c>
      <c r="D27" s="6" t="n">
        <v>-52</v>
      </c>
      <c r="E27" s="6" t="n">
        <v>-298</v>
      </c>
      <c r="F27" s="6" t="n">
        <v>-299</v>
      </c>
      <c r="G27" s="6" t="n">
        <v>-821</v>
      </c>
      <c r="H27" s="6" t="n">
        <v>-1835</v>
      </c>
      <c r="I27" s="6" t="n">
        <v>561</v>
      </c>
    </row>
    <row r="28">
      <c r="A28" s="6" t="inlineStr">
        <is>
          <t>Corporate income tax paid</t>
        </is>
      </c>
      <c r="B28" s="6" t="n">
        <v>-1074</v>
      </c>
      <c r="C28" s="6" t="n">
        <v>-522</v>
      </c>
      <c r="D28" s="6" t="n">
        <v>-583</v>
      </c>
      <c r="E28" s="6" t="n">
        <v>-395</v>
      </c>
      <c r="F28" s="6" t="n">
        <v>-53</v>
      </c>
      <c r="G28" s="6" t="n">
        <v>-597</v>
      </c>
      <c r="H28" s="6" t="n">
        <v>-1086</v>
      </c>
      <c r="I28" s="6" t="n">
        <v>-128</v>
      </c>
    </row>
    <row r="29">
      <c r="A29" s="5" t="inlineStr">
        <is>
          <t>Net cash from operating activities</t>
        </is>
      </c>
      <c r="B29" s="5" t="n">
        <v>-7860</v>
      </c>
      <c r="C29" s="5" t="n">
        <v>1959</v>
      </c>
      <c r="D29" s="5" t="n">
        <v>-17451</v>
      </c>
      <c r="E29" s="5" t="n">
        <v>1466</v>
      </c>
      <c r="F29" s="5" t="n">
        <v>29314</v>
      </c>
      <c r="G29" s="5" t="n">
        <v>13976</v>
      </c>
      <c r="H29" s="5" t="n">
        <v>-3111</v>
      </c>
      <c r="I29" s="5" t="n">
        <v>-257</v>
      </c>
    </row>
    <row r="30">
      <c r="A30" s="5" t="inlineStr">
        <is>
          <t>Investing activities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</row>
    <row r="31">
      <c r="A31" s="6" t="inlineStr">
        <is>
          <t>Purchase of debt securities at amortised cost</t>
        </is>
      </c>
      <c r="B31" s="6" t="n">
        <v>-3727</v>
      </c>
      <c r="C31" s="6" t="n">
        <v>-4615</v>
      </c>
      <c r="D31" s="6" t="n"/>
      <c r="E31" s="6" t="n"/>
      <c r="F31" s="6" t="n"/>
      <c r="G31" s="6" t="n"/>
      <c r="H31" s="6" t="n"/>
      <c r="I31" s="6" t="n"/>
    </row>
    <row r="32">
      <c r="A32" s="6" t="inlineStr">
        <is>
          <t>Proceeds from redemption or sale of debt securities at amortised cost</t>
        </is>
      </c>
      <c r="B32" s="6" t="n">
        <v>8061</v>
      </c>
      <c r="C32" s="6" t="n">
        <v>3932</v>
      </c>
      <c r="D32" s="6" t="n"/>
      <c r="E32" s="6" t="n"/>
      <c r="F32" s="6" t="n"/>
      <c r="G32" s="6" t="n"/>
      <c r="H32" s="6" t="n"/>
      <c r="I32" s="6" t="n"/>
    </row>
    <row r="33">
      <c r="A33" s="6" t="inlineStr">
        <is>
          <t>Debt securities at amortised cost (net, as reported)</t>
        </is>
      </c>
      <c r="B33" s="6" t="n"/>
      <c r="C33" s="6" t="n"/>
      <c r="D33" s="6" t="n">
        <v>-178</v>
      </c>
      <c r="E33" s="6" t="n">
        <v>-5796</v>
      </c>
      <c r="F33" s="6" t="n">
        <v>-3695</v>
      </c>
      <c r="G33" s="6" t="n"/>
      <c r="H33" s="6" t="n"/>
      <c r="I33" s="6" t="n"/>
    </row>
    <row r="34">
      <c r="A34" s="6" t="inlineStr">
        <is>
          <t>Net cash acquired from the acquisition of the UK banking business (FY2018 only)</t>
        </is>
      </c>
      <c r="B34" s="6" t="n"/>
      <c r="C34" s="6" t="n"/>
      <c r="D34" s="6" t="n"/>
      <c r="E34" s="6" t="n"/>
      <c r="F34" s="6" t="n"/>
      <c r="G34" s="6" t="n"/>
      <c r="H34" s="6" t="n"/>
      <c r="I34" s="6" t="n">
        <v>45940</v>
      </c>
    </row>
    <row r="35">
      <c r="A35" s="6" t="inlineStr">
        <is>
          <t>Purchase of financial assets at fair value through other comprehensive income</t>
        </is>
      </c>
      <c r="B35" s="6" t="n">
        <v>-20764</v>
      </c>
      <c r="C35" s="6" t="n">
        <v>-21343</v>
      </c>
      <c r="D35" s="6" t="n"/>
      <c r="E35" s="6" t="n"/>
      <c r="F35" s="6" t="n"/>
      <c r="G35" s="6" t="n">
        <v>-5557</v>
      </c>
      <c r="H35" s="6" t="n">
        <v>-11846</v>
      </c>
      <c r="I35" s="6" t="n">
        <v>-8483</v>
      </c>
    </row>
    <row r="36">
      <c r="A36" s="6" t="inlineStr">
        <is>
          <t>Proceeds from sale or redemption of financial assets at fair value through other comprehensive income</t>
        </is>
      </c>
      <c r="B36" s="6" t="n">
        <v>16812</v>
      </c>
      <c r="C36" s="6" t="n">
        <v>14959</v>
      </c>
      <c r="D36" s="6" t="n"/>
      <c r="E36" s="6" t="n"/>
      <c r="F36" s="6" t="n"/>
      <c r="G36" s="6" t="n"/>
      <c r="H36" s="6" t="n"/>
      <c r="I36" s="6" t="n">
        <v>7584</v>
      </c>
    </row>
    <row r="37">
      <c r="A37" s="6" t="inlineStr">
        <is>
          <t>Financial assets at fair value through other comprehensive income (net, as reported)</t>
        </is>
      </c>
      <c r="B37" s="6" t="n"/>
      <c r="C37" s="6" t="n"/>
      <c r="D37" s="6" t="n">
        <v>-304</v>
      </c>
      <c r="E37" s="6" t="n">
        <v>-6792</v>
      </c>
      <c r="F37" s="6" t="n">
        <v>10125</v>
      </c>
      <c r="G37" s="6" t="n"/>
      <c r="H37" s="6" t="n"/>
      <c r="I37" s="6" t="n"/>
    </row>
    <row r="38">
      <c r="A38" s="6" t="inlineStr">
        <is>
          <t>Financial liabilities designated at fair value (net, as reported)</t>
        </is>
      </c>
      <c r="B38" s="6" t="n"/>
      <c r="C38" s="6" t="n"/>
      <c r="D38" s="6" t="n">
        <v>196</v>
      </c>
      <c r="E38" s="6" t="n">
        <v>0</v>
      </c>
      <c r="F38" s="6" t="n"/>
      <c r="G38" s="6" t="n"/>
      <c r="H38" s="6" t="n"/>
      <c r="I38" s="6" t="n"/>
    </row>
    <row r="39">
      <c r="A39" s="6" t="inlineStr">
        <is>
          <t>Purchase of property, plant and equipment and investment in intangibles</t>
        </is>
      </c>
      <c r="B39" s="6" t="n">
        <v>-52</v>
      </c>
      <c r="C39" s="6" t="n">
        <v>-13</v>
      </c>
      <c r="D39" s="6" t="n">
        <v>-25</v>
      </c>
      <c r="E39" s="6" t="n">
        <v>-13</v>
      </c>
      <c r="F39" s="6" t="n">
        <v>0</v>
      </c>
      <c r="G39" s="6" t="n">
        <v>-17</v>
      </c>
      <c r="H39" s="6" t="n">
        <v>-30</v>
      </c>
      <c r="I39" s="6" t="n">
        <v>-40</v>
      </c>
    </row>
    <row r="40">
      <c r="A40" s="6" t="inlineStr">
        <is>
          <t>Proceeds from sale of property, plant and equipment and intangibles (FY2018 only)</t>
        </is>
      </c>
      <c r="B40" s="6" t="n"/>
      <c r="C40" s="6" t="n"/>
      <c r="D40" s="6" t="n"/>
      <c r="E40" s="6" t="n"/>
      <c r="F40" s="6" t="n"/>
      <c r="G40" s="6" t="n"/>
      <c r="H40" s="6" t="n"/>
      <c r="I40" s="6" t="n">
        <v>2</v>
      </c>
    </row>
    <row r="41">
      <c r="A41" s="6" t="inlineStr">
        <is>
          <t>Acquisition of business, net of cash acquired</t>
        </is>
      </c>
      <c r="B41" s="6" t="n">
        <v>0</v>
      </c>
      <c r="C41" s="6" t="n">
        <v>-228</v>
      </c>
      <c r="D41" s="6" t="n"/>
      <c r="E41" s="6" t="n"/>
      <c r="F41" s="6" t="n"/>
      <c r="G41" s="6" t="n"/>
      <c r="H41" s="6" t="n"/>
      <c r="I41" s="6" t="n"/>
    </row>
    <row r="42">
      <c r="A42" s="6" t="inlineStr">
        <is>
          <t>Acquisition of subsidiaries, net of cash acquired</t>
        </is>
      </c>
      <c r="B42" s="6" t="n"/>
      <c r="C42" s="6" t="n"/>
      <c r="D42" s="6" t="n">
        <v>-2378</v>
      </c>
      <c r="E42" s="6" t="n">
        <v>0</v>
      </c>
      <c r="F42" s="6" t="n"/>
      <c r="G42" s="6" t="n"/>
      <c r="H42" s="6" t="n"/>
      <c r="I42" s="6" t="n"/>
    </row>
    <row r="43">
      <c r="A43" s="6" t="inlineStr">
        <is>
          <t>Disposal of subsidiaries, net of cash disposed</t>
        </is>
      </c>
      <c r="B43" s="6" t="n"/>
      <c r="C43" s="6" t="n"/>
      <c r="D43" s="6" t="n">
        <v>-141</v>
      </c>
      <c r="E43" s="6" t="n">
        <v>0</v>
      </c>
      <c r="F43" s="6" t="n"/>
      <c r="G43" s="6" t="n"/>
      <c r="H43" s="6" t="n"/>
      <c r="I43" s="6" t="n"/>
    </row>
    <row r="44">
      <c r="A44" s="5" t="inlineStr">
        <is>
          <t>Net cash from investing activities</t>
        </is>
      </c>
      <c r="B44" s="5" t="n">
        <v>330</v>
      </c>
      <c r="C44" s="5" t="n">
        <v>-7308</v>
      </c>
      <c r="D44" s="5" t="n">
        <v>-2830</v>
      </c>
      <c r="E44" s="5" t="n">
        <v>-12601</v>
      </c>
      <c r="F44" s="5" t="n">
        <v>6430</v>
      </c>
      <c r="G44" s="5" t="n">
        <v>-5574</v>
      </c>
      <c r="H44" s="5" t="n">
        <v>-11876</v>
      </c>
      <c r="I44" s="5" t="n">
        <v>45003</v>
      </c>
    </row>
    <row r="45">
      <c r="A45" s="5" t="inlineStr">
        <is>
          <t>Financing activities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</row>
    <row r="46">
      <c r="A46" s="6" t="inlineStr">
        <is>
          <t>Dividends paid and other coupon payments on equity instruments</t>
        </is>
      </c>
      <c r="B46" s="6" t="n">
        <v>-1639</v>
      </c>
      <c r="C46" s="6" t="n">
        <v>-1173</v>
      </c>
      <c r="D46" s="6" t="n">
        <v>-1482</v>
      </c>
      <c r="E46" s="6" t="n">
        <v>-1888</v>
      </c>
      <c r="F46" s="6" t="n">
        <v>-683</v>
      </c>
      <c r="G46" s="6" t="n">
        <v>-400</v>
      </c>
      <c r="H46" s="6" t="n">
        <v>-1203</v>
      </c>
      <c r="I46" s="6" t="n">
        <v>-455</v>
      </c>
    </row>
    <row r="47">
      <c r="A47" s="6" t="inlineStr">
        <is>
          <t>Capital contribution from Barclays PLC</t>
        </is>
      </c>
      <c r="B47" s="6" t="n"/>
      <c r="C47" s="6" t="n"/>
      <c r="D47" s="6" t="n"/>
      <c r="E47" s="6" t="n"/>
      <c r="F47" s="6" t="n">
        <v>0</v>
      </c>
      <c r="G47" s="6" t="n">
        <v>220</v>
      </c>
      <c r="H47" s="6" t="n"/>
      <c r="I47" s="6" t="n">
        <v>0</v>
      </c>
    </row>
    <row r="48">
      <c r="A48" s="6" t="inlineStr">
        <is>
          <t>Issuance of subordinated liabilities/debt</t>
        </is>
      </c>
      <c r="B48" s="6" t="n">
        <v>3600</v>
      </c>
      <c r="C48" s="6" t="n">
        <v>2277</v>
      </c>
      <c r="D48" s="6" t="n">
        <v>4393</v>
      </c>
      <c r="E48" s="6" t="n">
        <v>829</v>
      </c>
      <c r="F48" s="6" t="n">
        <v>1025</v>
      </c>
      <c r="G48" s="6" t="n">
        <v>3694</v>
      </c>
      <c r="H48" s="6" t="n">
        <v>157</v>
      </c>
      <c r="I48" s="6" t="n"/>
    </row>
    <row r="49">
      <c r="A49" s="6" t="inlineStr">
        <is>
          <t>Redemption of subordinated liabilities/debt</t>
        </is>
      </c>
      <c r="B49" s="6" t="n">
        <v>-2703</v>
      </c>
      <c r="C49" s="6" t="n">
        <v>-372</v>
      </c>
      <c r="D49" s="6" t="n">
        <v>-1136</v>
      </c>
      <c r="E49" s="6" t="n">
        <v>-2017</v>
      </c>
      <c r="F49" s="6" t="n">
        <v>-1116</v>
      </c>
      <c r="G49" s="6" t="n">
        <v>-1425</v>
      </c>
      <c r="H49" s="6" t="n"/>
      <c r="I49" s="6" t="n"/>
    </row>
    <row r="50">
      <c r="A50" s="6" t="inlineStr">
        <is>
          <t>Issue of shares and other equity instruments</t>
        </is>
      </c>
      <c r="B50" s="6" t="n">
        <v>990</v>
      </c>
      <c r="C50" s="6" t="n">
        <v>618</v>
      </c>
      <c r="D50" s="6" t="n">
        <v>619</v>
      </c>
      <c r="E50" s="6" t="n">
        <v>0</v>
      </c>
      <c r="F50" s="6" t="n"/>
      <c r="G50" s="6" t="n"/>
      <c r="H50" s="6" t="n">
        <v>490</v>
      </c>
      <c r="I50" s="6" t="n"/>
    </row>
    <row r="51">
      <c r="A51" s="6" t="inlineStr">
        <is>
          <t>Repurchase/redemption of shares and other equity instruments</t>
        </is>
      </c>
      <c r="B51" s="6" t="n">
        <v>-1188</v>
      </c>
      <c r="C51" s="6" t="n">
        <v>-622</v>
      </c>
      <c r="D51" s="6" t="n">
        <v>-750</v>
      </c>
      <c r="E51" s="6" t="n">
        <v>0</v>
      </c>
      <c r="F51" s="6" t="n"/>
      <c r="G51" s="6" t="n"/>
      <c r="H51" s="6" t="n"/>
      <c r="I51" s="6" t="n"/>
    </row>
    <row r="52">
      <c r="A52" s="6" t="inlineStr">
        <is>
          <t>Lease liability payments</t>
        </is>
      </c>
      <c r="B52" s="6" t="n">
        <v>-41</v>
      </c>
      <c r="C52" s="6" t="n">
        <v>-53</v>
      </c>
      <c r="D52" s="6" t="n">
        <v>-63</v>
      </c>
      <c r="E52" s="6" t="n">
        <v>-71</v>
      </c>
      <c r="F52" s="6" t="n"/>
      <c r="G52" s="6" t="n"/>
      <c r="H52" s="6" t="n"/>
      <c r="I52" s="6" t="n"/>
    </row>
    <row r="53">
      <c r="A53" s="6" t="inlineStr">
        <is>
          <t>Vesting of employee share schemes</t>
        </is>
      </c>
      <c r="B53" s="6" t="n">
        <v>-28</v>
      </c>
      <c r="C53" s="6" t="n">
        <v>-15</v>
      </c>
      <c r="D53" s="6" t="n">
        <v>-16</v>
      </c>
      <c r="E53" s="6" t="n">
        <v>-14</v>
      </c>
      <c r="F53" s="6" t="n">
        <v>-11</v>
      </c>
      <c r="G53" s="6" t="n">
        <v>-12</v>
      </c>
      <c r="H53" s="6" t="n">
        <v>-12</v>
      </c>
      <c r="I53" s="6" t="n">
        <v>-10</v>
      </c>
    </row>
    <row r="54">
      <c r="A54" s="5" t="inlineStr">
        <is>
          <t>Net cash from financing activities</t>
        </is>
      </c>
      <c r="B54" s="5" t="n">
        <v>-1009</v>
      </c>
      <c r="C54" s="5" t="n">
        <v>660</v>
      </c>
      <c r="D54" s="5" t="n">
        <v>1565</v>
      </c>
      <c r="E54" s="5" t="n">
        <v>-3161</v>
      </c>
      <c r="F54" s="5" t="n">
        <v>-785</v>
      </c>
      <c r="G54" s="5" t="n">
        <v>2077</v>
      </c>
      <c r="H54" s="5" t="n">
        <v>-568</v>
      </c>
      <c r="I54" s="5" t="n">
        <v>-465</v>
      </c>
    </row>
    <row r="55">
      <c r="A55" s="6" t="inlineStr">
        <is>
          <t>Effect of exchange rates on cash and cash equivalents</t>
        </is>
      </c>
      <c r="B55" s="6" t="n"/>
      <c r="C55" s="6" t="n"/>
      <c r="D55" s="6" t="n"/>
      <c r="E55" s="6" t="n"/>
      <c r="F55" s="6" t="n">
        <v>0</v>
      </c>
      <c r="G55" s="6" t="n">
        <v>428</v>
      </c>
      <c r="H55" s="6" t="n">
        <v>-737</v>
      </c>
      <c r="I55" s="6" t="n"/>
    </row>
    <row r="56">
      <c r="A56" s="5" t="inlineStr">
        <is>
          <t>Net (decrease)/increase in cash and cash equivalents</t>
        </is>
      </c>
      <c r="B56" s="5" t="n">
        <v>-8539</v>
      </c>
      <c r="C56" s="5" t="n">
        <v>-4689</v>
      </c>
      <c r="D56" s="5" t="n">
        <v>-18716</v>
      </c>
      <c r="E56" s="5" t="n">
        <v>-14296</v>
      </c>
      <c r="F56" s="5" t="n">
        <v>34959</v>
      </c>
      <c r="G56" s="5" t="n">
        <v>10907</v>
      </c>
      <c r="H56" s="5" t="n">
        <v>-16292</v>
      </c>
      <c r="I56" s="5" t="n">
        <v>44281</v>
      </c>
    </row>
    <row r="57">
      <c r="A57" s="6" t="inlineStr">
        <is>
          <t>Cash and cash equivalents at beginning of year</t>
        </is>
      </c>
      <c r="B57" s="6" t="n">
        <v>35675</v>
      </c>
      <c r="C57" s="6" t="n">
        <v>40364</v>
      </c>
      <c r="D57" s="6" t="n">
        <v>59080</v>
      </c>
      <c r="E57" s="6" t="n">
        <v>73376</v>
      </c>
      <c r="F57" s="6" t="n">
        <v>38417</v>
      </c>
      <c r="G57" s="6" t="n">
        <v>27510</v>
      </c>
      <c r="H57" s="6" t="n">
        <v>44334</v>
      </c>
      <c r="I57" s="6" t="n">
        <v>53</v>
      </c>
    </row>
    <row r="58">
      <c r="A58" s="5" t="inlineStr">
        <is>
          <t>Cash and cash equivalents at end of year</t>
        </is>
      </c>
      <c r="B58" s="5" t="n">
        <v>27136</v>
      </c>
      <c r="C58" s="5" t="n">
        <v>35675</v>
      </c>
      <c r="D58" s="5" t="n">
        <v>40364</v>
      </c>
      <c r="E58" s="5" t="n">
        <v>59080</v>
      </c>
      <c r="F58" s="5" t="n">
        <v>73376</v>
      </c>
      <c r="G58" s="5" t="n">
        <v>38417</v>
      </c>
      <c r="H58" s="5" t="n">
        <v>28042</v>
      </c>
      <c r="I58" s="5" t="n">
        <v>44334</v>
      </c>
    </row>
    <row r="59">
      <c r="A59" s="5" t="inlineStr">
        <is>
          <t>Cash and cash equivalents at end of year comprise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</row>
    <row r="60">
      <c r="A60" s="6" t="inlineStr">
        <is>
          <t>Cash and balances at central banks</t>
        </is>
      </c>
      <c r="B60" s="6" t="n">
        <v>21208</v>
      </c>
      <c r="C60" s="6" t="n">
        <v>29819</v>
      </c>
      <c r="D60" s="6" t="n">
        <v>34948</v>
      </c>
      <c r="E60" s="6" t="n">
        <v>54208</v>
      </c>
      <c r="F60" s="6" t="n">
        <v>69488</v>
      </c>
      <c r="G60" s="6" t="n">
        <v>35218</v>
      </c>
      <c r="H60" s="6" t="n">
        <v>24305</v>
      </c>
      <c r="I60" s="6" t="n">
        <v>40669</v>
      </c>
    </row>
    <row r="61">
      <c r="A61" s="6" t="inlineStr">
        <is>
          <t>Loans and advances to banks with original maturity less than three months</t>
        </is>
      </c>
      <c r="B61" s="6" t="n">
        <v>178</v>
      </c>
      <c r="C61" s="6" t="n">
        <v>231</v>
      </c>
      <c r="D61" s="6" t="n">
        <v>291</v>
      </c>
      <c r="E61" s="6" t="n">
        <v>347</v>
      </c>
      <c r="F61" s="6" t="n">
        <v>46</v>
      </c>
      <c r="G61" s="6" t="n">
        <v>81</v>
      </c>
      <c r="H61" s="6" t="n">
        <v>87</v>
      </c>
      <c r="I61" s="6" t="n">
        <v>491</v>
      </c>
    </row>
    <row r="62">
      <c r="A62" s="6" t="inlineStr">
        <is>
          <t>Cash collateral balances with central banks with original maturity less than three months</t>
        </is>
      </c>
      <c r="B62" s="6" t="n">
        <v>5750</v>
      </c>
      <c r="C62" s="6" t="n">
        <v>5625</v>
      </c>
      <c r="D62" s="6" t="n">
        <v>5125</v>
      </c>
      <c r="E62" s="6" t="n">
        <v>4525</v>
      </c>
      <c r="F62" s="6" t="n">
        <v>3842</v>
      </c>
      <c r="G62" s="6" t="n">
        <v>3118</v>
      </c>
      <c r="H62" s="6" t="n">
        <v>3650</v>
      </c>
      <c r="I62" s="6" t="n">
        <v>3174</v>
      </c>
    </row>
    <row r="63">
      <c r="A63" s="5" t="inlineStr">
        <is>
          <t>Cash and cash equivalents at end of year</t>
        </is>
      </c>
      <c r="B63" s="5" t="n">
        <v>27136</v>
      </c>
      <c r="C63" s="5" t="n">
        <v>35675</v>
      </c>
      <c r="D63" s="5" t="n">
        <v>40364</v>
      </c>
      <c r="E63" s="5" t="n">
        <v>59080</v>
      </c>
      <c r="F63" s="5" t="n">
        <v>73376</v>
      </c>
      <c r="G63" s="5" t="n">
        <v>38417</v>
      </c>
      <c r="H63" s="5" t="n">
        <v>28042</v>
      </c>
      <c r="I63" s="5" t="n">
        <v>44334</v>
      </c>
    </row>
    <row r="65" ht="90" customHeight="1">
      <c r="A65" s="8" t="inlineStr">
        <is>
          <t>Sources — all figures are Barclays Bank UK Group consolidated cash flow statement, £m:
FY2025 &amp; FY2024: Barclays Bank UK PLC Annual Report 2025, p.201 (Consolidated cash flow statement) — https://home.barclays/content/dam/home-barclays/documents/investor-relations/reports-and-events/annual-reports/2025/Barclays-Bank-UK-PLC-Annual-Report-2025.pdf
FY2023 &amp; FY2022: Barclays Bank UK PLC Annual Report 2023, p.166 (Consolidated cash flow statement) — https://home.barclays/content/dam/home-barclays/documents/investor-relations/reports-and-events/annual-reports/2023/Barclays-Bank-UK-Annual-Report-2023-Results-committee.pdf
FY2021: Barclays Bank UK PLC Annual Report 2021, p.138 (Consolidated cash flow statement) — https://home.barclays/content/dam/home-barclays/documents/investor-relations/reports-and-events/annual-reports/2021/Barclays-Bank-UK-PLC-2021-Annual-Report.pdf
FY2020: Barclays Bank UK PLC Annual Report 2020, p.127 (Consolidated cash flow statement) — https://home.barclays/content/dam/home-barclays/documents/investor-relations/reports-and-events/annual-reports/2020/Barclays-Bank-UK-PLC-2020-Annual-Report.pdf
FY2019: Barclays Bank UK PLC Annual Report 2019, p.108 (Consolidated cash flow statement) — https://home.barclays/content/dam/home-barclays/documents/investor-relations/reports-and-events/annual-reports/2019/Barclays%20Bank%20UK%20PLC%20Annual%20Report%202019.pdf
FY2018: Barclays Bank UK PLC Annual Report 2018, p.109 (Consolidated cash flow statement) — https://home.barclays/content/dam/home-barclays/documents/investor-relations/reports-and-events/annual-reports/2018/2018-barclays-bank-uk-plc-annual-report.pdf
Note: Barclays changed cash flow statement presentation granularity across these report vintages (e.g. FY2025/FY2024 split some line items — such as repurchase/reverse repurchase agreements and trading portfolio assets/liabilities — that FY2023/FY2022/FY2021 report on a combined basis; FY2019/FY2018 combined deposits and debt securities in issue into one movement, a split FY2020 onward reports separately). Blank cells indicate that year's report did not disclose that specific split; where a coarser combined figure was reported instead, it appears on its own row. Each year's figures are exactly as originally reported in that year's own Annual Report (not a later restated comparative) - Barclays subsequently restated FY2019's cash flow presentation (reclassifying cash collateral within cash and cash equivalents, reducing the FY2019 and FY2018 closing cash balances by £532m and £409m respectively) and separately restated FY2018's other non-cash movements for an exchange-rate effects disclosure introduced from FY2019; as a result FY2018's own reported closing cash balance (£44,334m), FY2019's own reported closing balance (£28,042m), and FY2020's own reported opening balance (£27,510m, i.e. the restated FY2019 closing position) do not exactly chain together - each is reproduced as originally published, consistent with this workbook's sourcing convention throughout. Section totals (net cash from operating/investing/financing activities, cash and cash equivalents) are otherwise consistent and comparable across all 8 years.</t>
        </is>
      </c>
    </row>
  </sheetData>
  <mergeCells count="1">
    <mergeCell ref="A65:I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Asset Quality / Credit Risk Disclosures</t>
        </is>
      </c>
    </row>
    <row r="2">
      <c r="A2" s="2" t="inlineStr">
        <is>
          <t>Barclays Bank UK Group (consolidated basis), £m unless stated. Loans and advances at amortised cost, excluding debt securities at amortised cost.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5" t="inlineStr">
        <is>
          <t>Loans and advances at amortised cost, gross exposure by IFRS 9 stage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inlineStr">
        <is>
          <t>Stage 1</t>
        </is>
      </c>
      <c r="B5" s="6" t="n">
        <v>194856</v>
      </c>
      <c r="C5" s="6" t="n">
        <v>179441</v>
      </c>
      <c r="D5" s="6" t="n">
        <v>173805</v>
      </c>
      <c r="E5" s="6" t="n">
        <v>175260</v>
      </c>
      <c r="F5" s="6" t="n">
        <v>193961</v>
      </c>
      <c r="G5" s="6" t="n">
        <v>182908</v>
      </c>
      <c r="H5" s="6" t="n">
        <v>171010</v>
      </c>
      <c r="I5" s="6" t="n">
        <v>157753</v>
      </c>
    </row>
    <row r="6">
      <c r="A6" s="6" t="inlineStr">
        <is>
          <t>Stage 2</t>
        </is>
      </c>
      <c r="B6" s="6" t="n">
        <v>19509</v>
      </c>
      <c r="C6" s="6" t="n">
        <v>25400</v>
      </c>
      <c r="D6" s="6" t="n">
        <v>26471</v>
      </c>
      <c r="E6" s="6" t="n">
        <v>27637</v>
      </c>
      <c r="F6" s="6" t="n">
        <v>24639</v>
      </c>
      <c r="G6" s="6" t="n">
        <v>28078</v>
      </c>
      <c r="H6" s="6" t="n">
        <v>25595</v>
      </c>
      <c r="I6" s="6" t="n">
        <v>29423</v>
      </c>
    </row>
    <row r="7">
      <c r="A7" s="6" t="inlineStr">
        <is>
          <t>Stage 3 (incl. POCI where separately disclosed)</t>
        </is>
      </c>
      <c r="B7" s="6" t="n">
        <v>3121</v>
      </c>
      <c r="C7" s="6" t="n">
        <v>3482</v>
      </c>
      <c r="D7" s="6" t="n">
        <v>3375</v>
      </c>
      <c r="E7" s="6" t="n">
        <v>3482</v>
      </c>
      <c r="F7" s="6" t="n">
        <v>3850</v>
      </c>
      <c r="G7" s="6" t="n">
        <v>3812</v>
      </c>
      <c r="H7" s="6" t="n">
        <v>3575</v>
      </c>
      <c r="I7" s="6" t="n">
        <v>4316</v>
      </c>
    </row>
    <row r="8">
      <c r="A8" s="5" t="inlineStr">
        <is>
          <t>Total gross exposure</t>
        </is>
      </c>
      <c r="B8" s="5" t="n">
        <v>217486</v>
      </c>
      <c r="C8" s="5" t="n">
        <v>208323</v>
      </c>
      <c r="D8" s="5" t="n">
        <v>203651</v>
      </c>
      <c r="E8" s="5" t="n">
        <v>206379</v>
      </c>
      <c r="F8" s="5" t="n">
        <v>222450</v>
      </c>
      <c r="G8" s="5" t="n">
        <v>214798</v>
      </c>
      <c r="H8" s="5" t="n">
        <v>200180</v>
      </c>
      <c r="I8" s="5" t="n">
        <v>191492</v>
      </c>
    </row>
    <row r="9">
      <c r="A9" s="5" t="inlineStr">
        <is>
          <t>Impairment allowance by IFRS 9 stage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inlineStr">
        <is>
          <t>Stage 1</t>
        </is>
      </c>
      <c r="B10" s="6" t="n">
        <v>323</v>
      </c>
      <c r="C10" s="6" t="n">
        <v>433</v>
      </c>
      <c r="D10" s="6" t="n">
        <v>295</v>
      </c>
      <c r="E10" s="6" t="n">
        <v>339</v>
      </c>
      <c r="F10" s="6" t="n">
        <v>395</v>
      </c>
      <c r="G10" s="6" t="n">
        <v>322</v>
      </c>
      <c r="H10" s="6" t="n">
        <v>213</v>
      </c>
      <c r="I10" s="6" t="n">
        <v>199</v>
      </c>
    </row>
    <row r="11">
      <c r="A11" s="6" t="inlineStr">
        <is>
          <t>Stage 2</t>
        </is>
      </c>
      <c r="B11" s="6" t="n">
        <v>667</v>
      </c>
      <c r="C11" s="6" t="n">
        <v>679</v>
      </c>
      <c r="D11" s="6" t="n">
        <v>782</v>
      </c>
      <c r="E11" s="6" t="n">
        <v>815</v>
      </c>
      <c r="F11" s="6" t="n">
        <v>971</v>
      </c>
      <c r="G11" s="6" t="n">
        <v>1606</v>
      </c>
      <c r="H11" s="6" t="n">
        <v>1315</v>
      </c>
      <c r="I11" s="6" t="n">
        <v>1459</v>
      </c>
    </row>
    <row r="12">
      <c r="A12" s="6" t="inlineStr">
        <is>
          <t>Stage 3 (incl. POCI where separately disclosed)</t>
        </is>
      </c>
      <c r="B12" s="6" t="n">
        <v>634</v>
      </c>
      <c r="C12" s="6" t="n">
        <v>495</v>
      </c>
      <c r="D12" s="6" t="n">
        <v>579</v>
      </c>
      <c r="E12" s="6" t="n">
        <v>555</v>
      </c>
      <c r="F12" s="6" t="n">
        <v>813</v>
      </c>
      <c r="G12" s="6" t="n">
        <v>1221</v>
      </c>
      <c r="H12" s="6" t="n">
        <v>1083</v>
      </c>
      <c r="I12" s="6" t="n">
        <v>1269</v>
      </c>
    </row>
    <row r="13">
      <c r="A13" s="5" t="inlineStr">
        <is>
          <t>Total impairment allowance</t>
        </is>
      </c>
      <c r="B13" s="5" t="n">
        <v>1624</v>
      </c>
      <c r="C13" s="5" t="n">
        <v>1607</v>
      </c>
      <c r="D13" s="5" t="n">
        <v>1656</v>
      </c>
      <c r="E13" s="5" t="n">
        <v>1709</v>
      </c>
      <c r="F13" s="5" t="n">
        <v>2179</v>
      </c>
      <c r="G13" s="5" t="n">
        <v>3149</v>
      </c>
      <c r="H13" s="5" t="n">
        <v>2611</v>
      </c>
      <c r="I13" s="5" t="n">
        <v>2927</v>
      </c>
    </row>
    <row r="14">
      <c r="A14" s="5" t="inlineStr">
        <is>
          <t>Derived ratios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inlineStr">
        <is>
          <t>NPL ratio (Stage 3 gross / total gross exposure)</t>
        </is>
      </c>
      <c r="B15" s="6" t="inlineStr">
        <is>
          <t>1.4%</t>
        </is>
      </c>
      <c r="C15" s="6" t="inlineStr">
        <is>
          <t>1.7%</t>
        </is>
      </c>
      <c r="D15" s="6" t="inlineStr">
        <is>
          <t>1.7%</t>
        </is>
      </c>
      <c r="E15" s="6" t="inlineStr">
        <is>
          <t>1.7%</t>
        </is>
      </c>
      <c r="F15" s="6" t="inlineStr">
        <is>
          <t>1.7%</t>
        </is>
      </c>
      <c r="G15" s="6" t="inlineStr">
        <is>
          <t>1.8%</t>
        </is>
      </c>
      <c r="H15" s="6" t="inlineStr">
        <is>
          <t>1.8%</t>
        </is>
      </c>
      <c r="I15" s="6" t="inlineStr">
        <is>
          <t>2.3%</t>
        </is>
      </c>
    </row>
    <row r="16">
      <c r="A16" s="6" t="inlineStr">
        <is>
          <t>Stage 3 coverage ratio (Stage 3 allowance / Stage 3 gross)</t>
        </is>
      </c>
      <c r="B16" s="6" t="inlineStr">
        <is>
          <t>20.3%</t>
        </is>
      </c>
      <c r="C16" s="6" t="inlineStr">
        <is>
          <t>14.2%</t>
        </is>
      </c>
      <c r="D16" s="6" t="inlineStr">
        <is>
          <t>17.2%</t>
        </is>
      </c>
      <c r="E16" s="6" t="inlineStr">
        <is>
          <t>15.9%</t>
        </is>
      </c>
      <c r="F16" s="6" t="inlineStr">
        <is>
          <t>21.1%</t>
        </is>
      </c>
      <c r="G16" s="6" t="inlineStr">
        <is>
          <t>32.0%</t>
        </is>
      </c>
      <c r="H16" s="6" t="inlineStr">
        <is>
          <t>30.3%</t>
        </is>
      </c>
      <c r="I16" s="6" t="inlineStr">
        <is>
          <t>29.4%</t>
        </is>
      </c>
    </row>
    <row r="17">
      <c r="A17" s="6" t="inlineStr">
        <is>
          <t>Total coverage ratio (total allowance / total gross exposure)</t>
        </is>
      </c>
      <c r="B17" s="6" t="inlineStr">
        <is>
          <t>0.7%</t>
        </is>
      </c>
      <c r="C17" s="6" t="inlineStr">
        <is>
          <t>0.8%</t>
        </is>
      </c>
      <c r="D17" s="6" t="inlineStr">
        <is>
          <t>0.8%</t>
        </is>
      </c>
      <c r="E17" s="6" t="inlineStr">
        <is>
          <t>0.8%</t>
        </is>
      </c>
      <c r="F17" s="6" t="inlineStr">
        <is>
          <t>1.0%</t>
        </is>
      </c>
      <c r="G17" s="6" t="inlineStr">
        <is>
          <t>1.5%</t>
        </is>
      </c>
      <c r="H17" s="6" t="inlineStr">
        <is>
          <t>1.3%</t>
        </is>
      </c>
      <c r="I17" s="6" t="inlineStr">
        <is>
          <t>1.5%</t>
        </is>
      </c>
    </row>
    <row r="19" ht="200" customHeight="1">
      <c r="A19" s="8" t="inlineStr">
        <is>
          <t>Sources — Barclays Bank UK Group 'Loans and advances at amortised cost by product' tables ('Total loans and advances at amortised cost' row, excl. debt securities):
FY2025: Annual Report 2025, p.103 — https://home.barclays/content/dam/home-barclays/documents/investor-relations/reports-and-events/annual-reports/2025/Barclays-Bank-UK-PLC-Annual-Report-2025.pdf
FY2024: Annual Report 2025, p.104 (comparative) — https://home.barclays/content/dam/home-barclays/documents/investor-relations/reports-and-events/annual-reports/2025/Barclays-Bank-UK-PLC-Annual-Report-2025.pdf
FY2023: Annual Report 2023, p.82 — https://home.barclays/content/dam/home-barclays/documents/investor-relations/reports-and-events/annual-reports/2023/Barclays-Bank-UK-Annual-Report-2023-Results-committee.pdf
FY2022: Annual Report 2023, p.83 (comparative) — https://home.barclays/content/dam/home-barclays/documents/investor-relations/reports-and-events/annual-reports/2023/Barclays-Bank-UK-Annual-Report-2023-Results-committee.pdf
FY2021: Annual Report 2021, p.66 — https://home.barclays/content/dam/home-barclays/documents/investor-relations/reports-and-events/annual-reports/2021/Barclays-Bank-UK-PLC-2021-Annual-Report.pdf
FY2020: Annual Report 2020, p.60 (Loans and advances at amortised cost by product) — https://home.barclays/content/dam/home-barclays/documents/investor-relations/reports-and-events/annual-reports/2020/Barclays-Bank-UK-PLC-2020-Annual-Report.pdf
FY2019: Annual Report 2019, p.51 (Loans and advances at amortised cost by product) — https://home.barclays/content/dam/home-barclays/documents/investor-relations/reports-and-events/annual-reports/2019/Barclays%20Bank%20UK%20PLC%20Annual%20Report%202019.pdf
FY2018: Annual Report 2018, p.52 (Loans and advances at amortised cost by product, Barclays Bank UK Group table) — https://home.barclays/content/dam/home-barclays/documents/investor-relations/reports-and-events/annual-reports/2018/2018-barclays-bank-uk-plc-annual-report.pdf
Note: NPL/coverage ratios are computed here (not the report's own headline ratio, though they tie closely to it - e.g. FY2021 Stage 3 coverage of 21.1% matches the report's own 'Total' Stage 3 coverage figure exactly). Product-level breakdown (e.g. mortgages vs. cards vs. corporate) isn't reproduced since the product taxonomy changed between FY2018-FY2021 (Home loans / Credit cards &amp; other retail / Wholesale loans, called 'Corporate loans' in FY2018) and FY2022-2025 (Retail mortgages / Retail credit cards / Retail other / Corporate loans) - see each year's own source page for the full by-product split.</t>
        </is>
      </c>
    </row>
  </sheetData>
  <mergeCells count="1">
    <mergeCell ref="A19:I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CET1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Common Equity Tier 1 (CET1) capital</t>
        </is>
      </c>
      <c r="B4" s="6" t="n">
        <v>12331</v>
      </c>
      <c r="C4" s="6" t="n">
        <v>11895</v>
      </c>
      <c r="D4" s="6" t="n">
        <v>10638</v>
      </c>
      <c r="E4" s="6" t="n">
        <v>10701</v>
      </c>
      <c r="F4" s="6" t="n">
        <v>10828</v>
      </c>
      <c r="G4" s="6" t="n">
        <v>11247</v>
      </c>
      <c r="H4" s="6" t="n">
        <v>10128</v>
      </c>
      <c r="I4" s="6" t="n">
        <v>10700</v>
      </c>
    </row>
    <row r="5" ht="60" customHeight="1">
      <c r="A5" s="7" t="inlineStr">
        <is>
          <t>Note: FY2018 CET1 capital (£10.7bn, unaudited) is disclosed within the FY2018 Annual Report's capital risk section rather than a standalone Pillar 3 report - see p3_sources note on that year.</t>
        </is>
      </c>
    </row>
    <row r="7" ht="90" customHeight="1">
      <c r="A7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2">
    <mergeCell ref="A5:I5"/>
    <mergeCell ref="A7:I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CET1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Common Equity Tier 1 (CET1) ratio</t>
        </is>
      </c>
      <c r="B4" s="6" t="inlineStr">
        <is>
          <t>14.5%</t>
        </is>
      </c>
      <c r="C4" s="6" t="inlineStr">
        <is>
          <t>14.2%</t>
        </is>
      </c>
      <c r="D4" s="6" t="inlineStr">
        <is>
          <t>14.8%</t>
        </is>
      </c>
      <c r="E4" s="6" t="inlineStr">
        <is>
          <t>14.7%</t>
        </is>
      </c>
      <c r="F4" s="6" t="inlineStr">
        <is>
          <t>15.2%</t>
        </is>
      </c>
      <c r="G4" s="6" t="inlineStr">
        <is>
          <t>15.6%</t>
        </is>
      </c>
      <c r="H4" s="6" t="inlineStr">
        <is>
          <t>13.5%</t>
        </is>
      </c>
      <c r="I4" s="6" t="inlineStr">
        <is>
          <t>14.2%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Tier 1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Tier 1 capital</t>
        </is>
      </c>
      <c r="B4" s="6" t="n">
        <v>14558</v>
      </c>
      <c r="C4" s="6" t="n">
        <v>14320</v>
      </c>
      <c r="D4" s="6" t="n">
        <v>13067</v>
      </c>
      <c r="E4" s="6" t="n">
        <v>13261</v>
      </c>
      <c r="F4" s="6" t="n">
        <v>13388</v>
      </c>
      <c r="G4" s="6" t="n">
        <v>13807</v>
      </c>
      <c r="H4" s="6" t="n">
        <v>12688</v>
      </c>
      <c r="I4" s="6" t="n">
        <v>12800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Tier 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Tier 1 ratio</t>
        </is>
      </c>
      <c r="B4" s="6" t="inlineStr">
        <is>
          <t>17.1%</t>
        </is>
      </c>
      <c r="C4" s="6" t="inlineStr">
        <is>
          <t>17.1%</t>
        </is>
      </c>
      <c r="D4" s="6" t="inlineStr">
        <is>
          <t>18.1%</t>
        </is>
      </c>
      <c r="E4" s="6" t="inlineStr">
        <is>
          <t>18.2%</t>
        </is>
      </c>
      <c r="F4" s="6" t="inlineStr">
        <is>
          <t>18.8%</t>
        </is>
      </c>
      <c r="G4" s="6" t="inlineStr">
        <is>
          <t>19.2%</t>
        </is>
      </c>
      <c r="H4" s="6" t="inlineStr">
        <is>
          <t>16.9%</t>
        </is>
      </c>
      <c r="I4" s="6" t="inlineStr">
        <is>
          <t>17.0%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Total Capital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capital</t>
        </is>
      </c>
      <c r="B4" s="6" t="n">
        <v>16996</v>
      </c>
      <c r="C4" s="6" t="n">
        <v>17155</v>
      </c>
      <c r="D4" s="6" t="n">
        <v>15596</v>
      </c>
      <c r="E4" s="6" t="n">
        <v>15828</v>
      </c>
      <c r="F4" s="6" t="n">
        <v>16442</v>
      </c>
      <c r="G4" s="6" t="n">
        <v>17178</v>
      </c>
      <c r="H4" s="6" t="n">
        <v>16012</v>
      </c>
      <c r="I4" s="6" t="n">
        <v>16100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Total Capital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capital ratio</t>
        </is>
      </c>
      <c r="B4" s="6" t="inlineStr">
        <is>
          <t>20.0%</t>
        </is>
      </c>
      <c r="C4" s="6" t="inlineStr">
        <is>
          <t>20.5%</t>
        </is>
      </c>
      <c r="D4" s="6" t="inlineStr">
        <is>
          <t>21.6%</t>
        </is>
      </c>
      <c r="E4" s="6" t="inlineStr">
        <is>
          <t>21.8%</t>
        </is>
      </c>
      <c r="F4" s="6" t="inlineStr">
        <is>
          <t>23.1%</t>
        </is>
      </c>
      <c r="G4" s="6" t="inlineStr">
        <is>
          <t>23.9%</t>
        </is>
      </c>
      <c r="H4" s="6" t="inlineStr">
        <is>
          <t>21.3%</t>
        </is>
      </c>
      <c r="I4" s="6" t="inlineStr">
        <is>
          <t>21.3%</t>
        </is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Total RWAs</t>
        </is>
      </c>
    </row>
    <row r="2">
      <c r="A2" s="2" t="inlineStr">
        <is>
          <t>Consolidated basis, 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risk-weighted exposure amount</t>
        </is>
      </c>
      <c r="B4" s="6" t="n">
        <v>85065</v>
      </c>
      <c r="C4" s="6" t="n">
        <v>83639</v>
      </c>
      <c r="D4" s="6" t="n">
        <v>72102</v>
      </c>
      <c r="E4" s="6" t="n">
        <v>72719</v>
      </c>
      <c r="F4" s="6" t="n">
        <v>71213</v>
      </c>
      <c r="G4" s="6" t="n">
        <v>72025</v>
      </c>
      <c r="H4" s="6" t="n">
        <v>75010</v>
      </c>
      <c r="I4" s="6" t="n">
        <v>75327</v>
      </c>
    </row>
    <row r="6" ht="90" customHeight="1">
      <c r="A6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1">
    <mergeCell ref="A6:I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PLC — RWA Breakdown</t>
        </is>
      </c>
    </row>
    <row r="2">
      <c r="A2" s="2" t="inlineStr">
        <is>
          <t>Barclays Bank UK Group (consolidated basis), £m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  <c r="G3" s="4" t="inlineStr">
        <is>
          <t>FY2020 (£m)</t>
        </is>
      </c>
      <c r="H3" s="4" t="inlineStr">
        <is>
          <t>FY2019 (£m)</t>
        </is>
      </c>
      <c r="I3" s="4" t="inlineStr">
        <is>
          <t>FY2018 (£m)</t>
        </is>
      </c>
    </row>
    <row r="4">
      <c r="A4" s="6" t="inlineStr">
        <is>
          <t>Credit risk (excluding counterparty credit risk)</t>
        </is>
      </c>
      <c r="B4" s="6" t="n">
        <v>68166</v>
      </c>
      <c r="C4" s="6" t="n">
        <v>68018</v>
      </c>
      <c r="D4" s="6" t="n">
        <v>58174</v>
      </c>
      <c r="E4" s="6" t="n">
        <v>58885</v>
      </c>
      <c r="F4" s="6" t="n">
        <v>54981</v>
      </c>
      <c r="G4" s="6" t="n">
        <v>56891</v>
      </c>
      <c r="H4" s="6" t="n">
        <v>60490</v>
      </c>
      <c r="I4" s="6" t="n"/>
    </row>
    <row r="5">
      <c r="A5" s="6" t="inlineStr">
        <is>
          <t>Counterparty credit risk (CCR)</t>
        </is>
      </c>
      <c r="B5" s="6" t="n">
        <v>300</v>
      </c>
      <c r="C5" s="6" t="n">
        <v>419</v>
      </c>
      <c r="D5" s="6" t="n">
        <v>541</v>
      </c>
      <c r="E5" s="6" t="n">
        <v>1083</v>
      </c>
      <c r="F5" s="6" t="n">
        <v>1208</v>
      </c>
      <c r="G5" s="6" t="n">
        <v>787</v>
      </c>
      <c r="H5" s="6" t="n">
        <v>625</v>
      </c>
      <c r="I5" s="6" t="n"/>
    </row>
    <row r="6">
      <c r="A6" s="6" t="inlineStr">
        <is>
          <t>Securitisation exposures (non-trading book, after cap)</t>
        </is>
      </c>
      <c r="B6" s="6" t="n">
        <v>2517</v>
      </c>
      <c r="C6" s="6" t="n">
        <v>1644</v>
      </c>
      <c r="D6" s="6" t="n">
        <v>1445</v>
      </c>
      <c r="E6" s="6" t="n">
        <v>1437</v>
      </c>
      <c r="F6" s="6" t="n">
        <v>1268</v>
      </c>
      <c r="G6" s="6" t="n">
        <v>737</v>
      </c>
      <c r="H6" s="6" t="n">
        <v>135</v>
      </c>
      <c r="I6" s="6" t="n"/>
    </row>
    <row r="7">
      <c r="A7" s="6" t="inlineStr">
        <is>
          <t>Position, foreign exchange and commodities risks (Market risk)</t>
        </is>
      </c>
      <c r="B7" s="6" t="n">
        <v>177</v>
      </c>
      <c r="C7" s="6" t="n">
        <v>228</v>
      </c>
      <c r="D7" s="6" t="n">
        <v>274</v>
      </c>
      <c r="E7" s="6" t="n">
        <v>233</v>
      </c>
      <c r="F7" s="6" t="n">
        <v>100</v>
      </c>
      <c r="G7" s="6" t="n">
        <v>72</v>
      </c>
      <c r="H7" s="6" t="n">
        <v>178</v>
      </c>
      <c r="I7" s="6" t="n"/>
    </row>
    <row r="8">
      <c r="A8" s="6" t="inlineStr">
        <is>
          <t>Operational risk</t>
        </is>
      </c>
      <c r="B8" s="6" t="n">
        <v>13905</v>
      </c>
      <c r="C8" s="6" t="n">
        <v>13330</v>
      </c>
      <c r="D8" s="6" t="n">
        <v>11668</v>
      </c>
      <c r="E8" s="6" t="n">
        <v>11081</v>
      </c>
      <c r="F8" s="6" t="n">
        <v>10892</v>
      </c>
      <c r="G8" s="6" t="n">
        <v>11347</v>
      </c>
      <c r="H8" s="6" t="n">
        <v>11617</v>
      </c>
      <c r="I8" s="6" t="n"/>
    </row>
    <row r="9">
      <c r="A9" s="6" t="inlineStr">
        <is>
          <t>Amounts below thresholds for deduction (subject to 250% risk weight)</t>
        </is>
      </c>
      <c r="B9" s="6" t="n">
        <v>2309</v>
      </c>
      <c r="C9" s="6" t="n">
        <v>2271</v>
      </c>
      <c r="D9" s="6" t="n">
        <v>2314</v>
      </c>
      <c r="E9" s="6" t="n">
        <v>2704</v>
      </c>
      <c r="F9" s="6" t="n">
        <v>2764</v>
      </c>
      <c r="G9" s="6" t="n">
        <v>2191</v>
      </c>
      <c r="H9" s="6" t="n">
        <v>1965</v>
      </c>
      <c r="I9" s="6" t="n"/>
    </row>
    <row r="10">
      <c r="A10" s="5" t="inlineStr">
        <is>
          <t>Total risk-weighted exposure amount</t>
        </is>
      </c>
      <c r="B10" s="5" t="n">
        <v>85065</v>
      </c>
      <c r="C10" s="5" t="n">
        <v>83639</v>
      </c>
      <c r="D10" s="5" t="n">
        <v>72102</v>
      </c>
      <c r="E10" s="5" t="n">
        <v>72719</v>
      </c>
      <c r="F10" s="5" t="n">
        <v>71213</v>
      </c>
      <c r="G10" s="5" t="n">
        <v>72025</v>
      </c>
      <c r="H10" s="5" t="n">
        <v>75010</v>
      </c>
      <c r="I10" s="5" t="n"/>
    </row>
    <row r="12" ht="200" customHeight="1">
      <c r="A12" s="8" t="inlineStr">
        <is>
          <t>Sources — Barclays Bank UK Group consolidated (Pillar 3) basis:
FY2025 &amp; FY2024: Barclays Bank UK PLC Pillar 3 Report 2025, p.16-17 (Table 10: OV1 - Overview of risk weighted exposure amounts) — https://home.barclays/content/dam/home-barclays/documents/investor-relations/ResultAnnouncements/FullYear2025Results/FY25-BBUKPLC-Pillar-3.pdf
FY2023 &amp; FY2022: Barclays Bank UK PLC Pillar 3 Report 2023, p.16-17 (Table 10: OV1 - Overview of risk weighted exposure amounts) — https://home.barclays/content/dam/home-barclays/documents/investor-relations/reports-and-events/annual-reports/2023/BB-UK-Pillar-3-Report-2023.pdf
FY2021: Barclays Bank UK PLC Pillar 3 Report 2021, p.12-13 (Table 8: OV1 - Overview of risk weighted assets by risk type and capital requirements) — https://home.barclays/content/dam/home-barclays/documents/investor-relations/reports-and-events/annual-reports/2021/Barclays-Bank-UK-PLC-Pillar-3-Report-2021.pdf
FY2020: Barclays Bank UK PLC Pillar 3 Report 2020, p.11 (Table 8: OV1 - Overview of risk weighted assets by risk type and capital requirements) — https://home.barclays/content/dam/home-barclays/documents/investor-relations/reports-and-events/annual-reports/2020/Barclays%20Bank%20UK%20PLC%20Pillar%203%20Report%202020.pdf
FY2019: Barclays Bank UK PLC Pillar 3 Report 2019, p.11 (Table 8: OV1 - Overview of risk weighted assets by risk type and capital requirements)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
FY2018: not available - Barclays Bank UK PLC did not publish a standalone Pillar 3 report for FY2018 (see note above), and the FY2018 Annual Report's capital risk section discloses only the total RWA figure (£75,327m), not a by-risk-type breakdown.</t>
        </is>
      </c>
    </row>
  </sheetData>
  <mergeCells count="1">
    <mergeCell ref="A12:I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Leverage Ratio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exposure measure excluding claims on central banks (£m)</t>
        </is>
      </c>
      <c r="B4" s="6" t="n">
        <v>277958</v>
      </c>
      <c r="C4" s="6" t="n">
        <v>268452</v>
      </c>
      <c r="D4" s="6" t="n">
        <v>250163</v>
      </c>
      <c r="E4" s="6" t="n">
        <v>250092</v>
      </c>
      <c r="F4" s="6" t="n">
        <v>241173</v>
      </c>
      <c r="G4" s="6" t="n">
        <v>245176</v>
      </c>
      <c r="H4" s="6" t="n">
        <v>236026</v>
      </c>
      <c r="I4" s="6" t="n"/>
    </row>
    <row r="5">
      <c r="A5" s="6" t="inlineStr">
        <is>
          <t>Leverage ratio excluding claims on central banks (%)</t>
        </is>
      </c>
      <c r="B5" s="6" t="inlineStr">
        <is>
          <t>5.2%</t>
        </is>
      </c>
      <c r="C5" s="6" t="inlineStr">
        <is>
          <t>5.3%</t>
        </is>
      </c>
      <c r="D5" s="6" t="inlineStr">
        <is>
          <t>5.2%</t>
        </is>
      </c>
      <c r="E5" s="6" t="inlineStr">
        <is>
          <t>5.3%</t>
        </is>
      </c>
      <c r="F5" s="6" t="inlineStr">
        <is>
          <t>5.6%</t>
        </is>
      </c>
      <c r="G5" s="6" t="inlineStr">
        <is>
          <t>5.6%</t>
        </is>
      </c>
      <c r="H5" s="6" t="inlineStr">
        <is>
          <t>5.4%</t>
        </is>
      </c>
      <c r="I5" s="6" t="n"/>
    </row>
    <row r="6">
      <c r="A6" s="6" t="inlineStr">
        <is>
          <t>Leverage ratio including claims on central banks (%)</t>
        </is>
      </c>
      <c r="B6" s="6" t="inlineStr">
        <is>
          <t>4.8%</t>
        </is>
      </c>
      <c r="C6" s="6" t="inlineStr">
        <is>
          <t>4.7%</t>
        </is>
      </c>
      <c r="D6" s="6" t="inlineStr">
        <is>
          <t>4.5%</t>
        </is>
      </c>
      <c r="E6" s="6" t="inlineStr">
        <is>
          <t>4.3%</t>
        </is>
      </c>
      <c r="F6" s="6" t="inlineStr">
        <is>
          <t>4.1%</t>
        </is>
      </c>
      <c r="G6" s="6" t="inlineStr">
        <is>
          <t>4.7%</t>
        </is>
      </c>
      <c r="H6" s="6" t="inlineStr">
        <is>
          <t>4.8%</t>
        </is>
      </c>
      <c r="I6" s="6" t="inlineStr">
        <is>
          <t>4.9%</t>
        </is>
      </c>
    </row>
    <row r="7" ht="60" customHeight="1">
      <c r="A7" s="7" t="inlineStr">
        <is>
          <t>Note: FY2021-FY2019 exposure/ratios use the 'UK leverage ratio (Transitional)' and 'CRR leverage ratio (Transitional)' rows from each year's Pillar 3 report as the closest equivalents to the 'excluding'/'including claims on central banks' framing introduced in later reports. FY2018 predates that UK/CRR leverage ratio split at the BBUKPLC entity level (no standalone Pillar 3 report was published for FY2018 - see p3_sources note); the FY2018 Annual Report discloses only a single 'CRR leverage ratio' of 4.9% (with £258bn of CRR leverage exposure), which is presented here on the 'including claims on central banks' row as the closer equivalent - the 'excluding' row and exposure figure are left blank for FY2018 since no comparable UK-basis figure was disclosed that year.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disclosures, 'Capital Requirements Regulation (CRR) leverage ratio') — https://home.barclays/content/dam/home-barclays/documents/investor-relations/reports-and-events/annual-reports/2018/2018-barclays-bank-uk-plc-annual-report.pdf</t>
        </is>
      </c>
    </row>
  </sheetData>
  <mergeCells count="2">
    <mergeCell ref="A7:I7"/>
    <mergeCell ref="A9:I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LCR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high-quality liquid assets (HQLA), weighted value (£m)</t>
        </is>
      </c>
      <c r="B4" s="6" t="n">
        <v>64552</v>
      </c>
      <c r="C4" s="6" t="n">
        <v>68446</v>
      </c>
      <c r="D4" s="6" t="n">
        <v>68533</v>
      </c>
      <c r="E4" s="6" t="n">
        <v>81791</v>
      </c>
      <c r="F4" s="6" t="n">
        <v>85092</v>
      </c>
      <c r="G4" s="6" t="n">
        <v>58035</v>
      </c>
      <c r="H4" s="6" t="n">
        <v>41293</v>
      </c>
      <c r="I4" s="6" t="n"/>
    </row>
    <row r="5">
      <c r="A5" s="6" t="inlineStr">
        <is>
          <t>Total net cash outflows, adjusted value (£m)</t>
        </is>
      </c>
      <c r="B5" s="6" t="n">
        <v>34613</v>
      </c>
      <c r="C5" s="6" t="n">
        <v>33879</v>
      </c>
      <c r="D5" s="6" t="n">
        <v>38057</v>
      </c>
      <c r="E5" s="6" t="n">
        <v>43966</v>
      </c>
      <c r="F5" s="6" t="n">
        <v>41690</v>
      </c>
      <c r="G5" s="6" t="n">
        <v>36246</v>
      </c>
      <c r="H5" s="6" t="n">
        <v>28741</v>
      </c>
      <c r="I5" s="6" t="n"/>
    </row>
    <row r="6">
      <c r="A6" s="6" t="inlineStr">
        <is>
          <t>Liquidity Coverage Ratio (%)</t>
        </is>
      </c>
      <c r="B6" s="6" t="inlineStr">
        <is>
          <t>186.6%</t>
        </is>
      </c>
      <c r="C6" s="6" t="inlineStr">
        <is>
          <t>202.0%</t>
        </is>
      </c>
      <c r="D6" s="6" t="inlineStr">
        <is>
          <t>180%</t>
        </is>
      </c>
      <c r="E6" s="6" t="inlineStr">
        <is>
          <t>186%</t>
        </is>
      </c>
      <c r="F6" s="6" t="inlineStr">
        <is>
          <t>204%</t>
        </is>
      </c>
      <c r="G6" s="6" t="inlineStr">
        <is>
          <t>160%</t>
        </is>
      </c>
      <c r="H6" s="6" t="inlineStr">
        <is>
          <t>144%</t>
        </is>
      </c>
      <c r="I6" s="6" t="inlineStr">
        <is>
          <t>164%</t>
        </is>
      </c>
    </row>
    <row r="7" ht="60" customHeight="1">
      <c r="A7" s="7" t="inlineStr">
        <is>
          <t>Note: LCR is computed as a trailing average of the last 12 month-end observations from FY2019 onward. FY2018 predates the BBUKPLC entity's first standalone Pillar 3 report; the FY2018 Annual Report discloses only the headline LCR ratio (164%) within its liquidity risk section, without the underlying weighted HQLA/net cash outflow components in the KM1 format used from FY2019 - those two rows are left blank for FY2018 for that reason.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p.74 (Annual Report 2018 liquidity risk disclosures, 'Barclays Bank UK Group liquidity coverage ratio') — https://home.barclays/content/dam/home-barclays/documents/investor-relations/reports-and-events/annual-reports/2018/2018-barclays-bank-uk-plc-annual-report.pdf</t>
        </is>
      </c>
    </row>
  </sheetData>
  <mergeCells count="2">
    <mergeCell ref="A7:I7"/>
    <mergeCell ref="A9:I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NSFR</t>
        </is>
      </c>
    </row>
    <row r="2">
      <c r="A2" s="2" t="inlineStr">
        <is>
          <t>Consolidated basis, 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Total available stable funding (£m)</t>
        </is>
      </c>
      <c r="B4" s="6" t="n">
        <v>257230</v>
      </c>
      <c r="C4" s="6" t="n">
        <v>254755</v>
      </c>
      <c r="D4" s="6" t="n">
        <v>258620</v>
      </c>
      <c r="E4" s="6" t="n">
        <v>266421</v>
      </c>
      <c r="F4" s="6" t="n"/>
      <c r="G4" s="6" t="n"/>
      <c r="H4" s="6" t="n"/>
      <c r="I4" s="6" t="n"/>
    </row>
    <row r="5">
      <c r="A5" s="6" t="inlineStr">
        <is>
          <t>Total required stable funding (£m)</t>
        </is>
      </c>
      <c r="B5" s="6" t="n">
        <v>168761</v>
      </c>
      <c r="C5" s="6" t="n">
        <v>160041</v>
      </c>
      <c r="D5" s="6" t="n">
        <v>156588</v>
      </c>
      <c r="E5" s="6" t="n">
        <v>158156</v>
      </c>
      <c r="F5" s="6" t="n"/>
      <c r="G5" s="6" t="n"/>
      <c r="H5" s="6" t="n"/>
      <c r="I5" s="6" t="n"/>
    </row>
    <row r="6">
      <c r="A6" s="6" t="inlineStr">
        <is>
          <t>Net Stable Funding Ratio (%)</t>
        </is>
      </c>
      <c r="B6" s="6" t="inlineStr">
        <is>
          <t>152.4%</t>
        </is>
      </c>
      <c r="C6" s="6" t="inlineStr">
        <is>
          <t>159.3%</t>
        </is>
      </c>
      <c r="D6" s="6" t="inlineStr">
        <is>
          <t>165%</t>
        </is>
      </c>
      <c r="E6" s="6" t="inlineStr">
        <is>
          <t>168%</t>
        </is>
      </c>
      <c r="F6" s="6" t="inlineStr">
        <is>
          <t>Not disclosed</t>
        </is>
      </c>
      <c r="G6" s="6" t="inlineStr">
        <is>
          <t>Not disclosed</t>
        </is>
      </c>
      <c r="H6" s="6" t="inlineStr">
        <is>
          <t>Not disclosed</t>
        </is>
      </c>
      <c r="I6" s="6" t="inlineStr">
        <is>
          <t>Not disclosed</t>
        </is>
      </c>
    </row>
    <row r="7" ht="60" customHeight="1">
      <c r="A7" s="7" t="inlineStr">
        <is>
          <t>Note: NSFR is computed as a trailing average of the last four spot quarter-end positions. It was not a Pillar 3 disclosure requirement as at FY2018-FY2021 (the UK NSFR regime took effect from 1 January 2022), so no FY2018-FY2021 figures are available.</t>
        </is>
      </c>
    </row>
    <row r="9" ht="90" customHeight="1">
      <c r="A9" s="8" t="inlineStr">
        <is>
          <t>Sources — Barclays Bank UK Group consolidated (Pillar 3) basis:
FY2025 &amp; FY2024: Barclays Bank UK PLC Pillar 3 Report 2025, p.12 (Table 6: KM1 - Key metrics - Part 2) — https://home.barclays/content/dam/home-barclays/documents/investor-relations/ResultAnnouncements/FullYear2025Results/FY25-BBUKPLC-Pillar-3.pdf
FY2023 &amp; FY2022: Barclays Bank UK PLC Pillar 3 Report 2023, p.12 (Table 6: KM1 - Key metrics - Part 2)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2">
    <mergeCell ref="A7:I7"/>
    <mergeCell ref="A9:I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Barclays Bank UK Group — MREL Ratio</t>
        </is>
      </c>
    </row>
    <row r="2">
      <c r="A2" s="2" t="inlineStr">
        <is>
          <t>Consolidated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  <c r="G3" s="4" t="inlineStr">
        <is>
          <t>FY2020</t>
        </is>
      </c>
      <c r="H3" s="4" t="inlineStr">
        <is>
          <t>FY2019</t>
        </is>
      </c>
      <c r="I3" s="4" t="inlineStr">
        <is>
          <t>FY2018</t>
        </is>
      </c>
    </row>
    <row r="4">
      <c r="A4" s="6" t="inlineStr">
        <is>
          <t>MREL ratio</t>
        </is>
      </c>
      <c r="B4" s="6" t="inlineStr">
        <is>
          <t>Not disclosed at this level</t>
        </is>
      </c>
      <c r="C4" s="6" t="inlineStr">
        <is>
          <t>Not disclosed at this level</t>
        </is>
      </c>
      <c r="D4" s="6" t="inlineStr">
        <is>
          <t>Not disclosed at this level</t>
        </is>
      </c>
      <c r="E4" s="6" t="inlineStr">
        <is>
          <t>Not disclosed at this level</t>
        </is>
      </c>
      <c r="F4" s="6" t="inlineStr">
        <is>
          <t>Not disclosed at this level</t>
        </is>
      </c>
      <c r="G4" s="6" t="inlineStr">
        <is>
          <t>Not disclosed at this level</t>
        </is>
      </c>
      <c r="H4" s="6" t="inlineStr">
        <is>
          <t>Not disclosed at this level</t>
        </is>
      </c>
      <c r="I4" s="6" t="inlineStr">
        <is>
          <t>Not disclosed at this level</t>
        </is>
      </c>
    </row>
    <row r="5" ht="60" customHeight="1">
      <c r="A5" s="7" t="inlineStr">
        <is>
          <t>Note: MREL disclosures are not applicable for Barclays Bank UK Group (the ring-fenced entity) in any of the eight years reviewed; MREL is disclosed at the Barclays PLC group level instead (see Barclays PLC Pillar 3 Report, Table 21: TLAC2).</t>
        </is>
      </c>
    </row>
    <row r="7" ht="90" customHeight="1">
      <c r="A7" s="8" t="inlineStr">
        <is>
          <t>Sources — Barclays Bank UK Group consolidated (Pillar 3) basis:
FY2025 &amp; FY2024: Barclays Bank UK PLC Pillar 3 Report 2025, p.11 (Table 6: KM1 - Key metrics - Part 1) — https://home.barclays/content/dam/home-barclays/documents/investor-relations/ResultAnnouncements/FullYear2025Results/FY25-BBUKPLC-Pillar-3.pdf
FY2023 &amp; FY2022: Barclays Bank UK PLC Pillar 3 Report 2023, p.11 (Table 6: UK KM1 - Key metrics - Part 1) — https://home.barclays/content/dam/home-barclays/documents/investor-relations/reports-and-events/annual-reports/2023/BB-UK-Pillar-3-Report-2023.pdf
FY2021: Barclays Bank UK PLC Pillar 3 Report 2021, p.9 (Table 4: Key Metrics (KM1 / IFRS 9-FL)) — https://home.barclays/content/dam/home-barclays/documents/investor-relations/reports-and-events/annual-reports/2021/Barclays-Bank-UK-PLC-Pillar-3-Report-2021.pdf
FY2020: Barclays Bank UK PLC Pillar 3 Report 2020, p.7 (Table 4: Key Metrics (KM1/IFRS 9-FL)) — https://home.barclays/content/dam/home-barclays/documents/investor-relations/reports-and-events/annual-reports/2020/Barclays%20Bank%20UK%20PLC%20Pillar%203%20Report%202020.pdf
FY2019: Barclays Bank UK PLC Pillar 3 Report 2019, p.7 (Table 4: Key Metrics (KM1/IFRS9-FL)) — https://home.barclays/content/dam/home-barclays/documents/investor-relations/reports-and-events/annual-reports/2019/Barclays%20Bank%20UK%20PLC%20Pillar%203%20Report.pdf
FY2018: Barclays Bank UK PLC Annual Report 2018, p.80 (Annual Report 2018 capital risk disclosures (no standalone Pillar 3 report)) — https://home.barclays/content/dam/home-barclays/documents/investor-relations/reports-and-events/annual-reports/2018/2018-barclays-bank-uk-plc-annual-report.pdf</t>
        </is>
      </c>
    </row>
  </sheetData>
  <mergeCells count="2">
    <mergeCell ref="A5:I5"/>
    <mergeCell ref="A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2026-09-06T09:16:47Z</dcterms:created>
  <dcterms:modified xmlns:dcterms="http://purl.org/dc/terms/" xmlns:xsi="http://www.w3.org/2001/XMLSchema-instance" xsi:type="dcterms:W3CDTF">2026-09-06T09:16:47Z</dcterms:modified>
</cp:coreProperties>
</file>