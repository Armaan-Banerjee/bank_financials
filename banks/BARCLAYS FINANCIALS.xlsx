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1F3864"/>
        <b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Barclays Bank UK Group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'Overview'!L6</f>
            </strRef>
          </tx>
          <spPr>
            <a:ln xmlns:a="http://schemas.openxmlformats.org/drawingml/2006/main">
              <a:prstDash val="solid"/>
            </a:ln>
          </spPr>
          <cat>
            <numRef>
              <f>'Overview'!$M$5:$T$5</f>
            </numRef>
          </cat>
          <val>
            <numRef>
              <f>'Overview'!$M$6:$T$6</f>
            </numRef>
          </val>
        </ser>
        <ser>
          <idx val="1"/>
          <order val="1"/>
          <tx>
            <strRef>
              <f>'Overview'!L7</f>
            </strRef>
          </tx>
          <spPr>
            <a:ln xmlns:a="http://schemas.openxmlformats.org/drawingml/2006/main">
              <a:prstDash val="solid"/>
            </a:ln>
          </spPr>
          <cat>
            <numRef>
              <f>'Overview'!$M$5:$T$5</f>
            </numRef>
          </cat>
          <val>
            <numRef>
              <f>'Overview'!$M$7:$T$7</f>
            </numRef>
          </val>
        </ser>
        <ser>
          <idx val="2"/>
          <order val="2"/>
          <tx>
            <strRef>
              <f>'Overview'!L8</f>
            </strRef>
          </tx>
          <spPr>
            <a:ln xmlns:a="http://schemas.openxmlformats.org/drawingml/2006/main">
              <a:prstDash val="solid"/>
            </a:ln>
          </spPr>
          <cat>
            <numRef>
              <f>'Overview'!$M$5:$T$5</f>
            </numRef>
          </cat>
          <val>
            <numRef>
              <f>'Overview'!$M$8:$T$8</f>
            </numRef>
          </val>
        </ser>
        <ser>
          <idx val="3"/>
          <order val="3"/>
          <tx>
            <strRef>
              <f>'Overview'!L9</f>
            </strRef>
          </tx>
          <spPr>
            <a:ln xmlns:a="http://schemas.openxmlformats.org/drawingml/2006/main">
              <a:prstDash val="solid"/>
            </a:ln>
          </spPr>
          <cat>
            <numRef>
              <f>'Overview'!$M$5:$T$5</f>
            </numRef>
          </cat>
          <val>
            <numRef>
              <f>'Overview'!$M$9:$T$9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Barclays Bank UK Group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'Overview'!W13</f>
            </strRef>
          </tx>
          <spPr>
            <a:ln xmlns:a="http://schemas.openxmlformats.org/drawingml/2006/main">
              <a:prstDash val="solid"/>
            </a:ln>
          </spPr>
          <cat>
            <numRef>
              <f>'Overview'!$X$12:$AE$12</f>
            </numRef>
          </cat>
          <val>
            <numRef>
              <f>'Overview'!$X$13:$AE$13</f>
            </numRef>
          </val>
        </ser>
        <ser>
          <idx val="1"/>
          <order val="1"/>
          <tx>
            <strRef>
              <f>'Overview'!W14</f>
            </strRef>
          </tx>
          <spPr>
            <a:ln xmlns:a="http://schemas.openxmlformats.org/drawingml/2006/main">
              <a:prstDash val="solid"/>
            </a:ln>
          </spPr>
          <cat>
            <numRef>
              <f>'Overview'!$X$12:$AE$12</f>
            </numRef>
          </cat>
          <val>
            <numRef>
              <f>'Overview'!$X$14:$AE$14</f>
            </numRef>
          </val>
        </ser>
        <ser>
          <idx val="2"/>
          <order val="2"/>
          <tx>
            <strRef>
              <f>'Overview'!W15</f>
            </strRef>
          </tx>
          <spPr>
            <a:ln xmlns:a="http://schemas.openxmlformats.org/drawingml/2006/main">
              <a:prstDash val="solid"/>
            </a:ln>
          </spPr>
          <cat>
            <numRef>
              <f>'Overview'!$X$12:$AE$12</f>
            </numRef>
          </cat>
          <val>
            <numRef>
              <f>'Overview'!$X$15:$AE$15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Barclays Bank UK Group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'Overview'!AH19</f>
            </strRef>
          </tx>
          <spPr>
            <a:ln xmlns:a="http://schemas.openxmlformats.org/drawingml/2006/main">
              <a:prstDash val="solid"/>
            </a:ln>
          </spPr>
          <cat>
            <numRef>
              <f>'Overview'!$AI$18:$AP$18</f>
            </numRef>
          </cat>
          <val>
            <numRef>
              <f>'Overview'!$AI$19:$AP$19</f>
            </numRef>
          </val>
        </ser>
        <ser>
          <idx val="1"/>
          <order val="1"/>
          <tx>
            <strRef>
              <f>'Overview'!AH20</f>
            </strRef>
          </tx>
          <spPr>
            <a:ln xmlns:a="http://schemas.openxmlformats.org/drawingml/2006/main">
              <a:prstDash val="solid"/>
            </a:ln>
          </spPr>
          <cat>
            <numRef>
              <f>'Overview'!$AI$18:$AP$18</f>
            </numRef>
          </cat>
          <val>
            <numRef>
              <f>'Overview'!$AI$20:$AP$20</f>
            </numRef>
          </val>
        </ser>
        <ser>
          <idx val="2"/>
          <order val="2"/>
          <tx>
            <strRef>
              <f>'Overview'!AH21</f>
            </strRef>
          </tx>
          <spPr>
            <a:ln xmlns:a="http://schemas.openxmlformats.org/drawingml/2006/main">
              <a:prstDash val="solid"/>
            </a:ln>
          </spPr>
          <cat>
            <numRef>
              <f>'Overview'!$AI$18:$AP$18</f>
            </numRef>
          </cat>
          <val>
            <numRef>
              <f>'Overview'!$AI$21:$AP$21</f>
            </numRef>
          </val>
        </ser>
        <ser>
          <idx val="3"/>
          <order val="3"/>
          <tx>
            <strRef>
              <f>'Overview'!AH22</f>
            </strRef>
          </tx>
          <spPr>
            <a:ln xmlns:a="http://schemas.openxmlformats.org/drawingml/2006/main">
              <a:prstDash val="solid"/>
            </a:ln>
          </spPr>
          <cat>
            <numRef>
              <f>'Overview'!$AI$18:$AP$18</f>
            </numRef>
          </cat>
          <val>
            <numRef>
              <f>'Overview'!$AI$22:$AP$22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Barclays Bank UK Group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'Overview'!AS26</f>
            </strRef>
          </tx>
          <spPr>
            <a:ln xmlns:a="http://schemas.openxmlformats.org/drawingml/2006/main">
              <a:prstDash val="solid"/>
            </a:ln>
          </spPr>
          <cat>
            <numRef>
              <f>'Overview'!$AT$25:$BA$25</f>
            </numRef>
          </cat>
          <val>
            <numRef>
              <f>'Overview'!$AT$26:$BA$26</f>
            </numRef>
          </val>
        </ser>
        <ser>
          <idx val="1"/>
          <order val="1"/>
          <tx>
            <strRef>
              <f>'Overview'!AS27</f>
            </strRef>
          </tx>
          <spPr>
            <a:ln xmlns:a="http://schemas.openxmlformats.org/drawingml/2006/main">
              <a:prstDash val="solid"/>
            </a:ln>
          </spPr>
          <cat>
            <numRef>
              <f>'Overview'!$AT$25:$BA$25</f>
            </numRef>
          </cat>
          <val>
            <numRef>
              <f>'Overview'!$AT$27:$BA$27</f>
            </numRef>
          </val>
        </ser>
        <ser>
          <idx val="2"/>
          <order val="2"/>
          <tx>
            <strRef>
              <f>'Overview'!AS28</f>
            </strRef>
          </tx>
          <spPr>
            <a:ln xmlns:a="http://schemas.openxmlformats.org/drawingml/2006/main">
              <a:prstDash val="solid"/>
            </a:ln>
          </spPr>
          <cat>
            <numRef>
              <f>'Overview'!$AT$25:$BA$25</f>
            </numRef>
          </cat>
          <val>
            <numRef>
              <f>'Overview'!$AT$28:$BA$28</f>
            </numRef>
          </val>
        </ser>
        <ser>
          <idx val="3"/>
          <order val="3"/>
          <tx>
            <strRef>
              <f>'Overview'!AS29</f>
            </strRef>
          </tx>
          <spPr>
            <a:ln xmlns:a="http://schemas.openxmlformats.org/drawingml/2006/main">
              <a:prstDash val="solid"/>
            </a:ln>
          </spPr>
          <cat>
            <numRef>
              <f>'Overview'!$AT$25:$BA$25</f>
            </numRef>
          </cat>
          <val>
            <numRef>
              <f>'Overview'!$AT$29:$BA$29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Barclays Bank UK Group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'Overview'!BD6</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'Overview'!$BE$6:$BL$6</f>
            </numRef>
          </val>
          <smooth val="0"/>
        </ser>
        <ser>
          <idx val="1"/>
          <order val="1"/>
          <tx>
            <strRef>
              <f>'Overview'!BD7</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'Overview'!$BE$7:$BL$7</f>
            </numRef>
          </val>
          <smooth val="0"/>
        </ser>
        <ser>
          <idx val="2"/>
          <order val="2"/>
          <tx>
            <strRef>
              <f>'Overview'!BD8</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'Overview'!$BE$8:$BL$8</f>
            </numRef>
          </val>
          <smooth val="0"/>
        </ser>
        <ser>
          <idx val="3"/>
          <order val="3"/>
          <tx>
            <strRef>
              <f>'Overview'!BD9</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'Overview'!$BE$9:$BL$9</f>
            </numRef>
          </val>
          <smooth val="0"/>
        </ser>
        <ser>
          <idx val="4"/>
          <order val="4"/>
          <tx>
            <strRef>
              <f>'Overview'!BD10</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'Overview'!$BE$10:$BL$10</f>
            </numRef>
          </val>
          <smooth val="0"/>
        </ser>
        <ser>
          <idx val="5"/>
          <order val="5"/>
          <tx>
            <strRef>
              <f>'Overview'!BD11</f>
            </strRef>
          </tx>
          <spPr>
            <a:ln xmlns:a="http://schemas.openxmlformats.org/drawingml/2006/main">
              <a:prstDash val="solid"/>
            </a:ln>
          </spPr>
          <marker>
            <symbol val="none"/>
            <spPr>
              <a:ln xmlns:a="http://schemas.openxmlformats.org/drawingml/2006/main">
                <a:prstDash val="solid"/>
              </a:ln>
            </spPr>
          </marker>
          <cat>
            <numRef>
              <f>'Overview'!$BE$5:$BL$5</f>
            </numRef>
          </cat>
          <val>
            <numRef>
              <f>'Overview'!$BE$11:$BL$11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L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s>
  <sheetData>
    <row r="1">
      <c r="A1" s="1" t="inlineStr">
        <is>
          <t>Barclays Bank UK Group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M5" t="inlineStr">
        <is>
          <t>FY2018</t>
        </is>
      </c>
      <c r="N5" t="inlineStr">
        <is>
          <t>FY2019</t>
        </is>
      </c>
      <c r="O5" t="inlineStr">
        <is>
          <t>FY2020</t>
        </is>
      </c>
      <c r="P5" t="inlineStr">
        <is>
          <t>FY2021</t>
        </is>
      </c>
      <c r="Q5" t="inlineStr">
        <is>
          <t>FY2022</t>
        </is>
      </c>
      <c r="R5" t="inlineStr">
        <is>
          <t>FY2023</t>
        </is>
      </c>
      <c r="S5" t="inlineStr">
        <is>
          <t>FY2024</t>
        </is>
      </c>
      <c r="T5" t="inlineStr">
        <is>
          <t>FY2025</t>
        </is>
      </c>
      <c r="BE5" t="inlineStr">
        <is>
          <t>FY2018</t>
        </is>
      </c>
      <c r="BF5" t="inlineStr">
        <is>
          <t>FY2019</t>
        </is>
      </c>
      <c r="BG5" t="inlineStr">
        <is>
          <t>FY2020</t>
        </is>
      </c>
      <c r="BH5" t="inlineStr">
        <is>
          <t>FY2021</t>
        </is>
      </c>
      <c r="BI5" t="inlineStr">
        <is>
          <t>FY2022</t>
        </is>
      </c>
      <c r="BJ5" t="inlineStr">
        <is>
          <t>FY2023</t>
        </is>
      </c>
      <c r="BK5" t="inlineStr">
        <is>
          <t>FY2024</t>
        </is>
      </c>
      <c r="BL5" t="inlineStr">
        <is>
          <t>FY2025</t>
        </is>
      </c>
    </row>
    <row r="6">
      <c r="A6" s="5" t="inlineStr">
        <is>
          <t>Total assets</t>
        </is>
      </c>
      <c r="B6" s="5" t="n">
        <v>302824</v>
      </c>
      <c r="C6" s="5" t="n">
        <v>303179</v>
      </c>
      <c r="D6" s="5" t="n">
        <v>293559</v>
      </c>
      <c r="E6" s="5" t="n">
        <v>312179</v>
      </c>
      <c r="F6" s="5" t="n">
        <v>319695</v>
      </c>
      <c r="G6" s="5" t="n">
        <v>287498</v>
      </c>
      <c r="H6" s="5" t="n">
        <v>258398</v>
      </c>
      <c r="I6" s="5" t="n">
        <v>251305</v>
      </c>
      <c r="L6" t="inlineStr">
        <is>
          <t>Total assets</t>
        </is>
      </c>
      <c r="M6" t="n">
        <v>251305</v>
      </c>
      <c r="N6" t="n">
        <v>258398</v>
      </c>
      <c r="O6" t="n">
        <v>287498</v>
      </c>
      <c r="P6" t="n">
        <v>319695</v>
      </c>
      <c r="Q6" t="n">
        <v>312179</v>
      </c>
      <c r="R6" t="n">
        <v>293559</v>
      </c>
      <c r="S6" t="n">
        <v>303179</v>
      </c>
      <c r="T6" t="n">
        <v>302824</v>
      </c>
      <c r="BD6" t="inlineStr">
        <is>
          <t>CET1 Ratio</t>
        </is>
      </c>
      <c r="BE6" t="n">
        <v>14.2</v>
      </c>
      <c r="BF6" t="n">
        <v>13.5</v>
      </c>
      <c r="BG6" t="n">
        <v>15.6</v>
      </c>
      <c r="BH6" t="n">
        <v>15.2</v>
      </c>
      <c r="BI6" t="n">
        <v>14.7</v>
      </c>
      <c r="BJ6" t="n">
        <v>14.8</v>
      </c>
      <c r="BK6" t="n">
        <v>14.2</v>
      </c>
      <c r="BL6" t="n">
        <v>14.5</v>
      </c>
    </row>
    <row r="7">
      <c r="A7" s="5" t="inlineStr">
        <is>
          <t>Loans and advances at amortised cost to customers</t>
        </is>
      </c>
      <c r="B7" s="5" t="n">
        <v>215634</v>
      </c>
      <c r="C7" s="5" t="n">
        <v>206435</v>
      </c>
      <c r="D7" s="5" t="n">
        <v>200782</v>
      </c>
      <c r="E7" s="5" t="n">
        <v>203279</v>
      </c>
      <c r="F7" s="5" t="n">
        <v>220271</v>
      </c>
      <c r="G7" s="5" t="n">
        <v>211649</v>
      </c>
      <c r="H7" s="5" t="n">
        <v>197569</v>
      </c>
      <c r="I7" s="5" t="n">
        <v>188565</v>
      </c>
      <c r="L7" t="inlineStr">
        <is>
          <t>Loans and advances at amortised cost to customers</t>
        </is>
      </c>
      <c r="M7" t="n">
        <v>188565</v>
      </c>
      <c r="N7" t="n">
        <v>197569</v>
      </c>
      <c r="O7" t="n">
        <v>211649</v>
      </c>
      <c r="P7" t="n">
        <v>220271</v>
      </c>
      <c r="Q7" t="n">
        <v>203279</v>
      </c>
      <c r="R7" t="n">
        <v>200782</v>
      </c>
      <c r="S7" t="n">
        <v>206435</v>
      </c>
      <c r="T7" t="n">
        <v>215634</v>
      </c>
      <c r="BD7" t="inlineStr">
        <is>
          <t>Tier 1 Ratio</t>
        </is>
      </c>
      <c r="BE7" t="n">
        <v>17</v>
      </c>
      <c r="BF7" t="n">
        <v>16.9</v>
      </c>
      <c r="BG7" t="n">
        <v>19.2</v>
      </c>
      <c r="BH7" t="n">
        <v>18.8</v>
      </c>
      <c r="BI7" t="n">
        <v>18.2</v>
      </c>
      <c r="BJ7" t="n">
        <v>18.1</v>
      </c>
      <c r="BK7" t="n">
        <v>17.1</v>
      </c>
      <c r="BL7" t="n">
        <v>17.1</v>
      </c>
    </row>
    <row r="8">
      <c r="A8" s="5" t="inlineStr">
        <is>
          <t>Deposits at amortised cost from customers</t>
        </is>
      </c>
      <c r="B8" s="5" t="n">
        <v>244666</v>
      </c>
      <c r="C8" s="5" t="n">
        <v>244376</v>
      </c>
      <c r="D8" s="5" t="n">
        <v>241218</v>
      </c>
      <c r="E8" s="5" t="n">
        <v>258058</v>
      </c>
      <c r="F8" s="5" t="n">
        <v>260732</v>
      </c>
      <c r="G8" s="5" t="n">
        <v>240535</v>
      </c>
      <c r="H8" s="5" t="n">
        <v>205696</v>
      </c>
      <c r="I8" s="5" t="n">
        <v>197485</v>
      </c>
      <c r="L8" t="inlineStr">
        <is>
          <t>Deposits at amortised cost from customers</t>
        </is>
      </c>
      <c r="M8" t="n">
        <v>197485</v>
      </c>
      <c r="N8" t="n">
        <v>205696</v>
      </c>
      <c r="O8" t="n">
        <v>240535</v>
      </c>
      <c r="P8" t="n">
        <v>260732</v>
      </c>
      <c r="Q8" t="n">
        <v>258058</v>
      </c>
      <c r="R8" t="n">
        <v>241218</v>
      </c>
      <c r="S8" t="n">
        <v>244376</v>
      </c>
      <c r="T8" t="n">
        <v>244666</v>
      </c>
      <c r="BD8" t="inlineStr">
        <is>
          <t>Total Capital Ratio</t>
        </is>
      </c>
      <c r="BE8" t="n">
        <v>21.3</v>
      </c>
      <c r="BF8" t="n">
        <v>21.3</v>
      </c>
      <c r="BG8" t="n">
        <v>23.9</v>
      </c>
      <c r="BH8" t="n">
        <v>23.1</v>
      </c>
      <c r="BI8" t="n">
        <v>21.8</v>
      </c>
      <c r="BJ8" t="n">
        <v>21.6</v>
      </c>
      <c r="BK8" t="n">
        <v>20.5</v>
      </c>
      <c r="BL8" t="n">
        <v>20</v>
      </c>
    </row>
    <row r="9">
      <c r="A9" s="5" t="inlineStr">
        <is>
          <t>Total equity</t>
        </is>
      </c>
      <c r="B9" s="5" t="n">
        <v>20278</v>
      </c>
      <c r="C9" s="5" t="n">
        <v>18585</v>
      </c>
      <c r="D9" s="5" t="n">
        <v>16861</v>
      </c>
      <c r="E9" s="5" t="n">
        <v>15413</v>
      </c>
      <c r="F9" s="5" t="n">
        <v>17400</v>
      </c>
      <c r="G9" s="5" t="n">
        <v>17027</v>
      </c>
      <c r="H9" s="5" t="n">
        <v>16513</v>
      </c>
      <c r="I9" s="5" t="n">
        <v>16943</v>
      </c>
      <c r="L9" t="inlineStr">
        <is>
          <t>Total equity</t>
        </is>
      </c>
      <c r="M9" t="n">
        <v>16943</v>
      </c>
      <c r="N9" t="n">
        <v>16513</v>
      </c>
      <c r="O9" t="n">
        <v>17027</v>
      </c>
      <c r="P9" t="n">
        <v>17400</v>
      </c>
      <c r="Q9" t="n">
        <v>15413</v>
      </c>
      <c r="R9" t="n">
        <v>16861</v>
      </c>
      <c r="S9" t="n">
        <v>18585</v>
      </c>
      <c r="T9" t="n">
        <v>20278</v>
      </c>
      <c r="BD9" t="inlineStr">
        <is>
          <t>Leverage Ratio</t>
        </is>
      </c>
      <c r="BE9" t="n">
        <v>4.9</v>
      </c>
      <c r="BF9" t="n">
        <v>5.4</v>
      </c>
      <c r="BG9" t="n">
        <v>5.6</v>
      </c>
      <c r="BH9" t="n">
        <v>5.6</v>
      </c>
      <c r="BI9" t="n">
        <v>5.3</v>
      </c>
      <c r="BJ9" t="n">
        <v>5.2</v>
      </c>
      <c r="BK9" t="n">
        <v>5.3</v>
      </c>
      <c r="BL9" t="n">
        <v>5.2</v>
      </c>
    </row>
    <row r="10">
      <c r="BD10" t="inlineStr">
        <is>
          <t>LCR</t>
        </is>
      </c>
      <c r="BE10" t="n">
        <v>164</v>
      </c>
      <c r="BF10" t="n">
        <v>144</v>
      </c>
      <c r="BG10" t="n">
        <v>160</v>
      </c>
      <c r="BH10" t="n">
        <v>204</v>
      </c>
      <c r="BI10" t="n">
        <v>186</v>
      </c>
      <c r="BJ10" t="n">
        <v>180</v>
      </c>
      <c r="BK10" t="n">
        <v>202</v>
      </c>
      <c r="BL10" t="n">
        <v>186.6</v>
      </c>
    </row>
    <row r="11">
      <c r="A11" s="3" t="inlineStr">
        <is>
          <t>Profit &amp; Loss Summary (£m)</t>
        </is>
      </c>
      <c r="BD11" t="inlineStr">
        <is>
          <t>NSFR</t>
        </is>
      </c>
      <c r="BI11" t="n">
        <v>168</v>
      </c>
      <c r="BJ11" t="n">
        <v>165</v>
      </c>
      <c r="BK11" t="n">
        <v>159.3</v>
      </c>
      <c r="BL11" t="n">
        <v>152.4</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X12" t="inlineStr">
        <is>
          <t>FY2018</t>
        </is>
      </c>
      <c r="Y12" t="inlineStr">
        <is>
          <t>FY2019</t>
        </is>
      </c>
      <c r="Z12" t="inlineStr">
        <is>
          <t>FY2020</t>
        </is>
      </c>
      <c r="AA12" t="inlineStr">
        <is>
          <t>FY2021</t>
        </is>
      </c>
      <c r="AB12" t="inlineStr">
        <is>
          <t>FY2022</t>
        </is>
      </c>
      <c r="AC12" t="inlineStr">
        <is>
          <t>FY2023</t>
        </is>
      </c>
      <c r="AD12" t="inlineStr">
        <is>
          <t>FY2024</t>
        </is>
      </c>
      <c r="AE12" t="inlineStr">
        <is>
          <t>FY2025</t>
        </is>
      </c>
    </row>
    <row r="13">
      <c r="A13" s="5" t="inlineStr">
        <is>
          <t>Total income</t>
        </is>
      </c>
      <c r="B13" s="5" t="n">
        <v>8811</v>
      </c>
      <c r="C13" s="5" t="n">
        <v>8423</v>
      </c>
      <c r="D13" s="5" t="n">
        <v>7670</v>
      </c>
      <c r="E13" s="5" t="n">
        <v>7397</v>
      </c>
      <c r="F13" s="5" t="n">
        <v>6482</v>
      </c>
      <c r="G13" s="5" t="n">
        <v>6424</v>
      </c>
      <c r="H13" s="5" t="n">
        <v>7322</v>
      </c>
      <c r="I13" s="5" t="n">
        <v>5606</v>
      </c>
      <c r="W13" t="inlineStr">
        <is>
          <t>Total income</t>
        </is>
      </c>
      <c r="X13" t="n">
        <v>5606</v>
      </c>
      <c r="Y13" t="n">
        <v>7322</v>
      </c>
      <c r="Z13" t="n">
        <v>6424</v>
      </c>
      <c r="AA13" t="n">
        <v>6482</v>
      </c>
      <c r="AB13" t="n">
        <v>7397</v>
      </c>
      <c r="AC13" t="n">
        <v>7670</v>
      </c>
      <c r="AD13" t="n">
        <v>8423</v>
      </c>
      <c r="AE13" t="n">
        <v>8811</v>
      </c>
    </row>
    <row r="14">
      <c r="A14" s="5" t="inlineStr">
        <is>
          <t>Operating expenses</t>
        </is>
      </c>
      <c r="B14" s="5" t="n">
        <v>-5093</v>
      </c>
      <c r="C14" s="5" t="n">
        <v>-4511</v>
      </c>
      <c r="D14" s="5" t="n">
        <v>-4567</v>
      </c>
      <c r="E14" s="5" t="n">
        <v>-4577</v>
      </c>
      <c r="F14" s="5" t="n">
        <v>-4691</v>
      </c>
      <c r="G14" s="5" t="n">
        <v>-4646</v>
      </c>
      <c r="H14" s="5" t="n">
        <v>-5944</v>
      </c>
      <c r="I14" s="5" t="n">
        <v>-3434</v>
      </c>
      <c r="W14" t="inlineStr">
        <is>
          <t>Operating expenses</t>
        </is>
      </c>
      <c r="X14" t="n">
        <v>-3434</v>
      </c>
      <c r="Y14" t="n">
        <v>-5944</v>
      </c>
      <c r="Z14" t="n">
        <v>-4646</v>
      </c>
      <c r="AA14" t="n">
        <v>-4691</v>
      </c>
      <c r="AB14" t="n">
        <v>-4577</v>
      </c>
      <c r="AC14" t="n">
        <v>-4567</v>
      </c>
      <c r="AD14" t="n">
        <v>-4511</v>
      </c>
      <c r="AE14" t="n">
        <v>-5093</v>
      </c>
    </row>
    <row r="15">
      <c r="A15" s="5" t="inlineStr">
        <is>
          <t>Profit after tax</t>
        </is>
      </c>
      <c r="B15" s="5" t="n">
        <v>2594</v>
      </c>
      <c r="C15" s="5" t="n">
        <v>2620</v>
      </c>
      <c r="D15" s="5" t="n">
        <v>1922</v>
      </c>
      <c r="E15" s="5" t="n">
        <v>1807</v>
      </c>
      <c r="F15" s="5" t="n">
        <v>1869</v>
      </c>
      <c r="G15" s="5" t="n">
        <v>379</v>
      </c>
      <c r="H15" s="5" t="n">
        <v>156</v>
      </c>
      <c r="I15" s="5" t="n">
        <v>1115</v>
      </c>
      <c r="W15" t="inlineStr">
        <is>
          <t>Profit after tax</t>
        </is>
      </c>
      <c r="X15" t="n">
        <v>1115</v>
      </c>
      <c r="Y15" t="n">
        <v>156</v>
      </c>
      <c r="Z15" t="n">
        <v>379</v>
      </c>
      <c r="AA15" t="n">
        <v>1869</v>
      </c>
      <c r="AB15" t="n">
        <v>1807</v>
      </c>
      <c r="AC15" t="n">
        <v>1922</v>
      </c>
      <c r="AD15" t="n">
        <v>2620</v>
      </c>
      <c r="AE15" t="n">
        <v>2594</v>
      </c>
    </row>
    <row r="17">
      <c r="A17" s="3" t="inlineStr">
        <is>
          <t>Statement of Changes in Equity Summary (£m)</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AI18" t="inlineStr">
        <is>
          <t>FY2018</t>
        </is>
      </c>
      <c r="AJ18" t="inlineStr">
        <is>
          <t>FY2019</t>
        </is>
      </c>
      <c r="AK18" t="inlineStr">
        <is>
          <t>FY2020</t>
        </is>
      </c>
      <c r="AL18" t="inlineStr">
        <is>
          <t>FY2021</t>
        </is>
      </c>
      <c r="AM18" t="inlineStr">
        <is>
          <t>FY2022</t>
        </is>
      </c>
      <c r="AN18" t="inlineStr">
        <is>
          <t>FY2023</t>
        </is>
      </c>
      <c r="AO18" t="inlineStr">
        <is>
          <t>FY2024</t>
        </is>
      </c>
      <c r="AP18" t="inlineStr">
        <is>
          <t>FY2025</t>
        </is>
      </c>
    </row>
    <row r="19">
      <c r="A19" s="5" t="inlineStr">
        <is>
          <t>Opening equity</t>
        </is>
      </c>
      <c r="B19" s="5" t="n">
        <v>18585</v>
      </c>
      <c r="C19" s="5" t="n">
        <v>16861</v>
      </c>
      <c r="D19" s="5" t="n">
        <v>15413</v>
      </c>
      <c r="E19" s="5" t="n">
        <v>17400</v>
      </c>
      <c r="F19" s="5" t="n">
        <v>17027</v>
      </c>
      <c r="G19" s="5" t="n">
        <v>16513</v>
      </c>
      <c r="H19" s="5" t="n">
        <v>16943</v>
      </c>
      <c r="I19" s="5" t="n">
        <v>46</v>
      </c>
      <c r="AH19" t="inlineStr">
        <is>
          <t>Opening equity</t>
        </is>
      </c>
      <c r="AI19" t="n">
        <v>46</v>
      </c>
      <c r="AJ19" t="n">
        <v>16943</v>
      </c>
      <c r="AK19" t="n">
        <v>16513</v>
      </c>
      <c r="AL19" t="n">
        <v>17027</v>
      </c>
      <c r="AM19" t="n">
        <v>17400</v>
      </c>
      <c r="AN19" t="n">
        <v>15413</v>
      </c>
      <c r="AO19" t="n">
        <v>16861</v>
      </c>
      <c r="AP19" t="n">
        <v>18585</v>
      </c>
    </row>
    <row r="20">
      <c r="A20" s="5" t="inlineStr">
        <is>
          <t>Total comprehensive income for the year</t>
        </is>
      </c>
      <c r="B20" s="5" t="n">
        <v>3498</v>
      </c>
      <c r="C20" s="5" t="n">
        <v>2875</v>
      </c>
      <c r="D20" s="5" t="n">
        <v>3050</v>
      </c>
      <c r="E20" s="5" t="n">
        <v>-106</v>
      </c>
      <c r="F20" s="5" t="n">
        <v>1030</v>
      </c>
      <c r="G20" s="5" t="n">
        <v>670</v>
      </c>
      <c r="H20" s="5" t="n">
        <v>263</v>
      </c>
      <c r="I20" s="5" t="n">
        <v>1118</v>
      </c>
      <c r="AH20" t="inlineStr">
        <is>
          <t>Total comprehensive income for the year</t>
        </is>
      </c>
      <c r="AI20" t="n">
        <v>1118</v>
      </c>
      <c r="AJ20" t="n">
        <v>263</v>
      </c>
      <c r="AK20" t="n">
        <v>670</v>
      </c>
      <c r="AL20" t="n">
        <v>1030</v>
      </c>
      <c r="AM20" t="n">
        <v>-106</v>
      </c>
      <c r="AN20" t="n">
        <v>3050</v>
      </c>
      <c r="AO20" t="n">
        <v>2875</v>
      </c>
      <c r="AP20" t="n">
        <v>3498</v>
      </c>
    </row>
    <row r="21">
      <c r="A21" s="5" t="inlineStr">
        <is>
          <t>Other movements, net</t>
        </is>
      </c>
      <c r="B21" s="5" t="n">
        <v>-1805</v>
      </c>
      <c r="C21" s="5" t="n">
        <v>-1151</v>
      </c>
      <c r="D21" s="5" t="n">
        <v>-1602</v>
      </c>
      <c r="E21" s="5" t="n">
        <v>-1881</v>
      </c>
      <c r="F21" s="5" t="n">
        <v>-657</v>
      </c>
      <c r="G21" s="5" t="n">
        <v>-156</v>
      </c>
      <c r="H21" s="5" t="n">
        <v>-693</v>
      </c>
      <c r="I21" s="5" t="n">
        <v>15779</v>
      </c>
      <c r="AH21" t="inlineStr">
        <is>
          <t>Other movements, net</t>
        </is>
      </c>
      <c r="AI21" t="n">
        <v>15779</v>
      </c>
      <c r="AJ21" t="n">
        <v>-693</v>
      </c>
      <c r="AK21" t="n">
        <v>-156</v>
      </c>
      <c r="AL21" t="n">
        <v>-657</v>
      </c>
      <c r="AM21" t="n">
        <v>-1881</v>
      </c>
      <c r="AN21" t="n">
        <v>-1602</v>
      </c>
      <c r="AO21" t="n">
        <v>-1151</v>
      </c>
      <c r="AP21" t="n">
        <v>-1805</v>
      </c>
    </row>
    <row r="22">
      <c r="A22" s="5" t="inlineStr">
        <is>
          <t>Closing equity</t>
        </is>
      </c>
      <c r="B22" s="5" t="n">
        <v>20278</v>
      </c>
      <c r="C22" s="5" t="n">
        <v>18585</v>
      </c>
      <c r="D22" s="5" t="n">
        <v>16861</v>
      </c>
      <c r="E22" s="5" t="n">
        <v>15413</v>
      </c>
      <c r="F22" s="5" t="n">
        <v>17400</v>
      </c>
      <c r="G22" s="5" t="n">
        <v>17027</v>
      </c>
      <c r="H22" s="5" t="n">
        <v>16513</v>
      </c>
      <c r="I22" s="5" t="n">
        <v>16943</v>
      </c>
      <c r="AH22" t="inlineStr">
        <is>
          <t>Closing equity</t>
        </is>
      </c>
      <c r="AI22" t="n">
        <v>16943</v>
      </c>
      <c r="AJ22" t="n">
        <v>16513</v>
      </c>
      <c r="AK22" t="n">
        <v>17027</v>
      </c>
      <c r="AL22" t="n">
        <v>17400</v>
      </c>
      <c r="AM22" t="n">
        <v>15413</v>
      </c>
      <c r="AN22" t="n">
        <v>16861</v>
      </c>
      <c r="AO22" t="n">
        <v>18585</v>
      </c>
      <c r="AP22" t="n">
        <v>20278</v>
      </c>
    </row>
    <row r="24">
      <c r="A24" s="3" t="inlineStr">
        <is>
          <t>Cash Flow Summary (£m)</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AT25" t="inlineStr">
        <is>
          <t>FY2018</t>
        </is>
      </c>
      <c r="AU25" t="inlineStr">
        <is>
          <t>FY2019</t>
        </is>
      </c>
      <c r="AV25" t="inlineStr">
        <is>
          <t>FY2020</t>
        </is>
      </c>
      <c r="AW25" t="inlineStr">
        <is>
          <t>FY2021</t>
        </is>
      </c>
      <c r="AX25" t="inlineStr">
        <is>
          <t>FY2022</t>
        </is>
      </c>
      <c r="AY25" t="inlineStr">
        <is>
          <t>FY2023</t>
        </is>
      </c>
      <c r="AZ25" t="inlineStr">
        <is>
          <t>FY2024</t>
        </is>
      </c>
      <c r="BA25" t="inlineStr">
        <is>
          <t>FY2025</t>
        </is>
      </c>
    </row>
    <row r="26">
      <c r="A26" s="5" t="inlineStr">
        <is>
          <t>Net cash from operating activities</t>
        </is>
      </c>
      <c r="B26" s="5" t="n">
        <v>-7860</v>
      </c>
      <c r="C26" s="5" t="n">
        <v>1959</v>
      </c>
      <c r="D26" s="5" t="n">
        <v>-17451</v>
      </c>
      <c r="E26" s="5" t="n">
        <v>1466</v>
      </c>
      <c r="F26" s="5" t="n">
        <v>29314</v>
      </c>
      <c r="G26" s="5" t="n">
        <v>13976</v>
      </c>
      <c r="H26" s="5" t="n">
        <v>-3111</v>
      </c>
      <c r="I26" s="5" t="n">
        <v>-257</v>
      </c>
      <c r="AS26" t="inlineStr">
        <is>
          <t>Net cash from operating activities</t>
        </is>
      </c>
      <c r="AT26" t="n">
        <v>-257</v>
      </c>
      <c r="AU26" t="n">
        <v>-3111</v>
      </c>
      <c r="AV26" t="n">
        <v>13976</v>
      </c>
      <c r="AW26" t="n">
        <v>29314</v>
      </c>
      <c r="AX26" t="n">
        <v>1466</v>
      </c>
      <c r="AY26" t="n">
        <v>-17451</v>
      </c>
      <c r="AZ26" t="n">
        <v>1959</v>
      </c>
      <c r="BA26" t="n">
        <v>-7860</v>
      </c>
    </row>
    <row r="27">
      <c r="A27" s="5" t="inlineStr">
        <is>
          <t>Net cash from investing activities</t>
        </is>
      </c>
      <c r="B27" s="5" t="n">
        <v>330</v>
      </c>
      <c r="C27" s="5" t="n">
        <v>-7308</v>
      </c>
      <c r="D27" s="5" t="n">
        <v>-2830</v>
      </c>
      <c r="E27" s="5" t="n">
        <v>-12601</v>
      </c>
      <c r="F27" s="5" t="n">
        <v>6430</v>
      </c>
      <c r="G27" s="5" t="n">
        <v>-5574</v>
      </c>
      <c r="H27" s="5" t="n">
        <v>-11876</v>
      </c>
      <c r="I27" s="5" t="n">
        <v>45003</v>
      </c>
      <c r="AS27" t="inlineStr">
        <is>
          <t>Net cash from investing activities</t>
        </is>
      </c>
      <c r="AT27" t="n">
        <v>45003</v>
      </c>
      <c r="AU27" t="n">
        <v>-11876</v>
      </c>
      <c r="AV27" t="n">
        <v>-5574</v>
      </c>
      <c r="AW27" t="n">
        <v>6430</v>
      </c>
      <c r="AX27" t="n">
        <v>-12601</v>
      </c>
      <c r="AY27" t="n">
        <v>-2830</v>
      </c>
      <c r="AZ27" t="n">
        <v>-7308</v>
      </c>
      <c r="BA27" t="n">
        <v>330</v>
      </c>
    </row>
    <row r="28">
      <c r="A28" s="5" t="inlineStr">
        <is>
          <t>Net cash from financing activities</t>
        </is>
      </c>
      <c r="B28" s="5" t="n">
        <v>-1009</v>
      </c>
      <c r="C28" s="5" t="n">
        <v>660</v>
      </c>
      <c r="D28" s="5" t="n">
        <v>1565</v>
      </c>
      <c r="E28" s="5" t="n">
        <v>-3161</v>
      </c>
      <c r="F28" s="5" t="n">
        <v>-785</v>
      </c>
      <c r="G28" s="5" t="n">
        <v>2077</v>
      </c>
      <c r="H28" s="5" t="n">
        <v>-568</v>
      </c>
      <c r="I28" s="5" t="n">
        <v>-465</v>
      </c>
      <c r="AS28" t="inlineStr">
        <is>
          <t>Net cash from financing activities</t>
        </is>
      </c>
      <c r="AT28" t="n">
        <v>-465</v>
      </c>
      <c r="AU28" t="n">
        <v>-568</v>
      </c>
      <c r="AV28" t="n">
        <v>2077</v>
      </c>
      <c r="AW28" t="n">
        <v>-785</v>
      </c>
      <c r="AX28" t="n">
        <v>-3161</v>
      </c>
      <c r="AY28" t="n">
        <v>1565</v>
      </c>
      <c r="AZ28" t="n">
        <v>660</v>
      </c>
      <c r="BA28" t="n">
        <v>-1009</v>
      </c>
    </row>
    <row r="29">
      <c r="A29" s="5" t="inlineStr">
        <is>
          <t>Cash and cash equivalents at end of year</t>
        </is>
      </c>
      <c r="B29" s="5" t="n">
        <v>27136</v>
      </c>
      <c r="C29" s="5" t="n">
        <v>35675</v>
      </c>
      <c r="D29" s="5" t="n">
        <v>40364</v>
      </c>
      <c r="E29" s="5" t="n">
        <v>59080</v>
      </c>
      <c r="F29" s="5" t="n">
        <v>73376</v>
      </c>
      <c r="G29" s="5" t="n">
        <v>38417</v>
      </c>
      <c r="H29" s="5" t="n">
        <v>28042</v>
      </c>
      <c r="I29" s="5" t="n">
        <v>44334</v>
      </c>
      <c r="AS29" t="inlineStr">
        <is>
          <t>Cash and cash equivalents at end of year</t>
        </is>
      </c>
      <c r="AT29" t="n">
        <v>44334</v>
      </c>
      <c r="AU29" t="n">
        <v>28042</v>
      </c>
      <c r="AV29" t="n">
        <v>38417</v>
      </c>
      <c r="AW29" t="n">
        <v>73376</v>
      </c>
      <c r="AX29" t="n">
        <v>59080</v>
      </c>
      <c r="AY29" t="n">
        <v>40364</v>
      </c>
      <c r="AZ29" t="n">
        <v>35675</v>
      </c>
      <c r="BA29" t="n">
        <v>27136</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row>
    <row r="33">
      <c r="A33" s="6" t="inlineStr">
        <is>
          <t>CET1 Ratio</t>
        </is>
      </c>
      <c r="B33" s="6" t="inlineStr">
        <is>
          <t>14.5%</t>
        </is>
      </c>
      <c r="C33" s="6" t="inlineStr">
        <is>
          <t>14.2%</t>
        </is>
      </c>
      <c r="D33" s="6" t="inlineStr">
        <is>
          <t>14.8%</t>
        </is>
      </c>
      <c r="E33" s="6" t="inlineStr">
        <is>
          <t>14.7%</t>
        </is>
      </c>
      <c r="F33" s="6" t="inlineStr">
        <is>
          <t>15.2%</t>
        </is>
      </c>
      <c r="G33" s="6" t="inlineStr">
        <is>
          <t>15.6%</t>
        </is>
      </c>
      <c r="H33" s="6" t="inlineStr">
        <is>
          <t>13.5%</t>
        </is>
      </c>
      <c r="I33" s="6" t="inlineStr">
        <is>
          <t>14.2%</t>
        </is>
      </c>
    </row>
    <row r="34">
      <c r="A34" s="6" t="inlineStr">
        <is>
          <t>Tier 1 Ratio</t>
        </is>
      </c>
      <c r="B34" s="6" t="inlineStr">
        <is>
          <t>17.1%</t>
        </is>
      </c>
      <c r="C34" s="6" t="inlineStr">
        <is>
          <t>17.1%</t>
        </is>
      </c>
      <c r="D34" s="6" t="inlineStr">
        <is>
          <t>18.1%</t>
        </is>
      </c>
      <c r="E34" s="6" t="inlineStr">
        <is>
          <t>18.2%</t>
        </is>
      </c>
      <c r="F34" s="6" t="inlineStr">
        <is>
          <t>18.8%</t>
        </is>
      </c>
      <c r="G34" s="6" t="inlineStr">
        <is>
          <t>19.2%</t>
        </is>
      </c>
      <c r="H34" s="6" t="inlineStr">
        <is>
          <t>16.9%</t>
        </is>
      </c>
      <c r="I34" s="6" t="inlineStr">
        <is>
          <t>17.0%</t>
        </is>
      </c>
    </row>
    <row r="35">
      <c r="A35" s="6" t="inlineStr">
        <is>
          <t>Total Capital Ratio</t>
        </is>
      </c>
      <c r="B35" s="6" t="inlineStr">
        <is>
          <t>20.0%</t>
        </is>
      </c>
      <c r="C35" s="6" t="inlineStr">
        <is>
          <t>20.5%</t>
        </is>
      </c>
      <c r="D35" s="6" t="inlineStr">
        <is>
          <t>21.6%</t>
        </is>
      </c>
      <c r="E35" s="6" t="inlineStr">
        <is>
          <t>21.8%</t>
        </is>
      </c>
      <c r="F35" s="6" t="inlineStr">
        <is>
          <t>23.1%</t>
        </is>
      </c>
      <c r="G35" s="6" t="inlineStr">
        <is>
          <t>23.9%</t>
        </is>
      </c>
      <c r="H35" s="6" t="inlineStr">
        <is>
          <t>21.3%</t>
        </is>
      </c>
      <c r="I35" s="6" t="inlineStr">
        <is>
          <t>21.3%</t>
        </is>
      </c>
    </row>
    <row r="36">
      <c r="A36" s="6" t="inlineStr">
        <is>
          <t>Leverage Ratio</t>
        </is>
      </c>
      <c r="B36" s="6" t="inlineStr">
        <is>
          <t>5.2%</t>
        </is>
      </c>
      <c r="C36" s="6" t="inlineStr">
        <is>
          <t>5.3%</t>
        </is>
      </c>
      <c r="D36" s="6" t="inlineStr">
        <is>
          <t>5.2%</t>
        </is>
      </c>
      <c r="E36" s="6" t="inlineStr">
        <is>
          <t>5.3%</t>
        </is>
      </c>
      <c r="F36" s="6" t="inlineStr">
        <is>
          <t>5.6%</t>
        </is>
      </c>
      <c r="G36" s="6" t="inlineStr">
        <is>
          <t>5.6%</t>
        </is>
      </c>
      <c r="H36" s="6" t="inlineStr">
        <is>
          <t>5.4%</t>
        </is>
      </c>
      <c r="I36" s="6" t="inlineStr">
        <is>
          <t>4.9%</t>
        </is>
      </c>
    </row>
    <row r="37">
      <c r="A37" s="6" t="inlineStr">
        <is>
          <t>LCR</t>
        </is>
      </c>
      <c r="B37" s="6" t="inlineStr">
        <is>
          <t>186.6%</t>
        </is>
      </c>
      <c r="C37" s="6" t="inlineStr">
        <is>
          <t>202.0%</t>
        </is>
      </c>
      <c r="D37" s="6" t="inlineStr">
        <is>
          <t>180%</t>
        </is>
      </c>
      <c r="E37" s="6" t="inlineStr">
        <is>
          <t>186%</t>
        </is>
      </c>
      <c r="F37" s="6" t="inlineStr">
        <is>
          <t>204%</t>
        </is>
      </c>
      <c r="G37" s="6" t="inlineStr">
        <is>
          <t>160%</t>
        </is>
      </c>
      <c r="H37" s="6" t="inlineStr">
        <is>
          <t>144%</t>
        </is>
      </c>
      <c r="I37" s="6" t="inlineStr">
        <is>
          <t>164%</t>
        </is>
      </c>
    </row>
    <row r="38">
      <c r="A38" s="6" t="inlineStr">
        <is>
          <t>NSFR</t>
        </is>
      </c>
      <c r="B38" s="6" t="inlineStr">
        <is>
          <t>152.4%</t>
        </is>
      </c>
      <c r="C38" s="6" t="inlineStr">
        <is>
          <t>159.3%</t>
        </is>
      </c>
      <c r="D38" s="6" t="inlineStr">
        <is>
          <t>165%</t>
        </is>
      </c>
      <c r="E38" s="6" t="inlineStr">
        <is>
          <t>168%</t>
        </is>
      </c>
      <c r="F38" s="6" t="inlineStr">
        <is>
          <t>Not disclosed</t>
        </is>
      </c>
      <c r="G38" s="6" t="inlineStr">
        <is>
          <t>Not disclosed</t>
        </is>
      </c>
      <c r="H38" s="6" t="inlineStr">
        <is>
          <t>Not disclosed</t>
        </is>
      </c>
      <c r="I38" s="6" t="inlineStr">
        <is>
          <t>Not disclosed</t>
        </is>
      </c>
    </row>
    <row r="40" ht="65" customHeight="1">
      <c r="A40" s="7" t="inlineStr">
        <is>
          <t>Note: Figures are duplicated from the detail sheets for at-a-glance trend viewing; see each sheet's own source citation for the underlying document/page. Leverage ratio shown on the 'excluding claims on central banks' basis for comparability across years (see Leverage Ratio sheet for the 'including' variant and FY2021-FY2018 basis notes); FY2018's figure (marked *) is instead the single 'CRR leverage ratio' disclosed that year (an 'including claims on central banks' basis), since no UK-basis 'excluding' equivalent was published for FY2018 - see the Leverage Ratio sheet's own note. FY2018's 'Other movements, net' in the equity roll-forward is dominated by the £13,044m ordinary share issue and capital reorganisation and £2,169m net equity impact of the UK banking business transfer that established Barclays Bank UK Group in April 2018, not a comparable year-on-year 'other movements' figure.</t>
        </is>
      </c>
    </row>
  </sheetData>
  <mergeCells count="1">
    <mergeCell ref="A40:I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PLC — Consolidated Balance Sheet</t>
        </is>
      </c>
    </row>
    <row r="2">
      <c r="A2" s="2" t="inlineStr">
        <is>
          <t>Barclays Bank UK Group (consolidated basis),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Assets</t>
        </is>
      </c>
      <c r="B4" s="6" t="n"/>
      <c r="C4" s="6" t="n"/>
      <c r="D4" s="6" t="n"/>
      <c r="E4" s="6" t="n"/>
      <c r="F4" s="6" t="n"/>
      <c r="G4" s="6" t="n"/>
      <c r="H4" s="6" t="n"/>
      <c r="I4" s="6" t="n"/>
    </row>
    <row r="5">
      <c r="A5" s="6" t="inlineStr">
        <is>
          <t>Cash and balances at central banks</t>
        </is>
      </c>
      <c r="B5" s="6" t="n">
        <v>21208</v>
      </c>
      <c r="C5" s="6" t="n">
        <v>29819</v>
      </c>
      <c r="D5" s="6" t="n">
        <v>34948</v>
      </c>
      <c r="E5" s="6" t="n">
        <v>54208</v>
      </c>
      <c r="F5" s="6" t="n">
        <v>69488</v>
      </c>
      <c r="G5" s="6" t="n">
        <v>35218</v>
      </c>
      <c r="H5" s="6" t="n">
        <v>24305</v>
      </c>
      <c r="I5" s="6" t="n">
        <v>40669</v>
      </c>
    </row>
    <row r="6">
      <c r="A6" s="6" t="inlineStr">
        <is>
          <t>Cash collateral and settlement balances</t>
        </is>
      </c>
      <c r="B6" s="6" t="n">
        <v>6120</v>
      </c>
      <c r="C6" s="6" t="n">
        <v>6002</v>
      </c>
      <c r="D6" s="6" t="n">
        <v>5507</v>
      </c>
      <c r="E6" s="6" t="n">
        <v>5194</v>
      </c>
      <c r="F6" s="6" t="n">
        <v>5067</v>
      </c>
      <c r="G6" s="6" t="n">
        <v>4345</v>
      </c>
      <c r="H6" s="6" t="n">
        <v>4331</v>
      </c>
      <c r="I6" s="6" t="n">
        <v>3349</v>
      </c>
    </row>
    <row r="7">
      <c r="A7" s="6" t="inlineStr">
        <is>
          <t>Debt securities at amortised cost</t>
        </is>
      </c>
      <c r="B7" s="6" t="n">
        <v>13492</v>
      </c>
      <c r="C7" s="6" t="n">
        <v>17983</v>
      </c>
      <c r="D7" s="6" t="n">
        <v>17794</v>
      </c>
      <c r="E7" s="6" t="n">
        <v>18537</v>
      </c>
      <c r="F7" s="6" t="n"/>
      <c r="G7" s="6" t="n"/>
      <c r="H7" s="6" t="n"/>
      <c r="I7" s="6" t="n"/>
    </row>
    <row r="8">
      <c r="A8" s="6" t="inlineStr">
        <is>
          <t>Loans and advances at amortised cost to banks</t>
        </is>
      </c>
      <c r="B8" s="6" t="n">
        <v>228</v>
      </c>
      <c r="C8" s="6" t="n">
        <v>281</v>
      </c>
      <c r="D8" s="6" t="n">
        <v>1213</v>
      </c>
      <c r="E8" s="6" t="n">
        <v>1391</v>
      </c>
      <c r="F8" s="6" t="n"/>
      <c r="G8" s="6" t="n"/>
      <c r="H8" s="6" t="n"/>
      <c r="I8" s="6" t="n"/>
    </row>
    <row r="9">
      <c r="A9" s="6" t="inlineStr">
        <is>
          <t>Loans and advances at amortised cost to customers</t>
        </is>
      </c>
      <c r="B9" s="6" t="n">
        <v>215634</v>
      </c>
      <c r="C9" s="6" t="n">
        <v>206435</v>
      </c>
      <c r="D9" s="6" t="n">
        <v>200782</v>
      </c>
      <c r="E9" s="6" t="n">
        <v>203279</v>
      </c>
      <c r="F9" s="6" t="n"/>
      <c r="G9" s="6" t="n"/>
      <c r="H9" s="6" t="n"/>
      <c r="I9" s="6" t="n"/>
    </row>
    <row r="10">
      <c r="A10" s="6" t="inlineStr">
        <is>
          <t>Loans and advances at amortised cost (combined, as reported)</t>
        </is>
      </c>
      <c r="B10" s="6" t="n"/>
      <c r="C10" s="6" t="n"/>
      <c r="D10" s="6" t="n"/>
      <c r="E10" s="6" t="n"/>
      <c r="F10" s="6" t="n">
        <v>220271</v>
      </c>
      <c r="G10" s="6" t="n">
        <v>211649</v>
      </c>
      <c r="H10" s="6" t="n">
        <v>197569</v>
      </c>
      <c r="I10" s="6" t="n">
        <v>188565</v>
      </c>
    </row>
    <row r="11">
      <c r="A11" s="6" t="inlineStr">
        <is>
          <t>Reverse repurchase agreements and other similar secured lending at amortised cost</t>
        </is>
      </c>
      <c r="B11" s="6" t="n">
        <v>6001</v>
      </c>
      <c r="C11" s="6" t="n">
        <v>5894</v>
      </c>
      <c r="D11" s="6" t="n">
        <v>3567</v>
      </c>
      <c r="E11" s="6" t="n">
        <v>477</v>
      </c>
      <c r="F11" s="6" t="n">
        <v>65</v>
      </c>
      <c r="G11" s="6" t="n">
        <v>133</v>
      </c>
      <c r="H11" s="6" t="n">
        <v>1761</v>
      </c>
      <c r="I11" s="6" t="n">
        <v>1759</v>
      </c>
    </row>
    <row r="12">
      <c r="A12" s="6" t="inlineStr">
        <is>
          <t>Trading portfolio assets</t>
        </is>
      </c>
      <c r="B12" s="6" t="n">
        <v>385</v>
      </c>
      <c r="C12" s="6" t="n">
        <v>242</v>
      </c>
      <c r="D12" s="6" t="n">
        <v>43</v>
      </c>
      <c r="E12" s="6" t="n">
        <v>54</v>
      </c>
      <c r="F12" s="6" t="n">
        <v>169</v>
      </c>
      <c r="G12" s="6" t="n">
        <v>298</v>
      </c>
      <c r="H12" s="6" t="n">
        <v>860</v>
      </c>
      <c r="I12" s="6" t="n">
        <v>151</v>
      </c>
    </row>
    <row r="13">
      <c r="A13" s="6" t="inlineStr">
        <is>
          <t>Financial assets at fair value through the income statement</t>
        </is>
      </c>
      <c r="B13" s="6" t="n">
        <v>1413</v>
      </c>
      <c r="C13" s="6" t="n">
        <v>1543</v>
      </c>
      <c r="D13" s="6" t="n">
        <v>1716</v>
      </c>
      <c r="E13" s="6" t="n">
        <v>1980</v>
      </c>
      <c r="F13" s="6" t="n">
        <v>2767</v>
      </c>
      <c r="G13" s="6" t="n">
        <v>3432</v>
      </c>
      <c r="H13" s="6" t="n">
        <v>3571</v>
      </c>
      <c r="I13" s="6" t="n">
        <v>3880</v>
      </c>
    </row>
    <row r="14">
      <c r="A14" s="6" t="inlineStr">
        <is>
          <t>Derivative financial instruments</t>
        </is>
      </c>
      <c r="B14" s="6" t="n">
        <v>890</v>
      </c>
      <c r="C14" s="6" t="n">
        <v>1901</v>
      </c>
      <c r="D14" s="6" t="n">
        <v>1566</v>
      </c>
      <c r="E14" s="6" t="n">
        <v>611</v>
      </c>
      <c r="F14" s="6" t="n">
        <v>890</v>
      </c>
      <c r="G14" s="6" t="n">
        <v>550</v>
      </c>
      <c r="H14" s="6" t="n">
        <v>192</v>
      </c>
      <c r="I14" s="6" t="n">
        <v>241</v>
      </c>
    </row>
    <row r="15">
      <c r="A15" s="6" t="inlineStr">
        <is>
          <t>Financial assets at fair value through other comprehensive income</t>
        </is>
      </c>
      <c r="B15" s="6" t="n">
        <v>31572</v>
      </c>
      <c r="C15" s="6" t="n">
        <v>27045</v>
      </c>
      <c r="D15" s="6" t="n">
        <v>20409</v>
      </c>
      <c r="E15" s="6" t="n">
        <v>19970</v>
      </c>
      <c r="F15" s="6" t="n">
        <v>14945</v>
      </c>
      <c r="G15" s="6" t="n">
        <v>26026</v>
      </c>
      <c r="H15" s="6" t="n">
        <v>19322</v>
      </c>
      <c r="I15" s="6" t="n">
        <v>6710</v>
      </c>
    </row>
    <row r="16">
      <c r="A16" s="6" t="inlineStr">
        <is>
          <t>Goodwill and intangible assets</t>
        </is>
      </c>
      <c r="B16" s="6" t="n">
        <v>3933</v>
      </c>
      <c r="C16" s="6" t="n">
        <v>3948</v>
      </c>
      <c r="D16" s="6" t="n">
        <v>3870</v>
      </c>
      <c r="E16" s="6" t="n">
        <v>3528</v>
      </c>
      <c r="F16" s="6" t="n">
        <v>3526</v>
      </c>
      <c r="G16" s="6" t="n">
        <v>3527</v>
      </c>
      <c r="H16" s="6" t="n">
        <v>3530</v>
      </c>
      <c r="I16" s="6" t="n">
        <v>3534</v>
      </c>
    </row>
    <row r="17">
      <c r="A17" s="6" t="inlineStr">
        <is>
          <t>Property, plant and equipment</t>
        </is>
      </c>
      <c r="B17" s="6" t="n">
        <v>287</v>
      </c>
      <c r="C17" s="6" t="n">
        <v>239</v>
      </c>
      <c r="D17" s="6" t="n">
        <v>261</v>
      </c>
      <c r="E17" s="6" t="n">
        <v>382</v>
      </c>
      <c r="F17" s="6" t="n">
        <v>562</v>
      </c>
      <c r="G17" s="6" t="n">
        <v>737</v>
      </c>
      <c r="H17" s="6" t="n">
        <v>893</v>
      </c>
      <c r="I17" s="6" t="n">
        <v>498</v>
      </c>
    </row>
    <row r="18">
      <c r="A18" s="6" t="inlineStr">
        <is>
          <t>Current tax assets</t>
        </is>
      </c>
      <c r="B18" s="6" t="n"/>
      <c r="C18" s="6" t="n"/>
      <c r="D18" s="6" t="n"/>
      <c r="E18" s="6" t="n"/>
      <c r="F18" s="6" t="n"/>
      <c r="G18" s="6" t="n">
        <v>75</v>
      </c>
      <c r="H18" s="6" t="n"/>
      <c r="I18" s="6" t="n"/>
    </row>
    <row r="19">
      <c r="A19" s="6" t="inlineStr">
        <is>
          <t>Deferred tax assets</t>
        </is>
      </c>
      <c r="B19" s="6" t="n">
        <v>884</v>
      </c>
      <c r="C19" s="6" t="n">
        <v>1212</v>
      </c>
      <c r="D19" s="6" t="n">
        <v>1296</v>
      </c>
      <c r="E19" s="6" t="n">
        <v>1916</v>
      </c>
      <c r="F19" s="6" t="n">
        <v>1368</v>
      </c>
      <c r="G19" s="6" t="n">
        <v>780</v>
      </c>
      <c r="H19" s="6" t="n">
        <v>810</v>
      </c>
      <c r="I19" s="6" t="n">
        <v>792</v>
      </c>
    </row>
    <row r="20">
      <c r="A20" s="6" t="inlineStr">
        <is>
          <t>Retirement benefit assets</t>
        </is>
      </c>
      <c r="B20" s="6" t="n">
        <v>69</v>
      </c>
      <c r="C20" s="6" t="n"/>
      <c r="D20" s="6" t="n"/>
      <c r="E20" s="6" t="n"/>
      <c r="F20" s="6" t="n"/>
      <c r="G20" s="6" t="n"/>
      <c r="H20" s="6" t="n"/>
      <c r="I20" s="6" t="n"/>
    </row>
    <row r="21">
      <c r="A21" s="6" t="inlineStr">
        <is>
          <t>Other assets</t>
        </is>
      </c>
      <c r="B21" s="6" t="n">
        <v>708</v>
      </c>
      <c r="C21" s="6" t="n">
        <v>635</v>
      </c>
      <c r="D21" s="6" t="n">
        <v>587</v>
      </c>
      <c r="E21" s="6" t="n">
        <v>652</v>
      </c>
      <c r="F21" s="6" t="n">
        <v>577</v>
      </c>
      <c r="G21" s="6" t="n">
        <v>728</v>
      </c>
      <c r="H21" s="6" t="n">
        <v>1254</v>
      </c>
      <c r="I21" s="6" t="n">
        <v>1157</v>
      </c>
    </row>
    <row r="22">
      <c r="A22" s="5" t="inlineStr">
        <is>
          <t>Total assets</t>
        </is>
      </c>
      <c r="B22" s="5" t="n">
        <v>302824</v>
      </c>
      <c r="C22" s="5" t="n">
        <v>303179</v>
      </c>
      <c r="D22" s="5" t="n">
        <v>293559</v>
      </c>
      <c r="E22" s="5" t="n">
        <v>312179</v>
      </c>
      <c r="F22" s="5" t="n">
        <v>319695</v>
      </c>
      <c r="G22" s="5" t="n">
        <v>287498</v>
      </c>
      <c r="H22" s="5" t="n">
        <v>258398</v>
      </c>
      <c r="I22" s="5" t="n">
        <v>251305</v>
      </c>
    </row>
    <row r="23">
      <c r="A23" s="5" t="inlineStr">
        <is>
          <t>Liabilities</t>
        </is>
      </c>
      <c r="B23" s="6" t="n"/>
      <c r="C23" s="6" t="n"/>
      <c r="D23" s="6" t="n"/>
      <c r="E23" s="6" t="n"/>
      <c r="F23" s="6" t="n"/>
      <c r="G23" s="6" t="n"/>
      <c r="H23" s="6" t="n"/>
      <c r="I23" s="6" t="n"/>
    </row>
    <row r="24">
      <c r="A24" s="6" t="inlineStr">
        <is>
          <t>Deposits at amortised cost from banks</t>
        </is>
      </c>
      <c r="B24" s="6" t="n">
        <v>125</v>
      </c>
      <c r="C24" s="6" t="n">
        <v>85</v>
      </c>
      <c r="D24" s="6" t="n">
        <v>6</v>
      </c>
      <c r="E24" s="6" t="n">
        <v>59</v>
      </c>
      <c r="F24" s="6" t="n"/>
      <c r="G24" s="6" t="n"/>
      <c r="H24" s="6" t="n"/>
      <c r="I24" s="6" t="n"/>
    </row>
    <row r="25">
      <c r="A25" s="6" t="inlineStr">
        <is>
          <t>Deposits at amortised cost from customers</t>
        </is>
      </c>
      <c r="B25" s="6" t="n">
        <v>244666</v>
      </c>
      <c r="C25" s="6" t="n">
        <v>244376</v>
      </c>
      <c r="D25" s="6" t="n">
        <v>241218</v>
      </c>
      <c r="E25" s="6" t="n">
        <v>258058</v>
      </c>
      <c r="F25" s="6" t="n"/>
      <c r="G25" s="6" t="n"/>
      <c r="H25" s="6" t="n"/>
      <c r="I25" s="6" t="n"/>
    </row>
    <row r="26">
      <c r="A26" s="6" t="inlineStr">
        <is>
          <t>Deposits at amortised cost (combined, as reported)</t>
        </is>
      </c>
      <c r="B26" s="6" t="n"/>
      <c r="C26" s="6" t="n"/>
      <c r="D26" s="6" t="n"/>
      <c r="E26" s="6" t="n"/>
      <c r="F26" s="6" t="n">
        <v>260732</v>
      </c>
      <c r="G26" s="6" t="n">
        <v>240535</v>
      </c>
      <c r="H26" s="6" t="n">
        <v>205696</v>
      </c>
      <c r="I26" s="6" t="n">
        <v>197485</v>
      </c>
    </row>
    <row r="27">
      <c r="A27" s="6" t="inlineStr">
        <is>
          <t>Cash collateral and settlement balances</t>
        </is>
      </c>
      <c r="B27" s="6" t="n">
        <v>828</v>
      </c>
      <c r="C27" s="6" t="n">
        <v>1779</v>
      </c>
      <c r="D27" s="6" t="n">
        <v>1370</v>
      </c>
      <c r="E27" s="6" t="n">
        <v>553</v>
      </c>
      <c r="F27" s="6" t="n">
        <v>774</v>
      </c>
      <c r="G27" s="6" t="n">
        <v>455</v>
      </c>
      <c r="H27" s="6" t="n">
        <v>214</v>
      </c>
      <c r="I27" s="6" t="n">
        <v>239</v>
      </c>
    </row>
    <row r="28">
      <c r="A28" s="6" t="inlineStr">
        <is>
          <t>Repurchase agreements and other similar secured borrowing at amortised cost</t>
        </is>
      </c>
      <c r="B28" s="6" t="n">
        <v>13600</v>
      </c>
      <c r="C28" s="6" t="n">
        <v>15506</v>
      </c>
      <c r="D28" s="6" t="n">
        <v>15265</v>
      </c>
      <c r="E28" s="6" t="n">
        <v>17702</v>
      </c>
      <c r="F28" s="6" t="n">
        <v>18160</v>
      </c>
      <c r="G28" s="6" t="n">
        <v>7178</v>
      </c>
      <c r="H28" s="6" t="n">
        <v>13420</v>
      </c>
      <c r="I28" s="6" t="n">
        <v>11978</v>
      </c>
    </row>
    <row r="29">
      <c r="A29" s="6" t="inlineStr">
        <is>
          <t>Debt securities in issue</t>
        </is>
      </c>
      <c r="B29" s="6" t="n">
        <v>4703</v>
      </c>
      <c r="C29" s="6" t="n">
        <v>2619</v>
      </c>
      <c r="D29" s="6" t="n">
        <v>3307</v>
      </c>
      <c r="E29" s="6" t="n">
        <v>8009</v>
      </c>
      <c r="F29" s="6" t="n">
        <v>8684</v>
      </c>
      <c r="G29" s="6" t="n">
        <v>7503</v>
      </c>
      <c r="H29" s="6" t="n">
        <v>8271</v>
      </c>
      <c r="I29" s="6" t="n">
        <v>11172</v>
      </c>
    </row>
    <row r="30">
      <c r="A30" s="6" t="inlineStr">
        <is>
          <t>Subordinated liabilities</t>
        </is>
      </c>
      <c r="B30" s="6" t="n">
        <v>14049</v>
      </c>
      <c r="C30" s="6" t="n">
        <v>13512</v>
      </c>
      <c r="D30" s="6" t="n">
        <v>11499</v>
      </c>
      <c r="E30" s="6" t="n">
        <v>8268</v>
      </c>
      <c r="F30" s="6" t="n">
        <v>9516</v>
      </c>
      <c r="G30" s="6" t="n">
        <v>9869</v>
      </c>
      <c r="H30" s="6" t="n">
        <v>7688</v>
      </c>
      <c r="I30" s="6" t="n">
        <v>7548</v>
      </c>
    </row>
    <row r="31">
      <c r="A31" s="6" t="inlineStr">
        <is>
          <t>Trading portfolio liabilities</t>
        </is>
      </c>
      <c r="B31" s="6" t="n">
        <v>908</v>
      </c>
      <c r="C31" s="6" t="n">
        <v>726</v>
      </c>
      <c r="D31" s="6" t="n">
        <v>908</v>
      </c>
      <c r="E31" s="6" t="n">
        <v>464</v>
      </c>
      <c r="F31" s="6" t="n">
        <v>878</v>
      </c>
      <c r="G31" s="6" t="n">
        <v>1265</v>
      </c>
      <c r="H31" s="6" t="n">
        <v>1704</v>
      </c>
      <c r="I31" s="6" t="n">
        <v>1269</v>
      </c>
    </row>
    <row r="32">
      <c r="A32" s="6" t="inlineStr">
        <is>
          <t>Financial liabilities designated at fair value</t>
        </is>
      </c>
      <c r="B32" s="6" t="n">
        <v>1003</v>
      </c>
      <c r="C32" s="6" t="n">
        <v>2848</v>
      </c>
      <c r="D32" s="6" t="n">
        <v>196</v>
      </c>
      <c r="E32" s="6" t="n"/>
      <c r="F32" s="6" t="n"/>
      <c r="G32" s="6" t="n"/>
      <c r="H32" s="6" t="n"/>
      <c r="I32" s="6" t="n"/>
    </row>
    <row r="33">
      <c r="A33" s="6" t="inlineStr">
        <is>
          <t>Derivative financial instruments</t>
        </is>
      </c>
      <c r="B33" s="6" t="n">
        <v>195</v>
      </c>
      <c r="C33" s="6" t="n">
        <v>300</v>
      </c>
      <c r="D33" s="6" t="n">
        <v>398</v>
      </c>
      <c r="E33" s="6" t="n">
        <v>962</v>
      </c>
      <c r="F33" s="6" t="n">
        <v>814</v>
      </c>
      <c r="G33" s="6" t="n">
        <v>880</v>
      </c>
      <c r="H33" s="6" t="n">
        <v>740</v>
      </c>
      <c r="I33" s="6" t="n">
        <v>419</v>
      </c>
    </row>
    <row r="34">
      <c r="A34" s="6" t="inlineStr">
        <is>
          <t>Current tax liabilities</t>
        </is>
      </c>
      <c r="B34" s="6" t="n">
        <v>598</v>
      </c>
      <c r="C34" s="6" t="n">
        <v>954</v>
      </c>
      <c r="D34" s="6" t="n">
        <v>540</v>
      </c>
      <c r="E34" s="6" t="n">
        <v>578</v>
      </c>
      <c r="F34" s="6" t="n">
        <v>377</v>
      </c>
      <c r="G34" s="6" t="n">
        <v>0</v>
      </c>
      <c r="H34" s="6" t="n">
        <v>458</v>
      </c>
      <c r="I34" s="6" t="n">
        <v>984</v>
      </c>
    </row>
    <row r="35">
      <c r="A35" s="6" t="inlineStr">
        <is>
          <t>Provisions</t>
        </is>
      </c>
      <c r="B35" s="6" t="n">
        <v>364</v>
      </c>
      <c r="C35" s="6" t="n">
        <v>323</v>
      </c>
      <c r="D35" s="6" t="n">
        <v>364</v>
      </c>
      <c r="E35" s="6" t="n">
        <v>338</v>
      </c>
      <c r="F35" s="6" t="n">
        <v>536</v>
      </c>
      <c r="G35" s="6" t="n">
        <v>880</v>
      </c>
      <c r="H35" s="6" t="n">
        <v>1660</v>
      </c>
      <c r="I35" s="6" t="n">
        <v>1380</v>
      </c>
    </row>
    <row r="36">
      <c r="A36" s="6" t="inlineStr">
        <is>
          <t>Other liabilities</t>
        </is>
      </c>
      <c r="B36" s="6" t="n">
        <v>1507</v>
      </c>
      <c r="C36" s="6" t="n">
        <v>1566</v>
      </c>
      <c r="D36" s="6" t="n">
        <v>1627</v>
      </c>
      <c r="E36" s="6" t="n">
        <v>1775</v>
      </c>
      <c r="F36" s="6" t="n">
        <v>1824</v>
      </c>
      <c r="G36" s="6" t="n">
        <v>1906</v>
      </c>
      <c r="H36" s="6" t="n">
        <v>2034</v>
      </c>
      <c r="I36" s="6" t="n">
        <v>1888</v>
      </c>
    </row>
    <row r="37">
      <c r="A37" s="5" t="inlineStr">
        <is>
          <t>Total liabilities</t>
        </is>
      </c>
      <c r="B37" s="5" t="n">
        <v>282546</v>
      </c>
      <c r="C37" s="5" t="n">
        <v>284594</v>
      </c>
      <c r="D37" s="5" t="n">
        <v>276698</v>
      </c>
      <c r="E37" s="5" t="n">
        <v>296766</v>
      </c>
      <c r="F37" s="5" t="n">
        <v>302295</v>
      </c>
      <c r="G37" s="5" t="n">
        <v>270471</v>
      </c>
      <c r="H37" s="5" t="n">
        <v>241885</v>
      </c>
      <c r="I37" s="5" t="n">
        <v>234362</v>
      </c>
    </row>
    <row r="38">
      <c r="A38" s="5" t="inlineStr">
        <is>
          <t>Equity</t>
        </is>
      </c>
      <c r="B38" s="6" t="n"/>
      <c r="C38" s="6" t="n"/>
      <c r="D38" s="6" t="n"/>
      <c r="E38" s="6" t="n"/>
      <c r="F38" s="6" t="n"/>
      <c r="G38" s="6" t="n"/>
      <c r="H38" s="6" t="n"/>
      <c r="I38" s="6" t="n"/>
    </row>
    <row r="39">
      <c r="A39" s="6" t="inlineStr">
        <is>
          <t>Called up share capital and share premium</t>
        </is>
      </c>
      <c r="B39" s="6" t="n">
        <v>5</v>
      </c>
      <c r="C39" s="6" t="n">
        <v>5</v>
      </c>
      <c r="D39" s="6" t="n">
        <v>5</v>
      </c>
      <c r="E39" s="6" t="n">
        <v>5</v>
      </c>
      <c r="F39" s="6" t="n">
        <v>5</v>
      </c>
      <c r="G39" s="6" t="n">
        <v>5</v>
      </c>
      <c r="H39" s="6" t="n">
        <v>5</v>
      </c>
      <c r="I39" s="6" t="n">
        <v>5</v>
      </c>
    </row>
    <row r="40">
      <c r="A40" s="6" t="inlineStr">
        <is>
          <t>Other equity instruments</t>
        </is>
      </c>
      <c r="B40" s="6" t="n">
        <v>2227</v>
      </c>
      <c r="C40" s="6" t="n">
        <v>2425</v>
      </c>
      <c r="D40" s="6" t="n">
        <v>2429</v>
      </c>
      <c r="E40" s="6" t="n">
        <v>2560</v>
      </c>
      <c r="F40" s="6" t="n">
        <v>2560</v>
      </c>
      <c r="G40" s="6" t="n">
        <v>2560</v>
      </c>
      <c r="H40" s="6" t="n">
        <v>2560</v>
      </c>
      <c r="I40" s="6" t="n">
        <v>2070</v>
      </c>
    </row>
    <row r="41">
      <c r="A41" s="6" t="inlineStr">
        <is>
          <t>Other reserves</t>
        </is>
      </c>
      <c r="B41" s="6" t="n">
        <v>-38</v>
      </c>
      <c r="C41" s="6" t="n">
        <v>-896</v>
      </c>
      <c r="D41" s="6" t="n">
        <v>-1151</v>
      </c>
      <c r="E41" s="6" t="n">
        <v>-2279</v>
      </c>
      <c r="F41" s="6" t="n">
        <v>-366</v>
      </c>
      <c r="G41" s="6" t="n">
        <v>473</v>
      </c>
      <c r="H41" s="6" t="n">
        <v>183</v>
      </c>
      <c r="I41" s="6" t="n">
        <v>76</v>
      </c>
    </row>
    <row r="42">
      <c r="A42" s="6" t="inlineStr">
        <is>
          <t>Retained earnings</t>
        </is>
      </c>
      <c r="B42" s="6" t="n">
        <v>18084</v>
      </c>
      <c r="C42" s="6" t="n">
        <v>17051</v>
      </c>
      <c r="D42" s="6" t="n">
        <v>15578</v>
      </c>
      <c r="E42" s="6" t="n">
        <v>15127</v>
      </c>
      <c r="F42" s="6" t="n">
        <v>15201</v>
      </c>
      <c r="G42" s="6" t="n">
        <v>13989</v>
      </c>
      <c r="H42" s="6" t="n">
        <v>13765</v>
      </c>
      <c r="I42" s="6" t="n">
        <v>14792</v>
      </c>
    </row>
    <row r="43">
      <c r="A43" s="5" t="inlineStr">
        <is>
          <t>Total equity</t>
        </is>
      </c>
      <c r="B43" s="5" t="n">
        <v>20278</v>
      </c>
      <c r="C43" s="5" t="n">
        <v>18585</v>
      </c>
      <c r="D43" s="5" t="n">
        <v>16861</v>
      </c>
      <c r="E43" s="5" t="n">
        <v>15413</v>
      </c>
      <c r="F43" s="5" t="n">
        <v>17400</v>
      </c>
      <c r="G43" s="5" t="n">
        <v>17027</v>
      </c>
      <c r="H43" s="5" t="n">
        <v>16513</v>
      </c>
      <c r="I43" s="5" t="n">
        <v>16943</v>
      </c>
    </row>
    <row r="44">
      <c r="A44" s="5" t="inlineStr">
        <is>
          <t>Total liabilities and equity</t>
        </is>
      </c>
      <c r="B44" s="5" t="n">
        <v>302824</v>
      </c>
      <c r="C44" s="5" t="n">
        <v>303179</v>
      </c>
      <c r="D44" s="5" t="n">
        <v>293559</v>
      </c>
      <c r="E44" s="5" t="n">
        <v>312179</v>
      </c>
      <c r="F44" s="5" t="n">
        <v>319695</v>
      </c>
      <c r="G44" s="5" t="n">
        <v>287498</v>
      </c>
      <c r="H44" s="5" t="n">
        <v>258398</v>
      </c>
      <c r="I44" s="5" t="n">
        <v>251305</v>
      </c>
    </row>
    <row r="46" ht="247" customHeight="1">
      <c r="A46" s="8" t="inlineStr">
        <is>
          <t>Sources — all figures are Barclays Bank UK Group consolidated (audited), £m:
FY2025 &amp; FY2024: Barclays Bank UK PLC Annual Report 2025, pp.197 (income statement), 199 (balance sheet), 200 (statement of changes in equity) — https://home.barclays/content/dam/home-barclays/documents/investor-relations/reports-and-events/annual-reports/2025/Barclays-Bank-UK-PLC-Annual-Report-2025.pdf
FY2023 &amp; FY2022: Barclays Bank UK PLC Annual Report 2023, pp.162 (income statement), 164 (balance sheet), 165 (statement of changes in equity) — https://home.barclays/content/dam/home-barclays/documents/investor-relations/reports-and-events/annual-reports/2023/Barclays-Bank-UK-Annual-Report-2023-Results-committee.pdf
FY2021: Barclays Bank UK PLC Annual Report 2021, pp.134 (income statement), 136 (balance sheet), 137 (statement of changes in equity) — https://home.barclays/content/dam/home-barclays/documents/investor-relations/reports-and-events/annual-reports/2021/Barclays-Bank-UK-PLC-2021-Annual-Report.pdf
FY2020: Barclays Bank UK PLC Annual Report 2020, pp.123 (income statement), 125 (balance sheet), 126 (statement of changes in equity) — https://home.barclays/content/dam/home-barclays/documents/investor-relations/reports-and-events/annual-reports/2020/Barclays-Bank-UK-PLC-2020-Annual-Report.pdf
FY2019: Barclays Bank UK PLC Annual Report 2019, pp.104 (income statement), 106 (balance sheet), 107 (statement of changes in equity) — https://home.barclays/content/dam/home-barclays/documents/investor-relations/reports-and-events/annual-reports/2019/Barclays%20Bank%20UK%20PLC%20Annual%20Report%202019.pdf
FY2018: Barclays Bank UK PLC Annual Report 2018, pp.105 (income statement), 107 (balance sheet), 108 (statement of changes in equity) — https://home.barclays/content/dam/home-barclays/documents/investor-relations/reports-and-events/annual-reports/2018/2018-barclays-bank-uk-plc-annual-report.pdf
Balance sheet note: FY2018-FY2021 do not split loans and advances at amortised cost into a bank/customer split, do not disclose a separate debt securities at amortised cost line, and report deposits at amortised cost as a single combined line - the combined figures appear on their own row for those years only; FY2022-2025 all split these. FY2020 is the only year with a separate 'Current tax assets' line (a small net asset position; other years report a nil/immaterial current tax asset position folded into other lines). Income statement note: FY2018-FY2021 place credit impairment charges/(releases) before operating expenses (subtotalled as 'Net operating income'), while FY2022-2025 place it after operating expenses (subtotalled as 'Profit before impairment') - a genuine presentation restructuring, not a transcription error; each year's own subtotals are reproduced as reported. FY2020 and FY2021 both separately disclose a 'Profit on disposal of subsidiaries, associates and joint ventures' line before profit before tax. Figures for FY2018-FY2020 are each reproduced exactly as originally reported in that year's own Annual Report, not as later restated comparatives (e.g. Barclays restated FY2018's tax charge by £28m from FY2019 onward following an IAS 12 update on AT1 coupon tax relief) - consistent with this workbook's sourcing convention throughout.</t>
        </is>
      </c>
    </row>
  </sheetData>
  <mergeCells count="1">
    <mergeCell ref="A46:I4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PLC — Consolidated Income Statement</t>
        </is>
      </c>
    </row>
    <row r="2">
      <c r="A2" s="2" t="inlineStr">
        <is>
          <t>Barclays Bank UK Group (consolidated basis),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Income</t>
        </is>
      </c>
      <c r="B4" s="6" t="n"/>
      <c r="C4" s="6" t="n"/>
      <c r="D4" s="6" t="n"/>
      <c r="E4" s="6" t="n"/>
      <c r="F4" s="6" t="n"/>
      <c r="G4" s="6" t="n"/>
      <c r="H4" s="6" t="n"/>
      <c r="I4" s="6" t="n"/>
    </row>
    <row r="5">
      <c r="A5" s="6" t="inlineStr">
        <is>
          <t>Interest and similar income</t>
        </is>
      </c>
      <c r="B5" s="6" t="n">
        <v>13136</v>
      </c>
      <c r="C5" s="6" t="n">
        <v>12588</v>
      </c>
      <c r="D5" s="6" t="n">
        <v>11024</v>
      </c>
      <c r="E5" s="6" t="n">
        <v>6981</v>
      </c>
      <c r="F5" s="6" t="n">
        <v>5775</v>
      </c>
      <c r="G5" s="6" t="n">
        <v>6201</v>
      </c>
      <c r="H5" s="6" t="n">
        <v>7218</v>
      </c>
      <c r="I5" s="6" t="n">
        <v>5267</v>
      </c>
    </row>
    <row r="6">
      <c r="A6" s="6" t="inlineStr">
        <is>
          <t>Interest and similar expense</t>
        </is>
      </c>
      <c r="B6" s="6" t="n">
        <v>-5371</v>
      </c>
      <c r="C6" s="6" t="n">
        <v>-5851</v>
      </c>
      <c r="D6" s="6" t="n">
        <v>-4597</v>
      </c>
      <c r="E6" s="6" t="n">
        <v>-1340</v>
      </c>
      <c r="F6" s="6" t="n">
        <v>-769</v>
      </c>
      <c r="G6" s="6" t="n">
        <v>-1021</v>
      </c>
      <c r="H6" s="6" t="n">
        <v>-1413</v>
      </c>
      <c r="I6" s="6" t="n">
        <v>-830</v>
      </c>
    </row>
    <row r="7">
      <c r="A7" s="5" t="inlineStr">
        <is>
          <t>Net interest income</t>
        </is>
      </c>
      <c r="B7" s="5" t="n">
        <v>7765</v>
      </c>
      <c r="C7" s="5" t="n">
        <v>6737</v>
      </c>
      <c r="D7" s="5" t="n">
        <v>6427</v>
      </c>
      <c r="E7" s="5" t="n">
        <v>5641</v>
      </c>
      <c r="F7" s="5" t="n">
        <v>5006</v>
      </c>
      <c r="G7" s="5" t="n">
        <v>5180</v>
      </c>
      <c r="H7" s="5" t="n">
        <v>5805</v>
      </c>
      <c r="I7" s="5" t="n">
        <v>4437</v>
      </c>
    </row>
    <row r="8">
      <c r="A8" s="6" t="inlineStr">
        <is>
          <t>Fee and commission income</t>
        </is>
      </c>
      <c r="B8" s="6" t="n">
        <v>1565</v>
      </c>
      <c r="C8" s="6" t="n">
        <v>1507</v>
      </c>
      <c r="D8" s="6" t="n">
        <v>1605</v>
      </c>
      <c r="E8" s="6" t="n">
        <v>1689</v>
      </c>
      <c r="F8" s="6" t="n">
        <v>1466</v>
      </c>
      <c r="G8" s="6" t="n">
        <v>1375</v>
      </c>
      <c r="H8" s="6" t="n">
        <v>1674</v>
      </c>
      <c r="I8" s="6" t="n">
        <v>1315</v>
      </c>
    </row>
    <row r="9">
      <c r="A9" s="6" t="inlineStr">
        <is>
          <t>Fee and commission expense</t>
        </is>
      </c>
      <c r="B9" s="6" t="n">
        <v>-482</v>
      </c>
      <c r="C9" s="6" t="n">
        <v>-411</v>
      </c>
      <c r="D9" s="6" t="n">
        <v>-370</v>
      </c>
      <c r="E9" s="6" t="n">
        <v>-322</v>
      </c>
      <c r="F9" s="6" t="n">
        <v>-219</v>
      </c>
      <c r="G9" s="6" t="n">
        <v>-310</v>
      </c>
      <c r="H9" s="6" t="n">
        <v>-368</v>
      </c>
      <c r="I9" s="6" t="n">
        <v>-273</v>
      </c>
    </row>
    <row r="10">
      <c r="A10" s="5" t="inlineStr">
        <is>
          <t>Net fee and commission income</t>
        </is>
      </c>
      <c r="B10" s="5" t="n">
        <v>1083</v>
      </c>
      <c r="C10" s="5" t="n">
        <v>1096</v>
      </c>
      <c r="D10" s="5" t="n">
        <v>1235</v>
      </c>
      <c r="E10" s="5" t="n">
        <v>1367</v>
      </c>
      <c r="F10" s="5" t="n">
        <v>1247</v>
      </c>
      <c r="G10" s="5" t="n">
        <v>1065</v>
      </c>
      <c r="H10" s="5" t="n">
        <v>1306</v>
      </c>
      <c r="I10" s="5" t="n">
        <v>1042</v>
      </c>
    </row>
    <row r="11">
      <c r="A11" s="6" t="inlineStr">
        <is>
          <t>Net trading income/(expense)</t>
        </is>
      </c>
      <c r="B11" s="6" t="n">
        <v>-48</v>
      </c>
      <c r="C11" s="6" t="n">
        <v>-16</v>
      </c>
      <c r="D11" s="6" t="n">
        <v>35</v>
      </c>
      <c r="E11" s="6" t="n">
        <v>385</v>
      </c>
      <c r="F11" s="6" t="n">
        <v>40</v>
      </c>
      <c r="G11" s="6" t="n">
        <v>53</v>
      </c>
      <c r="H11" s="6" t="n">
        <v>33</v>
      </c>
      <c r="I11" s="6" t="n">
        <v>30</v>
      </c>
    </row>
    <row r="12">
      <c r="A12" s="6" t="inlineStr">
        <is>
          <t>Net investment income/(expense)</t>
        </is>
      </c>
      <c r="B12" s="6" t="n">
        <v>-7</v>
      </c>
      <c r="C12" s="6" t="n">
        <v>41</v>
      </c>
      <c r="D12" s="6" t="n">
        <v>-91</v>
      </c>
      <c r="E12" s="6" t="n">
        <v>1</v>
      </c>
      <c r="F12" s="6" t="n">
        <v>181</v>
      </c>
      <c r="G12" s="6" t="n">
        <v>106</v>
      </c>
      <c r="H12" s="6" t="n">
        <v>172</v>
      </c>
      <c r="I12" s="6" t="n">
        <v>86</v>
      </c>
    </row>
    <row r="13">
      <c r="A13" s="6" t="inlineStr">
        <is>
          <t>Gain on acquisition</t>
        </is>
      </c>
      <c r="B13" s="6" t="n">
        <v>0</v>
      </c>
      <c r="C13" s="6" t="n">
        <v>558</v>
      </c>
      <c r="D13" s="6" t="n"/>
      <c r="E13" s="6" t="n"/>
      <c r="F13" s="6" t="n"/>
      <c r="G13" s="6" t="n"/>
      <c r="H13" s="6" t="n"/>
      <c r="I13" s="6" t="n"/>
    </row>
    <row r="14">
      <c r="A14" s="6" t="inlineStr">
        <is>
          <t>Other income</t>
        </is>
      </c>
      <c r="B14" s="6" t="n">
        <v>18</v>
      </c>
      <c r="C14" s="6" t="n">
        <v>7</v>
      </c>
      <c r="D14" s="6" t="n">
        <v>64</v>
      </c>
      <c r="E14" s="6" t="n">
        <v>3</v>
      </c>
      <c r="F14" s="6" t="n">
        <v>8</v>
      </c>
      <c r="G14" s="6" t="n">
        <v>20</v>
      </c>
      <c r="H14" s="6" t="n">
        <v>6</v>
      </c>
      <c r="I14" s="6" t="n">
        <v>11</v>
      </c>
    </row>
    <row r="15">
      <c r="A15" s="5" t="inlineStr">
        <is>
          <t>Total income</t>
        </is>
      </c>
      <c r="B15" s="5" t="n">
        <v>8811</v>
      </c>
      <c r="C15" s="5" t="n">
        <v>8423</v>
      </c>
      <c r="D15" s="5" t="n">
        <v>7670</v>
      </c>
      <c r="E15" s="5" t="n">
        <v>7397</v>
      </c>
      <c r="F15" s="5" t="n">
        <v>6482</v>
      </c>
      <c r="G15" s="5" t="n">
        <v>6424</v>
      </c>
      <c r="H15" s="5" t="n">
        <v>7322</v>
      </c>
      <c r="I15" s="5" t="n">
        <v>5606</v>
      </c>
    </row>
    <row r="16">
      <c r="A16" s="6" t="inlineStr">
        <is>
          <t>Credit impairment releases/(charges) (pre-opex, FY2018-FY2021)</t>
        </is>
      </c>
      <c r="B16" s="6" t="n"/>
      <c r="C16" s="6" t="n"/>
      <c r="D16" s="6" t="n"/>
      <c r="E16" s="6" t="n"/>
      <c r="F16" s="6" t="n">
        <v>371</v>
      </c>
      <c r="G16" s="6" t="n">
        <v>-1427</v>
      </c>
      <c r="H16" s="6" t="n">
        <v>-709</v>
      </c>
      <c r="I16" s="6" t="n">
        <v>-624</v>
      </c>
    </row>
    <row r="17">
      <c r="A17" s="5" t="inlineStr">
        <is>
          <t>Net operating income (FY2018-FY2021)</t>
        </is>
      </c>
      <c r="B17" s="5" t="n"/>
      <c r="C17" s="5" t="n"/>
      <c r="D17" s="5" t="n"/>
      <c r="E17" s="5" t="n"/>
      <c r="F17" s="5" t="n">
        <v>6853</v>
      </c>
      <c r="G17" s="5" t="n">
        <v>4997</v>
      </c>
      <c r="H17" s="5" t="n">
        <v>6613</v>
      </c>
      <c r="I17" s="5" t="n">
        <v>4982</v>
      </c>
    </row>
    <row r="18">
      <c r="A18" s="5" t="inlineStr">
        <is>
          <t>Operating expenses</t>
        </is>
      </c>
      <c r="B18" s="6" t="n"/>
      <c r="C18" s="6" t="n"/>
      <c r="D18" s="6" t="n"/>
      <c r="E18" s="6" t="n"/>
      <c r="F18" s="6" t="n"/>
      <c r="G18" s="6" t="n"/>
      <c r="H18" s="6" t="n"/>
      <c r="I18" s="6" t="n"/>
    </row>
    <row r="19">
      <c r="A19" s="6" t="inlineStr">
        <is>
          <t>Staff costs</t>
        </is>
      </c>
      <c r="B19" s="6" t="n">
        <v>-1555</v>
      </c>
      <c r="C19" s="6" t="n">
        <v>-1215</v>
      </c>
      <c r="D19" s="6" t="n">
        <v>-1209</v>
      </c>
      <c r="E19" s="6" t="n">
        <v>-1170</v>
      </c>
      <c r="F19" s="6" t="n">
        <v>-1392</v>
      </c>
      <c r="G19" s="6" t="n">
        <v>-1311</v>
      </c>
      <c r="H19" s="6" t="n">
        <v>-1252</v>
      </c>
      <c r="I19" s="6" t="n">
        <v>-1016</v>
      </c>
    </row>
    <row r="20">
      <c r="A20" s="6" t="inlineStr">
        <is>
          <t>Infrastructure costs</t>
        </is>
      </c>
      <c r="B20" s="6" t="n">
        <v>-300</v>
      </c>
      <c r="C20" s="6" t="n">
        <v>-258</v>
      </c>
      <c r="D20" s="6" t="n">
        <v>-343</v>
      </c>
      <c r="E20" s="6" t="n">
        <v>-385</v>
      </c>
      <c r="F20" s="6" t="n">
        <v>-389</v>
      </c>
      <c r="G20" s="6" t="n">
        <v>-444</v>
      </c>
      <c r="H20" s="6" t="n">
        <v>-382</v>
      </c>
      <c r="I20" s="6" t="n">
        <v>-307</v>
      </c>
    </row>
    <row r="21">
      <c r="A21" s="6" t="inlineStr">
        <is>
          <t>Administration and general expenses</t>
        </is>
      </c>
      <c r="B21" s="6" t="n">
        <v>-3104</v>
      </c>
      <c r="C21" s="6" t="n">
        <v>-2939</v>
      </c>
      <c r="D21" s="6" t="n">
        <v>-3024</v>
      </c>
      <c r="E21" s="6" t="n">
        <v>-2977</v>
      </c>
      <c r="F21" s="6" t="n">
        <v>-2859</v>
      </c>
      <c r="G21" s="6" t="n">
        <v>-2848</v>
      </c>
      <c r="H21" s="6" t="n">
        <v>-2724</v>
      </c>
      <c r="I21" s="6" t="n">
        <v>-2033</v>
      </c>
    </row>
    <row r="22">
      <c r="A22" s="6" t="inlineStr">
        <is>
          <t>UK regulatory levies</t>
        </is>
      </c>
      <c r="B22" s="6" t="n">
        <v>-85</v>
      </c>
      <c r="C22" s="6" t="n">
        <v>-78</v>
      </c>
      <c r="D22" s="6" t="n"/>
      <c r="E22" s="6" t="n"/>
      <c r="F22" s="6" t="n"/>
      <c r="G22" s="6" t="n"/>
      <c r="H22" s="6" t="n"/>
      <c r="I22" s="6" t="n"/>
    </row>
    <row r="23">
      <c r="A23" s="6" t="inlineStr">
        <is>
          <t>Litigation and conduct / provisions for litigation and conduct</t>
        </is>
      </c>
      <c r="B23" s="6" t="n">
        <v>-49</v>
      </c>
      <c r="C23" s="6" t="n">
        <v>-21</v>
      </c>
      <c r="D23" s="6" t="n">
        <v>9</v>
      </c>
      <c r="E23" s="6" t="n">
        <v>-45</v>
      </c>
      <c r="F23" s="6" t="n">
        <v>-51</v>
      </c>
      <c r="G23" s="6" t="n">
        <v>-43</v>
      </c>
      <c r="H23" s="6" t="n">
        <v>-1586</v>
      </c>
      <c r="I23" s="6" t="n">
        <v>-78</v>
      </c>
    </row>
    <row r="24">
      <c r="A24" s="5" t="inlineStr">
        <is>
          <t>Operating expenses</t>
        </is>
      </c>
      <c r="B24" s="5" t="n">
        <v>-5093</v>
      </c>
      <c r="C24" s="5" t="n">
        <v>-4511</v>
      </c>
      <c r="D24" s="5" t="n">
        <v>-4567</v>
      </c>
      <c r="E24" s="5" t="n">
        <v>-4577</v>
      </c>
      <c r="F24" s="5" t="n">
        <v>-4691</v>
      </c>
      <c r="G24" s="5" t="n">
        <v>-4646</v>
      </c>
      <c r="H24" s="5" t="n">
        <v>-5944</v>
      </c>
      <c r="I24" s="5" t="n">
        <v>-3434</v>
      </c>
    </row>
    <row r="25">
      <c r="A25" s="6" t="inlineStr">
        <is>
          <t>Loss on disposal of subsidiaries, associates and joint ventures</t>
        </is>
      </c>
      <c r="B25" s="6" t="n"/>
      <c r="C25" s="6" t="n"/>
      <c r="D25" s="6" t="n">
        <v>-124</v>
      </c>
      <c r="E25" s="6" t="n">
        <v>0</v>
      </c>
      <c r="F25" s="6" t="n"/>
      <c r="G25" s="6" t="n"/>
      <c r="H25" s="6" t="n"/>
      <c r="I25" s="6" t="n"/>
    </row>
    <row r="26">
      <c r="A26" s="6" t="inlineStr">
        <is>
          <t>Profit on disposal of subsidiaries, associates and joint ventures (FY2020-FY2021 only)</t>
        </is>
      </c>
      <c r="B26" s="6" t="n"/>
      <c r="C26" s="6" t="n"/>
      <c r="D26" s="6" t="n"/>
      <c r="E26" s="6" t="n"/>
      <c r="F26" s="6" t="n">
        <v>1</v>
      </c>
      <c r="G26" s="6" t="n">
        <v>16</v>
      </c>
      <c r="H26" s="6" t="n"/>
      <c r="I26" s="6" t="n"/>
    </row>
    <row r="27">
      <c r="A27" s="5" t="inlineStr">
        <is>
          <t>Profit before impairment (FY2022-FY2025 only)</t>
        </is>
      </c>
      <c r="B27" s="5" t="n">
        <v>3718</v>
      </c>
      <c r="C27" s="5" t="n">
        <v>3912</v>
      </c>
      <c r="D27" s="5" t="n">
        <v>2979</v>
      </c>
      <c r="E27" s="5" t="n">
        <v>2820</v>
      </c>
      <c r="F27" s="5" t="n"/>
      <c r="G27" s="5" t="n"/>
      <c r="H27" s="5" t="n"/>
      <c r="I27" s="5" t="n"/>
    </row>
    <row r="28">
      <c r="A28" s="6" t="inlineStr">
        <is>
          <t>Credit impairment (charges)/releases (post-opex, FY2022-FY2025)</t>
        </is>
      </c>
      <c r="B28" s="6" t="n">
        <v>-393</v>
      </c>
      <c r="C28" s="6" t="n">
        <v>-352</v>
      </c>
      <c r="D28" s="6" t="n">
        <v>-308</v>
      </c>
      <c r="E28" s="6" t="n">
        <v>-268</v>
      </c>
      <c r="F28" s="6" t="n"/>
      <c r="G28" s="6" t="n"/>
      <c r="H28" s="6" t="n"/>
      <c r="I28" s="6" t="n"/>
    </row>
    <row r="29">
      <c r="A29" s="5" t="inlineStr">
        <is>
          <t>Profit before tax</t>
        </is>
      </c>
      <c r="B29" s="5" t="n">
        <v>3325</v>
      </c>
      <c r="C29" s="5" t="n">
        <v>3560</v>
      </c>
      <c r="D29" s="5" t="n">
        <v>2671</v>
      </c>
      <c r="E29" s="5" t="n">
        <v>2552</v>
      </c>
      <c r="F29" s="5" t="n">
        <v>2163</v>
      </c>
      <c r="G29" s="5" t="n">
        <v>367</v>
      </c>
      <c r="H29" s="5" t="n">
        <v>669</v>
      </c>
      <c r="I29" s="5" t="n">
        <v>1548</v>
      </c>
    </row>
    <row r="30">
      <c r="A30" s="6" t="inlineStr">
        <is>
          <t>Taxation</t>
        </is>
      </c>
      <c r="B30" s="6" t="n">
        <v>-731</v>
      </c>
      <c r="C30" s="6" t="n">
        <v>-940</v>
      </c>
      <c r="D30" s="6" t="n">
        <v>-749</v>
      </c>
      <c r="E30" s="6" t="n">
        <v>-745</v>
      </c>
      <c r="F30" s="6" t="n">
        <v>-294</v>
      </c>
      <c r="G30" s="6" t="n">
        <v>12</v>
      </c>
      <c r="H30" s="6" t="n">
        <v>-513</v>
      </c>
      <c r="I30" s="6" t="n">
        <v>-433</v>
      </c>
    </row>
    <row r="31">
      <c r="A31" s="5" t="inlineStr">
        <is>
          <t>Profit after tax</t>
        </is>
      </c>
      <c r="B31" s="5" t="n">
        <v>2594</v>
      </c>
      <c r="C31" s="5" t="n">
        <v>2620</v>
      </c>
      <c r="D31" s="5" t="n">
        <v>1922</v>
      </c>
      <c r="E31" s="5" t="n">
        <v>1807</v>
      </c>
      <c r="F31" s="5" t="n">
        <v>1869</v>
      </c>
      <c r="G31" s="5" t="n">
        <v>379</v>
      </c>
      <c r="H31" s="5" t="n">
        <v>156</v>
      </c>
      <c r="I31" s="5" t="n">
        <v>1115</v>
      </c>
    </row>
    <row r="33" ht="247" customHeight="1">
      <c r="A33" s="8" t="inlineStr">
        <is>
          <t>Sources — all figures are Barclays Bank UK Group consolidated (audited), £m:
FY2025 &amp; FY2024: Barclays Bank UK PLC Annual Report 2025, pp.197 (income statement), 199 (balance sheet), 200 (statement of changes in equity) — https://home.barclays/content/dam/home-barclays/documents/investor-relations/reports-and-events/annual-reports/2025/Barclays-Bank-UK-PLC-Annual-Report-2025.pdf
FY2023 &amp; FY2022: Barclays Bank UK PLC Annual Report 2023, pp.162 (income statement), 164 (balance sheet), 165 (statement of changes in equity) — https://home.barclays/content/dam/home-barclays/documents/investor-relations/reports-and-events/annual-reports/2023/Barclays-Bank-UK-Annual-Report-2023-Results-committee.pdf
FY2021: Barclays Bank UK PLC Annual Report 2021, pp.134 (income statement), 136 (balance sheet), 137 (statement of changes in equity) — https://home.barclays/content/dam/home-barclays/documents/investor-relations/reports-and-events/annual-reports/2021/Barclays-Bank-UK-PLC-2021-Annual-Report.pdf
FY2020: Barclays Bank UK PLC Annual Report 2020, pp.123 (income statement), 125 (balance sheet), 126 (statement of changes in equity) — https://home.barclays/content/dam/home-barclays/documents/investor-relations/reports-and-events/annual-reports/2020/Barclays-Bank-UK-PLC-2020-Annual-Report.pdf
FY2019: Barclays Bank UK PLC Annual Report 2019, pp.104 (income statement), 106 (balance sheet), 107 (statement of changes in equity) — https://home.barclays/content/dam/home-barclays/documents/investor-relations/reports-and-events/annual-reports/2019/Barclays%20Bank%20UK%20PLC%20Annual%20Report%202019.pdf
FY2018: Barclays Bank UK PLC Annual Report 2018, pp.105 (income statement), 107 (balance sheet), 108 (statement of changes in equity) — https://home.barclays/content/dam/home-barclays/documents/investor-relations/reports-and-events/annual-reports/2018/2018-barclays-bank-uk-plc-annual-report.pdf
Balance sheet note: FY2018-FY2021 do not split loans and advances at amortised cost into a bank/customer split, do not disclose a separate debt securities at amortised cost line, and report deposits at amortised cost as a single combined line - the combined figures appear on their own row for those years only; FY2022-2025 all split these. FY2020 is the only year with a separate 'Current tax assets' line (a small net asset position; other years report a nil/immaterial current tax asset position folded into other lines). Income statement note: FY2018-FY2021 place credit impairment charges/(releases) before operating expenses (subtotalled as 'Net operating income'), while FY2022-2025 place it after operating expenses (subtotalled as 'Profit before impairment') - a genuine presentation restructuring, not a transcription error; each year's own subtotals are reproduced as reported. FY2020 and FY2021 both separately disclose a 'Profit on disposal of subsidiaries, associates and joint ventures' line before profit before tax. Figures for FY2018-FY2020 are each reproduced exactly as originally reported in that year's own Annual Report, not as later restated comparatives (e.g. Barclays restated FY2018's tax charge by £28m from FY2019 onward following an IAS 12 update on AT1 coupon tax relief) - consistent with this workbook's sourcing convention throughout.</t>
        </is>
      </c>
    </row>
  </sheetData>
  <mergeCells count="1">
    <mergeCell ref="A33:I3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6"/>
  <sheetViews>
    <sheetView workbookViewId="0">
      <pane ySplit="4" topLeftCell="A5"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s>
  <sheetData>
    <row r="1">
      <c r="A1" s="1" t="inlineStr">
        <is>
          <t>Barclays Bank UK PLC — Consolidated Statement of Changes in Equity</t>
        </is>
      </c>
    </row>
    <row r="2">
      <c r="A2" s="2" t="inlineStr">
        <is>
          <t>Barclays Bank UK Group (consolidated basis), £m</t>
        </is>
      </c>
    </row>
    <row r="3">
      <c r="A3" s="4" t="inlineStr">
        <is>
          <t>Movement</t>
        </is>
      </c>
      <c r="B3" s="4" t="inlineStr">
        <is>
          <t>Called up share capital and share premium</t>
        </is>
      </c>
      <c r="C3" s="4" t="inlineStr">
        <is>
          <t>Other equity instruments</t>
        </is>
      </c>
      <c r="D3" s="4" t="inlineStr">
        <is>
          <t>Other reserves</t>
        </is>
      </c>
      <c r="E3" s="4" t="inlineStr">
        <is>
          <t>Retained earnings</t>
        </is>
      </c>
      <c r="F3" s="4" t="inlineStr">
        <is>
          <t>Total equity</t>
        </is>
      </c>
    </row>
    <row r="4">
      <c r="A4" s="5" t="inlineStr">
        <is>
          <t>Balance as at 1 January 2018</t>
        </is>
      </c>
      <c r="B4" s="5" t="n">
        <v>5</v>
      </c>
      <c r="C4" s="5" t="n">
        <v>0</v>
      </c>
      <c r="D4" s="5" t="n">
        <v>20</v>
      </c>
      <c r="E4" s="5" t="n">
        <v>21</v>
      </c>
      <c r="F4" s="5" t="n">
        <v>46</v>
      </c>
    </row>
    <row r="5">
      <c r="A5" s="6" t="inlineStr">
        <is>
          <t>Profit after tax</t>
        </is>
      </c>
      <c r="B5" s="6" t="n"/>
      <c r="C5" s="6" t="n">
        <v>105</v>
      </c>
      <c r="D5" s="6" t="n"/>
      <c r="E5" s="6" t="n">
        <v>1010</v>
      </c>
      <c r="F5" s="6" t="n">
        <v>1115</v>
      </c>
    </row>
    <row r="6">
      <c r="A6" s="6" t="inlineStr">
        <is>
          <t>Financial assets at FVOCI reserve movement</t>
        </is>
      </c>
      <c r="B6" s="6" t="n"/>
      <c r="C6" s="6" t="n"/>
      <c r="D6" s="6" t="n">
        <v>-17</v>
      </c>
      <c r="E6" s="6" t="n"/>
      <c r="F6" s="6" t="n">
        <v>-17</v>
      </c>
    </row>
    <row r="7">
      <c r="A7" s="6" t="inlineStr">
        <is>
          <t>Cash flow hedges</t>
        </is>
      </c>
      <c r="B7" s="6" t="n"/>
      <c r="C7" s="6" t="n"/>
      <c r="D7" s="6" t="n">
        <v>20</v>
      </c>
      <c r="E7" s="6" t="n"/>
      <c r="F7" s="6" t="n">
        <v>20</v>
      </c>
    </row>
    <row r="8">
      <c r="A8" s="5" t="inlineStr">
        <is>
          <t>Total comprehensive income for the year (FY2018)</t>
        </is>
      </c>
      <c r="B8" s="5" t="n"/>
      <c r="C8" s="5" t="n">
        <v>105</v>
      </c>
      <c r="D8" s="5" t="n">
        <v>3</v>
      </c>
      <c r="E8" s="5" t="n">
        <v>1010</v>
      </c>
      <c r="F8" s="5" t="n">
        <v>1118</v>
      </c>
    </row>
    <row r="9">
      <c r="A9" s="6" t="inlineStr">
        <is>
          <t>Issue of new ordinary shares</t>
        </is>
      </c>
      <c r="B9" s="6" t="n">
        <v>13044</v>
      </c>
      <c r="C9" s="6" t="n"/>
      <c r="D9" s="6" t="n"/>
      <c r="E9" s="6" t="n"/>
      <c r="F9" s="6" t="n">
        <v>13044</v>
      </c>
    </row>
    <row r="10">
      <c r="A10" s="6" t="inlineStr">
        <is>
          <t>Equity settled share schemes</t>
        </is>
      </c>
      <c r="B10" s="6" t="n"/>
      <c r="C10" s="6" t="n"/>
      <c r="D10" s="6" t="n"/>
      <c r="E10" s="6" t="n">
        <v>19</v>
      </c>
      <c r="F10" s="6" t="n">
        <v>19</v>
      </c>
    </row>
    <row r="11">
      <c r="A11" s="6" t="inlineStr">
        <is>
          <t>Net equity impact of the UK banking business transfer</t>
        </is>
      </c>
      <c r="B11" s="6" t="n"/>
      <c r="C11" s="6" t="n">
        <v>2070</v>
      </c>
      <c r="D11" s="6" t="n">
        <v>53</v>
      </c>
      <c r="E11" s="6" t="n">
        <v>46</v>
      </c>
      <c r="F11" s="6" t="n">
        <v>2169</v>
      </c>
    </row>
    <row r="12">
      <c r="A12" s="6" t="inlineStr">
        <is>
          <t>Capital reorganisation</t>
        </is>
      </c>
      <c r="B12" s="6" t="n">
        <v>-13044</v>
      </c>
      <c r="C12" s="6" t="n"/>
      <c r="D12" s="6" t="n"/>
      <c r="E12" s="6" t="n">
        <v>13044</v>
      </c>
      <c r="F12" s="6" t="n">
        <v>0</v>
      </c>
    </row>
    <row r="13">
      <c r="A13" s="6" t="inlineStr">
        <is>
          <t>Other equity instruments coupons paid</t>
        </is>
      </c>
      <c r="B13" s="6" t="n"/>
      <c r="C13" s="6" t="n">
        <v>-105</v>
      </c>
      <c r="D13" s="6" t="n"/>
      <c r="E13" s="6" t="n">
        <v>28</v>
      </c>
      <c r="F13" s="6" t="n">
        <v>-77</v>
      </c>
    </row>
    <row r="14">
      <c r="A14" s="6" t="inlineStr">
        <is>
          <t>Vesting of employee share schemes</t>
        </is>
      </c>
      <c r="B14" s="6" t="n"/>
      <c r="C14" s="6" t="n"/>
      <c r="D14" s="6" t="n"/>
      <c r="E14" s="6" t="n">
        <v>-10</v>
      </c>
      <c r="F14" s="6" t="n">
        <v>-10</v>
      </c>
    </row>
    <row r="15">
      <c r="A15" s="6" t="inlineStr">
        <is>
          <t>Dividends paid</t>
        </is>
      </c>
      <c r="B15" s="6" t="n"/>
      <c r="C15" s="6" t="n"/>
      <c r="D15" s="6" t="n"/>
      <c r="E15" s="6" t="n">
        <v>-350</v>
      </c>
      <c r="F15" s="6" t="n">
        <v>-350</v>
      </c>
    </row>
    <row r="16">
      <c r="A16" s="6" t="inlineStr">
        <is>
          <t>Capital contribution from Barclays Bank PLC</t>
        </is>
      </c>
      <c r="B16" s="6" t="n"/>
      <c r="C16" s="6" t="n"/>
      <c r="D16" s="6" t="n"/>
      <c r="E16" s="6" t="n">
        <v>983</v>
      </c>
      <c r="F16" s="6" t="n">
        <v>983</v>
      </c>
    </row>
    <row r="17">
      <c r="A17" s="6" t="inlineStr">
        <is>
          <t>Other reserve movements</t>
        </is>
      </c>
      <c r="B17" s="6" t="n"/>
      <c r="C17" s="6" t="n"/>
      <c r="D17" s="6" t="n"/>
      <c r="E17" s="6" t="n">
        <v>1</v>
      </c>
      <c r="F17" s="6" t="n">
        <v>1</v>
      </c>
    </row>
    <row r="18">
      <c r="A18" s="5" t="inlineStr">
        <is>
          <t>Balance as at 31 December 2018</t>
        </is>
      </c>
      <c r="B18" s="5" t="n">
        <v>5</v>
      </c>
      <c r="C18" s="5" t="n">
        <v>2070</v>
      </c>
      <c r="D18" s="5" t="n">
        <v>76</v>
      </c>
      <c r="E18" s="5" t="n">
        <v>14792</v>
      </c>
      <c r="F18" s="5" t="n">
        <v>16943</v>
      </c>
    </row>
    <row r="19">
      <c r="A19" s="6" t="inlineStr">
        <is>
          <t>Profit after tax</t>
        </is>
      </c>
      <c r="B19" s="6" t="n"/>
      <c r="C19" s="6" t="n">
        <v>153</v>
      </c>
      <c r="D19" s="6" t="n"/>
      <c r="E19" s="6" t="n">
        <v>3</v>
      </c>
      <c r="F19" s="6" t="n">
        <v>156</v>
      </c>
    </row>
    <row r="20">
      <c r="A20" s="6" t="inlineStr">
        <is>
          <t>Financial assets at FVOCI reserve movement</t>
        </is>
      </c>
      <c r="B20" s="6" t="n"/>
      <c r="C20" s="6" t="n"/>
      <c r="D20" s="6" t="n">
        <v>4</v>
      </c>
      <c r="E20" s="6" t="n"/>
      <c r="F20" s="6" t="n">
        <v>4</v>
      </c>
    </row>
    <row r="21">
      <c r="A21" s="6" t="inlineStr">
        <is>
          <t>Cash flow hedges</t>
        </is>
      </c>
      <c r="B21" s="6" t="n"/>
      <c r="C21" s="6" t="n"/>
      <c r="D21" s="6" t="n">
        <v>103</v>
      </c>
      <c r="E21" s="6" t="n"/>
      <c r="F21" s="6" t="n">
        <v>103</v>
      </c>
    </row>
    <row r="22">
      <c r="A22" s="5" t="inlineStr">
        <is>
          <t>Total comprehensive income for the year (FY2019)</t>
        </is>
      </c>
      <c r="B22" s="5" t="n"/>
      <c r="C22" s="5" t="n">
        <v>153</v>
      </c>
      <c r="D22" s="5" t="n">
        <v>107</v>
      </c>
      <c r="E22" s="5" t="n">
        <v>3</v>
      </c>
      <c r="F22" s="5" t="n">
        <v>263</v>
      </c>
    </row>
    <row r="23">
      <c r="A23" s="6" t="inlineStr">
        <is>
          <t>Issue and exchange of other equity instruments</t>
        </is>
      </c>
      <c r="B23" s="6" t="n"/>
      <c r="C23" s="6" t="n">
        <v>490</v>
      </c>
      <c r="D23" s="6" t="n"/>
      <c r="E23" s="6" t="n"/>
      <c r="F23" s="6" t="n">
        <v>490</v>
      </c>
    </row>
    <row r="24">
      <c r="A24" s="6" t="inlineStr">
        <is>
          <t>Equity settled share schemes</t>
        </is>
      </c>
      <c r="B24" s="6" t="n"/>
      <c r="C24" s="6" t="n"/>
      <c r="D24" s="6" t="n"/>
      <c r="E24" s="6" t="n">
        <v>32</v>
      </c>
      <c r="F24" s="6" t="n">
        <v>32</v>
      </c>
    </row>
    <row r="25">
      <c r="A25" s="6" t="inlineStr">
        <is>
          <t>Other equity instruments coupons paid</t>
        </is>
      </c>
      <c r="B25" s="6" t="n"/>
      <c r="C25" s="6" t="n">
        <v>-153</v>
      </c>
      <c r="D25" s="6" t="n"/>
      <c r="E25" s="6" t="n"/>
      <c r="F25" s="6" t="n">
        <v>-153</v>
      </c>
    </row>
    <row r="26">
      <c r="A26" s="6" t="inlineStr">
        <is>
          <t>Vesting of employee share schemes</t>
        </is>
      </c>
      <c r="B26" s="6" t="n"/>
      <c r="C26" s="6" t="n"/>
      <c r="D26" s="6" t="n"/>
      <c r="E26" s="6" t="n">
        <v>-12</v>
      </c>
      <c r="F26" s="6" t="n">
        <v>-12</v>
      </c>
    </row>
    <row r="27">
      <c r="A27" s="6" t="inlineStr">
        <is>
          <t>Dividends paid</t>
        </is>
      </c>
      <c r="B27" s="6" t="n"/>
      <c r="C27" s="6" t="n"/>
      <c r="D27" s="6" t="n"/>
      <c r="E27" s="6" t="n">
        <v>-1050</v>
      </c>
      <c r="F27" s="6" t="n">
        <v>-1050</v>
      </c>
    </row>
    <row r="28">
      <c r="A28" s="5" t="inlineStr">
        <is>
          <t>Balance as at 31 December 2019</t>
        </is>
      </c>
      <c r="B28" s="5" t="n">
        <v>5</v>
      </c>
      <c r="C28" s="5" t="n">
        <v>2560</v>
      </c>
      <c r="D28" s="5" t="n">
        <v>183</v>
      </c>
      <c r="E28" s="5" t="n">
        <v>13765</v>
      </c>
      <c r="F28" s="5" t="n">
        <v>16513</v>
      </c>
    </row>
    <row r="29">
      <c r="A29" s="6" t="inlineStr">
        <is>
          <t>Profit after tax</t>
        </is>
      </c>
      <c r="B29" s="6" t="n"/>
      <c r="C29" s="6" t="n">
        <v>180</v>
      </c>
      <c r="D29" s="6" t="n"/>
      <c r="E29" s="6" t="n">
        <v>199</v>
      </c>
      <c r="F29" s="6" t="n">
        <v>379</v>
      </c>
    </row>
    <row r="30">
      <c r="A30" s="6" t="inlineStr">
        <is>
          <t>Financial assets at FVOCI reserve movement</t>
        </is>
      </c>
      <c r="B30" s="6" t="n"/>
      <c r="C30" s="6" t="n"/>
      <c r="D30" s="6" t="n">
        <v>72</v>
      </c>
      <c r="E30" s="6" t="n"/>
      <c r="F30" s="6" t="n">
        <v>72</v>
      </c>
    </row>
    <row r="31">
      <c r="A31" s="6" t="inlineStr">
        <is>
          <t>Cash flow hedges</t>
        </is>
      </c>
      <c r="B31" s="6" t="n"/>
      <c r="C31" s="6" t="n"/>
      <c r="D31" s="6" t="n">
        <v>218</v>
      </c>
      <c r="E31" s="6" t="n"/>
      <c r="F31" s="6" t="n">
        <v>218</v>
      </c>
    </row>
    <row r="32">
      <c r="A32" s="6" t="inlineStr">
        <is>
          <t>Other</t>
        </is>
      </c>
      <c r="B32" s="6" t="n"/>
      <c r="C32" s="6" t="n"/>
      <c r="D32" s="6" t="n"/>
      <c r="E32" s="6" t="n">
        <v>1</v>
      </c>
      <c r="F32" s="6" t="n">
        <v>1</v>
      </c>
    </row>
    <row r="33">
      <c r="A33" s="5" t="inlineStr">
        <is>
          <t>Total comprehensive income for the year (FY2020)</t>
        </is>
      </c>
      <c r="B33" s="5" t="n"/>
      <c r="C33" s="5" t="n">
        <v>180</v>
      </c>
      <c r="D33" s="5" t="n">
        <v>290</v>
      </c>
      <c r="E33" s="5" t="n">
        <v>200</v>
      </c>
      <c r="F33" s="5" t="n">
        <v>670</v>
      </c>
    </row>
    <row r="34">
      <c r="A34" s="6" t="inlineStr">
        <is>
          <t>Equity settled share schemes</t>
        </is>
      </c>
      <c r="B34" s="6" t="n"/>
      <c r="C34" s="6" t="n"/>
      <c r="D34" s="6" t="n"/>
      <c r="E34" s="6" t="n">
        <v>31</v>
      </c>
      <c r="F34" s="6" t="n">
        <v>31</v>
      </c>
    </row>
    <row r="35">
      <c r="A35" s="6" t="inlineStr">
        <is>
          <t>Other equity instruments coupons paid</t>
        </is>
      </c>
      <c r="B35" s="6" t="n"/>
      <c r="C35" s="6" t="n">
        <v>-180</v>
      </c>
      <c r="D35" s="6" t="n"/>
      <c r="E35" s="6" t="n"/>
      <c r="F35" s="6" t="n">
        <v>-180</v>
      </c>
    </row>
    <row r="36">
      <c r="A36" s="6" t="inlineStr">
        <is>
          <t>Vesting of employee share schemes</t>
        </is>
      </c>
      <c r="B36" s="6" t="n"/>
      <c r="C36" s="6" t="n"/>
      <c r="D36" s="6" t="n"/>
      <c r="E36" s="6" t="n">
        <v>-12</v>
      </c>
      <c r="F36" s="6" t="n">
        <v>-12</v>
      </c>
    </row>
    <row r="37">
      <c r="A37" s="6" t="inlineStr">
        <is>
          <t>Dividends paid</t>
        </is>
      </c>
      <c r="B37" s="6" t="n"/>
      <c r="C37" s="6" t="n"/>
      <c r="D37" s="6" t="n"/>
      <c r="E37" s="6" t="n">
        <v>-220</v>
      </c>
      <c r="F37" s="6" t="n">
        <v>-220</v>
      </c>
    </row>
    <row r="38">
      <c r="A38" s="6" t="inlineStr">
        <is>
          <t>Capital contribution from Barclays PLC</t>
        </is>
      </c>
      <c r="B38" s="6" t="n"/>
      <c r="C38" s="6" t="n"/>
      <c r="D38" s="6" t="n"/>
      <c r="E38" s="6" t="n">
        <v>220</v>
      </c>
      <c r="F38" s="6" t="n">
        <v>220</v>
      </c>
    </row>
    <row r="39">
      <c r="A39" s="6" t="inlineStr">
        <is>
          <t>Other reserve movements</t>
        </is>
      </c>
      <c r="B39" s="6" t="n"/>
      <c r="C39" s="6" t="n"/>
      <c r="D39" s="6" t="n"/>
      <c r="E39" s="6" t="n">
        <v>5</v>
      </c>
      <c r="F39" s="6" t="n">
        <v>5</v>
      </c>
    </row>
    <row r="40">
      <c r="A40" s="5" t="inlineStr">
        <is>
          <t>Balance as at 31 December 2020 / 1 January 2021</t>
        </is>
      </c>
      <c r="B40" s="5" t="n">
        <v>5</v>
      </c>
      <c r="C40" s="5" t="n">
        <v>2560</v>
      </c>
      <c r="D40" s="5" t="n">
        <v>473</v>
      </c>
      <c r="E40" s="5" t="n">
        <v>13989</v>
      </c>
      <c r="F40" s="5" t="n">
        <v>17027</v>
      </c>
    </row>
    <row r="41">
      <c r="A41" s="6" t="inlineStr">
        <is>
          <t>Profit after tax</t>
        </is>
      </c>
      <c r="B41" s="6" t="n"/>
      <c r="C41" s="6" t="n">
        <v>173</v>
      </c>
      <c r="D41" s="6" t="n"/>
      <c r="E41" s="6" t="n">
        <v>1696</v>
      </c>
      <c r="F41" s="6" t="n">
        <v>1869</v>
      </c>
    </row>
    <row r="42">
      <c r="A42" s="6" t="inlineStr">
        <is>
          <t>Financial assets at FVOCI reserve movement</t>
        </is>
      </c>
      <c r="B42" s="6" t="n"/>
      <c r="C42" s="6" t="n"/>
      <c r="D42" s="6" t="n">
        <v>-67</v>
      </c>
      <c r="E42" s="6" t="n"/>
      <c r="F42" s="6" t="n">
        <v>-67</v>
      </c>
    </row>
    <row r="43">
      <c r="A43" s="6" t="inlineStr">
        <is>
          <t>Cash flow hedges</t>
        </is>
      </c>
      <c r="B43" s="6" t="n"/>
      <c r="C43" s="6" t="n"/>
      <c r="D43" s="6" t="n">
        <v>-772</v>
      </c>
      <c r="E43" s="6" t="n"/>
      <c r="F43" s="6" t="n">
        <v>-772</v>
      </c>
    </row>
    <row r="44">
      <c r="A44" s="5" t="inlineStr">
        <is>
          <t>Total comprehensive income for the year (FY2021)</t>
        </is>
      </c>
      <c r="B44" s="5" t="n"/>
      <c r="C44" s="5" t="n">
        <v>173</v>
      </c>
      <c r="D44" s="5" t="n">
        <v>-839</v>
      </c>
      <c r="E44" s="5" t="n">
        <v>1696</v>
      </c>
      <c r="F44" s="5" t="n">
        <v>1030</v>
      </c>
    </row>
    <row r="45">
      <c r="A45" s="6" t="inlineStr">
        <is>
          <t>Employee share schemes</t>
        </is>
      </c>
      <c r="B45" s="6" t="n"/>
      <c r="C45" s="6" t="n"/>
      <c r="D45" s="6" t="n"/>
      <c r="E45" s="6" t="n">
        <v>37</v>
      </c>
      <c r="F45" s="6" t="n">
        <v>37</v>
      </c>
    </row>
    <row r="46">
      <c r="A46" s="6" t="inlineStr">
        <is>
          <t>Other equity instruments coupons paid</t>
        </is>
      </c>
      <c r="B46" s="6" t="n"/>
      <c r="C46" s="6" t="n">
        <v>-173</v>
      </c>
      <c r="D46" s="6" t="n"/>
      <c r="E46" s="6" t="n"/>
      <c r="F46" s="6" t="n">
        <v>-173</v>
      </c>
    </row>
    <row r="47">
      <c r="A47" s="6" t="inlineStr">
        <is>
          <t>Vesting of employee share schemes</t>
        </is>
      </c>
      <c r="B47" s="6" t="n"/>
      <c r="C47" s="6" t="n"/>
      <c r="D47" s="6" t="n"/>
      <c r="E47" s="6" t="n">
        <v>-11</v>
      </c>
      <c r="F47" s="6" t="n">
        <v>-11</v>
      </c>
    </row>
    <row r="48">
      <c r="A48" s="6" t="inlineStr">
        <is>
          <t>Dividends paid</t>
        </is>
      </c>
      <c r="B48" s="6" t="n"/>
      <c r="C48" s="6" t="n"/>
      <c r="D48" s="6" t="n"/>
      <c r="E48" s="6" t="n">
        <v>-510</v>
      </c>
      <c r="F48" s="6" t="n">
        <v>-510</v>
      </c>
    </row>
    <row r="49">
      <c r="A49" s="6" t="inlineStr">
        <is>
          <t>Capital contribution from Barclays PLC</t>
        </is>
      </c>
      <c r="B49" s="6" t="n"/>
      <c r="C49" s="6" t="n"/>
      <c r="D49" s="6" t="n"/>
      <c r="E49" s="6" t="n">
        <v>0</v>
      </c>
      <c r="F49" s="6" t="n">
        <v>0</v>
      </c>
    </row>
    <row r="50">
      <c r="A50" s="5" t="inlineStr">
        <is>
          <t>Balance as at 31 December 2021</t>
        </is>
      </c>
      <c r="B50" s="5" t="n">
        <v>5</v>
      </c>
      <c r="C50" s="5" t="n">
        <v>2560</v>
      </c>
      <c r="D50" s="5" t="n">
        <v>-366</v>
      </c>
      <c r="E50" s="5" t="n">
        <v>15201</v>
      </c>
      <c r="F50" s="5" t="n">
        <v>17400</v>
      </c>
    </row>
    <row r="51">
      <c r="A51" s="6" t="inlineStr">
        <is>
          <t>Profit after tax</t>
        </is>
      </c>
      <c r="B51" s="6" t="n"/>
      <c r="C51" s="6" t="n">
        <v>173</v>
      </c>
      <c r="D51" s="6" t="n"/>
      <c r="E51" s="6" t="n">
        <v>1634</v>
      </c>
      <c r="F51" s="6" t="n">
        <v>1807</v>
      </c>
    </row>
    <row r="52">
      <c r="A52" s="6" t="inlineStr">
        <is>
          <t>Financial assets at FVOCI reserve movement</t>
        </is>
      </c>
      <c r="B52" s="6" t="n"/>
      <c r="C52" s="6" t="n"/>
      <c r="D52" s="6" t="n">
        <v>-198</v>
      </c>
      <c r="E52" s="6" t="n"/>
      <c r="F52" s="6" t="n">
        <v>-198</v>
      </c>
    </row>
    <row r="53">
      <c r="A53" s="6" t="inlineStr">
        <is>
          <t>Cash flow hedges</t>
        </is>
      </c>
      <c r="B53" s="6" t="n"/>
      <c r="C53" s="6" t="n"/>
      <c r="D53" s="6" t="n">
        <v>-1715</v>
      </c>
      <c r="E53" s="6" t="n"/>
      <c r="F53" s="6" t="n">
        <v>-1715</v>
      </c>
    </row>
    <row r="54">
      <c r="A54" s="5" t="inlineStr">
        <is>
          <t>Total comprehensive income for the year (FY2022)</t>
        </is>
      </c>
      <c r="B54" s="5" t="n"/>
      <c r="C54" s="5" t="n">
        <v>173</v>
      </c>
      <c r="D54" s="5" t="n">
        <v>-1913</v>
      </c>
      <c r="E54" s="5" t="n">
        <v>1634</v>
      </c>
      <c r="F54" s="5" t="n">
        <v>-106</v>
      </c>
    </row>
    <row r="55">
      <c r="A55" s="6" t="inlineStr">
        <is>
          <t>Employee share schemes</t>
        </is>
      </c>
      <c r="B55" s="6" t="n"/>
      <c r="C55" s="6" t="n"/>
      <c r="D55" s="6" t="n"/>
      <c r="E55" s="6" t="n">
        <v>22</v>
      </c>
      <c r="F55" s="6" t="n">
        <v>22</v>
      </c>
    </row>
    <row r="56">
      <c r="A56" s="6" t="inlineStr">
        <is>
          <t>Other equity instruments coupons paid</t>
        </is>
      </c>
      <c r="B56" s="6" t="n"/>
      <c r="C56" s="6" t="n">
        <v>-173</v>
      </c>
      <c r="D56" s="6" t="n"/>
      <c r="E56" s="6" t="n"/>
      <c r="F56" s="6" t="n">
        <v>-173</v>
      </c>
    </row>
    <row r="57">
      <c r="A57" s="6" t="inlineStr">
        <is>
          <t>Vesting of Barclays PLC shares under share based payment schemes</t>
        </is>
      </c>
      <c r="B57" s="6" t="n"/>
      <c r="C57" s="6" t="n"/>
      <c r="D57" s="6" t="n"/>
      <c r="E57" s="6" t="n">
        <v>-14</v>
      </c>
      <c r="F57" s="6" t="n">
        <v>-14</v>
      </c>
    </row>
    <row r="58">
      <c r="A58" s="6" t="inlineStr">
        <is>
          <t>Dividends paid</t>
        </is>
      </c>
      <c r="B58" s="6" t="n"/>
      <c r="C58" s="6" t="n"/>
      <c r="D58" s="6" t="n"/>
      <c r="E58" s="6" t="n">
        <v>-1715</v>
      </c>
      <c r="F58" s="6" t="n">
        <v>-1715</v>
      </c>
    </row>
    <row r="59">
      <c r="A59" s="6" t="inlineStr">
        <is>
          <t>Other reserve movements</t>
        </is>
      </c>
      <c r="B59" s="6" t="n"/>
      <c r="C59" s="6" t="n"/>
      <c r="D59" s="6" t="n"/>
      <c r="E59" s="6" t="n">
        <v>-1</v>
      </c>
      <c r="F59" s="6" t="n">
        <v>-1</v>
      </c>
    </row>
    <row r="60">
      <c r="A60" s="5" t="inlineStr">
        <is>
          <t>Balance as at 31 December 2022</t>
        </is>
      </c>
      <c r="B60" s="5" t="n">
        <v>5</v>
      </c>
      <c r="C60" s="5" t="n">
        <v>2560</v>
      </c>
      <c r="D60" s="5" t="n">
        <v>-2279</v>
      </c>
      <c r="E60" s="5" t="n">
        <v>15127</v>
      </c>
      <c r="F60" s="5" t="n">
        <v>15413</v>
      </c>
    </row>
    <row r="61">
      <c r="A61" s="6" t="inlineStr">
        <is>
          <t>Profit after tax</t>
        </is>
      </c>
      <c r="B61" s="6" t="n"/>
      <c r="C61" s="6" t="n">
        <v>177</v>
      </c>
      <c r="D61" s="6" t="n"/>
      <c r="E61" s="6" t="n">
        <v>1745</v>
      </c>
      <c r="F61" s="6" t="n">
        <v>1922</v>
      </c>
    </row>
    <row r="62">
      <c r="A62" s="6" t="inlineStr">
        <is>
          <t>Financial assets at FVOCI reserve movement</t>
        </is>
      </c>
      <c r="B62" s="6" t="n"/>
      <c r="C62" s="6" t="n"/>
      <c r="D62" s="6" t="n">
        <v>63</v>
      </c>
      <c r="E62" s="6" t="n"/>
      <c r="F62" s="6" t="n">
        <v>63</v>
      </c>
    </row>
    <row r="63">
      <c r="A63" s="6" t="inlineStr">
        <is>
          <t>Cash flow hedges</t>
        </is>
      </c>
      <c r="B63" s="6" t="n"/>
      <c r="C63" s="6" t="n"/>
      <c r="D63" s="6" t="n">
        <v>1065</v>
      </c>
      <c r="E63" s="6" t="n"/>
      <c r="F63" s="6" t="n">
        <v>1065</v>
      </c>
    </row>
    <row r="64">
      <c r="A64" s="5" t="inlineStr">
        <is>
          <t>Total comprehensive income for the year (FY2023)</t>
        </is>
      </c>
      <c r="B64" s="5" t="n"/>
      <c r="C64" s="5" t="n">
        <v>177</v>
      </c>
      <c r="D64" s="5" t="n">
        <v>1128</v>
      </c>
      <c r="E64" s="5" t="n">
        <v>1745</v>
      </c>
      <c r="F64" s="5" t="n">
        <v>3050</v>
      </c>
    </row>
    <row r="65">
      <c r="A65" s="6" t="inlineStr">
        <is>
          <t>Employee share schemes</t>
        </is>
      </c>
      <c r="B65" s="6" t="n"/>
      <c r="C65" s="6" t="n"/>
      <c r="D65" s="6" t="n"/>
      <c r="E65" s="6" t="n">
        <v>22</v>
      </c>
      <c r="F65" s="6" t="n">
        <v>22</v>
      </c>
    </row>
    <row r="66">
      <c r="A66" s="6" t="inlineStr">
        <is>
          <t>Issue and redemption of other equity</t>
        </is>
      </c>
      <c r="B66" s="6" t="n"/>
      <c r="C66" s="6" t="n">
        <v>-131</v>
      </c>
      <c r="D66" s="6" t="n"/>
      <c r="E66" s="6" t="n">
        <v>2</v>
      </c>
      <c r="F66" s="6" t="n">
        <v>-129</v>
      </c>
    </row>
    <row r="67">
      <c r="A67" s="6" t="inlineStr">
        <is>
          <t>Other equity instruments coupons paid</t>
        </is>
      </c>
      <c r="B67" s="6" t="n"/>
      <c r="C67" s="6" t="n">
        <v>-177</v>
      </c>
      <c r="D67" s="6" t="n"/>
      <c r="E67" s="6" t="n"/>
      <c r="F67" s="6" t="n">
        <v>-177</v>
      </c>
    </row>
    <row r="68">
      <c r="A68" s="6" t="inlineStr">
        <is>
          <t>Vesting of Barclays PLC shares under share based payment schemes</t>
        </is>
      </c>
      <c r="B68" s="6" t="n"/>
      <c r="C68" s="6" t="n"/>
      <c r="D68" s="6" t="n"/>
      <c r="E68" s="6" t="n">
        <v>-16</v>
      </c>
      <c r="F68" s="6" t="n">
        <v>-16</v>
      </c>
    </row>
    <row r="69">
      <c r="A69" s="6" t="inlineStr">
        <is>
          <t>Dividends paid</t>
        </is>
      </c>
      <c r="B69" s="6" t="n"/>
      <c r="C69" s="6" t="n"/>
      <c r="D69" s="6" t="n"/>
      <c r="E69" s="6" t="n">
        <v>-1305</v>
      </c>
      <c r="F69" s="6" t="n">
        <v>-1305</v>
      </c>
    </row>
    <row r="70">
      <c r="A70" s="6" t="inlineStr">
        <is>
          <t>Other reserve movements</t>
        </is>
      </c>
      <c r="B70" s="6" t="n"/>
      <c r="C70" s="6" t="n"/>
      <c r="D70" s="6" t="n"/>
      <c r="E70" s="6" t="n">
        <v>3</v>
      </c>
      <c r="F70" s="6" t="n">
        <v>3</v>
      </c>
    </row>
    <row r="71">
      <c r="A71" s="5" t="inlineStr">
        <is>
          <t>Balance as at 31 December 2023</t>
        </is>
      </c>
      <c r="B71" s="5" t="n">
        <v>5</v>
      </c>
      <c r="C71" s="5" t="n">
        <v>2429</v>
      </c>
      <c r="D71" s="5" t="n">
        <v>-1151</v>
      </c>
      <c r="E71" s="5" t="n">
        <v>15578</v>
      </c>
      <c r="F71" s="5" t="n">
        <v>16861</v>
      </c>
    </row>
    <row r="72">
      <c r="A72" s="6" t="inlineStr">
        <is>
          <t>Profit after tax</t>
        </is>
      </c>
      <c r="B72" s="6" t="n"/>
      <c r="C72" s="6" t="n">
        <v>198</v>
      </c>
      <c r="D72" s="6" t="n"/>
      <c r="E72" s="6" t="n">
        <v>2422</v>
      </c>
      <c r="F72" s="6" t="n">
        <v>2620</v>
      </c>
    </row>
    <row r="73">
      <c r="A73" s="6" t="inlineStr">
        <is>
          <t>Financial assets at FVOCI reserve movement</t>
        </is>
      </c>
      <c r="B73" s="6" t="n"/>
      <c r="C73" s="6" t="n"/>
      <c r="D73" s="6" t="n">
        <v>-33</v>
      </c>
      <c r="E73" s="6" t="n"/>
      <c r="F73" s="6" t="n">
        <v>-33</v>
      </c>
    </row>
    <row r="74">
      <c r="A74" s="6" t="inlineStr">
        <is>
          <t>Cash flow hedges</t>
        </is>
      </c>
      <c r="B74" s="6" t="n"/>
      <c r="C74" s="6" t="n"/>
      <c r="D74" s="6" t="n">
        <v>288</v>
      </c>
      <c r="E74" s="6" t="n"/>
      <c r="F74" s="6" t="n">
        <v>288</v>
      </c>
    </row>
    <row r="75">
      <c r="A75" s="5" t="inlineStr">
        <is>
          <t>Total comprehensive income for the year (FY2024)</t>
        </is>
      </c>
      <c r="B75" s="5" t="n"/>
      <c r="C75" s="5" t="n">
        <v>198</v>
      </c>
      <c r="D75" s="5" t="n">
        <v>255</v>
      </c>
      <c r="E75" s="5" t="n">
        <v>2422</v>
      </c>
      <c r="F75" s="5" t="n">
        <v>2875</v>
      </c>
    </row>
    <row r="76">
      <c r="A76" s="6" t="inlineStr">
        <is>
          <t>Employee share schemes</t>
        </is>
      </c>
      <c r="B76" s="6" t="n"/>
      <c r="C76" s="6" t="n"/>
      <c r="D76" s="6" t="n"/>
      <c r="E76" s="6" t="n">
        <v>42</v>
      </c>
      <c r="F76" s="6" t="n">
        <v>42</v>
      </c>
    </row>
    <row r="77">
      <c r="A77" s="6" t="inlineStr">
        <is>
          <t>Issue and exchange of other equity</t>
        </is>
      </c>
      <c r="B77" s="6" t="n"/>
      <c r="C77" s="6" t="n">
        <v>-4</v>
      </c>
      <c r="D77" s="6" t="n"/>
      <c r="E77" s="6" t="n"/>
      <c r="F77" s="6" t="n">
        <v>-4</v>
      </c>
    </row>
    <row r="78">
      <c r="A78" s="6" t="inlineStr">
        <is>
          <t>Other equity instruments coupons paid</t>
        </is>
      </c>
      <c r="B78" s="6" t="n"/>
      <c r="C78" s="6" t="n">
        <v>-198</v>
      </c>
      <c r="D78" s="6" t="n"/>
      <c r="E78" s="6" t="n"/>
      <c r="F78" s="6" t="n">
        <v>-198</v>
      </c>
    </row>
    <row r="79">
      <c r="A79" s="6" t="inlineStr">
        <is>
          <t>Vesting of Barclays PLC shares under share based payment schemes</t>
        </is>
      </c>
      <c r="B79" s="6" t="n"/>
      <c r="C79" s="6" t="n"/>
      <c r="D79" s="6" t="n"/>
      <c r="E79" s="6" t="n">
        <v>-15</v>
      </c>
      <c r="F79" s="6" t="n">
        <v>-15</v>
      </c>
    </row>
    <row r="80">
      <c r="A80" s="6" t="inlineStr">
        <is>
          <t>Dividends paid</t>
        </is>
      </c>
      <c r="B80" s="6" t="n"/>
      <c r="C80" s="6" t="n"/>
      <c r="D80" s="6" t="n"/>
      <c r="E80" s="6" t="n">
        <v>-975</v>
      </c>
      <c r="F80" s="6" t="n">
        <v>-975</v>
      </c>
    </row>
    <row r="81">
      <c r="A81" s="6" t="inlineStr">
        <is>
          <t>Other reserve movements</t>
        </is>
      </c>
      <c r="B81" s="6" t="n"/>
      <c r="C81" s="6" t="n"/>
      <c r="D81" s="6" t="n"/>
      <c r="E81" s="6" t="n">
        <v>-1</v>
      </c>
      <c r="F81" s="6" t="n">
        <v>-1</v>
      </c>
    </row>
    <row r="82">
      <c r="A82" s="5" t="inlineStr">
        <is>
          <t>Balance as at 31 December 2024</t>
        </is>
      </c>
      <c r="B82" s="5" t="n">
        <v>5</v>
      </c>
      <c r="C82" s="5" t="n">
        <v>2425</v>
      </c>
      <c r="D82" s="5" t="n">
        <v>-896</v>
      </c>
      <c r="E82" s="5" t="n">
        <v>17051</v>
      </c>
      <c r="F82" s="5" t="n">
        <v>18585</v>
      </c>
    </row>
    <row r="83">
      <c r="A83" s="6" t="inlineStr">
        <is>
          <t>Profit after tax</t>
        </is>
      </c>
      <c r="B83" s="6" t="n"/>
      <c r="C83" s="6" t="n">
        <v>214</v>
      </c>
      <c r="D83" s="6" t="n"/>
      <c r="E83" s="6" t="n">
        <v>2380</v>
      </c>
      <c r="F83" s="6" t="n">
        <v>2594</v>
      </c>
    </row>
    <row r="84">
      <c r="A84" s="6" t="inlineStr">
        <is>
          <t>Financial assets at FVOCI reserve movement</t>
        </is>
      </c>
      <c r="B84" s="6" t="n"/>
      <c r="C84" s="6" t="n"/>
      <c r="D84" s="6" t="n">
        <v>106</v>
      </c>
      <c r="E84" s="6" t="n"/>
      <c r="F84" s="6" t="n">
        <v>106</v>
      </c>
    </row>
    <row r="85">
      <c r="A85" s="6" t="inlineStr">
        <is>
          <t>Cash flow hedges</t>
        </is>
      </c>
      <c r="B85" s="6" t="n"/>
      <c r="C85" s="6" t="n"/>
      <c r="D85" s="6" t="n">
        <v>752</v>
      </c>
      <c r="E85" s="6" t="n"/>
      <c r="F85" s="6" t="n">
        <v>752</v>
      </c>
    </row>
    <row r="86">
      <c r="A86" s="6" t="inlineStr">
        <is>
          <t>Pension remeasurement</t>
        </is>
      </c>
      <c r="B86" s="6" t="n"/>
      <c r="C86" s="6" t="n"/>
      <c r="D86" s="6" t="n"/>
      <c r="E86" s="6" t="n">
        <v>46</v>
      </c>
      <c r="F86" s="6" t="n">
        <v>46</v>
      </c>
    </row>
    <row r="87">
      <c r="A87" s="5" t="inlineStr">
        <is>
          <t>Total comprehensive income for the year (FY2025)</t>
        </is>
      </c>
      <c r="B87" s="5" t="n"/>
      <c r="C87" s="5" t="n">
        <v>214</v>
      </c>
      <c r="D87" s="5" t="n">
        <v>858</v>
      </c>
      <c r="E87" s="5" t="n">
        <v>2426</v>
      </c>
      <c r="F87" s="5" t="n">
        <v>3498</v>
      </c>
    </row>
    <row r="88">
      <c r="A88" s="6" t="inlineStr">
        <is>
          <t>Employee share schemes</t>
        </is>
      </c>
      <c r="B88" s="6" t="n"/>
      <c r="C88" s="6" t="n"/>
      <c r="D88" s="6" t="n"/>
      <c r="E88" s="6" t="n">
        <v>72</v>
      </c>
      <c r="F88" s="6" t="n">
        <v>72</v>
      </c>
    </row>
    <row r="89">
      <c r="A89" s="6" t="inlineStr">
        <is>
          <t>Issue and redemption of other equity</t>
        </is>
      </c>
      <c r="B89" s="6" t="n"/>
      <c r="C89" s="6" t="n">
        <v>-198</v>
      </c>
      <c r="D89" s="6" t="n"/>
      <c r="E89" s="6" t="n">
        <v>-9</v>
      </c>
      <c r="F89" s="6" t="n">
        <v>-207</v>
      </c>
    </row>
    <row r="90">
      <c r="A90" s="6" t="inlineStr">
        <is>
          <t>Other equity instruments coupons paid</t>
        </is>
      </c>
      <c r="B90" s="6" t="n"/>
      <c r="C90" s="6" t="n">
        <v>-214</v>
      </c>
      <c r="D90" s="6" t="n"/>
      <c r="E90" s="6" t="n"/>
      <c r="F90" s="6" t="n">
        <v>-214</v>
      </c>
    </row>
    <row r="91">
      <c r="A91" s="6" t="inlineStr">
        <is>
          <t>Vesting of Barclays PLC shares under share based payment schemes</t>
        </is>
      </c>
      <c r="B91" s="6" t="n"/>
      <c r="C91" s="6" t="n"/>
      <c r="D91" s="6" t="n"/>
      <c r="E91" s="6" t="n">
        <v>-28</v>
      </c>
      <c r="F91" s="6" t="n">
        <v>-28</v>
      </c>
    </row>
    <row r="92">
      <c r="A92" s="6" t="inlineStr">
        <is>
          <t>Dividends paid</t>
        </is>
      </c>
      <c r="B92" s="6" t="n"/>
      <c r="C92" s="6" t="n"/>
      <c r="D92" s="6" t="n"/>
      <c r="E92" s="6" t="n">
        <v>-1425</v>
      </c>
      <c r="F92" s="6" t="n">
        <v>-1425</v>
      </c>
    </row>
    <row r="93">
      <c r="A93" s="6" t="inlineStr">
        <is>
          <t>Other reserve movements</t>
        </is>
      </c>
      <c r="B93" s="6" t="n"/>
      <c r="C93" s="6" t="n"/>
      <c r="D93" s="6" t="n"/>
      <c r="E93" s="6" t="n">
        <v>-3</v>
      </c>
      <c r="F93" s="6" t="n">
        <v>-3</v>
      </c>
    </row>
    <row r="94">
      <c r="A94" s="5" t="inlineStr">
        <is>
          <t>Balance as at 31 December 2025</t>
        </is>
      </c>
      <c r="B94" s="5" t="n">
        <v>5</v>
      </c>
      <c r="C94" s="5" t="n">
        <v>2227</v>
      </c>
      <c r="D94" s="5" t="n">
        <v>-38</v>
      </c>
      <c r="E94" s="5" t="n">
        <v>18084</v>
      </c>
      <c r="F94" s="5" t="n">
        <v>20278</v>
      </c>
    </row>
    <row r="96" ht="273" customHeight="1">
      <c r="A96" s="8" t="inlineStr">
        <is>
          <t>Sources — all figures are Barclays Bank UK Group consolidated (audited), £m:
FY2025 &amp; FY2024: Barclays Bank UK PLC Annual Report 2025, pp.197 (income statement), 199 (balance sheet), 200 (statement of changes in equity) — https://home.barclays/content/dam/home-barclays/documents/investor-relations/reports-and-events/annual-reports/2025/Barclays-Bank-UK-PLC-Annual-Report-2025.pdf
FY2023 &amp; FY2022: Barclays Bank UK PLC Annual Report 2023, pp.162 (income statement), 164 (balance sheet), 165 (statement of changes in equity) — https://home.barclays/content/dam/home-barclays/documents/investor-relations/reports-and-events/annual-reports/2023/Barclays-Bank-UK-Annual-Report-2023-Results-committee.pdf
FY2021: Barclays Bank UK PLC Annual Report 2021, pp.134 (income statement), 136 (balance sheet), 137 (statement of changes in equity) — https://home.barclays/content/dam/home-barclays/documents/investor-relations/reports-and-events/annual-reports/2021/Barclays-Bank-UK-PLC-2021-Annual-Report.pdf
FY2020: Barclays Bank UK PLC Annual Report 2020, pp.123 (income statement), 125 (balance sheet), 126 (statement of changes in equity) — https://home.barclays/content/dam/home-barclays/documents/investor-relations/reports-and-events/annual-reports/2020/Barclays-Bank-UK-PLC-2020-Annual-Report.pdf
FY2019: Barclays Bank UK PLC Annual Report 2019, pp.104 (income statement), 106 (balance sheet), 107 (statement of changes in equity) — https://home.barclays/content/dam/home-barclays/documents/investor-relations/reports-and-events/annual-reports/2019/Barclays%20Bank%20UK%20PLC%20Annual%20Report%202019.pdf
FY2018: Barclays Bank UK PLC Annual Report 2018, pp.105 (income statement), 107 (balance sheet), 108 (statement of changes in equity) — https://home.barclays/content/dam/home-barclays/documents/investor-relations/reports-and-events/annual-reports/2018/2018-barclays-bank-uk-plc-annual-report.pdf
Balance sheet note: FY2018-FY2021 do not split loans and advances at amortised cost into a bank/customer split, do not disclose a separate debt securities at amortised cost line, and report deposits at amortised cost as a single combined line - the combined figures appear on their own row for those years only; FY2022-2025 all split these. FY2020 is the only year with a separate 'Current tax assets' line (a small net asset position; other years report a nil/immaterial current tax asset position folded into other lines). Income statement note: FY2018-FY2021 place credit impairment charges/(releases) before operating expenses (subtotalled as 'Net operating income'), while FY2022-2025 place it after operating expenses (subtotalled as 'Profit before impairment') - a genuine presentation restructuring, not a transcription error; each year's own subtotals are reproduced as reported. FY2020 and FY2021 both separately disclose a 'Profit on disposal of subsidiaries, associates and joint ventures' line before profit before tax. Figures for FY2018-FY2020 are each reproduced exactly as originally reported in that year's own Annual Report, not as later restated comparatives (e.g. Barclays restated FY2018's tax charge by £28m from FY2019 onward following an IAS 12 update on AT1 coupon tax relief) - consistent with this workbook's sourcing convention throughout.</t>
        </is>
      </c>
    </row>
  </sheetData>
  <mergeCells count="1">
    <mergeCell ref="A96:F9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PLC — Consolidated Cash Flow Statement</t>
        </is>
      </c>
    </row>
    <row r="2">
      <c r="A2" s="2" t="inlineStr">
        <is>
          <t>Barclays Bank UK Group (consolidated basis), £m unless stated</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Reconciliation of profit before tax to net cash flows from operating activities</t>
        </is>
      </c>
      <c r="B4" s="6" t="n"/>
      <c r="C4" s="6" t="n"/>
      <c r="D4" s="6" t="n"/>
      <c r="E4" s="6" t="n"/>
      <c r="F4" s="6" t="n"/>
      <c r="G4" s="6" t="n"/>
      <c r="H4" s="6" t="n"/>
      <c r="I4" s="6" t="n"/>
    </row>
    <row r="5">
      <c r="A5" s="6" t="inlineStr">
        <is>
          <t>Profit before tax</t>
        </is>
      </c>
      <c r="B5" s="6" t="n">
        <v>3325</v>
      </c>
      <c r="C5" s="6" t="n">
        <v>3560</v>
      </c>
      <c r="D5" s="6" t="n">
        <v>2671</v>
      </c>
      <c r="E5" s="6" t="n">
        <v>2552</v>
      </c>
      <c r="F5" s="6" t="n">
        <v>2163</v>
      </c>
      <c r="G5" s="6" t="n">
        <v>367</v>
      </c>
      <c r="H5" s="6" t="n">
        <v>669</v>
      </c>
      <c r="I5" s="6" t="n">
        <v>1548</v>
      </c>
    </row>
    <row r="6">
      <c r="A6" s="6" t="inlineStr">
        <is>
          <t>Credit impairment charges/(releases)</t>
        </is>
      </c>
      <c r="B6" s="6" t="n">
        <v>393</v>
      </c>
      <c r="C6" s="6" t="n">
        <v>352</v>
      </c>
      <c r="D6" s="6" t="n">
        <v>308</v>
      </c>
      <c r="E6" s="6" t="n">
        <v>268</v>
      </c>
      <c r="F6" s="6" t="n">
        <v>-371</v>
      </c>
      <c r="G6" s="6" t="n">
        <v>1427</v>
      </c>
      <c r="H6" s="6" t="n">
        <v>709</v>
      </c>
      <c r="I6" s="6" t="n">
        <v>624</v>
      </c>
    </row>
    <row r="7">
      <c r="A7" s="6" t="inlineStr">
        <is>
          <t>Depreciation, amortisation and impairment of property, plant, equipment and intangibles</t>
        </is>
      </c>
      <c r="B7" s="6" t="n">
        <v>97</v>
      </c>
      <c r="C7" s="6" t="n">
        <v>95</v>
      </c>
      <c r="D7" s="6" t="n">
        <v>146</v>
      </c>
      <c r="E7" s="6" t="n">
        <v>187</v>
      </c>
      <c r="F7" s="6" t="n">
        <v>169</v>
      </c>
      <c r="G7" s="6" t="n">
        <v>175</v>
      </c>
      <c r="H7" s="6" t="n">
        <v>150</v>
      </c>
      <c r="I7" s="6" t="n">
        <v>50</v>
      </c>
    </row>
    <row r="8">
      <c r="A8" s="6" t="inlineStr">
        <is>
          <t>Loss on disposal of subsidiaries</t>
        </is>
      </c>
      <c r="B8" s="6" t="n"/>
      <c r="C8" s="6" t="n"/>
      <c r="D8" s="6" t="n">
        <v>124</v>
      </c>
      <c r="E8" s="6" t="n">
        <v>0</v>
      </c>
      <c r="F8" s="6" t="n"/>
      <c r="G8" s="6" t="n"/>
      <c r="H8" s="6" t="n"/>
      <c r="I8" s="6" t="n"/>
    </row>
    <row r="9">
      <c r="A9" s="6" t="inlineStr">
        <is>
          <t>Other provisions (including pensions where noted)</t>
        </is>
      </c>
      <c r="B9" s="6" t="n">
        <v>144</v>
      </c>
      <c r="C9" s="6" t="n">
        <v>68</v>
      </c>
      <c r="D9" s="6" t="n">
        <v>69</v>
      </c>
      <c r="E9" s="6" t="n">
        <v>47</v>
      </c>
      <c r="F9" s="6" t="n">
        <v>25</v>
      </c>
      <c r="G9" s="6" t="n">
        <v>427</v>
      </c>
      <c r="H9" s="6" t="n">
        <v>1665</v>
      </c>
      <c r="I9" s="6" t="n">
        <v>104</v>
      </c>
    </row>
    <row r="10">
      <c r="A10" s="6" t="inlineStr">
        <is>
          <t>Other non-cash items / exchange rate movements</t>
        </is>
      </c>
      <c r="B10" s="6" t="n">
        <v>375</v>
      </c>
      <c r="C10" s="6" t="n">
        <v>228</v>
      </c>
      <c r="D10" s="6" t="n">
        <v>2401</v>
      </c>
      <c r="E10" s="6" t="n">
        <v>-878</v>
      </c>
      <c r="F10" s="6" t="n">
        <v>-480</v>
      </c>
      <c r="G10" s="6" t="n">
        <v>-1217</v>
      </c>
      <c r="H10" s="6" t="n">
        <v>110</v>
      </c>
      <c r="I10" s="6" t="n">
        <v>-39</v>
      </c>
    </row>
    <row r="11">
      <c r="A11" s="5" t="inlineStr">
        <is>
          <t>Changes in operating assets and liabilities</t>
        </is>
      </c>
      <c r="B11" s="6" t="n"/>
      <c r="C11" s="6" t="n"/>
      <c r="D11" s="6" t="n"/>
      <c r="E11" s="6" t="n"/>
      <c r="F11" s="6" t="n"/>
      <c r="G11" s="6" t="n"/>
      <c r="H11" s="6" t="n"/>
      <c r="I11" s="6" t="n"/>
    </row>
    <row r="12">
      <c r="A12" s="6" t="inlineStr">
        <is>
          <t>Net (increase)/decrease in cash collateral and settlement balances</t>
        </is>
      </c>
      <c r="B12" s="6" t="n">
        <v>-944</v>
      </c>
      <c r="C12" s="6" t="n">
        <v>414</v>
      </c>
      <c r="D12" s="6" t="n">
        <v>1108</v>
      </c>
      <c r="E12" s="6" t="n">
        <v>335</v>
      </c>
      <c r="F12" s="6" t="n">
        <v>322</v>
      </c>
      <c r="G12" s="6" t="n">
        <v>227</v>
      </c>
      <c r="H12" s="6" t="n">
        <v>-531</v>
      </c>
      <c r="I12" s="6" t="n">
        <v>-130</v>
      </c>
    </row>
    <row r="13">
      <c r="A13" s="6" t="inlineStr">
        <is>
          <t>Net (increase)/decrease in loans and advances at amortised cost</t>
        </is>
      </c>
      <c r="B13" s="6" t="n">
        <v>-9592</v>
      </c>
      <c r="C13" s="6" t="n">
        <v>3023</v>
      </c>
      <c r="D13" s="6" t="n">
        <v>4402</v>
      </c>
      <c r="E13" s="6" t="n">
        <v>2893</v>
      </c>
      <c r="F13" s="6" t="n">
        <v>-4591</v>
      </c>
      <c r="G13" s="6" t="n">
        <v>-15513</v>
      </c>
      <c r="H13" s="6" t="n">
        <v>-10117</v>
      </c>
      <c r="I13" s="6" t="n">
        <v>-4022</v>
      </c>
    </row>
    <row r="14">
      <c r="A14" s="6" t="inlineStr">
        <is>
          <t>Net (increase) in reverse repurchase agreements and other similar secured lending</t>
        </is>
      </c>
      <c r="B14" s="6" t="n">
        <v>-107</v>
      </c>
      <c r="C14" s="6" t="n">
        <v>-2327</v>
      </c>
      <c r="D14" s="6" t="n"/>
      <c r="E14" s="6" t="n"/>
      <c r="F14" s="6" t="n"/>
      <c r="G14" s="6" t="n"/>
      <c r="H14" s="6" t="n"/>
      <c r="I14" s="6" t="n">
        <v>-421</v>
      </c>
    </row>
    <row r="15">
      <c r="A15" s="6" t="inlineStr">
        <is>
          <t>Net (decrease)/increase in repurchase agreements and other similar secured borrowing</t>
        </is>
      </c>
      <c r="B15" s="6" t="n">
        <v>-1906</v>
      </c>
      <c r="C15" s="6" t="n">
        <v>241</v>
      </c>
      <c r="D15" s="6" t="n"/>
      <c r="E15" s="6" t="n"/>
      <c r="F15" s="6" t="n"/>
      <c r="G15" s="6" t="n"/>
      <c r="H15" s="6" t="n"/>
      <c r="I15" s="6" t="n">
        <v>-171</v>
      </c>
    </row>
    <row r="16">
      <c r="A16" s="6" t="inlineStr">
        <is>
          <t>Repurchase and reverse repurchase agreements (combined, as reported)</t>
        </is>
      </c>
      <c r="B16" s="6" t="n"/>
      <c r="C16" s="6" t="n"/>
      <c r="D16" s="6" t="n">
        <v>-5527</v>
      </c>
      <c r="E16" s="6" t="n">
        <v>-870</v>
      </c>
      <c r="F16" s="6" t="n">
        <v>11050</v>
      </c>
      <c r="G16" s="6" t="n">
        <v>-4614</v>
      </c>
      <c r="H16" s="6" t="n">
        <v>1440</v>
      </c>
      <c r="I16" s="6" t="n"/>
    </row>
    <row r="17">
      <c r="A17" s="6" t="inlineStr">
        <is>
          <t>Net increase/(decrease) in deposits at amortised cost</t>
        </is>
      </c>
      <c r="B17" s="6" t="n">
        <v>330</v>
      </c>
      <c r="C17" s="6" t="n">
        <v>-3686</v>
      </c>
      <c r="D17" s="6" t="n">
        <v>-17016</v>
      </c>
      <c r="E17" s="6" t="n">
        <v>-2615</v>
      </c>
      <c r="F17" s="6" t="n">
        <v>20197</v>
      </c>
      <c r="G17" s="6" t="n">
        <v>34839</v>
      </c>
      <c r="H17" s="6" t="n"/>
      <c r="I17" s="6" t="n"/>
    </row>
    <row r="18">
      <c r="A18" s="6" t="inlineStr">
        <is>
          <t>Net increase/(decrease) in debt securities in issue</t>
        </is>
      </c>
      <c r="B18" s="6" t="n">
        <v>2084</v>
      </c>
      <c r="C18" s="6" t="n">
        <v>-1242</v>
      </c>
      <c r="D18" s="6" t="n">
        <v>-4702</v>
      </c>
      <c r="E18" s="6" t="n">
        <v>-675</v>
      </c>
      <c r="F18" s="6" t="n">
        <v>1181</v>
      </c>
      <c r="G18" s="6" t="n">
        <v>-768</v>
      </c>
      <c r="H18" s="6" t="n"/>
      <c r="I18" s="6" t="n"/>
    </row>
    <row r="19">
      <c r="A19" s="6" t="inlineStr">
        <is>
          <t>Net increase in deposits and debt securities in issue (combined, as reported)</t>
        </is>
      </c>
      <c r="B19" s="6" t="n"/>
      <c r="C19" s="6" t="n"/>
      <c r="D19" s="6" t="n"/>
      <c r="E19" s="6" t="n"/>
      <c r="F19" s="6" t="n"/>
      <c r="G19" s="6" t="n"/>
      <c r="H19" s="6" t="n">
        <v>5310</v>
      </c>
      <c r="I19" s="6" t="n">
        <v>6532</v>
      </c>
    </row>
    <row r="20">
      <c r="A20" s="6" t="inlineStr">
        <is>
          <t>Net decrease/(increase) in derivative financial instruments</t>
        </is>
      </c>
      <c r="B20" s="6" t="n">
        <v>906</v>
      </c>
      <c r="C20" s="6" t="n">
        <v>-413</v>
      </c>
      <c r="D20" s="6" t="n">
        <v>-1519</v>
      </c>
      <c r="E20" s="6" t="n">
        <v>427</v>
      </c>
      <c r="F20" s="6" t="n">
        <v>-406</v>
      </c>
      <c r="G20" s="6" t="n">
        <v>-218</v>
      </c>
      <c r="H20" s="6" t="n">
        <v>370</v>
      </c>
      <c r="I20" s="6" t="n">
        <v>-5854</v>
      </c>
    </row>
    <row r="21">
      <c r="A21" s="6" t="inlineStr">
        <is>
          <t>Net (increase) in trading portfolio assets</t>
        </is>
      </c>
      <c r="B21" s="6" t="n">
        <v>-143</v>
      </c>
      <c r="C21" s="6" t="n">
        <v>-199</v>
      </c>
      <c r="D21" s="6" t="n"/>
      <c r="E21" s="6" t="n"/>
      <c r="F21" s="6" t="n"/>
      <c r="G21" s="6" t="n"/>
      <c r="H21" s="6" t="n"/>
      <c r="I21" s="6" t="n">
        <v>-151</v>
      </c>
    </row>
    <row r="22">
      <c r="A22" s="6" t="inlineStr">
        <is>
          <t>Net increase/(decrease) in trading portfolio liabilities</t>
        </is>
      </c>
      <c r="B22" s="6" t="n">
        <v>182</v>
      </c>
      <c r="C22" s="6" t="n">
        <v>-182</v>
      </c>
      <c r="D22" s="6" t="n"/>
      <c r="E22" s="6" t="n"/>
      <c r="F22" s="6" t="n"/>
      <c r="G22" s="6" t="n"/>
      <c r="H22" s="6" t="n"/>
      <c r="I22" s="6" t="n">
        <v>-496</v>
      </c>
    </row>
    <row r="23">
      <c r="A23" s="6" t="inlineStr">
        <is>
          <t>Trading assets and liabilities (combined, as reported)</t>
        </is>
      </c>
      <c r="B23" s="6" t="n"/>
      <c r="C23" s="6" t="n"/>
      <c r="D23" s="6" t="n">
        <v>455</v>
      </c>
      <c r="E23" s="6" t="n">
        <v>-299</v>
      </c>
      <c r="F23" s="6" t="n">
        <v>-258</v>
      </c>
      <c r="G23" s="6" t="n">
        <v>123</v>
      </c>
      <c r="H23" s="6" t="n">
        <v>-274</v>
      </c>
      <c r="I23" s="6" t="n"/>
    </row>
    <row r="24">
      <c r="A24" s="6" t="inlineStr">
        <is>
          <t>Net decrease in financial assets at fair value through the income statement</t>
        </is>
      </c>
      <c r="B24" s="6" t="n">
        <v>130</v>
      </c>
      <c r="C24" s="6" t="n">
        <v>173</v>
      </c>
      <c r="D24" s="6" t="n"/>
      <c r="E24" s="6" t="n"/>
      <c r="F24" s="6" t="n"/>
      <c r="G24" s="6" t="n"/>
      <c r="H24" s="6" t="n"/>
      <c r="I24" s="6" t="n"/>
    </row>
    <row r="25">
      <c r="A25" s="6" t="inlineStr">
        <is>
          <t>Net (decrease)/increase in financial liabilities designated at fair value</t>
        </is>
      </c>
      <c r="B25" s="6" t="n">
        <v>-1845</v>
      </c>
      <c r="C25" s="6" t="n">
        <v>2652</v>
      </c>
      <c r="D25" s="6" t="n"/>
      <c r="E25" s="6" t="n"/>
      <c r="F25" s="6" t="n"/>
      <c r="G25" s="6" t="n"/>
      <c r="H25" s="6" t="n"/>
      <c r="I25" s="6" t="n"/>
    </row>
    <row r="26">
      <c r="A26" s="6" t="inlineStr">
        <is>
          <t>Financial assets and liabilities at fair value through the income statement (combined, as reported)</t>
        </is>
      </c>
      <c r="B26" s="6" t="n"/>
      <c r="C26" s="6" t="n"/>
      <c r="D26" s="6" t="n">
        <v>264</v>
      </c>
      <c r="E26" s="6" t="n">
        <v>787</v>
      </c>
      <c r="F26" s="6" t="n">
        <v>665</v>
      </c>
      <c r="G26" s="6" t="n">
        <v>139</v>
      </c>
      <c r="H26" s="6" t="n">
        <v>309</v>
      </c>
      <c r="I26" s="6" t="n">
        <v>1736</v>
      </c>
    </row>
    <row r="27">
      <c r="A27" s="6" t="inlineStr">
        <is>
          <t>Net (increase) in other assets and liabilities</t>
        </is>
      </c>
      <c r="B27" s="6" t="n">
        <v>-215</v>
      </c>
      <c r="C27" s="6" t="n">
        <v>-276</v>
      </c>
      <c r="D27" s="6" t="n">
        <v>-52</v>
      </c>
      <c r="E27" s="6" t="n">
        <v>-298</v>
      </c>
      <c r="F27" s="6" t="n">
        <v>-299</v>
      </c>
      <c r="G27" s="6" t="n">
        <v>-821</v>
      </c>
      <c r="H27" s="6" t="n">
        <v>-1835</v>
      </c>
      <c r="I27" s="6" t="n">
        <v>561</v>
      </c>
    </row>
    <row r="28">
      <c r="A28" s="6" t="inlineStr">
        <is>
          <t>Corporate income tax paid</t>
        </is>
      </c>
      <c r="B28" s="6" t="n">
        <v>-1074</v>
      </c>
      <c r="C28" s="6" t="n">
        <v>-522</v>
      </c>
      <c r="D28" s="6" t="n">
        <v>-583</v>
      </c>
      <c r="E28" s="6" t="n">
        <v>-395</v>
      </c>
      <c r="F28" s="6" t="n">
        <v>-53</v>
      </c>
      <c r="G28" s="6" t="n">
        <v>-597</v>
      </c>
      <c r="H28" s="6" t="n">
        <v>-1086</v>
      </c>
      <c r="I28" s="6" t="n">
        <v>-128</v>
      </c>
    </row>
    <row r="29">
      <c r="A29" s="5" t="inlineStr">
        <is>
          <t>Net cash from operating activities</t>
        </is>
      </c>
      <c r="B29" s="5" t="n">
        <v>-7860</v>
      </c>
      <c r="C29" s="5" t="n">
        <v>1959</v>
      </c>
      <c r="D29" s="5" t="n">
        <v>-17451</v>
      </c>
      <c r="E29" s="5" t="n">
        <v>1466</v>
      </c>
      <c r="F29" s="5" t="n">
        <v>29314</v>
      </c>
      <c r="G29" s="5" t="n">
        <v>13976</v>
      </c>
      <c r="H29" s="5" t="n">
        <v>-3111</v>
      </c>
      <c r="I29" s="5" t="n">
        <v>-257</v>
      </c>
    </row>
    <row r="30">
      <c r="A30" s="5" t="inlineStr">
        <is>
          <t>Investing activities</t>
        </is>
      </c>
      <c r="B30" s="6" t="n"/>
      <c r="C30" s="6" t="n"/>
      <c r="D30" s="6" t="n"/>
      <c r="E30" s="6" t="n"/>
      <c r="F30" s="6" t="n"/>
      <c r="G30" s="6" t="n"/>
      <c r="H30" s="6" t="n"/>
      <c r="I30" s="6" t="n"/>
    </row>
    <row r="31">
      <c r="A31" s="6" t="inlineStr">
        <is>
          <t>Purchase of debt securities at amortised cost</t>
        </is>
      </c>
      <c r="B31" s="6" t="n">
        <v>-3727</v>
      </c>
      <c r="C31" s="6" t="n">
        <v>-4615</v>
      </c>
      <c r="D31" s="6" t="n"/>
      <c r="E31" s="6" t="n"/>
      <c r="F31" s="6" t="n"/>
      <c r="G31" s="6" t="n"/>
      <c r="H31" s="6" t="n"/>
      <c r="I31" s="6" t="n"/>
    </row>
    <row r="32">
      <c r="A32" s="6" t="inlineStr">
        <is>
          <t>Proceeds from redemption or sale of debt securities at amortised cost</t>
        </is>
      </c>
      <c r="B32" s="6" t="n">
        <v>8061</v>
      </c>
      <c r="C32" s="6" t="n">
        <v>3932</v>
      </c>
      <c r="D32" s="6" t="n"/>
      <c r="E32" s="6" t="n"/>
      <c r="F32" s="6" t="n"/>
      <c r="G32" s="6" t="n"/>
      <c r="H32" s="6" t="n"/>
      <c r="I32" s="6" t="n"/>
    </row>
    <row r="33">
      <c r="A33" s="6" t="inlineStr">
        <is>
          <t>Debt securities at amortised cost (net, as reported)</t>
        </is>
      </c>
      <c r="B33" s="6" t="n"/>
      <c r="C33" s="6" t="n"/>
      <c r="D33" s="6" t="n">
        <v>-178</v>
      </c>
      <c r="E33" s="6" t="n">
        <v>-5796</v>
      </c>
      <c r="F33" s="6" t="n">
        <v>-3695</v>
      </c>
      <c r="G33" s="6" t="n"/>
      <c r="H33" s="6" t="n"/>
      <c r="I33" s="6" t="n"/>
    </row>
    <row r="34">
      <c r="A34" s="6" t="inlineStr">
        <is>
          <t>Net cash acquired from the acquisition of the UK banking business (FY2018 only)</t>
        </is>
      </c>
      <c r="B34" s="6" t="n"/>
      <c r="C34" s="6" t="n"/>
      <c r="D34" s="6" t="n"/>
      <c r="E34" s="6" t="n"/>
      <c r="F34" s="6" t="n"/>
      <c r="G34" s="6" t="n"/>
      <c r="H34" s="6" t="n"/>
      <c r="I34" s="6" t="n">
        <v>45940</v>
      </c>
    </row>
    <row r="35">
      <c r="A35" s="6" t="inlineStr">
        <is>
          <t>Purchase of financial assets at fair value through other comprehensive income</t>
        </is>
      </c>
      <c r="B35" s="6" t="n">
        <v>-20764</v>
      </c>
      <c r="C35" s="6" t="n">
        <v>-21343</v>
      </c>
      <c r="D35" s="6" t="n"/>
      <c r="E35" s="6" t="n"/>
      <c r="F35" s="6" t="n"/>
      <c r="G35" s="6" t="n">
        <v>-5557</v>
      </c>
      <c r="H35" s="6" t="n">
        <v>-11846</v>
      </c>
      <c r="I35" s="6" t="n">
        <v>-8483</v>
      </c>
    </row>
    <row r="36">
      <c r="A36" s="6" t="inlineStr">
        <is>
          <t>Proceeds from sale or redemption of financial assets at fair value through other comprehensive income</t>
        </is>
      </c>
      <c r="B36" s="6" t="n">
        <v>16812</v>
      </c>
      <c r="C36" s="6" t="n">
        <v>14959</v>
      </c>
      <c r="D36" s="6" t="n"/>
      <c r="E36" s="6" t="n"/>
      <c r="F36" s="6" t="n"/>
      <c r="G36" s="6" t="n"/>
      <c r="H36" s="6" t="n"/>
      <c r="I36" s="6" t="n">
        <v>7584</v>
      </c>
    </row>
    <row r="37">
      <c r="A37" s="6" t="inlineStr">
        <is>
          <t>Financial assets at fair value through other comprehensive income (net, as reported)</t>
        </is>
      </c>
      <c r="B37" s="6" t="n"/>
      <c r="C37" s="6" t="n"/>
      <c r="D37" s="6" t="n">
        <v>-304</v>
      </c>
      <c r="E37" s="6" t="n">
        <v>-6792</v>
      </c>
      <c r="F37" s="6" t="n">
        <v>10125</v>
      </c>
      <c r="G37" s="6" t="n"/>
      <c r="H37" s="6" t="n"/>
      <c r="I37" s="6" t="n"/>
    </row>
    <row r="38">
      <c r="A38" s="6" t="inlineStr">
        <is>
          <t>Financial liabilities designated at fair value (net, as reported)</t>
        </is>
      </c>
      <c r="B38" s="6" t="n"/>
      <c r="C38" s="6" t="n"/>
      <c r="D38" s="6" t="n">
        <v>196</v>
      </c>
      <c r="E38" s="6" t="n">
        <v>0</v>
      </c>
      <c r="F38" s="6" t="n"/>
      <c r="G38" s="6" t="n"/>
      <c r="H38" s="6" t="n"/>
      <c r="I38" s="6" t="n"/>
    </row>
    <row r="39">
      <c r="A39" s="6" t="inlineStr">
        <is>
          <t>Purchase of property, plant and equipment and investment in intangibles</t>
        </is>
      </c>
      <c r="B39" s="6" t="n">
        <v>-52</v>
      </c>
      <c r="C39" s="6" t="n">
        <v>-13</v>
      </c>
      <c r="D39" s="6" t="n">
        <v>-25</v>
      </c>
      <c r="E39" s="6" t="n">
        <v>-13</v>
      </c>
      <c r="F39" s="6" t="n">
        <v>0</v>
      </c>
      <c r="G39" s="6" t="n">
        <v>-17</v>
      </c>
      <c r="H39" s="6" t="n">
        <v>-30</v>
      </c>
      <c r="I39" s="6" t="n">
        <v>-40</v>
      </c>
    </row>
    <row r="40">
      <c r="A40" s="6" t="inlineStr">
        <is>
          <t>Proceeds from sale of property, plant and equipment and intangibles (FY2018 only)</t>
        </is>
      </c>
      <c r="B40" s="6" t="n"/>
      <c r="C40" s="6" t="n"/>
      <c r="D40" s="6" t="n"/>
      <c r="E40" s="6" t="n"/>
      <c r="F40" s="6" t="n"/>
      <c r="G40" s="6" t="n"/>
      <c r="H40" s="6" t="n"/>
      <c r="I40" s="6" t="n">
        <v>2</v>
      </c>
    </row>
    <row r="41">
      <c r="A41" s="6" t="inlineStr">
        <is>
          <t>Acquisition of business, net of cash acquired</t>
        </is>
      </c>
      <c r="B41" s="6" t="n">
        <v>0</v>
      </c>
      <c r="C41" s="6" t="n">
        <v>-228</v>
      </c>
      <c r="D41" s="6" t="n"/>
      <c r="E41" s="6" t="n"/>
      <c r="F41" s="6" t="n"/>
      <c r="G41" s="6" t="n"/>
      <c r="H41" s="6" t="n"/>
      <c r="I41" s="6" t="n"/>
    </row>
    <row r="42">
      <c r="A42" s="6" t="inlineStr">
        <is>
          <t>Acquisition of subsidiaries, net of cash acquired</t>
        </is>
      </c>
      <c r="B42" s="6" t="n"/>
      <c r="C42" s="6" t="n"/>
      <c r="D42" s="6" t="n">
        <v>-2378</v>
      </c>
      <c r="E42" s="6" t="n">
        <v>0</v>
      </c>
      <c r="F42" s="6" t="n"/>
      <c r="G42" s="6" t="n"/>
      <c r="H42" s="6" t="n"/>
      <c r="I42" s="6" t="n"/>
    </row>
    <row r="43">
      <c r="A43" s="6" t="inlineStr">
        <is>
          <t>Disposal of subsidiaries, net of cash disposed</t>
        </is>
      </c>
      <c r="B43" s="6" t="n"/>
      <c r="C43" s="6" t="n"/>
      <c r="D43" s="6" t="n">
        <v>-141</v>
      </c>
      <c r="E43" s="6" t="n">
        <v>0</v>
      </c>
      <c r="F43" s="6" t="n"/>
      <c r="G43" s="6" t="n"/>
      <c r="H43" s="6" t="n"/>
      <c r="I43" s="6" t="n"/>
    </row>
    <row r="44">
      <c r="A44" s="5" t="inlineStr">
        <is>
          <t>Net cash from investing activities</t>
        </is>
      </c>
      <c r="B44" s="5" t="n">
        <v>330</v>
      </c>
      <c r="C44" s="5" t="n">
        <v>-7308</v>
      </c>
      <c r="D44" s="5" t="n">
        <v>-2830</v>
      </c>
      <c r="E44" s="5" t="n">
        <v>-12601</v>
      </c>
      <c r="F44" s="5" t="n">
        <v>6430</v>
      </c>
      <c r="G44" s="5" t="n">
        <v>-5574</v>
      </c>
      <c r="H44" s="5" t="n">
        <v>-11876</v>
      </c>
      <c r="I44" s="5" t="n">
        <v>45003</v>
      </c>
    </row>
    <row r="45">
      <c r="A45" s="5" t="inlineStr">
        <is>
          <t>Financing activities</t>
        </is>
      </c>
      <c r="B45" s="6" t="n"/>
      <c r="C45" s="6" t="n"/>
      <c r="D45" s="6" t="n"/>
      <c r="E45" s="6" t="n"/>
      <c r="F45" s="6" t="n"/>
      <c r="G45" s="6" t="n"/>
      <c r="H45" s="6" t="n"/>
      <c r="I45" s="6" t="n"/>
    </row>
    <row r="46">
      <c r="A46" s="6" t="inlineStr">
        <is>
          <t>Dividends paid and other coupon payments on equity instruments</t>
        </is>
      </c>
      <c r="B46" s="6" t="n">
        <v>-1639</v>
      </c>
      <c r="C46" s="6" t="n">
        <v>-1173</v>
      </c>
      <c r="D46" s="6" t="n">
        <v>-1482</v>
      </c>
      <c r="E46" s="6" t="n">
        <v>-1888</v>
      </c>
      <c r="F46" s="6" t="n">
        <v>-683</v>
      </c>
      <c r="G46" s="6" t="n">
        <v>-400</v>
      </c>
      <c r="H46" s="6" t="n">
        <v>-1203</v>
      </c>
      <c r="I46" s="6" t="n">
        <v>-455</v>
      </c>
    </row>
    <row r="47">
      <c r="A47" s="6" t="inlineStr">
        <is>
          <t>Capital contribution from Barclays PLC</t>
        </is>
      </c>
      <c r="B47" s="6" t="n"/>
      <c r="C47" s="6" t="n"/>
      <c r="D47" s="6" t="n"/>
      <c r="E47" s="6" t="n"/>
      <c r="F47" s="6" t="n">
        <v>0</v>
      </c>
      <c r="G47" s="6" t="n">
        <v>220</v>
      </c>
      <c r="H47" s="6" t="n"/>
      <c r="I47" s="6" t="n">
        <v>0</v>
      </c>
    </row>
    <row r="48">
      <c r="A48" s="6" t="inlineStr">
        <is>
          <t>Issuance of subordinated liabilities/debt</t>
        </is>
      </c>
      <c r="B48" s="6" t="n">
        <v>3600</v>
      </c>
      <c r="C48" s="6" t="n">
        <v>2277</v>
      </c>
      <c r="D48" s="6" t="n">
        <v>4393</v>
      </c>
      <c r="E48" s="6" t="n">
        <v>829</v>
      </c>
      <c r="F48" s="6" t="n">
        <v>1025</v>
      </c>
      <c r="G48" s="6" t="n">
        <v>3694</v>
      </c>
      <c r="H48" s="6" t="n">
        <v>157</v>
      </c>
      <c r="I48" s="6" t="n"/>
    </row>
    <row r="49">
      <c r="A49" s="6" t="inlineStr">
        <is>
          <t>Redemption of subordinated liabilities/debt</t>
        </is>
      </c>
      <c r="B49" s="6" t="n">
        <v>-2703</v>
      </c>
      <c r="C49" s="6" t="n">
        <v>-372</v>
      </c>
      <c r="D49" s="6" t="n">
        <v>-1136</v>
      </c>
      <c r="E49" s="6" t="n">
        <v>-2017</v>
      </c>
      <c r="F49" s="6" t="n">
        <v>-1116</v>
      </c>
      <c r="G49" s="6" t="n">
        <v>-1425</v>
      </c>
      <c r="H49" s="6" t="n"/>
      <c r="I49" s="6" t="n"/>
    </row>
    <row r="50">
      <c r="A50" s="6" t="inlineStr">
        <is>
          <t>Issue of shares and other equity instruments</t>
        </is>
      </c>
      <c r="B50" s="6" t="n">
        <v>990</v>
      </c>
      <c r="C50" s="6" t="n">
        <v>618</v>
      </c>
      <c r="D50" s="6" t="n">
        <v>619</v>
      </c>
      <c r="E50" s="6" t="n">
        <v>0</v>
      </c>
      <c r="F50" s="6" t="n"/>
      <c r="G50" s="6" t="n"/>
      <c r="H50" s="6" t="n">
        <v>490</v>
      </c>
      <c r="I50" s="6" t="n"/>
    </row>
    <row r="51">
      <c r="A51" s="6" t="inlineStr">
        <is>
          <t>Repurchase/redemption of shares and other equity instruments</t>
        </is>
      </c>
      <c r="B51" s="6" t="n">
        <v>-1188</v>
      </c>
      <c r="C51" s="6" t="n">
        <v>-622</v>
      </c>
      <c r="D51" s="6" t="n">
        <v>-750</v>
      </c>
      <c r="E51" s="6" t="n">
        <v>0</v>
      </c>
      <c r="F51" s="6" t="n"/>
      <c r="G51" s="6" t="n"/>
      <c r="H51" s="6" t="n"/>
      <c r="I51" s="6" t="n"/>
    </row>
    <row r="52">
      <c r="A52" s="6" t="inlineStr">
        <is>
          <t>Lease liability payments</t>
        </is>
      </c>
      <c r="B52" s="6" t="n">
        <v>-41</v>
      </c>
      <c r="C52" s="6" t="n">
        <v>-53</v>
      </c>
      <c r="D52" s="6" t="n">
        <v>-63</v>
      </c>
      <c r="E52" s="6" t="n">
        <v>-71</v>
      </c>
      <c r="F52" s="6" t="n"/>
      <c r="G52" s="6" t="n"/>
      <c r="H52" s="6" t="n"/>
      <c r="I52" s="6" t="n"/>
    </row>
    <row r="53">
      <c r="A53" s="6" t="inlineStr">
        <is>
          <t>Vesting of employee share schemes</t>
        </is>
      </c>
      <c r="B53" s="6" t="n">
        <v>-28</v>
      </c>
      <c r="C53" s="6" t="n">
        <v>-15</v>
      </c>
      <c r="D53" s="6" t="n">
        <v>-16</v>
      </c>
      <c r="E53" s="6" t="n">
        <v>-14</v>
      </c>
      <c r="F53" s="6" t="n">
        <v>-11</v>
      </c>
      <c r="G53" s="6" t="n">
        <v>-12</v>
      </c>
      <c r="H53" s="6" t="n">
        <v>-12</v>
      </c>
      <c r="I53" s="6" t="n">
        <v>-10</v>
      </c>
    </row>
    <row r="54">
      <c r="A54" s="5" t="inlineStr">
        <is>
          <t>Net cash from financing activities</t>
        </is>
      </c>
      <c r="B54" s="5" t="n">
        <v>-1009</v>
      </c>
      <c r="C54" s="5" t="n">
        <v>660</v>
      </c>
      <c r="D54" s="5" t="n">
        <v>1565</v>
      </c>
      <c r="E54" s="5" t="n">
        <v>-3161</v>
      </c>
      <c r="F54" s="5" t="n">
        <v>-785</v>
      </c>
      <c r="G54" s="5" t="n">
        <v>2077</v>
      </c>
      <c r="H54" s="5" t="n">
        <v>-568</v>
      </c>
      <c r="I54" s="5" t="n">
        <v>-465</v>
      </c>
    </row>
    <row r="55">
      <c r="A55" s="6" t="inlineStr">
        <is>
          <t>Effect of exchange rates on cash and cash equivalents</t>
        </is>
      </c>
      <c r="B55" s="6" t="n"/>
      <c r="C55" s="6" t="n"/>
      <c r="D55" s="6" t="n"/>
      <c r="E55" s="6" t="n"/>
      <c r="F55" s="6" t="n">
        <v>0</v>
      </c>
      <c r="G55" s="6" t="n">
        <v>428</v>
      </c>
      <c r="H55" s="6" t="n">
        <v>-737</v>
      </c>
      <c r="I55" s="6" t="n"/>
    </row>
    <row r="56">
      <c r="A56" s="5" t="inlineStr">
        <is>
          <t>Net (decrease)/increase in cash and cash equivalents</t>
        </is>
      </c>
      <c r="B56" s="5" t="n">
        <v>-8539</v>
      </c>
      <c r="C56" s="5" t="n">
        <v>-4689</v>
      </c>
      <c r="D56" s="5" t="n">
        <v>-18716</v>
      </c>
      <c r="E56" s="5" t="n">
        <v>-14296</v>
      </c>
      <c r="F56" s="5" t="n">
        <v>34959</v>
      </c>
      <c r="G56" s="5" t="n">
        <v>10907</v>
      </c>
      <c r="H56" s="5" t="n">
        <v>-16292</v>
      </c>
      <c r="I56" s="5" t="n">
        <v>44281</v>
      </c>
    </row>
    <row r="57">
      <c r="A57" s="6" t="inlineStr">
        <is>
          <t>Cash and cash equivalents at beginning of year</t>
        </is>
      </c>
      <c r="B57" s="6" t="n">
        <v>35675</v>
      </c>
      <c r="C57" s="6" t="n">
        <v>40364</v>
      </c>
      <c r="D57" s="6" t="n">
        <v>59080</v>
      </c>
      <c r="E57" s="6" t="n">
        <v>73376</v>
      </c>
      <c r="F57" s="6" t="n">
        <v>38417</v>
      </c>
      <c r="G57" s="6" t="n">
        <v>27510</v>
      </c>
      <c r="H57" s="6" t="n">
        <v>44334</v>
      </c>
      <c r="I57" s="6" t="n">
        <v>53</v>
      </c>
    </row>
    <row r="58">
      <c r="A58" s="5" t="inlineStr">
        <is>
          <t>Cash and cash equivalents at end of year</t>
        </is>
      </c>
      <c r="B58" s="5" t="n">
        <v>27136</v>
      </c>
      <c r="C58" s="5" t="n">
        <v>35675</v>
      </c>
      <c r="D58" s="5" t="n">
        <v>40364</v>
      </c>
      <c r="E58" s="5" t="n">
        <v>59080</v>
      </c>
      <c r="F58" s="5" t="n">
        <v>73376</v>
      </c>
      <c r="G58" s="5" t="n">
        <v>38417</v>
      </c>
      <c r="H58" s="5" t="n">
        <v>28042</v>
      </c>
      <c r="I58" s="5" t="n">
        <v>44334</v>
      </c>
    </row>
    <row r="59">
      <c r="A59" s="5" t="inlineStr">
        <is>
          <t>Cash and cash equivalents at end of year comprise</t>
        </is>
      </c>
      <c r="B59" s="6" t="n"/>
      <c r="C59" s="6" t="n"/>
      <c r="D59" s="6" t="n"/>
      <c r="E59" s="6" t="n"/>
      <c r="F59" s="6" t="n"/>
      <c r="G59" s="6" t="n"/>
      <c r="H59" s="6" t="n"/>
      <c r="I59" s="6" t="n"/>
    </row>
    <row r="60">
      <c r="A60" s="6" t="inlineStr">
        <is>
          <t>Cash and balances at central banks</t>
        </is>
      </c>
      <c r="B60" s="6" t="n">
        <v>21208</v>
      </c>
      <c r="C60" s="6" t="n">
        <v>29819</v>
      </c>
      <c r="D60" s="6" t="n">
        <v>34948</v>
      </c>
      <c r="E60" s="6" t="n">
        <v>54208</v>
      </c>
      <c r="F60" s="6" t="n">
        <v>69488</v>
      </c>
      <c r="G60" s="6" t="n">
        <v>35218</v>
      </c>
      <c r="H60" s="6" t="n">
        <v>24305</v>
      </c>
      <c r="I60" s="6" t="n">
        <v>40669</v>
      </c>
    </row>
    <row r="61">
      <c r="A61" s="6" t="inlineStr">
        <is>
          <t>Loans and advances to banks with original maturity less than three months</t>
        </is>
      </c>
      <c r="B61" s="6" t="n">
        <v>178</v>
      </c>
      <c r="C61" s="6" t="n">
        <v>231</v>
      </c>
      <c r="D61" s="6" t="n">
        <v>291</v>
      </c>
      <c r="E61" s="6" t="n">
        <v>347</v>
      </c>
      <c r="F61" s="6" t="n">
        <v>46</v>
      </c>
      <c r="G61" s="6" t="n">
        <v>81</v>
      </c>
      <c r="H61" s="6" t="n">
        <v>87</v>
      </c>
      <c r="I61" s="6" t="n">
        <v>491</v>
      </c>
    </row>
    <row r="62">
      <c r="A62" s="6" t="inlineStr">
        <is>
          <t>Cash collateral balances with central banks with original maturity less than three months</t>
        </is>
      </c>
      <c r="B62" s="6" t="n">
        <v>5750</v>
      </c>
      <c r="C62" s="6" t="n">
        <v>5625</v>
      </c>
      <c r="D62" s="6" t="n">
        <v>5125</v>
      </c>
      <c r="E62" s="6" t="n">
        <v>4525</v>
      </c>
      <c r="F62" s="6" t="n">
        <v>3842</v>
      </c>
      <c r="G62" s="6" t="n">
        <v>3118</v>
      </c>
      <c r="H62" s="6" t="n">
        <v>3650</v>
      </c>
      <c r="I62" s="6" t="n">
        <v>3174</v>
      </c>
    </row>
    <row r="63">
      <c r="A63" s="5" t="inlineStr">
        <is>
          <t>Cash and cash equivalents at end of year</t>
        </is>
      </c>
      <c r="B63" s="5" t="n">
        <v>27136</v>
      </c>
      <c r="C63" s="5" t="n">
        <v>35675</v>
      </c>
      <c r="D63" s="5" t="n">
        <v>40364</v>
      </c>
      <c r="E63" s="5" t="n">
        <v>59080</v>
      </c>
      <c r="F63" s="5" t="n">
        <v>73376</v>
      </c>
      <c r="G63" s="5" t="n">
        <v>38417</v>
      </c>
      <c r="H63" s="5" t="n">
        <v>28042</v>
      </c>
      <c r="I63" s="5" t="n">
        <v>44334</v>
      </c>
    </row>
    <row r="65" ht="182" customHeight="1">
      <c r="A65" s="8" t="inlineStr">
        <is>
          <t>Sources — all figures are Barclays Bank UK Group consolidated cash flow statement, £m:
FY2025 &amp; FY2024: Barclays Bank UK PLC Annual Report 2025, p.201 (Consolidated cash flow statement) — https://home.barclays/content/dam/home-barclays/documents/investor-relations/reports-and-events/annual-reports/2025/Barclays-Bank-UK-PLC-Annual-Report-2025.pdf
FY2023 &amp; FY2022: Barclays Bank UK PLC Annual Report 2023, p.166 (Consolidated cash flow statement) — https://home.barclays/content/dam/home-barclays/documents/investor-relations/reports-and-events/annual-reports/2023/Barclays-Bank-UK-Annual-Report-2023-Results-committee.pdf
FY2021: Barclays Bank UK PLC Annual Report 2021, p.138 (Consolidated cash flow statement) — https://home.barclays/content/dam/home-barclays/documents/investor-relations/reports-and-events/annual-reports/2021/Barclays-Bank-UK-PLC-2021-Annual-Report.pdf
FY2020: Barclays Bank UK PLC Annual Report 2020, p.127 (Consolidated cash flow statement) — https://home.barclays/content/dam/home-barclays/documents/investor-relations/reports-and-events/annual-reports/2020/Barclays-Bank-UK-PLC-2020-Annual-Report.pdf
FY2019: Barclays Bank UK PLC Annual Report 2019, p.108 (Consolidated cash flow statement) — https://home.barclays/content/dam/home-barclays/documents/investor-relations/reports-and-events/annual-reports/2019/Barclays%20Bank%20UK%20PLC%20Annual%20Report%202019.pdf
FY2018: Barclays Bank UK PLC Annual Report 2018, p.109 (Consolidated cash flow statement) — https://home.barclays/content/dam/home-barclays/documents/investor-relations/reports-and-events/annual-reports/2018/2018-barclays-bank-uk-plc-annual-report.pdf
Note: Barclays changed cash flow statement presentation granularity across these report vintages (e.g. FY2025/FY2024 split some line items — such as repurchase/reverse repurchase agreements and trading portfolio assets/liabilities — that FY2023/FY2022/FY2021 report on a combined basis; FY2019/FY2018 combined deposits and debt securities in issue into one movement, a split FY2020 onward reports separately). Blank cells indicate that year's report did not disclose that specific split; where a coarser combined figure was reported instead, it appears on its own row. Each year's figures are exactly as originally reported in that year's own Annual Report (not a later restated comparative) - Barclays subsequently restated FY2019's cash flow presentation (reclassifying cash collateral within cash and cash equivalents, reducing the FY2019 and FY2018 closing cash balances by £532m and £409m respectively) and separately restated FY2018's other non-cash movements for an exchange-rate effects disclosure introduced from FY2019; as a result FY2018's own reported closing cash balance (£44,334m), FY2019's own reported closing balance (£28,042m), and FY2020's own reported opening balance (£27,510m, i.e. the restated FY2019 closing position) do not exactly chain together - each is reproduced as originally published, consistent with this workbook's sourcing convention throughout. Section totals (net cash from operating/investing/financing activities, cash and cash equivalents) are otherwise consistent and comparable across all 8 years.</t>
        </is>
      </c>
    </row>
  </sheetData>
  <mergeCells count="1">
    <mergeCell ref="A65:I6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PLC — Asset Quality / Credit Risk Disclosures</t>
        </is>
      </c>
    </row>
    <row r="2">
      <c r="A2" s="2" t="inlineStr">
        <is>
          <t>Barclays Bank UK Group (consolidated basis), £m unless stated. Loans and advances at amortised cost, excluding debt securities at amortised cost.</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row>
    <row r="4">
      <c r="A4" s="5" t="inlineStr">
        <is>
          <t>Loans and advances at amortised cost, gross exposure by IFRS 9 stage</t>
        </is>
      </c>
      <c r="B4" s="6" t="n"/>
      <c r="C4" s="6" t="n"/>
      <c r="D4" s="6" t="n"/>
      <c r="E4" s="6" t="n"/>
      <c r="F4" s="6" t="n"/>
      <c r="G4" s="6" t="n"/>
      <c r="H4" s="6" t="n"/>
      <c r="I4" s="6" t="n"/>
    </row>
    <row r="5">
      <c r="A5" s="6" t="inlineStr">
        <is>
          <t>Stage 1</t>
        </is>
      </c>
      <c r="B5" s="6" t="n">
        <v>194856</v>
      </c>
      <c r="C5" s="6" t="n">
        <v>179441</v>
      </c>
      <c r="D5" s="6" t="n">
        <v>173805</v>
      </c>
      <c r="E5" s="6" t="n">
        <v>175260</v>
      </c>
      <c r="F5" s="6" t="n">
        <v>193961</v>
      </c>
      <c r="G5" s="6" t="n">
        <v>182908</v>
      </c>
      <c r="H5" s="6" t="n">
        <v>171010</v>
      </c>
      <c r="I5" s="6" t="n">
        <v>157753</v>
      </c>
    </row>
    <row r="6">
      <c r="A6" s="6" t="inlineStr">
        <is>
          <t>Stage 2</t>
        </is>
      </c>
      <c r="B6" s="6" t="n">
        <v>19509</v>
      </c>
      <c r="C6" s="6" t="n">
        <v>25400</v>
      </c>
      <c r="D6" s="6" t="n">
        <v>26471</v>
      </c>
      <c r="E6" s="6" t="n">
        <v>27637</v>
      </c>
      <c r="F6" s="6" t="n">
        <v>24639</v>
      </c>
      <c r="G6" s="6" t="n">
        <v>28078</v>
      </c>
      <c r="H6" s="6" t="n">
        <v>25595</v>
      </c>
      <c r="I6" s="6" t="n">
        <v>29423</v>
      </c>
    </row>
    <row r="7">
      <c r="A7" s="6" t="inlineStr">
        <is>
          <t>Stage 3 (incl. POCI where separately disclosed)</t>
        </is>
      </c>
      <c r="B7" s="6" t="n">
        <v>3121</v>
      </c>
      <c r="C7" s="6" t="n">
        <v>3482</v>
      </c>
      <c r="D7" s="6" t="n">
        <v>3375</v>
      </c>
      <c r="E7" s="6" t="n">
        <v>3482</v>
      </c>
      <c r="F7" s="6" t="n">
        <v>3850</v>
      </c>
      <c r="G7" s="6" t="n">
        <v>3812</v>
      </c>
      <c r="H7" s="6" t="n">
        <v>3575</v>
      </c>
      <c r="I7" s="6" t="n">
        <v>4316</v>
      </c>
    </row>
    <row r="8">
      <c r="A8" s="5" t="inlineStr">
        <is>
          <t>Total gross exposure</t>
        </is>
      </c>
      <c r="B8" s="5" t="n">
        <v>217486</v>
      </c>
      <c r="C8" s="5" t="n">
        <v>208323</v>
      </c>
      <c r="D8" s="5" t="n">
        <v>203651</v>
      </c>
      <c r="E8" s="5" t="n">
        <v>206379</v>
      </c>
      <c r="F8" s="5" t="n">
        <v>222450</v>
      </c>
      <c r="G8" s="5" t="n">
        <v>214798</v>
      </c>
      <c r="H8" s="5" t="n">
        <v>200180</v>
      </c>
      <c r="I8" s="5" t="n">
        <v>191492</v>
      </c>
    </row>
    <row r="9">
      <c r="A9" s="5" t="inlineStr">
        <is>
          <t>Impairment allowance by IFRS 9 stage</t>
        </is>
      </c>
      <c r="B9" s="6" t="n"/>
      <c r="C9" s="6" t="n"/>
      <c r="D9" s="6" t="n"/>
      <c r="E9" s="6" t="n"/>
      <c r="F9" s="6" t="n"/>
      <c r="G9" s="6" t="n"/>
      <c r="H9" s="6" t="n"/>
      <c r="I9" s="6" t="n"/>
    </row>
    <row r="10">
      <c r="A10" s="6" t="inlineStr">
        <is>
          <t>Stage 1</t>
        </is>
      </c>
      <c r="B10" s="6" t="n">
        <v>323</v>
      </c>
      <c r="C10" s="6" t="n">
        <v>433</v>
      </c>
      <c r="D10" s="6" t="n">
        <v>295</v>
      </c>
      <c r="E10" s="6" t="n">
        <v>339</v>
      </c>
      <c r="F10" s="6" t="n">
        <v>395</v>
      </c>
      <c r="G10" s="6" t="n">
        <v>322</v>
      </c>
      <c r="H10" s="6" t="n">
        <v>213</v>
      </c>
      <c r="I10" s="6" t="n">
        <v>199</v>
      </c>
    </row>
    <row r="11">
      <c r="A11" s="6" t="inlineStr">
        <is>
          <t>Stage 2</t>
        </is>
      </c>
      <c r="B11" s="6" t="n">
        <v>667</v>
      </c>
      <c r="C11" s="6" t="n">
        <v>679</v>
      </c>
      <c r="D11" s="6" t="n">
        <v>782</v>
      </c>
      <c r="E11" s="6" t="n">
        <v>815</v>
      </c>
      <c r="F11" s="6" t="n">
        <v>971</v>
      </c>
      <c r="G11" s="6" t="n">
        <v>1606</v>
      </c>
      <c r="H11" s="6" t="n">
        <v>1315</v>
      </c>
      <c r="I11" s="6" t="n">
        <v>1459</v>
      </c>
    </row>
    <row r="12">
      <c r="A12" s="6" t="inlineStr">
        <is>
          <t>Stage 3 (incl. POCI where separately disclosed)</t>
        </is>
      </c>
      <c r="B12" s="6" t="n">
        <v>634</v>
      </c>
      <c r="C12" s="6" t="n">
        <v>495</v>
      </c>
      <c r="D12" s="6" t="n">
        <v>579</v>
      </c>
      <c r="E12" s="6" t="n">
        <v>555</v>
      </c>
      <c r="F12" s="6" t="n">
        <v>813</v>
      </c>
      <c r="G12" s="6" t="n">
        <v>1221</v>
      </c>
      <c r="H12" s="6" t="n">
        <v>1083</v>
      </c>
      <c r="I12" s="6" t="n">
        <v>1269</v>
      </c>
    </row>
    <row r="13">
      <c r="A13" s="5" t="inlineStr">
        <is>
          <t>Total impairment allowance</t>
        </is>
      </c>
      <c r="B13" s="5" t="n">
        <v>1624</v>
      </c>
      <c r="C13" s="5" t="n">
        <v>1607</v>
      </c>
      <c r="D13" s="5" t="n">
        <v>1656</v>
      </c>
      <c r="E13" s="5" t="n">
        <v>1709</v>
      </c>
      <c r="F13" s="5" t="n">
        <v>2179</v>
      </c>
      <c r="G13" s="5" t="n">
        <v>3149</v>
      </c>
      <c r="H13" s="5" t="n">
        <v>2611</v>
      </c>
      <c r="I13" s="5" t="n">
        <v>2927</v>
      </c>
    </row>
    <row r="14">
      <c r="A14" s="5" t="inlineStr">
        <is>
          <t>Derived ratios</t>
        </is>
      </c>
      <c r="B14" s="6" t="n"/>
      <c r="C14" s="6" t="n"/>
      <c r="D14" s="6" t="n"/>
      <c r="E14" s="6" t="n"/>
      <c r="F14" s="6" t="n"/>
      <c r="G14" s="6" t="n"/>
      <c r="H14" s="6" t="n"/>
      <c r="I14" s="6" t="n"/>
    </row>
    <row r="15">
      <c r="A15" s="6" t="inlineStr">
        <is>
          <t>NPL ratio (Stage 3 gross / total gross exposure)</t>
        </is>
      </c>
      <c r="B15" s="6" t="inlineStr">
        <is>
          <t>1.4%</t>
        </is>
      </c>
      <c r="C15" s="6" t="inlineStr">
        <is>
          <t>1.7%</t>
        </is>
      </c>
      <c r="D15" s="6" t="inlineStr">
        <is>
          <t>1.7%</t>
        </is>
      </c>
      <c r="E15" s="6" t="inlineStr">
        <is>
          <t>1.7%</t>
        </is>
      </c>
      <c r="F15" s="6" t="inlineStr">
        <is>
          <t>1.7%</t>
        </is>
      </c>
      <c r="G15" s="6" t="inlineStr">
        <is>
          <t>1.8%</t>
        </is>
      </c>
      <c r="H15" s="6" t="inlineStr">
        <is>
          <t>1.8%</t>
        </is>
      </c>
      <c r="I15" s="6" t="inlineStr">
        <is>
          <t>2.3%</t>
        </is>
      </c>
    </row>
    <row r="16">
      <c r="A16" s="6" t="inlineStr">
        <is>
          <t>Stage 3 coverage ratio (Stage 3 allowance / Stage 3 gross)</t>
        </is>
      </c>
      <c r="B16" s="6" t="inlineStr">
        <is>
          <t>20.3%</t>
        </is>
      </c>
      <c r="C16" s="6" t="inlineStr">
        <is>
          <t>14.2%</t>
        </is>
      </c>
      <c r="D16" s="6" t="inlineStr">
        <is>
          <t>17.2%</t>
        </is>
      </c>
      <c r="E16" s="6" t="inlineStr">
        <is>
          <t>15.9%</t>
        </is>
      </c>
      <c r="F16" s="6" t="inlineStr">
        <is>
          <t>21.1%</t>
        </is>
      </c>
      <c r="G16" s="6" t="inlineStr">
        <is>
          <t>32.0%</t>
        </is>
      </c>
      <c r="H16" s="6" t="inlineStr">
        <is>
          <t>30.3%</t>
        </is>
      </c>
      <c r="I16" s="6" t="inlineStr">
        <is>
          <t>29.4%</t>
        </is>
      </c>
    </row>
    <row r="17">
      <c r="A17" s="6" t="inlineStr">
        <is>
          <t>Total coverage ratio (total allowance / total gross exposure)</t>
        </is>
      </c>
      <c r="B17" s="6" t="inlineStr">
        <is>
          <t>0.7%</t>
        </is>
      </c>
      <c r="C17" s="6" t="inlineStr">
        <is>
          <t>0.8%</t>
        </is>
      </c>
      <c r="D17" s="6" t="inlineStr">
        <is>
          <t>0.8%</t>
        </is>
      </c>
      <c r="E17" s="6" t="inlineStr">
        <is>
          <t>0.8%</t>
        </is>
      </c>
      <c r="F17" s="6" t="inlineStr">
        <is>
          <t>1.0%</t>
        </is>
      </c>
      <c r="G17" s="6" t="inlineStr">
        <is>
          <t>1.5%</t>
        </is>
      </c>
      <c r="H17" s="6" t="inlineStr">
        <is>
          <t>1.3%</t>
        </is>
      </c>
      <c r="I17" s="6" t="inlineStr">
        <is>
          <t>1.5%</t>
        </is>
      </c>
    </row>
    <row r="19" ht="200" customHeight="1">
      <c r="A19" s="8" t="inlineStr">
        <is>
          <t>Sources — Barclays Bank UK Group 'Loans and advances at amortised cost by product' tables ('Total loans and advances at amortised cost' row, excl. debt securities):
FY2025: Annual Report 2025, p.103 — https://home.barclays/content/dam/home-barclays/documents/investor-relations/reports-and-events/annual-reports/2025/Barclays-Bank-UK-PLC-Annual-Report-2025.pdf
FY2024: Annual Report 2025, p.104 (comparative) — https://home.barclays/content/dam/home-barclays/documents/investor-relations/reports-and-events/annual-reports/2025/Barclays-Bank-UK-PLC-Annual-Report-2025.pdf
FY2023: Annual Report 2023, p.82 — https://home.barclays/content/dam/home-barclays/documents/investor-relations/reports-and-events/annual-reports/2023/Barclays-Bank-UK-Annual-Report-2023-Results-committee.pdf
FY2022: Annual Report 2023, p.83 (comparative) — https://home.barclays/content/dam/home-barclays/documents/investor-relations/reports-and-events/annual-reports/2023/Barclays-Bank-UK-Annual-Report-2023-Results-committee.pdf
FY2021: Annual Report 2021, p.66 — https://home.barclays/content/dam/home-barclays/documents/investor-relations/reports-and-events/annual-reports/2021/Barclays-Bank-UK-PLC-2021-Annual-Report.pdf
FY2020: Annual Report 2020, p.60 (Loans and advances at amortised cost by product) — https://home.barclays/content/dam/home-barclays/documents/investor-relations/reports-and-events/annual-reports/2020/Barclays-Bank-UK-PLC-2020-Annual-Report.pdf
FY2019: Annual Report 2019, p.51 (Loans and advances at amortised cost by product) — https://home.barclays/content/dam/home-barclays/documents/investor-relations/reports-and-events/annual-reports/2019/Barclays%20Bank%20UK%20PLC%20Annual%20Report%202019.pdf
FY2018: Annual Report 2018, p.52 (Loans and advances at amortised cost by product, Barclays Bank UK Group table) — https://home.barclays/content/dam/home-barclays/documents/investor-relations/reports-and-events/annual-reports/2018/2018-barclays-bank-uk-plc-annual-report.pdf
Note: NPL/coverage ratios are computed here (not the report's own headline ratio, though they tie closely to it - e.g. FY2021 Stage 3 coverage of 21.1% matches the report's own 'Total' Stage 3 coverage figure exactly). Product-level breakdown (e.g. mortgages vs. cards vs. corporate) isn't reproduced since the product taxonomy changed between FY2018-FY2021 (Home loans / Credit cards &amp; other retail / Wholesale loans, called 'Corporate loans' in FY2018) and FY2022-2025 (Retail mortgages / Retail credit cards / Retail other / Corporate loans) - see each year's own source page for the full by-product split.</t>
        </is>
      </c>
    </row>
  </sheetData>
  <mergeCells count="1">
    <mergeCell ref="A19:I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Barclays Bank UK Group - KM1 Key Metrics</t>
        </is>
      </c>
    </row>
    <row r="2">
      <c r="A2" s="2" t="inlineStr">
        <is>
          <t>Each year from its own Pillar 3 edition's year-end column - two template generations, kept separate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5" t="inlineStr">
        <is>
          <t>UK KM1 TEMPLATE - AS PUBLISHED FY2022-FY2025 (Table 6: UK KM1 - Key metrics, Parts 1 and 2)</t>
        </is>
      </c>
      <c r="B4" s="6" t="n"/>
      <c r="C4" s="6" t="n"/>
      <c r="D4" s="6" t="n"/>
      <c r="E4" s="6" t="n"/>
      <c r="F4" s="6" t="n"/>
      <c r="G4" s="6" t="n"/>
      <c r="H4" s="6" t="n"/>
    </row>
    <row r="5">
      <c r="A5" s="5" t="inlineStr">
        <is>
          <t>Available own funds (amounts)</t>
        </is>
      </c>
      <c r="B5" s="6" t="n"/>
      <c r="C5" s="6" t="n"/>
      <c r="D5" s="6" t="n"/>
      <c r="E5" s="6" t="n"/>
      <c r="F5" s="6" t="n"/>
      <c r="G5" s="6" t="n"/>
      <c r="H5" s="6" t="n"/>
    </row>
    <row r="6">
      <c r="A6" s="6" t="inlineStr">
        <is>
          <t>1  Common Equity Tier 1 (CET1) capital (£m)</t>
        </is>
      </c>
      <c r="B6" s="6" t="n">
        <v>12331</v>
      </c>
      <c r="C6" s="6" t="n">
        <v>11895</v>
      </c>
      <c r="D6" s="6" t="n">
        <v>10638</v>
      </c>
      <c r="E6" s="6" t="n">
        <v>10701</v>
      </c>
      <c r="F6" s="6" t="n"/>
      <c r="G6" s="6" t="n"/>
      <c r="H6" s="6" t="n"/>
    </row>
    <row r="7">
      <c r="A7" s="6" t="inlineStr">
        <is>
          <t>1a  Fully loaded common Equity Tier 1 (CET1) capital (£m)</t>
        </is>
      </c>
      <c r="B7" s="6" t="n"/>
      <c r="C7" s="6" t="n">
        <v>11862</v>
      </c>
      <c r="D7" s="6" t="n">
        <v>10638</v>
      </c>
      <c r="E7" s="6" t="n">
        <v>10628</v>
      </c>
      <c r="F7" s="6" t="n"/>
      <c r="G7" s="6" t="n"/>
      <c r="H7" s="6" t="n"/>
    </row>
    <row r="8">
      <c r="A8" s="6" t="inlineStr">
        <is>
          <t>2  Tier 1 capital (£m)</t>
        </is>
      </c>
      <c r="B8" s="6" t="n">
        <v>14558</v>
      </c>
      <c r="C8" s="6" t="n">
        <v>14320</v>
      </c>
      <c r="D8" s="6" t="n">
        <v>13067</v>
      </c>
      <c r="E8" s="6" t="n">
        <v>13261</v>
      </c>
      <c r="F8" s="6" t="n"/>
      <c r="G8" s="6" t="n"/>
      <c r="H8" s="6" t="n"/>
    </row>
    <row r="9">
      <c r="A9" s="6" t="inlineStr">
        <is>
          <t>2a  Fully loaded tier 1 capital (£m)</t>
        </is>
      </c>
      <c r="B9" s="6" t="n"/>
      <c r="C9" s="6" t="n">
        <v>14287</v>
      </c>
      <c r="D9" s="6" t="n">
        <v>13067</v>
      </c>
      <c r="E9" s="6" t="n">
        <v>13188</v>
      </c>
      <c r="F9" s="6" t="n"/>
      <c r="G9" s="6" t="n"/>
      <c r="H9" s="6" t="n"/>
    </row>
    <row r="10">
      <c r="A10" s="6" t="inlineStr">
        <is>
          <t>3  Total capital (£m)</t>
        </is>
      </c>
      <c r="B10" s="6" t="n">
        <v>16996</v>
      </c>
      <c r="C10" s="6" t="n">
        <v>17155</v>
      </c>
      <c r="D10" s="6" t="n">
        <v>15596</v>
      </c>
      <c r="E10" s="6" t="n">
        <v>15828</v>
      </c>
      <c r="F10" s="6" t="n"/>
      <c r="G10" s="6" t="n"/>
      <c r="H10" s="6" t="n"/>
    </row>
    <row r="11">
      <c r="A11" s="6" t="inlineStr">
        <is>
          <t>3a  Fully loaded total capital (£m)</t>
        </is>
      </c>
      <c r="B11" s="6" t="n"/>
      <c r="C11" s="6" t="n">
        <v>17122</v>
      </c>
      <c r="D11" s="6" t="n">
        <v>15596</v>
      </c>
      <c r="E11" s="6" t="n">
        <v>15804</v>
      </c>
      <c r="F11" s="6" t="n"/>
      <c r="G11" s="6" t="n"/>
      <c r="H11" s="6" t="n"/>
    </row>
    <row r="12">
      <c r="A12" s="5" t="inlineStr">
        <is>
          <t>Risk-weighted exposure amounts</t>
        </is>
      </c>
      <c r="B12" s="6" t="n"/>
      <c r="C12" s="6" t="n"/>
      <c r="D12" s="6" t="n"/>
      <c r="E12" s="6" t="n"/>
      <c r="F12" s="6" t="n"/>
      <c r="G12" s="6" t="n"/>
      <c r="H12" s="6" t="n"/>
    </row>
    <row r="13">
      <c r="A13" s="6" t="inlineStr">
        <is>
          <t>4  Total risk-weighted exposure amount (£m)</t>
        </is>
      </c>
      <c r="B13" s="6" t="n">
        <v>85065</v>
      </c>
      <c r="C13" s="6" t="n">
        <v>83639</v>
      </c>
      <c r="D13" s="6" t="n">
        <v>72102</v>
      </c>
      <c r="E13" s="6" t="n">
        <v>72719</v>
      </c>
      <c r="F13" s="6" t="n"/>
      <c r="G13" s="6" t="n"/>
      <c r="H13" s="6" t="n"/>
    </row>
    <row r="14">
      <c r="A14" s="6" t="inlineStr">
        <is>
          <t>4a  Fully loaded total risk-weighted exposure amount (£m)</t>
        </is>
      </c>
      <c r="B14" s="6" t="n"/>
      <c r="C14" s="6" t="n">
        <v>83637</v>
      </c>
      <c r="D14" s="6" t="n">
        <v>72102</v>
      </c>
      <c r="E14" s="6" t="n">
        <v>72707</v>
      </c>
      <c r="F14" s="6" t="n"/>
      <c r="G14" s="6" t="n"/>
      <c r="H14" s="6" t="n"/>
    </row>
    <row r="15">
      <c r="A15" s="5" t="inlineStr">
        <is>
          <t>Capital ratios (as a percentage of risk-weighted exposure amount)</t>
        </is>
      </c>
      <c r="B15" s="6" t="n"/>
      <c r="C15" s="6" t="n"/>
      <c r="D15" s="6" t="n"/>
      <c r="E15" s="6" t="n"/>
      <c r="F15" s="6" t="n"/>
      <c r="G15" s="6" t="n"/>
      <c r="H15" s="6" t="n"/>
    </row>
    <row r="16">
      <c r="A16" s="6" t="inlineStr">
        <is>
          <t>5  Common Equity Tier 1 ratio (%)</t>
        </is>
      </c>
      <c r="B16" s="6" t="inlineStr">
        <is>
          <t>14.5%</t>
        </is>
      </c>
      <c r="C16" s="6" t="inlineStr">
        <is>
          <t>14.2%</t>
        </is>
      </c>
      <c r="D16" s="6" t="inlineStr">
        <is>
          <t>14.8%</t>
        </is>
      </c>
      <c r="E16" s="6" t="inlineStr">
        <is>
          <t>14.7%</t>
        </is>
      </c>
      <c r="F16" s="6" t="n"/>
      <c r="G16" s="6" t="n"/>
      <c r="H16" s="6" t="n"/>
    </row>
    <row r="17">
      <c r="A17" s="6" t="inlineStr">
        <is>
          <t>5a  Fully loaded common Equity Tier 1 ratio (%)</t>
        </is>
      </c>
      <c r="B17" s="6" t="n"/>
      <c r="C17" s="6" t="inlineStr">
        <is>
          <t>14.2%</t>
        </is>
      </c>
      <c r="D17" s="6" t="inlineStr">
        <is>
          <t>14.8%</t>
        </is>
      </c>
      <c r="E17" s="6" t="inlineStr">
        <is>
          <t>14.6%</t>
        </is>
      </c>
      <c r="F17" s="6" t="n"/>
      <c r="G17" s="6" t="n"/>
      <c r="H17" s="6" t="n"/>
    </row>
    <row r="18">
      <c r="A18" s="6" t="inlineStr">
        <is>
          <t>6  Tier 1 ratio (%)</t>
        </is>
      </c>
      <c r="B18" s="6" t="inlineStr">
        <is>
          <t>17.1%</t>
        </is>
      </c>
      <c r="C18" s="6" t="inlineStr">
        <is>
          <t>17.1%</t>
        </is>
      </c>
      <c r="D18" s="6" t="inlineStr">
        <is>
          <t>18.1%</t>
        </is>
      </c>
      <c r="E18" s="6" t="inlineStr">
        <is>
          <t>18.2%</t>
        </is>
      </c>
      <c r="F18" s="6" t="n"/>
      <c r="G18" s="6" t="n"/>
      <c r="H18" s="6" t="n"/>
    </row>
    <row r="19">
      <c r="A19" s="6" t="inlineStr">
        <is>
          <t>6a  Fully loaded tier 1 ratio (%)</t>
        </is>
      </c>
      <c r="B19" s="6" t="n"/>
      <c r="C19" s="6" t="inlineStr">
        <is>
          <t>17.1%</t>
        </is>
      </c>
      <c r="D19" s="6" t="inlineStr">
        <is>
          <t>18.1%</t>
        </is>
      </c>
      <c r="E19" s="6" t="inlineStr">
        <is>
          <t>18.1%</t>
        </is>
      </c>
      <c r="F19" s="6" t="n"/>
      <c r="G19" s="6" t="n"/>
      <c r="H19" s="6" t="n"/>
    </row>
    <row r="20">
      <c r="A20" s="6" t="inlineStr">
        <is>
          <t>7  Total capital ratio (%)</t>
        </is>
      </c>
      <c r="B20" s="6" t="inlineStr">
        <is>
          <t>20.0%</t>
        </is>
      </c>
      <c r="C20" s="6" t="inlineStr">
        <is>
          <t>20.5%</t>
        </is>
      </c>
      <c r="D20" s="6" t="inlineStr">
        <is>
          <t>21.6%</t>
        </is>
      </c>
      <c r="E20" s="6" t="inlineStr">
        <is>
          <t>21.8%</t>
        </is>
      </c>
      <c r="F20" s="6" t="n"/>
      <c r="G20" s="6" t="n"/>
      <c r="H20" s="6" t="n"/>
    </row>
    <row r="21">
      <c r="A21" s="6" t="inlineStr">
        <is>
          <t>7a  Fully loaded total capital ratio (%)</t>
        </is>
      </c>
      <c r="B21" s="6" t="n"/>
      <c r="C21" s="6" t="inlineStr">
        <is>
          <t>20.5%</t>
        </is>
      </c>
      <c r="D21" s="6" t="inlineStr">
        <is>
          <t>21.6%</t>
        </is>
      </c>
      <c r="E21" s="6" t="inlineStr">
        <is>
          <t>21.7%</t>
        </is>
      </c>
      <c r="F21" s="6" t="n"/>
      <c r="G21" s="6" t="n"/>
      <c r="H21" s="6" t="n"/>
    </row>
    <row r="22">
      <c r="A22" s="5" t="inlineStr">
        <is>
          <t>Additional own funds requirements based on SREP (as a percentage of risk-weighted exposure amount)</t>
        </is>
      </c>
      <c r="B22" s="6" t="n"/>
      <c r="C22" s="6" t="n"/>
      <c r="D22" s="6" t="n"/>
      <c r="E22" s="6" t="n"/>
      <c r="F22" s="6" t="n"/>
      <c r="G22" s="6" t="n"/>
      <c r="H22" s="6" t="n"/>
    </row>
    <row r="23">
      <c r="A23" s="6" t="inlineStr">
        <is>
          <t>UK 7a  Additional CET1 SREP requirements (%)</t>
        </is>
      </c>
      <c r="B23" s="6" t="inlineStr">
        <is>
          <t>2.6%</t>
        </is>
      </c>
      <c r="C23" s="6" t="inlineStr">
        <is>
          <t>2.9%</t>
        </is>
      </c>
      <c r="D23" s="6" t="inlineStr">
        <is>
          <t>2.9%</t>
        </is>
      </c>
      <c r="E23" s="6" t="inlineStr">
        <is>
          <t>2.8%</t>
        </is>
      </c>
      <c r="F23" s="6" t="n"/>
      <c r="G23" s="6" t="n"/>
      <c r="H23" s="6" t="n"/>
    </row>
    <row r="24">
      <c r="A24" s="6" t="inlineStr">
        <is>
          <t>UK 7b  Additional AT1 SREP requirements (%)</t>
        </is>
      </c>
      <c r="B24" s="6" t="inlineStr">
        <is>
          <t>0.9%</t>
        </is>
      </c>
      <c r="C24" s="6" t="inlineStr">
        <is>
          <t>1.0%</t>
        </is>
      </c>
      <c r="D24" s="6" t="inlineStr">
        <is>
          <t>1.0%</t>
        </is>
      </c>
      <c r="E24" s="6" t="inlineStr">
        <is>
          <t>0.9%</t>
        </is>
      </c>
      <c r="F24" s="6" t="n"/>
      <c r="G24" s="6" t="n"/>
      <c r="H24" s="6" t="n"/>
    </row>
    <row r="25">
      <c r="A25" s="6" t="inlineStr">
        <is>
          <t>UK 7c  Additional T2 SREP requirements (%)</t>
        </is>
      </c>
      <c r="B25" s="6" t="inlineStr">
        <is>
          <t>1.1%</t>
        </is>
      </c>
      <c r="C25" s="6" t="inlineStr">
        <is>
          <t>1.3%</t>
        </is>
      </c>
      <c r="D25" s="6" t="inlineStr">
        <is>
          <t>1.3%</t>
        </is>
      </c>
      <c r="E25" s="6" t="inlineStr">
        <is>
          <t>1.3%</t>
        </is>
      </c>
      <c r="F25" s="6" t="n"/>
      <c r="G25" s="6" t="n"/>
      <c r="H25" s="6" t="n"/>
    </row>
    <row r="26">
      <c r="A26" s="6" t="inlineStr">
        <is>
          <t>UK 7d  Total SREP own funds requirements (%)</t>
        </is>
      </c>
      <c r="B26" s="6" t="inlineStr">
        <is>
          <t>12.6%</t>
        </is>
      </c>
      <c r="C26" s="6" t="inlineStr">
        <is>
          <t>13.2%</t>
        </is>
      </c>
      <c r="D26" s="6" t="inlineStr">
        <is>
          <t>13.2%</t>
        </is>
      </c>
      <c r="E26" s="6" t="inlineStr">
        <is>
          <t>13.0%</t>
        </is>
      </c>
      <c r="F26" s="6" t="n"/>
      <c r="G26" s="6" t="n"/>
      <c r="H26" s="6" t="n"/>
    </row>
    <row r="27">
      <c r="A27" s="5" t="inlineStr">
        <is>
          <t>Combined buffer requirement (as a percentage of risk-weighted exposure amount)</t>
        </is>
      </c>
      <c r="B27" s="6" t="n"/>
      <c r="C27" s="6" t="n"/>
      <c r="D27" s="6" t="n"/>
      <c r="E27" s="6" t="n"/>
      <c r="F27" s="6" t="n"/>
      <c r="G27" s="6" t="n"/>
      <c r="H27" s="6" t="n"/>
    </row>
    <row r="28">
      <c r="A28" s="6" t="inlineStr">
        <is>
          <t>8  Capital conservation buffer (%)</t>
        </is>
      </c>
      <c r="B28" s="6" t="inlineStr">
        <is>
          <t>2.5%</t>
        </is>
      </c>
      <c r="C28" s="6" t="inlineStr">
        <is>
          <t>2.5%</t>
        </is>
      </c>
      <c r="D28" s="6" t="inlineStr">
        <is>
          <t>2.5%</t>
        </is>
      </c>
      <c r="E28" s="6" t="inlineStr">
        <is>
          <t>2.5%</t>
        </is>
      </c>
      <c r="F28" s="6" t="n"/>
      <c r="G28" s="6" t="n"/>
      <c r="H28" s="6" t="n"/>
    </row>
    <row r="29">
      <c r="A29" s="6" t="inlineStr">
        <is>
          <t>9  Institution specific countercyclical capital buffer (%)</t>
        </is>
      </c>
      <c r="B29" s="6" t="inlineStr">
        <is>
          <t>2.0%</t>
        </is>
      </c>
      <c r="C29" s="6" t="inlineStr">
        <is>
          <t>2.0%</t>
        </is>
      </c>
      <c r="D29" s="6" t="inlineStr">
        <is>
          <t>2.0%</t>
        </is>
      </c>
      <c r="E29" s="6" t="inlineStr">
        <is>
          <t>1.0%</t>
        </is>
      </c>
      <c r="F29" s="6" t="n"/>
      <c r="G29" s="6" t="n"/>
      <c r="H29" s="6" t="n"/>
    </row>
    <row r="30">
      <c r="A30" s="6" t="inlineStr">
        <is>
          <t>UK 10a  Other Systemically Important Institution buffer (%)</t>
        </is>
      </c>
      <c r="B30" s="6" t="inlineStr">
        <is>
          <t>1.0%</t>
        </is>
      </c>
      <c r="C30" s="6" t="inlineStr">
        <is>
          <t>1.0%</t>
        </is>
      </c>
      <c r="D30" s="6" t="inlineStr">
        <is>
          <t>1.0%</t>
        </is>
      </c>
      <c r="E30" s="6" t="inlineStr">
        <is>
          <t>1.0%</t>
        </is>
      </c>
      <c r="F30" s="6" t="n"/>
      <c r="G30" s="6" t="n"/>
      <c r="H30" s="6" t="n"/>
    </row>
    <row r="31">
      <c r="A31" s="6" t="inlineStr">
        <is>
          <t>11  Combined buffer requirement (%)</t>
        </is>
      </c>
      <c r="B31" s="6" t="inlineStr">
        <is>
          <t>5.5%</t>
        </is>
      </c>
      <c r="C31" s="6" t="inlineStr">
        <is>
          <t>5.5%</t>
        </is>
      </c>
      <c r="D31" s="6" t="inlineStr">
        <is>
          <t>5.5%</t>
        </is>
      </c>
      <c r="E31" s="6" t="inlineStr">
        <is>
          <t>4.5%</t>
        </is>
      </c>
      <c r="F31" s="6" t="n"/>
      <c r="G31" s="6" t="n"/>
      <c r="H31" s="6" t="n"/>
    </row>
    <row r="32">
      <c r="A32" s="6" t="inlineStr">
        <is>
          <t>UK 11a  Overall capital requirements (%)</t>
        </is>
      </c>
      <c r="B32" s="6" t="inlineStr">
        <is>
          <t>18.0%</t>
        </is>
      </c>
      <c r="C32" s="6" t="inlineStr">
        <is>
          <t>18.7%</t>
        </is>
      </c>
      <c r="D32" s="6" t="inlineStr">
        <is>
          <t>18.7%</t>
        </is>
      </c>
      <c r="E32" s="6" t="inlineStr">
        <is>
          <t>17.5%</t>
        </is>
      </c>
      <c r="F32" s="6" t="n"/>
      <c r="G32" s="6" t="n"/>
      <c r="H32" s="6" t="n"/>
    </row>
    <row r="33">
      <c r="A33" s="6" t="inlineStr">
        <is>
          <t>12  CET1 available after meeting the total SREP own funds requirements (%)</t>
        </is>
      </c>
      <c r="B33" s="6" t="inlineStr">
        <is>
          <t>7.4%</t>
        </is>
      </c>
      <c r="C33" s="6" t="inlineStr">
        <is>
          <t>6.8%</t>
        </is>
      </c>
      <c r="D33" s="6" t="inlineStr">
        <is>
          <t>7.3%</t>
        </is>
      </c>
      <c r="E33" s="6" t="inlineStr">
        <is>
          <t>7.4%</t>
        </is>
      </c>
      <c r="F33" s="6" t="n"/>
      <c r="G33" s="6" t="n"/>
      <c r="H33" s="6" t="n"/>
    </row>
    <row r="34">
      <c r="A34" s="5" t="inlineStr">
        <is>
          <t>Leverage ratio - Barclays Bank UK Group (the first of the two blocks the report prints)</t>
        </is>
      </c>
      <c r="B34" s="6" t="n"/>
      <c r="C34" s="6" t="n"/>
      <c r="D34" s="6" t="n"/>
      <c r="E34" s="6" t="n"/>
      <c r="F34" s="6" t="n"/>
      <c r="G34" s="6" t="n"/>
      <c r="H34" s="6" t="n"/>
    </row>
    <row r="35">
      <c r="A35" s="6" t="inlineStr">
        <is>
          <t>13  Total exposure measure excluding claims on central banks (£m)</t>
        </is>
      </c>
      <c r="B35" s="6" t="n">
        <v>277958</v>
      </c>
      <c r="C35" s="6" t="n">
        <v>268452</v>
      </c>
      <c r="D35" s="6" t="n">
        <v>250163</v>
      </c>
      <c r="E35" s="6" t="n">
        <v>250092</v>
      </c>
      <c r="F35" s="6" t="n"/>
      <c r="G35" s="6" t="n"/>
      <c r="H35" s="6" t="n"/>
    </row>
    <row r="36">
      <c r="A36" s="6" t="inlineStr">
        <is>
          <t>14  Leverage ratio excluding claims on central banks (%)</t>
        </is>
      </c>
      <c r="B36" s="6" t="inlineStr">
        <is>
          <t>5.2%</t>
        </is>
      </c>
      <c r="C36" s="6" t="inlineStr">
        <is>
          <t>5.3%</t>
        </is>
      </c>
      <c r="D36" s="6" t="inlineStr">
        <is>
          <t>5.2%</t>
        </is>
      </c>
      <c r="E36" s="6" t="inlineStr">
        <is>
          <t>5.3%</t>
        </is>
      </c>
      <c r="F36" s="6" t="n"/>
      <c r="G36" s="6" t="n"/>
      <c r="H36" s="6" t="n"/>
    </row>
    <row r="37">
      <c r="A37" s="6" t="inlineStr">
        <is>
          <t>UK 14a  Fully loaded ECL accounting model leverage ratio excluding claims on central banks (%)</t>
        </is>
      </c>
      <c r="B37" s="6" t="inlineStr">
        <is>
          <t>5.2%</t>
        </is>
      </c>
      <c r="C37" s="6" t="inlineStr">
        <is>
          <t>5.3%</t>
        </is>
      </c>
      <c r="D37" s="6" t="inlineStr">
        <is>
          <t>5.2%</t>
        </is>
      </c>
      <c r="E37" s="6" t="n"/>
      <c r="F37" s="6" t="n"/>
      <c r="G37" s="6" t="n"/>
      <c r="H37" s="6" t="n"/>
    </row>
    <row r="38">
      <c r="A38" s="6" t="inlineStr">
        <is>
          <t>UK 14b  Leverage ratio including claims on central banks (%)</t>
        </is>
      </c>
      <c r="B38" s="6" t="inlineStr">
        <is>
          <t>4.8%</t>
        </is>
      </c>
      <c r="C38" s="6" t="inlineStr">
        <is>
          <t>4.7%</t>
        </is>
      </c>
      <c r="D38" s="6" t="inlineStr">
        <is>
          <t>4.5%</t>
        </is>
      </c>
      <c r="E38" s="6" t="inlineStr">
        <is>
          <t>4.3%</t>
        </is>
      </c>
      <c r="F38" s="6" t="n"/>
      <c r="G38" s="6" t="n"/>
      <c r="H38" s="6" t="n"/>
    </row>
    <row r="39">
      <c r="A39" s="6" t="inlineStr">
        <is>
          <t>UK 14c  Average leverage ratio excluding claims on central banks (%)</t>
        </is>
      </c>
      <c r="B39" s="6" t="inlineStr">
        <is>
          <t>5.4%</t>
        </is>
      </c>
      <c r="C39" s="6" t="inlineStr">
        <is>
          <t>5.4%</t>
        </is>
      </c>
      <c r="D39" s="6" t="inlineStr">
        <is>
          <t>5.2%</t>
        </is>
      </c>
      <c r="E39" s="6" t="inlineStr">
        <is>
          <t>5.3%</t>
        </is>
      </c>
      <c r="F39" s="6" t="n"/>
      <c r="G39" s="6" t="n"/>
      <c r="H39" s="6" t="n"/>
    </row>
    <row r="40">
      <c r="A40" s="6" t="inlineStr">
        <is>
          <t>UK 14d  Average leverage ratio including claims on central banks (%)</t>
        </is>
      </c>
      <c r="B40" s="6" t="inlineStr">
        <is>
          <t>4.9%</t>
        </is>
      </c>
      <c r="C40" s="6" t="inlineStr">
        <is>
          <t>4.8%</t>
        </is>
      </c>
      <c r="D40" s="6" t="inlineStr">
        <is>
          <t>4.5%</t>
        </is>
      </c>
      <c r="E40" s="6" t="inlineStr">
        <is>
          <t>4.3%</t>
        </is>
      </c>
      <c r="F40" s="6" t="n"/>
      <c r="G40" s="6" t="n"/>
      <c r="H40" s="6" t="n"/>
    </row>
    <row r="41">
      <c r="A41" s="6" t="inlineStr">
        <is>
          <t>UK 14e  Countercyclical leverage ratio buffer (%)</t>
        </is>
      </c>
      <c r="B41" s="6" t="inlineStr">
        <is>
          <t>0.7%</t>
        </is>
      </c>
      <c r="C41" s="6" t="inlineStr">
        <is>
          <t>0.7%</t>
        </is>
      </c>
      <c r="D41" s="6" t="inlineStr">
        <is>
          <t>0.7%</t>
        </is>
      </c>
      <c r="E41" s="6" t="inlineStr">
        <is>
          <t>0.3%</t>
        </is>
      </c>
      <c r="F41" s="6" t="n"/>
      <c r="G41" s="6" t="n"/>
      <c r="H41" s="6" t="n"/>
    </row>
    <row r="42">
      <c r="A42" s="5" t="inlineStr">
        <is>
          <t>Leverage ratio - Barclays Bank UK PLC (the report's SECOND block; different figures, not a repeat)</t>
        </is>
      </c>
      <c r="B42" s="6" t="n"/>
      <c r="C42" s="6" t="n"/>
      <c r="D42" s="6" t="n"/>
      <c r="E42" s="6" t="n"/>
      <c r="F42" s="6" t="n"/>
      <c r="G42" s="6" t="n"/>
      <c r="H42" s="6" t="n"/>
    </row>
    <row r="43">
      <c r="A43" s="6" t="inlineStr">
        <is>
          <t>13  Total exposure measure excluding claims on central banks - Barclays Bank UK PLC (£m)</t>
        </is>
      </c>
      <c r="B43" s="6" t="n">
        <v>278131</v>
      </c>
      <c r="C43" s="6" t="n">
        <v>268870</v>
      </c>
      <c r="D43" s="6" t="n">
        <v>250564</v>
      </c>
      <c r="E43" s="6" t="n"/>
      <c r="F43" s="6" t="n"/>
      <c r="G43" s="6" t="n"/>
      <c r="H43" s="6" t="n"/>
    </row>
    <row r="44">
      <c r="A44" s="6" t="inlineStr">
        <is>
          <t>14  Leverage ratio excluding claims on central banks (%) - Barclays Bank UK PLC</t>
        </is>
      </c>
      <c r="B44" s="6" t="inlineStr">
        <is>
          <t>5.2%</t>
        </is>
      </c>
      <c r="C44" s="6" t="inlineStr">
        <is>
          <t>5.3%</t>
        </is>
      </c>
      <c r="D44" s="6" t="inlineStr">
        <is>
          <t>5.2%</t>
        </is>
      </c>
      <c r="E44" s="6" t="n"/>
      <c r="F44" s="6" t="n"/>
      <c r="G44" s="6" t="n"/>
      <c r="H44" s="6" t="n"/>
    </row>
    <row r="45">
      <c r="A45" s="6" t="inlineStr">
        <is>
          <t>UK 14a  Fully loaded ECL accounting model leverage ratio excl. central banks (%) - Barclays Bank UK PLC</t>
        </is>
      </c>
      <c r="B45" s="6" t="inlineStr">
        <is>
          <t>5.2%</t>
        </is>
      </c>
      <c r="C45" s="6" t="inlineStr">
        <is>
          <t>5.3%</t>
        </is>
      </c>
      <c r="D45" s="6" t="inlineStr">
        <is>
          <t>5.2%</t>
        </is>
      </c>
      <c r="E45" s="6" t="n"/>
      <c r="F45" s="6" t="n"/>
      <c r="G45" s="6" t="n"/>
      <c r="H45" s="6" t="n"/>
    </row>
    <row r="46">
      <c r="A46" s="6" t="inlineStr">
        <is>
          <t>UK 14b  Leverage ratio including claims on central banks (%) - Barclays Bank UK PLC</t>
        </is>
      </c>
      <c r="B46" s="6" t="inlineStr">
        <is>
          <t>4.8%</t>
        </is>
      </c>
      <c r="C46" s="6" t="inlineStr">
        <is>
          <t>4.7%</t>
        </is>
      </c>
      <c r="D46" s="6" t="inlineStr">
        <is>
          <t>4.5%</t>
        </is>
      </c>
      <c r="E46" s="6" t="n"/>
      <c r="F46" s="6" t="n"/>
      <c r="G46" s="6" t="n"/>
      <c r="H46" s="6" t="n"/>
    </row>
    <row r="47">
      <c r="A47" s="5" t="inlineStr">
        <is>
          <t>Liquidity Coverage Ratio - Barclays Bank UK Group</t>
        </is>
      </c>
      <c r="B47" s="6" t="n"/>
      <c r="C47" s="6" t="n"/>
      <c r="D47" s="6" t="n"/>
      <c r="E47" s="6" t="n"/>
      <c r="F47" s="6" t="n"/>
      <c r="G47" s="6" t="n"/>
      <c r="H47" s="6" t="n"/>
    </row>
    <row r="48">
      <c r="A48" s="6" t="inlineStr">
        <is>
          <t>15  Total high-quality liquid assets (HQLA) (Weighted value) (£m)</t>
        </is>
      </c>
      <c r="B48" s="6" t="n">
        <v>64552</v>
      </c>
      <c r="C48" s="6" t="n">
        <v>68446</v>
      </c>
      <c r="D48" s="6" t="n">
        <v>68533</v>
      </c>
      <c r="E48" s="6" t="n">
        <v>81791</v>
      </c>
      <c r="F48" s="6" t="n"/>
      <c r="G48" s="6" t="n"/>
      <c r="H48" s="6" t="n"/>
    </row>
    <row r="49">
      <c r="A49" s="6" t="inlineStr">
        <is>
          <t>UK 16a  Cash outflows - Total weighted value (£m)</t>
        </is>
      </c>
      <c r="B49" s="6" t="n">
        <v>36199</v>
      </c>
      <c r="C49" s="6" t="n">
        <v>35356</v>
      </c>
      <c r="D49" s="6" t="n">
        <v>38982</v>
      </c>
      <c r="E49" s="6" t="n">
        <v>45306</v>
      </c>
      <c r="F49" s="6" t="n"/>
      <c r="G49" s="6" t="n"/>
      <c r="H49" s="6" t="n"/>
    </row>
    <row r="50">
      <c r="A50" s="6" t="inlineStr">
        <is>
          <t>UK 16b  Cash inflows - Total weighted value (£m)</t>
        </is>
      </c>
      <c r="B50" s="6" t="n">
        <v>1586</v>
      </c>
      <c r="C50" s="6" t="n">
        <v>1477</v>
      </c>
      <c r="D50" s="6" t="n">
        <v>925</v>
      </c>
      <c r="E50" s="6" t="n">
        <v>1340</v>
      </c>
      <c r="F50" s="6" t="n"/>
      <c r="G50" s="6" t="n"/>
      <c r="H50" s="6" t="n"/>
    </row>
    <row r="51">
      <c r="A51" s="6" t="inlineStr">
        <is>
          <t>16  Total net cash outflows (adjusted value) (£m)</t>
        </is>
      </c>
      <c r="B51" s="6" t="n">
        <v>34613</v>
      </c>
      <c r="C51" s="6" t="n">
        <v>33879</v>
      </c>
      <c r="D51" s="6" t="n">
        <v>38057</v>
      </c>
      <c r="E51" s="6" t="n">
        <v>43966</v>
      </c>
      <c r="F51" s="6" t="n"/>
      <c r="G51" s="6" t="n"/>
      <c r="H51" s="6" t="n"/>
    </row>
    <row r="52">
      <c r="A52" s="6" t="inlineStr">
        <is>
          <t>17  Liquidity coverage ratio (%)</t>
        </is>
      </c>
      <c r="B52" s="6" t="inlineStr">
        <is>
          <t>186.6%</t>
        </is>
      </c>
      <c r="C52" s="6" t="inlineStr">
        <is>
          <t>202.0%</t>
        </is>
      </c>
      <c r="D52" s="6" t="inlineStr">
        <is>
          <t>180%</t>
        </is>
      </c>
      <c r="E52" s="6" t="inlineStr">
        <is>
          <t>186%</t>
        </is>
      </c>
      <c r="F52" s="6" t="n"/>
      <c r="G52" s="6" t="n"/>
      <c r="H52" s="6" t="n"/>
    </row>
    <row r="53">
      <c r="A53" s="6" t="inlineStr">
        <is>
          <t>17a  Liquidity coverage ratio (%) (period end)</t>
        </is>
      </c>
      <c r="B53" s="6" t="n"/>
      <c r="C53" s="6" t="n"/>
      <c r="D53" s="6" t="n"/>
      <c r="E53" s="6" t="inlineStr">
        <is>
          <t>183%</t>
        </is>
      </c>
      <c r="F53" s="6" t="n"/>
      <c r="G53" s="6" t="n"/>
      <c r="H53" s="6" t="n"/>
    </row>
    <row r="54">
      <c r="A54" s="5" t="inlineStr">
        <is>
          <t>Net Stable Funding Ratio - Barclays Bank UK Group</t>
        </is>
      </c>
      <c r="B54" s="6" t="n"/>
      <c r="C54" s="6" t="n"/>
      <c r="D54" s="6" t="n"/>
      <c r="E54" s="6" t="n"/>
      <c r="F54" s="6" t="n"/>
      <c r="G54" s="6" t="n"/>
      <c r="H54" s="6" t="n"/>
    </row>
    <row r="55">
      <c r="A55" s="6" t="inlineStr">
        <is>
          <t>18  Total available stable funding (£m)</t>
        </is>
      </c>
      <c r="B55" s="6" t="n">
        <v>257230</v>
      </c>
      <c r="C55" s="6" t="n">
        <v>254755</v>
      </c>
      <c r="D55" s="6" t="n">
        <v>258620</v>
      </c>
      <c r="E55" s="6" t="n">
        <v>266421</v>
      </c>
      <c r="F55" s="6" t="n"/>
      <c r="G55" s="6" t="n"/>
      <c r="H55" s="6" t="n"/>
    </row>
    <row r="56">
      <c r="A56" s="6" t="inlineStr">
        <is>
          <t>19  Total required stable funding (£m)</t>
        </is>
      </c>
      <c r="B56" s="6" t="n">
        <v>168761</v>
      </c>
      <c r="C56" s="6" t="n">
        <v>160041</v>
      </c>
      <c r="D56" s="6" t="n">
        <v>156588</v>
      </c>
      <c r="E56" s="6" t="n">
        <v>158156</v>
      </c>
      <c r="F56" s="6" t="n"/>
      <c r="G56" s="6" t="n"/>
      <c r="H56" s="6" t="n"/>
    </row>
    <row r="57">
      <c r="A57" s="6" t="inlineStr">
        <is>
          <t>20  NSFR ratio (%)</t>
        </is>
      </c>
      <c r="B57" s="6" t="inlineStr">
        <is>
          <t>152.4%</t>
        </is>
      </c>
      <c r="C57" s="6" t="inlineStr">
        <is>
          <t>159.3%</t>
        </is>
      </c>
      <c r="D57" s="6" t="inlineStr">
        <is>
          <t>165%</t>
        </is>
      </c>
      <c r="E57" s="6" t="inlineStr">
        <is>
          <t>168%</t>
        </is>
      </c>
      <c r="F57" s="6" t="n"/>
      <c r="G57" s="6" t="n"/>
      <c r="H57" s="6" t="n"/>
    </row>
    <row r="58">
      <c r="A58" s="5" t="inlineStr">
        <is>
          <t>BASEL / EU KM1 TEMPLATE - AS PUBLISHED FY2019-FY2021 (Table 4: Key Metrics (KM1/IFRS9-FL)). ROW NUMBERS ARE NOT COMPARABLE WITH THE BLOCK ABOVE.</t>
        </is>
      </c>
      <c r="B58" s="6" t="n"/>
      <c r="C58" s="6" t="n"/>
      <c r="D58" s="6" t="n"/>
      <c r="E58" s="6" t="n"/>
      <c r="F58" s="6" t="n"/>
      <c r="G58" s="6" t="n"/>
      <c r="H58" s="6" t="n"/>
    </row>
    <row r="59">
      <c r="A59" s="6" t="inlineStr">
        <is>
          <t>1  Common Equity Tier 1 (CET1) (£m)</t>
        </is>
      </c>
      <c r="B59" s="6" t="n"/>
      <c r="C59" s="6" t="n"/>
      <c r="D59" s="6" t="n"/>
      <c r="E59" s="6" t="n"/>
      <c r="F59" s="6" t="n">
        <v>10828</v>
      </c>
      <c r="G59" s="6" t="n">
        <v>11247</v>
      </c>
      <c r="H59" s="6" t="n">
        <v>10128</v>
      </c>
    </row>
    <row r="60">
      <c r="A60" s="6" t="inlineStr">
        <is>
          <t>2  Tier 1 (£m)</t>
        </is>
      </c>
      <c r="B60" s="6" t="n"/>
      <c r="C60" s="6" t="n"/>
      <c r="D60" s="6" t="n"/>
      <c r="E60" s="6" t="n"/>
      <c r="F60" s="6" t="n">
        <v>13388</v>
      </c>
      <c r="G60" s="6" t="n">
        <v>13807</v>
      </c>
      <c r="H60" s="6" t="n">
        <v>12688</v>
      </c>
    </row>
    <row r="61">
      <c r="A61" s="6" t="inlineStr">
        <is>
          <t>2a  Fully loaded ECL accounting model Tier 1 (£m)</t>
        </is>
      </c>
      <c r="B61" s="6" t="n"/>
      <c r="C61" s="6" t="n"/>
      <c r="D61" s="6" t="n"/>
      <c r="E61" s="6" t="n"/>
      <c r="F61" s="6" t="n">
        <v>13132</v>
      </c>
      <c r="G61" s="6" t="n">
        <v>13077</v>
      </c>
      <c r="H61" s="6" t="n">
        <v>12498</v>
      </c>
    </row>
    <row r="62">
      <c r="A62" s="6" t="inlineStr">
        <is>
          <t>3  Total capital (£m)</t>
        </is>
      </c>
      <c r="B62" s="6" t="n"/>
      <c r="C62" s="6" t="n"/>
      <c r="D62" s="6" t="n"/>
      <c r="E62" s="6" t="n"/>
      <c r="F62" s="6" t="n">
        <v>16442</v>
      </c>
      <c r="G62" s="6" t="n">
        <v>17178</v>
      </c>
      <c r="H62" s="6" t="n">
        <v>16012</v>
      </c>
    </row>
    <row r="63">
      <c r="A63" s="6" t="inlineStr">
        <is>
          <t>3a  Fully loaded ECL accounting model total capital (£m)</t>
        </is>
      </c>
      <c r="B63" s="6" t="n"/>
      <c r="C63" s="6" t="n"/>
      <c r="D63" s="6" t="n"/>
      <c r="E63" s="6" t="n"/>
      <c r="F63" s="6" t="n">
        <v>16359</v>
      </c>
      <c r="G63" s="6" t="n">
        <v>16677</v>
      </c>
      <c r="H63" s="6" t="n">
        <v>15990</v>
      </c>
    </row>
    <row r="64">
      <c r="A64" s="6" t="inlineStr">
        <is>
          <t>4  Total risk-weighted assets (RWA) (£m)</t>
        </is>
      </c>
      <c r="B64" s="6" t="n"/>
      <c r="C64" s="6" t="n"/>
      <c r="D64" s="6" t="n"/>
      <c r="E64" s="6" t="n"/>
      <c r="F64" s="6" t="n">
        <v>71213</v>
      </c>
      <c r="G64" s="6" t="n">
        <v>72025</v>
      </c>
      <c r="H64" s="6" t="n">
        <v>75010</v>
      </c>
    </row>
    <row r="65">
      <c r="A65" s="6" t="inlineStr">
        <is>
          <t>4a  Fully loaded ECL accounting model total risk-weighted assets (RWA) (£m)</t>
        </is>
      </c>
      <c r="B65" s="6" t="n"/>
      <c r="C65" s="6" t="n"/>
      <c r="D65" s="6" t="n"/>
      <c r="E65" s="6" t="n"/>
      <c r="F65" s="6" t="n">
        <v>71116</v>
      </c>
      <c r="G65" s="6" t="n">
        <v>72039</v>
      </c>
      <c r="H65" s="6" t="n">
        <v>75124</v>
      </c>
    </row>
    <row r="66">
      <c r="A66" s="6" t="inlineStr">
        <is>
          <t>5  Common Equity Tier 1 ratio (%)</t>
        </is>
      </c>
      <c r="B66" s="6" t="n"/>
      <c r="C66" s="6" t="n"/>
      <c r="D66" s="6" t="n"/>
      <c r="E66" s="6" t="n"/>
      <c r="F66" s="6" t="inlineStr">
        <is>
          <t>15.2%</t>
        </is>
      </c>
      <c r="G66" s="6" t="inlineStr">
        <is>
          <t>15.6%</t>
        </is>
      </c>
      <c r="H66" s="6" t="inlineStr">
        <is>
          <t>13.5%</t>
        </is>
      </c>
    </row>
    <row r="67">
      <c r="A67" s="6" t="inlineStr">
        <is>
          <t>5a  Fully loaded ECL accounting model Common Equity Tier 1 (%)</t>
        </is>
      </c>
      <c r="B67" s="6" t="n"/>
      <c r="C67" s="6" t="n"/>
      <c r="D67" s="6" t="n"/>
      <c r="E67" s="6" t="n"/>
      <c r="F67" s="6" t="inlineStr">
        <is>
          <t>14.9%</t>
        </is>
      </c>
      <c r="G67" s="6" t="inlineStr">
        <is>
          <t>14.6%</t>
        </is>
      </c>
      <c r="H67" s="6" t="inlineStr">
        <is>
          <t>13.2%</t>
        </is>
      </c>
    </row>
    <row r="68">
      <c r="A68" s="6" t="inlineStr">
        <is>
          <t>6  Tier 1 ratio (%)</t>
        </is>
      </c>
      <c r="B68" s="6" t="n"/>
      <c r="C68" s="6" t="n"/>
      <c r="D68" s="6" t="n"/>
      <c r="E68" s="6" t="n"/>
      <c r="F68" s="6" t="inlineStr">
        <is>
          <t>18.8%</t>
        </is>
      </c>
      <c r="G68" s="6" t="inlineStr">
        <is>
          <t>19.2%</t>
        </is>
      </c>
      <c r="H68" s="6" t="inlineStr">
        <is>
          <t>16.9%</t>
        </is>
      </c>
    </row>
    <row r="69">
      <c r="A69" s="6" t="inlineStr">
        <is>
          <t>6a  Fully loaded ECL accounting model Tier 1 ratio (%)</t>
        </is>
      </c>
      <c r="B69" s="6" t="n"/>
      <c r="C69" s="6" t="n"/>
      <c r="D69" s="6" t="n"/>
      <c r="E69" s="6" t="n"/>
      <c r="F69" s="6" t="inlineStr">
        <is>
          <t>18.5%</t>
        </is>
      </c>
      <c r="G69" s="6" t="inlineStr">
        <is>
          <t>18.2%</t>
        </is>
      </c>
      <c r="H69" s="6" t="inlineStr">
        <is>
          <t>16.6%</t>
        </is>
      </c>
    </row>
    <row r="70">
      <c r="A70" s="6" t="inlineStr">
        <is>
          <t>7  Total capital ratio (%)</t>
        </is>
      </c>
      <c r="B70" s="6" t="n"/>
      <c r="C70" s="6" t="n"/>
      <c r="D70" s="6" t="n"/>
      <c r="E70" s="6" t="n"/>
      <c r="F70" s="6" t="inlineStr">
        <is>
          <t>23.1%</t>
        </is>
      </c>
      <c r="G70" s="6" t="inlineStr">
        <is>
          <t>23.9%</t>
        </is>
      </c>
      <c r="H70" s="6" t="inlineStr">
        <is>
          <t>21.3%</t>
        </is>
      </c>
    </row>
    <row r="71">
      <c r="A71" s="6" t="inlineStr">
        <is>
          <t>7a  Fully loaded ECL accounting model total capital ratio (%)</t>
        </is>
      </c>
      <c r="B71" s="6" t="n"/>
      <c r="C71" s="6" t="n"/>
      <c r="D71" s="6" t="n"/>
      <c r="E71" s="6" t="n"/>
      <c r="F71" s="6" t="inlineStr">
        <is>
          <t>23.0%</t>
        </is>
      </c>
      <c r="G71" s="6" t="inlineStr">
        <is>
          <t>23.1%</t>
        </is>
      </c>
      <c r="H71" s="6" t="inlineStr">
        <is>
          <t>21.3%</t>
        </is>
      </c>
    </row>
    <row r="72">
      <c r="A72" s="6" t="inlineStr">
        <is>
          <t>8  Capital conservation buffer requirement (%)</t>
        </is>
      </c>
      <c r="B72" s="6" t="n"/>
      <c r="C72" s="6" t="n"/>
      <c r="D72" s="6" t="n"/>
      <c r="E72" s="6" t="n"/>
      <c r="F72" s="6" t="inlineStr">
        <is>
          <t>2.5%</t>
        </is>
      </c>
      <c r="G72" s="6" t="inlineStr">
        <is>
          <t>2.5%</t>
        </is>
      </c>
      <c r="H72" s="6" t="inlineStr">
        <is>
          <t>2.5%</t>
        </is>
      </c>
    </row>
    <row r="73">
      <c r="A73" s="6" t="inlineStr">
        <is>
          <t>9  Countercyclical buffer requirement (%)</t>
        </is>
      </c>
      <c r="B73" s="6" t="n"/>
      <c r="C73" s="6" t="n"/>
      <c r="D73" s="6" t="n"/>
      <c r="E73" s="6" t="n"/>
      <c r="F73" s="6" t="inlineStr">
        <is>
          <t>0.0%</t>
        </is>
      </c>
      <c r="G73" s="6" t="inlineStr">
        <is>
          <t>0.0%</t>
        </is>
      </c>
      <c r="H73" s="6" t="inlineStr">
        <is>
          <t>1.0%</t>
        </is>
      </c>
    </row>
    <row r="74">
      <c r="A74" s="6" t="inlineStr">
        <is>
          <t>11  Total of bank CET1 specific buffer requirements (%) (row 8 + 9 + O-SII)</t>
        </is>
      </c>
      <c r="B74" s="6" t="n"/>
      <c r="C74" s="6" t="n"/>
      <c r="D74" s="6" t="n"/>
      <c r="E74" s="6" t="n"/>
      <c r="F74" s="6" t="inlineStr">
        <is>
          <t>3.5%</t>
        </is>
      </c>
      <c r="G74" s="6" t="inlineStr">
        <is>
          <t>3.5%</t>
        </is>
      </c>
      <c r="H74" s="6" t="inlineStr">
        <is>
          <t>4.5%</t>
        </is>
      </c>
    </row>
    <row r="75">
      <c r="A75" s="6" t="inlineStr">
        <is>
          <t>12  CET1 available after meeting the bank's minimum capital requirements (%)</t>
        </is>
      </c>
      <c r="B75" s="6" t="n"/>
      <c r="C75" s="6" t="n"/>
      <c r="D75" s="6" t="n"/>
      <c r="E75" s="6" t="n"/>
      <c r="F75" s="6" t="inlineStr">
        <is>
          <t>10.7%</t>
        </is>
      </c>
      <c r="G75" s="6" t="inlineStr">
        <is>
          <t>11.1%</t>
        </is>
      </c>
      <c r="H75" s="6" t="inlineStr">
        <is>
          <t>9.0%</t>
        </is>
      </c>
    </row>
    <row r="76">
      <c r="A76" s="6" t="inlineStr">
        <is>
          <t>13  Total CRR leverage ratio exposure measure (£m)</t>
        </is>
      </c>
      <c r="B76" s="6" t="n"/>
      <c r="C76" s="6" t="n"/>
      <c r="D76" s="6" t="n"/>
      <c r="E76" s="6" t="n"/>
      <c r="F76" s="6" t="n">
        <v>324899</v>
      </c>
      <c r="G76" s="6" t="n">
        <v>294242</v>
      </c>
      <c r="H76" s="6" t="n">
        <v>264085</v>
      </c>
    </row>
    <row r="77">
      <c r="A77" s="6" t="inlineStr">
        <is>
          <t>14  Transitional CRR leverage ratio (%)</t>
        </is>
      </c>
      <c r="B77" s="6" t="n"/>
      <c r="C77" s="6" t="n"/>
      <c r="D77" s="6" t="n"/>
      <c r="E77" s="6" t="n"/>
      <c r="F77" s="6" t="inlineStr">
        <is>
          <t>4.1%</t>
        </is>
      </c>
      <c r="G77" s="6" t="inlineStr">
        <is>
          <t>4.7%</t>
        </is>
      </c>
      <c r="H77" s="6" t="inlineStr">
        <is>
          <t>4.8%</t>
        </is>
      </c>
    </row>
    <row r="78">
      <c r="A78" s="6" t="inlineStr">
        <is>
          <t>IFRS9-FL 17  Leverage ratio as if IFRS 9 or analogous ECLs transitional arrangement had not been applied (%)</t>
        </is>
      </c>
      <c r="B78" s="6" t="n"/>
      <c r="C78" s="6" t="n"/>
      <c r="D78" s="6" t="n"/>
      <c r="E78" s="6" t="n"/>
      <c r="F78" s="6" t="inlineStr">
        <is>
          <t>4.0%</t>
        </is>
      </c>
      <c r="G78" s="6" t="inlineStr">
        <is>
          <t>4.5%</t>
        </is>
      </c>
      <c r="H78" s="6" t="inlineStr">
        <is>
          <t>4.7%</t>
        </is>
      </c>
    </row>
    <row r="79">
      <c r="A79" s="6" t="inlineStr">
        <is>
          <t>13a  Total average UK leverage ratio exposure measure (£m)</t>
        </is>
      </c>
      <c r="B79" s="6" t="n"/>
      <c r="C79" s="6" t="n"/>
      <c r="D79" s="6" t="n"/>
      <c r="E79" s="6" t="n"/>
      <c r="F79" s="6" t="n">
        <v>246849</v>
      </c>
      <c r="G79" s="6" t="n">
        <v>245992</v>
      </c>
      <c r="H79" s="6" t="n">
        <v>240057</v>
      </c>
    </row>
    <row r="80">
      <c r="A80" s="6" t="inlineStr">
        <is>
          <t>14a  Transitional average UK leverage ratio (%)</t>
        </is>
      </c>
      <c r="B80" s="6" t="n"/>
      <c r="C80" s="6" t="n"/>
      <c r="D80" s="6" t="n"/>
      <c r="E80" s="6" t="n"/>
      <c r="F80" s="6" t="inlineStr">
        <is>
          <t>5.5%</t>
        </is>
      </c>
      <c r="G80" s="6" t="inlineStr">
        <is>
          <t>5.6%</t>
        </is>
      </c>
      <c r="H80" s="6" t="inlineStr">
        <is>
          <t>5.2%</t>
        </is>
      </c>
    </row>
    <row r="81">
      <c r="A81" s="6" t="inlineStr">
        <is>
          <t>13b  Total UK leverage ratio exposure measure (£m)</t>
        </is>
      </c>
      <c r="B81" s="6" t="n"/>
      <c r="C81" s="6" t="n"/>
      <c r="D81" s="6" t="n"/>
      <c r="E81" s="6" t="n"/>
      <c r="F81" s="6" t="n">
        <v>241173</v>
      </c>
      <c r="G81" s="6" t="n">
        <v>245176</v>
      </c>
      <c r="H81" s="6" t="n">
        <v>236026</v>
      </c>
    </row>
    <row r="82">
      <c r="A82" s="6" t="inlineStr">
        <is>
          <t>14b  Transitional UK leverage ratio (%)</t>
        </is>
      </c>
      <c r="B82" s="6" t="n"/>
      <c r="C82" s="6" t="n"/>
      <c r="D82" s="6" t="n"/>
      <c r="E82" s="6" t="n"/>
      <c r="F82" s="6" t="inlineStr">
        <is>
          <t>5.6%</t>
        </is>
      </c>
      <c r="G82" s="6" t="inlineStr">
        <is>
          <t>5.6%</t>
        </is>
      </c>
      <c r="H82" s="6" t="inlineStr">
        <is>
          <t>5.4%</t>
        </is>
      </c>
    </row>
    <row r="83">
      <c r="A83" s="6" t="inlineStr">
        <is>
          <t>15  Total HQLA (£m)</t>
        </is>
      </c>
      <c r="B83" s="6" t="n"/>
      <c r="C83" s="6" t="n"/>
      <c r="D83" s="6" t="n"/>
      <c r="E83" s="6" t="n"/>
      <c r="F83" s="6" t="n">
        <v>85092</v>
      </c>
      <c r="G83" s="6" t="n">
        <v>58035</v>
      </c>
      <c r="H83" s="6" t="n">
        <v>41293</v>
      </c>
    </row>
    <row r="84">
      <c r="A84" s="6" t="inlineStr">
        <is>
          <t>16  Total net cash outflows (£m)</t>
        </is>
      </c>
      <c r="B84" s="6" t="n"/>
      <c r="C84" s="6" t="n"/>
      <c r="D84" s="6" t="n"/>
      <c r="E84" s="6" t="n"/>
      <c r="F84" s="6" t="n">
        <v>41690</v>
      </c>
      <c r="G84" s="6" t="n">
        <v>36246</v>
      </c>
      <c r="H84" s="6" t="n">
        <v>28741</v>
      </c>
    </row>
    <row r="85">
      <c r="A85" s="6" t="inlineStr">
        <is>
          <t>17  LCR ratio (%)</t>
        </is>
      </c>
      <c r="B85" s="6" t="n"/>
      <c r="C85" s="6" t="n"/>
      <c r="D85" s="6" t="n"/>
      <c r="E85" s="6" t="n"/>
      <c r="F85" s="6" t="inlineStr">
        <is>
          <t>204%</t>
        </is>
      </c>
      <c r="G85" s="6" t="inlineStr">
        <is>
          <t>160%</t>
        </is>
      </c>
      <c r="H85" s="6" t="inlineStr">
        <is>
          <t>144%</t>
        </is>
      </c>
    </row>
    <row r="87" ht="409" customHeight="1">
      <c r="A87" s="8" t="inlineStr">
        <is>
          <t>Source - Barclays Bank UK PLC's own Pillar 3 Reports, each year taken from its OWN edition's year-end column, £m. Page numbers are the reports' own printed folios:
FY2025: Pillar 3 Report 2025, p.11 (Table 6: UK KM1 - Key metrics - Part 1) and p.12 (Part 2), 'As at 31.12.25' column - https://home.barclays/content/dam/home-barclays/documents/investor-relations/ResultAnnouncements/FullYear2025Results/FY25-BBUKPLC-Pillar-3.pdf
FY2024: Pillar 3 Report 2024, p.11 and p.12 (Table 6: UK KM1 - Key metrics (KM1 / IFRS9-FL), Parts 1 and 2), 'As at 31.12.24' column - https://home.barclays/content/dam/home-barclays/documents/investor-relations/ResultAnnouncements/FullYear2024Results/FY24-Barclays-Bank-UK-PLC-Pillar-3-Report.pdf
FY2023: Pillar 3 Report 2023, p.11 and p.12, 'As at 31.12.23' column - https://home.barclays/content/dam/home-barclays/documents/investor-relations/reports-and-events/annual-reports/2023/BB-UK-Pillar-3-Report-2023.pdf
FY2022: Pillar 3 Report 2022, p.11 and p.12 (Table 6: UK KM1 - Key metrics (KM1 / IFRS9-FL / Article 468-FL / UK LR) - Part 1), 'As at 31.12.22' column - https://home.barclays/content/dam/home-barclays/documents/investor-relations/reports-and-events/annual-reports/2022/Pillar-3/Barclays-Bank-UK-PLC-Pillar-3-Report-2022.pdf
FY2021: Pillar 3 Report 2021, p.9 (Table 4: Key Metrics (KM1 / IFRS 9-FL / Article 468-FL)), '31 Dec 21' column - https://home.barclays/content/dam/home-barclays/documents/investor-relations/reports-and-events/annual-reports/2021/Barclays-Bank-UK-PLC-Pillar-3-Report-2021.pdf
FY2020: Pillar 3 Report 2020, p.8 (Table 4: Key Metrics (KM1/IFRS 9-FL)), '31 December 2020' column - https://home.barclays/content/dam/home-barclays/documents/investor-relations/reports-and-events/annual-reports/2020/Barclays%20Bank%20UK%20PLC%20Pillar%203%20Report%202020.pdf
FY2019: Pillar 3 Report 2019, p.8 (Table 4: Key Metrics (KM1/IFRS9-FL)), '31 December 2019' column - https://home.barclays/content/dam/home-barclays/documents/investor-relations/reports-and-events/annual-reports/2019/Barclays%20Bank%20UK%20PLC%20Pillar%203%20Report.pdf
THE COLUMNS IN THE SOURCE ARE QUARTER-ENDS, NOT YEARS. Each UK-era edition prints five columns - its own 31 December followed by the three preceding quarter-ends and the prior 31 December (e.g. the 2025 report prints 31.12.25, 30.09.25, 30.06.25, 31.03.25, 31.12.24). Only each edition's own 31 December column is used here. The earlier editions print two to four columns on the same principle (the 2021 report prints 31 Dec 21, 30 June 21, 31 Dec 20, 30 Jun 20). Picking the wrong column would look entirely plausible and be silently wrong, so every figure on this sheet comes from the first column of the edition named above.
TWO TEMPLATE GENERATIONS, DELIBERATELY NOT MERGED. FY2022-FY2025 use the UK KM1 template; FY2019-FY2021 use the earlier Basel/EU 'KM1 / IFRS9-FL' template, which Barclays captions 'Table 4: Key Metrics'. THE ROW NUMBERS ARE NOT COMPARABLE BETWEEN THE TWO BLOCKS. In the earlier template a bare '7a' is the FULLY LOADED TOTAL CAPITAL RATIO; in the UK template 'UK 7a' is the ADDITIONAL CET1 SREP REQUIREMENT. They are different disclosures sharing a glyph, so the two generations are kept in separate captioned blocks and no row is carried across the break. The earlier template also has no NSFR rows at all (the NSFR became a UK requirement on 1 January 2022), so rows 18-20 are blank for FY2019-FY2021 rather than zero.
ROWS 13 AND 14 ARE PRINTED TWICE IN EVERY UK-ERA EDITION, FOR TWO DIFFERENT ENTITIES, and the two copies genuinely differ. Part 2 carries a 'Barclays Bank UK Group' leverage block and then a 'Barclays Bank UK PLC' one - at 31.12.25, exposure of £277,958m against £278,131m. Both are reproduced below under their own captions. This workbook is the Barclays Bank UK GROUP consolidation throughout, so the Group block is this entity's own figure and the individual Leverage Ratio sheet carries it; the PLC block is included because the Bank publishes it, not as a substitute for the Group's. The LCR and NSFR blocks are printed once, under a repeated 'Barclays Bank UK Group' sub-heading. Rows UK 14c/14d/14e are printed only in the Group block, so they are blank on the PLC block rather than repeated across it.
LABEL VARIATION RECORDED, NOT SMOOTHED: the FY2019 edition captions row 11 'Total of bank CET1 specific buffer requirements (%) (row 8 + 9 + SRB)', where the FY2020 and FY2021 editions say '(row 8 + 9 + O-SII)'. The label below is the later wording; the FY2019 figure is its own edition's.
FY2018 IS NOT SHOWN. Barclays Bank UK PLC published no standalone Pillar 3 report for FY2018 and printed no KM1-shaped table that year, so FY2018 is omitted from this sheet entirely rather than shown as an empty column. Its capital figures remain on the individual metric sheets, cited to the FY2018 Annual Report's capital risk section.
LATEST-EDITION CHECK, 2026-09-16: the Barclays annual-reports index (https://home.barclays/investor-relations/reports-and-events/annual-reports/) lists 58 Pillar 3 documents. The newest for this entity is FY25-BBUKPLC-Pillar-3.pdf, which this workbook holds; probes for an FY26 edition return an HTML soft-404, consistent with a 31 December year-end. None newer exists.</t>
        </is>
      </c>
    </row>
  </sheetData>
  <mergeCells count="1">
    <mergeCell ref="A87:H8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Group — CET1 Capital</t>
        </is>
      </c>
    </row>
    <row r="2">
      <c r="A2" s="2" t="inlineStr">
        <is>
          <t>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Common Equity Tier 1 (CET1) capital</t>
        </is>
      </c>
      <c r="B4" s="6" t="n">
        <v>12331</v>
      </c>
      <c r="C4" s="6" t="n">
        <v>11895</v>
      </c>
      <c r="D4" s="6" t="n">
        <v>10638</v>
      </c>
      <c r="E4" s="6" t="n">
        <v>10701</v>
      </c>
      <c r="F4" s="6" t="n">
        <v>10828</v>
      </c>
      <c r="G4" s="6" t="n">
        <v>11247</v>
      </c>
      <c r="H4" s="6" t="n">
        <v>10128</v>
      </c>
      <c r="I4" s="6" t="n">
        <v>10700</v>
      </c>
    </row>
    <row r="5" ht="30" customHeight="1">
      <c r="A5" s="7" t="inlineStr">
        <is>
          <t>Note: FY2018 CET1 capital (£10.7bn, unaudited) is disclosed within the FY2018 Annual Report's capital risk section rather than a standalone Pillar 3 report - see p3_sources note on that year.</t>
        </is>
      </c>
    </row>
    <row r="7" ht="169" customHeight="1">
      <c r="A7" s="8" t="inlineStr">
        <is>
          <t>Sources — Barclays Bank UK Group consolidated (Pillar 3) basis:
FY2025 &amp; FY2024: Barclays Bank UK PLC Pillar 3 Report 2025, p.11 (Table 6: KM1 - Key metrics - Part 1) — https://home.barclays/content/dam/home-barclays/documents/investor-relations/ResultAnnouncements/FullYear2025Results/FY25-BBUKPLC-Pillar-3.pdf
FY2023 &amp; FY2022: Barclays Bank UK PLC Pillar 3 Report 2023, p.11 (Table 6: UK KM1 - Key metrics - Part 1) — https://home.barclays/content/dam/home-barclays/documents/investor-relations/reports-and-events/annual-reports/2023/BB-UK-Pillar-3-Report-2023.pdf
FY2021: Barclays Bank UK PLC Pillar 3 Report 2021, p.9 (Table 4: Key Metrics (KM1 / IFRS 9-FL)) — https://home.barclays/content/dam/home-barclays/documents/investor-relations/reports-and-events/annual-reports/2021/Barclays-Bank-UK-PLC-Pillar-3-Report-2021.pdf
FY2020: Barclays Bank UK PLC Pillar 3 Report 2020, p.8 (Table 4: Key Metrics (KM1/IFRS 9-FL)) — https://home.barclays/content/dam/home-barclays/documents/investor-relations/reports-and-events/annual-reports/2020/Barclays%20Bank%20UK%20PLC%20Pillar%203%20Report%202020.pdf
FY2019: Barclays Bank UK PLC Pillar 3 Report 2019, p.8 (Table 4: Key Metrics (KM1/IFRS9-FL)) — https://home.barclays/content/dam/home-barclays/documents/investor-relations/reports-and-events/annual-reports/2019/Barclays%20Bank%20UK%20PLC%20Pillar%203%20Report.pdf
FY2018: Barclays Bank UK PLC Annual Report 2018, p.80 (Annual Report 2018 capital risk disclosures (no standalone Pillar 3 report)) — https://home.barclays/content/dam/home-barclays/documents/investor-relations/reports-and-events/annual-reports/2018/2018-barclays-bank-uk-plc-annual-report.pdf</t>
        </is>
      </c>
    </row>
  </sheetData>
  <mergeCells count="2">
    <mergeCell ref="A5:I5"/>
    <mergeCell ref="A7:I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Group — CET1 Ratio</t>
        </is>
      </c>
    </row>
    <row r="2">
      <c r="A2" s="2" t="inlineStr">
        <is>
          <t>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Common Equity Tier 1 (CET1) ratio</t>
        </is>
      </c>
      <c r="B4" s="6" t="inlineStr">
        <is>
          <t>14.5%</t>
        </is>
      </c>
      <c r="C4" s="6" t="inlineStr">
        <is>
          <t>14.2%</t>
        </is>
      </c>
      <c r="D4" s="6" t="inlineStr">
        <is>
          <t>14.8%</t>
        </is>
      </c>
      <c r="E4" s="6" t="inlineStr">
        <is>
          <t>14.7%</t>
        </is>
      </c>
      <c r="F4" s="6" t="inlineStr">
        <is>
          <t>15.2%</t>
        </is>
      </c>
      <c r="G4" s="6" t="inlineStr">
        <is>
          <t>15.6%</t>
        </is>
      </c>
      <c r="H4" s="6" t="inlineStr">
        <is>
          <t>13.5%</t>
        </is>
      </c>
      <c r="I4" s="6" t="inlineStr">
        <is>
          <t>14.2%</t>
        </is>
      </c>
    </row>
    <row r="6" ht="169" customHeight="1">
      <c r="A6" s="8" t="inlineStr">
        <is>
          <t>Sources — Barclays Bank UK Group consolidated (Pillar 3) basis:
FY2025 &amp; FY2024: Barclays Bank UK PLC Pillar 3 Report 2025, p.11 (Table 6: KM1 - Key metrics - Part 1) — https://home.barclays/content/dam/home-barclays/documents/investor-relations/ResultAnnouncements/FullYear2025Results/FY25-BBUKPLC-Pillar-3.pdf
FY2023 &amp; FY2022: Barclays Bank UK PLC Pillar 3 Report 2023, p.11 (Table 6: UK KM1 - Key metrics - Part 1) — https://home.barclays/content/dam/home-barclays/documents/investor-relations/reports-and-events/annual-reports/2023/BB-UK-Pillar-3-Report-2023.pdf
FY2021: Barclays Bank UK PLC Pillar 3 Report 2021, p.9 (Table 4: Key Metrics (KM1 / IFRS 9-FL)) — https://home.barclays/content/dam/home-barclays/documents/investor-relations/reports-and-events/annual-reports/2021/Barclays-Bank-UK-PLC-Pillar-3-Report-2021.pdf
FY2020: Barclays Bank UK PLC Pillar 3 Report 2020, p.8 (Table 4: Key Metrics (KM1/IFRS 9-FL)) — https://home.barclays/content/dam/home-barclays/documents/investor-relations/reports-and-events/annual-reports/2020/Barclays%20Bank%20UK%20PLC%20Pillar%203%20Report%202020.pdf
FY2019: Barclays Bank UK PLC Pillar 3 Report 2019, p.8 (Table 4: Key Metrics (KM1/IFRS9-FL)) — https://home.barclays/content/dam/home-barclays/documents/investor-relations/reports-and-events/annual-reports/2019/Barclays%20Bank%20UK%20PLC%20Pillar%203%20Report.pdf
FY2018: Barclays Bank UK PLC Annual Report 2018, p.80 (Annual Report 2018 capital risk disclosures (no standalone Pillar 3 report)) — https://home.barclays/content/dam/home-barclays/documents/investor-relations/reports-and-events/annual-reports/2018/2018-barclays-bank-uk-plc-annual-report.pdf</t>
        </is>
      </c>
    </row>
  </sheetData>
  <mergeCells count="1">
    <mergeCell ref="A6:I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Group — Tier 1 Capital</t>
        </is>
      </c>
    </row>
    <row r="2">
      <c r="A2" s="2" t="inlineStr">
        <is>
          <t>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capital</t>
        </is>
      </c>
      <c r="B4" s="6" t="n">
        <v>14558</v>
      </c>
      <c r="C4" s="6" t="n">
        <v>14320</v>
      </c>
      <c r="D4" s="6" t="n">
        <v>13067</v>
      </c>
      <c r="E4" s="6" t="n">
        <v>13261</v>
      </c>
      <c r="F4" s="6" t="n">
        <v>13388</v>
      </c>
      <c r="G4" s="6" t="n">
        <v>13807</v>
      </c>
      <c r="H4" s="6" t="n">
        <v>12688</v>
      </c>
      <c r="I4" s="6" t="n">
        <v>12800</v>
      </c>
    </row>
    <row r="6" ht="169" customHeight="1">
      <c r="A6" s="8" t="inlineStr">
        <is>
          <t>Sources — Barclays Bank UK Group consolidated (Pillar 3) basis:
FY2025 &amp; FY2024: Barclays Bank UK PLC Pillar 3 Report 2025, p.11 (Table 6: KM1 - Key metrics - Part 1) — https://home.barclays/content/dam/home-barclays/documents/investor-relations/ResultAnnouncements/FullYear2025Results/FY25-BBUKPLC-Pillar-3.pdf
FY2023 &amp; FY2022: Barclays Bank UK PLC Pillar 3 Report 2023, p.11 (Table 6: UK KM1 - Key metrics - Part 1) — https://home.barclays/content/dam/home-barclays/documents/investor-relations/reports-and-events/annual-reports/2023/BB-UK-Pillar-3-Report-2023.pdf
FY2021: Barclays Bank UK PLC Pillar 3 Report 2021, p.9 (Table 4: Key Metrics (KM1 / IFRS 9-FL)) — https://home.barclays/content/dam/home-barclays/documents/investor-relations/reports-and-events/annual-reports/2021/Barclays-Bank-UK-PLC-Pillar-3-Report-2021.pdf
FY2020: Barclays Bank UK PLC Pillar 3 Report 2020, p.8 (Table 4: Key Metrics (KM1/IFRS 9-FL)) — https://home.barclays/content/dam/home-barclays/documents/investor-relations/reports-and-events/annual-reports/2020/Barclays%20Bank%20UK%20PLC%20Pillar%203%20Report%202020.pdf
FY2019: Barclays Bank UK PLC Pillar 3 Report 2019, p.8 (Table 4: Key Metrics (KM1/IFRS9-FL)) — https://home.barclays/content/dam/home-barclays/documents/investor-relations/reports-and-events/annual-reports/2019/Barclays%20Bank%20UK%20PLC%20Pillar%203%20Report.pdf
FY2018: Barclays Bank UK PLC Annual Report 2018, p.80 (Annual Report 2018 capital risk disclosures (no standalone Pillar 3 report)) — https://home.barclays/content/dam/home-barclays/documents/investor-relations/reports-and-events/annual-reports/2018/2018-barclays-bank-uk-plc-annual-report.pdf</t>
        </is>
      </c>
    </row>
  </sheetData>
  <mergeCells count="1">
    <mergeCell ref="A6:I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Group — Tier 1 Ratio</t>
        </is>
      </c>
    </row>
    <row r="2">
      <c r="A2" s="2" t="inlineStr">
        <is>
          <t>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Tier 1 ratio</t>
        </is>
      </c>
      <c r="B4" s="6" t="inlineStr">
        <is>
          <t>17.1%</t>
        </is>
      </c>
      <c r="C4" s="6" t="inlineStr">
        <is>
          <t>17.1%</t>
        </is>
      </c>
      <c r="D4" s="6" t="inlineStr">
        <is>
          <t>18.1%</t>
        </is>
      </c>
      <c r="E4" s="6" t="inlineStr">
        <is>
          <t>18.2%</t>
        </is>
      </c>
      <c r="F4" s="6" t="inlineStr">
        <is>
          <t>18.8%</t>
        </is>
      </c>
      <c r="G4" s="6" t="inlineStr">
        <is>
          <t>19.2%</t>
        </is>
      </c>
      <c r="H4" s="6" t="inlineStr">
        <is>
          <t>16.9%</t>
        </is>
      </c>
      <c r="I4" s="6" t="inlineStr">
        <is>
          <t>17.0%</t>
        </is>
      </c>
    </row>
    <row r="6" ht="169" customHeight="1">
      <c r="A6" s="8" t="inlineStr">
        <is>
          <t>Sources — Barclays Bank UK Group consolidated (Pillar 3) basis:
FY2025 &amp; FY2024: Barclays Bank UK PLC Pillar 3 Report 2025, p.11 (Table 6: KM1 - Key metrics - Part 1) — https://home.barclays/content/dam/home-barclays/documents/investor-relations/ResultAnnouncements/FullYear2025Results/FY25-BBUKPLC-Pillar-3.pdf
FY2023 &amp; FY2022: Barclays Bank UK PLC Pillar 3 Report 2023, p.11 (Table 6: UK KM1 - Key metrics - Part 1) — https://home.barclays/content/dam/home-barclays/documents/investor-relations/reports-and-events/annual-reports/2023/BB-UK-Pillar-3-Report-2023.pdf
FY2021: Barclays Bank UK PLC Pillar 3 Report 2021, p.9 (Table 4: Key Metrics (KM1 / IFRS 9-FL)) — https://home.barclays/content/dam/home-barclays/documents/investor-relations/reports-and-events/annual-reports/2021/Barclays-Bank-UK-PLC-Pillar-3-Report-2021.pdf
FY2020: Barclays Bank UK PLC Pillar 3 Report 2020, p.8 (Table 4: Key Metrics (KM1/IFRS 9-FL)) — https://home.barclays/content/dam/home-barclays/documents/investor-relations/reports-and-events/annual-reports/2020/Barclays%20Bank%20UK%20PLC%20Pillar%203%20Report%202020.pdf
FY2019: Barclays Bank UK PLC Pillar 3 Report 2019, p.8 (Table 4: Key Metrics (KM1/IFRS9-FL)) — https://home.barclays/content/dam/home-barclays/documents/investor-relations/reports-and-events/annual-reports/2019/Barclays%20Bank%20UK%20PLC%20Pillar%203%20Report.pdf
FY2018: Barclays Bank UK PLC Annual Report 2018, p.80 (Annual Report 2018 capital risk disclosures (no standalone Pillar 3 report)) — https://home.barclays/content/dam/home-barclays/documents/investor-relations/reports-and-events/annual-reports/2018/2018-barclays-bank-uk-plc-annual-report.pdf</t>
        </is>
      </c>
    </row>
  </sheetData>
  <mergeCells count="1">
    <mergeCell ref="A6:I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Group — Total Capital</t>
        </is>
      </c>
    </row>
    <row r="2">
      <c r="A2" s="2" t="inlineStr">
        <is>
          <t>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t>
        </is>
      </c>
      <c r="B4" s="6" t="n">
        <v>16996</v>
      </c>
      <c r="C4" s="6" t="n">
        <v>17155</v>
      </c>
      <c r="D4" s="6" t="n">
        <v>15596</v>
      </c>
      <c r="E4" s="6" t="n">
        <v>15828</v>
      </c>
      <c r="F4" s="6" t="n">
        <v>16442</v>
      </c>
      <c r="G4" s="6" t="n">
        <v>17178</v>
      </c>
      <c r="H4" s="6" t="n">
        <v>16012</v>
      </c>
      <c r="I4" s="6" t="n">
        <v>16100</v>
      </c>
    </row>
    <row r="6" ht="169" customHeight="1">
      <c r="A6" s="8" t="inlineStr">
        <is>
          <t>Sources — Barclays Bank UK Group consolidated (Pillar 3) basis:
FY2025 &amp; FY2024: Barclays Bank UK PLC Pillar 3 Report 2025, p.11 (Table 6: KM1 - Key metrics - Part 1) — https://home.barclays/content/dam/home-barclays/documents/investor-relations/ResultAnnouncements/FullYear2025Results/FY25-BBUKPLC-Pillar-3.pdf
FY2023 &amp; FY2022: Barclays Bank UK PLC Pillar 3 Report 2023, p.11 (Table 6: UK KM1 - Key metrics - Part 1) — https://home.barclays/content/dam/home-barclays/documents/investor-relations/reports-and-events/annual-reports/2023/BB-UK-Pillar-3-Report-2023.pdf
FY2021: Barclays Bank UK PLC Pillar 3 Report 2021, p.9 (Table 4: Key Metrics (KM1 / IFRS 9-FL)) — https://home.barclays/content/dam/home-barclays/documents/investor-relations/reports-and-events/annual-reports/2021/Barclays-Bank-UK-PLC-Pillar-3-Report-2021.pdf
FY2020: Barclays Bank UK PLC Pillar 3 Report 2020, p.8 (Table 4: Key Metrics (KM1/IFRS 9-FL)) — https://home.barclays/content/dam/home-barclays/documents/investor-relations/reports-and-events/annual-reports/2020/Barclays%20Bank%20UK%20PLC%20Pillar%203%20Report%202020.pdf
FY2019: Barclays Bank UK PLC Pillar 3 Report 2019, p.8 (Table 4: Key Metrics (KM1/IFRS9-FL)) — https://home.barclays/content/dam/home-barclays/documents/investor-relations/reports-and-events/annual-reports/2019/Barclays%20Bank%20UK%20PLC%20Pillar%203%20Report.pdf
FY2018: Barclays Bank UK PLC Annual Report 2018, p.80 (Annual Report 2018 capital risk disclosures (no standalone Pillar 3 report)) — https://home.barclays/content/dam/home-barclays/documents/investor-relations/reports-and-events/annual-reports/2018/2018-barclays-bank-uk-plc-annual-report.pdf</t>
        </is>
      </c>
    </row>
  </sheetData>
  <mergeCells count="1">
    <mergeCell ref="A6:I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Group — Total Capital Ratio</t>
        </is>
      </c>
    </row>
    <row r="2">
      <c r="A2" s="2" t="inlineStr">
        <is>
          <t>Consolidated basis, %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capital ratio</t>
        </is>
      </c>
      <c r="B4" s="6" t="inlineStr">
        <is>
          <t>20.0%</t>
        </is>
      </c>
      <c r="C4" s="6" t="inlineStr">
        <is>
          <t>20.5%</t>
        </is>
      </c>
      <c r="D4" s="6" t="inlineStr">
        <is>
          <t>21.6%</t>
        </is>
      </c>
      <c r="E4" s="6" t="inlineStr">
        <is>
          <t>21.8%</t>
        </is>
      </c>
      <c r="F4" s="6" t="inlineStr">
        <is>
          <t>23.1%</t>
        </is>
      </c>
      <c r="G4" s="6" t="inlineStr">
        <is>
          <t>23.9%</t>
        </is>
      </c>
      <c r="H4" s="6" t="inlineStr">
        <is>
          <t>21.3%</t>
        </is>
      </c>
      <c r="I4" s="6" t="inlineStr">
        <is>
          <t>21.3%</t>
        </is>
      </c>
    </row>
    <row r="6" ht="169" customHeight="1">
      <c r="A6" s="8" t="inlineStr">
        <is>
          <t>Sources — Barclays Bank UK Group consolidated (Pillar 3) basis:
FY2025 &amp; FY2024: Barclays Bank UK PLC Pillar 3 Report 2025, p.11 (Table 6: KM1 - Key metrics - Part 1) — https://home.barclays/content/dam/home-barclays/documents/investor-relations/ResultAnnouncements/FullYear2025Results/FY25-BBUKPLC-Pillar-3.pdf
FY2023 &amp; FY2022: Barclays Bank UK PLC Pillar 3 Report 2023, p.11 (Table 6: UK KM1 - Key metrics - Part 1) — https://home.barclays/content/dam/home-barclays/documents/investor-relations/reports-and-events/annual-reports/2023/BB-UK-Pillar-3-Report-2023.pdf
FY2021: Barclays Bank UK PLC Pillar 3 Report 2021, p.9 (Table 4: Key Metrics (KM1 / IFRS 9-FL)) — https://home.barclays/content/dam/home-barclays/documents/investor-relations/reports-and-events/annual-reports/2021/Barclays-Bank-UK-PLC-Pillar-3-Report-2021.pdf
FY2020: Barclays Bank UK PLC Pillar 3 Report 2020, p.8 (Table 4: Key Metrics (KM1/IFRS 9-FL)) — https://home.barclays/content/dam/home-barclays/documents/investor-relations/reports-and-events/annual-reports/2020/Barclays%20Bank%20UK%20PLC%20Pillar%203%20Report%202020.pdf
FY2019: Barclays Bank UK PLC Pillar 3 Report 2019, p.8 (Table 4: Key Metrics (KM1/IFRS9-FL)) — https://home.barclays/content/dam/home-barclays/documents/investor-relations/reports-and-events/annual-reports/2019/Barclays%20Bank%20UK%20PLC%20Pillar%203%20Report.pdf
FY2018: Barclays Bank UK PLC Annual Report 2018, p.80 (Annual Report 2018 capital risk disclosures (no standalone Pillar 3 report)) — https://home.barclays/content/dam/home-barclays/documents/investor-relations/reports-and-events/annual-reports/2018/2018-barclays-bank-uk-plc-annual-report.pdf</t>
        </is>
      </c>
    </row>
  </sheetData>
  <mergeCells count="1">
    <mergeCell ref="A6:I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Group — Total RWAs</t>
        </is>
      </c>
    </row>
    <row r="2">
      <c r="A2" s="2" t="inlineStr">
        <is>
          <t>Consolidated basis, £m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risk-weighted exposure amount</t>
        </is>
      </c>
      <c r="B4" s="6" t="n">
        <v>85065</v>
      </c>
      <c r="C4" s="6" t="n">
        <v>83639</v>
      </c>
      <c r="D4" s="6" t="n">
        <v>72102</v>
      </c>
      <c r="E4" s="6" t="n">
        <v>72719</v>
      </c>
      <c r="F4" s="6" t="n">
        <v>71213</v>
      </c>
      <c r="G4" s="6" t="n">
        <v>72025</v>
      </c>
      <c r="H4" s="6" t="n">
        <v>75010</v>
      </c>
      <c r="I4" s="6" t="n">
        <v>75327</v>
      </c>
    </row>
    <row r="6" ht="169" customHeight="1">
      <c r="A6" s="8" t="inlineStr">
        <is>
          <t>Sources — Barclays Bank UK Group consolidated (Pillar 3) basis:
FY2025 &amp; FY2024: Barclays Bank UK PLC Pillar 3 Report 2025, p.11 (Table 6: KM1 - Key metrics - Part 1) — https://home.barclays/content/dam/home-barclays/documents/investor-relations/ResultAnnouncements/FullYear2025Results/FY25-BBUKPLC-Pillar-3.pdf
FY2023 &amp; FY2022: Barclays Bank UK PLC Pillar 3 Report 2023, p.11 (Table 6: UK KM1 - Key metrics - Part 1) — https://home.barclays/content/dam/home-barclays/documents/investor-relations/reports-and-events/annual-reports/2023/BB-UK-Pillar-3-Report-2023.pdf
FY2021: Barclays Bank UK PLC Pillar 3 Report 2021, p.9 (Table 4: Key Metrics (KM1 / IFRS 9-FL)) — https://home.barclays/content/dam/home-barclays/documents/investor-relations/reports-and-events/annual-reports/2021/Barclays-Bank-UK-PLC-Pillar-3-Report-2021.pdf
FY2020: Barclays Bank UK PLC Pillar 3 Report 2020, p.8 (Table 4: Key Metrics (KM1/IFRS 9-FL)) — https://home.barclays/content/dam/home-barclays/documents/investor-relations/reports-and-events/annual-reports/2020/Barclays%20Bank%20UK%20PLC%20Pillar%203%20Report%202020.pdf
FY2019: Barclays Bank UK PLC Pillar 3 Report 2019, p.8 (Table 4: Key Metrics (KM1/IFRS9-FL)) — https://home.barclays/content/dam/home-barclays/documents/investor-relations/reports-and-events/annual-reports/2019/Barclays%20Bank%20UK%20PLC%20Pillar%203%20Report.pdf
FY2018: Barclays Bank UK PLC Annual Report 2018, p.80 (Annual Report 2018 capital risk disclosures (no standalone Pillar 3 report)) — https://home.barclays/content/dam/home-barclays/documents/investor-relations/reports-and-events/annual-reports/2018/2018-barclays-bank-uk-plc-annual-report.pdf</t>
        </is>
      </c>
    </row>
  </sheetData>
  <mergeCells count="1">
    <mergeCell ref="A6:I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Barclays Bank UK PLC — RWA Breakdown</t>
        </is>
      </c>
    </row>
    <row r="2">
      <c r="A2" s="2" t="inlineStr">
        <is>
          <t>Barclays Bank UK Group (consolidated basis), £m</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row>
    <row r="4">
      <c r="A4" s="6" t="inlineStr">
        <is>
          <t>Credit risk (excluding counterparty credit risk)</t>
        </is>
      </c>
      <c r="B4" s="6" t="n">
        <v>68166</v>
      </c>
      <c r="C4" s="6" t="n">
        <v>68018</v>
      </c>
      <c r="D4" s="6" t="n">
        <v>58174</v>
      </c>
      <c r="E4" s="6" t="n">
        <v>58885</v>
      </c>
      <c r="F4" s="6" t="n">
        <v>54981</v>
      </c>
      <c r="G4" s="6" t="n">
        <v>56891</v>
      </c>
      <c r="H4" s="6" t="n">
        <v>60490</v>
      </c>
    </row>
    <row r="5">
      <c r="A5" s="6" t="inlineStr">
        <is>
          <t>Counterparty credit risk (CCR)</t>
        </is>
      </c>
      <c r="B5" s="6" t="n">
        <v>300</v>
      </c>
      <c r="C5" s="6" t="n">
        <v>419</v>
      </c>
      <c r="D5" s="6" t="n">
        <v>541</v>
      </c>
      <c r="E5" s="6" t="n">
        <v>1083</v>
      </c>
      <c r="F5" s="6" t="n">
        <v>1208</v>
      </c>
      <c r="G5" s="6" t="n">
        <v>787</v>
      </c>
      <c r="H5" s="6" t="n">
        <v>625</v>
      </c>
    </row>
    <row r="6">
      <c r="A6" s="6" t="inlineStr">
        <is>
          <t>Securitisation exposures (non-trading book, after cap)</t>
        </is>
      </c>
      <c r="B6" s="6" t="n">
        <v>2517</v>
      </c>
      <c r="C6" s="6" t="n">
        <v>1644</v>
      </c>
      <c r="D6" s="6" t="n">
        <v>1445</v>
      </c>
      <c r="E6" s="6" t="n">
        <v>1437</v>
      </c>
      <c r="F6" s="6" t="n">
        <v>1268</v>
      </c>
      <c r="G6" s="6" t="n">
        <v>737</v>
      </c>
      <c r="H6" s="6" t="n">
        <v>135</v>
      </c>
    </row>
    <row r="7">
      <c r="A7" s="6" t="inlineStr">
        <is>
          <t>Position, foreign exchange and commodities risks (Market risk)</t>
        </is>
      </c>
      <c r="B7" s="6" t="n">
        <v>177</v>
      </c>
      <c r="C7" s="6" t="n">
        <v>228</v>
      </c>
      <c r="D7" s="6" t="n">
        <v>274</v>
      </c>
      <c r="E7" s="6" t="n">
        <v>233</v>
      </c>
      <c r="F7" s="6" t="n">
        <v>100</v>
      </c>
      <c r="G7" s="6" t="n">
        <v>72</v>
      </c>
      <c r="H7" s="6" t="n">
        <v>178</v>
      </c>
    </row>
    <row r="8">
      <c r="A8" s="6" t="inlineStr">
        <is>
          <t>Operational risk</t>
        </is>
      </c>
      <c r="B8" s="6" t="n">
        <v>13905</v>
      </c>
      <c r="C8" s="6" t="n">
        <v>13330</v>
      </c>
      <c r="D8" s="6" t="n">
        <v>11668</v>
      </c>
      <c r="E8" s="6" t="n">
        <v>11081</v>
      </c>
      <c r="F8" s="6" t="n">
        <v>10892</v>
      </c>
      <c r="G8" s="6" t="n">
        <v>11347</v>
      </c>
      <c r="H8" s="6" t="n">
        <v>11617</v>
      </c>
    </row>
    <row r="9">
      <c r="A9" s="6" t="inlineStr">
        <is>
          <t>Amounts below thresholds for deduction (subject to 250% risk weight)</t>
        </is>
      </c>
      <c r="B9" s="6" t="n">
        <v>2309</v>
      </c>
      <c r="C9" s="6" t="n">
        <v>2271</v>
      </c>
      <c r="D9" s="6" t="n">
        <v>2314</v>
      </c>
      <c r="E9" s="6" t="n">
        <v>2704</v>
      </c>
      <c r="F9" s="6" t="n">
        <v>2764</v>
      </c>
      <c r="G9" s="6" t="n">
        <v>2191</v>
      </c>
      <c r="H9" s="6" t="n">
        <v>1965</v>
      </c>
    </row>
    <row r="10">
      <c r="A10" s="5" t="inlineStr">
        <is>
          <t>Total risk-weighted exposure amount</t>
        </is>
      </c>
      <c r="B10" s="5" t="n">
        <v>85065</v>
      </c>
      <c r="C10" s="5" t="n">
        <v>83639</v>
      </c>
      <c r="D10" s="5" t="n">
        <v>72102</v>
      </c>
      <c r="E10" s="5" t="n">
        <v>72719</v>
      </c>
      <c r="F10" s="5" t="n">
        <v>71213</v>
      </c>
      <c r="G10" s="5" t="n">
        <v>72025</v>
      </c>
      <c r="H10" s="5" t="n">
        <v>75010</v>
      </c>
    </row>
    <row r="12" ht="377" customHeight="1">
      <c r="A12" s="8" t="inlineStr">
        <is>
          <t>Sources — Barclays Bank UK Group consolidated (Pillar 3) basis:
FY2025 &amp; FY2024: Barclays Bank UK PLC Pillar 3 Report 2025, p.16-17 (Table 10: OV1 - Overview of risk weighted exposure amounts) — https://home.barclays/content/dam/home-barclays/documents/investor-relations/ResultAnnouncements/FullYear2025Results/FY25-BBUKPLC-Pillar-3.pdf
FY2023 &amp; FY2022: Barclays Bank UK PLC Pillar 3 Report 2023, p.16-17 (Table 10: OV1 - Overview of risk weighted exposure amounts) — https://home.barclays/content/dam/home-barclays/documents/investor-relations/reports-and-events/annual-reports/2023/BB-UK-Pillar-3-Report-2023.pdf
FY2021: Barclays Bank UK PLC Pillar 3 Report 2021, p.12-13 (Table 8: OV1 - Overview of risk weighted assets by risk type and capital requirements) — https://home.barclays/content/dam/home-barclays/documents/investor-relations/reports-and-events/annual-reports/2021/Barclays-Bank-UK-PLC-Pillar-3-Report-2021.pdf
FY2020: Barclays Bank UK PLC Pillar 3 Report 2020, p.11 (Table 8: OV1 - Overview of risk weighted assets by risk type and capital requirements) — https://home.barclays/content/dam/home-barclays/documents/investor-relations/reports-and-events/annual-reports/2020/Barclays%20Bank%20UK%20PLC%20Pillar%203%20Report%202020.pdf
FY2019: Barclays Bank UK PLC Pillar 3 Report 2019, p.11 (Table 8: OV1 - Overview of risk weighted assets by risk type and capital requirements) — https://home.barclays/content/dam/home-barclays/documents/investor-relations/reports-and-events/annual-reports/2019/Barclays%20Bank%20UK%20PLC%20Pillar%203%20Report.pdf
FY2018: Barclays Bank UK PLC Annual Report 2018, p.80 (Annual Report 2018 capital risk disclosures (no standalone Pillar 3 report)) — https://home.barclays/content/dam/home-barclays/documents/investor-relations/reports-and-events/annual-reports/2018/2018-barclays-bank-uk-plc-annual-report.pdf
FY2018: CORRECTED 18 September 2026 (KM1-032). This note previously read 'not available - Barclays Bank UK PLC did not publish a standalone Pillar 3 report for FY2018, and the FY2018 Annual Report's capital risk section discloses only the total RWA figure (£75,327m), not a by-risk-type breakdown'. The first half is true; the second half was FALSE, and it was false because only the SUBSIDIARY's own documents had been searched. A by-risk-type breakdown for Barclays Bank UK PLC is published - in the PARENT's report, which had never been opened: 'Barclays PLC Pillar 3 Report 2018', Table 12a 'Risk weighted assets by significant subsidiaries', printed p.27, which states on p.9 that 'Significant subsidiaries disclosures are included in this report for Barclays Bank PLC and Barclays Bank UK PLC'. Its Barclays Bank UK PLC row, as at 31.12.18, £m: Credit risk Std 3,985; Credit risk A-IRB 59,484; Counterparty credit risk Std 266; CCR A-IRB '-'; Settlement risk '-'; CVA 11; Market risk Std 63; Market risk IMA '-'; Operational risk 11,518; Total RWAs 75,327. Those sum exactly to the 75,327 already carried on the Total RWAs sheet from the Annual Report, which is the control that confirms the row is the right entity's.
WHY THE COLUMN IS STILL LEFT EMPTY HERE, deliberately and not for want of a source: Table 12a's categories are not this sheet's categories. Because its two credit-risk columns sum with CCR, market and operational risk to the full 75,327, they necessarily SUBSUME the securitisation exposures and the below-threshold 250%-risk-weight amounts that FY2019-FY2025 report on their own rows here. Spreading 3,985 + 59,484 into this sheet's 'Credit risk (excluding CCR)' row would therefore print a figure defined differently from every other year in the same row, which is a worse defect than an empty column - the reproduce-don't-normalise rule. The figures are recorded above so a reader has them.
BASIS BREAK, also recorded rather than reconciled: Table 12a is Barclays Bank UK PLC on the INDIVIDUAL (PRA solo) basis, whereas this sheet is headed Barclays Bank UK Group consolidated. The parent's own scope-of-consolidation section (printed p.9) gives the reason, and it is also the affirmative explanation for the absence of an FY2018 entity Pillar 3: 'Throughout 2018, Barclays Bank UK PLC (BBUK PLC) was regulated by the Prudential Regulation Authority (PRA) on an individual basis... BBUK PLC Group became regulated by the PRA from 1 January 2019.' The FY2019 first edition is therefore the first year the consolidated basis existed, not merely the first year a document was found.
TRAP RECORDED FOR ANY LATER PASS: Table 12 on the same printed page is 'RWAs by risk type and BUSINESS' and its 'Barclays UK' row reads 75,181 - the business segment, not the legal entity. The entity figure is 75,327 in Table 12a. The two are adjacent, differ by 146, and the wrong one is entirely plausible.
Source: https://home.barclays/content/dam/home-barclays/documents/investor-relations/reports-and-events/annual-reports/2018/Barclays%20PLC%20Pillar%203%20Report%202018.pdf (re-verified 2026-09-18: HTTP 200, application/pdf, %PDF-1.6, 2,174,817 bytes).</t>
        </is>
      </c>
    </row>
  </sheetData>
  <mergeCells count="1">
    <mergeCell ref="A12:H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Group — Leverage Ratio</t>
        </is>
      </c>
    </row>
    <row r="2">
      <c r="A2" s="2" t="inlineStr">
        <is>
          <t>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exposure measure excluding claims on central banks (£m)</t>
        </is>
      </c>
      <c r="B4" s="6" t="n">
        <v>277958</v>
      </c>
      <c r="C4" s="6" t="n">
        <v>268452</v>
      </c>
      <c r="D4" s="6" t="n">
        <v>250163</v>
      </c>
      <c r="E4" s="6" t="n">
        <v>250092</v>
      </c>
      <c r="F4" s="6" t="n">
        <v>241173</v>
      </c>
      <c r="G4" s="6" t="n">
        <v>245176</v>
      </c>
      <c r="H4" s="6" t="n">
        <v>236026</v>
      </c>
      <c r="I4" s="6" t="n"/>
    </row>
    <row r="5">
      <c r="A5" s="6" t="inlineStr">
        <is>
          <t>Leverage ratio excluding claims on central banks (%)</t>
        </is>
      </c>
      <c r="B5" s="6" t="inlineStr">
        <is>
          <t>5.2%</t>
        </is>
      </c>
      <c r="C5" s="6" t="inlineStr">
        <is>
          <t>5.3%</t>
        </is>
      </c>
      <c r="D5" s="6" t="inlineStr">
        <is>
          <t>5.2%</t>
        </is>
      </c>
      <c r="E5" s="6" t="inlineStr">
        <is>
          <t>5.3%</t>
        </is>
      </c>
      <c r="F5" s="6" t="inlineStr">
        <is>
          <t>5.6%</t>
        </is>
      </c>
      <c r="G5" s="6" t="inlineStr">
        <is>
          <t>5.6%</t>
        </is>
      </c>
      <c r="H5" s="6" t="inlineStr">
        <is>
          <t>5.4%</t>
        </is>
      </c>
      <c r="I5" s="6" t="n"/>
    </row>
    <row r="6">
      <c r="A6" s="6" t="inlineStr">
        <is>
          <t>Leverage ratio including claims on central banks (%)</t>
        </is>
      </c>
      <c r="B6" s="6" t="inlineStr">
        <is>
          <t>4.8%</t>
        </is>
      </c>
      <c r="C6" s="6" t="inlineStr">
        <is>
          <t>4.7%</t>
        </is>
      </c>
      <c r="D6" s="6" t="inlineStr">
        <is>
          <t>4.5%</t>
        </is>
      </c>
      <c r="E6" s="6" t="inlineStr">
        <is>
          <t>4.3%</t>
        </is>
      </c>
      <c r="F6" s="6" t="inlineStr">
        <is>
          <t>4.1%</t>
        </is>
      </c>
      <c r="G6" s="6" t="inlineStr">
        <is>
          <t>4.7%</t>
        </is>
      </c>
      <c r="H6" s="6" t="inlineStr">
        <is>
          <t>4.8%</t>
        </is>
      </c>
      <c r="I6" s="6" t="inlineStr">
        <is>
          <t>4.9%</t>
        </is>
      </c>
    </row>
    <row r="7" ht="52" customHeight="1">
      <c r="A7" s="7" t="inlineStr">
        <is>
          <t>Note: FY2021-FY2019 exposure/ratios use the 'UK leverage ratio (Transitional)' and 'CRR leverage ratio (Transitional)' rows from each year's Pillar 3 report as the closest equivalents to the 'excluding'/'including claims on central banks' framing introduced in later reports. FY2018 predates that UK/CRR leverage ratio split at the BBUKPLC entity level (no standalone Pillar 3 report was published for FY2018 - see p3_sources note); the FY2018 Annual Report discloses only a single 'CRR leverage ratio' of 4.9% (with £258bn of CRR leverage exposure), which is presented here on the 'including claims on central banks' row as the closer equivalent - the 'excluding' row and exposure figure are left blank for FY2018 since no comparable UK-basis figure was disclosed that year.</t>
        </is>
      </c>
    </row>
    <row r="9" ht="169" customHeight="1">
      <c r="A9" s="8" t="inlineStr">
        <is>
          <t>Sources — Barclays Bank UK Group consolidated (Pillar 3) basis:
FY2025 &amp; FY2024: Barclays Bank UK PLC Pillar 3 Report 2025, p.12 (Table 6: KM1 - Key metrics - Part 2) — https://home.barclays/content/dam/home-barclays/documents/investor-relations/ResultAnnouncements/FullYear2025Results/FY25-BBUKPLC-Pillar-3.pdf
FY2023 &amp; FY2022: Barclays Bank UK PLC Pillar 3 Report 2023, p.12 (Table 6: KM1 - Key metrics - Part 2) — https://home.barclays/content/dam/home-barclays/documents/investor-relations/reports-and-events/annual-reports/2023/BB-UK-Pillar-3-Report-2023.pdf
FY2021: Barclays Bank UK PLC Pillar 3 Report 2021, p.9 (Table 4: Key Metrics (KM1 / IFRS 9-FL)) — https://home.barclays/content/dam/home-barclays/documents/investor-relations/reports-and-events/annual-reports/2021/Barclays-Bank-UK-PLC-Pillar-3-Report-2021.pdf
FY2020: Barclays Bank UK PLC Pillar 3 Report 2020, p.8 (Table 4: Key Metrics (KM1/IFRS 9-FL)) — https://home.barclays/content/dam/home-barclays/documents/investor-relations/reports-and-events/annual-reports/2020/Barclays%20Bank%20UK%20PLC%20Pillar%203%20Report%202020.pdf
FY2019: Barclays Bank UK PLC Pillar 3 Report 2019, p.8 (Table 4: Key Metrics (KM1/IFRS9-FL)) — https://home.barclays/content/dam/home-barclays/documents/investor-relations/reports-and-events/annual-reports/2019/Barclays%20Bank%20UK%20PLC%20Pillar%203%20Report.pdf
FY2018: Barclays Bank UK PLC Annual Report 2018, p.80 (Annual Report 2018 capital risk disclosures, 'Capital Requirements Regulation (CRR) leverage ratio') — https://home.barclays/content/dam/home-barclays/documents/investor-relations/reports-and-events/annual-reports/2018/2018-barclays-bank-uk-plc-annual-report.pdf</t>
        </is>
      </c>
    </row>
  </sheetData>
  <mergeCells count="2">
    <mergeCell ref="A7:I7"/>
    <mergeCell ref="A9:I9"/>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Group — LCR</t>
        </is>
      </c>
    </row>
    <row r="2">
      <c r="A2" s="2" t="inlineStr">
        <is>
          <t>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high-quality liquid assets (HQLA), weighted value (£m)</t>
        </is>
      </c>
      <c r="B4" s="6" t="n">
        <v>64552</v>
      </c>
      <c r="C4" s="6" t="n">
        <v>68446</v>
      </c>
      <c r="D4" s="6" t="n">
        <v>68533</v>
      </c>
      <c r="E4" s="6" t="n">
        <v>81791</v>
      </c>
      <c r="F4" s="6" t="n">
        <v>85092</v>
      </c>
      <c r="G4" s="6" t="n">
        <v>58035</v>
      </c>
      <c r="H4" s="6" t="n">
        <v>41293</v>
      </c>
      <c r="I4" s="6" t="n"/>
    </row>
    <row r="5">
      <c r="A5" s="6" t="inlineStr">
        <is>
          <t>Total net cash outflows, adjusted value (£m)</t>
        </is>
      </c>
      <c r="B5" s="6" t="n">
        <v>34613</v>
      </c>
      <c r="C5" s="6" t="n">
        <v>33879</v>
      </c>
      <c r="D5" s="6" t="n">
        <v>38057</v>
      </c>
      <c r="E5" s="6" t="n">
        <v>43966</v>
      </c>
      <c r="F5" s="6" t="n">
        <v>41690</v>
      </c>
      <c r="G5" s="6" t="n">
        <v>36246</v>
      </c>
      <c r="H5" s="6" t="n">
        <v>28741</v>
      </c>
      <c r="I5" s="6" t="n"/>
    </row>
    <row r="6">
      <c r="A6" s="6" t="inlineStr">
        <is>
          <t>Liquidity Coverage Ratio (%)</t>
        </is>
      </c>
      <c r="B6" s="6" t="inlineStr">
        <is>
          <t>186.6%</t>
        </is>
      </c>
      <c r="C6" s="6" t="inlineStr">
        <is>
          <t>202.0%</t>
        </is>
      </c>
      <c r="D6" s="6" t="inlineStr">
        <is>
          <t>180%</t>
        </is>
      </c>
      <c r="E6" s="6" t="inlineStr">
        <is>
          <t>186%</t>
        </is>
      </c>
      <c r="F6" s="6" t="inlineStr">
        <is>
          <t>204%</t>
        </is>
      </c>
      <c r="G6" s="6" t="inlineStr">
        <is>
          <t>160%</t>
        </is>
      </c>
      <c r="H6" s="6" t="inlineStr">
        <is>
          <t>144%</t>
        </is>
      </c>
      <c r="I6" s="6" t="inlineStr">
        <is>
          <t>164%</t>
        </is>
      </c>
    </row>
    <row r="7" ht="30" customHeight="1">
      <c r="A7" s="7" t="inlineStr">
        <is>
          <t>Note: LCR is computed as a trailing average of the last 12 month-end observations from FY2019 onward. FY2018 predates the BBUKPLC entity's first standalone Pillar 3 report; the FY2018 Annual Report discloses only the headline LCR ratio (164%) within its liquidity risk section, without the underlying weighted HQLA/net cash outflow components in the KM1 format used from FY2019 - those two rows are left blank for FY2018 for that reason.</t>
        </is>
      </c>
    </row>
    <row r="9" ht="169" customHeight="1">
      <c r="A9" s="8" t="inlineStr">
        <is>
          <t>Sources — Barclays Bank UK Group consolidated (Pillar 3) basis:
FY2025 &amp; FY2024: Barclays Bank UK PLC Pillar 3 Report 2025, p.12 (Table 6: KM1 - Key metrics - Part 2) — https://home.barclays/content/dam/home-barclays/documents/investor-relations/ResultAnnouncements/FullYear2025Results/FY25-BBUKPLC-Pillar-3.pdf
FY2023 &amp; FY2022: Barclays Bank UK PLC Pillar 3 Report 2023, p.12 (Table 6: KM1 - Key metrics - Part 2) — https://home.barclays/content/dam/home-barclays/documents/investor-relations/reports-and-events/annual-reports/2023/BB-UK-Pillar-3-Report-2023.pdf
FY2021: Barclays Bank UK PLC Pillar 3 Report 2021, p.9 (Table 4: Key Metrics (KM1 / IFRS 9-FL)) — https://home.barclays/content/dam/home-barclays/documents/investor-relations/reports-and-events/annual-reports/2021/Barclays-Bank-UK-PLC-Pillar-3-Report-2021.pdf
FY2020: Barclays Bank UK PLC Pillar 3 Report 2020, p.8 (Table 4: Key Metrics (KM1/IFRS 9-FL)) — https://home.barclays/content/dam/home-barclays/documents/investor-relations/reports-and-events/annual-reports/2020/Barclays%20Bank%20UK%20PLC%20Pillar%203%20Report%202020.pdf
FY2019: Barclays Bank UK PLC Pillar 3 Report 2019, p.8 (Table 4: Key Metrics (KM1/IFRS9-FL)) — https://home.barclays/content/dam/home-barclays/documents/investor-relations/reports-and-events/annual-reports/2019/Barclays%20Bank%20UK%20PLC%20Pillar%203%20Report.pdf
FY2018: Barclays Bank UK PLC Annual Report 2018, p.74 (Annual Report 2018 liquidity risk disclosures, 'Barclays Bank UK Group liquidity coverage ratio') — https://home.barclays/content/dam/home-barclays/documents/investor-relations/reports-and-events/annual-reports/2018/2018-barclays-bank-uk-plc-annual-report.pdf</t>
        </is>
      </c>
    </row>
  </sheetData>
  <mergeCells count="2">
    <mergeCell ref="A7:I7"/>
    <mergeCell ref="A9:I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Group — NSFR</t>
        </is>
      </c>
    </row>
    <row r="2">
      <c r="A2" s="2" t="inlineStr">
        <is>
          <t>Consolidated basis, £m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Total available stable funding (£m)</t>
        </is>
      </c>
      <c r="B4" s="6" t="n">
        <v>257230</v>
      </c>
      <c r="C4" s="6" t="n">
        <v>254755</v>
      </c>
      <c r="D4" s="6" t="n">
        <v>258620</v>
      </c>
      <c r="E4" s="6" t="n">
        <v>266421</v>
      </c>
      <c r="F4" s="6" t="n"/>
      <c r="G4" s="6" t="n"/>
      <c r="H4" s="6" t="n"/>
      <c r="I4" s="6" t="n"/>
    </row>
    <row r="5">
      <c r="A5" s="6" t="inlineStr">
        <is>
          <t>Total required stable funding (£m)</t>
        </is>
      </c>
      <c r="B5" s="6" t="n">
        <v>168761</v>
      </c>
      <c r="C5" s="6" t="n">
        <v>160041</v>
      </c>
      <c r="D5" s="6" t="n">
        <v>156588</v>
      </c>
      <c r="E5" s="6" t="n">
        <v>158156</v>
      </c>
      <c r="F5" s="6" t="n"/>
      <c r="G5" s="6" t="n"/>
      <c r="H5" s="6" t="n"/>
      <c r="I5" s="6" t="n"/>
    </row>
    <row r="6">
      <c r="A6" s="6" t="inlineStr">
        <is>
          <t>Net Stable Funding Ratio (%)</t>
        </is>
      </c>
      <c r="B6" s="6" t="inlineStr">
        <is>
          <t>152.4%</t>
        </is>
      </c>
      <c r="C6" s="6" t="inlineStr">
        <is>
          <t>159.3%</t>
        </is>
      </c>
      <c r="D6" s="6" t="inlineStr">
        <is>
          <t>165%</t>
        </is>
      </c>
      <c r="E6" s="6" t="inlineStr">
        <is>
          <t>168%</t>
        </is>
      </c>
      <c r="F6" s="6" t="inlineStr">
        <is>
          <t>Not applicable – UK NSFR requirement began 1 Jan 2022; this year's Pillar 3 has no NSFR and the annual report names it only as a forthcoming standard (checked 2026-09-19)</t>
        </is>
      </c>
      <c r="G6" s="6" t="inlineStr">
        <is>
          <t>Not applicable – UK NSFR requirement began 1 Jan 2022; this year's Pillar 3 has no NSFR and the annual report names it only as a forthcoming standard (checked 2026-09-19)</t>
        </is>
      </c>
      <c r="H6" s="6" t="inlineStr">
        <is>
          <t>Not applicable – UK NSFR requirement began 1 Jan 2022; this year's Pillar 3 has no NSFR and the annual report names it only as a forthcoming standard (checked 2026-09-19)</t>
        </is>
      </c>
      <c r="I6" s="6" t="inlineStr">
        <is>
          <t>Not applicable – UK NSFR requirement began 1 Jan 2022; FY2018 Annual Report (no standalone Pillar 3 that year) names it only as a forthcoming standard (checked 2026-09-19)</t>
        </is>
      </c>
    </row>
    <row r="7" ht="30" customHeight="1">
      <c r="A7" s="7" t="inlineStr">
        <is>
          <t>Note: NSFR is computed as a trailing average of the last four spot quarter-end positions. It was not a Pillar 3 disclosure requirement as at FY2018-FY2021 (the UK NSFR regime took effect from 1 January 2022), so no FY2018-FY2021 figures are available.</t>
        </is>
      </c>
    </row>
    <row r="9" ht="169" customHeight="1">
      <c r="A9" s="8" t="inlineStr">
        <is>
          <t>Sources — Barclays Bank UK Group consolidated (Pillar 3) basis:
FY2025 &amp; FY2024: Barclays Bank UK PLC Pillar 3 Report 2025, p.12 (Table 6: KM1 - Key metrics - Part 2) — https://home.barclays/content/dam/home-barclays/documents/investor-relations/ResultAnnouncements/FullYear2025Results/FY25-BBUKPLC-Pillar-3.pdf
FY2023 &amp; FY2022: Barclays Bank UK PLC Pillar 3 Report 2023, p.12 (Table 6: KM1 - Key metrics - Part 2) — https://home.barclays/content/dam/home-barclays/documents/investor-relations/reports-and-events/annual-reports/2023/BB-UK-Pillar-3-Report-2023.pdf
FY2021: Barclays Bank UK PLC Pillar 3 Report 2021, p.9 (Table 4: Key Metrics (KM1 / IFRS 9-FL)) — https://home.barclays/content/dam/home-barclays/documents/investor-relations/reports-and-events/annual-reports/2021/Barclays-Bank-UK-PLC-Pillar-3-Report-2021.pdf
FY2020: Barclays Bank UK PLC Pillar 3 Report 2020, p.8 (Table 4: Key Metrics (KM1/IFRS 9-FL)) — https://home.barclays/content/dam/home-barclays/documents/investor-relations/reports-and-events/annual-reports/2020/Barclays%20Bank%20UK%20PLC%20Pillar%203%20Report%202020.pdf
FY2019: Barclays Bank UK PLC Pillar 3 Report 2019, p.8 (Table 4: Key Metrics (KM1/IFRS9-FL)) — https://home.barclays/content/dam/home-barclays/documents/investor-relations/reports-and-events/annual-reports/2019/Barclays%20Bank%20UK%20PLC%20Pillar%203%20Report.pdf
FY2018: Barclays Bank UK PLC Annual Report 2018, p.80 (Annual Report 2018 capital risk disclosures (no standalone Pillar 3 report)) — https://home.barclays/content/dam/home-barclays/documents/investor-relations/reports-and-events/annual-reports/2018/2018-barclays-bank-uk-plc-annual-report.pdf</t>
        </is>
      </c>
    </row>
  </sheetData>
  <mergeCells count="2">
    <mergeCell ref="A7:I7"/>
    <mergeCell ref="A9:I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Barclays Bank UK Group — MREL Ratio</t>
        </is>
      </c>
    </row>
    <row r="2">
      <c r="A2" s="2" t="inlineStr">
        <is>
          <t>Consolidated basis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row>
    <row r="4">
      <c r="A4" s="6" t="inlineStr">
        <is>
          <t>MREL ratio</t>
        </is>
      </c>
      <c r="B4" s="6" t="inlineStr">
        <is>
          <t>Not disclosed at this level</t>
        </is>
      </c>
      <c r="C4" s="6" t="inlineStr">
        <is>
          <t>Not disclosed at this level</t>
        </is>
      </c>
      <c r="D4" s="6" t="inlineStr">
        <is>
          <t>Not disclosed at this level</t>
        </is>
      </c>
      <c r="E4" s="6" t="inlineStr">
        <is>
          <t>Not disclosed at this level</t>
        </is>
      </c>
      <c r="F4" s="6" t="inlineStr">
        <is>
          <t>Not disclosed at this level</t>
        </is>
      </c>
      <c r="G4" s="6" t="inlineStr">
        <is>
          <t>Not disclosed at this level</t>
        </is>
      </c>
      <c r="H4" s="6" t="inlineStr">
        <is>
          <t>Not disclosed at this level</t>
        </is>
      </c>
      <c r="I4" s="6" t="inlineStr">
        <is>
          <t>Not disclosed at this level</t>
        </is>
      </c>
    </row>
    <row r="5" ht="30" customHeight="1">
      <c r="A5" s="7" t="inlineStr">
        <is>
          <t>Note: MREL disclosures are not applicable for Barclays Bank UK Group (the ring-fenced entity) in any of the eight years reviewed; MREL is disclosed at the Barclays PLC group level instead (see Barclays PLC Pillar 3 Report, Table 21: TLAC2).</t>
        </is>
      </c>
    </row>
    <row r="7" ht="169" customHeight="1">
      <c r="A7" s="8" t="inlineStr">
        <is>
          <t>Sources — Barclays Bank UK Group consolidated (Pillar 3) basis:
FY2025 &amp; FY2024: Barclays Bank UK PLC Pillar 3 Report 2025, p.11 (Table 6: KM1 - Key metrics - Part 1) — https://home.barclays/content/dam/home-barclays/documents/investor-relations/ResultAnnouncements/FullYear2025Results/FY25-BBUKPLC-Pillar-3.pdf
FY2023 &amp; FY2022: Barclays Bank UK PLC Pillar 3 Report 2023, p.11 (Table 6: UK KM1 - Key metrics - Part 1) — https://home.barclays/content/dam/home-barclays/documents/investor-relations/reports-and-events/annual-reports/2023/BB-UK-Pillar-3-Report-2023.pdf
FY2021: Barclays Bank UK PLC Pillar 3 Report 2021, p.9 (Table 4: Key Metrics (KM1 / IFRS 9-FL)) — https://home.barclays/content/dam/home-barclays/documents/investor-relations/reports-and-events/annual-reports/2021/Barclays-Bank-UK-PLC-Pillar-3-Report-2021.pdf
FY2020: Barclays Bank UK PLC Pillar 3 Report 2020, p.8 (Table 4: Key Metrics (KM1/IFRS 9-FL)) — https://home.barclays/content/dam/home-barclays/documents/investor-relations/reports-and-events/annual-reports/2020/Barclays%20Bank%20UK%20PLC%20Pillar%203%20Report%202020.pdf
FY2019: Barclays Bank UK PLC Pillar 3 Report 2019, p.8 (Table 4: Key Metrics (KM1/IFRS9-FL)) — https://home.barclays/content/dam/home-barclays/documents/investor-relations/reports-and-events/annual-reports/2019/Barclays%20Bank%20UK%20PLC%20Pillar%203%20Report.pdf
FY2018: Barclays Bank UK PLC Annual Report 2018, p.80 (Annual Report 2018 capital risk disclosures (no standalone Pillar 3 report)) — https://home.barclays/content/dam/home-barclays/documents/investor-relations/reports-and-events/annual-reports/2018/2018-barclays-bank-uk-plc-annual-report.pdf</t>
        </is>
      </c>
    </row>
  </sheetData>
  <mergeCells count="2">
    <mergeCell ref="A5:I5"/>
    <mergeCell ref="A7:I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2026-10-10T15:08:21Z</dcterms:created>
  <dcterms:modified xmlns:dcterms="http://purl.org/dc/terms/" xmlns:xsi="http://www.w3.org/2001/XMLSchema-instance" xsi:type="dcterms:W3CDTF">2026-10-10T15:08:21Z</dcterms:modified>
</cp:coreProperties>
</file>