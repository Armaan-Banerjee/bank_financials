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8A5"/>
        <bgColor rgb="002858A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Havin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Havin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Havin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Havin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Havin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110335587</v>
      </c>
      <c r="C6" s="5" t="n">
        <v>110109348</v>
      </c>
      <c r="D6" s="5" t="n">
        <v>121957736</v>
      </c>
      <c r="E6" s="5" t="n">
        <v>122383421</v>
      </c>
      <c r="F6" s="5" t="n">
        <v>121038862</v>
      </c>
      <c r="I6" t="inlineStr">
        <is>
          <t>Total assets</t>
        </is>
      </c>
      <c r="J6" t="n">
        <v>121038862</v>
      </c>
      <c r="K6" t="n">
        <v>122383421</v>
      </c>
      <c r="L6" t="n">
        <v>121957736</v>
      </c>
      <c r="M6" t="n">
        <v>110109348</v>
      </c>
      <c r="N6" t="n">
        <v>110335587</v>
      </c>
    </row>
    <row r="7">
      <c r="A7" s="5" t="inlineStr">
        <is>
          <t>Loans and advances to customers</t>
        </is>
      </c>
      <c r="B7" s="5" t="n">
        <v>10391111</v>
      </c>
      <c r="C7" s="5" t="n">
        <v>12428931</v>
      </c>
      <c r="D7" s="5" t="n">
        <v>8992307</v>
      </c>
      <c r="E7" s="5" t="n">
        <v>18482200</v>
      </c>
      <c r="F7" s="5" t="n">
        <v>8634018</v>
      </c>
      <c r="I7" t="inlineStr">
        <is>
          <t>Loans and advances to customers</t>
        </is>
      </c>
      <c r="J7" t="n">
        <v>8634018</v>
      </c>
      <c r="K7" t="n">
        <v>18482200</v>
      </c>
      <c r="L7" t="n">
        <v>8992307</v>
      </c>
      <c r="M7" t="n">
        <v>12428931</v>
      </c>
      <c r="N7" t="n">
        <v>10391111</v>
      </c>
    </row>
    <row r="8">
      <c r="A8" s="5" t="inlineStr">
        <is>
          <t>Customer accounts</t>
        </is>
      </c>
      <c r="B8" s="5" t="n">
        <v>2805620</v>
      </c>
      <c r="C8" s="5" t="n">
        <v>3305718</v>
      </c>
      <c r="D8" s="5" t="n">
        <v>5137804</v>
      </c>
      <c r="E8" s="5" t="n">
        <v>5737501</v>
      </c>
      <c r="F8" s="5" t="n">
        <v>6927373</v>
      </c>
      <c r="I8" t="inlineStr">
        <is>
          <t>Customer accounts</t>
        </is>
      </c>
      <c r="J8" t="n">
        <v>6927373</v>
      </c>
      <c r="K8" t="n">
        <v>5737501</v>
      </c>
      <c r="L8" t="n">
        <v>5137804</v>
      </c>
      <c r="M8" t="n">
        <v>3305718</v>
      </c>
      <c r="N8" t="n">
        <v>2805620</v>
      </c>
    </row>
    <row r="9">
      <c r="A9" s="5" t="inlineStr">
        <is>
          <t>Total equity</t>
        </is>
      </c>
      <c r="B9" s="5" t="n">
        <v>22827949</v>
      </c>
      <c r="C9" s="5" t="n">
        <v>24183332</v>
      </c>
      <c r="D9" s="5" t="n">
        <v>23594030</v>
      </c>
      <c r="E9" s="5" t="n">
        <v>22873655</v>
      </c>
      <c r="F9" s="5" t="n">
        <v>22508678</v>
      </c>
      <c r="I9" t="inlineStr">
        <is>
          <t>Total equity</t>
        </is>
      </c>
      <c r="J9" t="n">
        <v>22508678</v>
      </c>
      <c r="K9" t="n">
        <v>22873655</v>
      </c>
      <c r="L9" t="n">
        <v>23594030</v>
      </c>
      <c r="M9" t="n">
        <v>24183332</v>
      </c>
      <c r="N9" t="n">
        <v>22827949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3698514</v>
      </c>
      <c r="C13" s="5" t="n">
        <v>4419637</v>
      </c>
      <c r="D13" s="5" t="n">
        <v>4517375</v>
      </c>
      <c r="E13" s="5" t="n">
        <v>3183256</v>
      </c>
      <c r="F13" s="5" t="n">
        <v>2079450</v>
      </c>
      <c r="Q13" t="inlineStr">
        <is>
          <t>Total operating income</t>
        </is>
      </c>
      <c r="R13" t="n">
        <v>2079450</v>
      </c>
      <c r="S13" t="n">
        <v>3183256</v>
      </c>
      <c r="T13" t="n">
        <v>4517375</v>
      </c>
      <c r="U13" t="n">
        <v>4419637</v>
      </c>
      <c r="V13" t="n">
        <v>3698514</v>
      </c>
    </row>
    <row r="14">
      <c r="A14" s="5" t="inlineStr">
        <is>
          <t>Administrative expenses</t>
        </is>
      </c>
      <c r="B14" s="5" t="n">
        <v>-3352586</v>
      </c>
      <c r="C14" s="5" t="n">
        <v>-2684867</v>
      </c>
      <c r="D14" s="5" t="n">
        <v>-3270406</v>
      </c>
      <c r="E14" s="5" t="n">
        <v>-2576449</v>
      </c>
      <c r="F14" s="5" t="n">
        <v>-2227306</v>
      </c>
      <c r="Q14" t="inlineStr">
        <is>
          <t>Administrative expenses</t>
        </is>
      </c>
      <c r="R14" t="n">
        <v>-2227306</v>
      </c>
      <c r="S14" t="n">
        <v>-2576449</v>
      </c>
      <c r="T14" t="n">
        <v>-3270406</v>
      </c>
      <c r="U14" t="n">
        <v>-2684867</v>
      </c>
      <c r="V14" t="n">
        <v>-3352586</v>
      </c>
    </row>
    <row r="15">
      <c r="A15" s="5" t="inlineStr">
        <is>
          <t>Profit/(loss) for the year</t>
        </is>
      </c>
      <c r="B15" s="5" t="n">
        <v>244617</v>
      </c>
      <c r="C15" s="5" t="n">
        <v>587118</v>
      </c>
      <c r="D15" s="5" t="n">
        <v>720375</v>
      </c>
      <c r="E15" s="5" t="n">
        <v>364978</v>
      </c>
      <c r="F15" s="5" t="n">
        <v>-264364</v>
      </c>
      <c r="Q15" t="inlineStr">
        <is>
          <t>Profit/(loss) for the year</t>
        </is>
      </c>
      <c r="R15" t="n">
        <v>-264364</v>
      </c>
      <c r="S15" t="n">
        <v>364978</v>
      </c>
      <c r="T15" t="n">
        <v>720375</v>
      </c>
      <c r="U15" t="n">
        <v>587118</v>
      </c>
      <c r="V15" t="n">
        <v>244617</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24183332</v>
      </c>
      <c r="C19" s="5" t="n">
        <v>23594030</v>
      </c>
      <c r="D19" s="5" t="n">
        <v>22873655</v>
      </c>
      <c r="E19" s="5" t="n">
        <v>22508676</v>
      </c>
      <c r="F19" s="5" t="n">
        <v>22773040</v>
      </c>
      <c r="Y19" t="inlineStr">
        <is>
          <t>Opening equity</t>
        </is>
      </c>
      <c r="Z19" t="n">
        <v>22773040</v>
      </c>
      <c r="AA19" t="n">
        <v>22508676</v>
      </c>
      <c r="AB19" t="n">
        <v>22873655</v>
      </c>
      <c r="AC19" t="n">
        <v>23594030</v>
      </c>
      <c r="AD19" t="n">
        <v>24183332</v>
      </c>
    </row>
    <row r="20">
      <c r="A20" s="5" t="inlineStr">
        <is>
          <t>Total comprehensive income/(loss) for the year</t>
        </is>
      </c>
      <c r="B20" s="5" t="n">
        <v>244617</v>
      </c>
      <c r="C20" s="5" t="n">
        <v>587118</v>
      </c>
      <c r="D20" s="5" t="n">
        <v>720375</v>
      </c>
      <c r="E20" s="5" t="n">
        <v>364978</v>
      </c>
      <c r="F20" s="5" t="n">
        <v>-264364</v>
      </c>
      <c r="Y20" t="inlineStr">
        <is>
          <t>Total comprehensive income/(loss) for the year</t>
        </is>
      </c>
      <c r="Z20" t="n">
        <v>-264364</v>
      </c>
      <c r="AA20" t="n">
        <v>364978</v>
      </c>
      <c r="AB20" t="n">
        <v>720375</v>
      </c>
      <c r="AC20" t="n">
        <v>587118</v>
      </c>
      <c r="AD20" t="n">
        <v>244617</v>
      </c>
    </row>
    <row r="21">
      <c r="A21" s="5" t="inlineStr">
        <is>
          <t>Other equity movements, net</t>
        </is>
      </c>
      <c r="B21" s="5" t="n">
        <v>-1600000</v>
      </c>
      <c r="C21" s="5" t="n">
        <v>2184</v>
      </c>
      <c r="D21" s="5" t="n"/>
      <c r="E21" s="5" t="n"/>
      <c r="F21" s="5" t="n"/>
      <c r="Y21" t="inlineStr">
        <is>
          <t>Other equity movements, net</t>
        </is>
      </c>
      <c r="AC21" t="n">
        <v>2184</v>
      </c>
      <c r="AD21" t="n">
        <v>-1600000</v>
      </c>
    </row>
    <row r="22">
      <c r="A22" s="5" t="inlineStr">
        <is>
          <t>Closing equity</t>
        </is>
      </c>
      <c r="B22" s="5" t="n">
        <v>22827949</v>
      </c>
      <c r="C22" s="5" t="n">
        <v>24183332</v>
      </c>
      <c r="D22" s="5" t="n">
        <v>23594030</v>
      </c>
      <c r="E22" s="5" t="n">
        <v>22873655</v>
      </c>
      <c r="F22" s="5" t="n">
        <v>22508676</v>
      </c>
      <c r="Y22" t="inlineStr">
        <is>
          <t>Closing equity</t>
        </is>
      </c>
      <c r="Z22" t="n">
        <v>22508676</v>
      </c>
      <c r="AA22" t="n">
        <v>22873655</v>
      </c>
      <c r="AB22" t="n">
        <v>23594030</v>
      </c>
      <c r="AC22" t="n">
        <v>24183332</v>
      </c>
      <c r="AD22" t="n">
        <v>22827949</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3521073</v>
      </c>
      <c r="C26" s="5" t="n">
        <v>1528221</v>
      </c>
      <c r="D26" s="5" t="n">
        <v>-3161495</v>
      </c>
      <c r="E26" s="5" t="n">
        <v>1121795</v>
      </c>
      <c r="F26" s="5" t="n">
        <v>-13679377</v>
      </c>
      <c r="AG26" t="inlineStr">
        <is>
          <t>Net cash from/(used in) operating activities</t>
        </is>
      </c>
      <c r="AH26" t="n">
        <v>-13679377</v>
      </c>
      <c r="AI26" t="n">
        <v>1121795</v>
      </c>
      <c r="AJ26" t="n">
        <v>-3161495</v>
      </c>
      <c r="AK26" t="n">
        <v>1528221</v>
      </c>
      <c r="AL26" t="n">
        <v>3521073</v>
      </c>
    </row>
    <row r="27">
      <c r="A27" s="5" t="inlineStr">
        <is>
          <t>Net cash from/(used in) investing activities</t>
        </is>
      </c>
      <c r="B27" s="5" t="n">
        <v>-68081</v>
      </c>
      <c r="C27" s="5" t="n"/>
      <c r="D27" s="5" t="n">
        <v>0</v>
      </c>
      <c r="E27" s="5" t="n">
        <v>-184990</v>
      </c>
      <c r="F27" s="5" t="n">
        <v>1587935</v>
      </c>
      <c r="AG27" t="inlineStr">
        <is>
          <t>Net cash from/(used in) investing activities</t>
        </is>
      </c>
      <c r="AH27" t="n">
        <v>1587935</v>
      </c>
      <c r="AI27" t="n">
        <v>-184990</v>
      </c>
      <c r="AJ27" t="n">
        <v>0</v>
      </c>
      <c r="AL27" t="n">
        <v>-68081</v>
      </c>
    </row>
    <row r="28">
      <c r="A28" s="5" t="inlineStr">
        <is>
          <t>Net cash from/(used in) financing activities</t>
        </is>
      </c>
      <c r="B28" s="5" t="n">
        <v>-1600000</v>
      </c>
      <c r="C28" s="5" t="n">
        <v>-1680946</v>
      </c>
      <c r="D28" s="5" t="n">
        <v>-1518544</v>
      </c>
      <c r="E28" s="5" t="n">
        <v>-211750</v>
      </c>
      <c r="F28" s="5" t="n">
        <v>-106956</v>
      </c>
      <c r="AG28" t="inlineStr">
        <is>
          <t>Net cash from/(used in) financing activities</t>
        </is>
      </c>
      <c r="AH28" t="n">
        <v>-106956</v>
      </c>
      <c r="AI28" t="n">
        <v>-211750</v>
      </c>
      <c r="AJ28" t="n">
        <v>-1518544</v>
      </c>
      <c r="AK28" t="n">
        <v>-1680946</v>
      </c>
      <c r="AL28" t="n">
        <v>-1600000</v>
      </c>
    </row>
    <row r="29">
      <c r="A29" s="5" t="inlineStr">
        <is>
          <t>Cash and cash equivalents at end of year</t>
        </is>
      </c>
      <c r="B29" s="5" t="n">
        <v>96413464</v>
      </c>
      <c r="C29" s="5" t="n">
        <v>94560472</v>
      </c>
      <c r="D29" s="5" t="n">
        <v>94713197</v>
      </c>
      <c r="E29" s="5" t="n">
        <v>99393237</v>
      </c>
      <c r="F29" s="5" t="n">
        <v>43634527</v>
      </c>
      <c r="AG29" t="inlineStr">
        <is>
          <t>Cash and cash equivalents at end of year</t>
        </is>
      </c>
      <c r="AH29" t="n">
        <v>43634527</v>
      </c>
      <c r="AI29" t="n">
        <v>99393237</v>
      </c>
      <c r="AJ29" t="n">
        <v>94713197</v>
      </c>
      <c r="AK29" t="n">
        <v>94560472</v>
      </c>
      <c r="AL29" t="n">
        <v>96413464</v>
      </c>
    </row>
    <row r="31">
      <c r="A31" s="3" t="inlineStr">
        <is>
          <t>Pillar 3 Key Metrics: not applicable — no ratios are disclosed for this entity (see the individual Pillar 3 metric sheets).</t>
        </is>
      </c>
    </row>
    <row r="33" ht="45" customHeight="1">
      <c r="A33" s="6" t="inlineStr">
        <is>
          <t>Note: No Pillar 3 ratios are disclosed for this entity (see the individual metric sheets) - CET1/Tier 1/Total Capital £ figures are shown on their own sheets instead. Figures are duplicated from the detail sheets for at-a-glance trend viewing; see each sheet's own source citation for the underlying document/page.</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Havin Bank Limited — Statement of Financial Position</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balances at central banks</t>
        </is>
      </c>
      <c r="B5" s="7" t="n">
        <v>35346327</v>
      </c>
      <c r="C5" s="7" t="n">
        <v>29954158</v>
      </c>
      <c r="D5" s="7" t="n">
        <v>38342174</v>
      </c>
      <c r="E5" s="7" t="n">
        <v>31789983</v>
      </c>
      <c r="F5" s="7" t="n">
        <v>25347880</v>
      </c>
    </row>
    <row r="6">
      <c r="A6" s="7" t="inlineStr">
        <is>
          <t>Loans and advances to banks and other financial institutions</t>
        </is>
      </c>
      <c r="B6" s="7" t="n">
        <v>61460562</v>
      </c>
      <c r="C6" s="7" t="n">
        <v>64606314</v>
      </c>
      <c r="D6" s="7" t="n">
        <v>71371023</v>
      </c>
      <c r="E6" s="7" t="n">
        <v>68737878</v>
      </c>
      <c r="F6" s="7" t="n">
        <v>83320302</v>
      </c>
    </row>
    <row r="7">
      <c r="A7" s="7" t="inlineStr">
        <is>
          <t>Loans and advances to customers</t>
        </is>
      </c>
      <c r="B7" s="7" t="n">
        <v>10391111</v>
      </c>
      <c r="C7" s="7" t="n">
        <v>12428931</v>
      </c>
      <c r="D7" s="7" t="n">
        <v>8992307</v>
      </c>
      <c r="E7" s="7" t="n">
        <v>18482200</v>
      </c>
      <c r="F7" s="7" t="n">
        <v>8634018</v>
      </c>
    </row>
    <row r="8">
      <c r="A8" s="7" t="inlineStr">
        <is>
          <t>Intangible assets</t>
        </is>
      </c>
      <c r="B8" s="7" t="n">
        <v>295851</v>
      </c>
      <c r="C8" s="7" t="n">
        <v>391887</v>
      </c>
      <c r="D8" s="7" t="n">
        <v>488076</v>
      </c>
      <c r="E8" s="7" t="n">
        <v>584296</v>
      </c>
      <c r="F8" s="7" t="n">
        <v>484067</v>
      </c>
    </row>
    <row r="9">
      <c r="A9" s="7" t="inlineStr">
        <is>
          <t>Tangible fixed assets</t>
        </is>
      </c>
      <c r="B9" s="7" t="n">
        <v>1555105</v>
      </c>
      <c r="C9" s="7" t="n">
        <v>1540079</v>
      </c>
      <c r="D9" s="7" t="n">
        <v>1577233</v>
      </c>
      <c r="E9" s="7" t="n">
        <v>1616026</v>
      </c>
      <c r="F9" s="7" t="n">
        <v>1656490</v>
      </c>
    </row>
    <row r="10">
      <c r="A10" s="7" t="inlineStr">
        <is>
          <t>Prepayments and accrued income</t>
        </is>
      </c>
      <c r="B10" s="7" t="n">
        <v>892060</v>
      </c>
      <c r="C10" s="7" t="n">
        <v>858809</v>
      </c>
      <c r="D10" s="7" t="n">
        <v>889996</v>
      </c>
      <c r="E10" s="7" t="n">
        <v>675544</v>
      </c>
      <c r="F10" s="7" t="n">
        <v>1004699</v>
      </c>
    </row>
    <row r="11">
      <c r="A11" s="7" t="inlineStr">
        <is>
          <t>Receivables/debtors</t>
        </is>
      </c>
      <c r="B11" s="7" t="n">
        <v>39945</v>
      </c>
      <c r="C11" s="7" t="n">
        <v>39905</v>
      </c>
      <c r="D11" s="7" t="n"/>
      <c r="E11" s="7" t="n"/>
      <c r="F11" s="7" t="n"/>
    </row>
    <row r="12">
      <c r="A12" s="7" t="inlineStr">
        <is>
          <t>Other assets</t>
        </is>
      </c>
      <c r="B12" s="7" t="n">
        <v>354626</v>
      </c>
      <c r="C12" s="7" t="n">
        <v>249260</v>
      </c>
      <c r="D12" s="7" t="n">
        <v>296927</v>
      </c>
      <c r="E12" s="7" t="n">
        <v>496494</v>
      </c>
      <c r="F12" s="7" t="n">
        <v>591406</v>
      </c>
    </row>
    <row r="13">
      <c r="A13" s="5" t="inlineStr">
        <is>
          <t>Total Assets</t>
        </is>
      </c>
      <c r="B13" s="5" t="n">
        <v>110335587</v>
      </c>
      <c r="C13" s="5" t="n">
        <v>110109348</v>
      </c>
      <c r="D13" s="5" t="n">
        <v>121957736</v>
      </c>
      <c r="E13" s="5" t="n">
        <v>122383421</v>
      </c>
      <c r="F13" s="5" t="n">
        <v>121038862</v>
      </c>
    </row>
    <row r="14">
      <c r="A14" s="5" t="inlineStr">
        <is>
          <t>Liabilities</t>
        </is>
      </c>
      <c r="B14" s="7" t="n"/>
      <c r="C14" s="7" t="n"/>
      <c r="D14" s="7" t="n"/>
      <c r="E14" s="7" t="n"/>
      <c r="F14" s="7" t="n"/>
    </row>
    <row r="15">
      <c r="A15" s="7" t="inlineStr">
        <is>
          <t>Deposits by banks</t>
        </is>
      </c>
      <c r="B15" s="7" t="n">
        <v>83183992</v>
      </c>
      <c r="C15" s="7" t="n">
        <v>81344620</v>
      </c>
      <c r="D15" s="7" t="n">
        <v>91487208</v>
      </c>
      <c r="E15" s="7" t="n">
        <v>92659763</v>
      </c>
      <c r="F15" s="7" t="n">
        <v>90838505</v>
      </c>
    </row>
    <row r="16">
      <c r="A16" s="7" t="inlineStr">
        <is>
          <t>Customer accounts</t>
        </is>
      </c>
      <c r="B16" s="7" t="n">
        <v>2805620</v>
      </c>
      <c r="C16" s="7" t="n">
        <v>3305718</v>
      </c>
      <c r="D16" s="7" t="n">
        <v>5137804</v>
      </c>
      <c r="E16" s="7" t="n">
        <v>5737501</v>
      </c>
      <c r="F16" s="7" t="n">
        <v>6927373</v>
      </c>
    </row>
    <row r="17">
      <c r="A17" s="7" t="inlineStr">
        <is>
          <t>Due to parent undertaking</t>
        </is>
      </c>
      <c r="B17" s="7" t="n">
        <v>538675</v>
      </c>
      <c r="C17" s="7" t="n">
        <v>130304</v>
      </c>
      <c r="D17" s="7" t="n">
        <v>169587</v>
      </c>
      <c r="E17" s="7" t="n">
        <v>191756</v>
      </c>
      <c r="F17" s="7" t="n">
        <v>200058</v>
      </c>
    </row>
    <row r="18">
      <c r="A18" s="7" t="inlineStr">
        <is>
          <t>Accruals and other liabilities</t>
        </is>
      </c>
      <c r="B18" s="7" t="n">
        <v>769119</v>
      </c>
      <c r="C18" s="7" t="n">
        <v>863560</v>
      </c>
      <c r="D18" s="7" t="n">
        <v>1196153</v>
      </c>
      <c r="E18" s="7" t="n">
        <v>774301</v>
      </c>
      <c r="F18" s="7" t="n">
        <v>441394</v>
      </c>
    </row>
    <row r="19">
      <c r="A19" s="7" t="inlineStr">
        <is>
          <t>Deferred tax liability</t>
        </is>
      </c>
      <c r="B19" s="7" t="n">
        <v>79469</v>
      </c>
      <c r="C19" s="7" t="n">
        <v>87265</v>
      </c>
      <c r="D19" s="7" t="n">
        <v>88287</v>
      </c>
      <c r="E19" s="7" t="n">
        <v>131928</v>
      </c>
      <c r="F19" s="7" t="n">
        <v>122854</v>
      </c>
    </row>
    <row r="20">
      <c r="A20" s="7" t="inlineStr">
        <is>
          <t>Corporation tax liability</t>
        </is>
      </c>
      <c r="B20" s="7" t="n">
        <v>130763</v>
      </c>
      <c r="C20" s="7" t="n">
        <v>194549</v>
      </c>
      <c r="D20" s="7" t="n">
        <v>284667</v>
      </c>
      <c r="E20" s="7" t="n">
        <v>14517</v>
      </c>
      <c r="F20" s="7" t="n"/>
    </row>
    <row r="21">
      <c r="A21" s="5" t="inlineStr">
        <is>
          <t>Total Liabilities</t>
        </is>
      </c>
      <c r="B21" s="5" t="n">
        <v>87507638</v>
      </c>
      <c r="C21" s="5" t="n">
        <v>85926016</v>
      </c>
      <c r="D21" s="5" t="n">
        <v>98363706</v>
      </c>
      <c r="E21" s="5" t="n">
        <v>99509766</v>
      </c>
      <c r="F21" s="5" t="n">
        <v>98530184</v>
      </c>
    </row>
    <row r="22">
      <c r="A22" s="5" t="inlineStr">
        <is>
          <t>Equity</t>
        </is>
      </c>
      <c r="B22" s="7" t="n"/>
      <c r="C22" s="7" t="n"/>
      <c r="D22" s="7" t="n"/>
      <c r="E22" s="7" t="n"/>
      <c r="F22" s="7" t="n"/>
    </row>
    <row r="23">
      <c r="A23" s="7" t="inlineStr">
        <is>
          <t>Called up share capital</t>
        </is>
      </c>
      <c r="B23" s="7" t="n">
        <v>22000000</v>
      </c>
      <c r="C23" s="7" t="n">
        <v>22000000</v>
      </c>
      <c r="D23" s="7" t="n">
        <v>22000000</v>
      </c>
      <c r="E23" s="7" t="n">
        <v>22000000</v>
      </c>
      <c r="F23" s="7" t="n">
        <v>22000000</v>
      </c>
    </row>
    <row r="24">
      <c r="A24" s="7" t="inlineStr">
        <is>
          <t>Profit and loss account</t>
        </is>
      </c>
      <c r="B24" s="7" t="n">
        <v>827949</v>
      </c>
      <c r="C24" s="7" t="n">
        <v>2183332</v>
      </c>
      <c r="D24" s="7" t="n">
        <v>1594030</v>
      </c>
      <c r="E24" s="7" t="n">
        <v>873655</v>
      </c>
      <c r="F24" s="7" t="n">
        <v>508678</v>
      </c>
    </row>
    <row r="25">
      <c r="A25" s="5" t="inlineStr">
        <is>
          <t>Total equity (Shareholders' funds)</t>
        </is>
      </c>
      <c r="B25" s="5" t="n">
        <v>22827949</v>
      </c>
      <c r="C25" s="5" t="n">
        <v>24183332</v>
      </c>
      <c r="D25" s="5" t="n">
        <v>23594030</v>
      </c>
      <c r="E25" s="5" t="n">
        <v>22873655</v>
      </c>
      <c r="F25" s="5" t="n">
        <v>22508678</v>
      </c>
    </row>
    <row r="26">
      <c r="A26" s="5" t="inlineStr">
        <is>
          <t>Total liabilities and equity</t>
        </is>
      </c>
      <c r="B26" s="5" t="n">
        <v>110335587</v>
      </c>
      <c r="C26" s="5" t="n">
        <v>110109348</v>
      </c>
      <c r="D26" s="5" t="n">
        <v>121957736</v>
      </c>
      <c r="E26" s="5" t="n">
        <v>122383421</v>
      </c>
      <c r="F26" s="5" t="n">
        <v>121038862</v>
      </c>
    </row>
    <row r="28" ht="280" customHeight="1">
      <c r="A2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Income Statement</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receivable and similar income</t>
        </is>
      </c>
      <c r="B5" s="7" t="n">
        <v>4654931</v>
      </c>
      <c r="C5" s="7" t="n">
        <v>5679555</v>
      </c>
      <c r="D5" s="7" t="n">
        <v>5336644</v>
      </c>
      <c r="E5" s="7" t="n">
        <v>2785468</v>
      </c>
      <c r="F5" s="7" t="n">
        <v>1612507</v>
      </c>
    </row>
    <row r="6">
      <c r="A6" s="7" t="inlineStr">
        <is>
          <t>Interest payable and similar expenses</t>
        </is>
      </c>
      <c r="B6" s="7" t="n">
        <v>-1288150</v>
      </c>
      <c r="C6" s="7" t="n">
        <v>-1710521</v>
      </c>
      <c r="D6" s="7" t="n">
        <v>-1501108</v>
      </c>
      <c r="E6" s="7" t="n">
        <v>-442855</v>
      </c>
      <c r="F6" s="7" t="n">
        <v>-104074</v>
      </c>
    </row>
    <row r="7">
      <c r="A7" s="5" t="inlineStr">
        <is>
          <t>Net interest income</t>
        </is>
      </c>
      <c r="B7" s="5" t="n">
        <v>3366781</v>
      </c>
      <c r="C7" s="5" t="n">
        <v>3969034</v>
      </c>
      <c r="D7" s="5" t="n">
        <v>3835536</v>
      </c>
      <c r="E7" s="5" t="n">
        <v>2342613</v>
      </c>
      <c r="F7" s="5" t="n">
        <v>1508433</v>
      </c>
    </row>
    <row r="8">
      <c r="A8" s="7" t="inlineStr">
        <is>
          <t>Fees and commissions receivable</t>
        </is>
      </c>
      <c r="B8" s="7" t="n">
        <v>201787</v>
      </c>
      <c r="C8" s="7" t="n">
        <v>249690</v>
      </c>
      <c r="D8" s="7" t="n">
        <v>276851</v>
      </c>
      <c r="E8" s="7" t="n">
        <v>343373</v>
      </c>
      <c r="F8" s="7" t="n">
        <v>269558</v>
      </c>
    </row>
    <row r="9">
      <c r="A9" s="7" t="inlineStr">
        <is>
          <t>Fees and commissions payable</t>
        </is>
      </c>
      <c r="B9" s="7" t="n">
        <v>-155818</v>
      </c>
      <c r="C9" s="7" t="n">
        <v>-113049</v>
      </c>
      <c r="D9" s="7" t="n">
        <v>-35548</v>
      </c>
      <c r="E9" s="7" t="n">
        <v>-25951</v>
      </c>
      <c r="F9" s="7" t="n">
        <v>-27007</v>
      </c>
    </row>
    <row r="10">
      <c r="A10" s="7" t="inlineStr">
        <is>
          <t>Foreign exchange profits</t>
        </is>
      </c>
      <c r="B10" s="7" t="n">
        <v>277248</v>
      </c>
      <c r="C10" s="7" t="n">
        <v>303470</v>
      </c>
      <c r="D10" s="7" t="n">
        <v>435780</v>
      </c>
      <c r="E10" s="7" t="n">
        <v>513709</v>
      </c>
      <c r="F10" s="7" t="n">
        <v>318954</v>
      </c>
    </row>
    <row r="11">
      <c r="A11" s="7" t="inlineStr">
        <is>
          <t>Other operating income</t>
        </is>
      </c>
      <c r="B11" s="7" t="n">
        <v>8516</v>
      </c>
      <c r="C11" s="7" t="n">
        <v>10492</v>
      </c>
      <c r="D11" s="7" t="n">
        <v>4756</v>
      </c>
      <c r="E11" s="7" t="n">
        <v>9512</v>
      </c>
      <c r="F11" s="7" t="n">
        <v>9512</v>
      </c>
    </row>
    <row r="12">
      <c r="A12" s="5" t="inlineStr">
        <is>
          <t>Total operating income</t>
        </is>
      </c>
      <c r="B12" s="5" t="n">
        <v>3698514</v>
      </c>
      <c r="C12" s="5" t="n">
        <v>4419637</v>
      </c>
      <c r="D12" s="5" t="n">
        <v>4517375</v>
      </c>
      <c r="E12" s="5" t="n">
        <v>3183256</v>
      </c>
      <c r="F12" s="5" t="n">
        <v>2079450</v>
      </c>
    </row>
    <row r="13">
      <c r="A13" s="5" t="inlineStr">
        <is>
          <t>Expenses</t>
        </is>
      </c>
      <c r="B13" s="7" t="n"/>
      <c r="C13" s="7" t="n"/>
      <c r="D13" s="7" t="n"/>
      <c r="E13" s="7" t="n"/>
      <c r="F13" s="7" t="n"/>
    </row>
    <row r="14">
      <c r="A14" s="7" t="inlineStr">
        <is>
          <t>Administrative expenses</t>
        </is>
      </c>
      <c r="B14" s="7" t="n">
        <v>-3352586</v>
      </c>
      <c r="C14" s="7" t="n">
        <v>-2684867</v>
      </c>
      <c r="D14" s="7" t="n">
        <v>-3270406</v>
      </c>
      <c r="E14" s="7" t="n">
        <v>-2576449</v>
      </c>
      <c r="F14" s="7" t="n">
        <v>-2227306</v>
      </c>
    </row>
    <row r="15">
      <c r="A15" s="7" t="inlineStr">
        <is>
          <t>Impairment losses and loans advances</t>
        </is>
      </c>
      <c r="B15" s="7" t="n">
        <v>150716</v>
      </c>
      <c r="C15" s="7" t="n">
        <v>-840614</v>
      </c>
      <c r="D15" s="7" t="n">
        <v>-162886</v>
      </c>
      <c r="E15" s="7" t="n">
        <v>0</v>
      </c>
      <c r="F15" s="7" t="n"/>
    </row>
    <row r="16">
      <c r="A16" s="7" t="inlineStr">
        <is>
          <t>Amortisation of intangible assets</t>
        </is>
      </c>
      <c r="B16" s="7" t="n">
        <v>-96036</v>
      </c>
      <c r="C16" s="7" t="n">
        <v>-96189</v>
      </c>
      <c r="D16" s="7" t="n">
        <v>-96219</v>
      </c>
      <c r="E16" s="7" t="n">
        <v>-84761</v>
      </c>
      <c r="F16" s="7" t="n">
        <v>-83521</v>
      </c>
    </row>
    <row r="17">
      <c r="A17" s="7" t="inlineStr">
        <is>
          <t>Depreciation of tangible fixed assets</t>
        </is>
      </c>
      <c r="B17" s="7" t="n">
        <v>-53656</v>
      </c>
      <c r="C17" s="7" t="n">
        <v>-37153</v>
      </c>
      <c r="D17" s="7" t="n">
        <v>-38793</v>
      </c>
      <c r="E17" s="7" t="n">
        <v>-40464</v>
      </c>
      <c r="F17" s="7" t="n">
        <v>-53141</v>
      </c>
    </row>
    <row r="18">
      <c r="A18" s="5" t="inlineStr">
        <is>
          <t>Operating profit/(loss)</t>
        </is>
      </c>
      <c r="B18" s="5" t="n">
        <v>346952</v>
      </c>
      <c r="C18" s="5" t="n">
        <v>760814</v>
      </c>
      <c r="D18" s="5" t="n">
        <v>949071</v>
      </c>
      <c r="E18" s="5" t="n">
        <v>481582</v>
      </c>
      <c r="F18" s="5" t="n">
        <v>-284518</v>
      </c>
    </row>
    <row r="19">
      <c r="A19" s="5" t="inlineStr">
        <is>
          <t>Profit/(loss) before tax</t>
        </is>
      </c>
      <c r="B19" s="5" t="n">
        <v>346952</v>
      </c>
      <c r="C19" s="5" t="n">
        <v>760814</v>
      </c>
      <c r="D19" s="5" t="n">
        <v>949071</v>
      </c>
      <c r="E19" s="5" t="n">
        <v>481582</v>
      </c>
      <c r="F19" s="5" t="n">
        <v>-284518</v>
      </c>
    </row>
    <row r="20">
      <c r="A20" s="7" t="inlineStr">
        <is>
          <t>Tax on profit</t>
        </is>
      </c>
      <c r="B20" s="7" t="n">
        <v>-102335</v>
      </c>
      <c r="C20" s="7" t="n">
        <v>-173696</v>
      </c>
      <c r="D20" s="7" t="n">
        <v>-228696</v>
      </c>
      <c r="E20" s="7" t="n">
        <v>-116604</v>
      </c>
      <c r="F20" s="7" t="n">
        <v>20154</v>
      </c>
    </row>
    <row r="21">
      <c r="A21" s="5" t="inlineStr">
        <is>
          <t>Profit/(loss) for the year and total comprehensive income/(loss)</t>
        </is>
      </c>
      <c r="B21" s="5" t="n">
        <v>244617</v>
      </c>
      <c r="C21" s="5" t="n">
        <v>587118</v>
      </c>
      <c r="D21" s="5" t="n">
        <v>720375</v>
      </c>
      <c r="E21" s="5" t="n">
        <v>364978</v>
      </c>
      <c r="F21" s="5" t="n">
        <v>-264364</v>
      </c>
    </row>
    <row r="23" ht="280" customHeight="1">
      <c r="A23"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Havin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from FY2022 onward - a small GBP1-2 documented rounding artifact within the Bank's own FY2021/FY2022 filings is reproduced as disclosed, not force-reconciled (see source note).</t>
        </is>
      </c>
    </row>
    <row r="3">
      <c r="A3" s="4" t="inlineStr">
        <is>
          <t>Movement</t>
        </is>
      </c>
      <c r="B3" s="4" t="inlineStr">
        <is>
          <t>Called-up capital</t>
        </is>
      </c>
      <c r="C3" s="4" t="inlineStr">
        <is>
          <t>Profit and loss account</t>
        </is>
      </c>
      <c r="D3" s="4" t="inlineStr">
        <is>
          <t>Total equity</t>
        </is>
      </c>
    </row>
    <row r="4">
      <c r="A4" s="7" t="inlineStr">
        <is>
          <t>Balance as at 1 January 2021 (FY2021's own opening, = FY2020 closing)</t>
        </is>
      </c>
      <c r="B4" s="7" t="n">
        <v>22000000</v>
      </c>
      <c r="C4" s="7" t="n">
        <v>773040</v>
      </c>
      <c r="D4" s="7" t="n">
        <v>22773040</v>
      </c>
    </row>
    <row r="5">
      <c r="A5" s="7" t="inlineStr">
        <is>
          <t>Total comprehensive loss for the year</t>
        </is>
      </c>
      <c r="B5" s="7" t="n"/>
      <c r="C5" s="7" t="n">
        <v>-264364</v>
      </c>
      <c r="D5" s="7" t="n">
        <v>-264364</v>
      </c>
    </row>
    <row r="6">
      <c r="A6" s="5" t="inlineStr">
        <is>
          <t>Balance as at 31 December 2021 (per FY2021's own Equity Statement)</t>
        </is>
      </c>
      <c r="B6" s="5" t="n">
        <v>22000000</v>
      </c>
      <c r="C6" s="5" t="n">
        <v>508676</v>
      </c>
      <c r="D6" s="5" t="n">
        <v>22508676</v>
      </c>
    </row>
    <row r="7">
      <c r="A7" s="7" t="inlineStr">
        <is>
          <t>Total comprehensive profit for the year</t>
        </is>
      </c>
      <c r="B7" s="7" t="n"/>
      <c r="C7" s="7" t="n">
        <v>364978</v>
      </c>
      <c r="D7" s="7" t="n">
        <v>364978</v>
      </c>
    </row>
    <row r="8">
      <c r="A8" s="5" t="inlineStr">
        <is>
          <t>Balance as at 31 December 2022 (per FY2022's own Annual Report; FY2022's own opening was GBP22,508,677, a GBP1 difference from the row above - reproduced as disclosed)</t>
        </is>
      </c>
      <c r="B8" s="5" t="n">
        <v>22000000</v>
      </c>
      <c r="C8" s="5" t="n">
        <v>873655</v>
      </c>
      <c r="D8" s="5" t="n">
        <v>22873655</v>
      </c>
    </row>
    <row r="9">
      <c r="A9" s="7" t="inlineStr">
        <is>
          <t>Total comprehensive profit for the year</t>
        </is>
      </c>
      <c r="B9" s="7" t="n"/>
      <c r="C9" s="7" t="n">
        <v>720375</v>
      </c>
      <c r="D9" s="7" t="n">
        <v>720375</v>
      </c>
    </row>
    <row r="10">
      <c r="A10" s="5" t="inlineStr">
        <is>
          <t>Balance as at 31 December 2023</t>
        </is>
      </c>
      <c r="B10" s="5" t="n">
        <v>22000000</v>
      </c>
      <c r="C10" s="5" t="n">
        <v>1594030</v>
      </c>
      <c r="D10" s="5" t="n">
        <v>23594030</v>
      </c>
    </row>
    <row r="11">
      <c r="A11" s="7" t="inlineStr">
        <is>
          <t>Total comprehensive profit for the year</t>
        </is>
      </c>
      <c r="B11" s="7" t="n"/>
      <c r="C11" s="7" t="n">
        <v>587118</v>
      </c>
      <c r="D11" s="7" t="n">
        <v>587118</v>
      </c>
    </row>
    <row r="12">
      <c r="A12" s="7" t="inlineStr">
        <is>
          <t>Prior year adjustment</t>
        </is>
      </c>
      <c r="B12" s="7" t="n"/>
      <c r="C12" s="7" t="n">
        <v>2184</v>
      </c>
      <c r="D12" s="7" t="n">
        <v>2184</v>
      </c>
    </row>
    <row r="13">
      <c r="A13" s="5" t="inlineStr">
        <is>
          <t>Balance as at 31 December 2024</t>
        </is>
      </c>
      <c r="B13" s="5" t="n">
        <v>22000000</v>
      </c>
      <c r="C13" s="5" t="n">
        <v>2183332</v>
      </c>
      <c r="D13" s="5" t="n">
        <v>24183332</v>
      </c>
    </row>
    <row r="14">
      <c r="A14" s="7" t="inlineStr">
        <is>
          <t>Total comprehensive profit for the year</t>
        </is>
      </c>
      <c r="B14" s="7" t="n"/>
      <c r="C14" s="7" t="n">
        <v>244617</v>
      </c>
      <c r="D14" s="7" t="n">
        <v>244617</v>
      </c>
    </row>
    <row r="15">
      <c r="A15" s="7" t="inlineStr">
        <is>
          <t>Dividends in respect of prior years</t>
        </is>
      </c>
      <c r="B15" s="7" t="n"/>
      <c r="C15" s="7" t="n">
        <v>-1600000</v>
      </c>
      <c r="D15" s="7" t="n">
        <v>-1600000</v>
      </c>
    </row>
    <row r="16">
      <c r="A16" s="5" t="inlineStr">
        <is>
          <t>Balance as at 31 December 2025</t>
        </is>
      </c>
      <c r="B16" s="5" t="n">
        <v>22000000</v>
      </c>
      <c r="C16" s="5" t="n">
        <v>827949</v>
      </c>
      <c r="D16" s="5" t="n">
        <v>22827949</v>
      </c>
    </row>
    <row r="18" ht="280" customHeight="1">
      <c r="A1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18:D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Havin Bank Limited — Statement of Cash Flows</t>
        </is>
      </c>
    </row>
    <row r="2">
      <c r="A2" s="2" t="inlineStr">
        <is>
          <t>As presented in each year's own primary Statement of Cash Flows (Operating activities shown as the single reconciled figure the face of each year's own statement discloses, referencing that year's own supporting note for detail)</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7" t="n"/>
      <c r="C4" s="7" t="n"/>
      <c r="D4" s="7" t="n"/>
      <c r="E4" s="7" t="n"/>
      <c r="F4" s="7" t="n"/>
    </row>
    <row r="5">
      <c r="A5" s="7" t="inlineStr">
        <is>
          <t>Cash (outflows)/inflows from operating activities</t>
        </is>
      </c>
      <c r="B5" s="7" t="n">
        <v>3521073</v>
      </c>
      <c r="C5" s="7" t="n">
        <v>1528221</v>
      </c>
      <c r="D5" s="7" t="n">
        <v>-3161495</v>
      </c>
      <c r="E5" s="7" t="n">
        <v>1121795</v>
      </c>
      <c r="F5" s="7" t="n">
        <v>-13679377</v>
      </c>
    </row>
    <row r="6">
      <c r="A6" s="5" t="inlineStr">
        <is>
          <t>Net cash from/(used in) operating activities</t>
        </is>
      </c>
      <c r="B6" s="5" t="n">
        <v>3521073</v>
      </c>
      <c r="C6" s="5" t="n">
        <v>1528221</v>
      </c>
      <c r="D6" s="5" t="n">
        <v>-3161495</v>
      </c>
      <c r="E6" s="5" t="n">
        <v>1121795</v>
      </c>
      <c r="F6" s="5" t="n">
        <v>-13679377</v>
      </c>
    </row>
    <row r="7">
      <c r="A7" s="5" t="inlineStr">
        <is>
          <t>Investing activities</t>
        </is>
      </c>
      <c r="B7" s="7" t="n"/>
      <c r="C7" s="7" t="n"/>
      <c r="D7" s="7" t="n"/>
      <c r="E7" s="7" t="n"/>
      <c r="F7" s="7" t="n"/>
    </row>
    <row r="8">
      <c r="A8" s="7" t="inlineStr">
        <is>
          <t>Interest received</t>
        </is>
      </c>
      <c r="B8" s="7" t="n"/>
      <c r="C8" s="7" t="n"/>
      <c r="D8" s="7" t="n"/>
      <c r="E8" s="7" t="n"/>
      <c r="F8" s="7" t="n">
        <v>1590087</v>
      </c>
    </row>
    <row r="9">
      <c r="A9" s="7" t="inlineStr">
        <is>
          <t>Payments to acquire intangible assets</t>
        </is>
      </c>
      <c r="B9" s="7" t="n"/>
      <c r="C9" s="7" t="n"/>
      <c r="D9" s="7" t="n">
        <v>0</v>
      </c>
      <c r="E9" s="7" t="n">
        <v>-184990</v>
      </c>
      <c r="F9" s="7" t="n"/>
    </row>
    <row r="10">
      <c r="A10" s="7" t="inlineStr">
        <is>
          <t>Payments to acquire tangible fixed assets</t>
        </is>
      </c>
      <c r="B10" s="7" t="n">
        <v>-68081</v>
      </c>
      <c r="C10" s="7" t="n"/>
      <c r="D10" s="7" t="n"/>
      <c r="E10" s="7" t="n"/>
      <c r="F10" s="7" t="n">
        <v>-2152</v>
      </c>
    </row>
    <row r="11">
      <c r="A11" s="5" t="inlineStr">
        <is>
          <t>Net cash from/(used in) investing activities</t>
        </is>
      </c>
      <c r="B11" s="5" t="n">
        <v>-68081</v>
      </c>
      <c r="C11" s="5" t="n"/>
      <c r="D11" s="5" t="n">
        <v>0</v>
      </c>
      <c r="E11" s="5" t="n">
        <v>-184990</v>
      </c>
      <c r="F11" s="5" t="n">
        <v>1587935</v>
      </c>
    </row>
    <row r="12">
      <c r="A12" s="5" t="inlineStr">
        <is>
          <t>Financing activities</t>
        </is>
      </c>
      <c r="B12" s="7" t="n"/>
      <c r="C12" s="7" t="n"/>
      <c r="D12" s="7" t="n"/>
      <c r="E12" s="7" t="n"/>
      <c r="F12" s="7" t="n"/>
    </row>
    <row r="13">
      <c r="A13" s="7" t="inlineStr">
        <is>
          <t>Interest paid</t>
        </is>
      </c>
      <c r="B13" s="7" t="n"/>
      <c r="C13" s="7" t="n">
        <v>-1680946</v>
      </c>
      <c r="D13" s="7" t="n">
        <v>-1518544</v>
      </c>
      <c r="E13" s="7" t="n">
        <v>-211750</v>
      </c>
      <c r="F13" s="7" t="n">
        <v>-106956</v>
      </c>
    </row>
    <row r="14">
      <c r="A14" s="7" t="inlineStr">
        <is>
          <t>Dividend paid</t>
        </is>
      </c>
      <c r="B14" s="7" t="n">
        <v>-1600000</v>
      </c>
      <c r="C14" s="7" t="n"/>
      <c r="D14" s="7" t="n"/>
      <c r="E14" s="7" t="n"/>
      <c r="F14" s="7" t="n"/>
    </row>
    <row r="15">
      <c r="A15" s="5" t="inlineStr">
        <is>
          <t>Net cash from/(used in) financing activities</t>
        </is>
      </c>
      <c r="B15" s="5" t="n">
        <v>-1600000</v>
      </c>
      <c r="C15" s="5" t="n">
        <v>-1680946</v>
      </c>
      <c r="D15" s="5" t="n">
        <v>-1518544</v>
      </c>
      <c r="E15" s="5" t="n">
        <v>-211750</v>
      </c>
      <c r="F15" s="5" t="n">
        <v>-106956</v>
      </c>
    </row>
    <row r="16">
      <c r="A16" s="5" t="inlineStr">
        <is>
          <t>Net (decrease)/increase in cash and cash equivalents</t>
        </is>
      </c>
      <c r="B16" s="5" t="n">
        <v>1852992</v>
      </c>
      <c r="C16" s="5" t="n">
        <v>-152725</v>
      </c>
      <c r="D16" s="5" t="n">
        <v>-4680040</v>
      </c>
      <c r="E16" s="5" t="n">
        <v>725055</v>
      </c>
      <c r="F16" s="5" t="n">
        <v>-12198398</v>
      </c>
    </row>
    <row r="17">
      <c r="A17" s="7" t="inlineStr">
        <is>
          <t>Cash and cash equivalents at the beginning of the year</t>
        </is>
      </c>
      <c r="B17" s="7" t="n">
        <v>94560472</v>
      </c>
      <c r="C17" s="7" t="n">
        <v>94713197</v>
      </c>
      <c r="D17" s="7" t="n">
        <v>99393237</v>
      </c>
      <c r="E17" s="7" t="n">
        <v>98668182</v>
      </c>
      <c r="F17" s="7" t="n">
        <v>55832925</v>
      </c>
    </row>
    <row r="18">
      <c r="A18" s="5" t="inlineStr">
        <is>
          <t>Cash and cash equivalents at the end of the year</t>
        </is>
      </c>
      <c r="B18" s="5" t="n">
        <v>96413464</v>
      </c>
      <c r="C18" s="5" t="n">
        <v>94560472</v>
      </c>
      <c r="D18" s="5" t="n">
        <v>94713197</v>
      </c>
      <c r="E18" s="5" t="n">
        <v>99393237</v>
      </c>
      <c r="F18" s="5" t="n">
        <v>43634527</v>
      </c>
    </row>
    <row r="20" ht="210" customHeight="1">
      <c r="A20" s="8" t="inlineStr">
        <is>
          <t>Sources - Havin Bank Limited's own Statement of Cash Flows (face of statement, each year's own primary presentation, not a later restated comparative) from its Companies House-filed Annual Report and Financial Statements:
FY2025: Annual Report FY2025, p.22 - https://find-and-update.company-information.service.gov.uk/company/01074897/filing-history/MzUzNzM1MjkyOGFkaXF6a2N4/document?format=pdf&amp;download=0
FY2024: Annual Report FY2024, p.21 - https://find-and-update.company-information.service.gov.uk/company/01074897/filing-history/MzQ4Mzc3NzE0NWFkaXF6a2N4/document?format=pdf&amp;download=0
FY2023: Annual Report FY2024, p.21 (FY2023 comparative column; FY2023's own report was not independently re-verified for this line since the FY2024 comparative is consistent with the FY2022 report's own FY2022 closing balance) - https://find-and-update.company-information.service.gov.uk/company/01074897/filing-history/MzQ4Mzc3NzE0NWFkaXF6a2N4/document?format=pdf&amp;download=0
FY2022: Annual Report FY2022, p.27 - https://find-and-update.company-information.service.gov.uk/company/01074897/filing-history/MzQyNDMxMDM1M2FkaXF6a2N4/document?format=pdf&amp;download=0
FY2021: Annual Report FY2021, p.21 -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t>
        </is>
      </c>
    </row>
  </sheetData>
  <mergeCells count="1">
    <mergeCell ref="A20:F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Asset Quality</t>
        </is>
      </c>
    </row>
    <row r="2">
      <c r="A2" s="2" t="inlineStr">
        <is>
          <t>Loans and advances to customers, by repayment status, as originally published each year (no IFRS 9 Stage 1/2/3 split is disclosed - the Bank applies FRS 102/IAS 39 incurred-loss impairment with individual, not collective, assessment)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repayment status</t>
        </is>
      </c>
      <c r="B4" s="7" t="n"/>
      <c r="C4" s="7" t="n"/>
      <c r="D4" s="7" t="n"/>
      <c r="E4" s="7" t="n"/>
      <c r="F4" s="7" t="n"/>
    </row>
    <row r="5">
      <c r="A5" s="7" t="inlineStr">
        <is>
          <t>Impaired</t>
        </is>
      </c>
      <c r="B5" s="7" t="n"/>
      <c r="C5" s="7" t="n">
        <v>238799</v>
      </c>
      <c r="D5" s="7" t="n">
        <v>238844</v>
      </c>
      <c r="E5" s="7" t="n">
        <v>238799</v>
      </c>
      <c r="F5" s="7" t="n">
        <v>238799</v>
      </c>
    </row>
    <row r="6">
      <c r="A6" s="7" t="inlineStr">
        <is>
          <t>Past due</t>
        </is>
      </c>
      <c r="B6" s="7" t="n"/>
      <c r="C6" s="7" t="n">
        <v>2301049</v>
      </c>
      <c r="D6" s="7" t="n">
        <v>1086023</v>
      </c>
      <c r="E6" s="7" t="n"/>
      <c r="F6" s="7" t="n">
        <v>369139</v>
      </c>
    </row>
    <row r="7">
      <c r="A7" s="7" t="inlineStr">
        <is>
          <t>Within three months</t>
        </is>
      </c>
      <c r="B7" s="7" t="n">
        <v>836250</v>
      </c>
      <c r="C7" s="7" t="n">
        <v>304461</v>
      </c>
      <c r="D7" s="7" t="n">
        <v>1150339</v>
      </c>
      <c r="E7" s="7" t="n">
        <v>546367</v>
      </c>
      <c r="F7" s="7" t="n">
        <v>1707498</v>
      </c>
    </row>
    <row r="8">
      <c r="A8" s="7" t="inlineStr">
        <is>
          <t>Between three months and one year</t>
        </is>
      </c>
      <c r="B8" s="7" t="n">
        <v>4944742</v>
      </c>
      <c r="C8" s="7" t="n">
        <v>5264412</v>
      </c>
      <c r="D8" s="7" t="n">
        <v>4761704</v>
      </c>
      <c r="E8" s="7" t="n">
        <v>13476280</v>
      </c>
      <c r="F8" s="7" t="n">
        <v>2441092</v>
      </c>
    </row>
    <row r="9">
      <c r="A9" s="7" t="inlineStr">
        <is>
          <t>Between one and five years</t>
        </is>
      </c>
      <c r="B9" s="7" t="n">
        <v>4293397</v>
      </c>
      <c r="C9" s="7" t="n">
        <v>5562209</v>
      </c>
      <c r="D9" s="7" t="n">
        <v>2157082</v>
      </c>
      <c r="E9" s="7" t="n">
        <v>4459553</v>
      </c>
      <c r="F9" s="7" t="n">
        <v>4116289</v>
      </c>
    </row>
    <row r="10">
      <c r="A10" s="7" t="inlineStr">
        <is>
          <t>Over five years</t>
        </is>
      </c>
      <c r="B10" s="7" t="n">
        <v>1169507</v>
      </c>
      <c r="C10" s="7" t="n"/>
      <c r="D10" s="7" t="n"/>
      <c r="E10" s="7" t="n"/>
      <c r="F10" s="7" t="n"/>
    </row>
    <row r="11">
      <c r="A11" s="5" t="inlineStr">
        <is>
          <t>Total before impairment provision</t>
        </is>
      </c>
      <c r="B11" s="5" t="n">
        <v>11243896</v>
      </c>
      <c r="C11" s="5" t="n">
        <v>13671230</v>
      </c>
      <c r="D11" s="5" t="n">
        <v>9393992</v>
      </c>
      <c r="E11" s="5" t="n">
        <v>18720999</v>
      </c>
      <c r="F11" s="5" t="n">
        <v>8872817</v>
      </c>
    </row>
    <row r="12">
      <c r="A12" s="7" t="inlineStr">
        <is>
          <t>Impairment losses on loans and advances</t>
        </is>
      </c>
      <c r="B12" s="7" t="n">
        <v>-852785</v>
      </c>
      <c r="C12" s="7" t="n">
        <v>-1242299</v>
      </c>
      <c r="D12" s="7" t="n">
        <v>-401685</v>
      </c>
      <c r="E12" s="7" t="n">
        <v>-238799</v>
      </c>
      <c r="F12" s="7" t="n">
        <v>-238799</v>
      </c>
    </row>
    <row r="13">
      <c r="A13" s="5" t="inlineStr">
        <is>
          <t>Total after impairment provision</t>
        </is>
      </c>
      <c r="B13" s="5" t="n">
        <v>10391111</v>
      </c>
      <c r="C13" s="5" t="n">
        <v>12428931</v>
      </c>
      <c r="D13" s="5" t="n">
        <v>8992307</v>
      </c>
      <c r="E13" s="5" t="n">
        <v>18482200</v>
      </c>
      <c r="F13" s="5" t="n">
        <v>8634018</v>
      </c>
    </row>
    <row r="14">
      <c r="A14" s="5" t="inlineStr">
        <is>
          <t>Impairment allowance roll-forward</t>
        </is>
      </c>
      <c r="B14" s="7" t="n"/>
      <c r="C14" s="7" t="n"/>
      <c r="D14" s="7" t="n"/>
      <c r="E14" s="7" t="n"/>
      <c r="F14" s="7" t="n"/>
    </row>
    <row r="15">
      <c r="A15" s="7" t="inlineStr">
        <is>
          <t>As at 1 January</t>
        </is>
      </c>
      <c r="B15" s="7" t="n">
        <v>1242299</v>
      </c>
      <c r="C15" s="7" t="n">
        <v>401685</v>
      </c>
      <c r="D15" s="7" t="n">
        <v>238799</v>
      </c>
      <c r="E15" s="7" t="n">
        <v>238799</v>
      </c>
      <c r="F15" s="7" t="n">
        <v>238799</v>
      </c>
    </row>
    <row r="16">
      <c r="A16" s="7" t="inlineStr">
        <is>
          <t>Provision (charge)/release for the year</t>
        </is>
      </c>
      <c r="B16" s="7" t="n">
        <v>-150716</v>
      </c>
      <c r="C16" s="7" t="n">
        <v>840614</v>
      </c>
      <c r="D16" s="7" t="n">
        <v>162886</v>
      </c>
      <c r="E16" s="7" t="n"/>
      <c r="F16" s="7" t="n"/>
    </row>
    <row r="17">
      <c r="A17" s="7" t="inlineStr">
        <is>
          <t>Write-off</t>
        </is>
      </c>
      <c r="B17" s="7" t="n">
        <v>-238798</v>
      </c>
      <c r="C17" s="7" t="n"/>
      <c r="D17" s="7" t="n"/>
      <c r="E17" s="7" t="n"/>
      <c r="F17" s="7" t="n"/>
    </row>
    <row r="18">
      <c r="A18" s="5" t="inlineStr">
        <is>
          <t>As at 31 December</t>
        </is>
      </c>
      <c r="B18" s="5" t="n">
        <v>852785</v>
      </c>
      <c r="C18" s="5" t="n">
        <v>1242299</v>
      </c>
      <c r="D18" s="5" t="n">
        <v>401685</v>
      </c>
      <c r="E18" s="5" t="n">
        <v>238799</v>
      </c>
      <c r="F18" s="5" t="n">
        <v>238799</v>
      </c>
    </row>
    <row r="19">
      <c r="A19" s="5" t="inlineStr">
        <is>
          <t>Asset quality ratios (derived)</t>
        </is>
      </c>
      <c r="B19" s="7" t="n"/>
      <c r="C19" s="7" t="n"/>
      <c r="D19" s="7" t="n"/>
      <c r="E19" s="7" t="n"/>
      <c r="F19" s="7" t="n"/>
    </row>
    <row r="20">
      <c r="A20" s="7" t="inlineStr">
        <is>
          <t>Non-performing / impaired-or-past-due loans, as disclosed</t>
        </is>
      </c>
      <c r="B20" s="7" t="n">
        <v>4852633</v>
      </c>
      <c r="C20" s="7" t="n">
        <v>2539848</v>
      </c>
      <c r="D20" s="7" t="n">
        <v>1324822</v>
      </c>
      <c r="E20" s="7" t="n">
        <v>238799</v>
      </c>
      <c r="F20" s="7" t="n">
        <v>607938</v>
      </c>
    </row>
    <row r="21">
      <c r="A21" s="7" t="inlineStr">
        <is>
          <t>Impairment coverage ratio (impairment / total before provision)</t>
        </is>
      </c>
      <c r="B21" s="7" t="inlineStr">
        <is>
          <t>7.58%</t>
        </is>
      </c>
      <c r="C21" s="7" t="inlineStr">
        <is>
          <t>9.09%</t>
        </is>
      </c>
      <c r="D21" s="7" t="inlineStr">
        <is>
          <t>4.28%</t>
        </is>
      </c>
      <c r="E21" s="7" t="inlineStr">
        <is>
          <t>1.28%</t>
        </is>
      </c>
      <c r="F21" s="7" t="inlineStr">
        <is>
          <t>2.69%</t>
        </is>
      </c>
    </row>
    <row r="23" ht="280" customHeight="1">
      <c r="A23" s="8" t="inlineStr">
        <is>
          <t>Sources - Havin Bank Limited's own 'Loans and advances to customers' note (each year's own primary presentation) from its Companies House-filed Annual Report and Financial Statements:
FY2025/FY2024: Annual Report FY2025, Note 10, p.30 - https://find-and-update.company-information.service.gov.uk/company/01074897/filing-history/MzUzNzM1MjkyOGFkaXF6a2N4/document?format=pdf&amp;download=0
FY2023/FY2022: Annual Report FY2023, Note 10, p.34 - https://find-and-update.company-information.service.gov.uk/company/01074897/filing-history/MzQ0MDMxMDc4MGFkaXF6a2N4/document?format=pdf&amp;download=0
FY2021: Annual Report FY2021, Note 9, p.29 -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The Bank applies FRS 102/IAS 39 incurred-loss impairment (individually-assessed, no collective provision, no IFRS 9 Stage 1/2/3 split disclosed in any year) - shown here by repayment-status band (impaired / past due / by maturity) rather than by IFRS 9 stage, matching the Bank's own disclosure basis throughout. 'Over five years' only appears as its own band in FY2025 - not disclosed as a separate band in any earlier year (folded into 'between one and 5 years' previously, per the Bank's own note wording). The disclosed 'impaired or past due loans' figure each year is not a single consistently-labelled line across all 5 years - FY2024/FY2025 call it 'non-performing loans' explicitly, FY2021-FY2023 the narrative text only ('the amount of impaired or past due loans to customers is...') - both variants are the same underlying disclosure and are shown here on one consistent 'Non-performing / impaired-or-past-due loans, as disclosed' row.</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Havin Bank Limited — RWA Breakdown</t>
        </is>
      </c>
    </row>
    <row r="2">
      <c r="A2" s="2" t="inlineStr">
        <is>
          <t>Not publicly disclosed - confirmed (Bank states disclosures are "available on request"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Not publicly disclosed</t>
        </is>
      </c>
      <c r="B4" s="7" t="n"/>
      <c r="C4" s="7" t="n"/>
      <c r="D4" s="7" t="n"/>
      <c r="E4" s="7" t="n"/>
      <c r="F4" s="7" t="n"/>
    </row>
    <row r="6" ht="28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2026-09-15T16:47:44Z</dcterms:created>
  <dcterms:modified xmlns:dcterms="http://purl.org/dc/terms/" xmlns:xsi="http://www.w3.org/2001/XMLSchema-instance" xsi:type="dcterms:W3CDTF">2026-09-15T16:47:44Z</dcterms:modified>
</cp:coreProperties>
</file>