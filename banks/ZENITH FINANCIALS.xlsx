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Zenith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Zenith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'Overview'!AO12</f>
            </strRef>
          </tx>
          <spPr>
            <a:ln xmlns:a="http://schemas.openxmlformats.org/drawingml/2006/main">
              <a:prstDash val="solid"/>
            </a:ln>
          </spPr>
          <cat>
            <numRef>
              <f>'Overview'!$AP$11:$BF$11</f>
            </numRef>
          </cat>
          <val>
            <numRef>
              <f>'Overview'!$AP$12:$BF$12</f>
            </numRef>
          </val>
        </ser>
        <ser>
          <idx val="1"/>
          <order val="1"/>
          <tx>
            <strRef>
              <f>'Overview'!AO13</f>
            </strRef>
          </tx>
          <spPr>
            <a:ln xmlns:a="http://schemas.openxmlformats.org/drawingml/2006/main">
              <a:prstDash val="solid"/>
            </a:ln>
          </spPr>
          <cat>
            <numRef>
              <f>'Overview'!$AP$11:$BF$11</f>
            </numRef>
          </cat>
          <val>
            <numRef>
              <f>'Overview'!$AP$13:$BF$13</f>
            </numRef>
          </val>
        </ser>
        <ser>
          <idx val="2"/>
          <order val="2"/>
          <tx>
            <strRef>
              <f>'Overview'!AO14</f>
            </strRef>
          </tx>
          <spPr>
            <a:ln xmlns:a="http://schemas.openxmlformats.org/drawingml/2006/main">
              <a:prstDash val="solid"/>
            </a:ln>
          </spPr>
          <cat>
            <numRef>
              <f>'Overview'!$AP$11:$BF$11</f>
            </numRef>
          </cat>
          <val>
            <numRef>
              <f>'Overview'!$AP$14:$BF$14</f>
            </numRef>
          </val>
        </ser>
        <ser>
          <idx val="3"/>
          <order val="3"/>
          <tx>
            <strRef>
              <f>'Overview'!AO15</f>
            </strRef>
          </tx>
          <spPr>
            <a:ln xmlns:a="http://schemas.openxmlformats.org/drawingml/2006/main">
              <a:prstDash val="solid"/>
            </a:ln>
          </spPr>
          <cat>
            <numRef>
              <f>'Overview'!$AP$11:$BF$11</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Zenith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'Overview'!$BJ$18:$BU$18</f>
            </numRef>
          </cat>
          <val>
            <numRef>
              <f>'Overview'!$BJ$19:$BU$19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Zenith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'Overview'!BX23</f>
            </strRef>
          </tx>
          <spPr>
            <a:ln xmlns:a="http://schemas.openxmlformats.org/drawingml/2006/main">
              <a:prstDash val="solid"/>
            </a:ln>
          </spPr>
          <cat>
            <numRef>
              <f>'Overview'!$BY$22:$CL$22</f>
            </numRef>
          </cat>
          <val>
            <numRef>
              <f>'Overview'!$BY$23:$CL$23</f>
            </numRef>
          </val>
        </ser>
        <ser>
          <idx val="1"/>
          <order val="1"/>
          <tx>
            <strRef>
              <f>'Overview'!BX24</f>
            </strRef>
          </tx>
          <spPr>
            <a:ln xmlns:a="http://schemas.openxmlformats.org/drawingml/2006/main">
              <a:prstDash val="solid"/>
            </a:ln>
          </spPr>
          <cat>
            <numRef>
              <f>'Overview'!$BY$22:$CL$22</f>
            </numRef>
          </cat>
          <val>
            <numRef>
              <f>'Overview'!$BY$24:$CL$24</f>
            </numRef>
          </val>
        </ser>
        <ser>
          <idx val="2"/>
          <order val="2"/>
          <tx>
            <strRef>
              <f>'Overview'!BX25</f>
            </strRef>
          </tx>
          <spPr>
            <a:ln xmlns:a="http://schemas.openxmlformats.org/drawingml/2006/main">
              <a:prstDash val="solid"/>
            </a:ln>
          </spPr>
          <cat>
            <numRef>
              <f>'Overview'!$BY$22:$CL$22</f>
            </numRef>
          </cat>
          <val>
            <numRef>
              <f>'Overview'!$BY$25:$CL$25</f>
            </numRef>
          </val>
        </ser>
        <ser>
          <idx val="3"/>
          <order val="3"/>
          <tx>
            <strRef>
              <f>'Overview'!BX26</f>
            </strRef>
          </tx>
          <spPr>
            <a:ln xmlns:a="http://schemas.openxmlformats.org/drawingml/2006/main">
              <a:prstDash val="solid"/>
            </a:ln>
          </spPr>
          <cat>
            <numRef>
              <f>'Overview'!$BY$22:$CL$22</f>
            </numRef>
          </cat>
          <val>
            <numRef>
              <f>'Overview'!$BY$26:$CL$26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Zenith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'Overview'!CO6</f>
            </strRef>
          </tx>
          <spPr>
            <a:ln xmlns:a="http://schemas.openxmlformats.org/drawingml/2006/main">
              <a:prstDash val="solid"/>
            </a:ln>
          </spPr>
          <marker>
            <symbol val="none"/>
            <spPr>
              <a:ln xmlns:a="http://schemas.openxmlformats.org/drawingml/2006/main">
                <a:prstDash val="solid"/>
              </a:ln>
            </spPr>
          </marker>
          <cat>
            <numRef>
              <f>'Overview'!$CP$5:$DA$5</f>
            </numRef>
          </cat>
          <val>
            <numRef>
              <f>'Overview'!$CP$6:$DA$6</f>
            </numRef>
          </val>
          <smooth val="0"/>
        </ser>
        <ser>
          <idx val="1"/>
          <order val="1"/>
          <tx>
            <strRef>
              <f>'Overview'!CO7</f>
            </strRef>
          </tx>
          <spPr>
            <a:ln xmlns:a="http://schemas.openxmlformats.org/drawingml/2006/main">
              <a:prstDash val="solid"/>
            </a:ln>
          </spPr>
          <marker>
            <symbol val="none"/>
            <spPr>
              <a:ln xmlns:a="http://schemas.openxmlformats.org/drawingml/2006/main">
                <a:prstDash val="solid"/>
              </a:ln>
            </spPr>
          </marker>
          <cat>
            <numRef>
              <f>'Overview'!$CP$5:$DA$5</f>
            </numRef>
          </cat>
          <val>
            <numRef>
              <f>'Overview'!$CP$7:$DA$7</f>
            </numRef>
          </val>
          <smooth val="0"/>
        </ser>
        <ser>
          <idx val="2"/>
          <order val="2"/>
          <tx>
            <strRef>
              <f>'Overview'!CO8</f>
            </strRef>
          </tx>
          <spPr>
            <a:ln xmlns:a="http://schemas.openxmlformats.org/drawingml/2006/main">
              <a:prstDash val="solid"/>
            </a:ln>
          </spPr>
          <marker>
            <symbol val="none"/>
            <spPr>
              <a:ln xmlns:a="http://schemas.openxmlformats.org/drawingml/2006/main">
                <a:prstDash val="solid"/>
              </a:ln>
            </spPr>
          </marker>
          <cat>
            <numRef>
              <f>'Overview'!$CP$5:$DA$5</f>
            </numRef>
          </cat>
          <val>
            <numRef>
              <f>'Overview'!$CP$8:$DA$8</f>
            </numRef>
          </val>
          <smooth val="0"/>
        </ser>
        <ser>
          <idx val="3"/>
          <order val="3"/>
          <tx>
            <strRef>
              <f>'Overview'!CO9</f>
            </strRef>
          </tx>
          <spPr>
            <a:ln xmlns:a="http://schemas.openxmlformats.org/drawingml/2006/main">
              <a:prstDash val="solid"/>
            </a:ln>
          </spPr>
          <marker>
            <symbol val="none"/>
            <spPr>
              <a:ln xmlns:a="http://schemas.openxmlformats.org/drawingml/2006/main">
                <a:prstDash val="solid"/>
              </a:ln>
            </spPr>
          </marker>
          <cat>
            <numRef>
              <f>'Overview'!$CP$5:$DA$5</f>
            </numRef>
          </cat>
          <val>
            <numRef>
              <f>'Overview'!$CP$9:$DA$9</f>
            </numRef>
          </val>
          <smooth val="0"/>
        </ser>
        <ser>
          <idx val="4"/>
          <order val="4"/>
          <tx>
            <strRef>
              <f>'Overview'!CO10</f>
            </strRef>
          </tx>
          <spPr>
            <a:ln xmlns:a="http://schemas.openxmlformats.org/drawingml/2006/main">
              <a:prstDash val="solid"/>
            </a:ln>
          </spPr>
          <marker>
            <symbol val="none"/>
            <spPr>
              <a:ln xmlns:a="http://schemas.openxmlformats.org/drawingml/2006/main">
                <a:prstDash val="solid"/>
              </a:ln>
            </spPr>
          </marker>
          <cat>
            <numRef>
              <f>'Overview'!$CP$5:$DA$5</f>
            </numRef>
          </cat>
          <val>
            <numRef>
              <f>'Overview'!$CP$10:$DA$10</f>
            </numRef>
          </val>
          <smooth val="0"/>
        </ser>
        <ser>
          <idx val="5"/>
          <order val="5"/>
          <tx>
            <strRef>
              <f>'Overview'!CO11</f>
            </strRef>
          </tx>
          <spPr>
            <a:ln xmlns:a="http://schemas.openxmlformats.org/drawingml/2006/main">
              <a:prstDash val="solid"/>
            </a:ln>
          </spPr>
          <marker>
            <symbol val="none"/>
            <spPr>
              <a:ln xmlns:a="http://schemas.openxmlformats.org/drawingml/2006/main">
                <a:prstDash val="solid"/>
              </a:ln>
            </spPr>
          </marker>
          <cat>
            <numRef>
              <f>'Overview'!$CP$5:$DA$5</f>
            </numRef>
          </cat>
          <val>
            <numRef>
              <f>'Overview'!$CP$11:$DA$11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A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s>
  <sheetData>
    <row r="1">
      <c r="A1" s="1" t="inlineStr">
        <is>
          <t>Zenith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P5" t="inlineStr">
        <is>
          <t>FY2014</t>
        </is>
      </c>
      <c r="CQ5" t="inlineStr">
        <is>
          <t>FY2015</t>
        </is>
      </c>
      <c r="CR5" t="inlineStr">
        <is>
          <t>FY2016</t>
        </is>
      </c>
      <c r="CS5" t="inlineStr">
        <is>
          <t>FY2017</t>
        </is>
      </c>
      <c r="CT5" t="inlineStr">
        <is>
          <t>FY2018</t>
        </is>
      </c>
      <c r="CU5" t="inlineStr">
        <is>
          <t>FY2019</t>
        </is>
      </c>
      <c r="CV5" t="inlineStr">
        <is>
          <t>FY2020</t>
        </is>
      </c>
      <c r="CW5" t="inlineStr">
        <is>
          <t>FY2021</t>
        </is>
      </c>
      <c r="CX5" t="inlineStr">
        <is>
          <t>FY2022</t>
        </is>
      </c>
      <c r="CY5" t="inlineStr">
        <is>
          <t>FY2023</t>
        </is>
      </c>
      <c r="CZ5" t="inlineStr">
        <is>
          <t>FY2024</t>
        </is>
      </c>
      <c r="DA5" t="inlineStr">
        <is>
          <t>FY2025</t>
        </is>
      </c>
    </row>
    <row r="6">
      <c r="A6" s="5" t="inlineStr">
        <is>
          <t>Total assets</t>
        </is>
      </c>
      <c r="B6" s="5" t="n">
        <v>2226937.9</v>
      </c>
      <c r="C6" s="5" t="n">
        <v>2116703.1</v>
      </c>
      <c r="D6" s="5" t="n">
        <v>2089290.6</v>
      </c>
      <c r="E6" s="5" t="n">
        <v>2591520.9</v>
      </c>
      <c r="F6" s="5" t="n">
        <v>2130359.2</v>
      </c>
      <c r="G6" s="5" t="n">
        <v>1688935.5</v>
      </c>
      <c r="H6" s="5" t="n">
        <v>1280524.6</v>
      </c>
      <c r="I6" s="5" t="n">
        <v>1491256.9</v>
      </c>
      <c r="J6" s="5" t="n">
        <v>1240386.5</v>
      </c>
      <c r="K6" s="5" t="n">
        <v>1072445.7</v>
      </c>
      <c r="L6" s="5" t="n">
        <v>778818.5</v>
      </c>
      <c r="M6" s="5" t="n">
        <v>1025768.3</v>
      </c>
      <c r="N6" s="5" t="n">
        <v>849996.5</v>
      </c>
      <c r="O6" s="5" t="n">
        <v>611063.7</v>
      </c>
      <c r="P6" s="5" t="n">
        <v>497041.9</v>
      </c>
      <c r="Q6" s="5" t="n">
        <v>409845.5</v>
      </c>
      <c r="R6" s="5" t="n">
        <v>430644.9</v>
      </c>
      <c r="U6" t="inlineStr">
        <is>
          <t>Total assets</t>
        </is>
      </c>
      <c r="V6" t="n">
        <v>430644.9</v>
      </c>
      <c r="W6" t="n">
        <v>409845.5</v>
      </c>
      <c r="X6" t="n">
        <v>497041.9</v>
      </c>
      <c r="Y6" t="n">
        <v>611063.7</v>
      </c>
      <c r="Z6" t="n">
        <v>849996.5</v>
      </c>
      <c r="AA6" t="n">
        <v>1025768.3</v>
      </c>
      <c r="AB6" t="n">
        <v>778818.5</v>
      </c>
      <c r="AC6" t="n">
        <v>1072445.7</v>
      </c>
      <c r="AD6" t="n">
        <v>1240386.5</v>
      </c>
      <c r="AE6" t="n">
        <v>1491256.9</v>
      </c>
      <c r="AF6" t="n">
        <v>1280524.6</v>
      </c>
      <c r="AG6" t="n">
        <v>1688935.5</v>
      </c>
      <c r="AH6" t="n">
        <v>2130359.2</v>
      </c>
      <c r="AI6" t="n">
        <v>2591520.9</v>
      </c>
      <c r="AJ6" t="n">
        <v>2089290.6</v>
      </c>
      <c r="AK6" t="n">
        <v>2116703.1</v>
      </c>
      <c r="AL6" t="n">
        <v>2226937.9</v>
      </c>
      <c r="CO6" t="inlineStr">
        <is>
          <t>CET1 Ratio</t>
        </is>
      </c>
      <c r="CP6" t="n">
        <v>22.32</v>
      </c>
      <c r="CQ6" t="n">
        <v>20.38</v>
      </c>
      <c r="CS6" t="n">
        <v>35.53</v>
      </c>
      <c r="CT6" t="n">
        <v>32.38</v>
      </c>
      <c r="CV6" t="n">
        <v>28.29</v>
      </c>
      <c r="CW6" t="n">
        <v>20.78</v>
      </c>
      <c r="CX6" t="n">
        <v>25.84</v>
      </c>
      <c r="CY6" t="n">
        <v>28.95</v>
      </c>
      <c r="CZ6" t="n">
        <v>25.64</v>
      </c>
      <c r="DA6" t="n">
        <v>23.4</v>
      </c>
    </row>
    <row r="7">
      <c r="A7" s="5" t="inlineStr">
        <is>
          <t>Total liabilities</t>
        </is>
      </c>
      <c r="B7" s="5" t="n">
        <v>1902851.7</v>
      </c>
      <c r="C7" s="5" t="n">
        <v>1811346.9</v>
      </c>
      <c r="D7" s="5" t="n">
        <v>1825371.8</v>
      </c>
      <c r="E7" s="5" t="n">
        <v>2353937.2</v>
      </c>
      <c r="F7" s="5" t="n">
        <v>1927464.8</v>
      </c>
      <c r="G7" s="5" t="n">
        <v>1487212.9</v>
      </c>
      <c r="H7" s="5" t="n">
        <v>1088116.9</v>
      </c>
      <c r="I7" s="5" t="n">
        <v>1314749.8</v>
      </c>
      <c r="J7" s="5" t="n">
        <v>1087324.1</v>
      </c>
      <c r="K7" s="5" t="n">
        <v>915444.6</v>
      </c>
      <c r="L7" s="5" t="n">
        <v>650253.4</v>
      </c>
      <c r="M7" s="5" t="n">
        <v>907113.5</v>
      </c>
      <c r="N7" s="5" t="n">
        <v>775487.5</v>
      </c>
      <c r="O7" s="5" t="n">
        <v>544227.6</v>
      </c>
      <c r="P7" s="5" t="n">
        <v>453417.1</v>
      </c>
      <c r="Q7" s="5" t="n">
        <v>369843.2</v>
      </c>
      <c r="R7" s="5" t="n">
        <v>393259.7</v>
      </c>
      <c r="U7" t="inlineStr">
        <is>
          <t>Total liabilities</t>
        </is>
      </c>
      <c r="V7" t="n">
        <v>393259.7</v>
      </c>
      <c r="W7" t="n">
        <v>369843.2</v>
      </c>
      <c r="X7" t="n">
        <v>453417.1</v>
      </c>
      <c r="Y7" t="n">
        <v>544227.6</v>
      </c>
      <c r="Z7" t="n">
        <v>775487.5</v>
      </c>
      <c r="AA7" t="n">
        <v>907113.5</v>
      </c>
      <c r="AB7" t="n">
        <v>650253.4</v>
      </c>
      <c r="AC7" t="n">
        <v>915444.6</v>
      </c>
      <c r="AD7" t="n">
        <v>1087324.1</v>
      </c>
      <c r="AE7" t="n">
        <v>1314749.8</v>
      </c>
      <c r="AF7" t="n">
        <v>1088116.9</v>
      </c>
      <c r="AG7" t="n">
        <v>1487212.9</v>
      </c>
      <c r="AH7" t="n">
        <v>1927464.8</v>
      </c>
      <c r="AI7" t="n">
        <v>2353937.2</v>
      </c>
      <c r="AJ7" t="n">
        <v>1825371.8</v>
      </c>
      <c r="AK7" t="n">
        <v>1811346.9</v>
      </c>
      <c r="AL7" t="n">
        <v>1902851.7</v>
      </c>
      <c r="CO7" t="inlineStr">
        <is>
          <t>Tier 1 Ratio</t>
        </is>
      </c>
      <c r="CP7" t="n">
        <v>22.32</v>
      </c>
      <c r="CQ7" t="n">
        <v>20.38</v>
      </c>
      <c r="CS7" t="n">
        <v>35.53</v>
      </c>
      <c r="CT7" t="n">
        <v>32.38</v>
      </c>
      <c r="CV7" t="n">
        <v>28.29</v>
      </c>
      <c r="CW7" t="n">
        <v>20.78</v>
      </c>
      <c r="CX7" t="n">
        <v>25.84</v>
      </c>
      <c r="CY7" t="n">
        <v>28.95</v>
      </c>
      <c r="CZ7" t="n">
        <v>25.64</v>
      </c>
      <c r="DA7" t="n">
        <v>23.4</v>
      </c>
    </row>
    <row r="8">
      <c r="A8" s="5" t="inlineStr">
        <is>
          <t>Total equity</t>
        </is>
      </c>
      <c r="B8" s="5" t="n">
        <v>324086.2</v>
      </c>
      <c r="C8" s="5" t="n">
        <v>305356.2</v>
      </c>
      <c r="D8" s="5" t="n">
        <v>263918.8</v>
      </c>
      <c r="E8" s="5" t="n">
        <v>237583.7</v>
      </c>
      <c r="F8" s="5" t="n">
        <v>202894.4</v>
      </c>
      <c r="G8" s="5" t="n">
        <v>201722.6</v>
      </c>
      <c r="H8" s="5" t="n">
        <v>192407.7</v>
      </c>
      <c r="I8" s="5" t="n">
        <v>176507.1</v>
      </c>
      <c r="J8" s="5" t="n">
        <v>153062.4</v>
      </c>
      <c r="K8" s="5" t="n">
        <v>157001.1</v>
      </c>
      <c r="L8" s="5" t="n">
        <v>128565.1</v>
      </c>
      <c r="M8" s="5" t="n">
        <v>118654.9</v>
      </c>
      <c r="N8" s="5" t="n">
        <v>74509</v>
      </c>
      <c r="O8" s="5" t="n">
        <v>66836.10000000001</v>
      </c>
      <c r="P8" s="5" t="n">
        <v>43624.8</v>
      </c>
      <c r="Q8" s="5" t="n">
        <v>40002.3</v>
      </c>
      <c r="R8" s="5" t="n">
        <v>37385.2</v>
      </c>
      <c r="U8" t="inlineStr">
        <is>
          <t>Total equity</t>
        </is>
      </c>
      <c r="V8" t="n">
        <v>37385.2</v>
      </c>
      <c r="W8" t="n">
        <v>40002.3</v>
      </c>
      <c r="X8" t="n">
        <v>43624.8</v>
      </c>
      <c r="Y8" t="n">
        <v>66836.10000000001</v>
      </c>
      <c r="Z8" t="n">
        <v>74509</v>
      </c>
      <c r="AA8" t="n">
        <v>118654.9</v>
      </c>
      <c r="AB8" t="n">
        <v>128565.1</v>
      </c>
      <c r="AC8" t="n">
        <v>157001.1</v>
      </c>
      <c r="AD8" t="n">
        <v>153062.4</v>
      </c>
      <c r="AE8" t="n">
        <v>176507.1</v>
      </c>
      <c r="AF8" t="n">
        <v>192407.7</v>
      </c>
      <c r="AG8" t="n">
        <v>201722.6</v>
      </c>
      <c r="AH8" t="n">
        <v>202894.4</v>
      </c>
      <c r="AI8" t="n">
        <v>237583.7</v>
      </c>
      <c r="AJ8" t="n">
        <v>263918.8</v>
      </c>
      <c r="AK8" t="n">
        <v>305356.2</v>
      </c>
      <c r="AL8" t="n">
        <v>324086.2</v>
      </c>
      <c r="CO8" t="inlineStr">
        <is>
          <t>Total Capital Ratio</t>
        </is>
      </c>
      <c r="CP8" t="n">
        <v>22.32</v>
      </c>
      <c r="CQ8" t="n">
        <v>20.38</v>
      </c>
      <c r="CS8" t="n">
        <v>35.53</v>
      </c>
      <c r="CT8" t="n">
        <v>32.38</v>
      </c>
      <c r="CV8" t="n">
        <v>28.29</v>
      </c>
      <c r="CW8" t="n">
        <v>20.78</v>
      </c>
      <c r="CX8" t="n">
        <v>25.84</v>
      </c>
      <c r="CY8" t="n">
        <v>28.95</v>
      </c>
      <c r="CZ8" t="n">
        <v>25.64</v>
      </c>
      <c r="DA8" t="n">
        <v>23.4</v>
      </c>
    </row>
    <row r="9">
      <c r="CO9" t="inlineStr">
        <is>
          <t>Leverage Ratio</t>
        </is>
      </c>
      <c r="CV9" t="n">
        <v>10.68</v>
      </c>
      <c r="CW9" t="n">
        <v>8.359999999999999</v>
      </c>
      <c r="CX9" t="n">
        <v>7.32</v>
      </c>
      <c r="CY9" t="n">
        <v>9.76</v>
      </c>
      <c r="CZ9" t="n">
        <v>11.25</v>
      </c>
      <c r="DA9" t="n">
        <v>12.08</v>
      </c>
    </row>
    <row r="10">
      <c r="A10" s="3" t="inlineStr">
        <is>
          <t>Profit &amp; Loss Summary (£'000)</t>
        </is>
      </c>
      <c r="CO10" t="inlineStr">
        <is>
          <t>LCR</t>
        </is>
      </c>
      <c r="CX10" t="n">
        <v>343</v>
      </c>
      <c r="CY10" t="n">
        <v>310</v>
      </c>
      <c r="CZ10" t="n">
        <v>330.42</v>
      </c>
      <c r="DA10" t="n">
        <v>270.19</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M11" s="4" t="inlineStr">
        <is>
          <t>FY2014</t>
        </is>
      </c>
      <c r="N11" s="4" t="inlineStr">
        <is>
          <t>FY2013</t>
        </is>
      </c>
      <c r="O11" s="4" t="inlineStr">
        <is>
          <t>FY2012</t>
        </is>
      </c>
      <c r="P11" s="4" t="inlineStr">
        <is>
          <t>FY2011</t>
        </is>
      </c>
      <c r="Q11" s="4" t="inlineStr">
        <is>
          <t>FY2010</t>
        </is>
      </c>
      <c r="R11" s="4" t="inlineStr">
        <is>
          <t>FY2009</t>
        </is>
      </c>
      <c r="AP11" t="inlineStr">
        <is>
          <t>FY2009</t>
        </is>
      </c>
      <c r="AQ11" t="inlineStr">
        <is>
          <t>FY2010</t>
        </is>
      </c>
      <c r="AR11" t="inlineStr">
        <is>
          <t>FY2011</t>
        </is>
      </c>
      <c r="AS11" t="inlineStr">
        <is>
          <t>FY2012</t>
        </is>
      </c>
      <c r="AT11" t="inlineStr">
        <is>
          <t>FY2013</t>
        </is>
      </c>
      <c r="AU11" t="inlineStr">
        <is>
          <t>FY2014</t>
        </is>
      </c>
      <c r="AV11" t="inlineStr">
        <is>
          <t>FY2015</t>
        </is>
      </c>
      <c r="AW11" t="inlineStr">
        <is>
          <t>FY2016</t>
        </is>
      </c>
      <c r="AX11" t="inlineStr">
        <is>
          <t>FY2017</t>
        </is>
      </c>
      <c r="AY11" t="inlineStr">
        <is>
          <t>FY2018</t>
        </is>
      </c>
      <c r="AZ11" t="inlineStr">
        <is>
          <t>FY2019</t>
        </is>
      </c>
      <c r="BA11" t="inlineStr">
        <is>
          <t>FY2020</t>
        </is>
      </c>
      <c r="BB11" t="inlineStr">
        <is>
          <t>FY2021</t>
        </is>
      </c>
      <c r="BC11" t="inlineStr">
        <is>
          <t>FY2022</t>
        </is>
      </c>
      <c r="BD11" t="inlineStr">
        <is>
          <t>FY2023</t>
        </is>
      </c>
      <c r="BE11" t="inlineStr">
        <is>
          <t>FY2024</t>
        </is>
      </c>
      <c r="BF11" t="inlineStr">
        <is>
          <t>FY2025</t>
        </is>
      </c>
      <c r="CO11" t="inlineStr">
        <is>
          <t>NSFR</t>
        </is>
      </c>
      <c r="CX11" t="n">
        <v>124</v>
      </c>
      <c r="CY11" t="n">
        <v>143</v>
      </c>
      <c r="CZ11" t="n">
        <v>147.98</v>
      </c>
      <c r="DA11" t="n">
        <v>138.85</v>
      </c>
    </row>
    <row r="12">
      <c r="A12" s="5" t="inlineStr">
        <is>
          <t>Net interest income</t>
        </is>
      </c>
      <c r="B12" s="5" t="n">
        <v>64348</v>
      </c>
      <c r="C12" s="5" t="n">
        <v>62855</v>
      </c>
      <c r="D12" s="5" t="n">
        <v>77360.5</v>
      </c>
      <c r="E12" s="5" t="n">
        <v>51765.3</v>
      </c>
      <c r="F12" s="5" t="n">
        <v>27807.4</v>
      </c>
      <c r="G12" s="5" t="n">
        <v>28077.3</v>
      </c>
      <c r="H12" s="5" t="n">
        <v>34628.4</v>
      </c>
      <c r="I12" s="5" t="n">
        <v>28962.3</v>
      </c>
      <c r="J12" s="5" t="n">
        <v>21978.3</v>
      </c>
      <c r="K12" s="5" t="n">
        <v>21277.5</v>
      </c>
      <c r="L12" s="5" t="n">
        <v>14592.1</v>
      </c>
      <c r="M12" s="5" t="n">
        <v>14209.2</v>
      </c>
      <c r="N12" s="5" t="n">
        <v>13339</v>
      </c>
      <c r="O12" s="5" t="n">
        <v>7827.1</v>
      </c>
      <c r="P12" s="5" t="n">
        <v>8363.200000000001</v>
      </c>
      <c r="Q12" s="5" t="n">
        <v>6974</v>
      </c>
      <c r="R12" s="5" t="n">
        <v>5915.1</v>
      </c>
      <c r="AO12" t="inlineStr">
        <is>
          <t>Net interest income</t>
        </is>
      </c>
      <c r="AP12" t="n">
        <v>5915.1</v>
      </c>
      <c r="AQ12" t="n">
        <v>6974</v>
      </c>
      <c r="AR12" t="n">
        <v>8363.200000000001</v>
      </c>
      <c r="AS12" t="n">
        <v>7827.1</v>
      </c>
      <c r="AT12" t="n">
        <v>13339</v>
      </c>
      <c r="AU12" t="n">
        <v>14209.2</v>
      </c>
      <c r="AV12" t="n">
        <v>14592.1</v>
      </c>
      <c r="AW12" t="n">
        <v>21277.5</v>
      </c>
      <c r="AX12" t="n">
        <v>21978.3</v>
      </c>
      <c r="AY12" t="n">
        <v>28962.3</v>
      </c>
      <c r="AZ12" t="n">
        <v>34628.4</v>
      </c>
      <c r="BA12" t="n">
        <v>28077.3</v>
      </c>
      <c r="BB12" t="n">
        <v>27807.4</v>
      </c>
      <c r="BC12" t="n">
        <v>51765.3</v>
      </c>
      <c r="BD12" t="n">
        <v>77360.5</v>
      </c>
      <c r="BE12" t="n">
        <v>62855</v>
      </c>
      <c r="BF12" t="n">
        <v>64348</v>
      </c>
    </row>
    <row r="13">
      <c r="A13" s="5" t="inlineStr">
        <is>
          <t>Operating income</t>
        </is>
      </c>
      <c r="B13" s="5" t="n">
        <v>79077.2</v>
      </c>
      <c r="C13" s="5" t="n">
        <v>66720.5</v>
      </c>
      <c r="D13" s="5" t="n">
        <v>85377.89999999999</v>
      </c>
      <c r="E13" s="5" t="n">
        <v>62492.6</v>
      </c>
      <c r="F13" s="5" t="n">
        <v>31947.1</v>
      </c>
      <c r="G13" s="5" t="n">
        <v>38550</v>
      </c>
      <c r="H13" s="5" t="n">
        <v>45518.9</v>
      </c>
      <c r="I13" s="5" t="n">
        <v>37242.3</v>
      </c>
      <c r="J13" s="5" t="n">
        <v>31028.1</v>
      </c>
      <c r="K13" s="5" t="n">
        <v>27568.5</v>
      </c>
      <c r="L13" s="5" t="n">
        <v>21146.7</v>
      </c>
      <c r="M13" s="5" t="n">
        <v>20617.5</v>
      </c>
      <c r="N13" s="5" t="n">
        <v>18433.1</v>
      </c>
      <c r="O13" s="5" t="n">
        <v>14445</v>
      </c>
      <c r="P13" s="5" t="n">
        <v>12050.6</v>
      </c>
      <c r="Q13" s="5" t="n">
        <v>9368.6</v>
      </c>
      <c r="R13" s="5" t="n">
        <v>8647.1</v>
      </c>
      <c r="AO13" t="inlineStr">
        <is>
          <t>Operating income</t>
        </is>
      </c>
      <c r="AP13" t="n">
        <v>8647.1</v>
      </c>
      <c r="AQ13" t="n">
        <v>9368.6</v>
      </c>
      <c r="AR13" t="n">
        <v>12050.6</v>
      </c>
      <c r="AS13" t="n">
        <v>14445</v>
      </c>
      <c r="AT13" t="n">
        <v>18433.1</v>
      </c>
      <c r="AU13" t="n">
        <v>20617.5</v>
      </c>
      <c r="AV13" t="n">
        <v>21146.7</v>
      </c>
      <c r="AW13" t="n">
        <v>27568.5</v>
      </c>
      <c r="AX13" t="n">
        <v>31028.1</v>
      </c>
      <c r="AY13" t="n">
        <v>37242.3</v>
      </c>
      <c r="AZ13" t="n">
        <v>45518.9</v>
      </c>
      <c r="BA13" t="n">
        <v>38550</v>
      </c>
      <c r="BB13" t="n">
        <v>31947.1</v>
      </c>
      <c r="BC13" t="n">
        <v>62492.6</v>
      </c>
      <c r="BD13" t="n">
        <v>85377.89999999999</v>
      </c>
      <c r="BE13" t="n">
        <v>66720.5</v>
      </c>
      <c r="BF13" t="n">
        <v>79077.2</v>
      </c>
    </row>
    <row r="14">
      <c r="A14" s="5" t="inlineStr">
        <is>
          <t>Profit before tax</t>
        </is>
      </c>
      <c r="B14" s="5" t="n">
        <v>49007.4</v>
      </c>
      <c r="C14" s="5" t="n">
        <v>44011</v>
      </c>
      <c r="D14" s="5" t="n">
        <v>58520.5</v>
      </c>
      <c r="E14" s="5" t="n">
        <v>36615</v>
      </c>
      <c r="F14" s="5" t="n">
        <v>9915.799999999999</v>
      </c>
      <c r="G14" s="5" t="n">
        <v>17062.6</v>
      </c>
      <c r="H14" s="5" t="n">
        <v>27217.8</v>
      </c>
      <c r="I14" s="5" t="n">
        <v>25376.1</v>
      </c>
      <c r="J14" s="5" t="n">
        <v>12431.7</v>
      </c>
      <c r="K14" s="5" t="n">
        <v>2539.8</v>
      </c>
      <c r="L14" s="5" t="n">
        <v>4645.5</v>
      </c>
      <c r="M14" s="5" t="n">
        <v>11540.9</v>
      </c>
      <c r="N14" s="5" t="n">
        <v>10059.7</v>
      </c>
      <c r="O14" s="5" t="n">
        <v>6928.1</v>
      </c>
      <c r="P14" s="5" t="n">
        <v>5105</v>
      </c>
      <c r="Q14" s="5" t="n">
        <v>3678.2</v>
      </c>
      <c r="R14" s="5" t="n">
        <v>3252.3</v>
      </c>
      <c r="AO14" t="inlineStr">
        <is>
          <t>Profit before tax</t>
        </is>
      </c>
      <c r="AP14" t="n">
        <v>3252.3</v>
      </c>
      <c r="AQ14" t="n">
        <v>3678.2</v>
      </c>
      <c r="AR14" t="n">
        <v>5105</v>
      </c>
      <c r="AS14" t="n">
        <v>6928.1</v>
      </c>
      <c r="AT14" t="n">
        <v>10059.7</v>
      </c>
      <c r="AU14" t="n">
        <v>11540.9</v>
      </c>
      <c r="AV14" t="n">
        <v>4645.5</v>
      </c>
      <c r="AW14" t="n">
        <v>2539.8</v>
      </c>
      <c r="AX14" t="n">
        <v>12431.7</v>
      </c>
      <c r="AY14" t="n">
        <v>25376.1</v>
      </c>
      <c r="AZ14" t="n">
        <v>27217.8</v>
      </c>
      <c r="BA14" t="n">
        <v>17062.6</v>
      </c>
      <c r="BB14" t="n">
        <v>9915.799999999999</v>
      </c>
      <c r="BC14" t="n">
        <v>36615</v>
      </c>
      <c r="BD14" t="n">
        <v>58520.5</v>
      </c>
      <c r="BE14" t="n">
        <v>44011</v>
      </c>
      <c r="BF14" t="n">
        <v>49007.4</v>
      </c>
    </row>
    <row r="15">
      <c r="A15" s="5" t="inlineStr">
        <is>
          <t>Profit for the year</t>
        </is>
      </c>
      <c r="B15" s="5" t="n">
        <v>36752.6</v>
      </c>
      <c r="C15" s="5" t="n">
        <v>33033.4</v>
      </c>
      <c r="D15" s="5" t="n">
        <v>44085.1</v>
      </c>
      <c r="E15" s="5" t="n">
        <v>28474.9</v>
      </c>
      <c r="F15" s="5" t="n">
        <v>8292.700000000001</v>
      </c>
      <c r="G15" s="5" t="n">
        <v>13966</v>
      </c>
      <c r="H15" s="5" t="n">
        <v>21894.4</v>
      </c>
      <c r="I15" s="5" t="n">
        <v>20629.7</v>
      </c>
      <c r="J15" s="5" t="n">
        <v>10583.1</v>
      </c>
      <c r="K15" s="5" t="n">
        <v>1955.6</v>
      </c>
      <c r="L15" s="5" t="n">
        <v>3484.1</v>
      </c>
      <c r="M15" s="5" t="n">
        <v>8742.299999999999</v>
      </c>
      <c r="N15" s="5" t="n">
        <v>7672.9</v>
      </c>
      <c r="O15" s="5" t="n">
        <v>5232</v>
      </c>
      <c r="P15" s="5" t="n">
        <v>3622.5</v>
      </c>
      <c r="Q15" s="5" t="n">
        <v>2617.2</v>
      </c>
      <c r="R15" s="5" t="n">
        <v>2341.7</v>
      </c>
      <c r="AO15" t="inlineStr">
        <is>
          <t>Profit for the year</t>
        </is>
      </c>
      <c r="AP15" t="n">
        <v>2341.7</v>
      </c>
      <c r="AQ15" t="n">
        <v>2617.2</v>
      </c>
      <c r="AR15" t="n">
        <v>3622.5</v>
      </c>
      <c r="AS15" t="n">
        <v>5232</v>
      </c>
      <c r="AT15" t="n">
        <v>7672.9</v>
      </c>
      <c r="AU15" t="n">
        <v>8742.299999999999</v>
      </c>
      <c r="AV15" t="n">
        <v>3484.1</v>
      </c>
      <c r="AW15" t="n">
        <v>1955.6</v>
      </c>
      <c r="AX15" t="n">
        <v>10583.1</v>
      </c>
      <c r="AY15" t="n">
        <v>20629.7</v>
      </c>
      <c r="AZ15" t="n">
        <v>21894.4</v>
      </c>
      <c r="BA15" t="n">
        <v>13966</v>
      </c>
      <c r="BB15" t="n">
        <v>8292.700000000001</v>
      </c>
      <c r="BC15" t="n">
        <v>28474.9</v>
      </c>
      <c r="BD15" t="n">
        <v>44085.1</v>
      </c>
      <c r="BE15" t="n">
        <v>33033.4</v>
      </c>
      <c r="BF15" t="n">
        <v>36752.6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J18" t="inlineStr">
        <is>
          <t>FY2014</t>
        </is>
      </c>
      <c r="BK18" t="inlineStr">
        <is>
          <t>FY2015</t>
        </is>
      </c>
      <c r="BL18" t="inlineStr">
        <is>
          <t>FY2016</t>
        </is>
      </c>
      <c r="BM18" t="inlineStr">
        <is>
          <t>FY2017</t>
        </is>
      </c>
      <c r="BN18" t="inlineStr">
        <is>
          <t>FY2018</t>
        </is>
      </c>
      <c r="BO18" t="inlineStr">
        <is>
          <t>FY2019</t>
        </is>
      </c>
      <c r="BP18" t="inlineStr">
        <is>
          <t>FY2020</t>
        </is>
      </c>
      <c r="BQ18" t="inlineStr">
        <is>
          <t>FY2021</t>
        </is>
      </c>
      <c r="BR18" t="inlineStr">
        <is>
          <t>FY2022</t>
        </is>
      </c>
      <c r="BS18" t="inlineStr">
        <is>
          <t>FY2023</t>
        </is>
      </c>
      <c r="BT18" t="inlineStr">
        <is>
          <t>FY2024</t>
        </is>
      </c>
      <c r="BU18" t="inlineStr">
        <is>
          <t>FY2025</t>
        </is>
      </c>
    </row>
    <row r="19">
      <c r="A19" s="5" t="inlineStr">
        <is>
          <t>Total equity (period end)</t>
        </is>
      </c>
      <c r="B19" s="5" t="n">
        <v>324086.2</v>
      </c>
      <c r="C19" s="5" t="n">
        <v>305356.2</v>
      </c>
      <c r="D19" s="5" t="n">
        <v>263918.8</v>
      </c>
      <c r="E19" s="5" t="n">
        <v>237583.7</v>
      </c>
      <c r="F19" s="5" t="n">
        <v>202894.4</v>
      </c>
      <c r="G19" s="5" t="n">
        <v>201722.6</v>
      </c>
      <c r="H19" s="5" t="n">
        <v>192407.7</v>
      </c>
      <c r="I19" s="5" t="n">
        <v>176507.1</v>
      </c>
      <c r="J19" s="5" t="n">
        <v>153062.4</v>
      </c>
      <c r="K19" s="5" t="n">
        <v>157001.1</v>
      </c>
      <c r="L19" s="5" t="n">
        <v>128565.1</v>
      </c>
      <c r="M19" s="5" t="n">
        <v>118654.9</v>
      </c>
      <c r="BI19" t="inlineStr">
        <is>
          <t>Total equity (period end)</t>
        </is>
      </c>
      <c r="BJ19" t="n">
        <v>118654.9</v>
      </c>
      <c r="BK19" t="n">
        <v>128565.1</v>
      </c>
      <c r="BL19" t="n">
        <v>157001.1</v>
      </c>
      <c r="BM19" t="n">
        <v>153062.4</v>
      </c>
      <c r="BN19" t="n">
        <v>176507.1</v>
      </c>
      <c r="BO19" t="n">
        <v>192407.7</v>
      </c>
      <c r="BP19" t="n">
        <v>201722.6</v>
      </c>
      <c r="BQ19" t="n">
        <v>202894.4</v>
      </c>
      <c r="BR19" t="n">
        <v>237583.7</v>
      </c>
      <c r="BS19" t="n">
        <v>263918.8</v>
      </c>
      <c r="BT19" t="n">
        <v>305356.2</v>
      </c>
      <c r="BU19" t="n">
        <v>324086.2</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N22" s="4" t="inlineStr">
        <is>
          <t>FY2013</t>
        </is>
      </c>
      <c r="O22" s="4" t="inlineStr">
        <is>
          <t>FY2012</t>
        </is>
      </c>
      <c r="BY22" t="inlineStr">
        <is>
          <t>FY2012</t>
        </is>
      </c>
      <c r="BZ22" t="inlineStr">
        <is>
          <t>FY2013</t>
        </is>
      </c>
      <c r="CA22" t="inlineStr">
        <is>
          <t>FY2014</t>
        </is>
      </c>
      <c r="CB22" t="inlineStr">
        <is>
          <t>FY2015</t>
        </is>
      </c>
      <c r="CC22" t="inlineStr">
        <is>
          <t>FY2016</t>
        </is>
      </c>
      <c r="CD22" t="inlineStr">
        <is>
          <t>FY2017</t>
        </is>
      </c>
      <c r="CE22" t="inlineStr">
        <is>
          <t>FY2018</t>
        </is>
      </c>
      <c r="CF22" t="inlineStr">
        <is>
          <t>FY2019</t>
        </is>
      </c>
      <c r="CG22" t="inlineStr">
        <is>
          <t>FY2020</t>
        </is>
      </c>
      <c r="CH22" t="inlineStr">
        <is>
          <t>FY2021</t>
        </is>
      </c>
      <c r="CI22" t="inlineStr">
        <is>
          <t>FY2022</t>
        </is>
      </c>
      <c r="CJ22" t="inlineStr">
        <is>
          <t>FY2023</t>
        </is>
      </c>
      <c r="CK22" t="inlineStr">
        <is>
          <t>FY2024</t>
        </is>
      </c>
      <c r="CL22" t="inlineStr">
        <is>
          <t>FY2025</t>
        </is>
      </c>
    </row>
    <row r="23">
      <c r="A23" s="5" t="inlineStr">
        <is>
          <t>Net cash generated from/(used in) operating activities</t>
        </is>
      </c>
      <c r="B23" s="5" t="n">
        <v>-42275.5</v>
      </c>
      <c r="C23" s="5" t="n">
        <v>162230.1</v>
      </c>
      <c r="D23" s="5" t="n">
        <v>-276726.4</v>
      </c>
      <c r="E23" s="5" t="n">
        <v>-197184.8</v>
      </c>
      <c r="F23" s="5" t="n">
        <v>84381.3</v>
      </c>
      <c r="G23" s="5" t="n">
        <v>207192.8</v>
      </c>
      <c r="H23" s="5" t="n">
        <v>-76511.5</v>
      </c>
      <c r="I23" s="5" t="n">
        <v>-51112.4</v>
      </c>
      <c r="J23" s="5" t="n">
        <v>74286.2</v>
      </c>
      <c r="K23" s="5" t="n">
        <v>225723.4</v>
      </c>
      <c r="L23" s="5" t="n">
        <v>-74876.39999999999</v>
      </c>
      <c r="M23" s="5" t="n">
        <v>80335.5</v>
      </c>
      <c r="N23" s="5" t="n">
        <v>11924.7</v>
      </c>
      <c r="O23" s="5" t="n">
        <v>11157.9</v>
      </c>
      <c r="BX23" t="inlineStr">
        <is>
          <t>Net cash generated from/(used in) operating activities</t>
        </is>
      </c>
      <c r="BY23" t="n">
        <v>11157.9</v>
      </c>
      <c r="BZ23" t="n">
        <v>11924.7</v>
      </c>
      <c r="CA23" t="n">
        <v>80335.5</v>
      </c>
      <c r="CB23" t="n">
        <v>-74876.39999999999</v>
      </c>
      <c r="CC23" t="n">
        <v>225723.4</v>
      </c>
      <c r="CD23" t="n">
        <v>74286.2</v>
      </c>
      <c r="CE23" t="n">
        <v>-51112.4</v>
      </c>
      <c r="CF23" t="n">
        <v>-76511.5</v>
      </c>
      <c r="CG23" t="n">
        <v>207192.8</v>
      </c>
      <c r="CH23" t="n">
        <v>84381.3</v>
      </c>
      <c r="CI23" t="n">
        <v>-197184.8</v>
      </c>
      <c r="CJ23" t="n">
        <v>-276726.4</v>
      </c>
      <c r="CK23" t="n">
        <v>162230.1</v>
      </c>
      <c r="CL23" t="n">
        <v>-42275.5</v>
      </c>
    </row>
    <row r="24">
      <c r="A24" s="5" t="inlineStr">
        <is>
          <t>Net cash generated from/(used in) investing activities</t>
        </is>
      </c>
      <c r="B24" s="5" t="n">
        <v>-8213.1</v>
      </c>
      <c r="C24" s="5" t="n">
        <v>429.6</v>
      </c>
      <c r="D24" s="5" t="n">
        <v>7360.1</v>
      </c>
      <c r="E24" s="5" t="n">
        <v>-2155.5</v>
      </c>
      <c r="F24" s="5" t="n">
        <v>-8018.4</v>
      </c>
      <c r="G24" s="5" t="n">
        <v>-39565.5</v>
      </c>
      <c r="H24" s="5" t="n">
        <v>-31092.8</v>
      </c>
      <c r="I24" s="5" t="n">
        <v>11251.6</v>
      </c>
      <c r="J24" s="5" t="n">
        <v>21720.2</v>
      </c>
      <c r="K24" s="5" t="n">
        <v>32457.4</v>
      </c>
      <c r="L24" s="5" t="n">
        <v>-8569.799999999999</v>
      </c>
      <c r="M24" s="5" t="n">
        <v>23450.8</v>
      </c>
      <c r="N24" s="5" t="n">
        <v>-17994.2</v>
      </c>
      <c r="O24" s="5" t="n">
        <v>-9415.299999999999</v>
      </c>
      <c r="BX24" t="inlineStr">
        <is>
          <t>Net cash generated from/(used in) investing activities</t>
        </is>
      </c>
      <c r="BY24" t="n">
        <v>-9415.299999999999</v>
      </c>
      <c r="BZ24" t="n">
        <v>-17994.2</v>
      </c>
      <c r="CA24" t="n">
        <v>23450.8</v>
      </c>
      <c r="CB24" t="n">
        <v>-8569.799999999999</v>
      </c>
      <c r="CC24" t="n">
        <v>32457.4</v>
      </c>
      <c r="CD24" t="n">
        <v>21720.2</v>
      </c>
      <c r="CE24" t="n">
        <v>11251.6</v>
      </c>
      <c r="CF24" t="n">
        <v>-31092.8</v>
      </c>
      <c r="CG24" t="n">
        <v>-39565.5</v>
      </c>
      <c r="CH24" t="n">
        <v>-8018.4</v>
      </c>
      <c r="CI24" t="n">
        <v>-2155.5</v>
      </c>
      <c r="CJ24" t="n">
        <v>7360.1</v>
      </c>
      <c r="CK24" t="n">
        <v>429.6</v>
      </c>
      <c r="CL24" t="n">
        <v>-8213.1</v>
      </c>
    </row>
    <row r="25">
      <c r="A25" s="5" t="inlineStr">
        <is>
          <t>Net cash generated from/(used in) financing activities</t>
        </is>
      </c>
      <c r="B25" s="5" t="n">
        <v>-960.6</v>
      </c>
      <c r="C25" s="5" t="n">
        <v>-525.9</v>
      </c>
      <c r="D25" s="5" t="n">
        <v>-14893.7</v>
      </c>
      <c r="E25" s="5" t="n">
        <v>-5277.6</v>
      </c>
      <c r="F25" s="5" t="n">
        <v>-7266.8</v>
      </c>
      <c r="G25" s="5" t="n">
        <v>274.2</v>
      </c>
      <c r="H25" s="5" t="n">
        <v>-474.5</v>
      </c>
      <c r="I25" s="5" t="n"/>
      <c r="J25" s="5" t="n"/>
      <c r="K25" s="5" t="n"/>
      <c r="L25" s="5" t="n"/>
      <c r="M25" s="5" t="n">
        <v>30367.4</v>
      </c>
      <c r="N25" s="5" t="n">
        <v>0</v>
      </c>
      <c r="O25" s="5" t="n">
        <v>18458.1</v>
      </c>
      <c r="BX25" t="inlineStr">
        <is>
          <t>Net cash generated from/(used in) financing activities</t>
        </is>
      </c>
      <c r="BY25" t="n">
        <v>18458.1</v>
      </c>
      <c r="BZ25" t="n">
        <v>0</v>
      </c>
      <c r="CA25" t="n">
        <v>30367.4</v>
      </c>
      <c r="CF25" t="n">
        <v>-474.5</v>
      </c>
      <c r="CG25" t="n">
        <v>274.2</v>
      </c>
      <c r="CH25" t="n">
        <v>-7266.8</v>
      </c>
      <c r="CI25" t="n">
        <v>-5277.6</v>
      </c>
      <c r="CJ25" t="n">
        <v>-14893.7</v>
      </c>
      <c r="CK25" t="n">
        <v>-525.9</v>
      </c>
      <c r="CL25" t="n">
        <v>-960.6</v>
      </c>
    </row>
    <row r="26">
      <c r="A26" s="5" t="inlineStr">
        <is>
          <t>Cash and cash equivalents at end of year</t>
        </is>
      </c>
      <c r="B26" s="5" t="n">
        <v>318322.9</v>
      </c>
      <c r="C26" s="5" t="n">
        <v>383726.2</v>
      </c>
      <c r="D26" s="5" t="n">
        <v>216831.3</v>
      </c>
      <c r="E26" s="5" t="n">
        <v>520509.8</v>
      </c>
      <c r="F26" s="5" t="n">
        <v>652769.3</v>
      </c>
      <c r="G26" s="5" t="n">
        <v>576523.2</v>
      </c>
      <c r="H26" s="5" t="n">
        <v>433198</v>
      </c>
      <c r="I26" s="5" t="n">
        <v>556093</v>
      </c>
      <c r="J26" s="5" t="n">
        <v>564977.9</v>
      </c>
      <c r="K26" s="5" t="n">
        <v>519912.3</v>
      </c>
      <c r="L26" s="5" t="n">
        <v>196648.9</v>
      </c>
      <c r="M26" s="5" t="n">
        <v>268406</v>
      </c>
      <c r="N26" s="5" t="n">
        <v>119758.1</v>
      </c>
      <c r="O26" s="5" t="n">
        <v>125827.6</v>
      </c>
      <c r="BX26" t="inlineStr">
        <is>
          <t>Cash and cash equivalents at end of year</t>
        </is>
      </c>
      <c r="BY26" t="n">
        <v>125827.6</v>
      </c>
      <c r="BZ26" t="n">
        <v>119758.1</v>
      </c>
      <c r="CA26" t="n">
        <v>268406</v>
      </c>
      <c r="CB26" t="n">
        <v>196648.9</v>
      </c>
      <c r="CC26" t="n">
        <v>519912.3</v>
      </c>
      <c r="CD26" t="n">
        <v>564977.9</v>
      </c>
      <c r="CE26" t="n">
        <v>556093</v>
      </c>
      <c r="CF26" t="n">
        <v>433198</v>
      </c>
      <c r="CG26" t="n">
        <v>576523.2</v>
      </c>
      <c r="CH26" t="n">
        <v>652769.3</v>
      </c>
      <c r="CI26" t="n">
        <v>520509.8</v>
      </c>
      <c r="CJ26" t="n">
        <v>216831.3</v>
      </c>
      <c r="CK26" t="n">
        <v>383726.2</v>
      </c>
      <c r="CL26" t="n">
        <v>318322.9</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row>
    <row r="30">
      <c r="A30" s="6" t="inlineStr">
        <is>
          <t>CET1 Ratio</t>
        </is>
      </c>
      <c r="B30" s="6" t="inlineStr">
        <is>
          <t>23.40%</t>
        </is>
      </c>
      <c r="C30" s="6" t="inlineStr">
        <is>
          <t>25.64%</t>
        </is>
      </c>
      <c r="D30" s="6" t="inlineStr">
        <is>
          <t>28.95%</t>
        </is>
      </c>
      <c r="E30" s="6" t="inlineStr">
        <is>
          <t>25.84%</t>
        </is>
      </c>
      <c r="F30" s="6" t="inlineStr">
        <is>
          <t>20.78%</t>
        </is>
      </c>
      <c r="G30" s="6" t="inlineStr">
        <is>
          <t>28.29%</t>
        </is>
      </c>
      <c r="H30" s="6" t="n"/>
      <c r="I30" s="6" t="inlineStr">
        <is>
          <t>32.38%</t>
        </is>
      </c>
      <c r="J30" s="6" t="inlineStr">
        <is>
          <t>35.53%</t>
        </is>
      </c>
      <c r="K30" s="6" t="n"/>
      <c r="L30" s="6" t="inlineStr">
        <is>
          <t>20.38%</t>
        </is>
      </c>
      <c r="M30" s="6" t="inlineStr">
        <is>
          <t>22.32%</t>
        </is>
      </c>
    </row>
    <row r="31">
      <c r="A31" s="6" t="inlineStr">
        <is>
          <t>Tier 1 Ratio</t>
        </is>
      </c>
      <c r="B31" s="6" t="inlineStr">
        <is>
          <t>23.40%</t>
        </is>
      </c>
      <c r="C31" s="6" t="inlineStr">
        <is>
          <t>25.64%</t>
        </is>
      </c>
      <c r="D31" s="6" t="inlineStr">
        <is>
          <t>28.95%</t>
        </is>
      </c>
      <c r="E31" s="6" t="inlineStr">
        <is>
          <t>25.84%</t>
        </is>
      </c>
      <c r="F31" s="6" t="inlineStr">
        <is>
          <t>20.78%</t>
        </is>
      </c>
      <c r="G31" s="6" t="inlineStr">
        <is>
          <t>28.29%</t>
        </is>
      </c>
      <c r="H31" s="6" t="n"/>
      <c r="I31" s="6" t="inlineStr">
        <is>
          <t>32.38%</t>
        </is>
      </c>
      <c r="J31" s="6" t="inlineStr">
        <is>
          <t>35.53%</t>
        </is>
      </c>
      <c r="K31" s="6" t="n"/>
      <c r="L31" s="6" t="inlineStr">
        <is>
          <t>20.38%</t>
        </is>
      </c>
      <c r="M31" s="6" t="inlineStr">
        <is>
          <t>22.32%</t>
        </is>
      </c>
    </row>
    <row r="32">
      <c r="A32" s="6" t="inlineStr">
        <is>
          <t>Total Capital Ratio</t>
        </is>
      </c>
      <c r="B32" s="6" t="inlineStr">
        <is>
          <t>23.40%</t>
        </is>
      </c>
      <c r="C32" s="6" t="inlineStr">
        <is>
          <t>25.64%</t>
        </is>
      </c>
      <c r="D32" s="6" t="inlineStr">
        <is>
          <t>28.95%</t>
        </is>
      </c>
      <c r="E32" s="6" t="inlineStr">
        <is>
          <t>25.84%</t>
        </is>
      </c>
      <c r="F32" s="6" t="inlineStr">
        <is>
          <t>20.78%</t>
        </is>
      </c>
      <c r="G32" s="6" t="inlineStr">
        <is>
          <t>28.29%</t>
        </is>
      </c>
      <c r="H32" s="6" t="n"/>
      <c r="I32" s="6" t="inlineStr">
        <is>
          <t>32.38%</t>
        </is>
      </c>
      <c r="J32" s="6" t="inlineStr">
        <is>
          <t>35.53%</t>
        </is>
      </c>
      <c r="K32" s="6" t="n"/>
      <c r="L32" s="6" t="inlineStr">
        <is>
          <t>20.38%</t>
        </is>
      </c>
      <c r="M32" s="6" t="inlineStr">
        <is>
          <t>22.32%</t>
        </is>
      </c>
    </row>
    <row r="33">
      <c r="A33" s="6" t="inlineStr">
        <is>
          <t>Leverage Ratio</t>
        </is>
      </c>
      <c r="B33" s="6" t="inlineStr">
        <is>
          <t>12.08%</t>
        </is>
      </c>
      <c r="C33" s="6" t="inlineStr">
        <is>
          <t>11.25%</t>
        </is>
      </c>
      <c r="D33" s="6" t="inlineStr">
        <is>
          <t>9.76%</t>
        </is>
      </c>
      <c r="E33" s="6" t="inlineStr">
        <is>
          <t>7.32%</t>
        </is>
      </c>
      <c r="F33" s="6" t="inlineStr">
        <is>
          <t>8.36%</t>
        </is>
      </c>
      <c r="G33" s="6" t="inlineStr">
        <is>
          <t>10.68%</t>
        </is>
      </c>
      <c r="H33" s="6" t="n"/>
      <c r="I33" s="6" t="n"/>
      <c r="J33" s="6" t="n"/>
      <c r="K33" s="6" t="n"/>
      <c r="L33" s="6" t="n"/>
      <c r="M33" s="6" t="n"/>
    </row>
    <row r="34">
      <c r="A34" s="6" t="inlineStr">
        <is>
          <t>LCR</t>
        </is>
      </c>
      <c r="B34" s="6" t="inlineStr">
        <is>
          <t>270.19%</t>
        </is>
      </c>
      <c r="C34" s="6" t="inlineStr">
        <is>
          <t>330.42%</t>
        </is>
      </c>
      <c r="D34" s="6" t="inlineStr">
        <is>
          <t>310%</t>
        </is>
      </c>
      <c r="E34" s="6" t="inlineStr">
        <is>
          <t>343%</t>
        </is>
      </c>
      <c r="F34" s="6" t="n"/>
      <c r="G34" s="6" t="n"/>
      <c r="H34" s="6" t="n"/>
      <c r="I34" s="6" t="n"/>
      <c r="J34" s="6" t="n"/>
      <c r="K34" s="6" t="n"/>
      <c r="L34" s="6" t="n"/>
      <c r="M34" s="6" t="n"/>
    </row>
    <row r="35">
      <c r="A35" s="6" t="inlineStr">
        <is>
          <t>NSFR</t>
        </is>
      </c>
      <c r="B35" s="6" t="inlineStr">
        <is>
          <t>138.85%</t>
        </is>
      </c>
      <c r="C35" s="6" t="inlineStr">
        <is>
          <t>147.98%</t>
        </is>
      </c>
      <c r="D35" s="6" t="inlineStr">
        <is>
          <t>143%</t>
        </is>
      </c>
      <c r="E35" s="6" t="inlineStr">
        <is>
          <t>124%</t>
        </is>
      </c>
      <c r="F35" s="6" t="n"/>
      <c r="G35" s="6" t="n"/>
      <c r="H35" s="6" t="n"/>
      <c r="I35" s="6" t="n"/>
      <c r="J35" s="6" t="n"/>
      <c r="K35" s="6" t="n"/>
      <c r="L35" s="6" t="n"/>
      <c r="M35" s="6" t="n"/>
    </row>
    <row r="37" ht="45" customHeight="1">
      <c r="A37" s="7" t="inlineStr">
        <is>
          <t>Note: FY2017 (35.53%) and FY2018 (32.38%) CAPITAL RATIOS ADDED 2026-09-18 and they are NOT from a Pillar 3 document - no Pillar 3 edition survives for either year. Both are stated in the Strategic Report of that year's own Annual Report (FY2017 printed p.11, FY2018 printed p.8); FY2017's is specifically the '35.53% under IAS 39 at 31 December 2017' figure, not either of the two 1 January 2018 IFRS 9 transition figures printed beside it. They appear on all three capital-ratio rows because the Bank's entire capital base is CET1 by its own statement (no AT1, no Tier 2). The corresponding RWA is NOT shown anywhere in this workbook for those years and was not derived from capital and ratio - see the Total RWAs sheet. FY2016 and FY2019 still have no ratio, but not for the same reason: FY2019's Annual Report prints a capital table and no ratio and its Pillar 3 document is still lost, while FY2016's Pillar 3 was recovered on 2026-09-19 and itself prints no capital ratio - only a 365% capital-cover multiple, which is not one. FY2016's capital AMOUNT does come from that edition (added 2026-10-07; see the CET1 Capital sheet).
FY2020 LCR (435%) and FY2021 LCR (276%) are deliberately omitted from this at-a-glance row: both are point-in-time year-end figures, whereas FY2022 onward are 12-month simple averages, and the two bases are not comparable on a single trend line. Both bases are shown, on separate rows, on the LCR sheet itself. The FY2020 capital ratios (28.29%) and leverage ratio (10.68%) ARE shown above: those are single-basis metrics with no such split, and they were missing from this Overview only because the pass that recovered FY2020 from the FY2021 report's comparative column populated the detail sheets without copying the values up here. Corrected 2026-09-15; the figures are a straight duplication of the CET1/Tier 1/Total Capital Ratio and Leverage Ratio sheets, nothing recomputed.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statement figures come from the Companies House filing of the FY2025 accounts, not from the Bank's own site, which publishes annual reports only to FY2024 (see the Cash Flow Statement sheet note). Window extended back to FY2014 under HD-048 (capped by explicit user decision - see the HD-048 extension note on the Cash Flow Statement sheet); CET1/Tier 1/Total Capital Ratio for FY2014/FY2015 use a pre-CRD IV methodology (see Pillar 3 sources note on those sheets) and Leverage Ratio/LCR/NSFR are blank for all of FY2014-FY2020 (not yet in force, and/or no Pillar 3 document recoverable for FY2016-FY2020). 2026-09-15 HISTORICAL PILLAR 3: a FY2011 Basel II Pillar 3 edition was recovered and transcribed, so the Pillar 3, RWA Breakdown and Asset Quality sheets now run to FY2009 alongside the statutory statements. NOTHING FROM IT APPEARS ON THIS OVERVIEW, and the FY2009-FY2013 ratio cells above are blank by design: that edition states no capital ratio, no leverage ratio and no liquidity metric, and the only ratio it does print (a 203% 'Solvency Ratio against Pillar 1') is capital over the capital REQUIREMENT, not over RWA - it is excluded deliberately rather than by omission, because showing it on a ratio trend line would overstate capitalisation by roughly 12.5x. Its Basel II capital figures sit on their own separate rows on the Tier 1 Capital and Total Capital sheets. A FY2008 edition was also recovered but produced no cell anywhere - its only figure is dated to 31 December 2007 accounts adjusted for a May 2008 event, so it belongs to no year column; see the Pillar 3 sources note.</t>
        </is>
      </c>
    </row>
  </sheetData>
  <mergeCells count="1">
    <mergeCell ref="A37:R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Financial Position</t>
        </is>
      </c>
    </row>
    <row r="2">
      <c r="A2" s="2" t="inlineStr">
        <is>
          <t>£'000 (FY2009-FY2013 native GBP, FY2014 onward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cash equivalents</t>
        </is>
      </c>
      <c r="B5" s="6" t="n">
        <v>318322.9</v>
      </c>
      <c r="C5" s="6" t="n">
        <v>383726.2</v>
      </c>
      <c r="D5" s="6" t="n">
        <v>216831.3</v>
      </c>
      <c r="E5" s="6" t="n">
        <v>520509.8</v>
      </c>
      <c r="F5" s="6" t="n">
        <v>652769.3</v>
      </c>
      <c r="G5" s="6" t="n">
        <v>576523.2</v>
      </c>
      <c r="H5" s="6" t="n">
        <v>433198</v>
      </c>
      <c r="I5" s="6" t="n">
        <v>556093</v>
      </c>
      <c r="J5" s="6" t="n">
        <v>564977.9</v>
      </c>
      <c r="K5" s="6" t="n">
        <v>519912.3</v>
      </c>
      <c r="L5" s="6" t="n">
        <v>196648.9</v>
      </c>
      <c r="M5" s="6" t="n">
        <v>268406</v>
      </c>
      <c r="N5" s="6" t="n">
        <v>119758.1</v>
      </c>
      <c r="O5" s="6" t="n">
        <v>125827.6</v>
      </c>
      <c r="P5" s="6" t="n">
        <v>82.7</v>
      </c>
      <c r="Q5" s="6" t="n">
        <v>82.59999999999999</v>
      </c>
      <c r="R5" s="6" t="n"/>
    </row>
    <row r="6">
      <c r="A6" s="6" t="inlineStr">
        <is>
          <t>Derivative financial assets</t>
        </is>
      </c>
      <c r="B6" s="6" t="n">
        <v>1697.9</v>
      </c>
      <c r="C6" s="6" t="n">
        <v>1212.8</v>
      </c>
      <c r="D6" s="6" t="n">
        <v>1893.3</v>
      </c>
      <c r="E6" s="6" t="n">
        <v>1833.2</v>
      </c>
      <c r="F6" s="6" t="n">
        <v>3779.2</v>
      </c>
      <c r="G6" s="6" t="n">
        <v>7662.8</v>
      </c>
      <c r="H6" s="6" t="n">
        <v>2119.1</v>
      </c>
      <c r="I6" s="6" t="n"/>
      <c r="J6" s="6" t="n"/>
      <c r="K6" s="6" t="n"/>
      <c r="L6" s="6" t="n"/>
      <c r="M6" s="6" t="n"/>
      <c r="N6" s="6" t="n"/>
      <c r="O6" s="6" t="n"/>
      <c r="P6" s="6" t="n"/>
      <c r="Q6" s="6" t="n"/>
      <c r="R6" s="6" t="n"/>
    </row>
    <row r="7">
      <c r="A7" s="6" t="inlineStr">
        <is>
          <t>Loans and advances to banks</t>
        </is>
      </c>
      <c r="B7" s="6" t="n">
        <v>145490.6</v>
      </c>
      <c r="C7" s="6" t="n">
        <v>90006.89999999999</v>
      </c>
      <c r="D7" s="6" t="n">
        <v>120858.3</v>
      </c>
      <c r="E7" s="6" t="n">
        <v>140936.2</v>
      </c>
      <c r="F7" s="6" t="n">
        <v>113898.1</v>
      </c>
      <c r="G7" s="6" t="n">
        <v>134139.9</v>
      </c>
      <c r="H7" s="6" t="n">
        <v>201129.9</v>
      </c>
      <c r="I7" s="6" t="n">
        <v>133969.6</v>
      </c>
      <c r="J7" s="6" t="n">
        <v>110004.5</v>
      </c>
      <c r="K7" s="6" t="n">
        <v>172871.7</v>
      </c>
      <c r="L7" s="6" t="n">
        <v>123851.3</v>
      </c>
      <c r="M7" s="6" t="n">
        <v>281606.2</v>
      </c>
      <c r="N7" s="6" t="n">
        <v>270069</v>
      </c>
      <c r="O7" s="6" t="n">
        <v>76078.2</v>
      </c>
      <c r="P7" s="6" t="n">
        <v>167144.9</v>
      </c>
      <c r="Q7" s="6" t="n">
        <v>163499.3</v>
      </c>
      <c r="R7" s="6" t="n">
        <v>275505.7</v>
      </c>
    </row>
    <row r="8">
      <c r="A8" s="6" t="inlineStr">
        <is>
          <t>Loans and advances to customers</t>
        </is>
      </c>
      <c r="B8" s="6" t="n">
        <v>481232.5</v>
      </c>
      <c r="C8" s="6" t="n">
        <v>354457.3</v>
      </c>
      <c r="D8" s="6" t="n">
        <v>277613.5</v>
      </c>
      <c r="E8" s="6" t="n">
        <v>260562.8</v>
      </c>
      <c r="F8" s="6" t="n">
        <v>261455.9</v>
      </c>
      <c r="G8" s="6" t="n">
        <v>117712.9</v>
      </c>
      <c r="H8" s="6" t="n">
        <v>49422.1</v>
      </c>
      <c r="I8" s="6" t="n">
        <v>66518.5</v>
      </c>
      <c r="J8" s="6" t="n">
        <v>89880.89999999999</v>
      </c>
      <c r="K8" s="6" t="n">
        <v>162065.1</v>
      </c>
      <c r="L8" s="6" t="n">
        <v>248026.1</v>
      </c>
      <c r="M8" s="6" t="n">
        <v>252674.4</v>
      </c>
      <c r="N8" s="6" t="n">
        <v>265311.2</v>
      </c>
      <c r="O8" s="6" t="n">
        <v>237794.9</v>
      </c>
      <c r="P8" s="6" t="n">
        <v>165610.6</v>
      </c>
      <c r="Q8" s="6" t="n">
        <v>64048</v>
      </c>
      <c r="R8" s="6" t="n">
        <v>17711.6</v>
      </c>
    </row>
    <row r="9">
      <c r="A9" s="6" t="inlineStr">
        <is>
          <t>Securities measured at fair value through profit or loss</t>
        </is>
      </c>
      <c r="B9" s="6" t="n">
        <v>638.7</v>
      </c>
      <c r="C9" s="6" t="n">
        <v>3431.9</v>
      </c>
      <c r="D9" s="6" t="n">
        <v>4010.5</v>
      </c>
      <c r="E9" s="6" t="n">
        <v>2123.2</v>
      </c>
      <c r="F9" s="6" t="n">
        <v>7787.3</v>
      </c>
      <c r="G9" s="6" t="n">
        <v>8092.3</v>
      </c>
      <c r="H9" s="6" t="n">
        <v>6987.9</v>
      </c>
      <c r="I9" s="6" t="n">
        <v>39533.9</v>
      </c>
      <c r="J9" s="6" t="n">
        <v>384896.4</v>
      </c>
      <c r="K9" s="6" t="n">
        <v>101944</v>
      </c>
      <c r="L9" s="6" t="n">
        <v>83340.2</v>
      </c>
      <c r="M9" s="6" t="n">
        <v>109612.9</v>
      </c>
      <c r="N9" s="6" t="n">
        <v>62070</v>
      </c>
      <c r="O9" s="6" t="n">
        <v>58615.6</v>
      </c>
      <c r="P9" s="6" t="n"/>
      <c r="Q9" s="6" t="n"/>
      <c r="R9" s="6" t="n"/>
    </row>
    <row r="10">
      <c r="A10" s="6" t="inlineStr">
        <is>
          <t>Securities measured at fair value through OCI</t>
        </is>
      </c>
      <c r="B10" s="6" t="n">
        <v>1078321.1</v>
      </c>
      <c r="C10" s="6" t="n">
        <v>1097103.2</v>
      </c>
      <c r="D10" s="6" t="n">
        <v>1305775.6</v>
      </c>
      <c r="E10" s="6" t="n">
        <v>1494908.3</v>
      </c>
      <c r="F10" s="6" t="n">
        <v>947237.4</v>
      </c>
      <c r="G10" s="6" t="n">
        <v>711059.7</v>
      </c>
      <c r="H10" s="6" t="n">
        <v>482767.1</v>
      </c>
      <c r="I10" s="6" t="n">
        <v>619862.6</v>
      </c>
      <c r="J10" s="6" t="n">
        <v>5058.1</v>
      </c>
      <c r="K10" s="6" t="n"/>
      <c r="L10" s="6" t="n"/>
      <c r="M10" s="6" t="n"/>
      <c r="N10" s="6" t="n"/>
      <c r="O10" s="6" t="n"/>
      <c r="P10" s="6" t="n"/>
      <c r="Q10" s="6" t="n"/>
      <c r="R10" s="6" t="n"/>
    </row>
    <row r="11">
      <c r="A11" s="6" t="inlineStr">
        <is>
          <t>Securities measured at amortised cost</t>
        </is>
      </c>
      <c r="B11" s="6" t="n">
        <v>185087</v>
      </c>
      <c r="C11" s="6" t="n">
        <v>170624.3</v>
      </c>
      <c r="D11" s="6" t="n">
        <v>155387.6</v>
      </c>
      <c r="E11" s="6" t="n">
        <v>160493.8</v>
      </c>
      <c r="F11" s="6" t="n">
        <v>137749.9</v>
      </c>
      <c r="G11" s="6" t="n">
        <v>128432.7</v>
      </c>
      <c r="H11" s="6" t="n">
        <v>98149.10000000001</v>
      </c>
      <c r="I11" s="6" t="n">
        <v>70635.3</v>
      </c>
      <c r="J11" s="6" t="n">
        <v>81833.8</v>
      </c>
      <c r="K11" s="6" t="n">
        <v>113321.2</v>
      </c>
      <c r="L11" s="6" t="n">
        <v>124008</v>
      </c>
      <c r="M11" s="6" t="n">
        <v>110539.2</v>
      </c>
      <c r="N11" s="6" t="n">
        <v>128290.3</v>
      </c>
      <c r="O11" s="6" t="n">
        <v>110703.5</v>
      </c>
      <c r="P11" s="6" t="n">
        <v>161808.7</v>
      </c>
      <c r="Q11" s="6" t="n">
        <v>179356.5</v>
      </c>
      <c r="R11" s="6" t="n">
        <v>134554.3</v>
      </c>
    </row>
    <row r="12">
      <c r="A12" s="6" t="inlineStr">
        <is>
          <t>Right-of-use assets</t>
        </is>
      </c>
      <c r="B12" s="6" t="n">
        <v>5746</v>
      </c>
      <c r="C12" s="6" t="n">
        <v>6946.1</v>
      </c>
      <c r="D12" s="6" t="n">
        <v>956.2</v>
      </c>
      <c r="E12" s="6" t="n"/>
      <c r="F12" s="6" t="n"/>
      <c r="G12" s="6" t="n"/>
      <c r="H12" s="6" t="n"/>
      <c r="I12" s="6" t="n"/>
      <c r="J12" s="6" t="n"/>
      <c r="K12" s="6" t="n"/>
      <c r="L12" s="6" t="n"/>
      <c r="M12" s="6" t="n"/>
      <c r="N12" s="6" t="n"/>
      <c r="O12" s="6" t="n"/>
      <c r="P12" s="6" t="n"/>
      <c r="Q12" s="6" t="n"/>
      <c r="R12" s="6" t="n"/>
    </row>
    <row r="13">
      <c r="A13" s="6" t="inlineStr">
        <is>
          <t>Property and equipment</t>
        </is>
      </c>
      <c r="B13" s="6" t="n">
        <v>529.8</v>
      </c>
      <c r="C13" s="6" t="n">
        <v>134.6</v>
      </c>
      <c r="D13" s="6" t="n">
        <v>277.8</v>
      </c>
      <c r="E13" s="6" t="n">
        <v>2137.5</v>
      </c>
      <c r="F13" s="6" t="n">
        <v>2729.4</v>
      </c>
      <c r="G13" s="6" t="n">
        <v>3303.3</v>
      </c>
      <c r="H13" s="6" t="n">
        <v>3646.6</v>
      </c>
      <c r="I13" s="6" t="n">
        <v>953.7</v>
      </c>
      <c r="J13" s="6" t="n">
        <v>878</v>
      </c>
      <c r="K13" s="6" t="n">
        <v>988.9</v>
      </c>
      <c r="L13" s="6" t="n">
        <v>990.2</v>
      </c>
      <c r="M13" s="6" t="n">
        <v>343.5</v>
      </c>
      <c r="N13" s="6" t="n">
        <v>508.2</v>
      </c>
      <c r="O13" s="6" t="n">
        <v>792.7</v>
      </c>
      <c r="P13" s="6" t="n">
        <v>1343.6</v>
      </c>
      <c r="Q13" s="6" t="n">
        <v>1791.8</v>
      </c>
      <c r="R13" s="6" t="n">
        <v>1773.1</v>
      </c>
    </row>
    <row r="14">
      <c r="A14" s="6" t="inlineStr">
        <is>
          <t>Intangible assets</t>
        </is>
      </c>
      <c r="B14" s="6" t="n">
        <v>2231.9</v>
      </c>
      <c r="C14" s="6" t="n">
        <v>1954.5</v>
      </c>
      <c r="D14" s="6" t="n">
        <v>606.3</v>
      </c>
      <c r="E14" s="6" t="n">
        <v>821.4</v>
      </c>
      <c r="F14" s="6" t="n">
        <v>773.5</v>
      </c>
      <c r="G14" s="6" t="n">
        <v>1021.4</v>
      </c>
      <c r="H14" s="6" t="n">
        <v>1528.3</v>
      </c>
      <c r="I14" s="6" t="n">
        <v>1470.5</v>
      </c>
      <c r="J14" s="6" t="n">
        <v>734.1</v>
      </c>
      <c r="K14" s="6" t="n">
        <v>450.8</v>
      </c>
      <c r="L14" s="6" t="n">
        <v>618.7</v>
      </c>
      <c r="M14" s="6" t="n">
        <v>679.6</v>
      </c>
      <c r="N14" s="6" t="n">
        <v>469.4</v>
      </c>
      <c r="O14" s="6" t="n">
        <v>520.5</v>
      </c>
      <c r="P14" s="6" t="n"/>
      <c r="Q14" s="6" t="n"/>
      <c r="R14" s="6" t="n"/>
    </row>
    <row r="15">
      <c r="A15" s="6" t="inlineStr">
        <is>
          <t>Current tax assets</t>
        </is>
      </c>
      <c r="B15" s="6" t="n">
        <v>971.8</v>
      </c>
      <c r="C15" s="6" t="n">
        <v>415.1</v>
      </c>
      <c r="D15" s="6" t="n">
        <v>447.2</v>
      </c>
      <c r="E15" s="6" t="n"/>
      <c r="F15" s="6" t="n"/>
      <c r="G15" s="6" t="n"/>
      <c r="H15" s="6" t="n"/>
      <c r="I15" s="6" t="n"/>
      <c r="J15" s="6" t="n"/>
      <c r="K15" s="6" t="n"/>
      <c r="L15" s="6" t="n"/>
      <c r="M15" s="6" t="n"/>
      <c r="N15" s="6" t="n"/>
      <c r="O15" s="6" t="n"/>
      <c r="P15" s="6" t="n"/>
      <c r="Q15" s="6" t="n"/>
      <c r="R15" s="6" t="n"/>
    </row>
    <row r="16">
      <c r="A16" s="6" t="inlineStr">
        <is>
          <t>Deferred tax assets</t>
        </is>
      </c>
      <c r="B16" s="6" t="inlineStr">
        <is>
          <t>-</t>
        </is>
      </c>
      <c r="C16" s="6" t="n">
        <v>818.2</v>
      </c>
      <c r="D16" s="6" t="n">
        <v>2323.4</v>
      </c>
      <c r="E16" s="6" t="n">
        <v>5809.9</v>
      </c>
      <c r="F16" s="6" t="n">
        <v>839.7</v>
      </c>
      <c r="G16" s="6" t="n">
        <v>148</v>
      </c>
      <c r="H16" s="6" t="n">
        <v>795.5</v>
      </c>
      <c r="I16" s="6" t="n">
        <v>1156.6</v>
      </c>
      <c r="J16" s="6" t="n">
        <v>1</v>
      </c>
      <c r="K16" s="6" t="n">
        <v>137</v>
      </c>
      <c r="L16" s="6" t="n">
        <v>137.1</v>
      </c>
      <c r="M16" s="6" t="n">
        <v>137</v>
      </c>
      <c r="N16" s="6" t="n">
        <v>137</v>
      </c>
      <c r="O16" s="6" t="n">
        <v>146.7</v>
      </c>
      <c r="P16" s="6" t="n">
        <v>96</v>
      </c>
      <c r="Q16" s="6" t="n">
        <v>152.1</v>
      </c>
      <c r="R16" s="6" t="n">
        <v>196.1</v>
      </c>
    </row>
    <row r="17">
      <c r="A17" s="6" t="inlineStr">
        <is>
          <t>Other assets</t>
        </is>
      </c>
      <c r="B17" s="6" t="n">
        <v>6667.6</v>
      </c>
      <c r="C17" s="6" t="n">
        <v>5872</v>
      </c>
      <c r="D17" s="6" t="n">
        <v>2309.6</v>
      </c>
      <c r="E17" s="6" t="n">
        <v>1384.8</v>
      </c>
      <c r="F17" s="6" t="n">
        <v>1339.5</v>
      </c>
      <c r="G17" s="6" t="n">
        <v>839.2</v>
      </c>
      <c r="H17" s="6" t="n">
        <v>781.1</v>
      </c>
      <c r="I17" s="6" t="n">
        <v>1063.1</v>
      </c>
      <c r="J17" s="6" t="n">
        <v>2121.9</v>
      </c>
      <c r="K17" s="6" t="n">
        <v>754.6</v>
      </c>
      <c r="L17" s="6" t="n">
        <v>1198</v>
      </c>
      <c r="M17" s="6" t="n">
        <v>1769.5</v>
      </c>
      <c r="N17" s="6" t="n">
        <v>3383.2</v>
      </c>
      <c r="O17" s="6" t="n">
        <v>584</v>
      </c>
      <c r="P17" s="6" t="n">
        <v>955.3</v>
      </c>
      <c r="Q17" s="6" t="n">
        <v>915.3</v>
      </c>
      <c r="R17" s="6" t="n">
        <v>904.1</v>
      </c>
    </row>
    <row r="18">
      <c r="A18" s="5" t="inlineStr">
        <is>
          <t>Total assets</t>
        </is>
      </c>
      <c r="B18" s="5" t="n">
        <v>2226937.9</v>
      </c>
      <c r="C18" s="5" t="n">
        <v>2116703.1</v>
      </c>
      <c r="D18" s="5" t="n">
        <v>2089290.6</v>
      </c>
      <c r="E18" s="5" t="n">
        <v>2591520.9</v>
      </c>
      <c r="F18" s="5" t="n">
        <v>2130359.2</v>
      </c>
      <c r="G18" s="5" t="n">
        <v>1688935.5</v>
      </c>
      <c r="H18" s="5" t="n">
        <v>1280524.6</v>
      </c>
      <c r="I18" s="5" t="n">
        <v>1491256.9</v>
      </c>
      <c r="J18" s="5" t="n">
        <v>1240386.5</v>
      </c>
      <c r="K18" s="5" t="n">
        <v>1072445.7</v>
      </c>
      <c r="L18" s="5" t="n">
        <v>778818.5</v>
      </c>
      <c r="M18" s="5" t="n">
        <v>1025768.3</v>
      </c>
      <c r="N18" s="5" t="n">
        <v>849996.5</v>
      </c>
      <c r="O18" s="5" t="n">
        <v>611063.7</v>
      </c>
      <c r="P18" s="5" t="n">
        <v>497041.9</v>
      </c>
      <c r="Q18" s="5" t="n">
        <v>409845.5</v>
      </c>
      <c r="R18" s="5" t="n">
        <v>430644.9</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row>
    <row r="20">
      <c r="A20" s="6" t="inlineStr">
        <is>
          <t>Derivative financial liabilities</t>
        </is>
      </c>
      <c r="B20" s="6" t="n">
        <v>296.4</v>
      </c>
      <c r="C20" s="6" t="n">
        <v>2472.6</v>
      </c>
      <c r="D20" s="6" t="n">
        <v>415.8</v>
      </c>
      <c r="E20" s="6" t="n">
        <v>376.4</v>
      </c>
      <c r="F20" s="6" t="n">
        <v>2764</v>
      </c>
      <c r="G20" s="6" t="n">
        <v>2383.7</v>
      </c>
      <c r="H20" s="6" t="n">
        <v>314.2</v>
      </c>
      <c r="I20" s="6" t="n"/>
      <c r="J20" s="6" t="n"/>
      <c r="K20" s="6" t="n"/>
      <c r="L20" s="6" t="n"/>
      <c r="M20" s="6" t="n"/>
      <c r="N20" s="6" t="n"/>
      <c r="O20" s="6" t="n"/>
      <c r="P20" s="6" t="n"/>
      <c r="Q20" s="6" t="n"/>
      <c r="R20" s="6" t="n"/>
    </row>
    <row r="21">
      <c r="A21" s="6" t="inlineStr">
        <is>
          <t>Deposits from banks</t>
        </is>
      </c>
      <c r="B21" s="6" t="n">
        <v>1091515.8</v>
      </c>
      <c r="C21" s="6" t="n">
        <v>1027434</v>
      </c>
      <c r="D21" s="6" t="n">
        <v>1008262.7</v>
      </c>
      <c r="E21" s="6" t="n">
        <v>1629765.7</v>
      </c>
      <c r="F21" s="6" t="n">
        <v>1399280</v>
      </c>
      <c r="G21" s="6" t="n">
        <v>945317.5</v>
      </c>
      <c r="H21" s="6" t="n">
        <v>772976.7</v>
      </c>
      <c r="I21" s="6" t="n">
        <v>1055794.7</v>
      </c>
      <c r="J21" s="6" t="n">
        <v>931104.5</v>
      </c>
      <c r="K21" s="6" t="n">
        <v>665651.9</v>
      </c>
      <c r="L21" s="6" t="n">
        <v>517602.9</v>
      </c>
      <c r="M21" s="6" t="n">
        <v>783026.9</v>
      </c>
      <c r="N21" s="6" t="n">
        <v>662795.4</v>
      </c>
      <c r="O21" s="6" t="n">
        <v>467665</v>
      </c>
      <c r="P21" s="6" t="n">
        <v>416570.6</v>
      </c>
      <c r="Q21" s="6" t="n">
        <v>341266.7</v>
      </c>
      <c r="R21" s="6" t="n">
        <v>387577.7</v>
      </c>
    </row>
    <row r="22">
      <c r="A22" s="6" t="inlineStr">
        <is>
          <t>Deposits from customers</t>
        </is>
      </c>
      <c r="B22" s="6" t="n">
        <v>783695.2</v>
      </c>
      <c r="C22" s="6" t="n">
        <v>696164</v>
      </c>
      <c r="D22" s="6" t="n">
        <v>774098</v>
      </c>
      <c r="E22" s="6" t="n">
        <v>643544.2</v>
      </c>
      <c r="F22" s="6" t="n">
        <v>482915.4</v>
      </c>
      <c r="G22" s="6" t="n">
        <v>532793</v>
      </c>
      <c r="H22" s="6" t="n">
        <v>303588</v>
      </c>
      <c r="I22" s="6" t="n">
        <v>251310.8</v>
      </c>
      <c r="J22" s="6" t="n">
        <v>150888.3</v>
      </c>
      <c r="K22" s="6" t="n">
        <v>246338.9</v>
      </c>
      <c r="L22" s="6" t="n">
        <v>129273.8</v>
      </c>
      <c r="M22" s="6" t="n">
        <v>120215.9</v>
      </c>
      <c r="N22" s="6" t="n">
        <v>109159.1</v>
      </c>
      <c r="O22" s="6" t="n">
        <v>74161.60000000001</v>
      </c>
      <c r="P22" s="6" t="n">
        <v>34303.5</v>
      </c>
      <c r="Q22" s="6" t="n">
        <v>26986.7</v>
      </c>
      <c r="R22" s="6" t="n">
        <v>4083.3</v>
      </c>
    </row>
    <row r="23">
      <c r="A23" s="6" t="inlineStr">
        <is>
          <t>Repurchase agreements and other similar secured borrowing</t>
        </is>
      </c>
      <c r="B23" s="6" t="n">
        <v>10731.8</v>
      </c>
      <c r="C23" s="6" t="n">
        <v>71086.7</v>
      </c>
      <c r="D23" s="6" t="n">
        <v>36123.2</v>
      </c>
      <c r="E23" s="6" t="n">
        <v>63143.8</v>
      </c>
      <c r="F23" s="6" t="n">
        <v>33705.4</v>
      </c>
      <c r="G23" s="6" t="n"/>
      <c r="H23" s="6" t="n"/>
      <c r="I23" s="6" t="n"/>
      <c r="J23" s="6" t="n"/>
      <c r="K23" s="6" t="n"/>
      <c r="L23" s="6" t="n"/>
      <c r="M23" s="6" t="n"/>
      <c r="N23" s="6" t="n"/>
      <c r="O23" s="6" t="n"/>
      <c r="P23" s="6" t="n"/>
      <c r="Q23" s="6" t="n"/>
      <c r="R23" s="6" t="n"/>
    </row>
    <row r="24">
      <c r="A24" s="6" t="inlineStr">
        <is>
          <t>Deferred tax liabilities</t>
        </is>
      </c>
      <c r="B24" s="6" t="n">
        <v>50.5</v>
      </c>
      <c r="C24" s="6" t="n"/>
      <c r="D24" s="6" t="n"/>
      <c r="E24" s="6" t="n"/>
      <c r="F24" s="6" t="n"/>
      <c r="G24" s="6" t="n"/>
      <c r="H24" s="6" t="n"/>
      <c r="I24" s="6" t="n"/>
      <c r="J24" s="6" t="n"/>
      <c r="K24" s="6" t="n"/>
      <c r="L24" s="6" t="n"/>
      <c r="M24" s="6" t="n"/>
      <c r="N24" s="6" t="n"/>
      <c r="O24" s="6" t="n"/>
      <c r="P24" s="6" t="n"/>
      <c r="Q24" s="6" t="n"/>
      <c r="R24" s="6" t="n"/>
    </row>
    <row r="25">
      <c r="A25" s="6" t="inlineStr">
        <is>
          <t>Current tax liabilities</t>
        </is>
      </c>
      <c r="B25" s="6" t="inlineStr">
        <is>
          <t>-</t>
        </is>
      </c>
      <c r="C25" s="6" t="n">
        <v>1654.1</v>
      </c>
      <c r="D25" s="6" t="n">
        <v>0</v>
      </c>
      <c r="E25" s="6" t="n">
        <v>1011.4</v>
      </c>
      <c r="F25" s="6" t="n">
        <v>768</v>
      </c>
      <c r="G25" s="6" t="n">
        <v>266.1</v>
      </c>
      <c r="H25" s="6" t="n">
        <v>3435.7</v>
      </c>
      <c r="I25" s="6" t="n"/>
      <c r="J25" s="6" t="n"/>
      <c r="K25" s="6" t="n"/>
      <c r="L25" s="6" t="n"/>
      <c r="M25" s="6" t="n"/>
      <c r="N25" s="6" t="n"/>
      <c r="O25" s="6" t="n"/>
      <c r="P25" s="6" t="n"/>
      <c r="Q25" s="6" t="n"/>
      <c r="R25" s="6" t="n"/>
    </row>
    <row r="26">
      <c r="A26" s="6" t="inlineStr">
        <is>
          <t>Impairment allowance on committed/off-balance-sheet facilities</t>
        </is>
      </c>
      <c r="B26" s="6" t="n">
        <v>523.4</v>
      </c>
      <c r="C26" s="6" t="n">
        <v>499.7</v>
      </c>
      <c r="D26" s="6" t="n">
        <v>0</v>
      </c>
      <c r="E26" s="6" t="n">
        <v>588.8</v>
      </c>
      <c r="F26" s="6" t="n">
        <v>585.9</v>
      </c>
      <c r="G26" s="6" t="n">
        <v>210.7</v>
      </c>
      <c r="H26" s="6" t="n">
        <v>1090.6</v>
      </c>
      <c r="I26" s="6" t="n"/>
      <c r="J26" s="6" t="n"/>
      <c r="K26" s="6" t="n"/>
      <c r="L26" s="6" t="n"/>
      <c r="M26" s="6" t="n"/>
      <c r="N26" s="6" t="n"/>
      <c r="O26" s="6" t="n"/>
      <c r="P26" s="6" t="n"/>
      <c r="Q26" s="6" t="n"/>
      <c r="R26" s="6" t="n"/>
    </row>
    <row r="27">
      <c r="A27" s="6" t="inlineStr">
        <is>
          <t>Lease obligation</t>
        </is>
      </c>
      <c r="B27" s="6" t="n">
        <v>6319.1</v>
      </c>
      <c r="C27" s="6" t="n">
        <v>7047.5</v>
      </c>
      <c r="D27" s="6" t="n">
        <v>829</v>
      </c>
      <c r="E27" s="6" t="n">
        <v>1531.7</v>
      </c>
      <c r="F27" s="6" t="n">
        <v>2187.4</v>
      </c>
      <c r="G27" s="6" t="n">
        <v>3113.2</v>
      </c>
      <c r="H27" s="6" t="n">
        <v>2846.9</v>
      </c>
      <c r="I27" s="6" t="n"/>
      <c r="J27" s="6" t="n"/>
      <c r="K27" s="6" t="n"/>
      <c r="L27" s="6" t="n"/>
      <c r="M27" s="6" t="n"/>
      <c r="N27" s="6" t="n"/>
      <c r="O27" s="6" t="n"/>
      <c r="P27" s="6" t="n"/>
      <c r="Q27" s="6" t="n"/>
      <c r="R27" s="6" t="n"/>
    </row>
    <row r="28">
      <c r="A28" s="6" t="inlineStr">
        <is>
          <t>Other liabilities</t>
        </is>
      </c>
      <c r="B28" s="6" t="n">
        <v>9584.9</v>
      </c>
      <c r="C28" s="6" t="n">
        <v>4852.9</v>
      </c>
      <c r="D28" s="6" t="n">
        <v>5643.1</v>
      </c>
      <c r="E28" s="6" t="n">
        <v>13975.2</v>
      </c>
      <c r="F28" s="6" t="n">
        <v>5258.6</v>
      </c>
      <c r="G28" s="6" t="n">
        <v>3128.6</v>
      </c>
      <c r="H28" s="6" t="n">
        <v>3864.8</v>
      </c>
      <c r="I28" s="6" t="n">
        <v>7644.3</v>
      </c>
      <c r="J28" s="6" t="n">
        <v>5331.3</v>
      </c>
      <c r="K28" s="6" t="n">
        <v>3453.8</v>
      </c>
      <c r="L28" s="6" t="n">
        <v>3376.7</v>
      </c>
      <c r="M28" s="6" t="n">
        <v>3870.6</v>
      </c>
      <c r="N28" s="6" t="n">
        <v>3533</v>
      </c>
      <c r="O28" s="6" t="n">
        <v>2401</v>
      </c>
      <c r="P28" s="6" t="n">
        <v>2542.9</v>
      </c>
      <c r="Q28" s="6" t="n">
        <v>1589.8</v>
      </c>
      <c r="R28" s="6" t="n">
        <v>1598.7</v>
      </c>
    </row>
    <row r="29">
      <c r="A29" s="6" t="inlineStr">
        <is>
          <t>Provision</t>
        </is>
      </c>
      <c r="B29" s="6" t="n">
        <v>134.6</v>
      </c>
      <c r="C29" s="6" t="n">
        <v>135.4</v>
      </c>
      <c r="D29" s="6" t="n"/>
      <c r="E29" s="6" t="n"/>
      <c r="F29" s="6" t="n"/>
      <c r="G29" s="6" t="n"/>
      <c r="H29" s="6" t="n"/>
      <c r="I29" s="6" t="n"/>
      <c r="J29" s="6" t="n"/>
      <c r="K29" s="6" t="n"/>
      <c r="L29" s="6" t="n"/>
      <c r="M29" s="6" t="n"/>
      <c r="N29" s="6" t="n"/>
      <c r="O29" s="6" t="n"/>
      <c r="P29" s="6" t="n"/>
      <c r="Q29" s="6" t="n"/>
      <c r="R29" s="6" t="n"/>
    </row>
    <row r="30">
      <c r="A30" s="5" t="inlineStr">
        <is>
          <t>Total liabilities</t>
        </is>
      </c>
      <c r="B30" s="5" t="n">
        <v>1902851.7</v>
      </c>
      <c r="C30" s="5" t="n">
        <v>1811346.9</v>
      </c>
      <c r="D30" s="5" t="n">
        <v>1825371.8</v>
      </c>
      <c r="E30" s="5" t="n">
        <v>2353937.2</v>
      </c>
      <c r="F30" s="5" t="n">
        <v>1927464.8</v>
      </c>
      <c r="G30" s="5" t="n">
        <v>1487212.9</v>
      </c>
      <c r="H30" s="5" t="n">
        <v>1088116.9</v>
      </c>
      <c r="I30" s="5" t="n">
        <v>1314749.8</v>
      </c>
      <c r="J30" s="5" t="n">
        <v>1087324.1</v>
      </c>
      <c r="K30" s="5" t="n">
        <v>915444.6</v>
      </c>
      <c r="L30" s="5" t="n">
        <v>650253.4</v>
      </c>
      <c r="M30" s="5" t="n">
        <v>907113.5</v>
      </c>
      <c r="N30" s="5" t="n">
        <v>775487.5</v>
      </c>
      <c r="O30" s="5" t="n">
        <v>544227.6</v>
      </c>
      <c r="P30" s="5" t="n">
        <v>453417.1</v>
      </c>
      <c r="Q30" s="5" t="n">
        <v>369843.2</v>
      </c>
      <c r="R30" s="5" t="n">
        <v>393259.7</v>
      </c>
    </row>
    <row r="31">
      <c r="A31" s="5" t="inlineStr">
        <is>
          <t>Equity</t>
        </is>
      </c>
      <c r="B31" s="6" t="n"/>
      <c r="C31" s="6" t="n"/>
      <c r="D31" s="6" t="n"/>
      <c r="E31" s="6" t="n"/>
      <c r="F31" s="6" t="n"/>
      <c r="G31" s="6" t="n"/>
      <c r="H31" s="6" t="n"/>
      <c r="I31" s="6" t="n"/>
      <c r="J31" s="6" t="n"/>
      <c r="K31" s="6" t="n"/>
      <c r="L31" s="6" t="n"/>
      <c r="M31" s="6" t="n"/>
      <c r="N31" s="6" t="n"/>
      <c r="O31" s="6" t="n"/>
      <c r="P31" s="6" t="n"/>
      <c r="Q31" s="6" t="n"/>
      <c r="R31" s="6" t="n"/>
    </row>
    <row r="32">
      <c r="A32" s="6" t="inlineStr">
        <is>
          <t>Share Capital</t>
        </is>
      </c>
      <c r="B32" s="6" t="n">
        <v>101652</v>
      </c>
      <c r="C32" s="6" t="n">
        <v>109230.2</v>
      </c>
      <c r="D32" s="6" t="n">
        <v>107368.5</v>
      </c>
      <c r="E32" s="6" t="n">
        <v>113004.6</v>
      </c>
      <c r="F32" s="6" t="n">
        <v>101103.2</v>
      </c>
      <c r="G32" s="6" t="n">
        <v>100067.1</v>
      </c>
      <c r="H32" s="6" t="n">
        <v>103483.4</v>
      </c>
      <c r="I32" s="6" t="n">
        <v>107049</v>
      </c>
      <c r="J32" s="6" t="n">
        <v>101185.5</v>
      </c>
      <c r="K32" s="6" t="n">
        <v>111112.4</v>
      </c>
      <c r="L32" s="6" t="n">
        <v>92247.5</v>
      </c>
      <c r="M32" s="6" t="n">
        <v>87584.3</v>
      </c>
      <c r="N32" s="6" t="n">
        <v>53459.1</v>
      </c>
      <c r="O32" s="6" t="n">
        <v>53459.1</v>
      </c>
      <c r="P32" s="6" t="n">
        <v>35001</v>
      </c>
      <c r="Q32" s="6" t="n">
        <v>35001</v>
      </c>
      <c r="R32" s="6" t="n">
        <v>35001</v>
      </c>
    </row>
    <row r="33">
      <c r="A33" s="6" t="inlineStr">
        <is>
          <t>FVOCI Reserves</t>
        </is>
      </c>
      <c r="B33" s="6" t="n">
        <v>1115.6</v>
      </c>
      <c r="C33" s="6" t="n">
        <v>-477.8</v>
      </c>
      <c r="D33" s="6" t="n">
        <v>-3539.6</v>
      </c>
      <c r="E33" s="6" t="n">
        <v>-13131.8</v>
      </c>
      <c r="F33" s="6" t="n">
        <v>402.1</v>
      </c>
      <c r="G33" s="6" t="n">
        <v>3097.7</v>
      </c>
      <c r="H33" s="6" t="n">
        <v>560.6</v>
      </c>
      <c r="I33" s="6" t="n">
        <v>-78.2</v>
      </c>
      <c r="J33" s="6" t="n">
        <v>0</v>
      </c>
      <c r="K33" s="6" t="n"/>
      <c r="L33" s="6" t="n"/>
      <c r="M33" s="6" t="n"/>
      <c r="N33" s="6" t="n"/>
      <c r="O33" s="6" t="n"/>
      <c r="P33" s="6" t="n"/>
      <c r="Q33" s="6" t="n"/>
      <c r="R33" s="6" t="n"/>
    </row>
    <row r="34">
      <c r="A34" s="6" t="inlineStr">
        <is>
          <t>Reserves (foreign currency translation)</t>
        </is>
      </c>
      <c r="B34" s="6" t="n">
        <v>2299.1</v>
      </c>
      <c r="C34" s="6" t="n"/>
      <c r="D34" s="6" t="n"/>
      <c r="E34" s="6" t="n"/>
      <c r="F34" s="6" t="n"/>
      <c r="G34" s="6" t="n"/>
      <c r="H34" s="6" t="n"/>
      <c r="I34" s="6" t="n"/>
      <c r="J34" s="6" t="n"/>
      <c r="K34" s="6" t="n"/>
      <c r="L34" s="6" t="n"/>
      <c r="M34" s="6" t="n"/>
      <c r="N34" s="6" t="n"/>
      <c r="O34" s="6" t="n"/>
      <c r="P34" s="6" t="n"/>
      <c r="Q34" s="6" t="n"/>
      <c r="R34" s="6" t="n"/>
    </row>
    <row r="35">
      <c r="A35" s="6" t="inlineStr">
        <is>
          <t>Retained earnings</t>
        </is>
      </c>
      <c r="B35" s="6" t="n">
        <v>219019.5</v>
      </c>
      <c r="C35" s="6" t="n">
        <v>196603.8</v>
      </c>
      <c r="D35" s="6" t="n">
        <v>160089.8</v>
      </c>
      <c r="E35" s="6" t="n">
        <v>137710.9</v>
      </c>
      <c r="F35" s="6" t="n">
        <v>101389.1</v>
      </c>
      <c r="G35" s="6" t="n">
        <v>98557.8</v>
      </c>
      <c r="H35" s="6" t="n">
        <v>88363.7</v>
      </c>
      <c r="I35" s="6" t="n">
        <v>69536.2</v>
      </c>
      <c r="J35" s="6" t="n">
        <v>51876.9</v>
      </c>
      <c r="K35" s="6" t="n">
        <v>45888.6</v>
      </c>
      <c r="L35" s="6" t="n">
        <v>36317.6</v>
      </c>
      <c r="M35" s="6" t="n">
        <v>31070.6</v>
      </c>
      <c r="N35" s="6" t="n">
        <v>21049.9</v>
      </c>
      <c r="O35" s="6" t="n">
        <v>13377</v>
      </c>
      <c r="P35" s="6" t="n">
        <v>8623.799999999999</v>
      </c>
      <c r="Q35" s="6" t="n">
        <v>5001.3</v>
      </c>
      <c r="R35" s="6" t="n">
        <v>2384.2</v>
      </c>
    </row>
    <row r="36">
      <c r="A36" s="5" t="inlineStr">
        <is>
          <t>Total equity</t>
        </is>
      </c>
      <c r="B36" s="5" t="n">
        <v>324086.2</v>
      </c>
      <c r="C36" s="5" t="n">
        <v>305356.2</v>
      </c>
      <c r="D36" s="5" t="n">
        <v>263918.8</v>
      </c>
      <c r="E36" s="5" t="n">
        <v>237583.7</v>
      </c>
      <c r="F36" s="5" t="n">
        <v>202894.4</v>
      </c>
      <c r="G36" s="5" t="n">
        <v>201722.6</v>
      </c>
      <c r="H36" s="5" t="n">
        <v>192407.7</v>
      </c>
      <c r="I36" s="5" t="n">
        <v>176507.1</v>
      </c>
      <c r="J36" s="5" t="n">
        <v>153062.4</v>
      </c>
      <c r="K36" s="5" t="n">
        <v>157001.1</v>
      </c>
      <c r="L36" s="5" t="n">
        <v>128565.1</v>
      </c>
      <c r="M36" s="5" t="n">
        <v>118654.9</v>
      </c>
      <c r="N36" s="5" t="n">
        <v>74509</v>
      </c>
      <c r="O36" s="5" t="n">
        <v>66836.10000000001</v>
      </c>
      <c r="P36" s="5" t="n">
        <v>43624.8</v>
      </c>
      <c r="Q36" s="5" t="n">
        <v>40002.3</v>
      </c>
      <c r="R36" s="5" t="n">
        <v>37385.2</v>
      </c>
    </row>
    <row r="37">
      <c r="A37" s="5" t="inlineStr">
        <is>
          <t>Total liabilities and equity</t>
        </is>
      </c>
      <c r="B37" s="5" t="n">
        <v>2226937.9</v>
      </c>
      <c r="C37" s="5" t="n">
        <v>2116703.1</v>
      </c>
      <c r="D37" s="5" t="n">
        <v>2089290.6</v>
      </c>
      <c r="E37" s="5" t="n">
        <v>2591520.9</v>
      </c>
      <c r="F37" s="5" t="n">
        <v>2130359.2</v>
      </c>
      <c r="G37" s="5" t="n">
        <v>1688935.5</v>
      </c>
      <c r="H37" s="5" t="n">
        <v>1280524.6</v>
      </c>
      <c r="I37" s="5" t="n">
        <v>1491256.9</v>
      </c>
      <c r="J37" s="5" t="n">
        <v>1240386.5</v>
      </c>
      <c r="K37" s="5" t="n">
        <v>1072445.7</v>
      </c>
      <c r="L37" s="5" t="n">
        <v>778818.5</v>
      </c>
      <c r="M37" s="5" t="n">
        <v>1025768.3</v>
      </c>
      <c r="N37" s="5" t="n">
        <v>849996.5</v>
      </c>
      <c r="O37" s="5" t="n">
        <v>611063.7</v>
      </c>
      <c r="P37" s="5" t="n">
        <v>497041.9</v>
      </c>
      <c r="Q37" s="5" t="n">
        <v>409845.5</v>
      </c>
      <c r="R37" s="5" t="n">
        <v>430644.9</v>
      </c>
    </row>
    <row r="39" ht="340" customHeight="1">
      <c r="A39"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Annual Report and Financial Statements 2025, pp.39-40 printed (PDF pp.41-42), Statement of Profit or Loss and Other Comprehensive Income / Statement of Financial Position - https://find-and-update.company-information.service.gov.uk/company/05713749/filing-history/MzUyMjI1NjUwM2FkaXF6a2N4/document?format=pdf&amp;download=0
FY2025 ADDED 2026-09-18 from the Companies House filing, which is an image-only scan read VISUALLY at 300 dpi (see the Cash Flow Statement sheet's note for why the Bank's own site has no FY2025 report). The FY2025 balance sheet ties exactly: total assets 2,994,786,108 = total liabilities 2,558,955,031 + total equity 435,831,077, in USD before conversion, with no plug row.
FY2025 NEW LINES: 'Deferred tax liabilities' (67,847) and 'Reserves (foreign currency translation)' (3,091,802) appear for the first time; in the P&amp;L, 'Net gains realised on disposal of securities measured at amortised cost' (537,511) and 'Foreign operations - foreign currency translation differences' (3,091,802) likewise. 'Deferred tax assets' and 'Current tax liabilities' print literal DASHES for FY2025 and are carried through as '-', not as 0 - the Bank held the opposite balance in each case (a deferred tax LIABILITY and a current tax ASSET), which a zero would misstate.
FY2024 IS RESTATED IN THE FY2025 EDITION AND THIS WORKBOOK DOES NOT USE THE RESTATEMENT. The FY2025 report heads its comparative column '2024 (Restated)' and moves US$839,784 between personnel and other expenses (personnel 22,907,160 and other 12,661,084 restated, against 23,746,944 and 11,821,300 as originally published). Every subtotal is unaffected - operating expenses, profit before tax and profit for the year are identical on both bases - so this is a pure reclassification. Per this project's standing rule the FY2024 column keeps its OWN edition's figures; the restatement is recorded here, not applied.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'Right-of-use assets' and 'Current tax assets' are shown as separate balance sheet lines only from FY2023 onward - FY2021/FY2022's own balance sheets do not present a right-of-use asset line at all (embedded within 'Property and equipment') and show no current tax asset line (the Bank held a current tax LIABILITY, not asset, in those years). FY2023 explicitly discloses both 'Current tax liabilities' and 'Impairment allowance on committed but undrawn facilities' as nil (US$0), shown as 0 here (a confirmed disclosed nil, not a gap). All years FY2021-FY2024 tie exactly: Total assets = Total liabilities + Total equity, to the penny in USD before conversion - zero plug rows.
HD-048 HISTORICAL STRUCTURE NOTE (FY2014-FY2020): the Bank's balance sheet classification changed materially over this period and rows are mapped onto the modern (FY2021+) labels above for comparability, per this project's convention of holding row labels constant across relabelling. FY2014-FY2017 pre-date IFRS 9 (adopted 1 January 2018): 'Securities measured at fair value through profit or loss' represents the Bank's own 'Securities Trading'/'Securities designated at fair value' line (IAS 39 FVTPL); 'Securities measured at amortised cost' represents the Bank's own 'Securities Investment (HTM: Amortised Cost)' held-to-maturity line; 'Securities measured at fair value through OCI' is blank (not zero) for FY2014-FY2016 since the Bank held no available-for-sale securities in those years, and holds the Bank's own 'Securities available for sale' figure for FY2017 (an AFS reserve of exactly $0 was disclosed alongside it that year). 'Derivative financial assets/ liabilities', 'Current tax liabilities', 'Impairment allowance on committed/off-balance-sheet facilities' and 'Lease obligation' are blank (not zero) for FY2014-FY2018 - genuinely not disclosed as separate line items until the Bank's IFRS 9 (FY2018) and IFRS 16 (FY2019) transitions respectively. 'FVOCI Reserves' holds the Bank's own 'AFS Reserve' for FY2017 (both a fair-value-through-OCI type reserve on securities, renamed at the FY2018 IFRS 9 transition) - shown as a disclosed nil (0) for FY2017. All years FY2014-FY2020 individually tie exactly: Total assets = Total liabilities + Total equity, to the penny in USD before conversion - zero plug rows in any year.
See the HD-073 extension note below for the FY2009-FY2013 presentation bridge (native GBP, no split Trading/Investment securities or banks/customers deposits categories, combined Other assets/Prepayments). All years FY2009-FY2013 individually tie exactly: Total assets = Total liabilities + Total equity, to the penny in £ - zero plug rows.</t>
        </is>
      </c>
    </row>
  </sheetData>
  <mergeCells count="1">
    <mergeCell ref="A39:R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Profit or Loss and Other Comprehensive Income</t>
        </is>
      </c>
    </row>
    <row r="2">
      <c r="A2" s="2" t="inlineStr">
        <is>
          <t>£'000 (FY2009-FY2013 native GBP, FY2014 onward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115860.7</v>
      </c>
      <c r="C5" s="6" t="n">
        <v>117726.2</v>
      </c>
      <c r="D5" s="6" t="n">
        <v>118993.4</v>
      </c>
      <c r="E5" s="6" t="n">
        <v>63895.8</v>
      </c>
      <c r="F5" s="6" t="n">
        <v>31528.2</v>
      </c>
      <c r="G5" s="6" t="n">
        <v>35631.2</v>
      </c>
      <c r="H5" s="6" t="n">
        <v>43599.7</v>
      </c>
      <c r="I5" s="6" t="n">
        <v>33003.8</v>
      </c>
      <c r="J5" s="6" t="n">
        <v>25309.2</v>
      </c>
      <c r="K5" s="6" t="n">
        <v>27970.2</v>
      </c>
      <c r="L5" s="6" t="n">
        <v>28727.1</v>
      </c>
      <c r="M5" s="6" t="n">
        <v>32288.9</v>
      </c>
      <c r="N5" s="6" t="n">
        <v>28518</v>
      </c>
      <c r="O5" s="6" t="n">
        <v>15116.7</v>
      </c>
      <c r="P5" s="6" t="n">
        <v>11927.8</v>
      </c>
      <c r="Q5" s="6" t="n">
        <v>8243.1</v>
      </c>
      <c r="R5" s="6" t="n">
        <v>8943.1</v>
      </c>
    </row>
    <row r="6">
      <c r="A6" s="6" t="inlineStr">
        <is>
          <t>Interest expense</t>
        </is>
      </c>
      <c r="B6" s="6" t="n">
        <v>-51512.7</v>
      </c>
      <c r="C6" s="6" t="n">
        <v>-54871.3</v>
      </c>
      <c r="D6" s="6" t="n">
        <v>-41632.9</v>
      </c>
      <c r="E6" s="6" t="n">
        <v>-12130.6</v>
      </c>
      <c r="F6" s="6" t="n">
        <v>-3720.8</v>
      </c>
      <c r="G6" s="6" t="n">
        <v>-7553.9</v>
      </c>
      <c r="H6" s="6" t="n">
        <v>-8971.299999999999</v>
      </c>
      <c r="I6" s="6" t="n">
        <v>-4041.5</v>
      </c>
      <c r="J6" s="6" t="n">
        <v>-3330.9</v>
      </c>
      <c r="K6" s="6" t="n">
        <v>-6692.7</v>
      </c>
      <c r="L6" s="6" t="n">
        <v>-14135</v>
      </c>
      <c r="M6" s="6" t="n">
        <v>-18079.7</v>
      </c>
      <c r="N6" s="6" t="n">
        <v>-15179</v>
      </c>
      <c r="O6" s="6" t="n">
        <v>-7289.6</v>
      </c>
      <c r="P6" s="6" t="n">
        <v>-3564.6</v>
      </c>
      <c r="Q6" s="6" t="n">
        <v>-1269.1</v>
      </c>
      <c r="R6" s="6" t="n">
        <v>-3028</v>
      </c>
    </row>
    <row r="7">
      <c r="A7" s="5" t="inlineStr">
        <is>
          <t>Net interest income</t>
        </is>
      </c>
      <c r="B7" s="5" t="n">
        <v>64348</v>
      </c>
      <c r="C7" s="5" t="n">
        <v>62855</v>
      </c>
      <c r="D7" s="5" t="n">
        <v>77360.5</v>
      </c>
      <c r="E7" s="5" t="n">
        <v>51765.3</v>
      </c>
      <c r="F7" s="5" t="n">
        <v>27807.4</v>
      </c>
      <c r="G7" s="5" t="n">
        <v>28077.3</v>
      </c>
      <c r="H7" s="5" t="n">
        <v>34628.4</v>
      </c>
      <c r="I7" s="5" t="n">
        <v>28962.3</v>
      </c>
      <c r="J7" s="5" t="n">
        <v>21978.3</v>
      </c>
      <c r="K7" s="5" t="n">
        <v>21277.5</v>
      </c>
      <c r="L7" s="5" t="n">
        <v>14592.1</v>
      </c>
      <c r="M7" s="5" t="n">
        <v>14209.2</v>
      </c>
      <c r="N7" s="5" t="n">
        <v>13339</v>
      </c>
      <c r="O7" s="5" t="n">
        <v>7827.1</v>
      </c>
      <c r="P7" s="5" t="n">
        <v>8363.200000000001</v>
      </c>
      <c r="Q7" s="5" t="n">
        <v>6974</v>
      </c>
      <c r="R7" s="5" t="n">
        <v>5915.1</v>
      </c>
    </row>
    <row r="8">
      <c r="A8" s="6" t="inlineStr">
        <is>
          <t>Fee and commission income</t>
        </is>
      </c>
      <c r="B8" s="6" t="n">
        <v>9463.200000000001</v>
      </c>
      <c r="C8" s="6" t="n">
        <v>7567.8</v>
      </c>
      <c r="D8" s="6" t="n">
        <v>8364</v>
      </c>
      <c r="E8" s="6" t="n">
        <v>8529.299999999999</v>
      </c>
      <c r="F8" s="6" t="n">
        <v>6454.5</v>
      </c>
      <c r="G8" s="6" t="n">
        <v>5877.2</v>
      </c>
      <c r="H8" s="6" t="n">
        <v>4871.4</v>
      </c>
      <c r="I8" s="6" t="n">
        <v>4673.2</v>
      </c>
      <c r="J8" s="6" t="n">
        <v>4438.5</v>
      </c>
      <c r="K8" s="6" t="n">
        <v>3962.5</v>
      </c>
      <c r="L8" s="6" t="n">
        <v>4924.6</v>
      </c>
      <c r="M8" s="6" t="n">
        <v>4725.1</v>
      </c>
      <c r="N8" s="6" t="n">
        <v>4366.4</v>
      </c>
      <c r="O8" s="6" t="n">
        <v>4044.9</v>
      </c>
      <c r="P8" s="6" t="n">
        <v>2827.7</v>
      </c>
      <c r="Q8" s="6" t="n">
        <v>2106.2</v>
      </c>
      <c r="R8" s="6" t="n">
        <v>2050.4</v>
      </c>
    </row>
    <row r="9">
      <c r="A9" s="6" t="inlineStr">
        <is>
          <t>Trading income</t>
        </is>
      </c>
      <c r="B9" s="6" t="n">
        <v>3132.6</v>
      </c>
      <c r="C9" s="6" t="n">
        <v>3094.9</v>
      </c>
      <c r="D9" s="6" t="n"/>
      <c r="E9" s="6" t="n"/>
      <c r="F9" s="6" t="n"/>
      <c r="G9" s="6" t="n"/>
      <c r="H9" s="6" t="n"/>
      <c r="I9" s="6" t="n"/>
      <c r="J9" s="6" t="n"/>
      <c r="K9" s="6" t="n"/>
      <c r="L9" s="6" t="n"/>
      <c r="M9" s="6" t="n"/>
      <c r="N9" s="6" t="n"/>
      <c r="O9" s="6" t="n"/>
      <c r="P9" s="6" t="n"/>
      <c r="Q9" s="6" t="n"/>
      <c r="R9" s="6" t="n"/>
    </row>
    <row r="10">
      <c r="A10" s="6" t="inlineStr">
        <is>
          <t>Trading and other income</t>
        </is>
      </c>
      <c r="B10" s="6" t="n"/>
      <c r="C10" s="6" t="n"/>
      <c r="D10" s="6" t="n">
        <v>2002.1</v>
      </c>
      <c r="E10" s="6" t="n">
        <v>4256.7</v>
      </c>
      <c r="F10" s="6" t="n">
        <v>815.4</v>
      </c>
      <c r="G10" s="6" t="n">
        <v>6293.8</v>
      </c>
      <c r="H10" s="6" t="n">
        <v>6019.1</v>
      </c>
      <c r="I10" s="6" t="n">
        <v>3606.7</v>
      </c>
      <c r="J10" s="6" t="n">
        <v>4611.4</v>
      </c>
      <c r="K10" s="6" t="n">
        <v>2328.6</v>
      </c>
      <c r="L10" s="6" t="n">
        <v>1630.1</v>
      </c>
      <c r="M10" s="6" t="n">
        <v>1683.2</v>
      </c>
      <c r="N10" s="6" t="n">
        <v>727.7</v>
      </c>
      <c r="O10" s="6" t="n">
        <v>2573.1</v>
      </c>
      <c r="P10" s="6" t="n">
        <v>859.7</v>
      </c>
      <c r="Q10" s="6" t="n">
        <v>288.4</v>
      </c>
      <c r="R10" s="6" t="n">
        <v>681.6</v>
      </c>
    </row>
    <row r="11">
      <c r="A11" s="6" t="inlineStr">
        <is>
          <t>Net gains/(losses) on disposal of securities measured at FVOCI</t>
        </is>
      </c>
      <c r="B11" s="6" t="n">
        <v>1252.6</v>
      </c>
      <c r="C11" s="6" t="n">
        <v>-164.8</v>
      </c>
      <c r="D11" s="6" t="n">
        <v>-1331.6</v>
      </c>
      <c r="E11" s="6" t="n"/>
      <c r="F11" s="6" t="n"/>
      <c r="G11" s="6" t="n"/>
      <c r="H11" s="6" t="n"/>
      <c r="I11" s="6" t="n"/>
      <c r="J11" s="6" t="n"/>
      <c r="K11" s="6" t="n"/>
      <c r="L11" s="6" t="n"/>
      <c r="M11" s="6" t="n"/>
      <c r="N11" s="6" t="n"/>
      <c r="O11" s="6" t="n"/>
      <c r="P11" s="6" t="n"/>
      <c r="Q11" s="6" t="n"/>
      <c r="R11" s="6" t="n"/>
    </row>
    <row r="12">
      <c r="A12" s="6" t="inlineStr">
        <is>
          <t>Net gains realised on disposal of securities measured at amortised cost</t>
        </is>
      </c>
      <c r="B12" s="6" t="n">
        <v>407.4</v>
      </c>
      <c r="C12" s="6" t="n"/>
      <c r="D12" s="6" t="n"/>
      <c r="E12" s="6" t="n"/>
      <c r="F12" s="6" t="n"/>
      <c r="G12" s="6" t="n"/>
      <c r="H12" s="6" t="n"/>
      <c r="I12" s="6" t="n"/>
      <c r="J12" s="6" t="n"/>
      <c r="K12" s="6" t="n"/>
      <c r="L12" s="6" t="n"/>
      <c r="M12" s="6" t="n"/>
      <c r="N12" s="6" t="n"/>
      <c r="O12" s="6" t="n"/>
      <c r="P12" s="6" t="n"/>
      <c r="Q12" s="6" t="n"/>
      <c r="R12" s="6" t="n"/>
    </row>
    <row r="13">
      <c r="A13" s="6" t="inlineStr">
        <is>
          <t>Net loss on derecognition of financial instruments</t>
        </is>
      </c>
      <c r="B13" s="6" t="inlineStr">
        <is>
          <t>-</t>
        </is>
      </c>
      <c r="C13" s="6" t="n">
        <v>-5856.7</v>
      </c>
      <c r="D13" s="6" t="n"/>
      <c r="E13" s="6" t="n"/>
      <c r="F13" s="6" t="n"/>
      <c r="G13" s="6" t="n"/>
      <c r="H13" s="6" t="n"/>
      <c r="I13" s="6" t="n"/>
      <c r="J13" s="6" t="n"/>
      <c r="K13" s="6" t="n"/>
      <c r="L13" s="6" t="n"/>
      <c r="M13" s="6" t="n"/>
      <c r="N13" s="6" t="n"/>
      <c r="O13" s="6" t="n"/>
      <c r="P13" s="6" t="n"/>
      <c r="Q13" s="6" t="n"/>
      <c r="R13" s="6" t="n"/>
    </row>
    <row r="14">
      <c r="A14" s="6" t="inlineStr">
        <is>
          <t>Fair value movement on financial derivatives (net)</t>
        </is>
      </c>
      <c r="B14" s="6" t="n">
        <v>2623.7</v>
      </c>
      <c r="C14" s="6" t="n">
        <v>-2705.2</v>
      </c>
      <c r="D14" s="6" t="n">
        <v>121.2</v>
      </c>
      <c r="E14" s="6" t="n">
        <v>-5585.1</v>
      </c>
      <c r="F14" s="6" t="n"/>
      <c r="G14" s="6" t="n"/>
      <c r="H14" s="6" t="n"/>
      <c r="I14" s="6" t="n"/>
      <c r="J14" s="6" t="n"/>
      <c r="K14" s="6" t="n"/>
      <c r="L14" s="6" t="n"/>
      <c r="M14" s="6" t="n"/>
      <c r="N14" s="6" t="n"/>
      <c r="O14" s="6" t="n"/>
      <c r="P14" s="6" t="n"/>
      <c r="Q14" s="6" t="n"/>
      <c r="R14" s="6" t="n"/>
    </row>
    <row r="15">
      <c r="A15" s="6" t="inlineStr">
        <is>
          <t>Exchange differences</t>
        </is>
      </c>
      <c r="B15" s="6" t="n">
        <v>-2150.3</v>
      </c>
      <c r="C15" s="6" t="n">
        <v>1929.4</v>
      </c>
      <c r="D15" s="6" t="n">
        <v>-1138.2</v>
      </c>
      <c r="E15" s="6" t="n">
        <v>3526.4</v>
      </c>
      <c r="F15" s="6" t="n"/>
      <c r="G15" s="6" t="n"/>
      <c r="H15" s="6" t="n"/>
      <c r="I15" s="6" t="n"/>
      <c r="J15" s="6" t="n"/>
      <c r="K15" s="6" t="n"/>
      <c r="L15" s="6" t="n"/>
      <c r="M15" s="6" t="n"/>
      <c r="N15" s="6" t="n"/>
      <c r="O15" s="6" t="n"/>
      <c r="P15" s="6" t="n"/>
      <c r="Q15" s="6" t="n"/>
      <c r="R15" s="6" t="n"/>
    </row>
    <row r="16">
      <c r="A16" s="6" t="inlineStr">
        <is>
          <t>Revaluation loss</t>
        </is>
      </c>
      <c r="B16" s="6" t="n"/>
      <c r="C16" s="6" t="n"/>
      <c r="D16" s="6" t="n"/>
      <c r="E16" s="6" t="n"/>
      <c r="F16" s="6" t="n">
        <v>-3130.1</v>
      </c>
      <c r="G16" s="6" t="n">
        <v>-1698.3</v>
      </c>
      <c r="H16" s="6" t="n"/>
      <c r="I16" s="6" t="n"/>
      <c r="J16" s="6" t="n"/>
      <c r="K16" s="6" t="n"/>
      <c r="L16" s="6" t="n"/>
      <c r="M16" s="6" t="n"/>
      <c r="N16" s="6" t="n"/>
      <c r="O16" s="6" t="n"/>
      <c r="P16" s="6" t="n"/>
      <c r="Q16" s="6" t="n"/>
      <c r="R16" s="6" t="n"/>
    </row>
    <row r="17">
      <c r="A17" s="5" t="inlineStr">
        <is>
          <t>Operating income</t>
        </is>
      </c>
      <c r="B17" s="5" t="n">
        <v>79077.2</v>
      </c>
      <c r="C17" s="5" t="n">
        <v>66720.5</v>
      </c>
      <c r="D17" s="5" t="n">
        <v>85377.89999999999</v>
      </c>
      <c r="E17" s="5" t="n">
        <v>62492.6</v>
      </c>
      <c r="F17" s="5" t="n">
        <v>31947.1</v>
      </c>
      <c r="G17" s="5" t="n">
        <v>38550</v>
      </c>
      <c r="H17" s="5" t="n">
        <v>45518.9</v>
      </c>
      <c r="I17" s="5" t="n">
        <v>37242.3</v>
      </c>
      <c r="J17" s="5" t="n">
        <v>31028.1</v>
      </c>
      <c r="K17" s="5" t="n">
        <v>27568.5</v>
      </c>
      <c r="L17" s="5" t="n">
        <v>21146.7</v>
      </c>
      <c r="M17" s="5" t="n">
        <v>20617.5</v>
      </c>
      <c r="N17" s="5" t="n">
        <v>18433.1</v>
      </c>
      <c r="O17" s="5" t="n">
        <v>14445</v>
      </c>
      <c r="P17" s="5" t="n">
        <v>12050.6</v>
      </c>
      <c r="Q17" s="5" t="n">
        <v>9368.6</v>
      </c>
      <c r="R17" s="5" t="n">
        <v>8647.1</v>
      </c>
    </row>
    <row r="18">
      <c r="A18" s="6" t="inlineStr">
        <is>
          <t>Personnel expenses</t>
        </is>
      </c>
      <c r="B18" s="6" t="n">
        <v>-19268.5</v>
      </c>
      <c r="C18" s="6" t="n">
        <v>-18578.4</v>
      </c>
      <c r="D18" s="6" t="n">
        <v>-18017.1</v>
      </c>
      <c r="E18" s="6" t="n">
        <v>-13822</v>
      </c>
      <c r="F18" s="6" t="n">
        <v>-12363.2</v>
      </c>
      <c r="G18" s="6" t="n">
        <v>-12869.5</v>
      </c>
      <c r="H18" s="6" t="n">
        <v>-11965.3</v>
      </c>
      <c r="I18" s="6" t="n">
        <v>-10163.3</v>
      </c>
      <c r="J18" s="6" t="n">
        <v>-8615.1</v>
      </c>
      <c r="K18" s="6" t="n">
        <v>-7104.1</v>
      </c>
      <c r="L18" s="6" t="n">
        <v>-7135.6</v>
      </c>
      <c r="M18" s="6" t="n">
        <v>-6205.2</v>
      </c>
      <c r="N18" s="6" t="n">
        <v>-5188.6</v>
      </c>
      <c r="O18" s="6" t="n">
        <v>-4630.8</v>
      </c>
      <c r="P18" s="6" t="n">
        <v>-4336.1</v>
      </c>
      <c r="Q18" s="6" t="n"/>
      <c r="R18" s="6" t="n"/>
    </row>
    <row r="19">
      <c r="A19" s="6" t="inlineStr">
        <is>
          <t>Depreciation and amortisation</t>
        </is>
      </c>
      <c r="B19" s="6" t="n">
        <v>-1668.7</v>
      </c>
      <c r="C19" s="6" t="n">
        <v>-1317.6</v>
      </c>
      <c r="D19" s="6" t="n">
        <v>-1306.3</v>
      </c>
      <c r="E19" s="6" t="n">
        <v>-1354.8</v>
      </c>
      <c r="F19" s="6" t="n">
        <v>-1292.2</v>
      </c>
      <c r="G19" s="6" t="n">
        <v>-1662.3</v>
      </c>
      <c r="H19" s="6" t="n">
        <v>-1471.2</v>
      </c>
      <c r="I19" s="6" t="n">
        <v>-781.4</v>
      </c>
      <c r="J19" s="6" t="n">
        <v>-525.7</v>
      </c>
      <c r="K19" s="6" t="n">
        <v>-580.1</v>
      </c>
      <c r="L19" s="6" t="n">
        <v>-705.8</v>
      </c>
      <c r="M19" s="6" t="n">
        <v>-585.2</v>
      </c>
      <c r="N19" s="6" t="n">
        <v>-761.4</v>
      </c>
      <c r="O19" s="6" t="n">
        <v>-584.1</v>
      </c>
      <c r="P19" s="6" t="n"/>
      <c r="Q19" s="6" t="n"/>
      <c r="R19" s="6" t="n"/>
    </row>
    <row r="20">
      <c r="A20" s="6" t="inlineStr">
        <is>
          <t>Other expenses</t>
        </is>
      </c>
      <c r="B20" s="6" t="n">
        <v>-11307.7</v>
      </c>
      <c r="C20" s="6" t="n">
        <v>-9248.4</v>
      </c>
      <c r="D20" s="6" t="n">
        <v>-6914.1</v>
      </c>
      <c r="E20" s="6" t="n">
        <v>-6438.3</v>
      </c>
      <c r="F20" s="6" t="n">
        <v>-5691</v>
      </c>
      <c r="G20" s="6" t="n">
        <v>-5866.9</v>
      </c>
      <c r="H20" s="6" t="n">
        <v>-4883.1</v>
      </c>
      <c r="I20" s="6" t="n">
        <v>-4313</v>
      </c>
      <c r="J20" s="6" t="n">
        <v>-4176.6</v>
      </c>
      <c r="K20" s="6" t="n">
        <v>-3998.7</v>
      </c>
      <c r="L20" s="6" t="n">
        <v>-3203.4</v>
      </c>
      <c r="M20" s="6" t="n">
        <v>-2286.2</v>
      </c>
      <c r="N20" s="6" t="n">
        <v>-2423.3</v>
      </c>
      <c r="O20" s="6" t="n">
        <v>-2302</v>
      </c>
      <c r="P20" s="6" t="n">
        <v>-2609.5</v>
      </c>
      <c r="Q20" s="6" t="n">
        <v>-5690.3</v>
      </c>
      <c r="R20" s="6" t="n">
        <v>-5394.8</v>
      </c>
    </row>
    <row r="21">
      <c r="A21" s="5" t="inlineStr">
        <is>
          <t>Operating expenses</t>
        </is>
      </c>
      <c r="B21" s="5" t="n">
        <v>-32244.9</v>
      </c>
      <c r="C21" s="5" t="n">
        <v>-29144.4</v>
      </c>
      <c r="D21" s="5" t="n">
        <v>-26237.5</v>
      </c>
      <c r="E21" s="5" t="n">
        <v>-21615.1</v>
      </c>
      <c r="F21" s="5" t="n">
        <v>-19346.4</v>
      </c>
      <c r="G21" s="5" t="n">
        <v>-20398.7</v>
      </c>
      <c r="H21" s="5" t="n">
        <v>-18319.5</v>
      </c>
      <c r="I21" s="5" t="n">
        <v>-15257.7</v>
      </c>
      <c r="J21" s="5" t="n">
        <v>-13317.5</v>
      </c>
      <c r="K21" s="5" t="n">
        <v>-11683</v>
      </c>
      <c r="L21" s="5" t="n">
        <v>-11044.7</v>
      </c>
      <c r="M21" s="5" t="n">
        <v>-9076.6</v>
      </c>
      <c r="N21" s="5" t="n">
        <v>-8373.299999999999</v>
      </c>
      <c r="O21" s="5" t="n">
        <v>-7516.9</v>
      </c>
      <c r="P21" s="5" t="n">
        <v>-6945.6</v>
      </c>
      <c r="Q21" s="5" t="n">
        <v>-5690.3</v>
      </c>
      <c r="R21" s="5" t="n">
        <v>-5394.8</v>
      </c>
    </row>
    <row r="22">
      <c r="A22" s="5" t="inlineStr">
        <is>
          <t>Operating profit before impairment provision and taxation</t>
        </is>
      </c>
      <c r="B22" s="5" t="n">
        <v>46832.3</v>
      </c>
      <c r="C22" s="5" t="n">
        <v>37576.1</v>
      </c>
      <c r="D22" s="5" t="n">
        <v>59140.4</v>
      </c>
      <c r="E22" s="5" t="n">
        <v>40877.5</v>
      </c>
      <c r="F22" s="5" t="n">
        <v>12600.7</v>
      </c>
      <c r="G22" s="5" t="n">
        <v>18151.3</v>
      </c>
      <c r="H22" s="5" t="n">
        <v>27199.3</v>
      </c>
      <c r="I22" s="5" t="n">
        <v>21984.6</v>
      </c>
      <c r="J22" s="5" t="n">
        <v>17710.6</v>
      </c>
      <c r="K22" s="5" t="n">
        <v>15885.6</v>
      </c>
      <c r="L22" s="5" t="n">
        <v>10102</v>
      </c>
      <c r="M22" s="5" t="n">
        <v>11540.9</v>
      </c>
      <c r="N22" s="5" t="n">
        <v>10059.7</v>
      </c>
      <c r="O22" s="5" t="n">
        <v>6928.1</v>
      </c>
      <c r="P22" s="5" t="n">
        <v>5105</v>
      </c>
      <c r="Q22" s="5" t="n">
        <v>3678.2</v>
      </c>
      <c r="R22" s="5" t="n">
        <v>3252.3</v>
      </c>
    </row>
    <row r="23">
      <c r="A23" s="6" t="inlineStr">
        <is>
          <t>Net impairment credit/(charge) on financial assets</t>
        </is>
      </c>
      <c r="B23" s="6" t="n">
        <v>2175</v>
      </c>
      <c r="C23" s="6" t="n">
        <v>6434.9</v>
      </c>
      <c r="D23" s="6" t="n">
        <v>-619.9</v>
      </c>
      <c r="E23" s="6" t="n">
        <v>-4262.4</v>
      </c>
      <c r="F23" s="6" t="n">
        <v>-2684.9</v>
      </c>
      <c r="G23" s="6" t="n">
        <v>-1088.6</v>
      </c>
      <c r="H23" s="6" t="n">
        <v>18.4</v>
      </c>
      <c r="I23" s="6" t="n">
        <v>3391.4</v>
      </c>
      <c r="J23" s="6" t="n">
        <v>-5279</v>
      </c>
      <c r="K23" s="6" t="n">
        <v>-13345.8</v>
      </c>
      <c r="L23" s="6" t="n">
        <v>-5456.5</v>
      </c>
      <c r="M23" s="6" t="n">
        <v>0</v>
      </c>
      <c r="N23" s="6" t="n"/>
      <c r="O23" s="6" t="n"/>
      <c r="P23" s="6" t="n"/>
      <c r="Q23" s="6" t="n"/>
      <c r="R23" s="6" t="n"/>
    </row>
    <row r="24">
      <c r="A24" s="5" t="inlineStr">
        <is>
          <t>Profit before tax</t>
        </is>
      </c>
      <c r="B24" s="5" t="n">
        <v>49007.4</v>
      </c>
      <c r="C24" s="5" t="n">
        <v>44011</v>
      </c>
      <c r="D24" s="5" t="n">
        <v>58520.5</v>
      </c>
      <c r="E24" s="5" t="n">
        <v>36615</v>
      </c>
      <c r="F24" s="5" t="n">
        <v>9915.799999999999</v>
      </c>
      <c r="G24" s="5" t="n">
        <v>17062.6</v>
      </c>
      <c r="H24" s="5" t="n">
        <v>27217.8</v>
      </c>
      <c r="I24" s="5" t="n">
        <v>25376.1</v>
      </c>
      <c r="J24" s="5" t="n">
        <v>12431.7</v>
      </c>
      <c r="K24" s="5" t="n">
        <v>2539.8</v>
      </c>
      <c r="L24" s="5" t="n">
        <v>4645.5</v>
      </c>
      <c r="M24" s="5" t="n">
        <v>11540.9</v>
      </c>
      <c r="N24" s="5" t="n">
        <v>10059.7</v>
      </c>
      <c r="O24" s="5" t="n">
        <v>6928.1</v>
      </c>
      <c r="P24" s="5" t="n">
        <v>5105</v>
      </c>
      <c r="Q24" s="5" t="n">
        <v>3678.2</v>
      </c>
      <c r="R24" s="5" t="n">
        <v>3252.3</v>
      </c>
    </row>
    <row r="25">
      <c r="A25" s="6" t="inlineStr">
        <is>
          <t>Income tax expense</t>
        </is>
      </c>
      <c r="B25" s="6" t="n">
        <v>-12254.7</v>
      </c>
      <c r="C25" s="6" t="n">
        <v>-10977.6</v>
      </c>
      <c r="D25" s="6" t="n">
        <v>-14435.4</v>
      </c>
      <c r="E25" s="6" t="n">
        <v>-8140.1</v>
      </c>
      <c r="F25" s="6" t="n">
        <v>-1623.1</v>
      </c>
      <c r="G25" s="6" t="n">
        <v>-3096.7</v>
      </c>
      <c r="H25" s="6" t="n">
        <v>-5323.4</v>
      </c>
      <c r="I25" s="6" t="n">
        <v>-4746.3</v>
      </c>
      <c r="J25" s="6" t="n">
        <v>-1848.6</v>
      </c>
      <c r="K25" s="6" t="n">
        <v>-584.1</v>
      </c>
      <c r="L25" s="6" t="n">
        <v>-1161.4</v>
      </c>
      <c r="M25" s="6" t="n">
        <v>-2798.7</v>
      </c>
      <c r="N25" s="6" t="n">
        <v>-2386.8</v>
      </c>
      <c r="O25" s="6" t="n">
        <v>-1696.1</v>
      </c>
      <c r="P25" s="6" t="n">
        <v>-1482.5</v>
      </c>
      <c r="Q25" s="6" t="n">
        <v>-1061.1</v>
      </c>
      <c r="R25" s="6" t="n">
        <v>-910.7</v>
      </c>
    </row>
    <row r="26">
      <c r="A26" s="5" t="inlineStr">
        <is>
          <t>Profit for the year</t>
        </is>
      </c>
      <c r="B26" s="5" t="n">
        <v>36752.6</v>
      </c>
      <c r="C26" s="5" t="n">
        <v>33033.4</v>
      </c>
      <c r="D26" s="5" t="n">
        <v>44085.1</v>
      </c>
      <c r="E26" s="5" t="n">
        <v>28474.9</v>
      </c>
      <c r="F26" s="5" t="n">
        <v>8292.700000000001</v>
      </c>
      <c r="G26" s="5" t="n">
        <v>13966</v>
      </c>
      <c r="H26" s="5" t="n">
        <v>21894.4</v>
      </c>
      <c r="I26" s="5" t="n">
        <v>20629.7</v>
      </c>
      <c r="J26" s="5" t="n">
        <v>10583.1</v>
      </c>
      <c r="K26" s="5" t="n">
        <v>1955.6</v>
      </c>
      <c r="L26" s="5" t="n">
        <v>3484.1</v>
      </c>
      <c r="M26" s="5" t="n">
        <v>8742.299999999999</v>
      </c>
      <c r="N26" s="5" t="n">
        <v>7672.9</v>
      </c>
      <c r="O26" s="5" t="n">
        <v>5232</v>
      </c>
      <c r="P26" s="5" t="n">
        <v>3622.5</v>
      </c>
      <c r="Q26" s="5" t="n">
        <v>2617.2</v>
      </c>
      <c r="R26" s="5" t="n">
        <v>2341.7</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c r="R27" s="6" t="n"/>
    </row>
    <row r="28">
      <c r="A28" s="6" t="inlineStr">
        <is>
          <t>Foreign operations - foreign currency translation differences</t>
        </is>
      </c>
      <c r="B28" s="6" t="n">
        <v>2343.5</v>
      </c>
      <c r="C28" s="6" t="n"/>
      <c r="D28" s="6" t="n"/>
      <c r="E28" s="6" t="n"/>
      <c r="F28" s="6" t="n"/>
      <c r="G28" s="6" t="n"/>
      <c r="H28" s="6" t="n"/>
      <c r="I28" s="6" t="n"/>
      <c r="J28" s="6" t="n"/>
      <c r="K28" s="6" t="n"/>
      <c r="L28" s="6" t="n"/>
      <c r="M28" s="6" t="n"/>
      <c r="N28" s="6" t="n"/>
      <c r="O28" s="6" t="n"/>
      <c r="P28" s="6" t="n"/>
      <c r="Q28" s="6" t="n"/>
      <c r="R28" s="6" t="n"/>
    </row>
    <row r="29">
      <c r="A29" s="6" t="inlineStr">
        <is>
          <t>Net change in fair value of debt instruments at FVOCI</t>
        </is>
      </c>
      <c r="B29" s="6" t="n">
        <v>3706.6</v>
      </c>
      <c r="C29" s="6" t="n">
        <v>4392.4</v>
      </c>
      <c r="D29" s="6" t="n">
        <v>11073.3</v>
      </c>
      <c r="E29" s="6" t="n">
        <v>-18210.2</v>
      </c>
      <c r="F29" s="6" t="n">
        <v>-2769.3</v>
      </c>
      <c r="G29" s="6" t="n">
        <v>4207.8</v>
      </c>
      <c r="H29" s="6" t="n">
        <v>1067.8</v>
      </c>
      <c r="I29" s="6" t="n">
        <v>-90.2</v>
      </c>
      <c r="J29" s="6" t="n"/>
      <c r="K29" s="6" t="n"/>
      <c r="L29" s="6" t="n"/>
      <c r="M29" s="6" t="n"/>
      <c r="N29" s="6" t="n"/>
      <c r="O29" s="6" t="n"/>
      <c r="P29" s="6" t="n"/>
      <c r="Q29" s="6" t="n"/>
      <c r="R29" s="6" t="n"/>
    </row>
    <row r="30">
      <c r="A30" s="6" t="inlineStr">
        <is>
          <t>Net change in fair value of debt instruments reclassified to profit or loss</t>
        </is>
      </c>
      <c r="B30" s="6" t="n">
        <v>-1252.6</v>
      </c>
      <c r="C30" s="6" t="n">
        <v>164.8</v>
      </c>
      <c r="D30" s="6" t="n">
        <v>1331.6</v>
      </c>
      <c r="E30" s="6" t="n">
        <v>-40.8</v>
      </c>
      <c r="F30" s="6" t="n">
        <v>-435.1</v>
      </c>
      <c r="G30" s="6" t="n">
        <v>-828.9</v>
      </c>
      <c r="H30" s="6" t="n">
        <v>-274.2</v>
      </c>
      <c r="I30" s="6" t="n"/>
      <c r="J30" s="6" t="n"/>
      <c r="K30" s="6" t="n"/>
      <c r="L30" s="6" t="n"/>
      <c r="M30" s="6" t="n"/>
      <c r="N30" s="6" t="n"/>
      <c r="O30" s="6" t="n"/>
      <c r="P30" s="6" t="n"/>
      <c r="Q30" s="6" t="n"/>
      <c r="R30" s="6" t="n"/>
    </row>
    <row r="31">
      <c r="A31" s="6" t="inlineStr">
        <is>
          <t>Expected credit loss reversals/(gains) recognised in income statement</t>
        </is>
      </c>
      <c r="B31" s="6" t="n">
        <v>-250.1</v>
      </c>
      <c r="C31" s="6" t="n">
        <v>-360</v>
      </c>
      <c r="D31" s="6" t="n">
        <v>-155.8</v>
      </c>
      <c r="E31" s="6" t="n"/>
      <c r="F31" s="6" t="n"/>
      <c r="G31" s="6" t="n"/>
      <c r="H31" s="6" t="n"/>
      <c r="I31" s="6" t="n"/>
      <c r="J31" s="6" t="n"/>
      <c r="K31" s="6" t="n"/>
      <c r="L31" s="6" t="n"/>
      <c r="M31" s="6" t="n"/>
      <c r="N31" s="6" t="n"/>
      <c r="O31" s="6" t="n"/>
      <c r="P31" s="6" t="n"/>
      <c r="Q31" s="6" t="n"/>
      <c r="R31" s="6" t="n"/>
    </row>
    <row r="32">
      <c r="A32" s="6" t="inlineStr">
        <is>
          <t>Income tax on items reclassified subsequently to profit or loss</t>
        </is>
      </c>
      <c r="B32" s="6" t="n">
        <v>-613.5</v>
      </c>
      <c r="C32" s="6" t="n">
        <v>-1139.3</v>
      </c>
      <c r="D32" s="6" t="n">
        <v>-3101.2</v>
      </c>
      <c r="E32" s="6" t="n">
        <v>4961</v>
      </c>
      <c r="F32" s="6" t="n">
        <v>522.5</v>
      </c>
      <c r="G32" s="6" t="n">
        <v>-656.6</v>
      </c>
      <c r="H32" s="6" t="n">
        <v>-134.9</v>
      </c>
      <c r="I32" s="6" t="n">
        <v>15.3</v>
      </c>
      <c r="J32" s="6" t="n"/>
      <c r="K32" s="6" t="n"/>
      <c r="L32" s="6" t="n"/>
      <c r="M32" s="6" t="n"/>
      <c r="N32" s="6" t="n"/>
      <c r="O32" s="6" t="n"/>
      <c r="P32" s="6" t="n"/>
      <c r="Q32" s="6" t="n"/>
      <c r="R32" s="6" t="n"/>
    </row>
    <row r="33">
      <c r="A33" s="6" t="inlineStr">
        <is>
          <t>Currency translation reserve arising from change of functional and presentation currency</t>
        </is>
      </c>
      <c r="B33" s="6" t="n"/>
      <c r="C33" s="6" t="n"/>
      <c r="D33" s="6" t="n"/>
      <c r="E33" s="6" t="n"/>
      <c r="F33" s="6" t="n"/>
      <c r="G33" s="6" t="n"/>
      <c r="H33" s="6" t="n"/>
      <c r="I33" s="6" t="n"/>
      <c r="J33" s="6" t="n"/>
      <c r="K33" s="6" t="n"/>
      <c r="L33" s="6" t="n"/>
      <c r="M33" s="6" t="n">
        <v>-1352.9</v>
      </c>
      <c r="N33" s="6" t="n"/>
      <c r="O33" s="6" t="n"/>
      <c r="P33" s="6" t="n"/>
      <c r="Q33" s="6" t="n"/>
      <c r="R33" s="6" t="n"/>
    </row>
    <row r="34">
      <c r="A34" s="5" t="inlineStr">
        <is>
          <t>Other comprehensive income for the year (net of tax)</t>
        </is>
      </c>
      <c r="B34" s="5" t="n">
        <v>3933.9</v>
      </c>
      <c r="C34" s="5" t="n">
        <v>3057.9</v>
      </c>
      <c r="D34" s="5" t="n">
        <v>9147.799999999999</v>
      </c>
      <c r="E34" s="5" t="n">
        <v>-13290.1</v>
      </c>
      <c r="F34" s="5" t="n">
        <v>-2681.9</v>
      </c>
      <c r="G34" s="5" t="n">
        <v>2722.3</v>
      </c>
      <c r="H34" s="5" t="n">
        <v>658.7</v>
      </c>
      <c r="I34" s="5" t="n">
        <v>-74.8</v>
      </c>
      <c r="J34" s="5" t="n">
        <v>0</v>
      </c>
      <c r="K34" s="5" t="n">
        <v>0</v>
      </c>
      <c r="L34" s="5" t="n">
        <v>0</v>
      </c>
      <c r="M34" s="5" t="n">
        <v>-1352.9</v>
      </c>
      <c r="N34" s="5" t="n">
        <v>0</v>
      </c>
      <c r="O34" s="5" t="n">
        <v>0</v>
      </c>
      <c r="P34" s="5" t="n">
        <v>0</v>
      </c>
      <c r="Q34" s="5" t="n">
        <v>0</v>
      </c>
      <c r="R34" s="5" t="n">
        <v>0</v>
      </c>
    </row>
    <row r="35">
      <c r="A35" s="5" t="inlineStr">
        <is>
          <t>Total comprehensive income for the year</t>
        </is>
      </c>
      <c r="B35" s="5" t="n">
        <v>40686.6</v>
      </c>
      <c r="C35" s="5" t="n">
        <v>36091.3</v>
      </c>
      <c r="D35" s="5" t="n">
        <v>53232.9</v>
      </c>
      <c r="E35" s="5" t="n">
        <v>15184.8</v>
      </c>
      <c r="F35" s="5" t="n">
        <v>5610.8</v>
      </c>
      <c r="G35" s="5" t="n">
        <v>16688.2</v>
      </c>
      <c r="H35" s="5" t="n">
        <v>22553.1</v>
      </c>
      <c r="I35" s="5" t="n">
        <v>20554.9</v>
      </c>
      <c r="J35" s="5" t="n">
        <v>10583.1</v>
      </c>
      <c r="K35" s="5" t="n">
        <v>1955.6</v>
      </c>
      <c r="L35" s="5" t="n">
        <v>3484.1</v>
      </c>
      <c r="M35" s="5" t="n">
        <v>7389.3</v>
      </c>
      <c r="N35" s="5" t="n">
        <v>7672.9</v>
      </c>
      <c r="O35" s="5" t="n">
        <v>5232</v>
      </c>
      <c r="P35" s="5" t="n">
        <v>3622.5</v>
      </c>
      <c r="Q35" s="5" t="n">
        <v>2617.2</v>
      </c>
      <c r="R35" s="5" t="n">
        <v>2341.7</v>
      </c>
    </row>
    <row r="37" ht="420" customHeight="1">
      <c r="A37"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Annual Report and Financial Statements 2025, pp.39-40 printed (PDF pp.41-42), Statement of Profit or Loss and Other Comprehensive Income / Statement of Financial Position - https://find-and-update.company-information.service.gov.uk/company/05713749/filing-history/MzUyMjI1NjUwM2FkaXF6a2N4/document?format=pdf&amp;download=0
FY2025 ADDED 2026-09-18 from the Companies House filing, which is an image-only scan read VISUALLY at 300 dpi (see the Cash Flow Statement sheet's note for why the Bank's own site has no FY2025 report). The FY2025 balance sheet ties exactly: total assets 2,994,786,108 = total liabilities 2,558,955,031 + total equity 435,831,077, in USD before conversion, with no plug row.
FY2025 NEW LINES: 'Deferred tax liabilities' (67,847) and 'Reserves (foreign currency translation)' (3,091,802) appear for the first time; in the P&amp;L, 'Net gains realised on disposal of securities measured at amortised cost' (537,511) and 'Foreign operations - foreign currency translation differences' (3,091,802) likewise. 'Deferred tax assets' and 'Current tax liabilities' print literal DASHES for FY2025 and are carried through as '-', not as 0 - the Bank held the opposite balance in each case (a deferred tax LIABILITY and a current tax ASSET), which a zero would misstate.
FY2024 IS RESTATED IN THE FY2025 EDITION AND THIS WORKBOOK DOES NOT USE THE RESTATEMENT. The FY2025 report heads its comparative column '2024 (Restated)' and moves US$839,784 between personnel and other expenses (personnel 22,907,160 and other 12,661,084 restated, against 23,746,944 and 11,821,300 as originally published). Every subtotal is unaffected - operating expenses, profit before tax and profit for the year are identical on both bases - so this is a pure reclassification. Per this project's standing rule the FY2024 column keeps its OWN edition's figures; the restatement is recorded here, not applied.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row labels are held constant across years for comparability where the underlying concept is the same, even though the Bank's own report relabels/regroups some lines year to year - e.g. FY2022/FY2023's own reports label the pre-impairment subtotal 'Net operating income' rather than 'Operating profit before impairment provision and taxation' (FY2021/FY2024's label, used here throughout); 'Trading income' (FY2024) replaces 'Trading and other income' (FY2021-FY2023) as a relabelling, not a scope change; FY2021's FV-movement/exchange-difference/FVOCI-disposal lines are combined into a single 'Revaluation loss' line in that year's report (not split as in later years, and NOT split to match AR2022's restated FY2021 comparative - FY2021's own report figure is used). 'Net gains/(losses) on disposal of securities measured at FVOCI' and 'Expected credit loss reversals/(gains) recognised in income statement' are new lines first disclosed in FY2023's own report (present for FY2023 and FY2024 only; blank, not zero, for FY2021/FY2022 since those years' own reports genuinely do not disclose them as separate items - each is a carve-out of a few tens of thousands of dollars from a pre-existing broader line, with zero effect on any subtotal). RESTATEMENT NOTE: FY2023's own P&amp;L (used for FY2023's column here, net interest income $96,228,685) differs from the FY2024 Annual Report's restated FY2023 comparative (interest income revised down to $147,456,638, net interest income $95,669,439) - FY2023's own report figure is used, consistent with this project's convention and the same restatement already documented on the Cash Flow Statement sheet. All totals tie exactly to the penny in USD before conversion for FY2021-FY2024 - zero plug rows.
HD-048 HISTORICAL NOTE (FY2014-FY2020): FY2014-FY2017 (pre-IFRS 9) show a single 'Net impairment credit/(charge)' figure that was always a charge (never a credit) under the IAS 39 incurred-loss model then in force - FY2014 discloses this as an explicit nil ($0, per the comparative column in its own FY2015 Annual Report), not a genuine gap. 'Trading and other income' holds the Bank's own 'Other Income' (FY2014-FY2015) and 'Trading and other income' (FY2016-FY2019) lines - the same broad non-interest, non-fee income category (including FX gains) under differing labels each year. FY2014's Other Comprehensive Income is a one-off 'Currency translation reserve arising from change of functional and presentation currency' movement (-$2,227,602, fully unwound by year-end), per the Bank's own note 2(b) - a genuine historical accounting event (the Bank changed its functional and presentation currency from GBP to USD during 2013/2014), not a fair-value item, and unrelated to this workbook's own USD-to-£ conversion overlay. DISCREPANCY NOTE: FY2018's own P&amp;L states Other Comprehensive Income for the year as $(99,803) (shown here, tying to Total Comprehensive Income $27,409,954), but the Statement of Changes in Equity's own FVOCI Reserve column moves by only $(35,856) that year (from $(63,947) post-IFRS 9 transition to $(99,803) closing) - the $63,947 gap exactly equals the FY2018 opening IFRS 9 transition adjustment, suggesting the Bank's own P&amp;L 'OCI for the year' line may have inadvertently included that opening adjustment rather than showing only the year's movement. Both figures are shown exactly as each statement discloses them (P&amp;L here; Statement of Changes in Equity on its own sheet) rather than forcing an artificial reconciliation - flagged as a genuine apparent inconsistency in the Bank's own FY2018 Annual Report, not a data-entry error in this workbook. All other years FY2014-FY2020 tie exactly to the penny in USD before conversion - zero plug rows.
HD-073 EXTENSION NOTE (FY2009-FY2013): 'Net impairment credit/(charge)' is blank (not zero) for all five years - none of these years' own P&amp;L accounts separately disclose an impairment charge, so it cannot be honestly distinguished from 'Other expenses' below. 'Personnel expenses' and 'Depreciation and amortisation' are blank (not zero) for FY2009/FY2010 - both years' own reports show a single combined 'Administrative expenses' line (shown here under 'Other expenses'); FY2011 splits out 'Employee costs' (shown as 'Personnel expenses') but still combines depreciation within its own 'Administrative expenses' line (shown here under 'Other expenses'). Each year FY2009-FY2013 ties exactly: Operating income - Operating expenses = Operating profit before tax = Profit before tax (no separate impairment line in any of these years' own reports), and Profit before tax - tax = Profit for the year, to the penny in £ - zero plug rows. Other Comprehensive Income is shown as an explicit disclosed nil (0) for FY2009-FY2013: each year's own report states 'There are no recognised gains or losses for the year other than as stated above' (FY2009-FY2011) or explicitly discloses 'Other Comprehensive Income for the year: -' (FY2012-FY2013). See the HD-073 extension note on the Cash Flow Statement sheet for the restatement/relabelling discrepancies between each year's own report and later years' comparative columns.</t>
        </is>
      </c>
    </row>
  </sheetData>
  <mergeCells count="1">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Changes in Equity</t>
        </is>
      </c>
    </row>
    <row r="2">
      <c r="A2" s="2" t="inlineStr">
        <is>
          <t>£'000 (FY2012-FY2013 native GBP, FY2014 onward converted from USD) - chronological 1 January 2012 through 31 December 2025. No FY2009-FY2011 movement shown (no Statement of Changes in Equity disclosed those years - see HD-073 extension note).</t>
        </is>
      </c>
    </row>
    <row r="3">
      <c r="A3" s="4" t="inlineStr">
        <is>
          <t>Movement</t>
        </is>
      </c>
      <c r="B3" s="4" t="inlineStr">
        <is>
          <t>Share Capital</t>
        </is>
      </c>
      <c r="C3" s="4" t="inlineStr">
        <is>
          <t>Currency Translation Reserve</t>
        </is>
      </c>
      <c r="D3" s="4" t="inlineStr">
        <is>
          <t>FVOCI Reserves</t>
        </is>
      </c>
      <c r="E3" s="4" t="inlineStr">
        <is>
          <t>Retained Earnings</t>
        </is>
      </c>
      <c r="F3" s="4" t="inlineStr">
        <is>
          <t>Total Equity</t>
        </is>
      </c>
    </row>
    <row r="4">
      <c r="A4" s="5" t="inlineStr">
        <is>
          <t>Balance as at 1 January 2012</t>
        </is>
      </c>
      <c r="B4" s="5" t="n">
        <v>35001</v>
      </c>
      <c r="C4" s="5" t="n">
        <v>0</v>
      </c>
      <c r="D4" s="5" t="n">
        <v>0</v>
      </c>
      <c r="E4" s="5" t="n">
        <v>8108.5</v>
      </c>
      <c r="F4" s="5" t="n">
        <v>43109.5</v>
      </c>
    </row>
    <row r="5">
      <c r="A5" s="6" t="inlineStr">
        <is>
          <t>Profit for the year (FY2012)</t>
        </is>
      </c>
      <c r="B5" s="6" t="n">
        <v>0</v>
      </c>
      <c r="C5" s="6" t="n">
        <v>0</v>
      </c>
      <c r="D5" s="6" t="n">
        <v>0</v>
      </c>
      <c r="E5" s="6" t="n">
        <v>5232</v>
      </c>
      <c r="F5" s="6" t="n">
        <v>5232</v>
      </c>
    </row>
    <row r="6">
      <c r="A6" s="6" t="inlineStr">
        <is>
          <t>Transfer from reserves (FY2012)</t>
        </is>
      </c>
      <c r="B6" s="6" t="n">
        <v>0</v>
      </c>
      <c r="C6" s="6" t="n">
        <v>0</v>
      </c>
      <c r="D6" s="6" t="n">
        <v>0</v>
      </c>
      <c r="E6" s="6" t="n">
        <v>36.5</v>
      </c>
      <c r="F6" s="6" t="n">
        <v>36.5</v>
      </c>
    </row>
    <row r="7">
      <c r="A7" s="6" t="inlineStr">
        <is>
          <t>Shares issued (FY2012)</t>
        </is>
      </c>
      <c r="B7" s="6" t="n">
        <v>18458.1</v>
      </c>
      <c r="C7" s="6" t="n">
        <v>0</v>
      </c>
      <c r="D7" s="6" t="n">
        <v>0</v>
      </c>
      <c r="E7" s="6" t="n">
        <v>0</v>
      </c>
      <c r="F7" s="6" t="n">
        <v>18458.1</v>
      </c>
    </row>
    <row r="8">
      <c r="A8" s="5" t="inlineStr">
        <is>
          <t>Balance as at 31 December 2012 / 1 January 2013</t>
        </is>
      </c>
      <c r="B8" s="5" t="n">
        <v>53459.1</v>
      </c>
      <c r="C8" s="5" t="n">
        <v>0</v>
      </c>
      <c r="D8" s="5" t="n">
        <v>0</v>
      </c>
      <c r="E8" s="5" t="n">
        <v>13377</v>
      </c>
      <c r="F8" s="5" t="n">
        <v>66836.10000000001</v>
      </c>
    </row>
    <row r="9">
      <c r="A9" s="6" t="inlineStr">
        <is>
          <t>Profit for the year (FY2013)</t>
        </is>
      </c>
      <c r="B9" s="6" t="n">
        <v>0</v>
      </c>
      <c r="C9" s="6" t="n">
        <v>0</v>
      </c>
      <c r="D9" s="6" t="n">
        <v>0</v>
      </c>
      <c r="E9" s="6" t="n">
        <v>7672.9</v>
      </c>
      <c r="F9" s="6" t="n">
        <v>7672.9</v>
      </c>
    </row>
    <row r="10">
      <c r="A10" s="5" t="inlineStr">
        <is>
          <t>Balance as at 31 December 2013 (per FY2013's own Annual Report)</t>
        </is>
      </c>
      <c r="B10" s="5" t="n">
        <v>53459.1</v>
      </c>
      <c r="C10" s="5" t="n">
        <v>0</v>
      </c>
      <c r="D10" s="5" t="n">
        <v>0</v>
      </c>
      <c r="E10" s="5" t="n">
        <v>21049.9</v>
      </c>
      <c r="F10" s="5" t="n">
        <v>74509</v>
      </c>
    </row>
    <row r="11">
      <c r="A11" s="5" t="inlineStr">
        <is>
          <t>Balance as at 1 January 2014</t>
        </is>
      </c>
      <c r="B11" s="5" t="n">
        <v>52566.5</v>
      </c>
      <c r="C11" s="5" t="n">
        <v>1347.7</v>
      </c>
      <c r="D11" s="5" t="n">
        <v>0</v>
      </c>
      <c r="E11" s="5" t="n">
        <v>20630.9</v>
      </c>
      <c r="F11" s="5" t="n">
        <v>74545.10000000001</v>
      </c>
    </row>
    <row r="12">
      <c r="A12" s="6" t="inlineStr">
        <is>
          <t>Profit for the year (FY2014)</t>
        </is>
      </c>
      <c r="B12" s="6" t="n">
        <v>0</v>
      </c>
      <c r="C12" s="6" t="n">
        <v>0</v>
      </c>
      <c r="D12" s="6" t="n">
        <v>0</v>
      </c>
      <c r="E12" s="6" t="n">
        <v>8742.299999999999</v>
      </c>
      <c r="F12" s="6" t="n">
        <v>8742.299999999999</v>
      </c>
    </row>
    <row r="13">
      <c r="A13" s="6" t="inlineStr">
        <is>
          <t>Adjustment resulting from redenomination (FY2014)</t>
        </is>
      </c>
      <c r="B13" s="6" t="n">
        <v>-112.7</v>
      </c>
      <c r="C13" s="6" t="n">
        <v>0</v>
      </c>
      <c r="D13" s="6" t="n">
        <v>0</v>
      </c>
      <c r="E13" s="6" t="n">
        <v>0</v>
      </c>
      <c r="F13" s="6" t="n">
        <v>-112.7</v>
      </c>
    </row>
    <row r="14">
      <c r="A14" s="6" t="inlineStr">
        <is>
          <t>Issuance of new shares (FY2014)</t>
        </is>
      </c>
      <c r="B14" s="6" t="n">
        <v>30367.4</v>
      </c>
      <c r="C14" s="6" t="n">
        <v>0</v>
      </c>
      <c r="D14" s="6" t="n">
        <v>0</v>
      </c>
      <c r="E14" s="6" t="n">
        <v>0</v>
      </c>
      <c r="F14" s="6" t="n">
        <v>30367.4</v>
      </c>
    </row>
    <row r="15">
      <c r="A15" s="6" t="inlineStr">
        <is>
          <t>Currency translation reserve movement (FY2014)</t>
        </is>
      </c>
      <c r="B15" s="6" t="n">
        <v>0</v>
      </c>
      <c r="C15" s="6" t="n">
        <v>-1352.9</v>
      </c>
      <c r="D15" s="6" t="n">
        <v>0</v>
      </c>
      <c r="E15" s="6" t="n">
        <v>0</v>
      </c>
      <c r="F15" s="6" t="n">
        <v>-1352.9</v>
      </c>
    </row>
    <row r="16">
      <c r="A16" s="5" t="inlineStr">
        <is>
          <t>Balance as at 31 December 2014</t>
        </is>
      </c>
      <c r="B16" s="5" t="n">
        <v>87584.3</v>
      </c>
      <c r="C16" s="5" t="n">
        <v>0</v>
      </c>
      <c r="D16" s="5" t="n">
        <v>0</v>
      </c>
      <c r="E16" s="5" t="n">
        <v>31070.6</v>
      </c>
      <c r="F16" s="5" t="n">
        <v>118654.9</v>
      </c>
    </row>
    <row r="17">
      <c r="A17" s="6" t="inlineStr">
        <is>
          <t>Profit for the year (FY2015)</t>
        </is>
      </c>
      <c r="B17" s="6" t="n">
        <v>0</v>
      </c>
      <c r="C17" s="6" t="n">
        <v>0</v>
      </c>
      <c r="D17" s="6" t="n">
        <v>0</v>
      </c>
      <c r="E17" s="6" t="n">
        <v>3484.1</v>
      </c>
      <c r="F17" s="6" t="n">
        <v>3484.1</v>
      </c>
    </row>
    <row r="18">
      <c r="A18" s="5" t="inlineStr">
        <is>
          <t>Balance as at 31 December 2015</t>
        </is>
      </c>
      <c r="B18" s="5" t="n">
        <v>92247.5</v>
      </c>
      <c r="C18" s="5" t="n">
        <v>0</v>
      </c>
      <c r="D18" s="5" t="n">
        <v>0</v>
      </c>
      <c r="E18" s="5" t="n">
        <v>36317.6</v>
      </c>
      <c r="F18" s="5" t="n">
        <v>128565.1</v>
      </c>
    </row>
    <row r="19">
      <c r="A19" s="6" t="inlineStr">
        <is>
          <t>Profit for the year (FY2016)</t>
        </is>
      </c>
      <c r="B19" s="6" t="n">
        <v>0</v>
      </c>
      <c r="C19" s="6" t="n">
        <v>0</v>
      </c>
      <c r="D19" s="6" t="n">
        <v>0</v>
      </c>
      <c r="E19" s="6" t="n">
        <v>1955.6</v>
      </c>
      <c r="F19" s="6" t="n">
        <v>1955.6</v>
      </c>
    </row>
    <row r="20">
      <c r="A20" s="5" t="inlineStr">
        <is>
          <t>Balance as at 31 December 2016</t>
        </is>
      </c>
      <c r="B20" s="5" t="n">
        <v>111112.4</v>
      </c>
      <c r="C20" s="5" t="n">
        <v>0</v>
      </c>
      <c r="D20" s="5" t="n">
        <v>0</v>
      </c>
      <c r="E20" s="5" t="n">
        <v>45888.6</v>
      </c>
      <c r="F20" s="5" t="n">
        <v>157001.1</v>
      </c>
    </row>
    <row r="21">
      <c r="A21" s="6" t="inlineStr">
        <is>
          <t>Profit for the year (FY2017)</t>
        </is>
      </c>
      <c r="B21" s="6" t="n">
        <v>0</v>
      </c>
      <c r="C21" s="6" t="n">
        <v>0</v>
      </c>
      <c r="D21" s="6" t="n">
        <v>0</v>
      </c>
      <c r="E21" s="6" t="n">
        <v>10583.1</v>
      </c>
      <c r="F21" s="6" t="n">
        <v>10583.1</v>
      </c>
    </row>
    <row r="22">
      <c r="A22" s="5" t="inlineStr">
        <is>
          <t>Balance as at 31 December 2017</t>
        </is>
      </c>
      <c r="B22" s="5" t="n">
        <v>101185.5</v>
      </c>
      <c r="C22" s="5" t="n">
        <v>0</v>
      </c>
      <c r="D22" s="5" t="n">
        <v>0</v>
      </c>
      <c r="E22" s="5" t="n">
        <v>51876.9</v>
      </c>
      <c r="F22" s="5" t="n">
        <v>153062.4</v>
      </c>
    </row>
    <row r="23">
      <c r="A23" s="6" t="inlineStr">
        <is>
          <t>Impact of adopting IFRS 9 at 1 January 2018</t>
        </is>
      </c>
      <c r="B23" s="6" t="n">
        <v>0</v>
      </c>
      <c r="C23" s="6" t="n">
        <v>0</v>
      </c>
      <c r="D23" s="6" t="n">
        <v>-48</v>
      </c>
      <c r="E23" s="6" t="n">
        <v>-6597.4</v>
      </c>
      <c r="F23" s="6" t="n">
        <v>-6645.4</v>
      </c>
    </row>
    <row r="24">
      <c r="A24" s="6" t="inlineStr">
        <is>
          <t>Profit for the year (FY2018)</t>
        </is>
      </c>
      <c r="B24" s="6" t="n">
        <v>0</v>
      </c>
      <c r="C24" s="6" t="n">
        <v>0</v>
      </c>
      <c r="D24" s="6" t="n">
        <v>0</v>
      </c>
      <c r="E24" s="6" t="n">
        <v>20629.7</v>
      </c>
      <c r="F24" s="6" t="n">
        <v>20629.7</v>
      </c>
    </row>
    <row r="25">
      <c r="A25" s="6" t="inlineStr">
        <is>
          <t>Fair value reserve movement, debt instruments (FY2018)</t>
        </is>
      </c>
      <c r="B25" s="6" t="n">
        <v>0</v>
      </c>
      <c r="C25" s="6" t="n">
        <v>0</v>
      </c>
      <c r="D25" s="6" t="n">
        <v>-26.9</v>
      </c>
      <c r="E25" s="6" t="n">
        <v>0</v>
      </c>
      <c r="F25" s="6" t="n">
        <v>-26.9</v>
      </c>
    </row>
    <row r="26">
      <c r="A26" s="5" t="inlineStr">
        <is>
          <t>Balance as at 31 December 2018</t>
        </is>
      </c>
      <c r="B26" s="5" t="n">
        <v>107049</v>
      </c>
      <c r="C26" s="5" t="n">
        <v>0</v>
      </c>
      <c r="D26" s="5" t="n">
        <v>-78.2</v>
      </c>
      <c r="E26" s="5" t="n">
        <v>69536.2</v>
      </c>
      <c r="F26" s="5" t="n">
        <v>176507.1</v>
      </c>
    </row>
    <row r="27">
      <c r="A27" s="6" t="inlineStr">
        <is>
          <t>Profit for the year (FY2019)</t>
        </is>
      </c>
      <c r="B27" s="6" t="n">
        <v>0</v>
      </c>
      <c r="C27" s="6" t="n">
        <v>0</v>
      </c>
      <c r="D27" s="6" t="n">
        <v>0</v>
      </c>
      <c r="E27" s="6" t="n">
        <v>21894.4</v>
      </c>
      <c r="F27" s="6" t="n">
        <v>21894.4</v>
      </c>
    </row>
    <row r="28">
      <c r="A28" s="6" t="inlineStr">
        <is>
          <t>Fair value reserve movement, net of tax (FY2019)</t>
        </is>
      </c>
      <c r="B28" s="6" t="n">
        <v>0</v>
      </c>
      <c r="C28" s="6" t="n">
        <v>0</v>
      </c>
      <c r="D28" s="6" t="n">
        <v>658.7</v>
      </c>
      <c r="E28" s="6" t="n">
        <v>0</v>
      </c>
      <c r="F28" s="6" t="n">
        <v>658.7</v>
      </c>
    </row>
    <row r="29">
      <c r="A29" s="5" t="inlineStr">
        <is>
          <t>Balance as at 31 December 2019</t>
        </is>
      </c>
      <c r="B29" s="5" t="n">
        <v>103483.4</v>
      </c>
      <c r="C29" s="5" t="n">
        <v>0</v>
      </c>
      <c r="D29" s="5" t="n">
        <v>560.6</v>
      </c>
      <c r="E29" s="5" t="n">
        <v>88363.7</v>
      </c>
      <c r="F29" s="5" t="n">
        <v>192407.7</v>
      </c>
    </row>
    <row r="30">
      <c r="A30" s="6" t="inlineStr">
        <is>
          <t>Profit for the year (FY2020)</t>
        </is>
      </c>
      <c r="B30" s="6" t="n">
        <v>0</v>
      </c>
      <c r="C30" s="6" t="n">
        <v>0</v>
      </c>
      <c r="D30" s="6" t="n">
        <v>0</v>
      </c>
      <c r="E30" s="6" t="n">
        <v>13966</v>
      </c>
      <c r="F30" s="6" t="n">
        <v>13966</v>
      </c>
    </row>
    <row r="31">
      <c r="A31" s="6" t="inlineStr">
        <is>
          <t>Fair value reserve movement, net of tax (FY2020)</t>
        </is>
      </c>
      <c r="B31" s="6" t="n">
        <v>0</v>
      </c>
      <c r="C31" s="6" t="n">
        <v>0</v>
      </c>
      <c r="D31" s="6" t="n">
        <v>2722.3</v>
      </c>
      <c r="E31" s="6" t="n">
        <v>0</v>
      </c>
      <c r="F31" s="6" t="n">
        <v>2722.3</v>
      </c>
    </row>
    <row r="32">
      <c r="A32" s="5" t="inlineStr">
        <is>
          <t>Balance as at 31 December 2020</t>
        </is>
      </c>
      <c r="B32" s="5" t="n">
        <v>100067.1</v>
      </c>
      <c r="C32" s="5" t="n">
        <v>0</v>
      </c>
      <c r="D32" s="5" t="n">
        <v>3097.7</v>
      </c>
      <c r="E32" s="5" t="n">
        <v>98557.8</v>
      </c>
      <c r="F32" s="5" t="n">
        <v>201722.6</v>
      </c>
    </row>
    <row r="33">
      <c r="A33" s="6" t="inlineStr">
        <is>
          <t>Profit for the year (FY2021)</t>
        </is>
      </c>
      <c r="B33" s="6" t="n">
        <v>0</v>
      </c>
      <c r="C33" s="6" t="n">
        <v>0</v>
      </c>
      <c r="D33" s="6" t="n">
        <v>0</v>
      </c>
      <c r="E33" s="6" t="n">
        <v>8292.700000000001</v>
      </c>
      <c r="F33" s="6" t="n">
        <v>8292.700000000001</v>
      </c>
    </row>
    <row r="34">
      <c r="A34" s="6" t="inlineStr">
        <is>
          <t>Other comprehensive income (FY2021)</t>
        </is>
      </c>
      <c r="B34" s="6" t="n">
        <v>0</v>
      </c>
      <c r="C34" s="6" t="n">
        <v>0</v>
      </c>
      <c r="D34" s="6" t="n">
        <v>-2681.9</v>
      </c>
      <c r="E34" s="6" t="n">
        <v>0</v>
      </c>
      <c r="F34" s="6" t="n">
        <v>-2681.9</v>
      </c>
    </row>
    <row r="35">
      <c r="A35" s="6" t="inlineStr">
        <is>
          <t>Dividends paid to shareholders (FY2021)</t>
        </is>
      </c>
      <c r="B35" s="6" t="n">
        <v>0</v>
      </c>
      <c r="C35" s="6" t="n">
        <v>0</v>
      </c>
      <c r="D35" s="6" t="n">
        <v>0</v>
      </c>
      <c r="E35" s="6" t="n">
        <v>-6512.3</v>
      </c>
      <c r="F35" s="6" t="n">
        <v>-6512.3</v>
      </c>
    </row>
    <row r="36">
      <c r="A36" s="5" t="inlineStr">
        <is>
          <t>Balance as at 31 December 2021</t>
        </is>
      </c>
      <c r="B36" s="5" t="n">
        <v>101103.2</v>
      </c>
      <c r="C36" s="5" t="n">
        <v>0</v>
      </c>
      <c r="D36" s="5" t="n">
        <v>402.1</v>
      </c>
      <c r="E36" s="5" t="n">
        <v>101389.1</v>
      </c>
      <c r="F36" s="5" t="n">
        <v>202894.4</v>
      </c>
    </row>
    <row r="37">
      <c r="A37" s="6" t="inlineStr">
        <is>
          <t>Profit for the year (FY2022)</t>
        </is>
      </c>
      <c r="B37" s="6" t="n">
        <v>0</v>
      </c>
      <c r="C37" s="6" t="n">
        <v>0</v>
      </c>
      <c r="D37" s="6" t="n">
        <v>0</v>
      </c>
      <c r="E37" s="6" t="n">
        <v>28474.9</v>
      </c>
      <c r="F37" s="6" t="n">
        <v>28474.9</v>
      </c>
    </row>
    <row r="38">
      <c r="A38" s="6" t="inlineStr">
        <is>
          <t>Other comprehensive income (FY2022)</t>
        </is>
      </c>
      <c r="B38" s="6" t="n">
        <v>0</v>
      </c>
      <c r="C38" s="6" t="n">
        <v>0</v>
      </c>
      <c r="D38" s="6" t="n">
        <v>-13290.1</v>
      </c>
      <c r="E38" s="6" t="n">
        <v>0</v>
      </c>
      <c r="F38" s="6" t="n">
        <v>-13290.1</v>
      </c>
    </row>
    <row r="39">
      <c r="A39" s="6" t="inlineStr">
        <is>
          <t>Dividends paid to shareholders (FY2022)</t>
        </is>
      </c>
      <c r="B39" s="6" t="n">
        <v>0</v>
      </c>
      <c r="C39" s="6" t="n">
        <v>0</v>
      </c>
      <c r="D39" s="6" t="n">
        <v>0</v>
      </c>
      <c r="E39" s="6" t="n">
        <v>-4610.9</v>
      </c>
      <c r="F39" s="6" t="n">
        <v>-4610.9</v>
      </c>
    </row>
    <row r="40">
      <c r="A40" s="5" t="inlineStr">
        <is>
          <t>Balance as at 31 December 2022</t>
        </is>
      </c>
      <c r="B40" s="5" t="n">
        <v>113004.6</v>
      </c>
      <c r="C40" s="5" t="n">
        <v>0</v>
      </c>
      <c r="D40" s="5" t="n">
        <v>-13131.8</v>
      </c>
      <c r="E40" s="5" t="n">
        <v>137710.9</v>
      </c>
      <c r="F40" s="5" t="n">
        <v>237583.7</v>
      </c>
    </row>
    <row r="41">
      <c r="A41" s="6" t="inlineStr">
        <is>
          <t>Profit for the year (FY2023)</t>
        </is>
      </c>
      <c r="B41" s="6" t="n">
        <v>0</v>
      </c>
      <c r="C41" s="6" t="n">
        <v>0</v>
      </c>
      <c r="D41" s="6" t="n">
        <v>0</v>
      </c>
      <c r="E41" s="6" t="n">
        <v>44085.1</v>
      </c>
      <c r="F41" s="6" t="n">
        <v>44085.1</v>
      </c>
    </row>
    <row r="42">
      <c r="A42" s="6" t="inlineStr">
        <is>
          <t>Other comprehensive income (FY2023)</t>
        </is>
      </c>
      <c r="B42" s="6" t="n">
        <v>0</v>
      </c>
      <c r="C42" s="6" t="n">
        <v>0</v>
      </c>
      <c r="D42" s="6" t="n">
        <v>9147.799999999999</v>
      </c>
      <c r="E42" s="6" t="n">
        <v>0</v>
      </c>
      <c r="F42" s="6" t="n">
        <v>9147.799999999999</v>
      </c>
    </row>
    <row r="43">
      <c r="A43" s="6" t="inlineStr">
        <is>
          <t>Dividends paid to shareholders (FY2023)</t>
        </is>
      </c>
      <c r="B43" s="6" t="n">
        <v>0</v>
      </c>
      <c r="C43" s="6" t="n">
        <v>0</v>
      </c>
      <c r="D43" s="6" t="n">
        <v>0</v>
      </c>
      <c r="E43" s="6" t="n">
        <v>-14149</v>
      </c>
      <c r="F43" s="6" t="n">
        <v>-14149</v>
      </c>
    </row>
    <row r="44">
      <c r="A44" s="5" t="inlineStr">
        <is>
          <t>Balance as at 31 December 2023</t>
        </is>
      </c>
      <c r="B44" s="5" t="n">
        <v>107368.5</v>
      </c>
      <c r="C44" s="5" t="n">
        <v>0</v>
      </c>
      <c r="D44" s="5" t="n">
        <v>-3539.6</v>
      </c>
      <c r="E44" s="5" t="n">
        <v>160089.8</v>
      </c>
      <c r="F44" s="5" t="n">
        <v>263918.8</v>
      </c>
    </row>
    <row r="45">
      <c r="A45" s="6" t="inlineStr">
        <is>
          <t>Profit for the year (FY2024)</t>
        </is>
      </c>
      <c r="B45" s="6" t="n">
        <v>0</v>
      </c>
      <c r="C45" s="6" t="n">
        <v>0</v>
      </c>
      <c r="D45" s="6" t="n">
        <v>0</v>
      </c>
      <c r="E45" s="6" t="n">
        <v>33033.4</v>
      </c>
      <c r="F45" s="6" t="n">
        <v>33033.4</v>
      </c>
    </row>
    <row r="46">
      <c r="A46" s="6" t="inlineStr">
        <is>
          <t>Other comprehensive income (FY2024)</t>
        </is>
      </c>
      <c r="B46" s="6" t="n">
        <v>0</v>
      </c>
      <c r="C46" s="6" t="n">
        <v>0</v>
      </c>
      <c r="D46" s="6" t="n">
        <v>3057.9</v>
      </c>
      <c r="E46" s="6" t="n">
        <v>0</v>
      </c>
      <c r="F46" s="6" t="n">
        <v>3057.9</v>
      </c>
    </row>
    <row r="47">
      <c r="A47" s="6" t="inlineStr">
        <is>
          <t>Dividends paid to shareholders (FY2024)</t>
        </is>
      </c>
      <c r="B47" s="6" t="n">
        <v>0</v>
      </c>
      <c r="C47" s="6" t="n">
        <v>0</v>
      </c>
      <c r="D47" s="6" t="n">
        <v>0</v>
      </c>
      <c r="E47" s="6" t="n">
        <v>0</v>
      </c>
      <c r="F47" s="6" t="n">
        <v>0</v>
      </c>
    </row>
    <row r="48">
      <c r="A48" s="5" t="inlineStr">
        <is>
          <t>Balance as at 31 December 2024</t>
        </is>
      </c>
      <c r="B48" s="5" t="n">
        <v>109230.2</v>
      </c>
      <c r="C48" s="5" t="n">
        <v>0</v>
      </c>
      <c r="D48" s="5" t="n">
        <v>-477.8</v>
      </c>
      <c r="E48" s="5" t="n">
        <v>196603.8</v>
      </c>
      <c r="F48" s="5" t="n">
        <v>305356.2</v>
      </c>
    </row>
    <row r="49">
      <c r="A49" s="6" t="inlineStr">
        <is>
          <t>Profit for the year (FY2025)</t>
        </is>
      </c>
      <c r="B49" s="6" t="n">
        <v>0</v>
      </c>
      <c r="C49" s="6" t="n">
        <v>0</v>
      </c>
      <c r="D49" s="6" t="n">
        <v>0</v>
      </c>
      <c r="E49" s="6" t="n">
        <v>36752.6</v>
      </c>
      <c r="F49" s="6" t="n">
        <v>36752.6</v>
      </c>
    </row>
    <row r="50">
      <c r="A50" s="6" t="inlineStr">
        <is>
          <t>Other comprehensive income (FY2025)</t>
        </is>
      </c>
      <c r="B50" s="6" t="n">
        <v>0</v>
      </c>
      <c r="C50" s="6" t="n">
        <v>2343.5</v>
      </c>
      <c r="D50" s="6" t="n">
        <v>1590.4</v>
      </c>
      <c r="E50" s="6" t="n">
        <v>0</v>
      </c>
      <c r="F50" s="6" t="n">
        <v>3933.9</v>
      </c>
    </row>
    <row r="51">
      <c r="A51" s="6" t="inlineStr">
        <is>
          <t>Dividends paid to shareholders (FY2025)</t>
        </is>
      </c>
      <c r="B51" s="6" t="n">
        <v>0</v>
      </c>
      <c r="C51" s="6" t="n">
        <v>0</v>
      </c>
      <c r="D51" s="6" t="n">
        <v>0</v>
      </c>
      <c r="E51" s="6" t="n">
        <v>0</v>
      </c>
      <c r="F51" s="6" t="n">
        <v>0</v>
      </c>
    </row>
    <row r="52">
      <c r="A52" s="5" t="inlineStr">
        <is>
          <t>Balance as at 31 December 2025</t>
        </is>
      </c>
      <c r="B52" s="5" t="n">
        <v>101652</v>
      </c>
      <c r="C52" s="5" t="n">
        <v>2299.1</v>
      </c>
      <c r="D52" s="5" t="n">
        <v>1115.6</v>
      </c>
      <c r="E52" s="5" t="n">
        <v>219019.5</v>
      </c>
      <c r="F52" s="5" t="n">
        <v>324086.2</v>
      </c>
    </row>
    <row r="54" ht="460" customHeight="1">
      <c r="A54" s="8" t="inlineStr">
        <is>
          <t>Sources - Zenith Bank (UK) Limited's own Statement of Changes in Equity (converted from USD to £, see FX conversion note below):
FY2025: Annual Report and Financial Statements 2025, p.41 printed (PDF p.43) - https://find-and-update.company-information.service.gov.uk/company/05713749/filing-history/MzUyMjI1NjUwM2FkaXF6a2N4/document?format=pdf&amp;download=0
FY2024: Annual Report and Financial Statements 2024, p.45 - https://www.zenith-bank.co.uk/media/2273/2024-annual-report-and-financial-statements.pdf
FY2023: Annual Report and Financial Statements 2023, p.37 - https://www.zenith-bank.co.uk/media/2253/2023-annual-report-and-financial-statements.pdf
FY2022: Annual Report and Financial Statements 2022, p.35 - https://www.zenith-bank.co.uk/media/2237/2022-annual-report-and-financial-statements.pdf
FY2021: Annual Report and Financial Statements 2021, p.33 - https://www.zenith-bank.co.uk/media/2205/2021-annual-report-and-financial-statements.pdf
FY2020: Annual Report 2020, p.33 - https://www.zenith-bank.co.uk/media/2199/zenith-bank-uk-limited-annual-report-2020.pdf
FY2019: Annual Report 2019, p.22 - https://www.zenith-bank.co.uk/media/2169/258558-zenith-web.pdf
FY2018: Annual Report and Financial Statements 2018, p.20 - https://www.zenith-bank.co.uk/media/2151/2018-annual-report.pdf
FY2017: Annual Report and Financial Statements 2017, p.19 - https://www.zenith-bank.co.uk/media/2142/2017-annual-report-and-financial-statements.pdf
FY2016: Annual Report and Accounts 2016, p.11 - https://www.zenith-bank.co.uk/media/1009/statutory_accounts_year_ended_31st_december_2016.pdf
FY2015: Annual Report and Financial Statements 2015, p.12 - https://www.zenith-bank.co.uk/media/1011/zenith_bank_-uk-_ltd_-_annual_report_and_financial_statements_2015.pdf
FY2014: Annual Report and Financial Statements 2014, p.12 - https://www.zenith-bank.co.uk/media/1010/zenith_bank_-uk-_ltd_-_annual_report_and_accounts_2014.pdf
FY2013: Financial Statements for the year ended 31 December 2013, p.11 - https://find-and-update.company-information.service.gov.uk/company/05713749/filing-history/MzEwNDk3MzAyNmFkaXF6a2N4/document?format=pdf&amp;download=0
FY2012: Financial Statements as at 31 December 2012, p.11 (also giving the FY2013 report's own FY2012 comparative column, cross-checked) - https://find-and-update.company-information.service.gov.uk/company/05713749/filing-history/MzA4MDQyODAzOGFkaXF6a2N4/document?format=pdf&amp;download=0
FY2009-FY2011 equity roll-forward is blank: these years' own Annual Reports contain no Statement of Changes in Equity or Statement of Total Recognised Gains and Losses at all (see HD-073 extension note below) - a genuine, disclosed absence.
Opening balance (1 January 2014, the earliest year shown before this HD-073 extension) is converted using the 31 Dec 2013 GBP/USD spot rate (1.6529) since it is the same balance as FY2013's closing position (outside this workbook's window). Every other opening balance is converted using that prior year's own 31 December spot rate for the same reason (e.g. 1 Jan 2021 uses the 31 Dec 2020 rate, 1.3661). Profit/OCI/dividend movements use each year's average rate; balances (opening/closing) use that date's spot rate - consistent with the rest of this workbook's FX methodology (see FX conversion note). Every year ties exactly: each closing balance matches both the next year's opening balance and that year's own Balance Sheet Total equity figure, to the penny in USD before conversion. Zero plug rows. FY2014 includes a one-off 'Currency Translation Reserve' movement (-$2,227,602, fully unwound to nil by 31 December 2014) arising from the Bank's own change of functional and presentation currency (GBP to USD) during 2013/2014, per the Bank's own report note 2(b) - a genuine historical accounting event unrelated to this workbook's own USD-to-£ conversion overlay, kept as its own distinct column rather than merged into the 'FVOCI Reserves' column (a different underlying reserve concept that wasn't introduced until FY2017 (AFS Reserve)/FY2018 (renamed FVOCI Reserve)). See the Profit &amp; Loss sheet's own source note for a flagged discrepancy between FY2018's P&amp;L-stated Other Comprehensive Income and this sheet's own FY2018 FVOCI Reserve movement ($(35,856) shown here, per the Bank's own Statement of Changes in Equity).
FY2025 ADDED 2026-09-18 from the Companies House filing of the FY2025 accounts (the Bank's own site publishes annual reports only to FY2024 - see the Cash Flow Statement sheet note), which is an image-only scan read VISUALLY at 300 dpi. FY2025 ties the same way every other year does: the closing balance 435,831,077 is the FY2025 Balance Sheet Total equity, and the opening balance is FY2024's closing 382,153,296, both in USD before conversion. The Currency Translation Reserve column, nil since FY2014, moves again in FY2025 (+3,091,802) - the Bank's own 'Foreign operations - foreign currency translation differences' line, a new disclosure that year.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54:F5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Zenith Bank (UK) Limited — Statement of Cash Flows</t>
        </is>
      </c>
    </row>
    <row r="2">
      <c r="A2" s="2" t="inlineStr">
        <is>
          <t>£'000 (FY2012-FY2013 native GBP, FY2014 onward converted from USD) - see source note at bottom for FX methodology and rates used. No FY2009-FY2011 column shown (no Statement of Cash Flows disclosed those years - see HD-073 extension note).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row>
    <row r="4">
      <c r="A4" s="5" t="inlineStr">
        <is>
          <t>Operating activities</t>
        </is>
      </c>
      <c r="B4" s="6" t="n"/>
      <c r="C4" s="6" t="n"/>
      <c r="D4" s="6" t="n"/>
      <c r="E4" s="6" t="n"/>
      <c r="F4" s="6" t="n"/>
      <c r="G4" s="6" t="n"/>
      <c r="H4" s="6" t="n"/>
      <c r="I4" s="6" t="n"/>
      <c r="J4" s="6" t="n"/>
      <c r="K4" s="6" t="n"/>
      <c r="L4" s="6" t="n"/>
      <c r="M4" s="6" t="n"/>
      <c r="N4" s="6" t="n"/>
      <c r="O4" s="6" t="n"/>
    </row>
    <row r="5">
      <c r="A5" s="6" t="inlineStr">
        <is>
          <t>Profit for the year</t>
        </is>
      </c>
      <c r="B5" s="6" t="n">
        <v>36752.6</v>
      </c>
      <c r="C5" s="6" t="n">
        <v>33033.4</v>
      </c>
      <c r="D5" s="6" t="n">
        <v>44085.1</v>
      </c>
      <c r="E5" s="6" t="n">
        <v>28474.9</v>
      </c>
      <c r="F5" s="6" t="n">
        <v>8292.700000000001</v>
      </c>
      <c r="G5" s="6" t="n">
        <v>13966</v>
      </c>
      <c r="H5" s="6" t="n">
        <v>21894.4</v>
      </c>
      <c r="I5" s="6" t="n">
        <v>20629.7</v>
      </c>
      <c r="J5" s="6" t="n">
        <v>10583.1</v>
      </c>
      <c r="K5" s="6" t="n">
        <v>1955.6</v>
      </c>
      <c r="L5" s="6" t="n">
        <v>3484.1</v>
      </c>
      <c r="M5" s="6" t="n">
        <v>8742.299999999999</v>
      </c>
      <c r="N5" s="6" t="n">
        <v>7672.9</v>
      </c>
      <c r="O5" s="6" t="n">
        <v>5232</v>
      </c>
    </row>
    <row r="6">
      <c r="A6" s="6" t="inlineStr">
        <is>
          <t>Impairment provision charge/(reversal)</t>
        </is>
      </c>
      <c r="B6" s="6" t="n">
        <v>-2175</v>
      </c>
      <c r="C6" s="6" t="n">
        <v>-6434.9</v>
      </c>
      <c r="D6" s="6" t="n">
        <v>619.9</v>
      </c>
      <c r="E6" s="6" t="n">
        <v>4262.4</v>
      </c>
      <c r="F6" s="6" t="n">
        <v>2684.9</v>
      </c>
      <c r="G6" s="6" t="n">
        <v>1088.6</v>
      </c>
      <c r="H6" s="6" t="n">
        <v>-18.4</v>
      </c>
      <c r="I6" s="6" t="n">
        <v>-3391.4</v>
      </c>
      <c r="J6" s="6" t="n">
        <v>5279</v>
      </c>
      <c r="K6" s="6" t="n">
        <v>13345.8</v>
      </c>
      <c r="L6" s="6" t="n">
        <v>5456.5</v>
      </c>
      <c r="M6" s="6" t="n"/>
      <c r="N6" s="6" t="n"/>
      <c r="O6" s="6" t="n"/>
    </row>
    <row r="7">
      <c r="A7" s="6" t="inlineStr">
        <is>
          <t>Depreciation of property and equipment</t>
        </is>
      </c>
      <c r="B7" s="6" t="n">
        <v>873.2</v>
      </c>
      <c r="C7" s="6" t="n">
        <v>926.7</v>
      </c>
      <c r="D7" s="6" t="n">
        <v>864</v>
      </c>
      <c r="E7" s="6" t="n">
        <v>914.9</v>
      </c>
      <c r="F7" s="6" t="n">
        <v>810.8</v>
      </c>
      <c r="G7" s="6" t="n">
        <v>876.4</v>
      </c>
      <c r="H7" s="6" t="n">
        <v>724.7</v>
      </c>
      <c r="I7" s="6" t="n">
        <v>169.6</v>
      </c>
      <c r="J7" s="6" t="n">
        <v>154.4</v>
      </c>
      <c r="K7" s="6" t="n">
        <v>191.8</v>
      </c>
      <c r="L7" s="6" t="n">
        <v>291.7</v>
      </c>
      <c r="M7" s="6" t="n">
        <v>239.1</v>
      </c>
      <c r="N7" s="6" t="n">
        <v>413.8</v>
      </c>
      <c r="O7" s="6" t="n">
        <v>255.3</v>
      </c>
    </row>
    <row r="8">
      <c r="A8" s="6" t="inlineStr">
        <is>
          <t>Amortisation of intangible assets</t>
        </is>
      </c>
      <c r="B8" s="6" t="n">
        <v>795.6</v>
      </c>
      <c r="C8" s="6" t="n">
        <v>390.8</v>
      </c>
      <c r="D8" s="6" t="n">
        <v>442.3</v>
      </c>
      <c r="E8" s="6" t="n">
        <v>439.9</v>
      </c>
      <c r="F8" s="6" t="n">
        <v>481.5</v>
      </c>
      <c r="G8" s="6" t="n">
        <v>785.9</v>
      </c>
      <c r="H8" s="6" t="n">
        <v>746.4</v>
      </c>
      <c r="I8" s="6" t="n">
        <v>611.8</v>
      </c>
      <c r="J8" s="6" t="n">
        <v>371.3</v>
      </c>
      <c r="K8" s="6" t="n">
        <v>388.3</v>
      </c>
      <c r="L8" s="6" t="n">
        <v>414.1</v>
      </c>
      <c r="M8" s="6" t="n">
        <v>346.1</v>
      </c>
      <c r="N8" s="6" t="n">
        <v>347.6</v>
      </c>
      <c r="O8" s="6" t="n">
        <v>328.7</v>
      </c>
    </row>
    <row r="9">
      <c r="A9" s="6" t="inlineStr">
        <is>
          <t>Interest expense on Right-of-use lease obligations</t>
        </is>
      </c>
      <c r="B9" s="6" t="n">
        <v>258.4</v>
      </c>
      <c r="C9" s="6" t="n">
        <v>271.3</v>
      </c>
      <c r="D9" s="6" t="n">
        <v>14.7</v>
      </c>
      <c r="E9" s="6" t="n"/>
      <c r="F9" s="6" t="n">
        <v>35.8</v>
      </c>
      <c r="G9" s="6" t="n">
        <v>31</v>
      </c>
      <c r="H9" s="6" t="n"/>
      <c r="I9" s="6" t="n"/>
      <c r="J9" s="6" t="n"/>
      <c r="K9" s="6" t="n"/>
      <c r="L9" s="6" t="n"/>
      <c r="M9" s="6" t="n"/>
      <c r="N9" s="6" t="n"/>
      <c r="O9" s="6" t="n"/>
    </row>
    <row r="10">
      <c r="A10" s="6" t="inlineStr">
        <is>
          <t>Interest expense (transition to IFRS 16)</t>
        </is>
      </c>
      <c r="B10" s="6" t="n"/>
      <c r="C10" s="6" t="n"/>
      <c r="D10" s="6" t="n"/>
      <c r="E10" s="6" t="n"/>
      <c r="F10" s="6" t="n"/>
      <c r="G10" s="6" t="n"/>
      <c r="H10" s="6" t="n">
        <v>26.3</v>
      </c>
      <c r="I10" s="6" t="n"/>
      <c r="J10" s="6" t="n"/>
      <c r="K10" s="6" t="n"/>
      <c r="L10" s="6" t="n"/>
      <c r="M10" s="6" t="n"/>
      <c r="N10" s="6" t="n"/>
      <c r="O10" s="6" t="n"/>
    </row>
    <row r="11">
      <c r="A11" s="6" t="inlineStr">
        <is>
          <t>Exchange difference on property and equipment</t>
        </is>
      </c>
      <c r="B11" s="6" t="n"/>
      <c r="C11" s="6" t="n"/>
      <c r="D11" s="6" t="n"/>
      <c r="E11" s="6" t="n"/>
      <c r="F11" s="6" t="n"/>
      <c r="G11" s="6" t="n"/>
      <c r="H11" s="6" t="n"/>
      <c r="I11" s="6" t="n">
        <v>-82</v>
      </c>
      <c r="J11" s="6" t="n"/>
      <c r="K11" s="6" t="n"/>
      <c r="L11" s="6" t="n"/>
      <c r="M11" s="6" t="n"/>
      <c r="N11" s="6" t="n"/>
      <c r="O11" s="6" t="n"/>
    </row>
    <row r="12">
      <c r="A12" s="6" t="inlineStr">
        <is>
          <t>Exchange difference on intangible assets</t>
        </is>
      </c>
      <c r="B12" s="6" t="n"/>
      <c r="C12" s="6" t="n"/>
      <c r="D12" s="6" t="n"/>
      <c r="E12" s="6" t="n"/>
      <c r="F12" s="6" t="n"/>
      <c r="G12" s="6" t="n"/>
      <c r="H12" s="6" t="n"/>
      <c r="I12" s="6" t="n">
        <v>-271.5</v>
      </c>
      <c r="J12" s="6" t="n"/>
      <c r="K12" s="6" t="n"/>
      <c r="L12" s="6" t="n"/>
      <c r="M12" s="6" t="n"/>
      <c r="N12" s="6" t="n"/>
      <c r="O12" s="6" t="n"/>
    </row>
    <row r="13">
      <c r="A13" s="6" t="inlineStr">
        <is>
          <t>Gain on disposal of property and equipment</t>
        </is>
      </c>
      <c r="B13" s="6" t="n"/>
      <c r="C13" s="6" t="n"/>
      <c r="D13" s="6" t="n"/>
      <c r="E13" s="6" t="n"/>
      <c r="F13" s="6" t="n"/>
      <c r="G13" s="6" t="n"/>
      <c r="H13" s="6" t="n"/>
      <c r="I13" s="6" t="n"/>
      <c r="J13" s="6" t="n"/>
      <c r="K13" s="6" t="n">
        <v>0</v>
      </c>
      <c r="L13" s="6" t="n">
        <v>-5.5</v>
      </c>
      <c r="M13" s="6" t="n"/>
      <c r="N13" s="6" t="n"/>
      <c r="O13" s="6" t="n"/>
    </row>
    <row r="14">
      <c r="A14" s="6" t="inlineStr">
        <is>
          <t>Recoveries of bad debts written off</t>
        </is>
      </c>
      <c r="B14" s="6" t="n"/>
      <c r="C14" s="6" t="n"/>
      <c r="D14" s="6" t="n"/>
      <c r="E14" s="6" t="n">
        <v>-55.9</v>
      </c>
      <c r="F14" s="6" t="n"/>
      <c r="G14" s="6" t="n"/>
      <c r="H14" s="6" t="n"/>
      <c r="I14" s="6" t="n"/>
      <c r="J14" s="6" t="n"/>
      <c r="K14" s="6" t="n"/>
      <c r="L14" s="6" t="n"/>
      <c r="M14" s="6" t="n"/>
      <c r="N14" s="6" t="n"/>
      <c r="O14" s="6" t="n"/>
    </row>
    <row r="15">
      <c r="A15" s="6" t="inlineStr">
        <is>
          <t>Current income tax expense</t>
        </is>
      </c>
      <c r="B15" s="6" t="n">
        <v>12040.6</v>
      </c>
      <c r="C15" s="6" t="n">
        <v>10603.7</v>
      </c>
      <c r="D15" s="6" t="n">
        <v>14265.6</v>
      </c>
      <c r="E15" s="6" t="n">
        <v>7636.1</v>
      </c>
      <c r="F15" s="6" t="n">
        <v>1623.1</v>
      </c>
      <c r="G15" s="6" t="n"/>
      <c r="H15" s="6" t="n"/>
      <c r="I15" s="6" t="n"/>
      <c r="J15" s="6" t="n"/>
      <c r="K15" s="6" t="n"/>
      <c r="L15" s="6" t="n"/>
      <c r="M15" s="6" t="n"/>
      <c r="N15" s="6" t="n"/>
      <c r="O15" s="6" t="n"/>
    </row>
    <row r="16">
      <c r="A16" s="6" t="inlineStr">
        <is>
          <t>Deferred income tax expense</t>
        </is>
      </c>
      <c r="B16" s="6" t="n">
        <v>214.1</v>
      </c>
      <c r="C16" s="6" t="n">
        <v>373.9</v>
      </c>
      <c r="D16" s="6" t="n">
        <v>169.8</v>
      </c>
      <c r="E16" s="6" t="n">
        <v>194</v>
      </c>
      <c r="F16" s="6" t="n"/>
      <c r="G16" s="6" t="n"/>
      <c r="H16" s="6" t="n"/>
      <c r="I16" s="6" t="n"/>
      <c r="J16" s="6" t="n"/>
      <c r="K16" s="6" t="n"/>
      <c r="L16" s="6" t="n"/>
      <c r="M16" s="6" t="n"/>
      <c r="N16" s="6" t="n"/>
      <c r="O16" s="6" t="n"/>
    </row>
    <row r="17">
      <c r="A17" s="6" t="inlineStr">
        <is>
          <t>Income tax expense (not split current/deferred - pre-FY2021 presentation)</t>
        </is>
      </c>
      <c r="B17" s="6" t="n"/>
      <c r="C17" s="6" t="n"/>
      <c r="D17" s="6" t="n"/>
      <c r="E17" s="6" t="n"/>
      <c r="F17" s="6" t="n"/>
      <c r="G17" s="6" t="n">
        <v>3096.7</v>
      </c>
      <c r="H17" s="6" t="n">
        <v>5323.4</v>
      </c>
      <c r="I17" s="6" t="n">
        <v>4731</v>
      </c>
      <c r="J17" s="6" t="n">
        <v>1848.6</v>
      </c>
      <c r="K17" s="6" t="n">
        <v>584.1</v>
      </c>
      <c r="L17" s="6" t="n">
        <v>1161.4</v>
      </c>
      <c r="M17" s="6" t="n">
        <v>2798.7</v>
      </c>
      <c r="N17" s="6" t="n">
        <v>2386.8</v>
      </c>
      <c r="O17" s="6" t="n">
        <v>1696.1</v>
      </c>
    </row>
    <row r="18">
      <c r="A18" s="6" t="inlineStr">
        <is>
          <t>Foreign currency translation gain - Right-of-use assets</t>
        </is>
      </c>
      <c r="B18" s="6" t="n"/>
      <c r="C18" s="6" t="n"/>
      <c r="D18" s="6" t="n"/>
      <c r="E18" s="6" t="n"/>
      <c r="F18" s="6" t="n">
        <v>-153.9</v>
      </c>
      <c r="G18" s="6" t="n"/>
      <c r="H18" s="6" t="n"/>
      <c r="I18" s="6" t="n"/>
      <c r="J18" s="6" t="n"/>
      <c r="K18" s="6" t="n"/>
      <c r="L18" s="6" t="n"/>
      <c r="M18" s="6" t="n"/>
      <c r="N18" s="6" t="n"/>
      <c r="O18" s="6" t="n"/>
    </row>
    <row r="19">
      <c r="A19" s="6" t="inlineStr">
        <is>
          <t>Foreign currency translation gain/(loss) - Lease obligation</t>
        </is>
      </c>
      <c r="B19" s="6" t="n"/>
      <c r="C19" s="6" t="n"/>
      <c r="D19" s="6" t="n">
        <v>88.90000000000001</v>
      </c>
      <c r="E19" s="6" t="n">
        <v>-257.1</v>
      </c>
      <c r="F19" s="6" t="n">
        <v>-223.3</v>
      </c>
      <c r="G19" s="6" t="n">
        <v>78.59999999999999</v>
      </c>
      <c r="H19" s="6" t="n"/>
      <c r="I19" s="6" t="n"/>
      <c r="J19" s="6" t="n"/>
      <c r="K19" s="6" t="n"/>
      <c r="L19" s="6" t="n"/>
      <c r="M19" s="6" t="n"/>
      <c r="N19" s="6" t="n"/>
      <c r="O19" s="6" t="n"/>
    </row>
    <row r="20">
      <c r="A20" s="6" t="inlineStr">
        <is>
          <t>Foreign currency translation gain - Deferred tax assets</t>
        </is>
      </c>
      <c r="B20" s="6" t="n"/>
      <c r="C20" s="6" t="n"/>
      <c r="D20" s="6" t="n"/>
      <c r="E20" s="6" t="n">
        <v>0</v>
      </c>
      <c r="F20" s="6" t="n"/>
      <c r="G20" s="6" t="n"/>
      <c r="H20" s="6" t="n"/>
      <c r="I20" s="6" t="n"/>
      <c r="J20" s="6" t="n"/>
      <c r="K20" s="6" t="n"/>
      <c r="L20" s="6" t="n"/>
      <c r="M20" s="6" t="n"/>
      <c r="N20" s="6" t="n"/>
      <c r="O20" s="6" t="n"/>
    </row>
    <row r="21">
      <c r="A21" s="6" t="inlineStr">
        <is>
          <t>Foreign currency translation (gain)/loss - Corporation tax liability</t>
        </is>
      </c>
      <c r="B21" s="6" t="n"/>
      <c r="C21" s="6" t="n"/>
      <c r="D21" s="6" t="n">
        <v>-99.2</v>
      </c>
      <c r="E21" s="6" t="n">
        <v>-35.4</v>
      </c>
      <c r="F21" s="6" t="n">
        <v>-2</v>
      </c>
      <c r="G21" s="6" t="n">
        <v>200.3</v>
      </c>
      <c r="H21" s="6" t="n"/>
      <c r="I21" s="6" t="n"/>
      <c r="J21" s="6" t="n"/>
      <c r="K21" s="6" t="n"/>
      <c r="L21" s="6" t="n"/>
      <c r="M21" s="6" t="n"/>
      <c r="N21" s="6" t="n"/>
      <c r="O21" s="6" t="n"/>
    </row>
    <row r="22">
      <c r="A22" s="6" t="inlineStr">
        <is>
          <t>Deferred tax asset write-off (legacy)</t>
        </is>
      </c>
      <c r="B22" s="6" t="n"/>
      <c r="C22" s="6" t="n"/>
      <c r="D22" s="6" t="n">
        <v>1</v>
      </c>
      <c r="E22" s="6" t="n"/>
      <c r="F22" s="6" t="n"/>
      <c r="G22" s="6" t="n"/>
      <c r="H22" s="6" t="n"/>
      <c r="I22" s="6" t="n"/>
      <c r="J22" s="6" t="n"/>
      <c r="K22" s="6" t="n"/>
      <c r="L22" s="6" t="n"/>
      <c r="M22" s="6" t="n"/>
      <c r="N22" s="6" t="n"/>
      <c r="O22" s="6" t="n"/>
    </row>
    <row r="23">
      <c r="A23" s="6" t="inlineStr">
        <is>
          <t>Impairment on equity investments</t>
        </is>
      </c>
      <c r="B23" s="6" t="n"/>
      <c r="C23" s="6" t="n"/>
      <c r="D23" s="6" t="n"/>
      <c r="E23" s="6" t="n"/>
      <c r="F23" s="6" t="n">
        <v>48.5</v>
      </c>
      <c r="G23" s="6" t="n">
        <v>557.5</v>
      </c>
      <c r="H23" s="6" t="n"/>
      <c r="I23" s="6" t="n"/>
      <c r="J23" s="6" t="n"/>
      <c r="K23" s="6" t="n"/>
      <c r="L23" s="6" t="n"/>
      <c r="M23" s="6" t="n"/>
      <c r="N23" s="6" t="n"/>
      <c r="O23" s="6" t="n"/>
    </row>
    <row r="24">
      <c r="A24" s="6" t="inlineStr">
        <is>
          <t>Interest income</t>
        </is>
      </c>
      <c r="B24" s="6" t="n">
        <v>-115860.7</v>
      </c>
      <c r="C24" s="6" t="n">
        <v>-117726.2</v>
      </c>
      <c r="D24" s="6" t="n">
        <v>-118993.4</v>
      </c>
      <c r="E24" s="6" t="n">
        <v>-63895.8</v>
      </c>
      <c r="F24" s="6" t="n"/>
      <c r="G24" s="6" t="n"/>
      <c r="H24" s="6" t="n"/>
      <c r="I24" s="6" t="n"/>
      <c r="J24" s="6" t="n"/>
      <c r="K24" s="6" t="n"/>
      <c r="L24" s="6" t="n"/>
      <c r="M24" s="6" t="n"/>
      <c r="N24" s="6" t="n"/>
      <c r="O24" s="6" t="n"/>
    </row>
    <row r="25">
      <c r="A25" s="6" t="inlineStr">
        <is>
          <t>Interest expense</t>
        </is>
      </c>
      <c r="B25" s="6" t="n">
        <v>51254.3</v>
      </c>
      <c r="C25" s="6" t="n">
        <v>54600</v>
      </c>
      <c r="D25" s="6" t="n">
        <v>41618.2</v>
      </c>
      <c r="E25" s="6" t="n">
        <v>12130.6</v>
      </c>
      <c r="F25" s="6" t="n"/>
      <c r="G25" s="6" t="n"/>
      <c r="H25" s="6" t="n"/>
      <c r="I25" s="6" t="n"/>
      <c r="J25" s="6" t="n"/>
      <c r="K25" s="6" t="n"/>
      <c r="L25" s="6" t="n"/>
      <c r="M25" s="6" t="n"/>
      <c r="N25" s="6" t="n"/>
      <c r="O25" s="6" t="n"/>
    </row>
    <row r="26">
      <c r="A26" s="6" t="inlineStr">
        <is>
          <t>Fair value movement on securities measured at FVTPL</t>
        </is>
      </c>
      <c r="B26" s="6" t="n">
        <v>-12.9</v>
      </c>
      <c r="C26" s="6" t="n">
        <v>54.1</v>
      </c>
      <c r="D26" s="6" t="n"/>
      <c r="E26" s="6" t="n"/>
      <c r="F26" s="6" t="n"/>
      <c r="G26" s="6" t="n"/>
      <c r="H26" s="6" t="n"/>
      <c r="I26" s="6" t="n"/>
      <c r="J26" s="6" t="n"/>
      <c r="K26" s="6" t="n"/>
      <c r="L26" s="6" t="n"/>
      <c r="M26" s="6" t="n"/>
      <c r="N26" s="6" t="n"/>
      <c r="O26" s="6" t="n"/>
    </row>
    <row r="27">
      <c r="A27" s="6" t="inlineStr">
        <is>
          <t>Fair value movement on derivative contracts</t>
        </is>
      </c>
      <c r="B27" s="6" t="n">
        <v>-2623.7</v>
      </c>
      <c r="C27" s="6" t="n">
        <v>2705.2</v>
      </c>
      <c r="D27" s="6" t="n"/>
      <c r="E27" s="6" t="n"/>
      <c r="F27" s="6" t="n"/>
      <c r="G27" s="6" t="n"/>
      <c r="H27" s="6" t="n"/>
      <c r="I27" s="6" t="n"/>
      <c r="J27" s="6" t="n"/>
      <c r="K27" s="6" t="n"/>
      <c r="L27" s="6" t="n"/>
      <c r="M27" s="6" t="n"/>
      <c r="N27" s="6" t="n"/>
      <c r="O27" s="6" t="n"/>
    </row>
    <row r="28">
      <c r="A28" s="6" t="inlineStr">
        <is>
          <t>Unrealised foreign exchange (gains)/losses</t>
        </is>
      </c>
      <c r="B28" s="6" t="n">
        <v>2150.3</v>
      </c>
      <c r="C28" s="6" t="n">
        <v>-1929.4</v>
      </c>
      <c r="D28" s="6" t="n"/>
      <c r="E28" s="6" t="n"/>
      <c r="F28" s="6" t="n"/>
      <c r="G28" s="6" t="n"/>
      <c r="H28" s="6" t="n"/>
      <c r="I28" s="6" t="n"/>
      <c r="J28" s="6" t="n"/>
      <c r="K28" s="6" t="n"/>
      <c r="L28" s="6" t="n"/>
      <c r="M28" s="6" t="n"/>
      <c r="N28" s="6" t="n"/>
      <c r="O28" s="6" t="n"/>
    </row>
    <row r="29">
      <c r="A29" s="6" t="inlineStr">
        <is>
          <t>Loss on derecognition of assets</t>
        </is>
      </c>
      <c r="B29" s="6" t="inlineStr">
        <is>
          <t>-</t>
        </is>
      </c>
      <c r="C29" s="6" t="n">
        <v>5856.7</v>
      </c>
      <c r="D29" s="6" t="n"/>
      <c r="E29" s="6" t="n"/>
      <c r="F29" s="6" t="n"/>
      <c r="G29" s="6" t="n"/>
      <c r="H29" s="6" t="n"/>
      <c r="I29" s="6" t="n"/>
      <c r="J29" s="6" t="n"/>
      <c r="K29" s="6" t="n"/>
      <c r="L29" s="6" t="n"/>
      <c r="M29" s="6" t="n"/>
      <c r="N29" s="6" t="n"/>
      <c r="O29" s="6" t="n"/>
    </row>
    <row r="30">
      <c r="A30" s="6" t="inlineStr">
        <is>
          <t>Decrease/(Increase) in loans and advances to banks</t>
        </is>
      </c>
      <c r="B30" s="6" t="n">
        <v>-59698.3</v>
      </c>
      <c r="C30" s="6" t="n">
        <v>29135.6</v>
      </c>
      <c r="D30" s="6" t="n">
        <v>14246.2</v>
      </c>
      <c r="E30" s="6" t="n">
        <v>-13748.1</v>
      </c>
      <c r="F30" s="6" t="n">
        <v>21515.7</v>
      </c>
      <c r="G30" s="6" t="n">
        <v>65919.3</v>
      </c>
      <c r="H30" s="6" t="n">
        <v>-75357.8</v>
      </c>
      <c r="I30" s="6" t="n">
        <v>-18530.8</v>
      </c>
      <c r="J30" s="6" t="n">
        <v>49749.9</v>
      </c>
      <c r="K30" s="6" t="n">
        <v>-21610.9</v>
      </c>
      <c r="L30" s="6" t="n">
        <v>162069</v>
      </c>
      <c r="M30" s="6" t="n">
        <v>4301.4</v>
      </c>
      <c r="N30" s="6" t="n">
        <v>-193990.8</v>
      </c>
      <c r="O30" s="6" t="n">
        <v>-14659.2</v>
      </c>
    </row>
    <row r="31">
      <c r="A31" s="6" t="inlineStr">
        <is>
          <t>(Increase)/Decrease in loans and advances to customers</t>
        </is>
      </c>
      <c r="B31" s="6" t="n">
        <v>-137240.2</v>
      </c>
      <c r="C31" s="6" t="n">
        <v>-72008.7</v>
      </c>
      <c r="D31" s="6" t="n">
        <v>-30523.7</v>
      </c>
      <c r="E31" s="6" t="n">
        <v>32301.5</v>
      </c>
      <c r="F31" s="6" t="n">
        <v>-142893.6</v>
      </c>
      <c r="G31" s="6" t="n">
        <v>-74890.3</v>
      </c>
      <c r="H31" s="6" t="n">
        <v>17558.5</v>
      </c>
      <c r="I31" s="6" t="n">
        <v>27513.9</v>
      </c>
      <c r="J31" s="6" t="n">
        <v>55258.1</v>
      </c>
      <c r="K31" s="6" t="n">
        <v>111328.8</v>
      </c>
      <c r="L31" s="6" t="n">
        <v>17554</v>
      </c>
      <c r="M31" s="6" t="n">
        <v>26948.6</v>
      </c>
      <c r="N31" s="6" t="n">
        <v>-27516.3</v>
      </c>
      <c r="O31" s="6" t="n">
        <v>-72540.60000000001</v>
      </c>
    </row>
    <row r="32">
      <c r="A32" s="6" t="inlineStr">
        <is>
          <t>(Increase)/Decrease in securities measured at fair value through profit or loss</t>
        </is>
      </c>
      <c r="B32" s="6" t="n">
        <v>1543.3</v>
      </c>
      <c r="C32" s="6" t="n">
        <v>-94</v>
      </c>
      <c r="D32" s="6" t="n">
        <v>-1408.1</v>
      </c>
      <c r="E32" s="6" t="n">
        <v>5332.3</v>
      </c>
      <c r="F32" s="6" t="n">
        <v>382.3</v>
      </c>
      <c r="G32" s="6" t="n">
        <v>-1422.2</v>
      </c>
      <c r="H32" s="6" t="n">
        <v>32338.2</v>
      </c>
      <c r="I32" s="6" t="n">
        <v>352088.7</v>
      </c>
      <c r="J32" s="6" t="n">
        <v>-306393.3</v>
      </c>
      <c r="K32" s="6" t="n">
        <v>-1423.3</v>
      </c>
      <c r="L32" s="6" t="n">
        <v>31138</v>
      </c>
      <c r="M32" s="6" t="n">
        <v>-41566.2</v>
      </c>
      <c r="N32" s="6" t="n">
        <v>-3454.3</v>
      </c>
      <c r="O32" s="6" t="n">
        <v>1004.8</v>
      </c>
    </row>
    <row r="33">
      <c r="A33" s="6" t="inlineStr">
        <is>
          <t>Decrease/(Increase) in securities measured at FVOCI</t>
        </is>
      </c>
      <c r="B33" s="6" t="n">
        <v>-19768.8</v>
      </c>
      <c r="C33" s="6" t="n">
        <v>246077.5</v>
      </c>
      <c r="D33" s="6" t="n">
        <v>125305.6</v>
      </c>
      <c r="E33" s="6" t="n">
        <v>-460226</v>
      </c>
      <c r="F33" s="6" t="n">
        <v>-228212</v>
      </c>
      <c r="G33" s="6" t="n">
        <v>-257556.7</v>
      </c>
      <c r="H33" s="6" t="n">
        <v>120592.1</v>
      </c>
      <c r="I33" s="6" t="n">
        <v>-588526.7</v>
      </c>
      <c r="J33" s="6" t="n">
        <v>-5306.3</v>
      </c>
      <c r="K33" s="6" t="n"/>
      <c r="L33" s="6" t="n"/>
      <c r="M33" s="6" t="n"/>
      <c r="N33" s="6" t="n"/>
      <c r="O33" s="6" t="n"/>
    </row>
    <row r="34">
      <c r="A34" s="6" t="inlineStr">
        <is>
          <t>(Increase)/Decrease in other assets</t>
        </is>
      </c>
      <c r="B34" s="6" t="n">
        <v>-1820.2</v>
      </c>
      <c r="C34" s="6" t="n">
        <v>-3448.8</v>
      </c>
      <c r="D34" s="6" t="n">
        <v>-1017.3</v>
      </c>
      <c r="E34" s="6" t="n">
        <v>110</v>
      </c>
      <c r="F34" s="6" t="n">
        <v>-420.1</v>
      </c>
      <c r="G34" s="6" t="n">
        <v>-157.3</v>
      </c>
      <c r="H34" s="6" t="n">
        <v>255.4</v>
      </c>
      <c r="I34" s="6" t="n">
        <v>1131.6</v>
      </c>
      <c r="J34" s="6" t="n">
        <v>-1525.3</v>
      </c>
      <c r="K34" s="6" t="n">
        <v>950.4</v>
      </c>
      <c r="L34" s="6" t="n">
        <v>652.7</v>
      </c>
      <c r="M34" s="6" t="n">
        <v>102.1</v>
      </c>
      <c r="N34" s="6" t="n">
        <v>-2799.2</v>
      </c>
      <c r="O34" s="6" t="n">
        <v>183.3</v>
      </c>
    </row>
    <row r="35">
      <c r="A35" s="6" t="inlineStr">
        <is>
          <t>(Decrease)/Increase in deposits from banks</t>
        </is>
      </c>
      <c r="B35" s="6" t="n">
        <v>139695.3</v>
      </c>
      <c r="C35" s="6" t="n">
        <v>-5927.9</v>
      </c>
      <c r="D35" s="6" t="n">
        <v>-553170.2</v>
      </c>
      <c r="E35" s="6" t="n">
        <v>64102.2</v>
      </c>
      <c r="F35" s="6" t="n">
        <v>436713.3</v>
      </c>
      <c r="G35" s="6" t="n">
        <v>210757.2</v>
      </c>
      <c r="H35" s="6" t="n">
        <v>-256445.6</v>
      </c>
      <c r="I35" s="6" t="n">
        <v>67737.3</v>
      </c>
      <c r="J35" s="6" t="n">
        <v>340868.6</v>
      </c>
      <c r="K35" s="6" t="n">
        <v>38490.4</v>
      </c>
      <c r="L35" s="6" t="n">
        <v>-297829.2</v>
      </c>
      <c r="M35" s="6" t="n">
        <v>76576.8</v>
      </c>
      <c r="N35" s="6" t="n">
        <v>195130.4</v>
      </c>
      <c r="O35" s="6" t="n">
        <v>51198.9</v>
      </c>
    </row>
    <row r="36">
      <c r="A36" s="6" t="inlineStr">
        <is>
          <t>(Decrease)/Increase in deposits from customers</t>
        </is>
      </c>
      <c r="B36" s="6" t="n">
        <v>84406.8</v>
      </c>
      <c r="C36" s="6" t="n">
        <v>-82122.2</v>
      </c>
      <c r="D36" s="6" t="n">
        <v>160865.4</v>
      </c>
      <c r="E36" s="6" t="n">
        <v>100175.7</v>
      </c>
      <c r="F36" s="6" t="n">
        <v>-54463.8</v>
      </c>
      <c r="G36" s="6" t="n">
        <v>254821.7</v>
      </c>
      <c r="H36" s="6" t="n">
        <v>62801.5</v>
      </c>
      <c r="I36" s="6" t="n">
        <v>87794.39999999999</v>
      </c>
      <c r="J36" s="6" t="n">
        <v>-77046.7</v>
      </c>
      <c r="K36" s="6" t="n">
        <v>82666</v>
      </c>
      <c r="L36" s="6" t="n">
        <v>2577</v>
      </c>
      <c r="M36" s="6" t="n">
        <v>4322.3</v>
      </c>
      <c r="N36" s="6" t="n">
        <v>34997.5</v>
      </c>
      <c r="O36" s="6" t="n">
        <v>39858.1</v>
      </c>
    </row>
    <row r="37">
      <c r="A37" s="6" t="inlineStr">
        <is>
          <t>Increase/(Decrease) in repurchase agreements and other similar secured borrowing</t>
        </is>
      </c>
      <c r="B37" s="6" t="n">
        <v>-56596.5</v>
      </c>
      <c r="C37" s="6" t="n">
        <v>33642</v>
      </c>
      <c r="D37" s="6" t="n">
        <v>-24583.5</v>
      </c>
      <c r="E37" s="6" t="n">
        <v>24574.5</v>
      </c>
      <c r="F37" s="6" t="n">
        <v>33139.3</v>
      </c>
      <c r="G37" s="6" t="n"/>
      <c r="H37" s="6" t="n"/>
      <c r="I37" s="6" t="n"/>
      <c r="J37" s="6" t="n"/>
      <c r="K37" s="6" t="n"/>
      <c r="L37" s="6" t="n"/>
      <c r="M37" s="6" t="n"/>
      <c r="N37" s="6" t="n"/>
      <c r="O37" s="6" t="n"/>
    </row>
    <row r="38">
      <c r="A38" s="6" t="inlineStr">
        <is>
          <t>(Increase)/Decrease in derivative financial instruments (net)</t>
        </is>
      </c>
      <c r="B38" s="6" t="n"/>
      <c r="C38" s="6" t="n"/>
      <c r="D38" s="6" t="n">
        <v>-95.59999999999999</v>
      </c>
      <c r="E38" s="6" t="n">
        <v>-315.2</v>
      </c>
      <c r="F38" s="6" t="n">
        <v>4246.1</v>
      </c>
      <c r="G38" s="6" t="n">
        <v>-3764.2</v>
      </c>
      <c r="H38" s="6" t="n">
        <v>-3243.5</v>
      </c>
      <c r="I38" s="6" t="n"/>
      <c r="J38" s="6" t="n"/>
      <c r="K38" s="6" t="n"/>
      <c r="L38" s="6" t="n"/>
      <c r="M38" s="6" t="n"/>
      <c r="N38" s="6" t="n"/>
      <c r="O38" s="6" t="n"/>
    </row>
    <row r="39">
      <c r="A39" s="6" t="inlineStr">
        <is>
          <t>Increase/(Decrease) in other liabilities</t>
        </is>
      </c>
      <c r="B39" s="6" t="n">
        <v>4108.2</v>
      </c>
      <c r="C39" s="6" t="n">
        <v>3811.4</v>
      </c>
      <c r="D39" s="6" t="n">
        <v>-7814.9</v>
      </c>
      <c r="E39" s="6" t="n">
        <v>7924</v>
      </c>
      <c r="F39" s="6" t="n">
        <v>2062.3</v>
      </c>
      <c r="G39" s="6" t="n">
        <v>-648.2</v>
      </c>
      <c r="H39" s="6" t="n">
        <v>688.2</v>
      </c>
      <c r="I39" s="6" t="n">
        <v>1581.2</v>
      </c>
      <c r="J39" s="6" t="n">
        <v>444.8</v>
      </c>
      <c r="K39" s="6" t="n">
        <v>-660.5</v>
      </c>
      <c r="L39" s="6" t="n">
        <v>123.3</v>
      </c>
      <c r="M39" s="6" t="n">
        <v>120.7</v>
      </c>
      <c r="N39" s="6" t="n">
        <v>930.9</v>
      </c>
      <c r="O39" s="6" t="n">
        <v>274.7</v>
      </c>
    </row>
    <row r="40">
      <c r="A40" s="6" t="inlineStr">
        <is>
          <t>Interest income received</t>
        </is>
      </c>
      <c r="B40" s="6" t="n">
        <v>79116.39999999999</v>
      </c>
      <c r="C40" s="6" t="n">
        <v>81396.60000000001</v>
      </c>
      <c r="D40" s="6" t="n">
        <v>109627</v>
      </c>
      <c r="E40" s="6" t="n">
        <v>70337.7</v>
      </c>
      <c r="F40" s="6" t="n"/>
      <c r="G40" s="6" t="n"/>
      <c r="H40" s="6" t="n"/>
      <c r="I40" s="6" t="n"/>
      <c r="J40" s="6" t="n"/>
      <c r="K40" s="6" t="n"/>
      <c r="L40" s="6" t="n"/>
      <c r="M40" s="6" t="n"/>
      <c r="N40" s="6" t="n"/>
      <c r="O40" s="6" t="n"/>
    </row>
    <row r="41">
      <c r="A41" s="6" t="inlineStr">
        <is>
          <t>Interest expense paid</t>
        </is>
      </c>
      <c r="B41" s="6" t="n">
        <v>-45529.2</v>
      </c>
      <c r="C41" s="6" t="n">
        <v>-41972.7</v>
      </c>
      <c r="D41" s="6" t="n">
        <v>-35626.4</v>
      </c>
      <c r="E41" s="6" t="n">
        <v>-10111.2</v>
      </c>
      <c r="F41" s="6" t="n"/>
      <c r="G41" s="6" t="n"/>
      <c r="H41" s="6" t="n"/>
      <c r="I41" s="6" t="n"/>
      <c r="J41" s="6" t="n"/>
      <c r="K41" s="6" t="n"/>
      <c r="L41" s="6" t="n"/>
      <c r="M41" s="6" t="n"/>
      <c r="N41" s="6" t="n"/>
      <c r="O41" s="6" t="n"/>
    </row>
    <row r="42">
      <c r="A42" s="6" t="inlineStr">
        <is>
          <t>Income tax paid</t>
        </is>
      </c>
      <c r="B42" s="6" t="n">
        <v>-14159.2</v>
      </c>
      <c r="C42" s="6" t="n">
        <v>-8984.1</v>
      </c>
      <c r="D42" s="6" t="n">
        <v>-15607.8</v>
      </c>
      <c r="E42" s="6" t="n">
        <v>-7451</v>
      </c>
      <c r="F42" s="6" t="n">
        <v>-1286.3</v>
      </c>
      <c r="G42" s="6" t="n">
        <v>-6547.3</v>
      </c>
      <c r="H42" s="6" t="n">
        <v>-4395.4</v>
      </c>
      <c r="I42" s="6" t="n">
        <v>-4299.3</v>
      </c>
      <c r="J42" s="6" t="n">
        <v>0</v>
      </c>
      <c r="K42" s="6" t="n">
        <v>-483.2</v>
      </c>
      <c r="L42" s="6" t="n">
        <v>-1963.6</v>
      </c>
      <c r="M42" s="6" t="n">
        <v>-2596.4</v>
      </c>
      <c r="N42" s="6" t="n">
        <v>-2194.6</v>
      </c>
      <c r="O42" s="6" t="n">
        <v>-1674.3</v>
      </c>
    </row>
    <row r="43">
      <c r="A43" s="5" t="inlineStr">
        <is>
          <t>Net cash generated from/(used in) operating activities</t>
        </is>
      </c>
      <c r="B43" s="5" t="n">
        <v>-42275.5</v>
      </c>
      <c r="C43" s="5" t="n">
        <v>162230.1</v>
      </c>
      <c r="D43" s="5" t="n">
        <v>-276726.4</v>
      </c>
      <c r="E43" s="5" t="n">
        <v>-197184.8</v>
      </c>
      <c r="F43" s="5" t="n">
        <v>84381.3</v>
      </c>
      <c r="G43" s="5" t="n">
        <v>207192.8</v>
      </c>
      <c r="H43" s="5" t="n">
        <v>-76511.5</v>
      </c>
      <c r="I43" s="5" t="n">
        <v>-51112.4</v>
      </c>
      <c r="J43" s="5" t="n">
        <v>74286.2</v>
      </c>
      <c r="K43" s="5" t="n">
        <v>225723.4</v>
      </c>
      <c r="L43" s="5" t="n">
        <v>-74876.39999999999</v>
      </c>
      <c r="M43" s="5" t="n">
        <v>80335.5</v>
      </c>
      <c r="N43" s="5" t="n">
        <v>11924.7</v>
      </c>
      <c r="O43" s="5" t="n">
        <v>11157.9</v>
      </c>
    </row>
    <row r="44">
      <c r="A44" s="5" t="inlineStr">
        <is>
          <t>Investing activities</t>
        </is>
      </c>
      <c r="B44" s="6" t="n"/>
      <c r="C44" s="6" t="n"/>
      <c r="D44" s="6" t="n"/>
      <c r="E44" s="6" t="n"/>
      <c r="F44" s="6" t="n"/>
      <c r="G44" s="6" t="n"/>
      <c r="H44" s="6" t="n"/>
      <c r="I44" s="6" t="n"/>
      <c r="J44" s="6" t="n"/>
      <c r="K44" s="6" t="n"/>
      <c r="L44" s="6" t="n"/>
      <c r="M44" s="6" t="n"/>
      <c r="N44" s="6" t="n"/>
      <c r="O44" s="6" t="n"/>
    </row>
    <row r="45">
      <c r="A45" s="6" t="inlineStr">
        <is>
          <t>Acquisition of securities measured at amortised cost</t>
        </is>
      </c>
      <c r="B45" s="6" t="n">
        <v>-74352.89999999999</v>
      </c>
      <c r="C45" s="6" t="n">
        <v>-63438.6</v>
      </c>
      <c r="D45" s="6" t="n">
        <v>-21488.7</v>
      </c>
      <c r="E45" s="6" t="n">
        <v>-38525.3</v>
      </c>
      <c r="F45" s="6" t="n">
        <v>-31205.1</v>
      </c>
      <c r="G45" s="6" t="n">
        <v>-42925.8</v>
      </c>
      <c r="H45" s="6" t="n">
        <v>-43241.9</v>
      </c>
      <c r="I45" s="6" t="n">
        <v>-36902.9</v>
      </c>
      <c r="J45" s="6" t="n"/>
      <c r="K45" s="6" t="n"/>
      <c r="L45" s="6" t="n"/>
      <c r="M45" s="6" t="n"/>
      <c r="N45" s="6" t="n"/>
      <c r="O45" s="6" t="n"/>
    </row>
    <row r="46">
      <c r="A46" s="6" t="inlineStr">
        <is>
          <t>Proceeds from redemption of securities measured at amortised cost</t>
        </is>
      </c>
      <c r="B46" s="6" t="n">
        <v>54696.4</v>
      </c>
      <c r="C46" s="6" t="n">
        <v>54622.5</v>
      </c>
      <c r="D46" s="6" t="n">
        <v>16939.9</v>
      </c>
      <c r="E46" s="6" t="n">
        <v>22359.8</v>
      </c>
      <c r="F46" s="6" t="n">
        <v>23472.9</v>
      </c>
      <c r="G46" s="6" t="n">
        <v>4299</v>
      </c>
      <c r="H46" s="6" t="n">
        <v>13156</v>
      </c>
      <c r="I46" s="6" t="n">
        <v>49270.7</v>
      </c>
      <c r="J46" s="6" t="n"/>
      <c r="K46" s="6" t="n"/>
      <c r="L46" s="6" t="n"/>
      <c r="M46" s="6" t="n"/>
      <c r="N46" s="6" t="n"/>
      <c r="O46" s="6" t="n"/>
    </row>
    <row r="47">
      <c r="A47" s="6" t="inlineStr">
        <is>
          <t>Net change in securities measured at amortised cost (pre-FY2018 combined presentation)</t>
        </is>
      </c>
      <c r="B47" s="6" t="n"/>
      <c r="C47" s="6" t="n"/>
      <c r="D47" s="6" t="n"/>
      <c r="E47" s="6" t="n"/>
      <c r="F47" s="6" t="n"/>
      <c r="G47" s="6" t="n"/>
      <c r="H47" s="6" t="n"/>
      <c r="I47" s="6" t="n"/>
      <c r="J47" s="6" t="n">
        <v>22411.6</v>
      </c>
      <c r="K47" s="6" t="n">
        <v>32879.9</v>
      </c>
      <c r="L47" s="6" t="n">
        <v>-7354.2</v>
      </c>
      <c r="M47" s="6" t="n">
        <v>24065.6</v>
      </c>
      <c r="N47" s="6" t="n">
        <v>-17586.8</v>
      </c>
      <c r="O47" s="6" t="n">
        <v>-8861.700000000001</v>
      </c>
    </row>
    <row r="48">
      <c r="A48" s="6" t="inlineStr">
        <is>
          <t>Interest income received (investing)</t>
        </is>
      </c>
      <c r="B48" s="6" t="n">
        <v>13213.5</v>
      </c>
      <c r="C48" s="6" t="n">
        <v>10994.9</v>
      </c>
      <c r="D48" s="6" t="n">
        <v>12221.3</v>
      </c>
      <c r="E48" s="6" t="n">
        <v>14429</v>
      </c>
      <c r="F48" s="6" t="n"/>
      <c r="G48" s="6" t="n"/>
      <c r="H48" s="6" t="n"/>
      <c r="I48" s="6" t="n"/>
      <c r="J48" s="6" t="n"/>
      <c r="K48" s="6" t="n"/>
      <c r="L48" s="6" t="n"/>
      <c r="M48" s="6" t="n"/>
      <c r="N48" s="6" t="n"/>
      <c r="O48" s="6" t="n"/>
    </row>
    <row r="49">
      <c r="A49" s="6" t="inlineStr">
        <is>
          <t>Acquisition of property and equipment</t>
        </is>
      </c>
      <c r="B49" s="6" t="n">
        <v>-553.4</v>
      </c>
      <c r="C49" s="6" t="n">
        <v>-48.6</v>
      </c>
      <c r="D49" s="6" t="n">
        <v>-48.4</v>
      </c>
      <c r="E49" s="6" t="n">
        <v>-21.3</v>
      </c>
      <c r="F49" s="6" t="n">
        <v>-25</v>
      </c>
      <c r="G49" s="6" t="n">
        <v>-223</v>
      </c>
      <c r="H49" s="6" t="n">
        <v>-149.8</v>
      </c>
      <c r="I49" s="6" t="n">
        <v>-111.4</v>
      </c>
      <c r="J49" s="6" t="n">
        <v>-39.2</v>
      </c>
      <c r="K49" s="6" t="n">
        <v>-199.9</v>
      </c>
      <c r="L49" s="6" t="n">
        <v>-937</v>
      </c>
      <c r="M49" s="6" t="n">
        <v>-77.5</v>
      </c>
      <c r="N49" s="6" t="n">
        <v>-129.2</v>
      </c>
      <c r="O49" s="6" t="n">
        <v>-233.4</v>
      </c>
    </row>
    <row r="50">
      <c r="A50" s="6" t="inlineStr">
        <is>
          <t>Proceeds from sale of property and equipment</t>
        </is>
      </c>
      <c r="B50" s="6" t="n"/>
      <c r="C50" s="6" t="n"/>
      <c r="D50" s="6" t="n"/>
      <c r="E50" s="6" t="n"/>
      <c r="F50" s="6" t="n"/>
      <c r="G50" s="6" t="n"/>
      <c r="H50" s="6" t="n"/>
      <c r="I50" s="6" t="n"/>
      <c r="J50" s="6" t="n"/>
      <c r="K50" s="6" t="n">
        <v>0</v>
      </c>
      <c r="L50" s="6" t="n">
        <v>34.3</v>
      </c>
      <c r="M50" s="6" t="n">
        <v>0</v>
      </c>
      <c r="N50" s="6" t="n">
        <v>18.5</v>
      </c>
      <c r="O50" s="6" t="n"/>
    </row>
    <row r="51">
      <c r="A51" s="6" t="inlineStr">
        <is>
          <t>Additions to Right-of-use assets</t>
        </is>
      </c>
      <c r="B51" s="6" t="n"/>
      <c r="C51" s="6" t="n"/>
      <c r="D51" s="6" t="n"/>
      <c r="E51" s="6" t="n"/>
      <c r="F51" s="6" t="n">
        <v>-33.9</v>
      </c>
      <c r="G51" s="6" t="n">
        <v>-416.1</v>
      </c>
      <c r="H51" s="6" t="n"/>
      <c r="I51" s="6" t="n"/>
      <c r="J51" s="6" t="n"/>
      <c r="K51" s="6" t="n"/>
      <c r="L51" s="6" t="n"/>
      <c r="M51" s="6" t="n"/>
      <c r="N51" s="6" t="n"/>
      <c r="O51" s="6" t="n"/>
    </row>
    <row r="52">
      <c r="A52" s="6" t="inlineStr">
        <is>
          <t>Acquisition of intangible assets</t>
        </is>
      </c>
      <c r="B52" s="6" t="n">
        <v>-1216.6</v>
      </c>
      <c r="C52" s="6" t="n">
        <v>-1700.5</v>
      </c>
      <c r="D52" s="6" t="n">
        <v>-264</v>
      </c>
      <c r="E52" s="6" t="n">
        <v>-397.7</v>
      </c>
      <c r="F52" s="6" t="n">
        <v>-227.3</v>
      </c>
      <c r="G52" s="6" t="n">
        <v>-299.7</v>
      </c>
      <c r="H52" s="6" t="n">
        <v>-857</v>
      </c>
      <c r="I52" s="6" t="n">
        <v>-1004.8</v>
      </c>
      <c r="J52" s="6" t="n">
        <v>-652.2</v>
      </c>
      <c r="K52" s="6" t="n">
        <v>-222.6</v>
      </c>
      <c r="L52" s="6" t="n">
        <v>-312.9</v>
      </c>
      <c r="M52" s="6" t="n">
        <v>-537.4</v>
      </c>
      <c r="N52" s="6" t="n">
        <v>-296.6</v>
      </c>
      <c r="O52" s="6" t="n">
        <v>-320.2</v>
      </c>
    </row>
    <row r="53">
      <c r="A53" s="5" t="inlineStr">
        <is>
          <t>Net cash generated from/(used in) investing activities</t>
        </is>
      </c>
      <c r="B53" s="5" t="n">
        <v>-8213.1</v>
      </c>
      <c r="C53" s="5" t="n">
        <v>429.6</v>
      </c>
      <c r="D53" s="5" t="n">
        <v>7360.1</v>
      </c>
      <c r="E53" s="5" t="n">
        <v>-2155.5</v>
      </c>
      <c r="F53" s="5" t="n">
        <v>-8018.4</v>
      </c>
      <c r="G53" s="5" t="n">
        <v>-39565.5</v>
      </c>
      <c r="H53" s="5" t="n">
        <v>-31092.8</v>
      </c>
      <c r="I53" s="5" t="n">
        <v>11251.6</v>
      </c>
      <c r="J53" s="5" t="n">
        <v>21720.2</v>
      </c>
      <c r="K53" s="5" t="n">
        <v>32457.4</v>
      </c>
      <c r="L53" s="5" t="n">
        <v>-8569.799999999999</v>
      </c>
      <c r="M53" s="5" t="n">
        <v>23450.8</v>
      </c>
      <c r="N53" s="5" t="n">
        <v>-17994.2</v>
      </c>
      <c r="O53" s="5" t="n">
        <v>-9415.299999999999</v>
      </c>
    </row>
    <row r="54">
      <c r="A54" s="5" t="inlineStr">
        <is>
          <t>Financing activities</t>
        </is>
      </c>
      <c r="B54" s="6" t="n"/>
      <c r="C54" s="6" t="n"/>
      <c r="D54" s="6" t="n"/>
      <c r="E54" s="6" t="n"/>
      <c r="F54" s="6" t="n"/>
      <c r="G54" s="6" t="n"/>
      <c r="H54" s="6" t="n"/>
      <c r="I54" s="6" t="n"/>
      <c r="J54" s="6" t="n"/>
      <c r="K54" s="6" t="n"/>
      <c r="L54" s="6" t="n"/>
      <c r="M54" s="6" t="n"/>
      <c r="N54" s="6" t="n"/>
      <c r="O54" s="6" t="n"/>
    </row>
    <row r="55">
      <c r="A55" s="6" t="inlineStr">
        <is>
          <t>Repayment of lease liability/obligation</t>
        </is>
      </c>
      <c r="B55" s="6" t="n">
        <v>-702.2</v>
      </c>
      <c r="C55" s="6" t="n">
        <v>-525.9</v>
      </c>
      <c r="D55" s="6" t="n">
        <v>-744.7</v>
      </c>
      <c r="E55" s="6" t="n">
        <v>-666.7</v>
      </c>
      <c r="F55" s="6" t="n">
        <v>-788.4</v>
      </c>
      <c r="G55" s="6" t="n">
        <v>-141.8</v>
      </c>
      <c r="H55" s="6" t="n">
        <v>-448.2</v>
      </c>
      <c r="I55" s="6" t="n"/>
      <c r="J55" s="6" t="n"/>
      <c r="K55" s="6" t="n"/>
      <c r="L55" s="6" t="n"/>
      <c r="M55" s="6" t="n"/>
      <c r="N55" s="6" t="n"/>
      <c r="O55" s="6" t="n"/>
    </row>
    <row r="56">
      <c r="A56" s="6" t="inlineStr">
        <is>
          <t>Interest payment on Lease liability</t>
        </is>
      </c>
      <c r="B56" s="6" t="n">
        <v>-258.4</v>
      </c>
      <c r="C56" s="6" t="n"/>
      <c r="D56" s="6" t="n"/>
      <c r="E56" s="6" t="n"/>
      <c r="F56" s="6" t="n"/>
      <c r="G56" s="6" t="n"/>
      <c r="H56" s="6" t="n"/>
      <c r="I56" s="6" t="n"/>
      <c r="J56" s="6" t="n"/>
      <c r="K56" s="6" t="n"/>
      <c r="L56" s="6" t="n"/>
      <c r="M56" s="6" t="n"/>
      <c r="N56" s="6" t="n"/>
      <c r="O56" s="6" t="n"/>
    </row>
    <row r="57">
      <c r="A57" s="6" t="inlineStr">
        <is>
          <t>Addition of new lease obligation</t>
        </is>
      </c>
      <c r="B57" s="6" t="n"/>
      <c r="C57" s="6" t="n"/>
      <c r="D57" s="6" t="n"/>
      <c r="E57" s="6" t="n"/>
      <c r="F57" s="6" t="n">
        <v>33.9</v>
      </c>
      <c r="G57" s="6" t="n">
        <v>416.1</v>
      </c>
      <c r="H57" s="6" t="n"/>
      <c r="I57" s="6" t="n"/>
      <c r="J57" s="6" t="n"/>
      <c r="K57" s="6" t="n"/>
      <c r="L57" s="6" t="n"/>
      <c r="M57" s="6" t="n"/>
      <c r="N57" s="6" t="n"/>
      <c r="O57" s="6" t="n"/>
    </row>
    <row r="58">
      <c r="A58" s="6" t="inlineStr">
        <is>
          <t>Interest payment on lease obligation (transition to IFRS 16)</t>
        </is>
      </c>
      <c r="B58" s="6" t="n"/>
      <c r="C58" s="6" t="n"/>
      <c r="D58" s="6" t="n"/>
      <c r="E58" s="6" t="n"/>
      <c r="F58" s="6" t="n"/>
      <c r="G58" s="6" t="n">
        <v>0</v>
      </c>
      <c r="H58" s="6" t="n">
        <v>-26.3</v>
      </c>
      <c r="I58" s="6" t="n"/>
      <c r="J58" s="6" t="n"/>
      <c r="K58" s="6" t="n"/>
      <c r="L58" s="6" t="n"/>
      <c r="M58" s="6" t="n"/>
      <c r="N58" s="6" t="n"/>
      <c r="O58" s="6" t="n"/>
    </row>
    <row r="59">
      <c r="A59" s="6" t="inlineStr">
        <is>
          <t>Proceeds from issue of share capital</t>
        </is>
      </c>
      <c r="B59" s="6" t="n"/>
      <c r="C59" s="6" t="n"/>
      <c r="D59" s="6" t="n"/>
      <c r="E59" s="6" t="n"/>
      <c r="F59" s="6" t="n"/>
      <c r="G59" s="6" t="n"/>
      <c r="H59" s="6" t="n"/>
      <c r="I59" s="6" t="n"/>
      <c r="J59" s="6" t="n"/>
      <c r="K59" s="6" t="n"/>
      <c r="L59" s="6" t="n"/>
      <c r="M59" s="6" t="n">
        <v>30367.4</v>
      </c>
      <c r="N59" s="6" t="n">
        <v>0</v>
      </c>
      <c r="O59" s="6" t="n">
        <v>18458.1</v>
      </c>
    </row>
    <row r="60">
      <c r="A60" s="6" t="inlineStr">
        <is>
          <t>Dividends paid to shareholders</t>
        </is>
      </c>
      <c r="B60" s="6" t="n"/>
      <c r="C60" s="6" t="n"/>
      <c r="D60" s="6" t="n">
        <v>-14149</v>
      </c>
      <c r="E60" s="6" t="n">
        <v>-4610.9</v>
      </c>
      <c r="F60" s="6" t="n">
        <v>-6512.3</v>
      </c>
      <c r="G60" s="6" t="n"/>
      <c r="H60" s="6" t="n"/>
      <c r="I60" s="6" t="n"/>
      <c r="J60" s="6" t="n"/>
      <c r="K60" s="6" t="n"/>
      <c r="L60" s="6" t="n"/>
      <c r="M60" s="6" t="n"/>
      <c r="N60" s="6" t="n"/>
      <c r="O60" s="6" t="n"/>
    </row>
    <row r="61">
      <c r="A61" s="5" t="inlineStr">
        <is>
          <t>Net cash generated from/(used in) financing activities</t>
        </is>
      </c>
      <c r="B61" s="5" t="n">
        <v>-960.6</v>
      </c>
      <c r="C61" s="5" t="n">
        <v>-525.9</v>
      </c>
      <c r="D61" s="5" t="n">
        <v>-14893.7</v>
      </c>
      <c r="E61" s="5" t="n">
        <v>-5277.6</v>
      </c>
      <c r="F61" s="5" t="n">
        <v>-7266.8</v>
      </c>
      <c r="G61" s="5" t="n">
        <v>274.2</v>
      </c>
      <c r="H61" s="5" t="n">
        <v>-474.5</v>
      </c>
      <c r="I61" s="5" t="n"/>
      <c r="J61" s="5" t="n"/>
      <c r="K61" s="5" t="n"/>
      <c r="L61" s="5" t="n"/>
      <c r="M61" s="5" t="n">
        <v>30367.4</v>
      </c>
      <c r="N61" s="5" t="n">
        <v>0</v>
      </c>
      <c r="O61" s="5" t="n">
        <v>18458.1</v>
      </c>
    </row>
    <row r="62">
      <c r="A62" s="5" t="inlineStr">
        <is>
          <t>Net (decrease)/increase of cash and cash equivalents</t>
        </is>
      </c>
      <c r="B62" s="5" t="n">
        <v>-51449.2</v>
      </c>
      <c r="C62" s="5" t="n">
        <v>162133.8</v>
      </c>
      <c r="D62" s="5" t="n">
        <v>-284260.1</v>
      </c>
      <c r="E62" s="5" t="n">
        <v>-204617.9</v>
      </c>
      <c r="F62" s="5" t="n">
        <v>69096.10000000001</v>
      </c>
      <c r="G62" s="5" t="n">
        <v>167901.6</v>
      </c>
      <c r="H62" s="5" t="n">
        <v>-108078.8</v>
      </c>
      <c r="I62" s="5" t="n">
        <v>-39860.8</v>
      </c>
      <c r="J62" s="5" t="n">
        <v>96006.3</v>
      </c>
      <c r="K62" s="5" t="n">
        <v>258180.8</v>
      </c>
      <c r="L62" s="5" t="n">
        <v>-83446.2</v>
      </c>
      <c r="M62" s="5" t="n">
        <v>134153.7</v>
      </c>
      <c r="N62" s="5" t="n">
        <v>-6069.5</v>
      </c>
      <c r="O62" s="5" t="n">
        <v>20200.7</v>
      </c>
    </row>
    <row r="63">
      <c r="A63" s="6" t="inlineStr">
        <is>
          <t>Cash and cash equivalents as at 1 January</t>
        </is>
      </c>
      <c r="B63" s="6" t="n">
        <v>383726.2</v>
      </c>
      <c r="C63" s="6" t="n">
        <v>216831.3</v>
      </c>
      <c r="D63" s="6" t="n">
        <v>520509.8</v>
      </c>
      <c r="E63" s="6" t="n">
        <v>652769.3</v>
      </c>
      <c r="F63" s="6" t="n">
        <v>576523.2</v>
      </c>
      <c r="G63" s="6" t="n">
        <v>433198</v>
      </c>
      <c r="H63" s="6" t="n">
        <v>556093</v>
      </c>
      <c r="I63" s="6" t="n">
        <v>564977.9</v>
      </c>
      <c r="J63" s="6" t="n">
        <v>519912.3</v>
      </c>
      <c r="K63" s="6" t="n">
        <v>196648.9</v>
      </c>
      <c r="L63" s="6" t="n">
        <v>268406</v>
      </c>
      <c r="M63" s="6" t="n">
        <v>119816.1</v>
      </c>
      <c r="N63" s="6" t="n">
        <v>125827.6</v>
      </c>
      <c r="O63" s="6" t="n">
        <v>105626.9</v>
      </c>
    </row>
    <row r="64">
      <c r="A64" s="6" t="inlineStr">
        <is>
          <t>Effect of exchange rate changes on cash and cash equivalents (as reported, USD)</t>
        </is>
      </c>
      <c r="B64" s="6" t="n">
        <v>11918.5</v>
      </c>
      <c r="C64" s="6" t="n">
        <v>-2406.2</v>
      </c>
      <c r="D64" s="6" t="n"/>
      <c r="E64" s="6" t="n"/>
      <c r="F64" s="6" t="n"/>
      <c r="G64" s="6" t="n"/>
      <c r="H64" s="6" t="n"/>
      <c r="I64" s="6" t="n"/>
      <c r="J64" s="6" t="n"/>
      <c r="K64" s="6" t="n"/>
      <c r="L64" s="6" t="n"/>
      <c r="M64" s="6" t="n"/>
      <c r="N64" s="6" t="n"/>
      <c r="O64" s="6" t="n"/>
    </row>
    <row r="65">
      <c r="A65" s="6" t="inlineStr">
        <is>
          <t>Effect of GBP/USD translation (£ conversion artefact - see FX note)</t>
        </is>
      </c>
      <c r="B65" s="6" t="n">
        <v>-25872.6</v>
      </c>
      <c r="C65" s="6" t="n">
        <v>7167.3</v>
      </c>
      <c r="D65" s="6" t="n">
        <v>-19418.4</v>
      </c>
      <c r="E65" s="6" t="n">
        <v>72358.39999999999</v>
      </c>
      <c r="F65" s="6" t="n">
        <v>7150</v>
      </c>
      <c r="G65" s="6" t="n">
        <v>-24576.4</v>
      </c>
      <c r="H65" s="6" t="n">
        <v>-14816.2</v>
      </c>
      <c r="I65" s="6" t="n">
        <v>30975.9</v>
      </c>
      <c r="J65" s="6" t="n">
        <v>-50940.7</v>
      </c>
      <c r="K65" s="6" t="n">
        <v>65082.6</v>
      </c>
      <c r="L65" s="6" t="n">
        <v>11689.1</v>
      </c>
      <c r="M65" s="6" t="n">
        <v>14436.2</v>
      </c>
      <c r="N65" s="6" t="n">
        <v>0</v>
      </c>
      <c r="O65" s="6" t="n">
        <v>0</v>
      </c>
    </row>
    <row r="66">
      <c r="A66" s="5" t="inlineStr">
        <is>
          <t>Cash and cash equivalents at 31 December</t>
        </is>
      </c>
      <c r="B66" s="5" t="n">
        <v>318322.9</v>
      </c>
      <c r="C66" s="5" t="n">
        <v>383726.2</v>
      </c>
      <c r="D66" s="5" t="n">
        <v>216831.3</v>
      </c>
      <c r="E66" s="5" t="n">
        <v>520509.8</v>
      </c>
      <c r="F66" s="5" t="n">
        <v>652769.3</v>
      </c>
      <c r="G66" s="5" t="n">
        <v>576523.2</v>
      </c>
      <c r="H66" s="5" t="n">
        <v>433198</v>
      </c>
      <c r="I66" s="5" t="n">
        <v>556093</v>
      </c>
      <c r="J66" s="5" t="n">
        <v>564977.9</v>
      </c>
      <c r="K66" s="5" t="n">
        <v>519912.3</v>
      </c>
      <c r="L66" s="5" t="n">
        <v>196648.9</v>
      </c>
      <c r="M66" s="5" t="n">
        <v>268406</v>
      </c>
      <c r="N66" s="5" t="n">
        <v>119758.1</v>
      </c>
      <c r="O66" s="5" t="n">
        <v>125827.6</v>
      </c>
    </row>
    <row r="68" ht="520" customHeight="1">
      <c r="A68" s="8" t="inlineStr">
        <is>
          <t>Sources - all figures are Zenith Bank (UK) Limited's own Statement of Cash Flows (converted from USD to £, see FX conversion note below):
FY2024: Annual Report and Financial Statements 2024, p.44-45 (Statement of Cash Flows) - https://www.zenith-bank.co.uk/media/2273/2024-annual-report-and-financial-statements.pdf
FY2023: Annual Report and Financial Statements 2023, p.36 (Statement of Cash Flows) - https://www.zenith-bank.co.uk/media/2253/2023-annual-report-and-financial-statements.pdf
FY2022: Annual Report and Financial Statements 2022, p.34 (Statement of Cash Flows) - https://www.zenith-bank.co.uk/media/2237/2022-annual-report-and-financial-statements.pdf
FY2021: Annual Report and Financial Statements 2021, p.32 (Statement of Cash Flows) - https://www.zenith-bank.co.uk/media/2205/2021-annual-report-and-financial-statements.pdf
FY2020: Annual Report 2020, p.34 (Statement of Cash Flows) - https://www.zenith-bank.co.uk/media/2199/zenith-bank-uk-limited-annual-report-2020.pdf
FY2019: Annual Report 2019, p.23 (Statement of Cash Flows) - https://www.zenith-bank.co.uk/media/2169/258558-zenith-web.pdf
FY2018: Annual Report and Financial Statements 2018, p.21 (Statement of Cash Flows) - https://www.zenith-bank.co.uk/media/2151/2018-annual-report.pdf
FY2017: Annual Report and Financial Statements 2017, p.20 (Statement of Cash Flows) - https://www.zenith-bank.co.uk/media/2142/2017-annual-report-and-financial-statements.pdf
FY2016: Annual Report and Accounts 2016, p.12 (Statement of Cash Flows) - https://www.zenith-bank.co.uk/media/1009/statutory_accounts_year_ended_31st_december_2016.pdf
FY2015: Annual Report and Financial Statements 2015, p.13 (Statement of cash flows) - https://www.zenith-bank.co.uk/media/1011/zenith_bank_-uk-_ltd_-_annual_report_and_financial_statements_2015.pdf
FY2014: Annual Report and Financial Statements 2014, p.13 (Statement of cash flows) - https://www.zenith-bank.co.uk/media/1010/zenith_bank_-uk-_ltd_-_annual_report_and_accounts_2014.pdf
FY2025: Annual Report and Financial Statements 2025, pp.42-43 printed (PDF pp.44-45), Statement of Cash Flows - https://find-and-update.company-information.service.gov.uk/company/05713749/filing-history/MzUyMjI1NjUwM2FkaXF6a2N4/document?format=pdf&amp;download=0
FY2025 WAS BLANK UNTIL 18 SEPTEMBER 2026 and the reason it filled matters for the next reader: no FY2025 Annual Report was ever published on zenith-bank.co.uk (its own 'Statutory Accounts &amp; Tax Strategy' page still lists annual reports only to 2024, though its separate Pillar 3 page carries the FY2025 edition), so checking the Bank's own site - the route every other year here uses - would have kept returning nothing. The FY2025 statutory accounts exist only as the Companies House filing cited above ('Full accounts made up to 31 December 2025', filed 18 May 2026, 122 pages). That filing is a go-tiff2pdf scan with no text layer whatsoever, so every FY2025 figure in this workbook was read VISUALLY from pages rendered at 300 dpi; OCR was used only to index which page held which statement, never to read a number.
FY2025 PRESENTATION CHANGES, each kept as the Bank printed it rather than forced onto the FY2024 shape: (a) financing activities now split the lease outflow into 'Repayment of Lease liability' (926,443) and 'Interest payment on Lease liability' (340,871), where FY2024's own report printed a single 672,177 - this workbook keeps FY2024 as its own edition printed it and gives FY2025 its own two rows; (b) 'Loss on derecognition of assets' prints a literal dash for FY2025, carried through as '-' and NOT as 0.
Note: FY2021's own report presents operating cash flow more simply than later years - net interest is not separately reversed out of profit and re-added on a cash basis (no 'Interest income'/'Interest expense' adjustment lines, no 'Interest income received'/'Interest expense paid' cash lines); FY2022 onward introduced this more granular presentation. Blank cells for FY2021 on those rows reflect this, not missing data. FY2014-FY2020's own reports present operating cash flow even more simply than FY2021 - none of them separately reverse out net interest on a cash basis at all (that level of granularity was only introduced FY2022 onward); blank cells for FY2014-FY2020 on those specific reconciliation rows reflect this, not missing data. FY2014-FY2017 (pre-IFRS 9) show a single 'Impairment provision charge' line rather than the IFRS 9-era split used from FY2018; FY2014 shows none at all (the Bank recognised zero impairment charge that year, per its own report). FY2019-FY2020 add 'Interest expense (transition to IFRS 16)'/lease-related lines not present in earlier years, reflecting the Bank's genuine IFRS 16 adoption (1 January 2019) - blank, not zero, for years before that transition.
Activity-total rows may be off by up to £0.2k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every populated year).
FY2013: Financial Statements for the year ended 31 December 2013, p.12 (Consolidated statement of cash flows) - https://find-and-update.company-information.service.gov.uk/company/05713749/filing-history/MzEwNDk3MzAyNmFkaXF6a2N4/document?format=pdf&amp;download=0
FY2012: Financial Statements as at 31 December 2012, p.11 (Statement of cash flows, FY2013's own FY2012 comparative column) - https://find-and-update.company-information.service.gov.uk/company/05713749/filing-history/MzEwNDk3MzAyNmFkaXF6a2N4/document?format=pdf&amp;download=0 (cross-checked against FY2012's own Annual Report, same document as the FY2012 sources row above)
FY2009-FY2011 cash flow is blank: these years' own Annual Reports contain no Statement of Cash Flows at all (see HD-073 extension note below) - a genuine, disclosed absence.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RESTATEMENT NOTE: FY2023's own Annual Report cash flow figures (used for FY2023's column here) differ slightly from the 'restated' FY2023 comparative shown in the FY2024 Annual Report (e.g. operating activities $(344,220,013) as originally reported vs $(346,336,139) restated) - both report the same $276,069,567 closing balance, so the restatement is a reclassification between line items, not a change to overall cash movement. FY2023's own as-originally-reported figures are used throughout, consistent with this project's convention of preferring each year's own report over a later restated comparative.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68:O6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Asset Quality</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Loans and advances to customers</t>
        </is>
      </c>
      <c r="B4" s="6" t="n"/>
      <c r="C4" s="6" t="n"/>
      <c r="D4" s="6" t="n"/>
      <c r="E4" s="6" t="n"/>
      <c r="F4" s="6" t="n"/>
      <c r="G4" s="6" t="n"/>
      <c r="H4" s="6" t="n"/>
      <c r="I4" s="6" t="n"/>
      <c r="J4" s="6" t="n"/>
      <c r="K4" s="6" t="n"/>
      <c r="L4" s="6" t="n"/>
      <c r="M4" s="6" t="n"/>
    </row>
    <row r="5">
      <c r="A5" s="6" t="inlineStr">
        <is>
          <t>Gross exposure</t>
        </is>
      </c>
      <c r="B5" s="6" t="n">
        <v>484768.8</v>
      </c>
      <c r="C5" s="6" t="n">
        <v>357098.8</v>
      </c>
      <c r="D5" s="6" t="n">
        <v>282475.4</v>
      </c>
      <c r="E5" s="6" t="n">
        <v>264759.8</v>
      </c>
      <c r="F5" s="6" t="n">
        <v>265839.1</v>
      </c>
      <c r="G5" s="6" t="n">
        <v>119318.1</v>
      </c>
      <c r="H5" s="6" t="n">
        <v>51225.3</v>
      </c>
      <c r="I5" s="6" t="n">
        <v>70531</v>
      </c>
      <c r="J5" s="6" t="n">
        <v>114605</v>
      </c>
      <c r="K5" s="6" t="n">
        <v>183473.6</v>
      </c>
      <c r="L5" s="6" t="n">
        <v>253652.7</v>
      </c>
      <c r="M5" s="6" t="n">
        <v>252674.4</v>
      </c>
    </row>
    <row r="6">
      <c r="A6" s="6" t="inlineStr">
        <is>
          <t>IFRS 9 impairment allowance</t>
        </is>
      </c>
      <c r="B6" s="6" t="n">
        <v>-3536.3</v>
      </c>
      <c r="C6" s="6" t="n">
        <v>-2641.6</v>
      </c>
      <c r="D6" s="6" t="n">
        <v>-4861.8</v>
      </c>
      <c r="E6" s="6" t="n">
        <v>-4197</v>
      </c>
      <c r="F6" s="6" t="n">
        <v>-4383.2</v>
      </c>
      <c r="G6" s="6" t="n">
        <v>-1605.2</v>
      </c>
      <c r="H6" s="6" t="n">
        <v>-1803.2</v>
      </c>
      <c r="I6" s="6" t="n">
        <v>-4012.4</v>
      </c>
      <c r="J6" s="6" t="n"/>
      <c r="K6" s="6" t="n"/>
      <c r="L6" s="6" t="n"/>
      <c r="M6" s="6" t="n"/>
    </row>
    <row r="7">
      <c r="A7" s="6" t="inlineStr">
        <is>
          <t>IAS 39 impairment allowance (pre-IFRS 9)</t>
        </is>
      </c>
      <c r="B7" s="6" t="n"/>
      <c r="C7" s="6" t="n"/>
      <c r="D7" s="6" t="n"/>
      <c r="E7" s="6" t="n"/>
      <c r="F7" s="6" t="n"/>
      <c r="G7" s="6" t="n"/>
      <c r="H7" s="6" t="n"/>
      <c r="I7" s="6" t="n"/>
      <c r="J7" s="6" t="n">
        <v>-24724.1</v>
      </c>
      <c r="K7" s="6" t="n">
        <v>-21408.5</v>
      </c>
      <c r="L7" s="6" t="n">
        <v>-5626.6</v>
      </c>
      <c r="M7" s="6" t="n">
        <v>0</v>
      </c>
    </row>
    <row r="8">
      <c r="A8" s="5" t="inlineStr">
        <is>
          <t>Net loans and advances to customers</t>
        </is>
      </c>
      <c r="B8" s="5" t="n">
        <v>481232.5</v>
      </c>
      <c r="C8" s="5" t="n">
        <v>354457.3</v>
      </c>
      <c r="D8" s="5" t="n">
        <v>277613.5</v>
      </c>
      <c r="E8" s="5" t="n">
        <v>260562.8</v>
      </c>
      <c r="F8" s="5" t="n">
        <v>261455.9</v>
      </c>
      <c r="G8" s="5" t="n">
        <v>117712.9</v>
      </c>
      <c r="H8" s="5" t="n">
        <v>49422.1</v>
      </c>
      <c r="I8" s="5" t="n">
        <v>66518.5</v>
      </c>
      <c r="J8" s="5" t="n">
        <v>89880.89999999999</v>
      </c>
      <c r="K8" s="5" t="n">
        <v>162065.1</v>
      </c>
      <c r="L8" s="5" t="n">
        <v>248026.1</v>
      </c>
      <c r="M8" s="5" t="n">
        <v>252674.4</v>
      </c>
    </row>
    <row r="9">
      <c r="A9" s="6" t="inlineStr">
        <is>
          <t>Impairment as % of gross exposure</t>
        </is>
      </c>
      <c r="B9" s="6" t="inlineStr">
        <is>
          <t>0.7%</t>
        </is>
      </c>
      <c r="C9" s="6" t="inlineStr">
        <is>
          <t>0.7%</t>
        </is>
      </c>
      <c r="D9" s="6" t="inlineStr">
        <is>
          <t>1.7%</t>
        </is>
      </c>
      <c r="E9" s="6" t="inlineStr">
        <is>
          <t>1.6%</t>
        </is>
      </c>
      <c r="F9" s="6" t="inlineStr">
        <is>
          <t>1.6%</t>
        </is>
      </c>
      <c r="G9" s="6" t="inlineStr">
        <is>
          <t>1.3%</t>
        </is>
      </c>
      <c r="H9" s="6" t="inlineStr">
        <is>
          <t>3.5%</t>
        </is>
      </c>
      <c r="I9" s="6" t="inlineStr">
        <is>
          <t>5.7%</t>
        </is>
      </c>
      <c r="J9" s="6" t="inlineStr">
        <is>
          <t>21.6%</t>
        </is>
      </c>
      <c r="K9" s="6" t="inlineStr">
        <is>
          <t>11.7%</t>
        </is>
      </c>
      <c r="L9" s="6" t="inlineStr">
        <is>
          <t>2.2%</t>
        </is>
      </c>
      <c r="M9" s="6" t="inlineStr">
        <is>
          <t>0.0%</t>
        </is>
      </c>
    </row>
    <row r="10">
      <c r="A10" s="5" t="inlineStr">
        <is>
          <t>IAS 39 individual/collective allowance split (pre-IFRS 9, FY2016-FY2017 only)</t>
        </is>
      </c>
      <c r="B10" s="6" t="n"/>
      <c r="C10" s="6" t="n"/>
      <c r="D10" s="6" t="n"/>
      <c r="E10" s="6" t="n"/>
      <c r="F10" s="6" t="n"/>
      <c r="G10" s="6" t="n"/>
      <c r="H10" s="6" t="n"/>
      <c r="I10" s="6" t="n"/>
      <c r="J10" s="6" t="n"/>
      <c r="K10" s="6" t="n"/>
      <c r="L10" s="6" t="n"/>
      <c r="M10" s="6" t="n"/>
    </row>
    <row r="11">
      <c r="A11" s="6" t="inlineStr">
        <is>
          <t>Individual impairment allowance</t>
        </is>
      </c>
      <c r="B11" s="6" t="n"/>
      <c r="C11" s="6" t="n"/>
      <c r="D11" s="6" t="n"/>
      <c r="E11" s="6" t="n"/>
      <c r="F11" s="6" t="n"/>
      <c r="G11" s="6" t="n"/>
      <c r="H11" s="6" t="n"/>
      <c r="I11" s="6" t="n"/>
      <c r="J11" s="6" t="n">
        <v>-21138.3</v>
      </c>
      <c r="K11" s="6" t="n">
        <v>-20612.5</v>
      </c>
      <c r="L11" s="6" t="n"/>
      <c r="M11" s="6" t="n"/>
    </row>
    <row r="12">
      <c r="A12" s="6" t="inlineStr">
        <is>
          <t>Collective impairment allowance</t>
        </is>
      </c>
      <c r="B12" s="6" t="n"/>
      <c r="C12" s="6" t="n"/>
      <c r="D12" s="6" t="n"/>
      <c r="E12" s="6" t="n"/>
      <c r="F12" s="6" t="n"/>
      <c r="G12" s="6" t="n"/>
      <c r="H12" s="6" t="n"/>
      <c r="I12" s="6" t="n"/>
      <c r="J12" s="6" t="n">
        <v>-3585.8</v>
      </c>
      <c r="K12" s="6" t="n">
        <v>-796</v>
      </c>
      <c r="L12" s="6" t="n"/>
      <c r="M12" s="6" t="n"/>
    </row>
    <row r="13">
      <c r="A13" s="5" t="inlineStr">
        <is>
          <t>IFRS 9 ECL allowance by stage (Loans and advances to customers)</t>
        </is>
      </c>
      <c r="B13" s="6" t="n"/>
      <c r="C13" s="6" t="n"/>
      <c r="D13" s="6" t="n"/>
      <c r="E13" s="6" t="n"/>
      <c r="F13" s="6" t="n"/>
      <c r="G13" s="6" t="n"/>
      <c r="H13" s="6" t="n"/>
      <c r="I13" s="6" t="n"/>
      <c r="J13" s="6" t="n"/>
      <c r="K13" s="6" t="n"/>
      <c r="L13" s="6" t="n"/>
      <c r="M13" s="6" t="n"/>
    </row>
    <row r="14">
      <c r="A14" s="6" t="inlineStr">
        <is>
          <t>Stage 1 (12-month ECL)</t>
        </is>
      </c>
      <c r="B14" s="6" t="n">
        <v>3048.2</v>
      </c>
      <c r="C14" s="6" t="n">
        <v>2294.6</v>
      </c>
      <c r="D14" s="6" t="n">
        <v>4562.2</v>
      </c>
      <c r="E14" s="6" t="n">
        <v>3557.3</v>
      </c>
      <c r="F14" s="6" t="n">
        <v>3873.1</v>
      </c>
      <c r="G14" s="6" t="n">
        <v>1579.6</v>
      </c>
      <c r="H14" s="6" t="n">
        <v>1060.8</v>
      </c>
      <c r="I14" s="6" t="n">
        <v>67.40000000000001</v>
      </c>
      <c r="J14" s="6" t="n"/>
      <c r="K14" s="6" t="n"/>
      <c r="L14" s="6" t="n"/>
      <c r="M14" s="6" t="n"/>
    </row>
    <row r="15">
      <c r="A15" s="6" t="inlineStr">
        <is>
          <t>Stage 2 (lifetime ECL, not credit-impaired)</t>
        </is>
      </c>
      <c r="B15" s="6" t="n">
        <v>488.2</v>
      </c>
      <c r="C15" s="6" t="n">
        <v>347</v>
      </c>
      <c r="D15" s="6" t="n">
        <v>299.7</v>
      </c>
      <c r="E15" s="6" t="n">
        <v>639.7</v>
      </c>
      <c r="F15" s="6" t="n">
        <v>510.1</v>
      </c>
      <c r="G15" s="6" t="n">
        <v>25.6</v>
      </c>
      <c r="H15" s="6" t="n">
        <v>742.4</v>
      </c>
      <c r="I15" s="6" t="n">
        <v>3945</v>
      </c>
      <c r="J15" s="6" t="n"/>
      <c r="K15" s="6" t="n"/>
      <c r="L15" s="6" t="n"/>
      <c r="M15" s="6" t="n"/>
    </row>
    <row r="16">
      <c r="A16" s="6" t="inlineStr">
        <is>
          <t>Stage 3 (lifetime ECL, credit-impaired/default)</t>
        </is>
      </c>
      <c r="B16" s="6" t="n"/>
      <c r="C16" s="6" t="n">
        <v>0</v>
      </c>
      <c r="D16" s="6" t="n">
        <v>0</v>
      </c>
      <c r="E16" s="6" t="n">
        <v>0</v>
      </c>
      <c r="F16" s="6" t="n">
        <v>0</v>
      </c>
      <c r="G16" s="6" t="n">
        <v>0</v>
      </c>
      <c r="H16" s="6" t="n">
        <v>0</v>
      </c>
      <c r="I16" s="6" t="n">
        <v>0</v>
      </c>
      <c r="J16" s="6" t="n"/>
      <c r="K16" s="6" t="n"/>
      <c r="L16" s="6" t="n"/>
      <c r="M16" s="6" t="n"/>
    </row>
    <row r="17">
      <c r="A17" s="5" t="inlineStr">
        <is>
          <t>Total ECL allowance</t>
        </is>
      </c>
      <c r="B17" s="5" t="n">
        <v>3536.3</v>
      </c>
      <c r="C17" s="5" t="n">
        <v>2641.6</v>
      </c>
      <c r="D17" s="5" t="n">
        <v>4861.8</v>
      </c>
      <c r="E17" s="5" t="n">
        <v>4197</v>
      </c>
      <c r="F17" s="5" t="n">
        <v>4383.2</v>
      </c>
      <c r="G17" s="5" t="n">
        <v>1605.2</v>
      </c>
      <c r="H17" s="5" t="n">
        <v>1803.2</v>
      </c>
      <c r="I17" s="5" t="n">
        <v>4012.4</v>
      </c>
      <c r="J17" s="5" t="n"/>
      <c r="K17" s="5" t="n"/>
      <c r="L17" s="5" t="n"/>
      <c r="M17" s="5" t="n"/>
    </row>
    <row r="19" ht="460" customHeight="1">
      <c r="A19" s="8" t="inlineStr">
        <is>
          <t>Sources - Zenith Bank (UK) Limited's own credit risk / loan impairment notes (converted from USD to £, see FX conversion note below):
FY2024: Annual Report and Financial Statements 2024, p.66-68 (Credit risk note, ECL by stage) - https://www.zenith-bank.co.uk/media/2273/2024-annual-report-and-financial-statements.pdf
FY2023: Annual Report and Financial Statements 2023, p.58-60 (Credit risk note, ECL by stage) - https://www.zenith-bank.co.uk/media/2253/2023-annual-report-and-financial-statements.pdf
FY2022: Annual Report and Financial Statements 2022, p.56-58 (Credit risk note, ECL by stage) - https://www.zenith-bank.co.uk/media/2237/2022-annual-report-and-financial-statements.pdf
FY2021: Annual Report and Financial Statements 2021, p.54-56 (Credit risk note, ECL by stage) - https://www.zenith-bank.co.uk/media/2205/2021-annual-report-and-financial-statements.pdf
FY2020: Annual Report 2020, note 14 (Loans and advances to customers) and note 25 (Financial risk management, IFRS 9 ECL Staging Analysis and sectoral gross exposure/impairment table) - https://www.zenith-bank.co.uk/media/2199/zenith-bank-uk-limited-annual-report-2020.pdf
FY2019: Annual Report 2019, note 14 and note 25 (same structure as FY2020) - https://www.zenith-bank.co.uk/media/2169/258558-zenith-web.pdf
FY2018: Annual Report and Financial Statements 2018, note 14 (Loans and advances to customers) and note 25 (Financial risk management, IFRS 9 ECL Staging Analysis) - https://www.zenith-bank.co.uk/media/2151/2018-annual-report.pdf
FY2017: Annual Report and Financial Statements 2017, note 14 (Loans and advances to customers) - https://www.zenith-bank.co.uk/media/2142/2017-annual-report-and-financial-statements.pdf
FY2016: Annual Report and Accounts 2016, note 12 (Loans and advances to customers) - https://www.zenith-bank.co.uk/media/1009/statutory_accounts_year_ended_31st_december_2016.pdf
FY2015: Annual Report and Financial Statements 2015, note 12 (Loans and advances to customers) - https://www.zenith-bank.co.uk/media/1011/zenith_bank_-uk-_ltd_-_annual_report_and_financial_statements_2015.pdf
FY2014: Annual Report and Financial Statements 2014, note 12 (Loans and advances to customers) - https://www.zenith-bank.co.uk/media/1010/zenith_bank_-uk-_ltd_-_annual_report_and_accounts_2014.pdf
FY2025: Annual Report and Financial Statements 2025, note 18 'Loans and advances to customers' (p.63 printed, PDF p.65), note 20a 'Movements in Impairment' (p.64 printed, PDF p.66) and the credit-risk note's ECL-allowance reconciliation by class (p.104 printed, PDF p.106) - https://find-and-update.company-information.service.gov.uk/company/05713749/filing-history/MzUyMjI1NjUwM2FkaXF6a2N4/document?format=pdf&amp;download=0
FY2025 ADDED 2026-09-18 from the Companies House filing, read VISUALLY at 300 dpi (image-only scan). The three sources tie: gross 651,917,069 less allowance 4,755,653 = net 647,161,416, which is the balance sheet figure, and the stage split 4,099,161 + 656,492 sums to that same 4,755,653.
FY2025 STAGE 3 IS BLANK FOR A STRUCTURAL REASON, NOT A ZERO. In FY2018-FY2024 the Bank printed a 'Lifetime ECL credit-impaired' column for loans and advances to customers and filled it with an explicit nil, which is why those years show 0 here. The FY2025 edition's loans-to-customers reconciliation prints only TWO stage columns - 12-month ECL and Lifetime ECL not credit-impaired - with no Stage 3 column at all (its securities tables on the facing pages do still carry three). A column that is not printed is a different finding from a column printed as nil, so FY2025 is left blank rather than carried forward as 0.
IFRS 9 STAGING NOTE: the Bank discloses the ECL ALLOWANCE by stage for loans and advances to customers in every year shown FY2018-FY2024 (IFRS 9 was adopted 1 January 2018), but does NOT separately disclose the GROSS CARRYING AMOUNT by stage for this specific line in FY2021-FY2024 (only the allowance split) - so a gross-exposure-based NPL ratio cannot be honestly derived from what's disclosed for those years and is not shown there. FY2019 and FY2020 uniquely DO disclose a gross-exposure/impairment sectoral breakdown (shown in the 'Impairment as % of gross exposure' row for those two years, sourced from that breakdown rather than the ECL staging table). Stage 3 (credit-impaired/default) ECL allowance is exactly nil for loans and advances to customers in every IFRS 9-era year shown (FY2018-FY2024) - a genuine finding (no identified defaulted customer exposures in the disclosed period), not an omission.
HD-048 PRE-IFRS 9 NOTE (FY2014-FY2017): these four years pre-date IFRS 9 entirely and use the IAS 39 incurred-loss impairment model, which has no 'stage' concept - the IFRS 9 ECL stage rows above are genuinely blank (not zero) for FY2014-FY2017. FY2016 and FY2017 do disclose an individual/collective impairment split (a different, IAS 39-specific distinction, shown in its own section above) but not staged ECL. FY2015 discloses a single undifferentiated 'Impairment provision' with no individual/collective split at all. FY2014 discloses zero impairment provision on loans and advances to customers - an explicit disclosed nil (confirmed by the FY2015 Annual Report's own FY2014 comparative column showing '-'), not a gap. 'Gross exposure' for FY2014-FY2017 is computed as the sum of the Bank's own disclosed 'Loans to individuals' and 'Loans and advances to corporates' lines (both components of the same note); each year's own report figures are used throughout (not a later year's restated comparative) - e.g. FY2017's own report restates FY2016's corporates/individual-impairment comparatives, but FY2016's own report figures are used for the FY2016 column here, consistent with this project's convention.
FY2009-FY2013 COLUMNS (added 2026-09-15): these columns appear on this sheet because the Pillar 3 year range was extended back to FY2009 to carry the newly-recovered FY2011 Pillar 3 edition. They are EMPTY of asset-quality data on purpose. The FY2011 edition is a Basel II / BIPRU capital-adequacy disclosure and contains no impairment provision figure, no arrears or default table and no exposure-quality breakdown of any kind; no Pillar 3 edition exists at all for FY2009, FY2010, FY2012 or FY2013. Nothing was carried over from the Annual Reports for these years either, since that would mix a different source basis into rows sourced from Pillar 3 disclosures. See the Pillar 3 sources note on the metric sheets for the full archive-status breakdown.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Zenith Bank (UK) Limited — KM1 Key Metrics</t>
        </is>
      </c>
    </row>
    <row r="2">
      <c r="A2" s="2" t="inlineStr">
        <is>
          <t>The Bank's published Key Metrics / UK KM1 table in its own row order and precision. Amounts are native US$ thousands as printed; LCR/NSFR figures are averages where the source says so.</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(US$)</t>
        </is>
      </c>
      <c r="B4" s="6" t="n"/>
      <c r="C4" s="6" t="n"/>
      <c r="D4" s="6" t="n"/>
      <c r="E4" s="6" t="n"/>
      <c r="F4" s="6" t="n"/>
      <c r="G4" s="6" t="n"/>
    </row>
    <row r="5">
      <c r="A5" s="6" t="inlineStr">
        <is>
          <t>Common Equity Tier 1 (CET1) capital (US$ k)</t>
        </is>
      </c>
      <c r="B5" s="6" t="n">
        <v>431376</v>
      </c>
      <c r="C5" s="6" t="n">
        <v>378325</v>
      </c>
      <c r="D5" s="6" t="n">
        <v>338086</v>
      </c>
      <c r="E5" s="6" t="n">
        <v>290721</v>
      </c>
      <c r="F5" s="6" t="n">
        <v>281088</v>
      </c>
      <c r="G5" s="6" t="n">
        <v>280619</v>
      </c>
    </row>
    <row r="6">
      <c r="A6" s="6" t="inlineStr">
        <is>
          <t>Tier 1 capital (US$ k)</t>
        </is>
      </c>
      <c r="B6" s="6" t="n">
        <v>431376</v>
      </c>
      <c r="C6" s="6" t="n">
        <v>378325</v>
      </c>
      <c r="D6" s="6" t="n">
        <v>338086</v>
      </c>
      <c r="E6" s="6" t="n">
        <v>290721</v>
      </c>
      <c r="F6" s="6" t="n">
        <v>281088</v>
      </c>
      <c r="G6" s="6" t="n">
        <v>280619</v>
      </c>
    </row>
    <row r="7">
      <c r="A7" s="6" t="inlineStr">
        <is>
          <t>Total capital (US$ k)</t>
        </is>
      </c>
      <c r="B7" s="6" t="n">
        <v>431376</v>
      </c>
      <c r="C7" s="6" t="n">
        <v>378325</v>
      </c>
      <c r="D7" s="6" t="n">
        <v>338086</v>
      </c>
      <c r="E7" s="6" t="n">
        <v>290721</v>
      </c>
      <c r="F7" s="6" t="n">
        <v>281088</v>
      </c>
      <c r="G7" s="6" t="n">
        <v>280619</v>
      </c>
    </row>
    <row r="8">
      <c r="A8" s="5" t="inlineStr">
        <is>
          <t>Risk-weighted exposure amount</t>
        </is>
      </c>
      <c r="B8" s="6" t="n"/>
      <c r="C8" s="6" t="n"/>
      <c r="D8" s="6" t="n"/>
      <c r="E8" s="6" t="n"/>
      <c r="F8" s="6" t="n"/>
      <c r="G8" s="6" t="n"/>
    </row>
    <row r="9">
      <c r="A9" s="6" t="inlineStr">
        <is>
          <t>Total risk-weighted exposure amount (US$ k)</t>
        </is>
      </c>
      <c r="B9" s="6" t="n">
        <v>1843312</v>
      </c>
      <c r="C9" s="6" t="n">
        <v>1475750</v>
      </c>
      <c r="D9" s="6" t="n">
        <v>1167888</v>
      </c>
      <c r="E9" s="6" t="n">
        <v>1125146</v>
      </c>
      <c r="F9" s="6" t="n">
        <v>1352803</v>
      </c>
      <c r="G9" s="6" t="n">
        <v>991779</v>
      </c>
    </row>
    <row r="10">
      <c r="A10" s="5" t="inlineStr">
        <is>
          <t>Capital ratios (as a percentage of risk-weighted exposure amount)</t>
        </is>
      </c>
      <c r="B10" s="6" t="n"/>
      <c r="C10" s="6" t="n"/>
      <c r="D10" s="6" t="n"/>
      <c r="E10" s="6" t="n"/>
      <c r="F10" s="6" t="n"/>
      <c r="G10" s="6" t="n"/>
    </row>
    <row r="11">
      <c r="A11" s="6" t="inlineStr">
        <is>
          <t>Common Equity Tier 1 ratio (%)</t>
        </is>
      </c>
      <c r="B11" s="6" t="inlineStr">
        <is>
          <t>23.40%</t>
        </is>
      </c>
      <c r="C11" s="6" t="inlineStr">
        <is>
          <t>25.64%</t>
        </is>
      </c>
      <c r="D11" s="6" t="inlineStr">
        <is>
          <t>28.95%</t>
        </is>
      </c>
      <c r="E11" s="6" t="inlineStr">
        <is>
          <t>25.84%</t>
        </is>
      </c>
      <c r="F11" s="6" t="inlineStr">
        <is>
          <t>20.78%</t>
        </is>
      </c>
      <c r="G11" s="6" t="inlineStr">
        <is>
          <t>28.29%</t>
        </is>
      </c>
    </row>
    <row r="12">
      <c r="A12" s="6" t="inlineStr">
        <is>
          <t>Tier 1 ratio (%)</t>
        </is>
      </c>
      <c r="B12" s="6" t="inlineStr">
        <is>
          <t>23.40%</t>
        </is>
      </c>
      <c r="C12" s="6" t="inlineStr">
        <is>
          <t>25.64%</t>
        </is>
      </c>
      <c r="D12" s="6" t="inlineStr">
        <is>
          <t>28.95%</t>
        </is>
      </c>
      <c r="E12" s="6" t="inlineStr">
        <is>
          <t>25.84%</t>
        </is>
      </c>
      <c r="F12" s="6" t="inlineStr">
        <is>
          <t>20.78%</t>
        </is>
      </c>
      <c r="G12" s="6" t="inlineStr">
        <is>
          <t>28.29%</t>
        </is>
      </c>
    </row>
    <row r="13">
      <c r="A13" s="6" t="inlineStr">
        <is>
          <t>Total capital ratio (%)</t>
        </is>
      </c>
      <c r="B13" s="6" t="inlineStr">
        <is>
          <t>23.40%</t>
        </is>
      </c>
      <c r="C13" s="6" t="inlineStr">
        <is>
          <t>25.64%</t>
        </is>
      </c>
      <c r="D13" s="6" t="inlineStr">
        <is>
          <t>28.95%</t>
        </is>
      </c>
      <c r="E13" s="6" t="inlineStr">
        <is>
          <t>25.84%</t>
        </is>
      </c>
      <c r="F13" s="6" t="inlineStr">
        <is>
          <t>20.78%</t>
        </is>
      </c>
      <c r="G13" s="6" t="inlineStr">
        <is>
          <t>28.29%</t>
        </is>
      </c>
    </row>
    <row r="14">
      <c r="A14" s="5" t="inlineStr">
        <is>
          <t>Additional own funds requirements based on SREP (as a percentage of risk-weighted exposure amount)</t>
        </is>
      </c>
      <c r="B14" s="6" t="n"/>
      <c r="C14" s="6" t="n"/>
      <c r="D14" s="6" t="n"/>
      <c r="E14" s="6" t="n"/>
      <c r="F14" s="6" t="n"/>
      <c r="G14" s="6" t="n"/>
    </row>
    <row r="15">
      <c r="A15" s="6" t="inlineStr">
        <is>
          <t>Total SREP own funds requirements (%)</t>
        </is>
      </c>
      <c r="B15" s="6" t="inlineStr">
        <is>
          <t>14.04%</t>
        </is>
      </c>
      <c r="C15" s="6" t="inlineStr">
        <is>
          <t>14.04%</t>
        </is>
      </c>
      <c r="D15" s="6" t="inlineStr">
        <is>
          <t>14.04%</t>
        </is>
      </c>
      <c r="E15" s="6" t="inlineStr">
        <is>
          <t>12.89%</t>
        </is>
      </c>
      <c r="F15" s="6" t="inlineStr">
        <is>
          <t>12.89%</t>
        </is>
      </c>
      <c r="G15" s="6" t="inlineStr">
        <is>
          <t>12.89%</t>
        </is>
      </c>
    </row>
    <row r="16">
      <c r="A16" s="5" t="inlineStr">
        <is>
          <t>Combined buffer requirement (as a percentage of risk-weighted exposure amount)</t>
        </is>
      </c>
      <c r="B16" s="6" t="n"/>
      <c r="C16" s="6" t="n"/>
      <c r="D16" s="6" t="n"/>
      <c r="E16" s="6" t="n"/>
      <c r="F16" s="6" t="n"/>
      <c r="G16" s="6" t="n"/>
    </row>
    <row r="17">
      <c r="A17" s="6" t="inlineStr">
        <is>
          <t>Capital conservation buffer (%)</t>
        </is>
      </c>
      <c r="B17" s="6" t="inlineStr">
        <is>
          <t>2.50%</t>
        </is>
      </c>
      <c r="C17" s="6" t="inlineStr">
        <is>
          <t>2.50%</t>
        </is>
      </c>
      <c r="D17" s="6" t="inlineStr">
        <is>
          <t>2.50%</t>
        </is>
      </c>
      <c r="E17" s="6" t="inlineStr">
        <is>
          <t>2.50%</t>
        </is>
      </c>
      <c r="F17" s="6" t="inlineStr">
        <is>
          <t>2.50%</t>
        </is>
      </c>
      <c r="G17" s="6" t="inlineStr">
        <is>
          <t>2.50%</t>
        </is>
      </c>
    </row>
    <row r="18">
      <c r="A18" s="6" t="inlineStr">
        <is>
          <t>Institution specific countercyclical capital buffer (%)</t>
        </is>
      </c>
      <c r="B18" s="6" t="inlineStr">
        <is>
          <t>0.56%</t>
        </is>
      </c>
      <c r="C18" s="6" t="inlineStr">
        <is>
          <t>0.43%</t>
        </is>
      </c>
      <c r="D18" s="6" t="inlineStr">
        <is>
          <t>0.47%</t>
        </is>
      </c>
      <c r="E18" s="6" t="inlineStr">
        <is>
          <t>0.16%</t>
        </is>
      </c>
      <c r="F18" s="6" t="inlineStr">
        <is>
          <t>0.00%</t>
        </is>
      </c>
      <c r="G18" s="6" t="inlineStr">
        <is>
          <t>0.00%</t>
        </is>
      </c>
    </row>
    <row r="19">
      <c r="A19" s="6" t="inlineStr">
        <is>
          <t>Combined buffer requirement (%)</t>
        </is>
      </c>
      <c r="B19" s="6" t="inlineStr">
        <is>
          <t>3.06%</t>
        </is>
      </c>
      <c r="C19" s="6" t="inlineStr">
        <is>
          <t>2.93%</t>
        </is>
      </c>
      <c r="D19" s="6" t="inlineStr">
        <is>
          <t>2.97%</t>
        </is>
      </c>
      <c r="E19" s="6" t="inlineStr">
        <is>
          <t>2.66%</t>
        </is>
      </c>
      <c r="F19" s="6" t="inlineStr">
        <is>
          <t>2.50%</t>
        </is>
      </c>
      <c r="G19" s="6" t="inlineStr">
        <is>
          <t>2.50%</t>
        </is>
      </c>
    </row>
    <row r="20">
      <c r="A20" s="6" t="inlineStr">
        <is>
          <t>Overall capital requirement (%)</t>
        </is>
      </c>
      <c r="B20" s="6" t="inlineStr">
        <is>
          <t>17.10%</t>
        </is>
      </c>
      <c r="C20" s="6" t="inlineStr">
        <is>
          <t>16.97%</t>
        </is>
      </c>
      <c r="D20" s="6" t="inlineStr">
        <is>
          <t>17.01%</t>
        </is>
      </c>
      <c r="E20" s="6" t="inlineStr">
        <is>
          <t>15.55%</t>
        </is>
      </c>
      <c r="F20" s="6" t="inlineStr">
        <is>
          <t>15.39%</t>
        </is>
      </c>
      <c r="G20" s="6" t="inlineStr">
        <is>
          <t>15.39%</t>
        </is>
      </c>
    </row>
    <row r="21">
      <c r="A21" s="6" t="inlineStr">
        <is>
          <t>CET1 available after the total SREP own funds requirements (%)</t>
        </is>
      </c>
      <c r="B21" s="6" t="inlineStr">
        <is>
          <t>9.36%</t>
        </is>
      </c>
      <c r="C21" s="6" t="inlineStr">
        <is>
          <t>11.60%</t>
        </is>
      </c>
      <c r="D21" s="6" t="inlineStr">
        <is>
          <t>14.91%</t>
        </is>
      </c>
      <c r="E21" s="6" t="inlineStr">
        <is>
          <t>10.29%</t>
        </is>
      </c>
      <c r="F21" s="6" t="inlineStr">
        <is>
          <t>5.39%</t>
        </is>
      </c>
      <c r="G21" s="6" t="inlineStr">
        <is>
          <t>12.90%</t>
        </is>
      </c>
    </row>
    <row r="22">
      <c r="A22" s="5" t="inlineStr">
        <is>
          <t>Leverage ratio</t>
        </is>
      </c>
      <c r="B22" s="6" t="n"/>
      <c r="C22" s="6" t="n"/>
      <c r="D22" s="6" t="n"/>
      <c r="E22" s="6" t="n"/>
      <c r="F22" s="6" t="n"/>
      <c r="G22" s="6" t="n"/>
    </row>
    <row r="23">
      <c r="A23" s="6" t="inlineStr">
        <is>
          <t>Total exposure measure excluding claims on central banks (US$ k)</t>
        </is>
      </c>
      <c r="B23" s="6" t="n">
        <v>3171798</v>
      </c>
      <c r="C23" s="6" t="n">
        <v>2987483</v>
      </c>
      <c r="D23" s="6" t="n">
        <v>2872422</v>
      </c>
      <c r="E23" s="6" t="n">
        <v>3409175</v>
      </c>
      <c r="F23" s="6" t="n">
        <v>3219954</v>
      </c>
      <c r="G23" s="6" t="n">
        <v>2483697</v>
      </c>
    </row>
    <row r="24">
      <c r="A24" s="6" t="inlineStr">
        <is>
          <t>Leverage ratio excluding claims on central banks (%)</t>
        </is>
      </c>
      <c r="B24" s="6" t="inlineStr">
        <is>
          <t>12.08%</t>
        </is>
      </c>
      <c r="C24" s="6" t="inlineStr">
        <is>
          <t>11.25%</t>
        </is>
      </c>
      <c r="D24" s="6" t="inlineStr">
        <is>
          <t>9.76%</t>
        </is>
      </c>
      <c r="E24" s="6" t="inlineStr">
        <is>
          <t>7.32%</t>
        </is>
      </c>
      <c r="F24" s="6" t="inlineStr">
        <is>
          <t>8.36%</t>
        </is>
      </c>
      <c r="G24" s="6" t="inlineStr">
        <is>
          <t>10.68%</t>
        </is>
      </c>
    </row>
    <row r="25">
      <c r="A25" s="5" t="inlineStr">
        <is>
          <t>Liquidity Coverage Ratio</t>
        </is>
      </c>
      <c r="B25" s="6" t="n"/>
      <c r="C25" s="6" t="n"/>
      <c r="D25" s="6" t="n"/>
      <c r="E25" s="6" t="n"/>
      <c r="F25" s="6" t="n"/>
      <c r="G25" s="6" t="n"/>
    </row>
    <row r="26">
      <c r="A26" s="6" t="inlineStr">
        <is>
          <t>Total high-quality liquid assets (HQLA) (Weighted value) (US$ k)</t>
        </is>
      </c>
      <c r="B26" s="6" t="n">
        <v>952538</v>
      </c>
      <c r="C26" s="6" t="n">
        <v>1013789</v>
      </c>
      <c r="D26" s="6" t="n">
        <v>1147653</v>
      </c>
      <c r="E26" s="6" t="n">
        <v>1227530</v>
      </c>
      <c r="F26" s="6" t="n">
        <v>932821</v>
      </c>
      <c r="G26" s="6" t="n">
        <v>782801</v>
      </c>
    </row>
    <row r="27">
      <c r="A27" s="6" t="inlineStr">
        <is>
          <t>Cash outflows – Total weighted value (US$ k)</t>
        </is>
      </c>
      <c r="B27" s="6" t="n">
        <v>896970</v>
      </c>
      <c r="C27" s="6" t="n">
        <v>714951</v>
      </c>
      <c r="D27" s="6" t="n">
        <v>838802</v>
      </c>
      <c r="E27" s="6" t="n">
        <v>1075133</v>
      </c>
      <c r="F27" s="6" t="n">
        <v>1350918</v>
      </c>
      <c r="G27" s="6" t="n">
        <v>719583</v>
      </c>
    </row>
    <row r="28">
      <c r="A28" s="6" t="inlineStr">
        <is>
          <t>Cash inflows – Total weighted value (US$ k)</t>
        </is>
      </c>
      <c r="B28" s="6" t="n">
        <v>544428</v>
      </c>
      <c r="C28" s="6" t="n">
        <v>408131</v>
      </c>
      <c r="D28" s="6" t="n">
        <v>469155</v>
      </c>
      <c r="E28" s="6" t="n">
        <v>726923</v>
      </c>
      <c r="F28" s="6" t="n">
        <v>1022071</v>
      </c>
      <c r="G28" s="6" t="n">
        <v>818015</v>
      </c>
    </row>
    <row r="29">
      <c r="A29" s="6" t="inlineStr">
        <is>
          <t>Total net cash outflows (adjusted value) (US$ k)</t>
        </is>
      </c>
      <c r="B29" s="6" t="n">
        <v>352543</v>
      </c>
      <c r="C29" s="6" t="n">
        <v>306820</v>
      </c>
      <c r="D29" s="6" t="n">
        <v>369648</v>
      </c>
      <c r="E29" s="6" t="n">
        <v>374822</v>
      </c>
      <c r="F29" s="6" t="n">
        <v>337730</v>
      </c>
      <c r="G29" s="6" t="n">
        <v>179896</v>
      </c>
    </row>
    <row r="30">
      <c r="A30" s="6" t="inlineStr">
        <is>
          <t>Liquidity coverage ratio (%)</t>
        </is>
      </c>
      <c r="B30" s="6" t="inlineStr">
        <is>
          <t>270.19%</t>
        </is>
      </c>
      <c r="C30" s="6" t="inlineStr">
        <is>
          <t>330.42%</t>
        </is>
      </c>
      <c r="D30" s="6" t="inlineStr">
        <is>
          <t>310%</t>
        </is>
      </c>
      <c r="E30" s="6" t="inlineStr">
        <is>
          <t>343%</t>
        </is>
      </c>
      <c r="F30" s="6" t="inlineStr">
        <is>
          <t>276%</t>
        </is>
      </c>
      <c r="G30" s="6" t="inlineStr">
        <is>
          <t>435%</t>
        </is>
      </c>
    </row>
    <row r="31">
      <c r="A31" s="5" t="inlineStr">
        <is>
          <t>Net Stable Funding Ratio (NSFR)</t>
        </is>
      </c>
      <c r="B31" s="6" t="n"/>
      <c r="C31" s="6" t="n"/>
      <c r="D31" s="6" t="n"/>
      <c r="E31" s="6" t="n"/>
      <c r="F31" s="6" t="n"/>
      <c r="G31" s="6" t="n"/>
    </row>
    <row r="32">
      <c r="A32" s="6" t="inlineStr">
        <is>
          <t>Total available stable funding (US$ k)</t>
        </is>
      </c>
      <c r="B32" s="6" t="n">
        <v>1316936</v>
      </c>
      <c r="C32" s="6" t="n">
        <v>1136904</v>
      </c>
      <c r="D32" s="6" t="n">
        <v>1066880</v>
      </c>
      <c r="E32" s="6" t="n">
        <v>912816</v>
      </c>
      <c r="F32" s="6" t="n"/>
      <c r="G32" s="6" t="n"/>
    </row>
    <row r="33">
      <c r="A33" s="6" t="inlineStr">
        <is>
          <t>Total required stable funding (US$ k)</t>
        </is>
      </c>
      <c r="B33" s="6" t="n">
        <v>948441</v>
      </c>
      <c r="C33" s="6" t="n">
        <v>768308</v>
      </c>
      <c r="D33" s="6" t="n">
        <v>744377</v>
      </c>
      <c r="E33" s="6" t="n">
        <v>735763</v>
      </c>
      <c r="F33" s="6" t="n"/>
      <c r="G33" s="6" t="n"/>
    </row>
    <row r="34">
      <c r="A34" s="6" t="inlineStr">
        <is>
          <t>Net Stable Funding Ratio (%)</t>
        </is>
      </c>
      <c r="B34" s="6" t="inlineStr">
        <is>
          <t>138.85%</t>
        </is>
      </c>
      <c r="C34" s="6" t="inlineStr">
        <is>
          <t>147.98%</t>
        </is>
      </c>
      <c r="D34" s="6" t="inlineStr">
        <is>
          <t>143%</t>
        </is>
      </c>
      <c r="E34" s="6" t="inlineStr">
        <is>
          <t>124%</t>
        </is>
      </c>
      <c r="F34" s="6" t="n"/>
      <c r="G34" s="6" t="n"/>
    </row>
    <row r="36" ht="285" customHeight="1">
      <c r="A36" s="8" t="inlineStr">
        <is>
          <t>Sources — Zenith Bank (UK) Limited's own Key Metrics / UK KM1 tables; amounts are US$ thousands as printed and have not been converted to GBP:
FY2025: 2025 Pillar 3, printed p.16 — https://www.zenith-bank.co.uk/media/2290/pillar-3-zbuk-31dec25.pdf
FY2024: 2024 Pillar 3, printed p.17 — https://www.zenith-bank.co.uk/media/2274/31dec24-pillar-3-zbuk.pdf
FY2023: 2023 Pillar 3, printed p.17 — https://www.zenith-bank.co.uk/media/2260/pillar-3-31dec23-final.pdf
FY2022: 2022 Pillar 3, printed p.24 — https://www.zenith-bank.co.uk/media/2238/zbuk-31dec22-pillar-3-disclosures.pdf
FY2021: 2021 Pillar 3, printed p.23 — https://www.zenith-bank.co.uk/media/2228/31dec21-pillar-3.pdf
FY2020: 2021 Pillar 3 comparative column, printed p.23 — https://www.zenith-bank.co.uk/media/2228/31dec21-pillar-3.pdf
Each FY2021-FY2025 value comes from that year's own edition, retaining revisions rather than replacing them with later comparative figures. FY2020 uses the first later-edition comparative that prints the full row set. The table has no printed row numbers, so none are invented here. FY2021's own table predates the UK NSFR requirement and explicitly says NSFR would be shown from 1 January 2022; its NSFR cells and all pre-FY2020 columns therefore remain blank. The Bank's live Pillar 3 page was checked on 17 September 2026 and FY2025 remains the newest listed annual edition.</t>
        </is>
      </c>
    </row>
  </sheetData>
  <mergeCells count="1">
    <mergeCell ref="A36:G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capital</t>
        </is>
      </c>
      <c r="B4" s="6" t="n">
        <v>320773.3</v>
      </c>
      <c r="C4" s="6" t="n">
        <v>302297.2</v>
      </c>
      <c r="D4" s="6" t="n">
        <v>265540.4</v>
      </c>
      <c r="E4" s="6" t="n">
        <v>240324.9</v>
      </c>
      <c r="F4" s="6" t="n">
        <v>207889.9</v>
      </c>
      <c r="G4" s="6" t="n">
        <v>205416.1</v>
      </c>
      <c r="H4" s="6" t="n"/>
      <c r="I4" s="6" t="n"/>
      <c r="J4" s="6" t="n"/>
      <c r="K4" s="6" t="n">
        <v>156864.2</v>
      </c>
      <c r="L4" s="6" t="n">
        <v>127190.1</v>
      </c>
      <c r="M4" s="6" t="n">
        <v>109432.3</v>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c r="A5" s="6" t="inlineStr">
        <is>
          <t>Total statutory capital per the Annual Report 'Capital Management' note, before regulatory deductions (each year's own edition)</t>
        </is>
      </c>
      <c r="B5" s="6" t="n"/>
      <c r="C5" s="6" t="n"/>
      <c r="D5" s="6" t="n"/>
      <c r="E5" s="6" t="n"/>
      <c r="F5" s="6" t="n"/>
      <c r="G5" s="6" t="n"/>
      <c r="H5" s="6" t="n">
        <v>192407.7</v>
      </c>
      <c r="I5" s="6" t="n">
        <v>176507.1</v>
      </c>
      <c r="J5" s="6" t="n">
        <v>153062.4</v>
      </c>
      <c r="K5" s="6" t="n">
        <v>157001.1</v>
      </c>
      <c r="L5" s="6" t="n"/>
      <c r="M5" s="6" t="n"/>
      <c r="N5" s="6" t="n"/>
      <c r="O5" s="6" t="n"/>
      <c r="P5" s="6" t="n"/>
      <c r="Q5" s="6" t="n"/>
      <c r="R5" s="6" t="n"/>
    </row>
    <row r="6">
      <c r="A6" s="6" t="inlineStr">
        <is>
          <t>Total regulatory capital (Tier 1) after regulatory deductions, per the Annual Report 'Capital Management' note (each year's own edition)</t>
        </is>
      </c>
      <c r="B6" s="6" t="n"/>
      <c r="C6" s="6" t="n"/>
      <c r="D6" s="6" t="n"/>
      <c r="E6" s="6" t="n"/>
      <c r="F6" s="6" t="n"/>
      <c r="G6" s="6" t="n"/>
      <c r="H6" s="6" t="n">
        <v>166560.7</v>
      </c>
      <c r="I6" s="6" t="n">
        <v>158385.9</v>
      </c>
      <c r="J6" s="6" t="n"/>
      <c r="K6" s="6" t="n"/>
      <c r="L6" s="6" t="n"/>
      <c r="M6" s="6" t="n"/>
      <c r="N6" s="6" t="n"/>
      <c r="O6" s="6" t="n"/>
      <c r="P6" s="6" t="n"/>
      <c r="Q6" s="6" t="n"/>
      <c r="R6" s="6" t="n"/>
    </row>
    <row r="7">
      <c r="A7" s="6" t="inlineStr">
        <is>
          <t>Total regulatory capital (Tier 1) after deductions - FY2017 COMPARATIVE COLUMN of the FY2018 Annual Report (FY2017's own edition prints no post-deduction figure)</t>
        </is>
      </c>
      <c r="B7" s="6" t="n"/>
      <c r="C7" s="6" t="n"/>
      <c r="D7" s="6" t="n"/>
      <c r="E7" s="6" t="n"/>
      <c r="F7" s="6" t="n"/>
      <c r="G7" s="6" t="n"/>
      <c r="H7" s="6" t="n"/>
      <c r="I7" s="6" t="n"/>
      <c r="J7" s="6" t="n">
        <v>142974.4</v>
      </c>
      <c r="K7" s="6" t="n"/>
      <c r="L7" s="6" t="n"/>
      <c r="M7" s="6" t="n"/>
      <c r="N7" s="6" t="n"/>
      <c r="O7" s="6" t="n"/>
      <c r="P7" s="6" t="n"/>
      <c r="Q7" s="6" t="n"/>
      <c r="R7" s="6" t="n"/>
    </row>
    <row r="8">
      <c r="A8" s="6" t="inlineStr">
        <is>
          <t>Total regulatory capital (Tier 1) INCLUDING audited profit for the year - the FY2019 edition's own second presentation of the same table</t>
        </is>
      </c>
      <c r="B8" s="6" t="n"/>
      <c r="C8" s="6" t="n"/>
      <c r="D8" s="6" t="n"/>
      <c r="E8" s="6" t="n"/>
      <c r="F8" s="6" t="n"/>
      <c r="G8" s="6" t="n"/>
      <c r="H8" s="6" t="n">
        <v>187704.3</v>
      </c>
      <c r="I8" s="6" t="n"/>
      <c r="J8" s="6" t="n"/>
      <c r="K8" s="6" t="n"/>
      <c r="L8" s="6" t="n"/>
      <c r="M8" s="6" t="n"/>
      <c r="N8" s="6" t="n"/>
      <c r="O8" s="6" t="n"/>
      <c r="P8" s="6" t="n"/>
      <c r="Q8" s="6" t="n"/>
      <c r="R8" s="6" t="n"/>
    </row>
    <row r="9" ht="60" customHeight="1">
      <c r="A9" s="7" t="inlineStr">
        <is>
          <t>Note: *** FY2016 CAPITAL AMOUNT ADDED 2026-10-07, FROM THE RECOVERED FY2016 PILLAR 3 ITSELF ***
This row's FY2016 cell stood BLANK until today, and the reason it stood blank is no longer true. The FY2016 Pillar 3 edition was recovered from Common Crawl on 2026-09-19 (see the Z16 note in the source cell below for the WARC coordinates), but that pass deliberately left the capital amount unwritten as outside its scope, and several notes in this script went on saying no FY2016 Pillar 3 document was recoverable. Those sentences have been narrowed to FY2017-FY2019 throughout.
WHAT THE DOCUMENT PRINTS. 'Zenith Bank (UK) Limited - Pillar 3 Disclosures for the year ended 31 December 2016', 17pp, printed p.9 (the printed folio equals the PDF sheet index in this document), section 4.2 'Capital Resources', US$000's, two columns headed 2016 and 2015: Share capital at 31 December 136,702 / 136,702; Profit and loss reserve 56,457 / 53,819; Regulatory deductions (169) / a printed DASH; Total CET-1 capital 192,990 / 190,521. The same page's section 4.3.1 Pillar 1 Allocation table prints 'Regulatory Available Capital' 192,990 / 190,521 - the same label this row's FY2014 and FY2015 cells are struck on. Read off a 300 dpi page image on 2026-10-07. US$192,990k converts to this row's £'000 at the FY2016 period-end spot rate, exactly as every other FY2014+ cell on it.
THE EDITION ALSO SETTLES THE BASIS IN ITS OWN WORDS: 'The Bank's entire capital base qualifies as Common Equity Tier 1 capital (CET-1) which consists of fully issued ordinary shares and audited reserves.' So CET1 = Tier 1 = Total capital for FY2016 is the Bank's statement, not an inference, and the same figure appears on all three capital sheets for that reason.
AND IT RESTATES FY2015, WHICH IS RECORDED HERE AND NOT RECONCILED. This row's FY2015 cell carries US$188,483k, the 'Regulatory Available Capital' printed in FY2015's OWN edition (printed p.9, section 4.3.1, beside a Pillar 1 requirement total of 73,972 and a 'Solvency Ratio against Pillar 1' of 255%). That edition's section 4.2 separately prints 'Total tier 1 capital 190,521' with NO regulatory-deduction line, so the FY2015 document itself carries two different figures 2,038 apart and explains neither. The FY2016 edition's 2015 comparative then prints 190,521 in BOTH places and a solvency ratio of 258% (190,521/73,972 = 257.6%, against the FY2015 edition's own 188,483/73,972 = 254.8%), i.e. it restated the 2015 regulatory capital upward by the 2,038 and recomputed the cover multiple to match. Both printings were read off page images on 2026-10-07 and BOTH STAND: the FY2015 cell keeps that year's own edition's 188,483, because a later edition's comparative does not displace what the bank originally published, and nothing here is averaged, adjusted or reconciled. The practical consequence for FY2016 is small but worth stating - FY2016's own 192,990 is net of a 169 deduction its own edition prints, so it is on the post-deduction basis this row declares; it is the 2015 column, not the 2016 one, that the two editions disagree about.
NO FY2016 RATIO AND NO FY2016 RWA WERE ADDED, and that is deliberate. The edition prints no capital ratio and no risk-weighted exposure amount anywhere in its 17 pages. Its 'Solvency Ratio against Pillar 1' of 365% (2015: 258%) is available capital divided by the capital REQUIREMENT - a cover multiple, roughly 12.5x a true capital ratio - and is not a capital ratio; see the Tier 1 Ratio sheet. The Pillar 1 requirement total of US$52,940k was NOT grossed up by 8% to manufacture an RWA, following the FY2011 treatment. Text-layer control on the recovered file, 2026-10-07: 238 hits for 'risk' and 73 for 'capital' against 0 for 'capital ratio', 0 for 'leverage', 0 for 'Liquidity Coverage' and 0 for 'MREL', so those zeros are facts about the document rather than about the probe.
FY2009-FY2013 'Not applicable (Basel II)': the CET1 concept is a CRD IV construct and does not exist in the recovered FY2011 Basel II edition, which discloses a single undifferentiated Tier 1 capital figure (carried on the Tier 1 Capital and Total Capital sheets). The FY2012/FY2013 Basel II Annual Report capital rows are for the same reason carried on the Tier 1 Capital and Total Capital sheets only, not here.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11" ht="120" customHeight="1">
      <c r="A11"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11:R11"/>
    <mergeCell ref="A9:R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c r="A5" s="6" t="inlineStr">
        <is>
          <t>Common Equity Tier 1 (CET1) ratio as stated in that year's own ANNUAL REPORT (not from a Pillar 3 / UK KM1 template)</t>
        </is>
      </c>
      <c r="B5" s="6" t="n"/>
      <c r="C5" s="6" t="n"/>
      <c r="D5" s="6" t="n"/>
      <c r="E5" s="6" t="n"/>
      <c r="F5" s="6" t="n"/>
      <c r="G5" s="6" t="n"/>
      <c r="H5" s="6" t="inlineStr">
        <is>
          <t>Unreached today – FY2019 Pillar 3 named on archived index page; PDF 404 live; no copy in Wayback, archive.ph, Common Crawl (74 crawls) or the Azure origin host (2026-09-19); FY2019/FY2020 ARs print none</t>
        </is>
      </c>
      <c r="I5" s="6" t="inlineStr">
        <is>
          <t>32.38%</t>
        </is>
      </c>
      <c r="J5" s="6" t="inlineStr">
        <is>
          <t>35.53%</t>
        </is>
      </c>
      <c r="K5" s="6" t="inlineStr">
        <is>
          <t>Not published – FY2016 AR prints no ratio; recovered FY2016 Pillar 3 p.9-10 prints only a 365% 'Solvency Ratio against Pillar 1' (capital/requirement), no CET1 ratio</t>
        </is>
      </c>
      <c r="L5" s="6" t="n"/>
      <c r="M5" s="6" t="n"/>
      <c r="N5" s="6" t="n"/>
      <c r="O5" s="6" t="n"/>
      <c r="P5" s="6" t="n"/>
      <c r="Q5" s="6" t="n"/>
      <c r="R5" s="6" t="n"/>
    </row>
    <row r="6" ht="60" customHeight="1">
      <c r="A6" s="7" t="inlineStr">
        <is>
          <t>Note: FY2009-FY2013 'Not applicable (Basel II)' - no CET1 concept existed (see CET1 Capital sheet).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Annual Reports print a Capital Resources table but no capital ratio anywhere. FY2016's Pillar 3 was recovered on 2026-09-19 (see the Z16 note in the source cell) and prints no capital ratio either - only a 365% capital-cover multiple - so FY2016 is 'Not published'; FY2019's Pillar 3 demonstrably existed and is still lost, so FY2019 is 'Unreached today'.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6:R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Zenith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row>
    <row r="4">
      <c r="A4" s="6" t="inlineStr">
        <is>
          <t>Tier 1 capital (CRR/CRD IV basis)</t>
        </is>
      </c>
      <c r="B4" s="6" t="n">
        <v>320773.3</v>
      </c>
      <c r="C4" s="6" t="n">
        <v>302297.2</v>
      </c>
      <c r="D4" s="6" t="n">
        <v>265540.4</v>
      </c>
      <c r="E4" s="6" t="n">
        <v>240324.9</v>
      </c>
      <c r="F4" s="6" t="n">
        <v>207889.9</v>
      </c>
      <c r="G4" s="6" t="n">
        <v>205416.1</v>
      </c>
      <c r="H4" s="6" t="n"/>
      <c r="I4" s="6" t="n"/>
      <c r="J4" s="6" t="n"/>
      <c r="K4" s="6" t="n">
        <v>156864.2</v>
      </c>
      <c r="L4" s="6" t="n">
        <v>127190.1</v>
      </c>
      <c r="M4" s="6" t="n">
        <v>109432.3</v>
      </c>
      <c r="N4" s="6" t="n"/>
      <c r="O4" s="6" t="n"/>
      <c r="P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row>
    <row r="7">
      <c r="A7" s="6" t="inlineStr">
        <is>
          <t>Total statutory capital per the Annual Report 'Capital Management' note, before regulatory deductions (each year's own edition)</t>
        </is>
      </c>
      <c r="B7" s="6" t="n"/>
      <c r="C7" s="6" t="n"/>
      <c r="D7" s="6" t="n"/>
      <c r="E7" s="6" t="n"/>
      <c r="F7" s="6" t="n"/>
      <c r="G7" s="6" t="n"/>
      <c r="H7" s="6" t="n">
        <v>192407.7</v>
      </c>
      <c r="I7" s="6" t="n">
        <v>176507.1</v>
      </c>
      <c r="J7" s="6" t="n">
        <v>153062.4</v>
      </c>
      <c r="K7" s="6" t="n">
        <v>157001.1</v>
      </c>
      <c r="L7" s="6" t="n"/>
      <c r="M7" s="6" t="n"/>
      <c r="N7" s="6" t="n"/>
      <c r="O7" s="6" t="n"/>
      <c r="P7" s="6" t="n"/>
    </row>
    <row r="8">
      <c r="A8" s="6" t="inlineStr">
        <is>
          <t>Total regulatory capital (Tier 1) after regulatory deductions, per the Annual Report 'Capital Management' note (each year's own edition)</t>
        </is>
      </c>
      <c r="B8" s="6" t="n"/>
      <c r="C8" s="6" t="n"/>
      <c r="D8" s="6" t="n"/>
      <c r="E8" s="6" t="n"/>
      <c r="F8" s="6" t="n"/>
      <c r="G8" s="6" t="n"/>
      <c r="H8" s="6" t="n">
        <v>166560.7</v>
      </c>
      <c r="I8" s="6" t="n">
        <v>158385.9</v>
      </c>
      <c r="J8" s="6" t="n"/>
      <c r="K8" s="6" t="n"/>
      <c r="L8" s="6" t="n"/>
      <c r="M8" s="6" t="n"/>
      <c r="N8" s="6" t="n"/>
      <c r="O8" s="6" t="n"/>
      <c r="P8" s="6" t="n"/>
    </row>
    <row r="9">
      <c r="A9" s="6" t="inlineStr">
        <is>
          <t>Total regulatory capital (Tier 1) after deductions - FY2017 COMPARATIVE COLUMN of the FY2018 Annual Report (FY2017's own edition prints no post-deduction figure)</t>
        </is>
      </c>
      <c r="B9" s="6" t="n"/>
      <c r="C9" s="6" t="n"/>
      <c r="D9" s="6" t="n"/>
      <c r="E9" s="6" t="n"/>
      <c r="F9" s="6" t="n"/>
      <c r="G9" s="6" t="n"/>
      <c r="H9" s="6" t="n"/>
      <c r="I9" s="6" t="n"/>
      <c r="J9" s="6" t="n">
        <v>142974.4</v>
      </c>
      <c r="K9" s="6" t="n"/>
      <c r="L9" s="6" t="n"/>
      <c r="M9" s="6" t="n"/>
      <c r="N9" s="6" t="n"/>
      <c r="O9" s="6" t="n"/>
      <c r="P9" s="6" t="n"/>
    </row>
    <row r="10">
      <c r="A10" s="6" t="inlineStr">
        <is>
          <t>Total regulatory capital (Tier 1) INCLUDING audited profit for the year - the FY2019 edition's own second presentation of the same table</t>
        </is>
      </c>
      <c r="B10" s="6" t="n"/>
      <c r="C10" s="6" t="n"/>
      <c r="D10" s="6" t="n"/>
      <c r="E10" s="6" t="n"/>
      <c r="F10" s="6" t="n"/>
      <c r="G10" s="6" t="n"/>
      <c r="H10" s="6" t="n">
        <v>187704.3</v>
      </c>
      <c r="I10" s="6" t="n"/>
      <c r="J10" s="6" t="n"/>
      <c r="K10" s="6" t="n"/>
      <c r="L10" s="6" t="n"/>
      <c r="M10" s="6" t="n"/>
      <c r="N10" s="6" t="n"/>
      <c r="O10" s="6" t="n"/>
      <c r="P10" s="6" t="n"/>
    </row>
    <row r="11">
      <c r="A11" s="6" t="inlineStr">
        <is>
          <t>Total statutory capital per the Annual Report 'Capital Management' note, Basel II era (native GBP, NOT FX-converted)</t>
        </is>
      </c>
      <c r="B11" s="6" t="n"/>
      <c r="C11" s="6" t="n"/>
      <c r="D11" s="6" t="n"/>
      <c r="E11" s="6" t="n"/>
      <c r="F11" s="6" t="n"/>
      <c r="G11" s="6" t="n"/>
      <c r="H11" s="6" t="n"/>
      <c r="I11" s="6" t="n"/>
      <c r="J11" s="6" t="n"/>
      <c r="K11" s="6" t="n"/>
      <c r="L11" s="6" t="n"/>
      <c r="M11" s="6" t="n"/>
      <c r="N11" s="6" t="n">
        <v>74509</v>
      </c>
      <c r="O11" s="6" t="n">
        <v>66836.10000000001</v>
      </c>
      <c r="P11" s="6" t="n"/>
    </row>
    <row r="12">
      <c r="A12" s="6" t="inlineStr">
        <is>
          <t>Total Tier 1 / Total Regulatory Capital per the Annual Report 'Capital Management' note, Basel II era (native GBP, NOT FX-converted)</t>
        </is>
      </c>
      <c r="B12" s="6" t="n"/>
      <c r="C12" s="6" t="n"/>
      <c r="D12" s="6" t="n"/>
      <c r="E12" s="6" t="n"/>
      <c r="F12" s="6" t="n"/>
      <c r="G12" s="6" t="n"/>
      <c r="H12" s="6" t="n"/>
      <c r="I12" s="6" t="n"/>
      <c r="J12" s="6" t="n"/>
      <c r="K12" s="6" t="n"/>
      <c r="L12" s="6" t="n"/>
      <c r="M12" s="6" t="n"/>
      <c r="N12" s="6" t="n">
        <v>72342.3</v>
      </c>
      <c r="O12" s="6" t="n">
        <v>62082.9</v>
      </c>
      <c r="P12" s="6" t="n"/>
    </row>
    <row r="13" ht="60" customHeight="1">
      <c r="A13" s="7" t="inlineStr">
        <is>
          <t>Note: *** FY2016 CAPITAL AMOUNT ADDED 2026-10-07, FROM THE RECOVERED FY2016 PILLAR 3 ITSELF ***
This row's FY2016 cell stood BLANK until today, and the reason it stood blank is no longer true. The FY2016 Pillar 3 edition was recovered from Common Crawl on 2026-09-19 (see the Z16 note in the source cell below for the WARC coordinates), but that pass deliberately left the capital amount unwritten as outside its scope, and several notes in this script went on saying no FY2016 Pillar 3 document was recoverable. Those sentences have been narrowed to FY2017-FY2019 throughout.
WHAT THE DOCUMENT PRINTS. 'Zenith Bank (UK) Limited - Pillar 3 Disclosures for the year ended 31 December 2016', 17pp, printed p.9 (the printed folio equals the PDF sheet index in this document), section 4.2 'Capital Resources', US$000's, two columns headed 2016 and 2015: Share capital at 31 December 136,702 / 136,702; Profit and loss reserve 56,457 / 53,819; Regulatory deductions (169) / a printed DASH; Total CET-1 capital 192,990 / 190,521. The same page's section 4.3.1 Pillar 1 Allocation table prints 'Regulatory Available Capital' 192,990 / 190,521 - the same label this row's FY2014 and FY2015 cells are struck on. Read off a 300 dpi page image on 2026-10-07. US$192,990k converts to this row's £'000 at the FY2016 period-end spot rate, exactly as every other FY2014+ cell on it.
THE EDITION ALSO SETTLES THE BASIS IN ITS OWN WORDS: 'The Bank's entire capital base qualifies as Common Equity Tier 1 capital (CET-1) which consists of fully issued ordinary shares and audited reserves.' So CET1 = Tier 1 = Total capital for FY2016 is the Bank's statement, not an inference, and the same figure appears on all three capital sheets for that reason.
AND IT RESTATES FY2015, WHICH IS RECORDED HERE AND NOT RECONCILED. This row's FY2015 cell carries US$188,483k, the 'Regulatory Available Capital' printed in FY2015's OWN edition (printed p.9, section 4.3.1, beside a Pillar 1 requirement total of 73,972 and a 'Solvency Ratio against Pillar 1' of 255%). That edition's section 4.2 separately prints 'Total tier 1 capital 190,521' with NO regulatory-deduction line, so the FY2015 document itself carries two different figures 2,038 apart and explains neither. The FY2016 edition's 2015 comparative then prints 190,521 in BOTH places and a solvency ratio of 258% (190,521/73,972 = 257.6%, against the FY2015 edition's own 188,483/73,972 = 254.8%), i.e. it restated the 2015 regulatory capital upward by the 2,038 and recomputed the cover multiple to match. Both printings were read off page images on 2026-10-07 and BOTH STAND: the FY2015 cell keeps that year's own edition's 188,483, because a later edition's comparative does not displace what the bank originally published, and nothing here is averaged, adjusted or reconciled. The practical consequence for FY2016 is small but worth stating - FY2016's own 192,990 is net of a 169 deduction its own edition prints, so it is on the post-deduction basis this row declares; it is the 2015 column, not the 2016 one, that the two editions disagree about.
NO FY2016 RATIO AND NO FY2016 RWA WERE ADDED, and that is deliberate. The edition prints no capital ratio and no risk-weighted exposure amount anywhere in its 17 pages. Its 'Solvency Ratio against Pillar 1' of 365% (2015: 258%) is available capital divided by the capital REQUIREMENT - a cover multiple, roughly 12.5x a true capital ratio - and is not a capital ratio; see the Tier 1 Ratio sheet. The Pillar 1 requirement total of US$52,940k was NOT grossed up by 8% to manufacture an RWA, following the FY2011 treatment. Text-layer control on the recovered file, 2026-10-07: 238 hits for 'risk' and 73 for 'capital' against 0 for 'capital ratio', 0 for 'leverage', 0 for 'Liquidity Coverage' and 0 for 'MREL', so those zeros are facts about the document rather than about the probe.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 capital in every year - the Bank holds no Additional Tier 1 (AT1) instruments.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15" ht="120" customHeight="1">
      <c r="A15"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15:P15"/>
    <mergeCell ref="A13:P1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Tier 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published – FY2011 Pillar 3 (Basel II) prints no capital ratio; its 203% 'Solvency Ratio against Pillar 1' is capital/requirement, not a ratio - see note</t>
        </is>
      </c>
      <c r="Q4" s="6" t="inlineStr">
        <is>
          <t>No Pillar 3 edition exists in any archive</t>
        </is>
      </c>
      <c r="R4" s="6" t="inlineStr">
        <is>
          <t>No Pillar 3 edition exists in any archive</t>
        </is>
      </c>
    </row>
    <row r="5">
      <c r="A5" s="6" t="inlineStr">
        <is>
          <t>Tier 1 ratio (= the CET1 ratio; no AT1 in issue) as stated in that year's own ANNUAL REPORT (not from a Pillar 3 / UK KM1 template)</t>
        </is>
      </c>
      <c r="B5" s="6" t="n"/>
      <c r="C5" s="6" t="n"/>
      <c r="D5" s="6" t="n"/>
      <c r="E5" s="6" t="n"/>
      <c r="F5" s="6" t="n"/>
      <c r="G5" s="6" t="n"/>
      <c r="H5" s="6" t="inlineStr">
        <is>
          <t>Unreached today – FY2019 Pillar 3 named on archived index page; PDF 404 live; no copy in Wayback, archive.ph, Common Crawl (74 crawls) or the Azure origin host (2026-09-19); FY2019/FY2020 ARs print none</t>
        </is>
      </c>
      <c r="I5" s="6" t="inlineStr">
        <is>
          <t>32.38%</t>
        </is>
      </c>
      <c r="J5" s="6" t="inlineStr">
        <is>
          <t>35.53%</t>
        </is>
      </c>
      <c r="K5" s="6" t="inlineStr">
        <is>
          <t>Not published – FY2016 AR prints no ratio; recovered FY2016 Pillar 3 p.9-10 prints only a 365% 'Solvency Ratio against Pillar 1' (capital/requirement), no CET1 ratio</t>
        </is>
      </c>
      <c r="L5" s="6" t="n"/>
      <c r="M5" s="6" t="n"/>
      <c r="N5" s="6" t="n"/>
      <c r="O5" s="6" t="n"/>
      <c r="P5" s="6" t="n"/>
      <c r="Q5" s="6" t="n"/>
      <c r="R5" s="6" t="n"/>
    </row>
    <row r="6" ht="60" customHeight="1">
      <c r="A6" s="7" t="inlineStr">
        <is>
          <t>Note: FY2011 'Not publicly disclosed': the recovered FY2011 edition states no capital/RWA ratio at all. It DOES print a 'Solvency Ratio against Pillar 1' of 203%, but that is capital divided by the capital REQUIREMENT - a capital-cover multiple, roughly 12.5x a true capital ratio - and putting it here would overstate the Bank's capitalisation by an order of magnitude. See the source note. Nothing is back-solved from the capital and capital-requirement figures either.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Annual Reports print a Capital Resources table but no capital ratio anywhere. FY2016's Pillar 3 was recovered on 2026-09-19 (see the Z16 note in the source cell) and prints no capital ratio either - only a 365% capital-cover multiple - so FY2016 is 'Not published'; FY2019's Pillar 3 demonstrably existed and is still lost, so FY2019 is 'Unreached today'.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6:R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Zenith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row>
    <row r="4">
      <c r="A4" s="6" t="inlineStr">
        <is>
          <t>Total capital (CRR/CRD IV basis)</t>
        </is>
      </c>
      <c r="B4" s="6" t="n">
        <v>320773.3</v>
      </c>
      <c r="C4" s="6" t="n">
        <v>302297.2</v>
      </c>
      <c r="D4" s="6" t="n">
        <v>265540.4</v>
      </c>
      <c r="E4" s="6" t="n">
        <v>240324.9</v>
      </c>
      <c r="F4" s="6" t="n">
        <v>207889.9</v>
      </c>
      <c r="G4" s="6" t="n">
        <v>205416.1</v>
      </c>
      <c r="H4" s="6" t="n"/>
      <c r="I4" s="6" t="n"/>
      <c r="J4" s="6" t="n"/>
      <c r="K4" s="6" t="n">
        <v>156864.2</v>
      </c>
      <c r="L4" s="6" t="n">
        <v>127190.1</v>
      </c>
      <c r="M4" s="6" t="n">
        <v>109432.3</v>
      </c>
      <c r="N4" s="6" t="n"/>
      <c r="O4" s="6" t="n"/>
      <c r="P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row>
    <row r="7">
      <c r="A7" s="6" t="inlineStr">
        <is>
          <t>Total statutory capital per the Annual Report 'Capital Management' note, before regulatory deductions (each year's own edition)</t>
        </is>
      </c>
      <c r="B7" s="6" t="n"/>
      <c r="C7" s="6" t="n"/>
      <c r="D7" s="6" t="n"/>
      <c r="E7" s="6" t="n"/>
      <c r="F7" s="6" t="n"/>
      <c r="G7" s="6" t="n"/>
      <c r="H7" s="6" t="n">
        <v>192407.7</v>
      </c>
      <c r="I7" s="6" t="n">
        <v>176507.1</v>
      </c>
      <c r="J7" s="6" t="n">
        <v>153062.4</v>
      </c>
      <c r="K7" s="6" t="n">
        <v>157001.1</v>
      </c>
      <c r="L7" s="6" t="n"/>
      <c r="M7" s="6" t="n"/>
      <c r="N7" s="6" t="n"/>
      <c r="O7" s="6" t="n"/>
      <c r="P7" s="6" t="n"/>
    </row>
    <row r="8">
      <c r="A8" s="6" t="inlineStr">
        <is>
          <t>Total regulatory capital (Tier 1) after regulatory deductions, per the Annual Report 'Capital Management' note (each year's own edition)</t>
        </is>
      </c>
      <c r="B8" s="6" t="n"/>
      <c r="C8" s="6" t="n"/>
      <c r="D8" s="6" t="n"/>
      <c r="E8" s="6" t="n"/>
      <c r="F8" s="6" t="n"/>
      <c r="G8" s="6" t="n"/>
      <c r="H8" s="6" t="n">
        <v>166560.7</v>
      </c>
      <c r="I8" s="6" t="n">
        <v>158385.9</v>
      </c>
      <c r="J8" s="6" t="n"/>
      <c r="K8" s="6" t="n"/>
      <c r="L8" s="6" t="n"/>
      <c r="M8" s="6" t="n"/>
      <c r="N8" s="6" t="n"/>
      <c r="O8" s="6" t="n"/>
      <c r="P8" s="6" t="n"/>
    </row>
    <row r="9">
      <c r="A9" s="6" t="inlineStr">
        <is>
          <t>Total regulatory capital (Tier 1) after deductions - FY2017 COMPARATIVE COLUMN of the FY2018 Annual Report (FY2017's own edition prints no post-deduction figure)</t>
        </is>
      </c>
      <c r="B9" s="6" t="n"/>
      <c r="C9" s="6" t="n"/>
      <c r="D9" s="6" t="n"/>
      <c r="E9" s="6" t="n"/>
      <c r="F9" s="6" t="n"/>
      <c r="G9" s="6" t="n"/>
      <c r="H9" s="6" t="n"/>
      <c r="I9" s="6" t="n"/>
      <c r="J9" s="6" t="n">
        <v>142974.4</v>
      </c>
      <c r="K9" s="6" t="n"/>
      <c r="L9" s="6" t="n"/>
      <c r="M9" s="6" t="n"/>
      <c r="N9" s="6" t="n"/>
      <c r="O9" s="6" t="n"/>
      <c r="P9" s="6" t="n"/>
    </row>
    <row r="10">
      <c r="A10" s="6" t="inlineStr">
        <is>
          <t>Total regulatory capital (Tier 1) INCLUDING audited profit for the year - the FY2019 edition's own second presentation of the same table</t>
        </is>
      </c>
      <c r="B10" s="6" t="n"/>
      <c r="C10" s="6" t="n"/>
      <c r="D10" s="6" t="n"/>
      <c r="E10" s="6" t="n"/>
      <c r="F10" s="6" t="n"/>
      <c r="G10" s="6" t="n"/>
      <c r="H10" s="6" t="n">
        <v>187704.3</v>
      </c>
      <c r="I10" s="6" t="n"/>
      <c r="J10" s="6" t="n"/>
      <c r="K10" s="6" t="n"/>
      <c r="L10" s="6" t="n"/>
      <c r="M10" s="6" t="n"/>
      <c r="N10" s="6" t="n"/>
      <c r="O10" s="6" t="n"/>
      <c r="P10" s="6" t="n"/>
    </row>
    <row r="11">
      <c r="A11" s="6" t="inlineStr">
        <is>
          <t>Total statutory capital per the Annual Report 'Capital Management' note, Basel II era (native GBP, NOT FX-converted)</t>
        </is>
      </c>
      <c r="B11" s="6" t="n"/>
      <c r="C11" s="6" t="n"/>
      <c r="D11" s="6" t="n"/>
      <c r="E11" s="6" t="n"/>
      <c r="F11" s="6" t="n"/>
      <c r="G11" s="6" t="n"/>
      <c r="H11" s="6" t="n"/>
      <c r="I11" s="6" t="n"/>
      <c r="J11" s="6" t="n"/>
      <c r="K11" s="6" t="n"/>
      <c r="L11" s="6" t="n"/>
      <c r="M11" s="6" t="n"/>
      <c r="N11" s="6" t="n">
        <v>74509</v>
      </c>
      <c r="O11" s="6" t="n">
        <v>66836.10000000001</v>
      </c>
      <c r="P11" s="6" t="n"/>
    </row>
    <row r="12">
      <c r="A12" s="6" t="inlineStr">
        <is>
          <t>Total Tier 1 / Total Regulatory Capital per the Annual Report 'Capital Management' note, Basel II era (native GBP, NOT FX-converted)</t>
        </is>
      </c>
      <c r="B12" s="6" t="n"/>
      <c r="C12" s="6" t="n"/>
      <c r="D12" s="6" t="n"/>
      <c r="E12" s="6" t="n"/>
      <c r="F12" s="6" t="n"/>
      <c r="G12" s="6" t="n"/>
      <c r="H12" s="6" t="n"/>
      <c r="I12" s="6" t="n"/>
      <c r="J12" s="6" t="n"/>
      <c r="K12" s="6" t="n"/>
      <c r="L12" s="6" t="n"/>
      <c r="M12" s="6" t="n"/>
      <c r="N12" s="6" t="n">
        <v>72342.3</v>
      </c>
      <c r="O12" s="6" t="n">
        <v>62082.9</v>
      </c>
      <c r="P12" s="6" t="n"/>
    </row>
    <row r="13" ht="60" customHeight="1">
      <c r="A13" s="7" t="inlineStr">
        <is>
          <t>Note: *** FY2016 CAPITAL AMOUNT ADDED 2026-10-07, FROM THE RECOVERED FY2016 PILLAR 3 ITSELF ***
This row's FY2016 cell stood BLANK until today, and the reason it stood blank is no longer true. The FY2016 Pillar 3 edition was recovered from Common Crawl on 2026-09-19 (see the Z16 note in the source cell below for the WARC coordinates), but that pass deliberately left the capital amount unwritten as outside its scope, and several notes in this script went on saying no FY2016 Pillar 3 document was recoverable. Those sentences have been narrowed to FY2017-FY2019 throughout.
WHAT THE DOCUMENT PRINTS. 'Zenith Bank (UK) Limited - Pillar 3 Disclosures for the year ended 31 December 2016', 17pp, printed p.9 (the printed folio equals the PDF sheet index in this document), section 4.2 'Capital Resources', US$000's, two columns headed 2016 and 2015: Share capital at 31 December 136,702 / 136,702; Profit and loss reserve 56,457 / 53,819; Regulatory deductions (169) / a printed DASH; Total CET-1 capital 192,990 / 190,521. The same page's section 4.3.1 Pillar 1 Allocation table prints 'Regulatory Available Capital' 192,990 / 190,521 - the same label this row's FY2014 and FY2015 cells are struck on. Read off a 300 dpi page image on 2026-10-07. US$192,990k converts to this row's £'000 at the FY2016 period-end spot rate, exactly as every other FY2014+ cell on it.
THE EDITION ALSO SETTLES THE BASIS IN ITS OWN WORDS: 'The Bank's entire capital base qualifies as Common Equity Tier 1 capital (CET-1) which consists of fully issued ordinary shares and audited reserves.' So CET1 = Tier 1 = Total capital for FY2016 is the Bank's statement, not an inference, and the same figure appears on all three capital sheets for that reason.
AND IT RESTATES FY2015, WHICH IS RECORDED HERE AND NOT RECONCILED. This row's FY2015 cell carries US$188,483k, the 'Regulatory Available Capital' printed in FY2015's OWN edition (printed p.9, section 4.3.1, beside a Pillar 1 requirement total of 73,972 and a 'Solvency Ratio against Pillar 1' of 255%). That edition's section 4.2 separately prints 'Total tier 1 capital 190,521' with NO regulatory-deduction line, so the FY2015 document itself carries two different figures 2,038 apart and explains neither. The FY2016 edition's 2015 comparative then prints 190,521 in BOTH places and a solvency ratio of 258% (190,521/73,972 = 257.6%, against the FY2015 edition's own 188,483/73,972 = 254.8%), i.e. it restated the 2015 regulatory capital upward by the 2,038 and recomputed the cover multiple to match. Both printings were read off page images on 2026-10-07 and BOTH STAND: the FY2015 cell keeps that year's own edition's 188,483, because a later edition's comparative does not displace what the bank originally published, and nothing here is averaged, adjusted or reconciled. The practical consequence for FY2016 is small but worth stating - FY2016's own 192,990 is net of a 169 deduction its own edition prints, so it is on the post-deduction basis this row declares; it is the 2015 column, not the 2016 one, that the two editions disagree about.
NO FY2016 RATIO AND NO FY2016 RWA WERE ADDED, and that is deliberate. The edition prints no capital ratio and no risk-weighted exposure amount anywhere in its 17 pages. Its 'Solvency Ratio against Pillar 1' of 365% (2015: 258%) is available capital divided by the capital REQUIREMENT - a cover multiple, roughly 12.5x a true capital ratio - and is not a capital ratio; see the Tier 1 Ratio sheet. The Pillar 1 requirement total of US$52,940k was NOT grossed up by 8% to manufacture an RWA, following the FY2011 treatment. Text-layer control on the recovered file, 2026-10-07: 238 hits for 'risk' and 73 for 'capital' against 0 for 'capital ratio', 0 for 'leverage', 0 for 'Liquidity Coverage' and 0 for 'MREL', so those zeros are facts about the document rather than about the probe.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CET1/Tier 1 capital in every year - the Bank holds no AT1 or Tier 2 instruments.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15" ht="120" customHeight="1">
      <c r="A15"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15:P15"/>
    <mergeCell ref="A13:P1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capital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published – FY2011 Pillar 3 (Basel II) prints no capital ratio; its 203% 'Solvency Ratio against Pillar 1' is capital/requirement, not a ratio - see note</t>
        </is>
      </c>
      <c r="Q4" s="6" t="inlineStr">
        <is>
          <t>No Pillar 3 edition exists in any archive</t>
        </is>
      </c>
      <c r="R4" s="6" t="inlineStr">
        <is>
          <t>No Pillar 3 edition exists in any archive</t>
        </is>
      </c>
    </row>
    <row r="5">
      <c r="A5" s="6" t="inlineStr">
        <is>
          <t>Total capital ratio (= the CET1 ratio; no AT1 or Tier 2 in issue) as stated in that year's own ANNUAL REPORT (not from a Pillar 3 / UK KM1 template)</t>
        </is>
      </c>
      <c r="B5" s="6" t="n"/>
      <c r="C5" s="6" t="n"/>
      <c r="D5" s="6" t="n"/>
      <c r="E5" s="6" t="n"/>
      <c r="F5" s="6" t="n"/>
      <c r="G5" s="6" t="n"/>
      <c r="H5" s="6" t="inlineStr">
        <is>
          <t>Unreached today – FY2019 Pillar 3 named on archived index page; PDF 404 live; no copy in Wayback, archive.ph, Common Crawl (74 crawls) or the Azure origin host (2026-09-19); FY2019/FY2020 ARs print none</t>
        </is>
      </c>
      <c r="I5" s="6" t="inlineStr">
        <is>
          <t>32.38%</t>
        </is>
      </c>
      <c r="J5" s="6" t="inlineStr">
        <is>
          <t>35.53%</t>
        </is>
      </c>
      <c r="K5" s="6" t="inlineStr">
        <is>
          <t>Not published – FY2016 AR prints no ratio; recovered FY2016 Pillar 3 p.9-10 prints only a 365% 'Solvency Ratio against Pillar 1' (capital/requirement), no CET1 ratio</t>
        </is>
      </c>
      <c r="L5" s="6" t="n"/>
      <c r="M5" s="6" t="n"/>
      <c r="N5" s="6" t="n"/>
      <c r="O5" s="6" t="n"/>
      <c r="P5" s="6" t="n"/>
      <c r="Q5" s="6" t="n"/>
      <c r="R5" s="6" t="n"/>
    </row>
    <row r="6" ht="60" customHeight="1">
      <c r="A6" s="7" t="inlineStr">
        <is>
          <t>Note: FY2011 'Not publicly disclosed' - see the Tier 1 Ratio sheet's note on the 203% capital-cover trap.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Annual Reports print a Capital Resources table but no capital ratio anywhere. FY2016's Pillar 3 was recovered on 2026-09-19 (see the Z16 note in the source cell) and prints no capital ratio either - only a 365% capital-cover multiple - so FY2016 is 'Not published'; FY2019's Pillar 3 demonstrably existed and is still lost, so FY2019 is 'Unreached today'.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6:R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risk-weighted exposure amount</t>
        </is>
      </c>
      <c r="B4" s="6" t="n">
        <v>1370696</v>
      </c>
      <c r="C4" s="6" t="n">
        <v>1179185</v>
      </c>
      <c r="D4" s="6" t="n">
        <v>917285.6</v>
      </c>
      <c r="E4" s="6" t="n">
        <v>930103.3</v>
      </c>
      <c r="F4" s="6" t="n">
        <v>1000519.9</v>
      </c>
      <c r="G4" s="6" t="n">
        <v>725993</v>
      </c>
      <c r="H4" s="6" t="inlineStr">
        <is>
          <t>Unreached today – FY2019 Pillar 3 named on archived index page; PDF 404 live; no copy in Wayback, archive.ph, Common Crawl (74 crawls) or the Azure origin host (2026-09-19); FY2019/FY2020 ARs print none</t>
        </is>
      </c>
      <c r="I4" s="6" t="inlineStr">
        <is>
          <t>Not disclosed (no Pillar 3 located; Annual Report prints none)</t>
        </is>
      </c>
      <c r="J4" s="6" t="inlineStr">
        <is>
          <t>Not disclosed (no Pillar 3 located; Annual Report prints none)</t>
        </is>
      </c>
      <c r="K4" s="6" t="inlineStr">
        <is>
          <t>Not published – FY2016 Pillar 3 (recovered via Common Crawl, 17pp) p.9-10 prints Pillar 1 capital requirements (total US$52,940k), not risk-weighted amounts; nothing derived</t>
        </is>
      </c>
      <c r="L4" s="6" t="n">
        <v>623962.5</v>
      </c>
      <c r="M4" s="6" t="n">
        <v>490357.5</v>
      </c>
      <c r="N4" s="6" t="inlineStr">
        <is>
          <t>No Pillar 3 edition exists in any archive</t>
        </is>
      </c>
      <c r="O4" s="6" t="inlineStr">
        <is>
          <t>No Pillar 3 edition exists in any archive</t>
        </is>
      </c>
      <c r="P4" s="6" t="inlineStr">
        <is>
          <t>Not published – FY2011 Pillar 3 (Basel II) prints Pillar 1 capital requirements (total GBP 19,686k), not risk-weighted amounts; nothing derived - see note</t>
        </is>
      </c>
      <c r="Q4" s="6" t="inlineStr">
        <is>
          <t>No Pillar 3 edition exists in any archive</t>
        </is>
      </c>
      <c r="R4" s="6" t="inlineStr">
        <is>
          <t>No Pillar 3 edition exists in any archive</t>
        </is>
      </c>
    </row>
    <row r="5" ht="60" customHeight="1">
      <c r="A5" s="7" t="inlineStr">
        <is>
          <t>Note: FY2011 'Not publicly disclosed' (2026-09-15): the recovered FY2011 Basel II edition discloses Pillar 1 capital REQUIREMENTS (Credit 18,156 / Market 27 / Operational 1,503 / Total 19,686, GBP'000), not risk-weighted amounts. Dividing those by 8% would give a total RWA of 246,075, but that is a derivation and this project transcribes only what a document states directly, so the cell is left as a stated absence and the requirement figures are preserved verbatim in the source note. NOTE THE INCONSISTENCY THIS EXPOSES: the FY2014/FY2015 figures on this very row WERE produced by exactly that division in an earlier pass. That pre-existing derivation was not removed here (withdrawing populated data is not this pass's decision) but it is flagged, and it was not propagated backwards.
FY2023's figure (own report, the £'000 equivalent of $1,167,888k) differs from the FY2024 report's restated FY2023 comparative ($1,203,364k) - a Basic Indicator Approach operational-risk methodology update. FY2023's own report figure is used, consistent with this project's convention of preferring each year's own report.
FY2016-FY2019 CHANGED FROM BLANK TO AN EXPLICIT STATED ABSENCE 2026-09-18, and the wording distinguishes two different situations rather than flattening them. All four years' Annual Reports were read in full on that date (the capital rows on the CET1/Tier 1/Total Capital sheets come from them) and NONE of the four prints a risk-weighted exposure amount - each was searched for 'risk weighted', 'risk-weighted' and 'RWA' and the only hit is the boilerplate 'a ratio of total regulatory capital to risk-weighted exposures at or above a level determined for each institution'. On top of that, FY2016 and FY2019 had a Pillar 3 edition that demonstrably existed and is lost (named on archived index pages, 404 live, never crawled), whereas FY2017 and FY2018 have no evidence of an edition ever being posted. NOTHING WAS BACK-SOLVED: FY2017's and FY2018's own CET1 ratios (35.53%, 32.38%) and their capital figures are both now on this workbook, and dividing one by the other would produce an RWA - that is a derivation, it is barred here, and it was not done.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5:R5"/>
    <mergeCell ref="A7:R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RWA Breakdown (UK OV1)</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Template UK OV1 'Overview of risk weighted exposure amounts' — each year's own Pillar 3 report (FY2025-FY2020)</t>
        </is>
      </c>
      <c r="B4" s="6" t="n"/>
      <c r="C4" s="6" t="n"/>
      <c r="D4" s="6" t="n"/>
      <c r="E4" s="6" t="n"/>
      <c r="F4" s="6" t="n"/>
      <c r="G4" s="6" t="n"/>
      <c r="H4" s="6" t="n"/>
      <c r="I4" s="6" t="n"/>
      <c r="J4" s="6" t="n"/>
      <c r="K4" s="6" t="n"/>
      <c r="L4" s="6" t="n"/>
      <c r="M4" s="6" t="n"/>
    </row>
    <row r="5">
      <c r="A5" s="6" t="inlineStr">
        <is>
          <t>Credit Risk (excluding CCR)</t>
        </is>
      </c>
      <c r="B5" s="6" t="n">
        <v>1224324.1</v>
      </c>
      <c r="C5" s="6" t="n">
        <v>963260.1</v>
      </c>
      <c r="D5" s="6" t="n">
        <v>787991.7</v>
      </c>
      <c r="E5" s="6" t="n">
        <v>776986.9</v>
      </c>
      <c r="F5" s="6" t="n">
        <v>919004.5</v>
      </c>
      <c r="G5" s="6" t="n">
        <v>650689.6</v>
      </c>
      <c r="H5" s="6" t="n"/>
      <c r="I5" s="6" t="n"/>
      <c r="J5" s="6" t="n"/>
      <c r="K5" s="6" t="n"/>
      <c r="L5" s="6" t="n"/>
      <c r="M5" s="6" t="n"/>
    </row>
    <row r="6">
      <c r="A6" s="6" t="inlineStr">
        <is>
          <t>Counterparty Credit Risk (CCR)</t>
        </is>
      </c>
      <c r="B6" s="6" t="n">
        <v>5120.5</v>
      </c>
      <c r="C6" s="6" t="n">
        <v>78360.39999999999</v>
      </c>
      <c r="D6" s="6" t="n">
        <v>42496.1</v>
      </c>
      <c r="E6" s="6" t="n">
        <v>65573.3</v>
      </c>
      <c r="F6" s="6" t="n"/>
      <c r="G6" s="6" t="n"/>
      <c r="H6" s="6" t="n"/>
      <c r="I6" s="6" t="n"/>
      <c r="J6" s="6" t="n"/>
      <c r="K6" s="6" t="n"/>
      <c r="L6" s="6" t="n"/>
      <c r="M6" s="6" t="n"/>
    </row>
    <row r="7">
      <c r="A7" s="6" t="inlineStr">
        <is>
          <t>of which: Credit Valuation Adjustment (CVA)</t>
        </is>
      </c>
      <c r="B7" s="6" t="n">
        <v>806.8</v>
      </c>
      <c r="C7" s="6" t="n">
        <v>1112.3</v>
      </c>
      <c r="D7" s="6" t="n">
        <v>1021.8</v>
      </c>
      <c r="E7" s="6" t="n">
        <v>847.3</v>
      </c>
      <c r="F7" s="6" t="n">
        <v>3328.2</v>
      </c>
      <c r="G7" s="6" t="n">
        <v>2647.7</v>
      </c>
      <c r="H7" s="6" t="n"/>
      <c r="I7" s="6" t="n"/>
      <c r="J7" s="6" t="n"/>
      <c r="K7" s="6" t="n"/>
      <c r="L7" s="6" t="n"/>
      <c r="M7" s="6" t="n"/>
    </row>
    <row r="8">
      <c r="A8" s="6" t="inlineStr">
        <is>
          <t>Settlement Risk</t>
        </is>
      </c>
      <c r="B8" s="6" t="n">
        <v>0</v>
      </c>
      <c r="C8" s="6" t="n">
        <v>0</v>
      </c>
      <c r="D8" s="6" t="n">
        <v>0</v>
      </c>
      <c r="E8" s="6" t="n">
        <v>0</v>
      </c>
      <c r="F8" s="6" t="n">
        <v>0</v>
      </c>
      <c r="G8" s="6" t="n">
        <v>0</v>
      </c>
      <c r="H8" s="6" t="n"/>
      <c r="I8" s="6" t="n"/>
      <c r="J8" s="6" t="n"/>
      <c r="K8" s="6" t="n"/>
      <c r="L8" s="6" t="n"/>
      <c r="M8" s="6" t="n"/>
    </row>
    <row r="9">
      <c r="A9" s="6" t="inlineStr">
        <is>
          <t>Market Risk (FX and commodities)</t>
        </is>
      </c>
      <c r="B9" s="6" t="n">
        <v>3772.3</v>
      </c>
      <c r="C9" s="6" t="n">
        <v>3357.6</v>
      </c>
      <c r="D9" s="6" t="n">
        <v>3038.8</v>
      </c>
      <c r="E9" s="6" t="n">
        <v>9299.799999999999</v>
      </c>
      <c r="F9" s="6" t="n">
        <v>5535.8</v>
      </c>
      <c r="G9" s="6" t="n">
        <v>5091.1</v>
      </c>
      <c r="H9" s="6" t="n"/>
      <c r="I9" s="6" t="n"/>
      <c r="J9" s="6" t="n"/>
      <c r="K9" s="6" t="n"/>
      <c r="L9" s="6" t="n"/>
      <c r="M9" s="6" t="n"/>
    </row>
    <row r="10">
      <c r="A10" s="6" t="inlineStr">
        <is>
          <t>Operational Risk</t>
        </is>
      </c>
      <c r="B10" s="6" t="n">
        <v>137478.4</v>
      </c>
      <c r="C10" s="6" t="n">
        <v>134207</v>
      </c>
      <c r="D10" s="6" t="n">
        <v>83758.2</v>
      </c>
      <c r="E10" s="6" t="n">
        <v>78243.39999999999</v>
      </c>
      <c r="F10" s="6" t="n">
        <v>72651.39999999999</v>
      </c>
      <c r="G10" s="6" t="n">
        <v>67564.60000000001</v>
      </c>
      <c r="H10" s="6" t="n"/>
      <c r="I10" s="6" t="n"/>
      <c r="J10" s="6" t="n"/>
      <c r="K10" s="6" t="n"/>
      <c r="L10" s="6" t="n"/>
      <c r="M10" s="6" t="n"/>
    </row>
    <row r="11">
      <c r="A11" s="5" t="inlineStr">
        <is>
          <t>Total risk-weighted exposure amount</t>
        </is>
      </c>
      <c r="B11" s="5" t="n">
        <v>1370696</v>
      </c>
      <c r="C11" s="5" t="n">
        <v>1179185</v>
      </c>
      <c r="D11" s="5" t="n">
        <v>917285.6</v>
      </c>
      <c r="E11" s="5" t="n">
        <v>930103.3</v>
      </c>
      <c r="F11" s="5" t="n">
        <v>1000519.9</v>
      </c>
      <c r="G11" s="5" t="n">
        <v>725993</v>
      </c>
      <c r="H11" s="5" t="n"/>
      <c r="I11" s="5" t="n"/>
      <c r="J11" s="5" t="n"/>
      <c r="K11" s="5" t="n"/>
      <c r="L11" s="5" t="n"/>
      <c r="M11" s="5" t="n"/>
    </row>
    <row r="12">
      <c r="A12" s="6" t="inlineStr">
        <is>
          <t>Memo: amounts below thresholds for deduction (already included within Credit Risk above)</t>
        </is>
      </c>
      <c r="B12" s="6" t="n">
        <v>0</v>
      </c>
      <c r="C12" s="6" t="n">
        <v>818.2</v>
      </c>
      <c r="D12" s="6" t="n"/>
      <c r="E12" s="6" t="n"/>
      <c r="F12" s="6" t="n"/>
      <c r="G12" s="6" t="n"/>
      <c r="H12" s="6" t="n"/>
      <c r="I12" s="6" t="n"/>
      <c r="J12" s="6" t="n"/>
      <c r="K12" s="6" t="n"/>
      <c r="L12" s="6" t="n"/>
      <c r="M12" s="6" t="n"/>
    </row>
    <row r="13">
      <c r="A13" s="5" t="inlineStr">
        <is>
          <t>DERIVED from each year's own disclosed Pillar 1 CAPITAL requirement divided by 8% (FY2015-FY2014). These two years pre-date the UK OV1 template entirely, so the figures above are not disclosed as risk-weighted amounts by the Bank; no counterparty-credit-risk, CVA or settlement-risk line exists in the source for either year, which is why those rows are absent here rather than zero</t>
        </is>
      </c>
      <c r="B13" s="6" t="n"/>
      <c r="C13" s="6" t="n"/>
      <c r="D13" s="6" t="n"/>
      <c r="E13" s="6" t="n"/>
      <c r="F13" s="6" t="n"/>
      <c r="G13" s="6" t="n"/>
      <c r="H13" s="6" t="n"/>
      <c r="I13" s="6" t="n"/>
      <c r="J13" s="6" t="n"/>
      <c r="K13" s="6" t="n"/>
      <c r="L13" s="6" t="n"/>
      <c r="M13" s="6" t="n"/>
    </row>
    <row r="14">
      <c r="A14" s="6" t="inlineStr">
        <is>
          <t>Credit Risk (excluding CCR)</t>
        </is>
      </c>
      <c r="B14" s="6" t="n"/>
      <c r="C14" s="6" t="n"/>
      <c r="D14" s="6" t="n"/>
      <c r="E14" s="6" t="n"/>
      <c r="F14" s="6" t="n"/>
      <c r="G14" s="6" t="n"/>
      <c r="H14" s="6" t="n"/>
      <c r="I14" s="6" t="n"/>
      <c r="J14" s="6" t="n"/>
      <c r="K14" s="6" t="n"/>
      <c r="L14" s="6" t="n">
        <v>580049.3</v>
      </c>
      <c r="M14" s="6" t="n">
        <v>455023.1</v>
      </c>
    </row>
    <row r="15">
      <c r="A15" s="6" t="inlineStr">
        <is>
          <t>Market Risk (FX and commodities)</t>
        </is>
      </c>
      <c r="B15" s="6" t="n"/>
      <c r="C15" s="6" t="n"/>
      <c r="D15" s="6" t="n"/>
      <c r="E15" s="6" t="n"/>
      <c r="F15" s="6" t="n"/>
      <c r="G15" s="6" t="n"/>
      <c r="H15" s="6" t="n"/>
      <c r="I15" s="6" t="n"/>
      <c r="J15" s="6" t="n"/>
      <c r="K15" s="6" t="n"/>
      <c r="L15" s="6" t="n">
        <v>3804.6</v>
      </c>
      <c r="M15" s="6" t="n">
        <v>1033.4</v>
      </c>
    </row>
    <row r="16">
      <c r="A16" s="6" t="inlineStr">
        <is>
          <t>Operational Risk</t>
        </is>
      </c>
      <c r="B16" s="6" t="n"/>
      <c r="C16" s="6" t="n"/>
      <c r="D16" s="6" t="n"/>
      <c r="E16" s="6" t="n"/>
      <c r="F16" s="6" t="n"/>
      <c r="G16" s="6" t="n"/>
      <c r="H16" s="6" t="n"/>
      <c r="I16" s="6" t="n"/>
      <c r="J16" s="6" t="n"/>
      <c r="K16" s="6" t="n"/>
      <c r="L16" s="6" t="n">
        <v>40109.3</v>
      </c>
      <c r="M16" s="6" t="n">
        <v>34301.6</v>
      </c>
    </row>
    <row r="17">
      <c r="A17" s="5" t="inlineStr">
        <is>
          <t>Total risk-weighted exposure amount</t>
        </is>
      </c>
      <c r="B17" s="5" t="n"/>
      <c r="C17" s="5" t="n"/>
      <c r="D17" s="5" t="n"/>
      <c r="E17" s="5" t="n"/>
      <c r="F17" s="5" t="n"/>
      <c r="G17" s="5" t="n"/>
      <c r="H17" s="5" t="n"/>
      <c r="I17" s="5" t="n"/>
      <c r="J17" s="5" t="n"/>
      <c r="K17" s="5" t="n"/>
      <c r="L17" s="5" t="n">
        <v>623962.5</v>
      </c>
      <c r="M17" s="5" t="n">
        <v>490357.5</v>
      </c>
    </row>
    <row r="18">
      <c r="A18" s="5" t="inlineStr">
        <is>
          <t>FY2016-FY2019 - STATED ABSENCE, added 2026-09-18. Each of those four Annual Reports was read in full that day; every one prints a Capital Resources table (now on the capital sheets) and NONE prints a risk-weighted exposure amount or any RWA split. Nothing is back-solved from the FY2017 / FY2018 capital and ratio figures - see the note below</t>
        </is>
      </c>
      <c r="B18" s="6" t="n"/>
      <c r="C18" s="6" t="n"/>
      <c r="D18" s="6" t="n"/>
      <c r="E18" s="6" t="n"/>
      <c r="F18" s="6" t="n"/>
      <c r="G18" s="6" t="n"/>
      <c r="H18" s="6" t="n"/>
      <c r="I18" s="6" t="n"/>
      <c r="J18" s="6" t="n"/>
      <c r="K18" s="6" t="n"/>
      <c r="L18" s="6" t="n"/>
      <c r="M18" s="6" t="n"/>
    </row>
    <row r="19">
      <c r="A19" s="6" t="inlineStr">
        <is>
          <t>Total risk-weighted exposure amount</t>
        </is>
      </c>
      <c r="B19" s="6" t="n"/>
      <c r="C19" s="6" t="n"/>
      <c r="D19" s="6" t="n"/>
      <c r="E19" s="6" t="n"/>
      <c r="F19" s="6" t="n"/>
      <c r="G19" s="6" t="n"/>
      <c r="H19" s="6" t="inlineStr">
        <is>
          <t>Unreached today – FY2019 Pillar 3 named on archived index page; PDF 404 live; no copy in Wayback, archive.ph, Common Crawl (74 crawls) or the Azure origin host (2026-09-19); FY2019/FY2020 ARs print none</t>
        </is>
      </c>
      <c r="I19" s="6" t="inlineStr">
        <is>
          <t>Not disclosed (no Pillar 3 located; Annual Report prints none)</t>
        </is>
      </c>
      <c r="J19" s="6" t="inlineStr">
        <is>
          <t>Not disclosed (no Pillar 3 located; Annual Report prints none)</t>
        </is>
      </c>
      <c r="K19" s="6" t="inlineStr">
        <is>
          <t>Not published – FY2016 Pillar 3 (recovered via Common Crawl, 17pp) p.9-10 prints Pillar 1 capital requirements (total US$52,940k), not risk-weighted amounts; nothing derived</t>
        </is>
      </c>
      <c r="L19" s="6" t="n"/>
      <c r="M19" s="6" t="n"/>
    </row>
    <row r="21" ht="440" customHeight="1">
      <c r="A21"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
UK OV1 template (Overview of risk weighted exposure amounts). Each year's own Pillar 3 report is used. FY2024's own report splits Credit Risk (excl. CCR) $1,205,520k / CCR $98,068k, while the FY2025 report's restated FY2024 comparative shows a different split ($1,280,947k / $22,641k) - same total ($1,475,750k) either way; a reclassification between the two lines, not a change to overall RWAs. FY2021's own report pre-dates the UK OV1 template's current form: it combines most Counterparty Credit Risk into the 'Credit Risk' line (footnoted in the source as immaterial, &lt;1% of Credit Risk) while still separately disclosing CVA - so FY2021's CCR row is blank (not zero) and its Credit Risk row includes that CCR. FY2023's total ($1,167,888k) is $1k off the sum of its own visible rows due to source-side rounding of each row to the nearest $1k - not a plug. Settlement Risk is nil (explicitly disclosed, immaterial) in every year. The 'amounts below thresholds for deduction' memo line (FY2024 only, $1,024k) is explicitly excluded from the Total per the source's own footnote (already counted within Credit Risk) - not additive.
FY2014/FY2015 pre-date the UK OV1 template entirely (see PRE-CRD IV METHODOLOGY NOTE above) - rows are DERIVED by dividing each year's own disclosed Pillar 1 capital requirement per risk category by 8% (the standard Basel capital-to-RWA ratio), not directly disclosed as risk-weighted amounts. No CCR/CVA breakout or Settlement Risk line exists in the source for these two years (blank, not zero - the source's Credit Risk capital requirement may include an immaterial counterparty risk component not separately identifiable).
FY2020 RECOVERED 2026-09-15 from the FY2021 report's own COMPARATIVE COLUMN, not from a FY2020 document (none exists - see the Pillar 3 sources note). https://www.zenith-bank.co.uk/media/2228/31dec21-pillar-3.pdf, section 11.2 'Overview of risk weighted exposure and own funds requirements', p.25: that table is explicitly headed 'the risk weighted exposures by risk type under Pillar 1 for BOTH PERIODS' and carries a full '31st December 2020' column alongside 31st December 2021 - Credit Risk 888,907k / CVA 3,617k / Settlement Risk nil / Market risk 6,955k / Operational Risk 92,300k / Total 991,779k (US$). Validated three ways: the five components sum to exactly the printed total of 991,779k with no rounding residual; the same table's FY2021 column reproduces this sheet's existing FY2021 figures exactly, line for line; and FY2020 follows FY2021's own taxonomy, so the CCR row is left BLANK (not zero) and CVA is shown separately, exactly as for FY2021, per the source's footnote that other CCR is under 1% of Credit Risk and is therefore folded into the Credit Risk line. Note this means FY2020's Credit Risk row, like FY2021's, includes an immaterial unseparated CCR component. Converted to GBP at the FY2020 period-end spot rate per the FX methodology above.
FY2016-FY2019 remain blank OF RWA FIGURES, but for two different reasons. FY2017-FY2019: no Pillar 3 disclosure document is recoverable for those three years, and no surviving document's comparative column reaches them (the FY2021 report is the earliest modern edition, and its comparative reaches only FY2020; see Pillar 3 sources note above for the search performed). FY2016: its edition WAS recovered (Common Crawl, 2026-09-19) and PRINTS NO RWA - it is the pre-CRD IV format, giving Pillar 1 capital REQUIREMENTS (US$52,940k total) and not risk-weighted amounts, and nothing was grossed up from them. That is a fact about the document, not an access limit.
FY2009-FY2013 COLUMNS (added 2026-09-15) ARE BLANK ON PURPOSE, AND NO RWA WAS DERIVED FOR THEM. The recovered FY2011 Pillar 3 edition discloses Pillar 1 CAPITAL REQUIREMENTS, not risk-weighted amounts: Credit Risk 18,156 / Market Risk 27 / Operational Risk 1,503 / Total 19,686 (GBP'000, native, not FX-converted), with credit risk further split by exposure class as Financial Institutions 5,768, Corporates 7,461, Retail 25, Bonds 3,899, Sovereigns 896, Multilateral Development Banks 0 and Fixed and other assets 107. Every one of those is 8% of the corresponding risk weighted exposure amount by the source's own definition, so each could be grossed up - and that is exactly what an earlier pass did to produce the FY2014/FY2015 rows on this sheet. It was NOT done here, because grossing up is a derivation and this project's standing rule is to transcribe only what a document states directly. The requirement figures are preserved verbatim in this note instead, which loses nothing. This does leave FY2014/FY2015 on a derived basis and FY2011 on a stated-absence basis on the same sheet; that inconsistency is flagged rather than resolved by adding a second derivation. FY2009, FY2010, FY2012 and FY2013 have no Pillar 3 edition in any archive.</t>
        </is>
      </c>
    </row>
  </sheetData>
  <mergeCells count="1">
    <mergeCell ref="A21:M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exposure measure excluding claims on central banks</t>
        </is>
      </c>
      <c r="B4" s="6" t="n">
        <v>2358564.8</v>
      </c>
      <c r="C4" s="6" t="n">
        <v>2387121.9</v>
      </c>
      <c r="D4" s="6" t="n">
        <v>2256065</v>
      </c>
      <c r="E4" s="6" t="n">
        <v>2818198.7</v>
      </c>
      <c r="F4" s="6" t="n">
        <v>2381446.6</v>
      </c>
      <c r="G4" s="6" t="n">
        <v>1818093.1</v>
      </c>
      <c r="H4" s="6" t="n"/>
      <c r="I4" s="6" t="n"/>
      <c r="J4" s="6" t="n"/>
      <c r="K4" s="6" t="n"/>
      <c r="L4" s="6" t="n"/>
      <c r="M4" s="6" t="n"/>
      <c r="N4" s="6" t="n"/>
      <c r="O4" s="6" t="n"/>
      <c r="P4" s="6" t="n"/>
      <c r="Q4" s="6" t="n"/>
      <c r="R4" s="6" t="n"/>
    </row>
    <row r="5">
      <c r="A5" s="6" t="inlineStr">
        <is>
          <t>Leverage ratio excluding claims on central banks (%)</t>
        </is>
      </c>
      <c r="B5" s="6" t="inlineStr">
        <is>
          <t>12.08%</t>
        </is>
      </c>
      <c r="C5" s="6" t="inlineStr">
        <is>
          <t>11.25%</t>
        </is>
      </c>
      <c r="D5" s="6" t="inlineStr">
        <is>
          <t>9.76%</t>
        </is>
      </c>
      <c r="E5" s="6" t="inlineStr">
        <is>
          <t>7.32%</t>
        </is>
      </c>
      <c r="F5" s="6" t="inlineStr">
        <is>
          <t>8.36%</t>
        </is>
      </c>
      <c r="G5" s="6" t="inlineStr">
        <is>
          <t>10.68%</t>
        </is>
      </c>
      <c r="H5" s="6" t="inlineStr">
        <is>
          <t>Unreached today – FY2019 Pillar 3 named on archived index page; PDF 404 live; no copy in Wayback, archive.ph, Common Crawl (74 crawls) or the Azure origin host (2026-09-19); FY2019/FY2020 ARs print none</t>
        </is>
      </c>
      <c r="I5" s="6" t="inlineStr">
        <is>
          <t>Not disclosed (no Pillar 3 located; Annual Report prints none)</t>
        </is>
      </c>
      <c r="J5" s="6" t="inlineStr">
        <is>
          <t>Not disclosed (no Pillar 3 located; Annual Report prints none)</t>
        </is>
      </c>
      <c r="K5" s="6" t="inlineStr">
        <is>
          <t>Not published – FY2016 Pillar 3 (recovered via Common Crawl, 17pp) prints no leverage ratio (capital section p.8-11 read)</t>
        </is>
      </c>
      <c r="L5" s="6" t="inlineStr">
        <is>
          <t>Not disclosed (pre-CRD IV edition prints no such metric)</t>
        </is>
      </c>
      <c r="M5" s="6" t="inlineStr">
        <is>
          <t>Not disclosed (pre-CRD IV edition prints no such metric)</t>
        </is>
      </c>
      <c r="N5" s="6" t="inlineStr">
        <is>
          <t>Not applicable (Basel II)</t>
        </is>
      </c>
      <c r="O5" s="6" t="inlineStr">
        <is>
          <t>Not applicable (Basel II)</t>
        </is>
      </c>
      <c r="P5" s="6" t="inlineStr">
        <is>
          <t>Not applicable (Basel II)</t>
        </is>
      </c>
      <c r="Q5" s="6" t="inlineStr">
        <is>
          <t>Not applicable (Basel II)</t>
        </is>
      </c>
      <c r="R5" s="6" t="inlineStr">
        <is>
          <t>Not applicable (Basel II)</t>
        </is>
      </c>
    </row>
    <row r="6" ht="60" customHeight="1">
      <c r="A6" s="7" t="inlineStr">
        <is>
          <t>Note: FY2009-FY2013 'Not applicable (Basel II)' (2026-09-15): the regulatory leverage ratio is a CRD IV construct with no Basel II counterpart, and the recovered FY2011 edition mentions no leverage ratio anywhere. Marked structurally inapplicable rather than left blank.
FY2020 added 2026-09-15 from the FY2021 Pillar 3's section 10 Key Metrics comparative column - same row label and same 'excluding claims on central banks' basis as the years above it, so this continues the series without a basis change. The exposure measure (US$2,483,697k) and ratio (10.68%) are both printed; 280,619 / 2,483,697 = 11.30% on the capital shown, and the Bank's 10.68% reflects its own tier-1-for-leverage measurement, so the printed figure is carried as disclosed and nothing is derived.
FY2014-FY2019 CARRY EXPLICIT STATED-ABSENCE MARKERS AS OF 2026-09-18, replacing blanks. FY2014 and FY2015: both surviving Pillar 3 editions were re-downloaded and searched on that date, and neither contains the string 'leverage' anywhere - the CRD IV/UK leverage ratio framework did not apply to a firm this size then. FY2017-FY2019: no Pillar 3 document is recoverable (the fetch ladder was re-run in full on 2026-09-18 and every rung failed - see the archive-status note), and each of those three years' Annual Reports was read that day and mentions no leverage ratio at all. FY2016 IS NOW A DOCUMENT-BACKED ABSENCE RATHER THAN AN ACCESS LIMIT: its edition was recovered from Common Crawl on 2026-09-19 and contains no occurrence of 'leverage' in its 17 pages (text-layer control re-run 2026-10-07: 238 hits for 'risk', 73 for 'capital', 0 for 'leverage'), and its Annual Report mentions none either. NOTE the prior version of this note said FY2016-FY2020 - that was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was narrowed to FY2016-FY2019 then, and to FY2017-FY2019 on 2026-09-19, when the FY2016 edition was recovered from Common Crawl.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6:R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high-quality liquid assets (HQLA), weighted value</t>
        </is>
      </c>
      <c r="B4" s="6" t="n">
        <v>708312</v>
      </c>
      <c r="C4" s="6" t="n">
        <v>810059.1</v>
      </c>
      <c r="D4" s="6" t="n">
        <v>901392.6</v>
      </c>
      <c r="E4" s="6" t="n">
        <v>1014739.2</v>
      </c>
      <c r="F4" s="6" t="n">
        <v>689905.3</v>
      </c>
      <c r="G4" s="6" t="n">
        <v>573018.8</v>
      </c>
      <c r="H4" s="6" t="n"/>
      <c r="I4" s="6" t="n"/>
      <c r="J4" s="6" t="n"/>
      <c r="K4" s="6" t="n"/>
      <c r="L4" s="6" t="n"/>
      <c r="M4" s="6" t="n"/>
      <c r="N4" s="6" t="n"/>
      <c r="O4" s="6" t="n"/>
      <c r="P4" s="6" t="n"/>
      <c r="Q4" s="6" t="n"/>
      <c r="R4" s="6" t="n"/>
    </row>
    <row r="5">
      <c r="A5" s="6" t="inlineStr">
        <is>
          <t>Total net cash outflows, adjusted value</t>
        </is>
      </c>
      <c r="B5" s="6" t="n">
        <v>262152.7</v>
      </c>
      <c r="C5" s="6" t="n">
        <v>245161.8</v>
      </c>
      <c r="D5" s="6" t="n">
        <v>290329.9</v>
      </c>
      <c r="E5" s="6" t="n">
        <v>309847.1</v>
      </c>
      <c r="F5" s="6" t="n">
        <v>249781.8</v>
      </c>
      <c r="G5" s="6" t="n">
        <v>131685.8</v>
      </c>
      <c r="H5" s="6" t="n"/>
      <c r="I5" s="6" t="n"/>
      <c r="J5" s="6" t="n"/>
      <c r="K5" s="6" t="n"/>
      <c r="L5" s="6" t="n"/>
      <c r="M5" s="6" t="n"/>
      <c r="N5" s="6" t="n"/>
      <c r="O5" s="6" t="n"/>
      <c r="P5" s="6" t="n"/>
      <c r="Q5" s="6" t="n"/>
      <c r="R5" s="6" t="n"/>
    </row>
    <row r="6">
      <c r="A6" s="6" t="inlineStr">
        <is>
          <t>Liquidity Coverage Ratio (%) (12-month simple average)</t>
        </is>
      </c>
      <c r="B6" s="6" t="inlineStr">
        <is>
          <t>270.19%</t>
        </is>
      </c>
      <c r="C6" s="6" t="inlineStr">
        <is>
          <t>330.42%</t>
        </is>
      </c>
      <c r="D6" s="6" t="inlineStr">
        <is>
          <t>310%</t>
        </is>
      </c>
      <c r="E6" s="6" t="inlineStr">
        <is>
          <t>343%</t>
        </is>
      </c>
      <c r="F6" s="6" t="n"/>
      <c r="G6" s="6" t="n"/>
      <c r="H6" s="6" t="n"/>
      <c r="I6" s="6" t="n"/>
      <c r="J6" s="6" t="n"/>
      <c r="K6" s="6" t="n"/>
      <c r="L6" s="6" t="n"/>
      <c r="M6" s="6" t="n"/>
      <c r="N6" s="6" t="n"/>
      <c r="O6" s="6" t="n"/>
      <c r="P6" s="6" t="n"/>
      <c r="Q6" s="6" t="n"/>
      <c r="R6" s="6" t="n"/>
    </row>
    <row r="7">
      <c r="A7" s="6" t="inlineStr">
        <is>
          <t>Liquidity Coverage Ratio (%) (point-in-time at year-end)</t>
        </is>
      </c>
      <c r="B7" s="6" t="n"/>
      <c r="C7" s="6" t="n"/>
      <c r="D7" s="6" t="n"/>
      <c r="E7" s="6" t="n"/>
      <c r="F7" s="6" t="inlineStr">
        <is>
          <t>276%</t>
        </is>
      </c>
      <c r="G7" s="6" t="inlineStr">
        <is>
          <t>435%</t>
        </is>
      </c>
      <c r="H7" s="6" t="inlineStr">
        <is>
          <t>Unreached today – FY2019 Pillar 3 named on archived index page; PDF 404 live; no copy in Wayback, archive.ph, Common Crawl (74 crawls) or the Azure origin host (2026-09-19); FY2019/FY2020 ARs print none</t>
        </is>
      </c>
      <c r="I7" s="6" t="inlineStr">
        <is>
          <t>Not disclosed (no Pillar 3 located; Annual Report prints none)</t>
        </is>
      </c>
      <c r="J7" s="6" t="inlineStr">
        <is>
          <t>Not disclosed (no Pillar 3 located; Annual Report prints none)</t>
        </is>
      </c>
      <c r="K7" s="6" t="inlineStr">
        <is>
          <t>Not published – FY2016 Pillar 3 (recovered via Common Crawl, 17pp) names LCR only as a PRA standard it maintains (p.8, s.3.3.1); no LCR figure</t>
        </is>
      </c>
      <c r="L7" s="6" t="inlineStr">
        <is>
          <t>Not disclosed (pre-CRD IV edition prints no such metric)</t>
        </is>
      </c>
      <c r="M7" s="6" t="inlineStr">
        <is>
          <t>Not disclosed (pre-CRD IV edition prints no such metric)</t>
        </is>
      </c>
      <c r="N7" s="6" t="inlineStr">
        <is>
          <t>Not applicable (pre-LCR regime)</t>
        </is>
      </c>
      <c r="O7" s="6" t="inlineStr">
        <is>
          <t>Not applicable (pre-LCR regime)</t>
        </is>
      </c>
      <c r="P7" s="6" t="inlineStr">
        <is>
          <t>Not applicable (pre-LCR regime)</t>
        </is>
      </c>
      <c r="Q7" s="6" t="inlineStr">
        <is>
          <t>Not applicable (pre-LCR regime)</t>
        </is>
      </c>
      <c r="R7" s="6" t="inlineStr">
        <is>
          <t>Not applicable (pre-LCR regime)</t>
        </is>
      </c>
    </row>
    <row r="8" ht="60" customHeight="1">
      <c r="A8" s="7" t="inlineStr">
        <is>
          <t>Note: FY2009-FY2013 'Not applicable (pre-LCR regime)' (2026-09-15): the LCR was not a UK requirement in those years - the recovered FY2011 Basel II edition manages liquidity under the pre-LCR ILAA/BIPRU regime and discloses no quantitative liquidity metric at all. The marker is placed on the point-in-time row purely because that is the row FY2020/FY2021 use; it applies to the metric as a whole, not to one basis. Marked structurally inapplicable rather than left blank.
TWO DIFFERENT BASES, deliberately kept on separate rows (2026-09-15). FY2021 is a point-in-time (year-end) figure as originally disclosed; FY2022 onward is a 12-month simple average, per each year's own report. They are NOT comparable, so FY2021 is shown on its own row rather than continuing the average row with a different-basis number - an earlier revision of this workbook carried all five years in a single row, which implied a like-for-like 276% -&gt; 343% move that the sources do not support. The HQLA and net-cash-outflow rows above carry the same vintage split (FY2021 point-in-time, FY2022 onward averaged) and are left as single rows, following the same convention used for Access Bank. FY2022's own report (374,822k/343%) differs from the FY2023 report's restated FY2022 comparative (348,210k/352%) - FY2022's own report figure is used, per this project's convention.
FY2020 (435%) added 2026-09-15 and placed on the POINT-IN-TIME row, not the average row: it comes from the FY2021 report's section 10 comparative column, i.e. the same table and the same basis as FY2021's 276%. Its HQLA (US$782,801k) and net cash outflows (US$179,896k) divide to 435.1%, reproducing the printed ratio. Reading FY2020 -&gt; FY2021 as 435% -&gt; 276% is therefore like-for-like; reading FY2020 -&gt; FY2022 across the two rows is not.
FY2014-FY2019 CARRY EXPLICIT STATED-ABSENCE MARKERS AS OF 2026-09-18, replacing blanks, on the point-in-time row (the HQLA and net-cash-outflow rows above stay blank, since a text marker on an amount row would sit in a £'000 column). LCR minimum requirements were phased in for UK firms from October 2015; FY2014's and FY2015's own surviving Pillar 3 editions were re-downloaded and searched on 2026-09-18 and contain no occurrence of 'LCR', 'liquidity coverage' or 'stable funding' at all. For FY2017-FY2019 no Pillar 3 document is recoverable (ladder re-run in full that day, every rung failed); FY2016's WAS recovered from Common Crawl on 2026-09-19 and names LCR only as a PRA standard the Bank maintains (printed p.8, s.3.3.1) with no figure anywhere in its 17 pages (text-layer control re-run 2026-10-07: 0 hits for 'Liquidity Coverage' against 238 for 'risk'). Each of the four years' own Annual Reports was read: all four describe managing liquidity 'as per the PRA's liquidity guidelines, primarily the Liquidity Coverage Ratio' in narrative form and print NO LCR figure. NOTE the prior version of this note said FY2014-FY2020 -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was narrowed to FY2016-FY2019 then, and to FY2017-FY2019 on 2026-09-19, when the FY2016 edition was recovered from Common Crawl.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t>
        </is>
      </c>
    </row>
    <row r="10" ht="120" customHeight="1">
      <c r="A10"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10:R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available stable funding</t>
        </is>
      </c>
      <c r="B4" s="6" t="n">
        <v>979280.2</v>
      </c>
      <c r="C4" s="6" t="n">
        <v>908433.1</v>
      </c>
      <c r="D4" s="6" t="n">
        <v>837951.6</v>
      </c>
      <c r="E4" s="6" t="n">
        <v>754580.5</v>
      </c>
      <c r="F4" s="6" t="n"/>
      <c r="G4" s="6" t="n"/>
      <c r="H4" s="6" t="n"/>
      <c r="I4" s="6" t="n"/>
      <c r="J4" s="6" t="n"/>
      <c r="K4" s="6" t="n"/>
      <c r="L4" s="6" t="n"/>
      <c r="M4" s="6" t="n"/>
      <c r="N4" s="6" t="n"/>
      <c r="O4" s="6" t="n"/>
      <c r="P4" s="6" t="n"/>
      <c r="Q4" s="6" t="n"/>
      <c r="R4" s="6" t="n"/>
    </row>
    <row r="5">
      <c r="A5" s="6" t="inlineStr">
        <is>
          <t>Total required stable funding</t>
        </is>
      </c>
      <c r="B5" s="6" t="n">
        <v>705265.5</v>
      </c>
      <c r="C5" s="6" t="n">
        <v>613909.7</v>
      </c>
      <c r="D5" s="6" t="n">
        <v>584650.5</v>
      </c>
      <c r="E5" s="6" t="n">
        <v>608219.4</v>
      </c>
      <c r="F5" s="6" t="n"/>
      <c r="G5" s="6" t="n"/>
      <c r="H5" s="6" t="n"/>
      <c r="I5" s="6" t="n"/>
      <c r="J5" s="6" t="n"/>
      <c r="K5" s="6" t="n"/>
      <c r="L5" s="6" t="n"/>
      <c r="M5" s="6" t="n"/>
      <c r="N5" s="6" t="n"/>
      <c r="O5" s="6" t="n"/>
      <c r="P5" s="6" t="n"/>
      <c r="Q5" s="6" t="n"/>
      <c r="R5" s="6" t="n"/>
    </row>
    <row r="6">
      <c r="A6" s="6" t="inlineStr">
        <is>
          <t>Net Stable Funding Ratio (%)</t>
        </is>
      </c>
      <c r="B6" s="6" t="inlineStr">
        <is>
          <t>138.85%</t>
        </is>
      </c>
      <c r="C6" s="6" t="inlineStr">
        <is>
          <t>147.98%</t>
        </is>
      </c>
      <c r="D6" s="6" t="inlineStr">
        <is>
          <t>143%</t>
        </is>
      </c>
      <c r="E6" s="6" t="inlineStr">
        <is>
          <t>124%</t>
        </is>
      </c>
      <c r="F6" s="6" t="inlineStr">
        <is>
          <t>Not published – FY2021 Pillar 3 s.10 p.22: NSFR 'adopted' from 1 Jan 2022 and 'will be shown in the next Pillar 3 disclosure'; no FY2021 figure printed</t>
        </is>
      </c>
      <c r="G6" s="6" t="inlineStr">
        <is>
          <t>Not applicable (pre-NSFR regime)</t>
        </is>
      </c>
      <c r="H6" s="6" t="inlineStr">
        <is>
          <t>Not applicable (pre-NSFR regime)</t>
        </is>
      </c>
      <c r="I6" s="6" t="inlineStr">
        <is>
          <t>Not applicable (pre-NSFR regime)</t>
        </is>
      </c>
      <c r="J6" s="6" t="inlineStr">
        <is>
          <t>Not applicable (pre-NSFR regime)</t>
        </is>
      </c>
      <c r="K6" s="6" t="inlineStr">
        <is>
          <t>Not applicable (pre-NSFR regime)</t>
        </is>
      </c>
      <c r="L6" s="6" t="inlineStr">
        <is>
          <t>Not applicable (pre-NSFR regime)</t>
        </is>
      </c>
      <c r="M6" s="6" t="inlineStr">
        <is>
          <t>Not applicable (pre-NSFR regime)</t>
        </is>
      </c>
      <c r="N6" s="6" t="inlineStr">
        <is>
          <t>Not applicable – no UK NSFR requirement before 1 Jan 2022 (PRA PS17/21; Bank's FY2021 Pillar 3 p.22); FY2011 Basel II Pillar 3 has none</t>
        </is>
      </c>
      <c r="O6" s="6" t="inlineStr">
        <is>
          <t>Not applicable – no UK NSFR requirement before 1 Jan 2022 (PRA PS17/21; Bank's FY2021 Pillar 3 p.22); FY2011 Basel II Pillar 3 has none</t>
        </is>
      </c>
      <c r="P6" s="6" t="inlineStr">
        <is>
          <t>Not applicable – no UK NSFR requirement before 1 Jan 2022 (PRA PS17/21; Bank's FY2021 Pillar 3 p.22); FY2011 Basel II Pillar 3 has none</t>
        </is>
      </c>
      <c r="Q6" s="6" t="inlineStr">
        <is>
          <t>Not applicable – no UK NSFR requirement before 1 Jan 2022 (PRA PS17/21; Bank's FY2021 Pillar 3 p.22); FY2011 Basel II Pillar 3 has none</t>
        </is>
      </c>
      <c r="R6" s="6" t="inlineStr">
        <is>
          <t>Not applicable – no UK NSFR requirement before 1 Jan 2022 (PRA PS17/21; Bank's FY2021 Pillar 3 p.22); FY2011 Basel II Pillar 3 has none</t>
        </is>
      </c>
    </row>
    <row r="7" ht="60" customHeight="1">
      <c r="A7" s="7" t="inlineStr">
        <is>
          <t>Note: FY2009-FY2013 'Not applicable' (2026-09-15): the NSFR did not exist as a UK requirement until 1 January 2022, so those years are structurally inapplicable, not gaps. (Plain 'Not applicable' rather than the '(Basel II)' qualifier used on the neighbouring sheets, because the NSFR post-dates CRD IV too.)
STRUCTURAL, NOT MISSING - and the Bank says so in its own words. The FY2021 Pillar 3, section 10 (p.22), states: "From 1st January 2022 the new UK Net Stable Funding Ratio (NSFR) was adopted and will be shown in the next Pillar 3 disclosure." So FY2021 and every earlier year genuinely have no NSFR to disclose, and FY2022 is correctly the first year populated. This matches the UK-wide position under PRA PS17/21: no NSFR requirement and no disclosure template existed before 1 January 2022. Re-verified 2026-09-15 by re-reading the FY2021 document in full.
FY2014-FY2020 CHANGED FROM BLANK TO 'Not applicable (pre-NSFR regime)' ON 2026-09-18 - the reason is the regulatory one just given, not a search failure, and an explicit marker stops these seven columns being re-chased as gaps. (This is the one metric in this workbook where FY2016-FY2019 do NOT get the 'Pillar 3 lost / no Pillar 3 located' wording used on the neighbouring sheets: recovering those documents would not produce an NSFR, because there was no NSFR to disclose.) Note that a FY2020 column IS now available for the other Pillar 3 metrics on this workbook (see the CET1/leverage/LCR sheets) because the FY2021 report carries a full FY2020 comparative - but that comparative contains no NSFR either, which is exactly what the adoption date predicts. The prior version of this note said no Pillar 3 document could be recovered for FY2016-FY2020; that was narrowed to FY2016-FY2019, and to FY2017-FY2019 on 2026-09-19 when the FY2016 edition was recovered from Common Crawl. The FY2016 edition contains no NSFR figure - it names NSFR only as a PRA standard the Bank maintains (printed p.8, s.3.3.1) - which does not change this row, since there was no NSFR to disclose then.</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7:R7"/>
    <mergeCell ref="A9:R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MREL Ratio</t>
        </is>
      </c>
      <c r="B4" s="6" t="inlineStr">
        <is>
          <t>Not published – Zenith UK FY2025 Pillar 3 has no MREL/eligible-liabilities figure or KM2 (text probe 0 hits, 2026-09-19)</t>
        </is>
      </c>
      <c r="C4" s="6" t="inlineStr">
        <is>
          <t>Not published – Zenith UK FY2024 Pillar 3 has no MREL/eligible-liabilities figure or KM2 (text probe 0 hits, 2026-09-19)</t>
        </is>
      </c>
      <c r="D4" s="6" t="inlineStr">
        <is>
          <t>Not published – Zenith UK FY2023 Pillar 3 has no MREL/eligible-liabilities figure or KM2 (text probe 0 hits, 2026-09-19)</t>
        </is>
      </c>
      <c r="E4" s="6" t="inlineStr">
        <is>
          <t>Not published – Zenith UK FY2022 Pillar 3 has no MREL/eligible-liabilities figure or KM2 (text probe 0 hits, 2026-09-19)</t>
        </is>
      </c>
      <c r="F4" s="6" t="inlineStr">
        <is>
          <t>Not published – Zenith UK FY2021 Pillar 3 has no MREL/eligible-liabilities figure or KM2 (text probe 0 hits, 2026-09-19)</t>
        </is>
      </c>
      <c r="G4" s="6" t="inlineStr">
        <is>
          <t>Not published – no MREL in FY2021 Pillar 3 (carries FY2020 comparatives) or FY2020 Annual Report (text probe 0 hits, 2026-09-19)</t>
        </is>
      </c>
      <c r="H4" s="6" t="inlineStr">
        <is>
          <t>Unreached today – FY2019 Pillar 3 named on archived index page; PDF 404 live; no copy in Wayback, archive.ph, Common Crawl (74 crawls) or the Azure origin host (2026-09-19); FY2019/FY2020 ARs print none</t>
        </is>
      </c>
      <c r="I4" s="6" t="inlineStr">
        <is>
          <t>Not disclosed (no Pillar 3 located; Annual Report prints none)</t>
        </is>
      </c>
      <c r="J4" s="6" t="inlineStr">
        <is>
          <t>Not disclosed (no Pillar 3 located; Annual Report prints none)</t>
        </is>
      </c>
      <c r="K4" s="6" t="inlineStr">
        <is>
          <t>Not published – FY2016 Pillar 3 (recovered via Common Crawl, 17pp) has no MREL or eligible-liabilities figure</t>
        </is>
      </c>
      <c r="L4" s="6" t="inlineStr">
        <is>
          <t>Not published – Zenith UK FY2015 Pillar 3 has no MREL/eligible-liabilities figure or KM2 (text probe 0 hits, 2026-09-19)</t>
        </is>
      </c>
      <c r="M4" s="6" t="inlineStr">
        <is>
          <t>Not published – Zenith UK FY2014 Pillar 3 has no MREL/eligible-liabilities figure or KM2 (text probe 0 hits, 2026-09-19)</t>
        </is>
      </c>
      <c r="N4" s="6" t="inlineStr">
        <is>
          <t>Not applicable (pre-dates MREL regime)</t>
        </is>
      </c>
      <c r="O4" s="6" t="inlineStr">
        <is>
          <t>Not applicable (pre-dates MREL regime)</t>
        </is>
      </c>
      <c r="P4" s="6" t="inlineStr">
        <is>
          <t>Not applicable (pre-dates MREL regime)</t>
        </is>
      </c>
      <c r="Q4" s="6" t="inlineStr">
        <is>
          <t>Not applicable (pre-dates MREL regime)</t>
        </is>
      </c>
      <c r="R4" s="6" t="inlineStr">
        <is>
          <t>Not applicable (pre-dates MREL regime)</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 MREL did not exist as a UK regime for FY2014-FY2020 in any case.
FY2009-FY2013 changed from 'Not publicly disclosed' to 'Not applicable (pre-dates MREL regime)' 2026-09-15: MREL was introduced by the BRRD and had no UK existence in those years, so those cells are structurally inapplicable rather than a disclosure gap. The recovered FY2011 Basel II edition contains no occurrence of 'MREL'.</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5:R5"/>
    <mergeCell ref="A7:R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2026-10-08T23:27:36Z</dcterms:created>
  <dcterms:modified xmlns:dcterms="http://purl.org/dc/terms/" xmlns:xsi="http://www.w3.org/2001/XMLSchema-instance" xsi:type="dcterms:W3CDTF">2026-10-08T23:27:36Z</dcterms:modified>
</cp:coreProperties>
</file>