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'Overview'!CC23</f>
            </strRef>
          </tx>
          <spPr>
            <a:ln xmlns:a="http://schemas.openxmlformats.org/drawingml/2006/main">
              <a:prstDash val="solid"/>
            </a:ln>
          </spPr>
          <cat>
            <numRef>
              <f>'Overview'!$CD$22:$CT$22</f>
            </numRef>
          </cat>
          <val>
            <numRef>
              <f>'Overview'!$CD$23:$CT$23</f>
            </numRef>
          </val>
        </ser>
        <ser>
          <idx val="1"/>
          <order val="1"/>
          <tx>
            <strRef>
              <f>'Overview'!CC24</f>
            </strRef>
          </tx>
          <spPr>
            <a:ln xmlns:a="http://schemas.openxmlformats.org/drawingml/2006/main">
              <a:prstDash val="solid"/>
            </a:ln>
          </spPr>
          <cat>
            <numRef>
              <f>'Overview'!$CD$22:$CT$22</f>
            </numRef>
          </cat>
          <val>
            <numRef>
              <f>'Overview'!$CD$24:$CT$24</f>
            </numRef>
          </val>
        </ser>
        <ser>
          <idx val="2"/>
          <order val="2"/>
          <tx>
            <strRef>
              <f>'Overview'!CC25</f>
            </strRef>
          </tx>
          <spPr>
            <a:ln xmlns:a="http://schemas.openxmlformats.org/drawingml/2006/main">
              <a:prstDash val="solid"/>
            </a:ln>
          </spPr>
          <cat>
            <numRef>
              <f>'Overview'!$CD$22:$CT$22</f>
            </numRef>
          </cat>
          <val>
            <numRef>
              <f>'Overview'!$CD$25:$CT$25</f>
            </numRef>
          </val>
        </ser>
        <ser>
          <idx val="3"/>
          <order val="3"/>
          <tx>
            <strRef>
              <f>'Overview'!CC26</f>
            </strRef>
          </tx>
          <spPr>
            <a:ln xmlns:a="http://schemas.openxmlformats.org/drawingml/2006/main">
              <a:prstDash val="solid"/>
            </a:ln>
          </spPr>
          <cat>
            <numRef>
              <f>'Overview'!$CD$22:$CT$22</f>
            </numRef>
          </cat>
          <val>
            <numRef>
              <f>'Overview'!$CD$26:$CT$26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row>
    <row r="6">
      <c r="A6" s="5" t="inlineStr">
        <is>
          <t>Total assets</t>
        </is>
      </c>
      <c r="B6" s="5" t="n"/>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c r="O6" s="5" t="n"/>
      <c r="P6" s="5" t="n"/>
      <c r="Q6" s="5" t="n"/>
      <c r="R6" s="5" t="n"/>
      <c r="U6" t="inlineStr">
        <is>
          <t>Total assets</t>
        </is>
      </c>
      <c r="AA6" t="n">
        <v>1025768.3</v>
      </c>
      <c r="AB6" t="n">
        <v>778818.5</v>
      </c>
      <c r="AC6" t="n">
        <v>1072445.7</v>
      </c>
      <c r="AD6" t="n">
        <v>1240386.5</v>
      </c>
      <c r="AE6" t="n">
        <v>1491256.9</v>
      </c>
      <c r="AF6" t="n">
        <v>1280524.6</v>
      </c>
      <c r="AG6" t="n">
        <v>1688935.5</v>
      </c>
      <c r="AH6" t="n">
        <v>2130359.2</v>
      </c>
      <c r="AI6" t="n">
        <v>2591520.9</v>
      </c>
      <c r="AJ6" t="n">
        <v>2089290.6</v>
      </c>
      <c r="AK6" t="n">
        <v>2116703.1</v>
      </c>
      <c r="CW6" t="inlineStr">
        <is>
          <t>CET1 Ratio</t>
        </is>
      </c>
      <c r="DC6" t="n">
        <v>22.32</v>
      </c>
      <c r="DD6" t="n">
        <v>20.38</v>
      </c>
      <c r="DJ6" t="n">
        <v>20.78</v>
      </c>
      <c r="DK6" t="n">
        <v>25.84</v>
      </c>
      <c r="DL6" t="n">
        <v>28.95</v>
      </c>
      <c r="DM6" t="n">
        <v>25.64</v>
      </c>
      <c r="DN6" t="n">
        <v>23.4</v>
      </c>
    </row>
    <row r="7">
      <c r="A7" s="5" t="inlineStr">
        <is>
          <t>Total liabilities</t>
        </is>
      </c>
      <c r="B7" s="5" t="n"/>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c r="O7" s="5" t="n"/>
      <c r="P7" s="5" t="n"/>
      <c r="Q7" s="5" t="n"/>
      <c r="R7" s="5" t="n"/>
      <c r="U7" t="inlineStr">
        <is>
          <t>Total liabilities</t>
        </is>
      </c>
      <c r="AA7" t="n">
        <v>907113.5</v>
      </c>
      <c r="AB7" t="n">
        <v>650253.4</v>
      </c>
      <c r="AC7" t="n">
        <v>915444.6</v>
      </c>
      <c r="AD7" t="n">
        <v>1087324.1</v>
      </c>
      <c r="AE7" t="n">
        <v>1314749.8</v>
      </c>
      <c r="AF7" t="n">
        <v>1088116.9</v>
      </c>
      <c r="AG7" t="n">
        <v>1487212.9</v>
      </c>
      <c r="AH7" t="n">
        <v>1927464.8</v>
      </c>
      <c r="AI7" t="n">
        <v>2353937.2</v>
      </c>
      <c r="AJ7" t="n">
        <v>1825371.8</v>
      </c>
      <c r="AK7" t="n">
        <v>1811346.9</v>
      </c>
      <c r="CW7" t="inlineStr">
        <is>
          <t>Tier 1 Ratio</t>
        </is>
      </c>
      <c r="DC7" t="n">
        <v>22.32</v>
      </c>
      <c r="DD7" t="n">
        <v>20.38</v>
      </c>
      <c r="DJ7" t="n">
        <v>20.78</v>
      </c>
      <c r="DK7" t="n">
        <v>25.84</v>
      </c>
      <c r="DL7" t="n">
        <v>28.95</v>
      </c>
      <c r="DM7" t="n">
        <v>25.64</v>
      </c>
      <c r="DN7" t="n">
        <v>23.4</v>
      </c>
    </row>
    <row r="8">
      <c r="A8" s="5" t="inlineStr">
        <is>
          <t>Total equity</t>
        </is>
      </c>
      <c r="B8" s="5" t="n"/>
      <c r="C8" s="5" t="n">
        <v>305356.2</v>
      </c>
      <c r="D8" s="5" t="n">
        <v>263918.8</v>
      </c>
      <c r="E8" s="5" t="n">
        <v>237583.7</v>
      </c>
      <c r="F8" s="5" t="n">
        <v>202894.4</v>
      </c>
      <c r="G8" s="5" t="n">
        <v>201722.6</v>
      </c>
      <c r="H8" s="5" t="n">
        <v>192407.7</v>
      </c>
      <c r="I8" s="5" t="n">
        <v>176507.1</v>
      </c>
      <c r="J8" s="5" t="n">
        <v>153062.4</v>
      </c>
      <c r="K8" s="5" t="n">
        <v>157001.1</v>
      </c>
      <c r="L8" s="5" t="n">
        <v>128565.1</v>
      </c>
      <c r="M8" s="5" t="n">
        <v>118654.9</v>
      </c>
      <c r="N8" s="5" t="n"/>
      <c r="O8" s="5" t="n"/>
      <c r="P8" s="5" t="n"/>
      <c r="Q8" s="5" t="n"/>
      <c r="R8" s="5" t="n"/>
      <c r="U8" t="inlineStr">
        <is>
          <t>Total equity</t>
        </is>
      </c>
      <c r="AA8" t="n">
        <v>118654.9</v>
      </c>
      <c r="AB8" t="n">
        <v>128565.1</v>
      </c>
      <c r="AC8" t="n">
        <v>157001.1</v>
      </c>
      <c r="AD8" t="n">
        <v>153062.4</v>
      </c>
      <c r="AE8" t="n">
        <v>176507.1</v>
      </c>
      <c r="AF8" t="n">
        <v>192407.7</v>
      </c>
      <c r="AG8" t="n">
        <v>201722.6</v>
      </c>
      <c r="AH8" t="n">
        <v>202894.4</v>
      </c>
      <c r="AI8" t="n">
        <v>237583.7</v>
      </c>
      <c r="AJ8" t="n">
        <v>263918.8</v>
      </c>
      <c r="AK8" t="n">
        <v>305356.2</v>
      </c>
      <c r="CW8" t="inlineStr">
        <is>
          <t>Total Capital Ratio</t>
        </is>
      </c>
      <c r="DC8" t="n">
        <v>22.32</v>
      </c>
      <c r="DD8" t="n">
        <v>20.38</v>
      </c>
      <c r="DJ8" t="n">
        <v>20.78</v>
      </c>
      <c r="DK8" t="n">
        <v>25.84</v>
      </c>
      <c r="DL8" t="n">
        <v>28.95</v>
      </c>
      <c r="DM8" t="n">
        <v>25.64</v>
      </c>
      <c r="DN8" t="n">
        <v>23.4</v>
      </c>
    </row>
    <row r="9">
      <c r="CW9" t="inlineStr">
        <is>
          <t>Leverage Ratio</t>
        </is>
      </c>
      <c r="DJ9" t="n">
        <v>8.359999999999999</v>
      </c>
      <c r="DK9" t="n">
        <v>7.32</v>
      </c>
      <c r="DL9" t="n">
        <v>9.76</v>
      </c>
      <c r="DM9" t="n">
        <v>11.25</v>
      </c>
      <c r="DN9" t="n">
        <v>12.08</v>
      </c>
    </row>
    <row r="10">
      <c r="A10" s="3" t="inlineStr">
        <is>
          <t>Profit &amp; Loss Summary (£'000)</t>
        </is>
      </c>
      <c r="CW10" t="inlineStr">
        <is>
          <t>LCR</t>
        </is>
      </c>
      <c r="DK10" t="n">
        <v>343</v>
      </c>
      <c r="DL10" t="n">
        <v>310</v>
      </c>
      <c r="DM10" t="n">
        <v>330.42</v>
      </c>
      <c r="DN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W11" t="inlineStr">
        <is>
          <t>NSFR</t>
        </is>
      </c>
      <c r="DK11" t="n">
        <v>124</v>
      </c>
      <c r="DL11" t="n">
        <v>143</v>
      </c>
      <c r="DM11" t="n">
        <v>147.98</v>
      </c>
      <c r="DN11" t="n">
        <v>138.85</v>
      </c>
    </row>
    <row r="12">
      <c r="A12" s="5" t="inlineStr">
        <is>
          <t>Net interest income</t>
        </is>
      </c>
      <c r="B12" s="5" t="n"/>
      <c r="C12" s="5" t="n">
        <v>62855</v>
      </c>
      <c r="D12" s="5" t="n">
        <v>77360.5</v>
      </c>
      <c r="E12" s="5" t="n">
        <v>51765.3</v>
      </c>
      <c r="F12" s="5" t="n">
        <v>27807.4</v>
      </c>
      <c r="G12" s="5" t="n">
        <v>28077.3</v>
      </c>
      <c r="H12" s="5" t="n">
        <v>34628.4</v>
      </c>
      <c r="I12" s="5" t="n">
        <v>28962.3</v>
      </c>
      <c r="J12" s="5" t="n">
        <v>21978.3</v>
      </c>
      <c r="K12" s="5" t="n">
        <v>21277.5</v>
      </c>
      <c r="L12" s="5" t="n">
        <v>14592.1</v>
      </c>
      <c r="M12" s="5" t="n">
        <v>14209.2</v>
      </c>
      <c r="N12" s="5" t="n"/>
      <c r="O12" s="5" t="n"/>
      <c r="P12" s="5" t="n"/>
      <c r="Q12" s="5" t="n"/>
      <c r="R12" s="5" t="n"/>
      <c r="AO12" t="inlineStr">
        <is>
          <t>Net interest income</t>
        </is>
      </c>
      <c r="AU12" t="n">
        <v>14209.2</v>
      </c>
      <c r="AV12" t="n">
        <v>14592.1</v>
      </c>
      <c r="AW12" t="n">
        <v>21277.5</v>
      </c>
      <c r="AX12" t="n">
        <v>21978.3</v>
      </c>
      <c r="AY12" t="n">
        <v>28962.3</v>
      </c>
      <c r="AZ12" t="n">
        <v>34628.4</v>
      </c>
      <c r="BA12" t="n">
        <v>28077.3</v>
      </c>
      <c r="BB12" t="n">
        <v>27807.4</v>
      </c>
      <c r="BC12" t="n">
        <v>51765.3</v>
      </c>
      <c r="BD12" t="n">
        <v>77360.5</v>
      </c>
      <c r="BE12" t="n">
        <v>62855</v>
      </c>
    </row>
    <row r="13">
      <c r="A13" s="5" t="inlineStr">
        <is>
          <t>Operating income</t>
        </is>
      </c>
      <c r="B13" s="5" t="n"/>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c r="O13" s="5" t="n"/>
      <c r="P13" s="5" t="n"/>
      <c r="Q13" s="5" t="n"/>
      <c r="R13" s="5" t="n"/>
      <c r="AO13" t="inlineStr">
        <is>
          <t>Operating income</t>
        </is>
      </c>
      <c r="AU13" t="n">
        <v>20617.5</v>
      </c>
      <c r="AV13" t="n">
        <v>21146.7</v>
      </c>
      <c r="AW13" t="n">
        <v>27568.5</v>
      </c>
      <c r="AX13" t="n">
        <v>31028.1</v>
      </c>
      <c r="AY13" t="n">
        <v>37242.3</v>
      </c>
      <c r="AZ13" t="n">
        <v>45518.9</v>
      </c>
      <c r="BA13" t="n">
        <v>38550</v>
      </c>
      <c r="BB13" t="n">
        <v>31947.1</v>
      </c>
      <c r="BC13" t="n">
        <v>62492.6</v>
      </c>
      <c r="BD13" t="n">
        <v>85377.89999999999</v>
      </c>
      <c r="BE13" t="n">
        <v>66720.5</v>
      </c>
    </row>
    <row r="14">
      <c r="A14" s="5" t="inlineStr">
        <is>
          <t>Profit before tax</t>
        </is>
      </c>
      <c r="B14" s="5" t="n"/>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c r="O14" s="5" t="n"/>
      <c r="P14" s="5" t="n"/>
      <c r="Q14" s="5" t="n"/>
      <c r="R14" s="5" t="n"/>
      <c r="AO14" t="inlineStr">
        <is>
          <t>Profit before tax</t>
        </is>
      </c>
      <c r="AU14" t="n">
        <v>11540.9</v>
      </c>
      <c r="AV14" t="n">
        <v>4645.5</v>
      </c>
      <c r="AW14" t="n">
        <v>2539.8</v>
      </c>
      <c r="AX14" t="n">
        <v>12431.7</v>
      </c>
      <c r="AY14" t="n">
        <v>25376.1</v>
      </c>
      <c r="AZ14" t="n">
        <v>27217.8</v>
      </c>
      <c r="BA14" t="n">
        <v>17062.6</v>
      </c>
      <c r="BB14" t="n">
        <v>9915.799999999999</v>
      </c>
      <c r="BC14" t="n">
        <v>36615</v>
      </c>
      <c r="BD14" t="n">
        <v>58520.5</v>
      </c>
      <c r="BE14" t="n">
        <v>44011</v>
      </c>
    </row>
    <row r="15">
      <c r="A15" s="5" t="inlineStr">
        <is>
          <t>Profit for the year</t>
        </is>
      </c>
      <c r="B15" s="5" t="n"/>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c r="O15" s="5" t="n"/>
      <c r="P15" s="5" t="n"/>
      <c r="Q15" s="5" t="n"/>
      <c r="R15" s="5" t="n"/>
      <c r="AO15" t="inlineStr">
        <is>
          <t>Profit for the year</t>
        </is>
      </c>
      <c r="AU15" t="n">
        <v>8742.299999999999</v>
      </c>
      <c r="AV15" t="n">
        <v>3484.1</v>
      </c>
      <c r="AW15" t="n">
        <v>1955.6</v>
      </c>
      <c r="AX15" t="n">
        <v>10583.1</v>
      </c>
      <c r="AY15" t="n">
        <v>20629.7</v>
      </c>
      <c r="AZ15" t="n">
        <v>21894.4</v>
      </c>
      <c r="BA15" t="n">
        <v>13966</v>
      </c>
      <c r="BB15" t="n">
        <v>8292.700000000001</v>
      </c>
      <c r="BC15" t="n">
        <v>28474.9</v>
      </c>
      <c r="BD15" t="n">
        <v>44085.1</v>
      </c>
      <c r="BE15" t="n">
        <v>33033.4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Total equity (period end)</t>
        </is>
      </c>
      <c r="B19" s="5" t="n"/>
      <c r="C19" s="5" t="n">
        <v>305356.2</v>
      </c>
      <c r="D19" s="5" t="n">
        <v>263918.8</v>
      </c>
      <c r="E19" s="5" t="n">
        <v>237583.7</v>
      </c>
      <c r="F19" s="5" t="n">
        <v>202894.4</v>
      </c>
      <c r="G19" s="5" t="n">
        <v>201722.6</v>
      </c>
      <c r="H19" s="5" t="n">
        <v>192407.7</v>
      </c>
      <c r="I19" s="5" t="n">
        <v>176507.1</v>
      </c>
      <c r="J19" s="5" t="n">
        <v>153062.4</v>
      </c>
      <c r="K19" s="5" t="n">
        <v>157001.1</v>
      </c>
      <c r="L19" s="5" t="n">
        <v>128565.1</v>
      </c>
      <c r="M19" s="5" t="n">
        <v>118654.9</v>
      </c>
      <c r="N19" s="5" t="n"/>
      <c r="O19" s="5" t="n"/>
      <c r="P19" s="5" t="n"/>
      <c r="Q19" s="5" t="n"/>
      <c r="R19" s="5" t="n"/>
      <c r="BI19" t="inlineStr">
        <is>
          <t>Total equity (period end)</t>
        </is>
      </c>
      <c r="BO19" t="n">
        <v>118654.9</v>
      </c>
      <c r="BP19" t="n">
        <v>128565.1</v>
      </c>
      <c r="BQ19" t="n">
        <v>157001.1</v>
      </c>
      <c r="BR19" t="n">
        <v>153062.4</v>
      </c>
      <c r="BS19" t="n">
        <v>176507.1</v>
      </c>
      <c r="BT19" t="n">
        <v>192407.7</v>
      </c>
      <c r="BU19" t="n">
        <v>201722.6</v>
      </c>
      <c r="BV19" t="n">
        <v>202894.4</v>
      </c>
      <c r="BW19" t="n">
        <v>237583.7</v>
      </c>
      <c r="BX19" t="n">
        <v>263918.8</v>
      </c>
      <c r="BY19" t="n">
        <v>305356.2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P22" s="4" t="inlineStr">
        <is>
          <t>FY2011</t>
        </is>
      </c>
      <c r="Q22" s="4" t="inlineStr">
        <is>
          <t>FY2010</t>
        </is>
      </c>
      <c r="R22" s="4" t="inlineStr">
        <is>
          <t>FY2009</t>
        </is>
      </c>
      <c r="CD22" t="inlineStr">
        <is>
          <t>FY2009</t>
        </is>
      </c>
      <c r="CE22" t="inlineStr">
        <is>
          <t>FY2010</t>
        </is>
      </c>
      <c r="CF22" t="inlineStr">
        <is>
          <t>FY2011</t>
        </is>
      </c>
      <c r="CG22" t="inlineStr">
        <is>
          <t>FY2012</t>
        </is>
      </c>
      <c r="CH22" t="inlineStr">
        <is>
          <t>FY2013</t>
        </is>
      </c>
      <c r="CI22" t="inlineStr">
        <is>
          <t>FY2014</t>
        </is>
      </c>
      <c r="CJ22" t="inlineStr">
        <is>
          <t>FY2015</t>
        </is>
      </c>
      <c r="CK22" t="inlineStr">
        <is>
          <t>FY2016</t>
        </is>
      </c>
      <c r="CL22" t="inlineStr">
        <is>
          <t>FY2017</t>
        </is>
      </c>
      <c r="CM22" t="inlineStr">
        <is>
          <t>FY2018</t>
        </is>
      </c>
      <c r="CN22" t="inlineStr">
        <is>
          <t>FY2019</t>
        </is>
      </c>
      <c r="CO22" t="inlineStr">
        <is>
          <t>FY2020</t>
        </is>
      </c>
      <c r="CP22" t="inlineStr">
        <is>
          <t>FY2021</t>
        </is>
      </c>
      <c r="CQ22" t="inlineStr">
        <is>
          <t>FY2022</t>
        </is>
      </c>
      <c r="CR22" t="inlineStr">
        <is>
          <t>FY2023</t>
        </is>
      </c>
      <c r="CS22" t="inlineStr">
        <is>
          <t>FY2024</t>
        </is>
      </c>
      <c r="CT22" t="inlineStr">
        <is>
          <t>FY2025</t>
        </is>
      </c>
    </row>
    <row r="23">
      <c r="A23" s="5" t="inlineStr">
        <is>
          <t>Net cash generated from/(used in) operating activities</t>
        </is>
      </c>
      <c r="B23" s="5" t="n"/>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c r="O23" s="5" t="n"/>
      <c r="P23" s="5" t="n"/>
      <c r="Q23" s="5" t="n"/>
      <c r="R23" s="5" t="n"/>
      <c r="CC23" t="inlineStr">
        <is>
          <t>Net cash generated from/(used in) operating activities</t>
        </is>
      </c>
      <c r="CI23" t="n">
        <v>80335.5</v>
      </c>
      <c r="CJ23" t="n">
        <v>-74876.39999999999</v>
      </c>
      <c r="CK23" t="n">
        <v>225723.4</v>
      </c>
      <c r="CL23" t="n">
        <v>74286.2</v>
      </c>
      <c r="CM23" t="n">
        <v>-51112.4</v>
      </c>
      <c r="CN23" t="n">
        <v>-76511.5</v>
      </c>
      <c r="CO23" t="n">
        <v>207192.8</v>
      </c>
      <c r="CP23" t="n">
        <v>84381.3</v>
      </c>
      <c r="CQ23" t="n">
        <v>-197184.8</v>
      </c>
      <c r="CR23" t="n">
        <v>-276726.4</v>
      </c>
      <c r="CS23" t="n">
        <v>162230.1</v>
      </c>
    </row>
    <row r="24">
      <c r="A24" s="5" t="inlineStr">
        <is>
          <t>Net cash generated from/(used in) investing activities</t>
        </is>
      </c>
      <c r="B24" s="5" t="n"/>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c r="O24" s="5" t="n"/>
      <c r="P24" s="5" t="n"/>
      <c r="Q24" s="5" t="n"/>
      <c r="R24" s="5" t="n"/>
      <c r="CC24" t="inlineStr">
        <is>
          <t>Net cash generated from/(used in) investing activities</t>
        </is>
      </c>
      <c r="CI24" t="n">
        <v>23450.8</v>
      </c>
      <c r="CJ24" t="n">
        <v>-8569.799999999999</v>
      </c>
      <c r="CK24" t="n">
        <v>32457.4</v>
      </c>
      <c r="CL24" t="n">
        <v>21720.2</v>
      </c>
      <c r="CM24" t="n">
        <v>11251.6</v>
      </c>
      <c r="CN24" t="n">
        <v>-31092.8</v>
      </c>
      <c r="CO24" t="n">
        <v>-39565.5</v>
      </c>
      <c r="CP24" t="n">
        <v>-8018.4</v>
      </c>
      <c r="CQ24" t="n">
        <v>-2155.5</v>
      </c>
      <c r="CR24" t="n">
        <v>7360.1</v>
      </c>
      <c r="CS24" t="n">
        <v>429.6</v>
      </c>
    </row>
    <row r="25">
      <c r="A25" s="5" t="inlineStr">
        <is>
          <t>Net cash generated from/(used in) financing activities</t>
        </is>
      </c>
      <c r="B25" s="5" t="n"/>
      <c r="C25" s="5" t="n">
        <v>-525.9</v>
      </c>
      <c r="D25" s="5" t="n">
        <v>-14893.7</v>
      </c>
      <c r="E25" s="5" t="n">
        <v>-5277.6</v>
      </c>
      <c r="F25" s="5" t="n">
        <v>-7266.8</v>
      </c>
      <c r="G25" s="5" t="n">
        <v>274.2</v>
      </c>
      <c r="H25" s="5" t="n">
        <v>-474.5</v>
      </c>
      <c r="I25" s="5" t="n"/>
      <c r="J25" s="5" t="n"/>
      <c r="K25" s="5" t="n"/>
      <c r="L25" s="5" t="n"/>
      <c r="M25" s="5" t="n">
        <v>30367.4</v>
      </c>
      <c r="N25" s="5" t="n"/>
      <c r="O25" s="5" t="n"/>
      <c r="P25" s="5" t="n"/>
      <c r="Q25" s="5" t="n"/>
      <c r="R25" s="5" t="n"/>
      <c r="CC25" t="inlineStr">
        <is>
          <t>Net cash generated from/(used in) financing activities</t>
        </is>
      </c>
      <c r="CI25" t="n">
        <v>30367.4</v>
      </c>
      <c r="CN25" t="n">
        <v>-474.5</v>
      </c>
      <c r="CO25" t="n">
        <v>274.2</v>
      </c>
      <c r="CP25" t="n">
        <v>-7266.8</v>
      </c>
      <c r="CQ25" t="n">
        <v>-5277.6</v>
      </c>
      <c r="CR25" t="n">
        <v>-14893.7</v>
      </c>
      <c r="CS25" t="n">
        <v>-525.9</v>
      </c>
    </row>
    <row r="26">
      <c r="A26" s="5" t="inlineStr">
        <is>
          <t>Cash and cash equivalents at end of year</t>
        </is>
      </c>
      <c r="B26" s="5" t="n"/>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c r="O26" s="5" t="n"/>
      <c r="P26" s="5" t="n"/>
      <c r="Q26" s="5" t="n"/>
      <c r="R26" s="5" t="n"/>
      <c r="CC26" t="inlineStr">
        <is>
          <t>Cash and cash equivalents at end of year</t>
        </is>
      </c>
      <c r="CI26" t="n">
        <v>268406</v>
      </c>
      <c r="CJ26" t="n">
        <v>196648.9</v>
      </c>
      <c r="CK26" t="n">
        <v>519912.3</v>
      </c>
      <c r="CL26" t="n">
        <v>564977.9</v>
      </c>
      <c r="CM26" t="n">
        <v>556093</v>
      </c>
      <c r="CN26" t="n">
        <v>433198</v>
      </c>
      <c r="CO26" t="n">
        <v>576523.2</v>
      </c>
      <c r="CP26" t="n">
        <v>652769.3</v>
      </c>
      <c r="CQ26" t="n">
        <v>520509.8</v>
      </c>
      <c r="CR26" t="n">
        <v>216831.3</v>
      </c>
      <c r="CS26" t="n">
        <v>383726.2</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c r="N29" s="4" t="inlineStr">
        <is>
          <t>FY2013</t>
        </is>
      </c>
      <c r="O29" s="4" t="inlineStr">
        <is>
          <t>FY2012</t>
        </is>
      </c>
      <c r="P29" s="4" t="inlineStr">
        <is>
          <t>FY2011</t>
        </is>
      </c>
      <c r="Q29" s="4" t="inlineStr">
        <is>
          <t>FY2010</t>
        </is>
      </c>
      <c r="R29" s="4" t="inlineStr">
        <is>
          <t>FY2009</t>
        </is>
      </c>
    </row>
    <row r="30">
      <c r="A30" s="6" t="inlineStr">
        <is>
          <t>CET1 Ratio</t>
        </is>
      </c>
      <c r="B30" s="6" t="inlineStr">
        <is>
          <t>23.40%</t>
        </is>
      </c>
      <c r="C30" s="6" t="inlineStr">
        <is>
          <t>25.64%</t>
        </is>
      </c>
      <c r="D30" s="6" t="inlineStr">
        <is>
          <t>28.95%</t>
        </is>
      </c>
      <c r="E30" s="6" t="inlineStr">
        <is>
          <t>25.84%</t>
        </is>
      </c>
      <c r="F30" s="6" t="inlineStr">
        <is>
          <t>20.78%</t>
        </is>
      </c>
      <c r="G30" s="6" t="n"/>
      <c r="H30" s="6" t="n"/>
      <c r="I30" s="6" t="n"/>
      <c r="J30" s="6" t="n"/>
      <c r="K30" s="6" t="n"/>
      <c r="L30" s="6" t="inlineStr">
        <is>
          <t>20.38%</t>
        </is>
      </c>
      <c r="M30" s="6" t="inlineStr">
        <is>
          <t>22.32%</t>
        </is>
      </c>
      <c r="N30" s="6" t="n"/>
      <c r="O30" s="6" t="n"/>
      <c r="P30" s="6" t="n"/>
      <c r="Q30" s="6" t="n"/>
      <c r="R30" s="6" t="n"/>
    </row>
    <row r="31">
      <c r="A31" s="6" t="inlineStr">
        <is>
          <t>Tier 1 Ratio</t>
        </is>
      </c>
      <c r="B31" s="6" t="inlineStr">
        <is>
          <t>23.40%</t>
        </is>
      </c>
      <c r="C31" s="6" t="inlineStr">
        <is>
          <t>25.64%</t>
        </is>
      </c>
      <c r="D31" s="6" t="inlineStr">
        <is>
          <t>28.95%</t>
        </is>
      </c>
      <c r="E31" s="6" t="inlineStr">
        <is>
          <t>25.84%</t>
        </is>
      </c>
      <c r="F31" s="6" t="inlineStr">
        <is>
          <t>20.78%</t>
        </is>
      </c>
      <c r="G31" s="6" t="n"/>
      <c r="H31" s="6" t="n"/>
      <c r="I31" s="6" t="n"/>
      <c r="J31" s="6" t="n"/>
      <c r="K31" s="6" t="n"/>
      <c r="L31" s="6" t="inlineStr">
        <is>
          <t>20.38%</t>
        </is>
      </c>
      <c r="M31" s="6" t="inlineStr">
        <is>
          <t>22.32%</t>
        </is>
      </c>
      <c r="N31" s="6" t="n"/>
      <c r="O31" s="6" t="n"/>
      <c r="P31" s="6" t="n"/>
      <c r="Q31" s="6" t="n"/>
      <c r="R31" s="6" t="n"/>
    </row>
    <row r="32">
      <c r="A32" s="6" t="inlineStr">
        <is>
          <t>Total Capital Ratio</t>
        </is>
      </c>
      <c r="B32" s="6" t="inlineStr">
        <is>
          <t>23.40%</t>
        </is>
      </c>
      <c r="C32" s="6" t="inlineStr">
        <is>
          <t>25.64%</t>
        </is>
      </c>
      <c r="D32" s="6" t="inlineStr">
        <is>
          <t>28.95%</t>
        </is>
      </c>
      <c r="E32" s="6" t="inlineStr">
        <is>
          <t>25.84%</t>
        </is>
      </c>
      <c r="F32" s="6" t="inlineStr">
        <is>
          <t>20.78%</t>
        </is>
      </c>
      <c r="G32" s="6" t="n"/>
      <c r="H32" s="6" t="n"/>
      <c r="I32" s="6" t="n"/>
      <c r="J32" s="6" t="n"/>
      <c r="K32" s="6" t="n"/>
      <c r="L32" s="6" t="inlineStr">
        <is>
          <t>20.38%</t>
        </is>
      </c>
      <c r="M32" s="6" t="inlineStr">
        <is>
          <t>22.32%</t>
        </is>
      </c>
      <c r="N32" s="6" t="n"/>
      <c r="O32" s="6" t="n"/>
      <c r="P32" s="6" t="n"/>
      <c r="Q32" s="6" t="n"/>
      <c r="R32" s="6" t="n"/>
    </row>
    <row r="33">
      <c r="A33" s="6" t="inlineStr">
        <is>
          <t>Leverage Ratio</t>
        </is>
      </c>
      <c r="B33" s="6" t="inlineStr">
        <is>
          <t>12.08%</t>
        </is>
      </c>
      <c r="C33" s="6" t="inlineStr">
        <is>
          <t>11.25%</t>
        </is>
      </c>
      <c r="D33" s="6" t="inlineStr">
        <is>
          <t>9.76%</t>
        </is>
      </c>
      <c r="E33" s="6" t="inlineStr">
        <is>
          <t>7.32%</t>
        </is>
      </c>
      <c r="F33" s="6" t="inlineStr">
        <is>
          <t>8.36%</t>
        </is>
      </c>
      <c r="G33" s="6" t="n"/>
      <c r="H33" s="6" t="n"/>
      <c r="I33" s="6" t="n"/>
      <c r="J33" s="6" t="n"/>
      <c r="K33" s="6" t="n"/>
      <c r="L33" s="6" t="n"/>
      <c r="M33" s="6" t="n"/>
      <c r="N33" s="6" t="n"/>
      <c r="O33" s="6" t="n"/>
      <c r="P33" s="6" t="n"/>
      <c r="Q33" s="6" t="n"/>
      <c r="R33" s="6" t="n"/>
    </row>
    <row r="34">
      <c r="A34" s="6" t="inlineStr">
        <is>
          <t>LCR</t>
        </is>
      </c>
      <c r="B34" s="6" t="inlineStr">
        <is>
          <t>270.19%</t>
        </is>
      </c>
      <c r="C34" s="6" t="inlineStr">
        <is>
          <t>330.42%</t>
        </is>
      </c>
      <c r="D34" s="6" t="inlineStr">
        <is>
          <t>310%</t>
        </is>
      </c>
      <c r="E34" s="6" t="inlineStr">
        <is>
          <t>343%</t>
        </is>
      </c>
      <c r="F34" s="6" t="n"/>
      <c r="G34" s="6" t="n"/>
      <c r="H34" s="6" t="n"/>
      <c r="I34" s="6" t="n"/>
      <c r="J34" s="6" t="n"/>
      <c r="K34" s="6" t="n"/>
      <c r="L34" s="6" t="n"/>
      <c r="M34" s="6" t="n"/>
      <c r="N34" s="6" t="n"/>
      <c r="O34" s="6" t="n"/>
      <c r="P34" s="6" t="n"/>
      <c r="Q34" s="6" t="n"/>
      <c r="R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c r="N35" s="6" t="n"/>
      <c r="O35" s="6" t="n"/>
      <c r="P35" s="6" t="n"/>
      <c r="Q35" s="6" t="n"/>
      <c r="R35" s="6" t="n"/>
    </row>
    <row r="37" ht="45" customHeight="1">
      <c r="A37" s="7" t="inlineStr">
        <is>
          <t>Note: FY2021 LCR (276%) is deliberately omitted from this at-a-glance row: it is a point-in-time year-end figure, whereas FY2022 onward are 12-month simple averages, and the two are not comparable on a single trend line. Both bases are shown, on separate rows, on the LCR sheet itself.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cash flow is blank (no FY2025 Annual Report published yet); Pillar 3 is fully populated for FY2025.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 2026-09-15 HISTORICAL PILLAR 3: a FY2011 Basel II Pillar 3 edition was recovered and transcribed, so the Pillar 3, RWA Breakdown and Asset Quality sheets now run to FY2009 alongside the statutory statements. NOTHING FROM IT APPEARS ON THIS OVERVIEW, and the FY2009-FY2013 ratio cells above are blank by design: that edition states no capital ratio, no leverage ratio and no liquidity metric, and the only ratio it does print (a 203% 'Solvency Ratio against Pillar 1') is capital over the capital REQUIREMENT, not over RWA - it is excluded deliberately rather than by omission, because showing it on a ratio trend line would overstate capitalisation by roughly 12.5x. Its Basel II capital figures sit on their own separate rows on the Tier 1 Capital and Total Capital sheets. A FY2008 edition was also recovered but produced no cell anywhere - its only figure is dated to 31 December 2007 accounts adjusted for a May 2008 event, so it belongs to no year column; see the Pillar 3 sources note.</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n"/>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Current tax liabilities</t>
        </is>
      </c>
      <c r="B24" s="6" t="n"/>
      <c r="C24" s="6" t="n">
        <v>1654.1</v>
      </c>
      <c r="D24" s="6" t="n">
        <v>0</v>
      </c>
      <c r="E24" s="6" t="n">
        <v>1011.4</v>
      </c>
      <c r="F24" s="6" t="n">
        <v>768</v>
      </c>
      <c r="G24" s="6" t="n">
        <v>266.1</v>
      </c>
      <c r="H24" s="6" t="n">
        <v>3435.7</v>
      </c>
      <c r="I24" s="6" t="n"/>
      <c r="J24" s="6" t="n"/>
      <c r="K24" s="6" t="n"/>
      <c r="L24" s="6" t="n"/>
      <c r="M24" s="6" t="n"/>
      <c r="N24" s="6" t="n"/>
      <c r="O24" s="6" t="n"/>
      <c r="P24" s="6" t="n"/>
      <c r="Q24" s="6" t="n"/>
      <c r="R24" s="6" t="n"/>
    </row>
    <row r="25">
      <c r="A25" s="6" t="inlineStr">
        <is>
          <t>Impairment allowance on committed/off-balance-sheet facilities</t>
        </is>
      </c>
      <c r="B25" s="6" t="n"/>
      <c r="C25" s="6" t="n">
        <v>499.7</v>
      </c>
      <c r="D25" s="6" t="n">
        <v>0</v>
      </c>
      <c r="E25" s="6" t="n">
        <v>588.8</v>
      </c>
      <c r="F25" s="6" t="n">
        <v>585.9</v>
      </c>
      <c r="G25" s="6" t="n">
        <v>210.7</v>
      </c>
      <c r="H25" s="6" t="n">
        <v>1090.6</v>
      </c>
      <c r="I25" s="6" t="n"/>
      <c r="J25" s="6" t="n"/>
      <c r="K25" s="6" t="n"/>
      <c r="L25" s="6" t="n"/>
      <c r="M25" s="6" t="n"/>
      <c r="N25" s="6" t="n"/>
      <c r="O25" s="6" t="n"/>
      <c r="P25" s="6" t="n"/>
      <c r="Q25" s="6" t="n"/>
      <c r="R25" s="6" t="n"/>
    </row>
    <row r="26">
      <c r="A26" s="6" t="inlineStr">
        <is>
          <t>Lease obligation</t>
        </is>
      </c>
      <c r="B26" s="6" t="n"/>
      <c r="C26" s="6" t="n">
        <v>7047.5</v>
      </c>
      <c r="D26" s="6" t="n">
        <v>829</v>
      </c>
      <c r="E26" s="6" t="n">
        <v>1531.7</v>
      </c>
      <c r="F26" s="6" t="n">
        <v>2187.4</v>
      </c>
      <c r="G26" s="6" t="n">
        <v>3113.2</v>
      </c>
      <c r="H26" s="6" t="n">
        <v>2846.9</v>
      </c>
      <c r="I26" s="6" t="n"/>
      <c r="J26" s="6" t="n"/>
      <c r="K26" s="6" t="n"/>
      <c r="L26" s="6" t="n"/>
      <c r="M26" s="6" t="n"/>
      <c r="N26" s="6" t="n"/>
      <c r="O26" s="6" t="n"/>
      <c r="P26" s="6" t="n"/>
      <c r="Q26" s="6" t="n"/>
      <c r="R26" s="6" t="n"/>
    </row>
    <row r="27">
      <c r="A27" s="6" t="inlineStr">
        <is>
          <t>Other liabilities</t>
        </is>
      </c>
      <c r="B27" s="6" t="n"/>
      <c r="C27" s="6" t="n">
        <v>4852.9</v>
      </c>
      <c r="D27" s="6" t="n">
        <v>5643.1</v>
      </c>
      <c r="E27" s="6" t="n">
        <v>13975.2</v>
      </c>
      <c r="F27" s="6" t="n">
        <v>5258.6</v>
      </c>
      <c r="G27" s="6" t="n">
        <v>3128.6</v>
      </c>
      <c r="H27" s="6" t="n">
        <v>3864.8</v>
      </c>
      <c r="I27" s="6" t="n">
        <v>7644.3</v>
      </c>
      <c r="J27" s="6" t="n">
        <v>5331.3</v>
      </c>
      <c r="K27" s="6" t="n">
        <v>3453.8</v>
      </c>
      <c r="L27" s="6" t="n">
        <v>3376.7</v>
      </c>
      <c r="M27" s="6" t="n">
        <v>3870.6</v>
      </c>
      <c r="N27" s="6" t="n">
        <v>3533</v>
      </c>
      <c r="O27" s="6" t="n">
        <v>2401</v>
      </c>
      <c r="P27" s="6" t="n">
        <v>2542.9</v>
      </c>
      <c r="Q27" s="6" t="n">
        <v>1589.8</v>
      </c>
      <c r="R27" s="6" t="n">
        <v>1598.7</v>
      </c>
    </row>
    <row r="28">
      <c r="A28" s="6" t="inlineStr">
        <is>
          <t>Provision</t>
        </is>
      </c>
      <c r="B28" s="6" t="n"/>
      <c r="C28" s="6" t="n">
        <v>135.4</v>
      </c>
      <c r="D28" s="6" t="n"/>
      <c r="E28" s="6" t="n"/>
      <c r="F28" s="6" t="n"/>
      <c r="G28" s="6" t="n"/>
      <c r="H28" s="6" t="n"/>
      <c r="I28" s="6" t="n"/>
      <c r="J28" s="6" t="n"/>
      <c r="K28" s="6" t="n"/>
      <c r="L28" s="6" t="n"/>
      <c r="M28" s="6" t="n"/>
      <c r="N28" s="6" t="n"/>
      <c r="O28" s="6" t="n"/>
      <c r="P28" s="6" t="n"/>
      <c r="Q28" s="6" t="n"/>
      <c r="R28" s="6" t="n"/>
    </row>
    <row r="29">
      <c r="A29" s="5" t="inlineStr">
        <is>
          <t>Total liabilities</t>
        </is>
      </c>
      <c r="B29" s="5" t="n"/>
      <c r="C29" s="5" t="n">
        <v>1811346.9</v>
      </c>
      <c r="D29" s="5" t="n">
        <v>1825371.8</v>
      </c>
      <c r="E29" s="5" t="n">
        <v>2353937.2</v>
      </c>
      <c r="F29" s="5" t="n">
        <v>1927464.8</v>
      </c>
      <c r="G29" s="5" t="n">
        <v>1487212.9</v>
      </c>
      <c r="H29" s="5" t="n">
        <v>1088116.9</v>
      </c>
      <c r="I29" s="5" t="n">
        <v>1314749.8</v>
      </c>
      <c r="J29" s="5" t="n">
        <v>1087324.1</v>
      </c>
      <c r="K29" s="5" t="n">
        <v>915444.6</v>
      </c>
      <c r="L29" s="5" t="n">
        <v>650253.4</v>
      </c>
      <c r="M29" s="5" t="n">
        <v>907113.5</v>
      </c>
      <c r="N29" s="5" t="n">
        <v>775487.5</v>
      </c>
      <c r="O29" s="5" t="n">
        <v>544227.6</v>
      </c>
      <c r="P29" s="5" t="n">
        <v>453417.1</v>
      </c>
      <c r="Q29" s="5" t="n">
        <v>369843.2</v>
      </c>
      <c r="R29" s="5" t="n">
        <v>393259.7</v>
      </c>
    </row>
    <row r="30">
      <c r="A30" s="5" t="inlineStr">
        <is>
          <t>Equity</t>
        </is>
      </c>
      <c r="B30" s="6" t="n"/>
      <c r="C30" s="6" t="n"/>
      <c r="D30" s="6" t="n"/>
      <c r="E30" s="6" t="n"/>
      <c r="F30" s="6" t="n"/>
      <c r="G30" s="6" t="n"/>
      <c r="H30" s="6" t="n"/>
      <c r="I30" s="6" t="n"/>
      <c r="J30" s="6" t="n"/>
      <c r="K30" s="6" t="n"/>
      <c r="L30" s="6" t="n"/>
      <c r="M30" s="6" t="n"/>
      <c r="N30" s="6" t="n"/>
      <c r="O30" s="6" t="n"/>
      <c r="P30" s="6" t="n"/>
      <c r="Q30" s="6" t="n"/>
      <c r="R30" s="6" t="n"/>
    </row>
    <row r="31">
      <c r="A31" s="6" t="inlineStr">
        <is>
          <t>Share Capital</t>
        </is>
      </c>
      <c r="B31" s="6" t="n"/>
      <c r="C31" s="6" t="n">
        <v>109230.2</v>
      </c>
      <c r="D31" s="6" t="n">
        <v>107368.5</v>
      </c>
      <c r="E31" s="6" t="n">
        <v>113004.6</v>
      </c>
      <c r="F31" s="6" t="n">
        <v>101103.2</v>
      </c>
      <c r="G31" s="6" t="n">
        <v>100067.1</v>
      </c>
      <c r="H31" s="6" t="n">
        <v>103483.4</v>
      </c>
      <c r="I31" s="6" t="n">
        <v>107049</v>
      </c>
      <c r="J31" s="6" t="n">
        <v>101185.5</v>
      </c>
      <c r="K31" s="6" t="n">
        <v>111112.4</v>
      </c>
      <c r="L31" s="6" t="n">
        <v>92247.5</v>
      </c>
      <c r="M31" s="6" t="n">
        <v>87584.3</v>
      </c>
      <c r="N31" s="6" t="n">
        <v>53459.1</v>
      </c>
      <c r="O31" s="6" t="n">
        <v>53459.1</v>
      </c>
      <c r="P31" s="6" t="n">
        <v>35001</v>
      </c>
      <c r="Q31" s="6" t="n">
        <v>35001</v>
      </c>
      <c r="R31" s="6" t="n">
        <v>35001</v>
      </c>
    </row>
    <row r="32">
      <c r="A32" s="6" t="inlineStr">
        <is>
          <t>FVOCI Reserves</t>
        </is>
      </c>
      <c r="B32" s="6" t="n"/>
      <c r="C32" s="6" t="n">
        <v>-477.8</v>
      </c>
      <c r="D32" s="6" t="n">
        <v>-3539.6</v>
      </c>
      <c r="E32" s="6" t="n">
        <v>-13131.8</v>
      </c>
      <c r="F32" s="6" t="n">
        <v>402.1</v>
      </c>
      <c r="G32" s="6" t="n">
        <v>3097.7</v>
      </c>
      <c r="H32" s="6" t="n">
        <v>560.6</v>
      </c>
      <c r="I32" s="6" t="n">
        <v>-78.2</v>
      </c>
      <c r="J32" s="6" t="n">
        <v>0</v>
      </c>
      <c r="K32" s="6" t="n"/>
      <c r="L32" s="6" t="n"/>
      <c r="M32" s="6" t="n"/>
      <c r="N32" s="6" t="n"/>
      <c r="O32" s="6" t="n"/>
      <c r="P32" s="6" t="n"/>
      <c r="Q32" s="6" t="n"/>
      <c r="R32" s="6" t="n"/>
    </row>
    <row r="33">
      <c r="A33" s="6" t="inlineStr">
        <is>
          <t>Retained earnings</t>
        </is>
      </c>
      <c r="B33" s="6" t="n"/>
      <c r="C33" s="6" t="n">
        <v>196603.8</v>
      </c>
      <c r="D33" s="6" t="n">
        <v>160089.8</v>
      </c>
      <c r="E33" s="6" t="n">
        <v>137710.9</v>
      </c>
      <c r="F33" s="6" t="n">
        <v>101389.1</v>
      </c>
      <c r="G33" s="6" t="n">
        <v>98557.8</v>
      </c>
      <c r="H33" s="6" t="n">
        <v>88363.7</v>
      </c>
      <c r="I33" s="6" t="n">
        <v>69536.2</v>
      </c>
      <c r="J33" s="6" t="n">
        <v>51876.9</v>
      </c>
      <c r="K33" s="6" t="n">
        <v>45888.6</v>
      </c>
      <c r="L33" s="6" t="n">
        <v>36317.6</v>
      </c>
      <c r="M33" s="6" t="n">
        <v>31070.6</v>
      </c>
      <c r="N33" s="6" t="n">
        <v>21049.9</v>
      </c>
      <c r="O33" s="6" t="n">
        <v>13377</v>
      </c>
      <c r="P33" s="6" t="n">
        <v>8623.799999999999</v>
      </c>
      <c r="Q33" s="6" t="n">
        <v>5001.3</v>
      </c>
      <c r="R33" s="6" t="n">
        <v>2384.2</v>
      </c>
    </row>
    <row r="34">
      <c r="A34" s="5" t="inlineStr">
        <is>
          <t>Total equity</t>
        </is>
      </c>
      <c r="B34" s="5" t="n"/>
      <c r="C34" s="5" t="n">
        <v>305356.2</v>
      </c>
      <c r="D34" s="5" t="n">
        <v>263918.8</v>
      </c>
      <c r="E34" s="5" t="n">
        <v>237583.7</v>
      </c>
      <c r="F34" s="5" t="n">
        <v>202894.4</v>
      </c>
      <c r="G34" s="5" t="n">
        <v>201722.6</v>
      </c>
      <c r="H34" s="5" t="n">
        <v>192407.7</v>
      </c>
      <c r="I34" s="5" t="n">
        <v>176507.1</v>
      </c>
      <c r="J34" s="5" t="n">
        <v>153062.4</v>
      </c>
      <c r="K34" s="5" t="n">
        <v>157001.1</v>
      </c>
      <c r="L34" s="5" t="n">
        <v>128565.1</v>
      </c>
      <c r="M34" s="5" t="n">
        <v>118654.9</v>
      </c>
      <c r="N34" s="5" t="n">
        <v>74509</v>
      </c>
      <c r="O34" s="5" t="n">
        <v>66836.10000000001</v>
      </c>
      <c r="P34" s="5" t="n">
        <v>43624.8</v>
      </c>
      <c r="Q34" s="5" t="n">
        <v>40002.3</v>
      </c>
      <c r="R34" s="5" t="n">
        <v>37385.2</v>
      </c>
    </row>
    <row r="35">
      <c r="A35" s="5" t="inlineStr">
        <is>
          <t>Total liabilities and equity</t>
        </is>
      </c>
      <c r="B35" s="5" t="n"/>
      <c r="C35" s="5" t="n">
        <v>2116703.1</v>
      </c>
      <c r="D35" s="5" t="n">
        <v>2089290.6</v>
      </c>
      <c r="E35" s="5" t="n">
        <v>2591520.9</v>
      </c>
      <c r="F35" s="5" t="n">
        <v>2130359.2</v>
      </c>
      <c r="G35" s="5" t="n">
        <v>1688935.5</v>
      </c>
      <c r="H35" s="5" t="n">
        <v>1280524.6</v>
      </c>
      <c r="I35" s="5" t="n">
        <v>1491256.9</v>
      </c>
      <c r="J35" s="5" t="n">
        <v>1240386.5</v>
      </c>
      <c r="K35" s="5" t="n">
        <v>1072445.7</v>
      </c>
      <c r="L35" s="5" t="n">
        <v>778818.5</v>
      </c>
      <c r="M35" s="5" t="n">
        <v>1025768.3</v>
      </c>
      <c r="N35" s="5" t="n">
        <v>849996.5</v>
      </c>
      <c r="O35" s="5" t="n">
        <v>611063.7</v>
      </c>
      <c r="P35" s="5" t="n">
        <v>497041.9</v>
      </c>
      <c r="Q35" s="5" t="n">
        <v>409845.5</v>
      </c>
      <c r="R35" s="5" t="n">
        <v>430644.9</v>
      </c>
    </row>
    <row r="37" ht="34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1">
    <mergeCell ref="A37:R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c r="C11" s="6" t="n">
        <v>-164.8</v>
      </c>
      <c r="D11" s="6" t="n">
        <v>-1331.6</v>
      </c>
      <c r="E11" s="6" t="n"/>
      <c r="F11" s="6" t="n"/>
      <c r="G11" s="6" t="n"/>
      <c r="H11" s="6" t="n"/>
      <c r="I11" s="6" t="n"/>
      <c r="J11" s="6" t="n"/>
      <c r="K11" s="6" t="n"/>
      <c r="L11" s="6" t="n"/>
      <c r="M11" s="6" t="n"/>
      <c r="N11" s="6" t="n"/>
      <c r="O11" s="6" t="n"/>
      <c r="P11" s="6" t="n"/>
      <c r="Q11" s="6" t="n"/>
      <c r="R11" s="6" t="n"/>
    </row>
    <row r="12">
      <c r="A12" s="6" t="inlineStr">
        <is>
          <t>Net loss on derecognition of financial instruments</t>
        </is>
      </c>
      <c r="B12" s="6" t="n"/>
      <c r="C12" s="6" t="n">
        <v>-5856.7</v>
      </c>
      <c r="D12" s="6" t="n"/>
      <c r="E12" s="6" t="n"/>
      <c r="F12" s="6" t="n"/>
      <c r="G12" s="6" t="n"/>
      <c r="H12" s="6" t="n"/>
      <c r="I12" s="6" t="n"/>
      <c r="J12" s="6" t="n"/>
      <c r="K12" s="6" t="n"/>
      <c r="L12" s="6" t="n"/>
      <c r="M12" s="6" t="n"/>
      <c r="N12" s="6" t="n"/>
      <c r="O12" s="6" t="n"/>
      <c r="P12" s="6" t="n"/>
      <c r="Q12" s="6" t="n"/>
      <c r="R12" s="6" t="n"/>
    </row>
    <row r="13">
      <c r="A13" s="6" t="inlineStr">
        <is>
          <t>Fair value movement on financial derivatives (net)</t>
        </is>
      </c>
      <c r="B13" s="6" t="n"/>
      <c r="C13" s="6" t="n">
        <v>-2705.2</v>
      </c>
      <c r="D13" s="6" t="n">
        <v>121.2</v>
      </c>
      <c r="E13" s="6" t="n">
        <v>-5585.1</v>
      </c>
      <c r="F13" s="6" t="n"/>
      <c r="G13" s="6" t="n"/>
      <c r="H13" s="6" t="n"/>
      <c r="I13" s="6" t="n"/>
      <c r="J13" s="6" t="n"/>
      <c r="K13" s="6" t="n"/>
      <c r="L13" s="6" t="n"/>
      <c r="M13" s="6" t="n"/>
      <c r="N13" s="6" t="n"/>
      <c r="O13" s="6" t="n"/>
      <c r="P13" s="6" t="n"/>
      <c r="Q13" s="6" t="n"/>
      <c r="R13" s="6" t="n"/>
    </row>
    <row r="14">
      <c r="A14" s="6" t="inlineStr">
        <is>
          <t>Exchange differences</t>
        </is>
      </c>
      <c r="B14" s="6" t="n"/>
      <c r="C14" s="6" t="n">
        <v>1929.4</v>
      </c>
      <c r="D14" s="6" t="n">
        <v>-1138.2</v>
      </c>
      <c r="E14" s="6" t="n">
        <v>3526.4</v>
      </c>
      <c r="F14" s="6" t="n"/>
      <c r="G14" s="6" t="n"/>
      <c r="H14" s="6" t="n"/>
      <c r="I14" s="6" t="n"/>
      <c r="J14" s="6" t="n"/>
      <c r="K14" s="6" t="n"/>
      <c r="L14" s="6" t="n"/>
      <c r="M14" s="6" t="n"/>
      <c r="N14" s="6" t="n"/>
      <c r="O14" s="6" t="n"/>
      <c r="P14" s="6" t="n"/>
      <c r="Q14" s="6" t="n"/>
      <c r="R14" s="6" t="n"/>
    </row>
    <row r="15">
      <c r="A15" s="6" t="inlineStr">
        <is>
          <t>Revaluation loss</t>
        </is>
      </c>
      <c r="B15" s="6" t="n"/>
      <c r="C15" s="6" t="n"/>
      <c r="D15" s="6" t="n"/>
      <c r="E15" s="6" t="n"/>
      <c r="F15" s="6" t="n">
        <v>-3130.1</v>
      </c>
      <c r="G15" s="6" t="n">
        <v>-1698.3</v>
      </c>
      <c r="H15" s="6" t="n"/>
      <c r="I15" s="6" t="n"/>
      <c r="J15" s="6" t="n"/>
      <c r="K15" s="6" t="n"/>
      <c r="L15" s="6" t="n"/>
      <c r="M15" s="6" t="n"/>
      <c r="N15" s="6" t="n"/>
      <c r="O15" s="6" t="n"/>
      <c r="P15" s="6" t="n"/>
      <c r="Q15" s="6" t="n"/>
      <c r="R15" s="6" t="n"/>
    </row>
    <row r="16">
      <c r="A16" s="5" t="inlineStr">
        <is>
          <t>Operating income</t>
        </is>
      </c>
      <c r="B16" s="5" t="n"/>
      <c r="C16" s="5" t="n">
        <v>66720.5</v>
      </c>
      <c r="D16" s="5" t="n">
        <v>85377.89999999999</v>
      </c>
      <c r="E16" s="5" t="n">
        <v>62492.6</v>
      </c>
      <c r="F16" s="5" t="n">
        <v>31947.1</v>
      </c>
      <c r="G16" s="5" t="n">
        <v>38550</v>
      </c>
      <c r="H16" s="5" t="n">
        <v>45518.9</v>
      </c>
      <c r="I16" s="5" t="n">
        <v>37242.3</v>
      </c>
      <c r="J16" s="5" t="n">
        <v>31028.1</v>
      </c>
      <c r="K16" s="5" t="n">
        <v>27568.5</v>
      </c>
      <c r="L16" s="5" t="n">
        <v>21146.7</v>
      </c>
      <c r="M16" s="5" t="n">
        <v>20617.5</v>
      </c>
      <c r="N16" s="5" t="n">
        <v>18433.1</v>
      </c>
      <c r="O16" s="5" t="n">
        <v>14445</v>
      </c>
      <c r="P16" s="5" t="n">
        <v>12050.6</v>
      </c>
      <c r="Q16" s="5" t="n">
        <v>9368.6</v>
      </c>
      <c r="R16" s="5" t="n">
        <v>8647.1</v>
      </c>
    </row>
    <row r="17">
      <c r="A17" s="6" t="inlineStr">
        <is>
          <t>Personnel expenses</t>
        </is>
      </c>
      <c r="B17" s="6" t="n"/>
      <c r="C17" s="6" t="n">
        <v>-18578.4</v>
      </c>
      <c r="D17" s="6" t="n">
        <v>-18017.1</v>
      </c>
      <c r="E17" s="6" t="n">
        <v>-13822</v>
      </c>
      <c r="F17" s="6" t="n">
        <v>-12363.2</v>
      </c>
      <c r="G17" s="6" t="n">
        <v>-12869.5</v>
      </c>
      <c r="H17" s="6" t="n">
        <v>-11965.3</v>
      </c>
      <c r="I17" s="6" t="n">
        <v>-10163.3</v>
      </c>
      <c r="J17" s="6" t="n">
        <v>-8615.1</v>
      </c>
      <c r="K17" s="6" t="n">
        <v>-7104.1</v>
      </c>
      <c r="L17" s="6" t="n">
        <v>-7135.6</v>
      </c>
      <c r="M17" s="6" t="n">
        <v>-6205.2</v>
      </c>
      <c r="N17" s="6" t="n">
        <v>-5188.6</v>
      </c>
      <c r="O17" s="6" t="n">
        <v>-4630.8</v>
      </c>
      <c r="P17" s="6" t="n">
        <v>-4336.1</v>
      </c>
      <c r="Q17" s="6" t="n"/>
      <c r="R17" s="6" t="n"/>
    </row>
    <row r="18">
      <c r="A18" s="6" t="inlineStr">
        <is>
          <t>Depreciation and amortisation</t>
        </is>
      </c>
      <c r="B18" s="6" t="n"/>
      <c r="C18" s="6" t="n">
        <v>-1317.6</v>
      </c>
      <c r="D18" s="6" t="n">
        <v>-1306.3</v>
      </c>
      <c r="E18" s="6" t="n">
        <v>-1354.8</v>
      </c>
      <c r="F18" s="6" t="n">
        <v>-1292.2</v>
      </c>
      <c r="G18" s="6" t="n">
        <v>-1662.3</v>
      </c>
      <c r="H18" s="6" t="n">
        <v>-1471.2</v>
      </c>
      <c r="I18" s="6" t="n">
        <v>-781.4</v>
      </c>
      <c r="J18" s="6" t="n">
        <v>-525.7</v>
      </c>
      <c r="K18" s="6" t="n">
        <v>-580.1</v>
      </c>
      <c r="L18" s="6" t="n">
        <v>-705.8</v>
      </c>
      <c r="M18" s="6" t="n">
        <v>-585.2</v>
      </c>
      <c r="N18" s="6" t="n">
        <v>-761.4</v>
      </c>
      <c r="O18" s="6" t="n">
        <v>-584.1</v>
      </c>
      <c r="P18" s="6" t="n"/>
      <c r="Q18" s="6" t="n"/>
      <c r="R18" s="6" t="n"/>
    </row>
    <row r="19">
      <c r="A19" s="6" t="inlineStr">
        <is>
          <t>Other expenses</t>
        </is>
      </c>
      <c r="B19" s="6" t="n"/>
      <c r="C19" s="6" t="n">
        <v>-9248.4</v>
      </c>
      <c r="D19" s="6" t="n">
        <v>-6914.1</v>
      </c>
      <c r="E19" s="6" t="n">
        <v>-6438.3</v>
      </c>
      <c r="F19" s="6" t="n">
        <v>-5691</v>
      </c>
      <c r="G19" s="6" t="n">
        <v>-5866.9</v>
      </c>
      <c r="H19" s="6" t="n">
        <v>-4883.1</v>
      </c>
      <c r="I19" s="6" t="n">
        <v>-4313</v>
      </c>
      <c r="J19" s="6" t="n">
        <v>-4176.6</v>
      </c>
      <c r="K19" s="6" t="n">
        <v>-3998.7</v>
      </c>
      <c r="L19" s="6" t="n">
        <v>-3203.4</v>
      </c>
      <c r="M19" s="6" t="n">
        <v>-2286.2</v>
      </c>
      <c r="N19" s="6" t="n">
        <v>-2423.3</v>
      </c>
      <c r="O19" s="6" t="n">
        <v>-2302</v>
      </c>
      <c r="P19" s="6" t="n">
        <v>-2609.5</v>
      </c>
      <c r="Q19" s="6" t="n">
        <v>-5690.3</v>
      </c>
      <c r="R19" s="6" t="n">
        <v>-5394.8</v>
      </c>
    </row>
    <row r="20">
      <c r="A20" s="5" t="inlineStr">
        <is>
          <t>Operating expenses</t>
        </is>
      </c>
      <c r="B20" s="5" t="n"/>
      <c r="C20" s="5" t="n">
        <v>-29144.4</v>
      </c>
      <c r="D20" s="5" t="n">
        <v>-26237.5</v>
      </c>
      <c r="E20" s="5" t="n">
        <v>-21615.1</v>
      </c>
      <c r="F20" s="5" t="n">
        <v>-19346.4</v>
      </c>
      <c r="G20" s="5" t="n">
        <v>-20398.7</v>
      </c>
      <c r="H20" s="5" t="n">
        <v>-18319.5</v>
      </c>
      <c r="I20" s="5" t="n">
        <v>-15257.7</v>
      </c>
      <c r="J20" s="5" t="n">
        <v>-13317.5</v>
      </c>
      <c r="K20" s="5" t="n">
        <v>-11683</v>
      </c>
      <c r="L20" s="5" t="n">
        <v>-11044.7</v>
      </c>
      <c r="M20" s="5" t="n">
        <v>-9076.6</v>
      </c>
      <c r="N20" s="5" t="n">
        <v>-8373.299999999999</v>
      </c>
      <c r="O20" s="5" t="n">
        <v>-7516.9</v>
      </c>
      <c r="P20" s="5" t="n">
        <v>-6945.6</v>
      </c>
      <c r="Q20" s="5" t="n">
        <v>-5690.3</v>
      </c>
      <c r="R20" s="5" t="n">
        <v>-5394.8</v>
      </c>
    </row>
    <row r="21">
      <c r="A21" s="5" t="inlineStr">
        <is>
          <t>Operating profit before impairment provision and taxation</t>
        </is>
      </c>
      <c r="B21" s="5" t="n"/>
      <c r="C21" s="5" t="n">
        <v>37576.1</v>
      </c>
      <c r="D21" s="5" t="n">
        <v>59140.4</v>
      </c>
      <c r="E21" s="5" t="n">
        <v>40877.5</v>
      </c>
      <c r="F21" s="5" t="n">
        <v>12600.7</v>
      </c>
      <c r="G21" s="5" t="n">
        <v>18151.3</v>
      </c>
      <c r="H21" s="5" t="n">
        <v>27199.3</v>
      </c>
      <c r="I21" s="5" t="n">
        <v>21984.6</v>
      </c>
      <c r="J21" s="5" t="n">
        <v>17710.6</v>
      </c>
      <c r="K21" s="5" t="n">
        <v>15885.6</v>
      </c>
      <c r="L21" s="5" t="n">
        <v>10102</v>
      </c>
      <c r="M21" s="5" t="n">
        <v>11540.9</v>
      </c>
      <c r="N21" s="5" t="n">
        <v>10059.7</v>
      </c>
      <c r="O21" s="5" t="n">
        <v>6928.1</v>
      </c>
      <c r="P21" s="5" t="n">
        <v>5105</v>
      </c>
      <c r="Q21" s="5" t="n">
        <v>3678.2</v>
      </c>
      <c r="R21" s="5" t="n">
        <v>3252.3</v>
      </c>
    </row>
    <row r="22">
      <c r="A22" s="6" t="inlineStr">
        <is>
          <t>Net impairment credit/(charge) on financial assets</t>
        </is>
      </c>
      <c r="B22" s="6" t="n"/>
      <c r="C22" s="6" t="n">
        <v>6434.9</v>
      </c>
      <c r="D22" s="6" t="n">
        <v>-619.9</v>
      </c>
      <c r="E22" s="6" t="n">
        <v>-4262.4</v>
      </c>
      <c r="F22" s="6" t="n">
        <v>-2684.9</v>
      </c>
      <c r="G22" s="6" t="n">
        <v>-1088.6</v>
      </c>
      <c r="H22" s="6" t="n">
        <v>18.4</v>
      </c>
      <c r="I22" s="6" t="n">
        <v>3391.4</v>
      </c>
      <c r="J22" s="6" t="n">
        <v>-5279</v>
      </c>
      <c r="K22" s="6" t="n">
        <v>-13345.8</v>
      </c>
      <c r="L22" s="6" t="n">
        <v>-5456.5</v>
      </c>
      <c r="M22" s="6" t="n">
        <v>0</v>
      </c>
      <c r="N22" s="6" t="n"/>
      <c r="O22" s="6" t="n"/>
      <c r="P22" s="6" t="n"/>
      <c r="Q22" s="6" t="n"/>
      <c r="R22" s="6" t="n"/>
    </row>
    <row r="23">
      <c r="A23" s="5" t="inlineStr">
        <is>
          <t>Profit before tax</t>
        </is>
      </c>
      <c r="B23" s="5" t="n"/>
      <c r="C23" s="5" t="n">
        <v>44011</v>
      </c>
      <c r="D23" s="5" t="n">
        <v>58520.5</v>
      </c>
      <c r="E23" s="5" t="n">
        <v>36615</v>
      </c>
      <c r="F23" s="5" t="n">
        <v>9915.799999999999</v>
      </c>
      <c r="G23" s="5" t="n">
        <v>17062.6</v>
      </c>
      <c r="H23" s="5" t="n">
        <v>27217.8</v>
      </c>
      <c r="I23" s="5" t="n">
        <v>25376.1</v>
      </c>
      <c r="J23" s="5" t="n">
        <v>12431.7</v>
      </c>
      <c r="K23" s="5" t="n">
        <v>2539.8</v>
      </c>
      <c r="L23" s="5" t="n">
        <v>4645.5</v>
      </c>
      <c r="M23" s="5" t="n">
        <v>11540.9</v>
      </c>
      <c r="N23" s="5" t="n">
        <v>10059.7</v>
      </c>
      <c r="O23" s="5" t="n">
        <v>6928.1</v>
      </c>
      <c r="P23" s="5" t="n">
        <v>5105</v>
      </c>
      <c r="Q23" s="5" t="n">
        <v>3678.2</v>
      </c>
      <c r="R23" s="5" t="n">
        <v>3252.3</v>
      </c>
    </row>
    <row r="24">
      <c r="A24" s="6" t="inlineStr">
        <is>
          <t>Income tax expense</t>
        </is>
      </c>
      <c r="B24" s="6" t="n"/>
      <c r="C24" s="6" t="n">
        <v>-10977.6</v>
      </c>
      <c r="D24" s="6" t="n">
        <v>-14435.4</v>
      </c>
      <c r="E24" s="6" t="n">
        <v>-8140.1</v>
      </c>
      <c r="F24" s="6" t="n">
        <v>-1623.1</v>
      </c>
      <c r="G24" s="6" t="n">
        <v>-3096.7</v>
      </c>
      <c r="H24" s="6" t="n">
        <v>-5323.4</v>
      </c>
      <c r="I24" s="6" t="n">
        <v>-4746.3</v>
      </c>
      <c r="J24" s="6" t="n">
        <v>-1848.6</v>
      </c>
      <c r="K24" s="6" t="n">
        <v>-584.1</v>
      </c>
      <c r="L24" s="6" t="n">
        <v>-1161.4</v>
      </c>
      <c r="M24" s="6" t="n">
        <v>-2798.7</v>
      </c>
      <c r="N24" s="6" t="n">
        <v>-2386.8</v>
      </c>
      <c r="O24" s="6" t="n">
        <v>-1696.1</v>
      </c>
      <c r="P24" s="6" t="n">
        <v>-1482.5</v>
      </c>
      <c r="Q24" s="6" t="n">
        <v>-1061.1</v>
      </c>
      <c r="R24" s="6" t="n">
        <v>-910.7</v>
      </c>
    </row>
    <row r="25">
      <c r="A25" s="5" t="inlineStr">
        <is>
          <t>Profit for the year</t>
        </is>
      </c>
      <c r="B25" s="5" t="n"/>
      <c r="C25" s="5" t="n">
        <v>33033.4</v>
      </c>
      <c r="D25" s="5" t="n">
        <v>44085.1</v>
      </c>
      <c r="E25" s="5" t="n">
        <v>28474.9</v>
      </c>
      <c r="F25" s="5" t="n">
        <v>8292.700000000001</v>
      </c>
      <c r="G25" s="5" t="n">
        <v>13966</v>
      </c>
      <c r="H25" s="5" t="n">
        <v>21894.4</v>
      </c>
      <c r="I25" s="5" t="n">
        <v>20629.7</v>
      </c>
      <c r="J25" s="5" t="n">
        <v>10583.1</v>
      </c>
      <c r="K25" s="5" t="n">
        <v>1955.6</v>
      </c>
      <c r="L25" s="5" t="n">
        <v>3484.1</v>
      </c>
      <c r="M25" s="5" t="n">
        <v>8742.299999999999</v>
      </c>
      <c r="N25" s="5" t="n">
        <v>7672.9</v>
      </c>
      <c r="O25" s="5" t="n">
        <v>5232</v>
      </c>
      <c r="P25" s="5" t="n">
        <v>3622.5</v>
      </c>
      <c r="Q25" s="5" t="n">
        <v>2617.2</v>
      </c>
      <c r="R25" s="5" t="n">
        <v>2341.7</v>
      </c>
    </row>
    <row r="26">
      <c r="A26" s="5" t="inlineStr">
        <is>
          <t>Other comprehensive income</t>
        </is>
      </c>
      <c r="B26" s="6" t="n"/>
      <c r="C26" s="6" t="n"/>
      <c r="D26" s="6" t="n"/>
      <c r="E26" s="6" t="n"/>
      <c r="F26" s="6" t="n"/>
      <c r="G26" s="6" t="n"/>
      <c r="H26" s="6" t="n"/>
      <c r="I26" s="6" t="n"/>
      <c r="J26" s="6" t="n"/>
      <c r="K26" s="6" t="n"/>
      <c r="L26" s="6" t="n"/>
      <c r="M26" s="6" t="n"/>
      <c r="N26" s="6" t="n"/>
      <c r="O26" s="6" t="n"/>
      <c r="P26" s="6" t="n"/>
      <c r="Q26" s="6" t="n"/>
      <c r="R26" s="6" t="n"/>
    </row>
    <row r="27">
      <c r="A27" s="6" t="inlineStr">
        <is>
          <t>Net change in fair value of debt instruments at FVOCI</t>
        </is>
      </c>
      <c r="B27" s="6" t="n"/>
      <c r="C27" s="6" t="n">
        <v>4392.4</v>
      </c>
      <c r="D27" s="6" t="n">
        <v>11073.3</v>
      </c>
      <c r="E27" s="6" t="n">
        <v>-18210.2</v>
      </c>
      <c r="F27" s="6" t="n">
        <v>-2769.3</v>
      </c>
      <c r="G27" s="6" t="n">
        <v>4207.8</v>
      </c>
      <c r="H27" s="6" t="n">
        <v>1067.8</v>
      </c>
      <c r="I27" s="6" t="n">
        <v>-90.2</v>
      </c>
      <c r="J27" s="6" t="n"/>
      <c r="K27" s="6" t="n"/>
      <c r="L27" s="6" t="n"/>
      <c r="M27" s="6" t="n"/>
      <c r="N27" s="6" t="n"/>
      <c r="O27" s="6" t="n"/>
      <c r="P27" s="6" t="n"/>
      <c r="Q27" s="6" t="n"/>
      <c r="R27" s="6" t="n"/>
    </row>
    <row r="28">
      <c r="A28" s="6" t="inlineStr">
        <is>
          <t>Net change in fair value of debt instruments reclassified to profit or loss</t>
        </is>
      </c>
      <c r="B28" s="6" t="n"/>
      <c r="C28" s="6" t="n">
        <v>164.8</v>
      </c>
      <c r="D28" s="6" t="n">
        <v>1331.6</v>
      </c>
      <c r="E28" s="6" t="n">
        <v>-40.8</v>
      </c>
      <c r="F28" s="6" t="n">
        <v>-435.1</v>
      </c>
      <c r="G28" s="6" t="n">
        <v>-828.9</v>
      </c>
      <c r="H28" s="6" t="n">
        <v>-274.2</v>
      </c>
      <c r="I28" s="6" t="n"/>
      <c r="J28" s="6" t="n"/>
      <c r="K28" s="6" t="n"/>
      <c r="L28" s="6" t="n"/>
      <c r="M28" s="6" t="n"/>
      <c r="N28" s="6" t="n"/>
      <c r="O28" s="6" t="n"/>
      <c r="P28" s="6" t="n"/>
      <c r="Q28" s="6" t="n"/>
      <c r="R28" s="6" t="n"/>
    </row>
    <row r="29">
      <c r="A29" s="6" t="inlineStr">
        <is>
          <t>Expected credit loss reversals/(gains) recognised in income statement</t>
        </is>
      </c>
      <c r="B29" s="6" t="n"/>
      <c r="C29" s="6" t="n">
        <v>-360</v>
      </c>
      <c r="D29" s="6" t="n">
        <v>-155.8</v>
      </c>
      <c r="E29" s="6" t="n"/>
      <c r="F29" s="6" t="n"/>
      <c r="G29" s="6" t="n"/>
      <c r="H29" s="6" t="n"/>
      <c r="I29" s="6" t="n"/>
      <c r="J29" s="6" t="n"/>
      <c r="K29" s="6" t="n"/>
      <c r="L29" s="6" t="n"/>
      <c r="M29" s="6" t="n"/>
      <c r="N29" s="6" t="n"/>
      <c r="O29" s="6" t="n"/>
      <c r="P29" s="6" t="n"/>
      <c r="Q29" s="6" t="n"/>
      <c r="R29" s="6" t="n"/>
    </row>
    <row r="30">
      <c r="A30" s="6" t="inlineStr">
        <is>
          <t>Income tax on items reclassified subsequently to profit or loss</t>
        </is>
      </c>
      <c r="B30" s="6" t="n"/>
      <c r="C30" s="6" t="n">
        <v>-1139.3</v>
      </c>
      <c r="D30" s="6" t="n">
        <v>-3101.2</v>
      </c>
      <c r="E30" s="6" t="n">
        <v>4961</v>
      </c>
      <c r="F30" s="6" t="n">
        <v>522.5</v>
      </c>
      <c r="G30" s="6" t="n">
        <v>-656.6</v>
      </c>
      <c r="H30" s="6" t="n">
        <v>-134.9</v>
      </c>
      <c r="I30" s="6" t="n">
        <v>15.3</v>
      </c>
      <c r="J30" s="6" t="n"/>
      <c r="K30" s="6" t="n"/>
      <c r="L30" s="6" t="n"/>
      <c r="M30" s="6" t="n"/>
      <c r="N30" s="6" t="n"/>
      <c r="O30" s="6" t="n"/>
      <c r="P30" s="6" t="n"/>
      <c r="Q30" s="6" t="n"/>
      <c r="R30" s="6" t="n"/>
    </row>
    <row r="31">
      <c r="A31" s="6" t="inlineStr">
        <is>
          <t>Currency translation reserve arising from change of functional and presentation currency</t>
        </is>
      </c>
      <c r="B31" s="6" t="n"/>
      <c r="C31" s="6" t="n"/>
      <c r="D31" s="6" t="n"/>
      <c r="E31" s="6" t="n"/>
      <c r="F31" s="6" t="n"/>
      <c r="G31" s="6" t="n"/>
      <c r="H31" s="6" t="n"/>
      <c r="I31" s="6" t="n"/>
      <c r="J31" s="6" t="n"/>
      <c r="K31" s="6" t="n"/>
      <c r="L31" s="6" t="n"/>
      <c r="M31" s="6" t="n">
        <v>-1352.9</v>
      </c>
      <c r="N31" s="6" t="n"/>
      <c r="O31" s="6" t="n"/>
      <c r="P31" s="6" t="n"/>
      <c r="Q31" s="6" t="n"/>
      <c r="R31" s="6" t="n"/>
    </row>
    <row r="32">
      <c r="A32" s="5" t="inlineStr">
        <is>
          <t>Other comprehensive income for the year (net of tax)</t>
        </is>
      </c>
      <c r="B32" s="5" t="n"/>
      <c r="C32" s="5" t="n">
        <v>3057.9</v>
      </c>
      <c r="D32" s="5" t="n">
        <v>9147.799999999999</v>
      </c>
      <c r="E32" s="5" t="n">
        <v>-13290.1</v>
      </c>
      <c r="F32" s="5" t="n">
        <v>-2681.9</v>
      </c>
      <c r="G32" s="5" t="n">
        <v>2722.3</v>
      </c>
      <c r="H32" s="5" t="n">
        <v>658.7</v>
      </c>
      <c r="I32" s="5" t="n">
        <v>-74.8</v>
      </c>
      <c r="J32" s="5" t="n">
        <v>0</v>
      </c>
      <c r="K32" s="5" t="n">
        <v>0</v>
      </c>
      <c r="L32" s="5" t="n">
        <v>0</v>
      </c>
      <c r="M32" s="5" t="n">
        <v>-1352.9</v>
      </c>
      <c r="N32" s="5" t="n">
        <v>0</v>
      </c>
      <c r="O32" s="5" t="n">
        <v>0</v>
      </c>
      <c r="P32" s="5" t="n">
        <v>0</v>
      </c>
      <c r="Q32" s="5" t="n">
        <v>0</v>
      </c>
      <c r="R32" s="5" t="n">
        <v>0</v>
      </c>
    </row>
    <row r="33">
      <c r="A33" s="5" t="inlineStr">
        <is>
          <t>Total comprehensive income for the year</t>
        </is>
      </c>
      <c r="B33" s="5" t="n"/>
      <c r="C33" s="5" t="n">
        <v>36091.3</v>
      </c>
      <c r="D33" s="5" t="n">
        <v>53232.9</v>
      </c>
      <c r="E33" s="5" t="n">
        <v>15184.8</v>
      </c>
      <c r="F33" s="5" t="n">
        <v>5610.8</v>
      </c>
      <c r="G33" s="5" t="n">
        <v>16688.2</v>
      </c>
      <c r="H33" s="5" t="n">
        <v>22553.1</v>
      </c>
      <c r="I33" s="5" t="n">
        <v>20554.9</v>
      </c>
      <c r="J33" s="5" t="n">
        <v>10583.1</v>
      </c>
      <c r="K33" s="5" t="n">
        <v>1955.6</v>
      </c>
      <c r="L33" s="5" t="n">
        <v>3484.1</v>
      </c>
      <c r="M33" s="5" t="n">
        <v>7389.3</v>
      </c>
      <c r="N33" s="5" t="n">
        <v>7672.9</v>
      </c>
      <c r="O33" s="5" t="n">
        <v>5232</v>
      </c>
      <c r="P33" s="5" t="n">
        <v>3622.5</v>
      </c>
      <c r="Q33" s="5" t="n">
        <v>2617.2</v>
      </c>
      <c r="R33" s="5" t="n">
        <v>2341.7</v>
      </c>
    </row>
    <row r="35" ht="420" customHeight="1">
      <c r="A35"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1">
    <mergeCell ref="A35:R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2024. No FY2009-FY2011 movement shown (no Statement of Changes in Equity disclosed those years - see HD-073 extension note). No FY2025 movement shown (no FY2025 Annual Report yet).</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50" ht="460" customHeight="1">
      <c r="A50" s="8" t="inlineStr">
        <is>
          <t>Sources - Zenith Bank (UK) Limited's own Statement of Changes in Equity (converted from USD to £, see FX conversion note below):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50:F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row>
    <row r="5">
      <c r="A5" s="6" t="inlineStr">
        <is>
          <t>Profit for the year</t>
        </is>
      </c>
      <c r="B5" s="6" t="n"/>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c r="P5" s="6" t="n"/>
      <c r="Q5" s="6" t="n"/>
      <c r="R5" s="6" t="n"/>
    </row>
    <row r="6">
      <c r="A6" s="6" t="inlineStr">
        <is>
          <t>Impairment provision charge/(reversal)</t>
        </is>
      </c>
      <c r="B6" s="6" t="n"/>
      <c r="C6" s="6" t="n">
        <v>-6434.9</v>
      </c>
      <c r="D6" s="6" t="n">
        <v>619.9</v>
      </c>
      <c r="E6" s="6" t="n">
        <v>4262.4</v>
      </c>
      <c r="F6" s="6" t="n">
        <v>2684.9</v>
      </c>
      <c r="G6" s="6" t="n">
        <v>1088.6</v>
      </c>
      <c r="H6" s="6" t="n">
        <v>-18.4</v>
      </c>
      <c r="I6" s="6" t="n">
        <v>-3391.4</v>
      </c>
      <c r="J6" s="6" t="n">
        <v>5279</v>
      </c>
      <c r="K6" s="6" t="n">
        <v>13345.8</v>
      </c>
      <c r="L6" s="6" t="n">
        <v>5456.5</v>
      </c>
      <c r="M6" s="6" t="n"/>
      <c r="N6" s="6" t="n"/>
      <c r="O6" s="6" t="n"/>
      <c r="P6" s="6" t="n"/>
      <c r="Q6" s="6" t="n"/>
      <c r="R6" s="6" t="n"/>
    </row>
    <row r="7">
      <c r="A7" s="6" t="inlineStr">
        <is>
          <t>Depreciation of property and equipment</t>
        </is>
      </c>
      <c r="B7" s="6" t="n"/>
      <c r="C7" s="6" t="n">
        <v>926.7</v>
      </c>
      <c r="D7" s="6" t="n">
        <v>864</v>
      </c>
      <c r="E7" s="6" t="n">
        <v>914.9</v>
      </c>
      <c r="F7" s="6" t="n">
        <v>810.8</v>
      </c>
      <c r="G7" s="6" t="n">
        <v>876.4</v>
      </c>
      <c r="H7" s="6" t="n">
        <v>724.7</v>
      </c>
      <c r="I7" s="6" t="n">
        <v>169.6</v>
      </c>
      <c r="J7" s="6" t="n">
        <v>154.4</v>
      </c>
      <c r="K7" s="6" t="n">
        <v>191.8</v>
      </c>
      <c r="L7" s="6" t="n">
        <v>291.7</v>
      </c>
      <c r="M7" s="6" t="n">
        <v>239.1</v>
      </c>
      <c r="N7" s="6" t="n">
        <v>413.8</v>
      </c>
      <c r="O7" s="6" t="n">
        <v>255.3</v>
      </c>
      <c r="P7" s="6" t="n"/>
      <c r="Q7" s="6" t="n"/>
      <c r="R7" s="6" t="n"/>
    </row>
    <row r="8">
      <c r="A8" s="6" t="inlineStr">
        <is>
          <t>Amortisation of intangible assets</t>
        </is>
      </c>
      <c r="B8" s="6" t="n"/>
      <c r="C8" s="6" t="n">
        <v>390.8</v>
      </c>
      <c r="D8" s="6" t="n">
        <v>442.3</v>
      </c>
      <c r="E8" s="6" t="n">
        <v>439.9</v>
      </c>
      <c r="F8" s="6" t="n">
        <v>481.5</v>
      </c>
      <c r="G8" s="6" t="n">
        <v>785.9</v>
      </c>
      <c r="H8" s="6" t="n">
        <v>746.4</v>
      </c>
      <c r="I8" s="6" t="n">
        <v>611.8</v>
      </c>
      <c r="J8" s="6" t="n">
        <v>371.3</v>
      </c>
      <c r="K8" s="6" t="n">
        <v>388.3</v>
      </c>
      <c r="L8" s="6" t="n">
        <v>414.1</v>
      </c>
      <c r="M8" s="6" t="n">
        <v>346.1</v>
      </c>
      <c r="N8" s="6" t="n">
        <v>347.6</v>
      </c>
      <c r="O8" s="6" t="n">
        <v>328.7</v>
      </c>
      <c r="P8" s="6" t="n"/>
      <c r="Q8" s="6" t="n"/>
      <c r="R8" s="6" t="n"/>
    </row>
    <row r="9">
      <c r="A9" s="6" t="inlineStr">
        <is>
          <t>Interest expense on Right-of-use lease obligations</t>
        </is>
      </c>
      <c r="B9" s="6" t="n"/>
      <c r="C9" s="6" t="n">
        <v>271.3</v>
      </c>
      <c r="D9" s="6" t="n">
        <v>14.7</v>
      </c>
      <c r="E9" s="6" t="n"/>
      <c r="F9" s="6" t="n">
        <v>35.8</v>
      </c>
      <c r="G9" s="6" t="n">
        <v>31</v>
      </c>
      <c r="H9" s="6" t="n"/>
      <c r="I9" s="6" t="n"/>
      <c r="J9" s="6" t="n"/>
      <c r="K9" s="6" t="n"/>
      <c r="L9" s="6" t="n"/>
      <c r="M9" s="6" t="n"/>
      <c r="N9" s="6" t="n"/>
      <c r="O9" s="6" t="n"/>
      <c r="P9" s="6" t="n"/>
      <c r="Q9" s="6" t="n"/>
      <c r="R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c r="P10" s="6" t="n"/>
      <c r="Q10" s="6" t="n"/>
      <c r="R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c r="P11" s="6" t="n"/>
      <c r="Q11" s="6" t="n"/>
      <c r="R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c r="P12" s="6" t="n"/>
      <c r="Q12" s="6" t="n"/>
      <c r="R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c r="P13" s="6" t="n"/>
      <c r="Q13" s="6" t="n"/>
      <c r="R13" s="6" t="n"/>
    </row>
    <row r="14">
      <c r="A14" s="6" t="inlineStr">
        <is>
          <t>Recoveries of bad debts written off</t>
        </is>
      </c>
      <c r="B14" s="6" t="n"/>
      <c r="C14" s="6" t="n"/>
      <c r="D14" s="6" t="n"/>
      <c r="E14" s="6" t="n">
        <v>-55.9</v>
      </c>
      <c r="F14" s="6" t="n"/>
      <c r="G14" s="6" t="n"/>
      <c r="H14" s="6" t="n"/>
      <c r="I14" s="6" t="n"/>
      <c r="J14" s="6" t="n"/>
      <c r="K14" s="6" t="n"/>
      <c r="L14" s="6" t="n"/>
      <c r="M14" s="6" t="n"/>
      <c r="N14" s="6" t="n"/>
      <c r="O14" s="6" t="n"/>
      <c r="P14" s="6" t="n"/>
      <c r="Q14" s="6" t="n"/>
      <c r="R14" s="6" t="n"/>
    </row>
    <row r="15">
      <c r="A15" s="6" t="inlineStr">
        <is>
          <t>Current income tax expense</t>
        </is>
      </c>
      <c r="B15" s="6" t="n"/>
      <c r="C15" s="6" t="n">
        <v>10603.7</v>
      </c>
      <c r="D15" s="6" t="n">
        <v>14265.6</v>
      </c>
      <c r="E15" s="6" t="n">
        <v>7636.1</v>
      </c>
      <c r="F15" s="6" t="n">
        <v>1623.1</v>
      </c>
      <c r="G15" s="6" t="n"/>
      <c r="H15" s="6" t="n"/>
      <c r="I15" s="6" t="n"/>
      <c r="J15" s="6" t="n"/>
      <c r="K15" s="6" t="n"/>
      <c r="L15" s="6" t="n"/>
      <c r="M15" s="6" t="n"/>
      <c r="N15" s="6" t="n"/>
      <c r="O15" s="6" t="n"/>
      <c r="P15" s="6" t="n"/>
      <c r="Q15" s="6" t="n"/>
      <c r="R15" s="6" t="n"/>
    </row>
    <row r="16">
      <c r="A16" s="6" t="inlineStr">
        <is>
          <t>Deferred income tax expense</t>
        </is>
      </c>
      <c r="B16" s="6" t="n"/>
      <c r="C16" s="6" t="n">
        <v>373.9</v>
      </c>
      <c r="D16" s="6" t="n">
        <v>169.8</v>
      </c>
      <c r="E16" s="6" t="n">
        <v>194</v>
      </c>
      <c r="F16" s="6" t="n"/>
      <c r="G16" s="6" t="n"/>
      <c r="H16" s="6" t="n"/>
      <c r="I16" s="6" t="n"/>
      <c r="J16" s="6" t="n"/>
      <c r="K16" s="6" t="n"/>
      <c r="L16" s="6" t="n"/>
      <c r="M16" s="6" t="n"/>
      <c r="N16" s="6" t="n"/>
      <c r="O16" s="6" t="n"/>
      <c r="P16" s="6" t="n"/>
      <c r="Q16" s="6" t="n"/>
      <c r="R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c r="P17" s="6" t="n"/>
      <c r="Q17" s="6" t="n"/>
      <c r="R17" s="6" t="n"/>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c r="P18" s="6" t="n"/>
      <c r="Q18" s="6" t="n"/>
      <c r="R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c r="P19" s="6" t="n"/>
      <c r="Q19" s="6" t="n"/>
      <c r="R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c r="P20" s="6" t="n"/>
      <c r="Q20" s="6" t="n"/>
      <c r="R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c r="P21" s="6" t="n"/>
      <c r="Q21" s="6" t="n"/>
      <c r="R21" s="6" t="n"/>
    </row>
    <row r="22">
      <c r="A22" s="6" t="inlineStr">
        <is>
          <t>Deferred tax asset write-off (legacy)</t>
        </is>
      </c>
      <c r="B22" s="6" t="n"/>
      <c r="C22" s="6" t="n"/>
      <c r="D22" s="6" t="n">
        <v>1</v>
      </c>
      <c r="E22" s="6" t="n"/>
      <c r="F22" s="6" t="n"/>
      <c r="G22" s="6" t="n"/>
      <c r="H22" s="6" t="n"/>
      <c r="I22" s="6" t="n"/>
      <c r="J22" s="6" t="n"/>
      <c r="K22" s="6" t="n"/>
      <c r="L22" s="6" t="n"/>
      <c r="M22" s="6" t="n"/>
      <c r="N22" s="6" t="n"/>
      <c r="O22" s="6" t="n"/>
      <c r="P22" s="6" t="n"/>
      <c r="Q22" s="6" t="n"/>
      <c r="R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c r="P23" s="6" t="n"/>
      <c r="Q23" s="6" t="n"/>
      <c r="R23" s="6" t="n"/>
    </row>
    <row r="24">
      <c r="A24" s="6" t="inlineStr">
        <is>
          <t>Interest income</t>
        </is>
      </c>
      <c r="B24" s="6" t="n"/>
      <c r="C24" s="6" t="n">
        <v>-117726.2</v>
      </c>
      <c r="D24" s="6" t="n">
        <v>-118993.4</v>
      </c>
      <c r="E24" s="6" t="n">
        <v>-63895.8</v>
      </c>
      <c r="F24" s="6" t="n"/>
      <c r="G24" s="6" t="n"/>
      <c r="H24" s="6" t="n"/>
      <c r="I24" s="6" t="n"/>
      <c r="J24" s="6" t="n"/>
      <c r="K24" s="6" t="n"/>
      <c r="L24" s="6" t="n"/>
      <c r="M24" s="6" t="n"/>
      <c r="N24" s="6" t="n"/>
      <c r="O24" s="6" t="n"/>
      <c r="P24" s="6" t="n"/>
      <c r="Q24" s="6" t="n"/>
      <c r="R24" s="6" t="n"/>
    </row>
    <row r="25">
      <c r="A25" s="6" t="inlineStr">
        <is>
          <t>Interest expense</t>
        </is>
      </c>
      <c r="B25" s="6" t="n"/>
      <c r="C25" s="6" t="n">
        <v>54600</v>
      </c>
      <c r="D25" s="6" t="n">
        <v>41618.2</v>
      </c>
      <c r="E25" s="6" t="n">
        <v>12130.6</v>
      </c>
      <c r="F25" s="6" t="n"/>
      <c r="G25" s="6" t="n"/>
      <c r="H25" s="6" t="n"/>
      <c r="I25" s="6" t="n"/>
      <c r="J25" s="6" t="n"/>
      <c r="K25" s="6" t="n"/>
      <c r="L25" s="6" t="n"/>
      <c r="M25" s="6" t="n"/>
      <c r="N25" s="6" t="n"/>
      <c r="O25" s="6" t="n"/>
      <c r="P25" s="6" t="n"/>
      <c r="Q25" s="6" t="n"/>
      <c r="R25" s="6" t="n"/>
    </row>
    <row r="26">
      <c r="A26" s="6" t="inlineStr">
        <is>
          <t>Fair value movement on securities measured at FVTPL</t>
        </is>
      </c>
      <c r="B26" s="6" t="n"/>
      <c r="C26" s="6" t="n">
        <v>54.1</v>
      </c>
      <c r="D26" s="6" t="n"/>
      <c r="E26" s="6" t="n"/>
      <c r="F26" s="6" t="n"/>
      <c r="G26" s="6" t="n"/>
      <c r="H26" s="6" t="n"/>
      <c r="I26" s="6" t="n"/>
      <c r="J26" s="6" t="n"/>
      <c r="K26" s="6" t="n"/>
      <c r="L26" s="6" t="n"/>
      <c r="M26" s="6" t="n"/>
      <c r="N26" s="6" t="n"/>
      <c r="O26" s="6" t="n"/>
      <c r="P26" s="6" t="n"/>
      <c r="Q26" s="6" t="n"/>
      <c r="R26" s="6" t="n"/>
    </row>
    <row r="27">
      <c r="A27" s="6" t="inlineStr">
        <is>
          <t>Fair value movement on derivative contracts</t>
        </is>
      </c>
      <c r="B27" s="6" t="n"/>
      <c r="C27" s="6" t="n">
        <v>2705.2</v>
      </c>
      <c r="D27" s="6" t="n"/>
      <c r="E27" s="6" t="n"/>
      <c r="F27" s="6" t="n"/>
      <c r="G27" s="6" t="n"/>
      <c r="H27" s="6" t="n"/>
      <c r="I27" s="6" t="n"/>
      <c r="J27" s="6" t="n"/>
      <c r="K27" s="6" t="n"/>
      <c r="L27" s="6" t="n"/>
      <c r="M27" s="6" t="n"/>
      <c r="N27" s="6" t="n"/>
      <c r="O27" s="6" t="n"/>
      <c r="P27" s="6" t="n"/>
      <c r="Q27" s="6" t="n"/>
      <c r="R27" s="6" t="n"/>
    </row>
    <row r="28">
      <c r="A28" s="6" t="inlineStr">
        <is>
          <t>Unrealised foreign exchange (gains)/losses</t>
        </is>
      </c>
      <c r="B28" s="6" t="n"/>
      <c r="C28" s="6" t="n">
        <v>-1929.4</v>
      </c>
      <c r="D28" s="6" t="n"/>
      <c r="E28" s="6" t="n"/>
      <c r="F28" s="6" t="n"/>
      <c r="G28" s="6" t="n"/>
      <c r="H28" s="6" t="n"/>
      <c r="I28" s="6" t="n"/>
      <c r="J28" s="6" t="n"/>
      <c r="K28" s="6" t="n"/>
      <c r="L28" s="6" t="n"/>
      <c r="M28" s="6" t="n"/>
      <c r="N28" s="6" t="n"/>
      <c r="O28" s="6" t="n"/>
      <c r="P28" s="6" t="n"/>
      <c r="Q28" s="6" t="n"/>
      <c r="R28" s="6" t="n"/>
    </row>
    <row r="29">
      <c r="A29" s="6" t="inlineStr">
        <is>
          <t>Loss on derecognition of assets</t>
        </is>
      </c>
      <c r="B29" s="6" t="n"/>
      <c r="C29" s="6" t="n">
        <v>5856.7</v>
      </c>
      <c r="D29" s="6" t="n"/>
      <c r="E29" s="6" t="n"/>
      <c r="F29" s="6" t="n"/>
      <c r="G29" s="6" t="n"/>
      <c r="H29" s="6" t="n"/>
      <c r="I29" s="6" t="n"/>
      <c r="J29" s="6" t="n"/>
      <c r="K29" s="6" t="n"/>
      <c r="L29" s="6" t="n"/>
      <c r="M29" s="6" t="n"/>
      <c r="N29" s="6" t="n"/>
      <c r="O29" s="6" t="n"/>
      <c r="P29" s="6" t="n"/>
      <c r="Q29" s="6" t="n"/>
      <c r="R29" s="6" t="n"/>
    </row>
    <row r="30">
      <c r="A30" s="6" t="inlineStr">
        <is>
          <t>Decrease/(Increase) in loans and advances to banks</t>
        </is>
      </c>
      <c r="B30" s="6" t="n"/>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c r="P30" s="6" t="n"/>
      <c r="Q30" s="6" t="n"/>
      <c r="R30" s="6" t="n"/>
    </row>
    <row r="31">
      <c r="A31" s="6" t="inlineStr">
        <is>
          <t>(Increase)/Decrease in loans and advances to customers</t>
        </is>
      </c>
      <c r="B31" s="6" t="n"/>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c r="P31" s="6" t="n"/>
      <c r="Q31" s="6" t="n"/>
      <c r="R31" s="6" t="n"/>
    </row>
    <row r="32">
      <c r="A32" s="6" t="inlineStr">
        <is>
          <t>(Increase)/Decrease in securities measured at fair value through profit or loss</t>
        </is>
      </c>
      <c r="B32" s="6" t="n"/>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c r="P32" s="6" t="n"/>
      <c r="Q32" s="6" t="n"/>
      <c r="R32" s="6" t="n"/>
    </row>
    <row r="33">
      <c r="A33" s="6" t="inlineStr">
        <is>
          <t>Decrease/(Increase) in securities measured at FVOCI</t>
        </is>
      </c>
      <c r="B33" s="6" t="n"/>
      <c r="C33" s="6" t="n">
        <v>246077.5</v>
      </c>
      <c r="D33" s="6" t="n">
        <v>125305.6</v>
      </c>
      <c r="E33" s="6" t="n">
        <v>-460226</v>
      </c>
      <c r="F33" s="6" t="n">
        <v>-228212</v>
      </c>
      <c r="G33" s="6" t="n">
        <v>-257556.7</v>
      </c>
      <c r="H33" s="6" t="n">
        <v>120592.1</v>
      </c>
      <c r="I33" s="6" t="n">
        <v>-588526.7</v>
      </c>
      <c r="J33" s="6" t="n">
        <v>-5306.3</v>
      </c>
      <c r="K33" s="6" t="n"/>
      <c r="L33" s="6" t="n"/>
      <c r="M33" s="6" t="n"/>
      <c r="N33" s="6" t="n"/>
      <c r="O33" s="6" t="n"/>
      <c r="P33" s="6" t="n"/>
      <c r="Q33" s="6" t="n"/>
      <c r="R33" s="6" t="n"/>
    </row>
    <row r="34">
      <c r="A34" s="6" t="inlineStr">
        <is>
          <t>(Increase)/Decrease in other assets</t>
        </is>
      </c>
      <c r="B34" s="6" t="n"/>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c r="P34" s="6" t="n"/>
      <c r="Q34" s="6" t="n"/>
      <c r="R34" s="6" t="n"/>
    </row>
    <row r="35">
      <c r="A35" s="6" t="inlineStr">
        <is>
          <t>(Decrease)/Increase in deposits from banks</t>
        </is>
      </c>
      <c r="B35" s="6" t="n"/>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c r="P35" s="6" t="n"/>
      <c r="Q35" s="6" t="n"/>
      <c r="R35" s="6" t="n"/>
    </row>
    <row r="36">
      <c r="A36" s="6" t="inlineStr">
        <is>
          <t>(Decrease)/Increase in deposits from customers</t>
        </is>
      </c>
      <c r="B36" s="6" t="n"/>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c r="P36" s="6" t="n"/>
      <c r="Q36" s="6" t="n"/>
      <c r="R36" s="6" t="n"/>
    </row>
    <row r="37">
      <c r="A37" s="6" t="inlineStr">
        <is>
          <t>Increase/(Decrease) in repurchase agreements and other similar secured borrowing</t>
        </is>
      </c>
      <c r="B37" s="6" t="n"/>
      <c r="C37" s="6" t="n">
        <v>33642</v>
      </c>
      <c r="D37" s="6" t="n">
        <v>-24583.5</v>
      </c>
      <c r="E37" s="6" t="n">
        <v>24574.5</v>
      </c>
      <c r="F37" s="6" t="n">
        <v>33139.3</v>
      </c>
      <c r="G37" s="6" t="n"/>
      <c r="H37" s="6" t="n"/>
      <c r="I37" s="6" t="n"/>
      <c r="J37" s="6" t="n"/>
      <c r="K37" s="6" t="n"/>
      <c r="L37" s="6" t="n"/>
      <c r="M37" s="6" t="n"/>
      <c r="N37" s="6" t="n"/>
      <c r="O37" s="6" t="n"/>
      <c r="P37" s="6" t="n"/>
      <c r="Q37" s="6" t="n"/>
      <c r="R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c r="P38" s="6" t="n"/>
      <c r="Q38" s="6" t="n"/>
      <c r="R38" s="6" t="n"/>
    </row>
    <row r="39">
      <c r="A39" s="6" t="inlineStr">
        <is>
          <t>Increase/(Decrease) in other liabilities</t>
        </is>
      </c>
      <c r="B39" s="6" t="n"/>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c r="P39" s="6" t="n"/>
      <c r="Q39" s="6" t="n"/>
      <c r="R39" s="6" t="n"/>
    </row>
    <row r="40">
      <c r="A40" s="6" t="inlineStr">
        <is>
          <t>Interest income received</t>
        </is>
      </c>
      <c r="B40" s="6" t="n"/>
      <c r="C40" s="6" t="n">
        <v>81396.60000000001</v>
      </c>
      <c r="D40" s="6" t="n">
        <v>109627</v>
      </c>
      <c r="E40" s="6" t="n">
        <v>70337.7</v>
      </c>
      <c r="F40" s="6" t="n"/>
      <c r="G40" s="6" t="n"/>
      <c r="H40" s="6" t="n"/>
      <c r="I40" s="6" t="n"/>
      <c r="J40" s="6" t="n"/>
      <c r="K40" s="6" t="n"/>
      <c r="L40" s="6" t="n"/>
      <c r="M40" s="6" t="n"/>
      <c r="N40" s="6" t="n"/>
      <c r="O40" s="6" t="n"/>
      <c r="P40" s="6" t="n"/>
      <c r="Q40" s="6" t="n"/>
      <c r="R40" s="6" t="n"/>
    </row>
    <row r="41">
      <c r="A41" s="6" t="inlineStr">
        <is>
          <t>Interest expense paid</t>
        </is>
      </c>
      <c r="B41" s="6" t="n"/>
      <c r="C41" s="6" t="n">
        <v>-41972.7</v>
      </c>
      <c r="D41" s="6" t="n">
        <v>-35626.4</v>
      </c>
      <c r="E41" s="6" t="n">
        <v>-10111.2</v>
      </c>
      <c r="F41" s="6" t="n"/>
      <c r="G41" s="6" t="n"/>
      <c r="H41" s="6" t="n"/>
      <c r="I41" s="6" t="n"/>
      <c r="J41" s="6" t="n"/>
      <c r="K41" s="6" t="n"/>
      <c r="L41" s="6" t="n"/>
      <c r="M41" s="6" t="n"/>
      <c r="N41" s="6" t="n"/>
      <c r="O41" s="6" t="n"/>
      <c r="P41" s="6" t="n"/>
      <c r="Q41" s="6" t="n"/>
      <c r="R41" s="6" t="n"/>
    </row>
    <row r="42">
      <c r="A42" s="6" t="inlineStr">
        <is>
          <t>Income tax paid</t>
        </is>
      </c>
      <c r="B42" s="6" t="n"/>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c r="P42" s="6" t="n"/>
      <c r="Q42" s="6" t="n"/>
      <c r="R42" s="6" t="n"/>
    </row>
    <row r="43">
      <c r="A43" s="5" t="inlineStr">
        <is>
          <t>Net cash generated from/(used in) operating activities</t>
        </is>
      </c>
      <c r="B43" s="5" t="n"/>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c r="P43" s="5" t="n"/>
      <c r="Q43" s="5" t="n"/>
      <c r="R43" s="5" t="n"/>
    </row>
    <row r="44">
      <c r="A44" s="5" t="inlineStr">
        <is>
          <t>Investing activities</t>
        </is>
      </c>
      <c r="B44" s="6" t="n"/>
      <c r="C44" s="6" t="n"/>
      <c r="D44" s="6" t="n"/>
      <c r="E44" s="6" t="n"/>
      <c r="F44" s="6" t="n"/>
      <c r="G44" s="6" t="n"/>
      <c r="H44" s="6" t="n"/>
      <c r="I44" s="6" t="n"/>
      <c r="J44" s="6" t="n"/>
      <c r="K44" s="6" t="n"/>
      <c r="L44" s="6" t="n"/>
      <c r="M44" s="6" t="n"/>
      <c r="N44" s="6" t="n"/>
      <c r="O44" s="6" t="n"/>
      <c r="P44" s="6" t="n"/>
      <c r="Q44" s="6" t="n"/>
      <c r="R44" s="6" t="n"/>
    </row>
    <row r="45">
      <c r="A45" s="6" t="inlineStr">
        <is>
          <t>Acquisition of securities measured at amortised cost</t>
        </is>
      </c>
      <c r="B45" s="6" t="n"/>
      <c r="C45" s="6" t="n">
        <v>-63438.6</v>
      </c>
      <c r="D45" s="6" t="n">
        <v>-21488.7</v>
      </c>
      <c r="E45" s="6" t="n">
        <v>-38525.3</v>
      </c>
      <c r="F45" s="6" t="n">
        <v>-31205.1</v>
      </c>
      <c r="G45" s="6" t="n">
        <v>-42925.8</v>
      </c>
      <c r="H45" s="6" t="n">
        <v>-43241.9</v>
      </c>
      <c r="I45" s="6" t="n">
        <v>-36902.9</v>
      </c>
      <c r="J45" s="6" t="n"/>
      <c r="K45" s="6" t="n"/>
      <c r="L45" s="6" t="n"/>
      <c r="M45" s="6" t="n"/>
      <c r="N45" s="6" t="n"/>
      <c r="O45" s="6" t="n"/>
      <c r="P45" s="6" t="n"/>
      <c r="Q45" s="6" t="n"/>
      <c r="R45" s="6" t="n"/>
    </row>
    <row r="46">
      <c r="A46" s="6" t="inlineStr">
        <is>
          <t>Proceeds from redemption of securities measured at amortised cost</t>
        </is>
      </c>
      <c r="B46" s="6" t="n"/>
      <c r="C46" s="6" t="n">
        <v>54622.5</v>
      </c>
      <c r="D46" s="6" t="n">
        <v>16939.9</v>
      </c>
      <c r="E46" s="6" t="n">
        <v>22359.8</v>
      </c>
      <c r="F46" s="6" t="n">
        <v>23472.9</v>
      </c>
      <c r="G46" s="6" t="n">
        <v>4299</v>
      </c>
      <c r="H46" s="6" t="n">
        <v>13156</v>
      </c>
      <c r="I46" s="6" t="n">
        <v>49270.7</v>
      </c>
      <c r="J46" s="6" t="n"/>
      <c r="K46" s="6" t="n"/>
      <c r="L46" s="6" t="n"/>
      <c r="M46" s="6" t="n"/>
      <c r="N46" s="6" t="n"/>
      <c r="O46" s="6" t="n"/>
      <c r="P46" s="6" t="n"/>
      <c r="Q46" s="6" t="n"/>
      <c r="R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c r="P47" s="6" t="n"/>
      <c r="Q47" s="6" t="n"/>
      <c r="R47" s="6" t="n"/>
    </row>
    <row r="48">
      <c r="A48" s="6" t="inlineStr">
        <is>
          <t>Interest income received (investing)</t>
        </is>
      </c>
      <c r="B48" s="6" t="n"/>
      <c r="C48" s="6" t="n">
        <v>10994.9</v>
      </c>
      <c r="D48" s="6" t="n">
        <v>12221.3</v>
      </c>
      <c r="E48" s="6" t="n">
        <v>14429</v>
      </c>
      <c r="F48" s="6" t="n"/>
      <c r="G48" s="6" t="n"/>
      <c r="H48" s="6" t="n"/>
      <c r="I48" s="6" t="n"/>
      <c r="J48" s="6" t="n"/>
      <c r="K48" s="6" t="n"/>
      <c r="L48" s="6" t="n"/>
      <c r="M48" s="6" t="n"/>
      <c r="N48" s="6" t="n"/>
      <c r="O48" s="6" t="n"/>
      <c r="P48" s="6" t="n"/>
      <c r="Q48" s="6" t="n"/>
      <c r="R48" s="6" t="n"/>
    </row>
    <row r="49">
      <c r="A49" s="6" t="inlineStr">
        <is>
          <t>Acquisition of property and equipment</t>
        </is>
      </c>
      <c r="B49" s="6" t="n"/>
      <c r="C49" s="6" t="n">
        <v>-48.6</v>
      </c>
      <c r="D49" s="6" t="n">
        <v>-48.4</v>
      </c>
      <c r="E49" s="6" t="n">
        <v>-21.3</v>
      </c>
      <c r="F49" s="6" t="n">
        <v>-25</v>
      </c>
      <c r="G49" s="6" t="n">
        <v>-223</v>
      </c>
      <c r="H49" s="6" t="n">
        <v>-149.8</v>
      </c>
      <c r="I49" s="6" t="n">
        <v>-111.4</v>
      </c>
      <c r="J49" s="6" t="n">
        <v>-39.2</v>
      </c>
      <c r="K49" s="6" t="n">
        <v>-199.9</v>
      </c>
      <c r="L49" s="6" t="n">
        <v>-937</v>
      </c>
      <c r="M49" s="6" t="n">
        <v>-77.5</v>
      </c>
      <c r="N49" s="6" t="n">
        <v>-129.2</v>
      </c>
      <c r="O49" s="6" t="n">
        <v>-233.4</v>
      </c>
      <c r="P49" s="6" t="n"/>
      <c r="Q49" s="6" t="n"/>
      <c r="R49" s="6" t="n"/>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c r="P50" s="6" t="n"/>
      <c r="Q50" s="6" t="n"/>
      <c r="R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c r="P51" s="6" t="n"/>
      <c r="Q51" s="6" t="n"/>
      <c r="R51" s="6" t="n"/>
    </row>
    <row r="52">
      <c r="A52" s="6" t="inlineStr">
        <is>
          <t>Acquisition of intangible assets</t>
        </is>
      </c>
      <c r="B52" s="6" t="n"/>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c r="P52" s="6" t="n"/>
      <c r="Q52" s="6" t="n"/>
      <c r="R52" s="6" t="n"/>
    </row>
    <row r="53">
      <c r="A53" s="5" t="inlineStr">
        <is>
          <t>Net cash generated from/(used in) investing activities</t>
        </is>
      </c>
      <c r="B53" s="5" t="n"/>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c r="P53" s="5" t="n"/>
      <c r="Q53" s="5" t="n"/>
      <c r="R53" s="5" t="n"/>
    </row>
    <row r="54">
      <c r="A54" s="5" t="inlineStr">
        <is>
          <t>Financing activities</t>
        </is>
      </c>
      <c r="B54" s="6" t="n"/>
      <c r="C54" s="6" t="n"/>
      <c r="D54" s="6" t="n"/>
      <c r="E54" s="6" t="n"/>
      <c r="F54" s="6" t="n"/>
      <c r="G54" s="6" t="n"/>
      <c r="H54" s="6" t="n"/>
      <c r="I54" s="6" t="n"/>
      <c r="J54" s="6" t="n"/>
      <c r="K54" s="6" t="n"/>
      <c r="L54" s="6" t="n"/>
      <c r="M54" s="6" t="n"/>
      <c r="N54" s="6" t="n"/>
      <c r="O54" s="6" t="n"/>
      <c r="P54" s="6" t="n"/>
      <c r="Q54" s="6" t="n"/>
      <c r="R54" s="6" t="n"/>
    </row>
    <row r="55">
      <c r="A55" s="6" t="inlineStr">
        <is>
          <t>Repayment of lease liability/obligation</t>
        </is>
      </c>
      <c r="B55" s="6" t="n"/>
      <c r="C55" s="6" t="n">
        <v>-525.9</v>
      </c>
      <c r="D55" s="6" t="n">
        <v>-744.7</v>
      </c>
      <c r="E55" s="6" t="n">
        <v>-666.7</v>
      </c>
      <c r="F55" s="6" t="n">
        <v>-788.4</v>
      </c>
      <c r="G55" s="6" t="n">
        <v>-141.8</v>
      </c>
      <c r="H55" s="6" t="n">
        <v>-448.2</v>
      </c>
      <c r="I55" s="6" t="n"/>
      <c r="J55" s="6" t="n"/>
      <c r="K55" s="6" t="n"/>
      <c r="L55" s="6" t="n"/>
      <c r="M55" s="6" t="n"/>
      <c r="N55" s="6" t="n"/>
      <c r="O55" s="6" t="n"/>
      <c r="P55" s="6" t="n"/>
      <c r="Q55" s="6" t="n"/>
      <c r="R55" s="6" t="n"/>
    </row>
    <row r="56">
      <c r="A56" s="6" t="inlineStr">
        <is>
          <t>Addition of new lease obligation</t>
        </is>
      </c>
      <c r="B56" s="6" t="n"/>
      <c r="C56" s="6" t="n"/>
      <c r="D56" s="6" t="n"/>
      <c r="E56" s="6" t="n"/>
      <c r="F56" s="6" t="n">
        <v>33.9</v>
      </c>
      <c r="G56" s="6" t="n">
        <v>416.1</v>
      </c>
      <c r="H56" s="6" t="n"/>
      <c r="I56" s="6" t="n"/>
      <c r="J56" s="6" t="n"/>
      <c r="K56" s="6" t="n"/>
      <c r="L56" s="6" t="n"/>
      <c r="M56" s="6" t="n"/>
      <c r="N56" s="6" t="n"/>
      <c r="O56" s="6" t="n"/>
      <c r="P56" s="6" t="n"/>
      <c r="Q56" s="6" t="n"/>
      <c r="R56" s="6" t="n"/>
    </row>
    <row r="57">
      <c r="A57" s="6" t="inlineStr">
        <is>
          <t>Interest payment on lease obligation (transition to IFRS 16)</t>
        </is>
      </c>
      <c r="B57" s="6" t="n"/>
      <c r="C57" s="6" t="n"/>
      <c r="D57" s="6" t="n"/>
      <c r="E57" s="6" t="n"/>
      <c r="F57" s="6" t="n"/>
      <c r="G57" s="6" t="n">
        <v>0</v>
      </c>
      <c r="H57" s="6" t="n">
        <v>-26.3</v>
      </c>
      <c r="I57" s="6" t="n"/>
      <c r="J57" s="6" t="n"/>
      <c r="K57" s="6" t="n"/>
      <c r="L57" s="6" t="n"/>
      <c r="M57" s="6" t="n"/>
      <c r="N57" s="6" t="n"/>
      <c r="O57" s="6" t="n"/>
      <c r="P57" s="6" t="n"/>
      <c r="Q57" s="6" t="n"/>
      <c r="R57" s="6" t="n"/>
    </row>
    <row r="58">
      <c r="A58" s="6" t="inlineStr">
        <is>
          <t>Proceeds from issue of share capital</t>
        </is>
      </c>
      <c r="B58" s="6" t="n"/>
      <c r="C58" s="6" t="n"/>
      <c r="D58" s="6" t="n"/>
      <c r="E58" s="6" t="n"/>
      <c r="F58" s="6" t="n"/>
      <c r="G58" s="6" t="n"/>
      <c r="H58" s="6" t="n"/>
      <c r="I58" s="6" t="n"/>
      <c r="J58" s="6" t="n"/>
      <c r="K58" s="6" t="n"/>
      <c r="L58" s="6" t="n"/>
      <c r="M58" s="6" t="n">
        <v>30367.4</v>
      </c>
      <c r="N58" s="6" t="n">
        <v>0</v>
      </c>
      <c r="O58" s="6" t="n">
        <v>18458.1</v>
      </c>
      <c r="P58" s="6" t="n"/>
      <c r="Q58" s="6" t="n"/>
      <c r="R58" s="6" t="n"/>
    </row>
    <row r="59">
      <c r="A59" s="6" t="inlineStr">
        <is>
          <t>Dividends paid to shareholders</t>
        </is>
      </c>
      <c r="B59" s="6" t="n"/>
      <c r="C59" s="6" t="n"/>
      <c r="D59" s="6" t="n">
        <v>-14149</v>
      </c>
      <c r="E59" s="6" t="n">
        <v>-4610.9</v>
      </c>
      <c r="F59" s="6" t="n">
        <v>-6512.3</v>
      </c>
      <c r="G59" s="6" t="n"/>
      <c r="H59" s="6" t="n"/>
      <c r="I59" s="6" t="n"/>
      <c r="J59" s="6" t="n"/>
      <c r="K59" s="6" t="n"/>
      <c r="L59" s="6" t="n"/>
      <c r="M59" s="6" t="n"/>
      <c r="N59" s="6" t="n"/>
      <c r="O59" s="6" t="n"/>
      <c r="P59" s="6" t="n"/>
      <c r="Q59" s="6" t="n"/>
      <c r="R59" s="6" t="n"/>
    </row>
    <row r="60">
      <c r="A60" s="5" t="inlineStr">
        <is>
          <t>Net cash generated from/(used in) financing activities</t>
        </is>
      </c>
      <c r="B60" s="5" t="n"/>
      <c r="C60" s="5" t="n">
        <v>-525.9</v>
      </c>
      <c r="D60" s="5" t="n">
        <v>-14893.7</v>
      </c>
      <c r="E60" s="5" t="n">
        <v>-5277.6</v>
      </c>
      <c r="F60" s="5" t="n">
        <v>-7266.8</v>
      </c>
      <c r="G60" s="5" t="n">
        <v>274.2</v>
      </c>
      <c r="H60" s="5" t="n">
        <v>-474.5</v>
      </c>
      <c r="I60" s="5" t="n"/>
      <c r="J60" s="5" t="n"/>
      <c r="K60" s="5" t="n"/>
      <c r="L60" s="5" t="n"/>
      <c r="M60" s="5" t="n">
        <v>30367.4</v>
      </c>
      <c r="N60" s="5" t="n">
        <v>0</v>
      </c>
      <c r="O60" s="5" t="n">
        <v>18458.1</v>
      </c>
      <c r="P60" s="5" t="n"/>
      <c r="Q60" s="5" t="n"/>
      <c r="R60" s="5" t="n"/>
    </row>
    <row r="61">
      <c r="A61" s="5" t="inlineStr">
        <is>
          <t>Net (decrease)/increase of cash and cash equivalents</t>
        </is>
      </c>
      <c r="B61" s="5" t="n"/>
      <c r="C61" s="5" t="n">
        <v>162133.8</v>
      </c>
      <c r="D61" s="5" t="n">
        <v>-284260.1</v>
      </c>
      <c r="E61" s="5" t="n">
        <v>-204617.9</v>
      </c>
      <c r="F61" s="5" t="n">
        <v>69096.10000000001</v>
      </c>
      <c r="G61" s="5" t="n">
        <v>167901.6</v>
      </c>
      <c r="H61" s="5" t="n">
        <v>-108078.8</v>
      </c>
      <c r="I61" s="5" t="n">
        <v>-39860.8</v>
      </c>
      <c r="J61" s="5" t="n">
        <v>96006.3</v>
      </c>
      <c r="K61" s="5" t="n">
        <v>258180.8</v>
      </c>
      <c r="L61" s="5" t="n">
        <v>-83446.2</v>
      </c>
      <c r="M61" s="5" t="n">
        <v>134153.7</v>
      </c>
      <c r="N61" s="5" t="n">
        <v>-6069.5</v>
      </c>
      <c r="O61" s="5" t="n">
        <v>20200.7</v>
      </c>
      <c r="P61" s="5" t="n"/>
      <c r="Q61" s="5" t="n"/>
      <c r="R61" s="5" t="n"/>
    </row>
    <row r="62">
      <c r="A62" s="6" t="inlineStr">
        <is>
          <t>Cash and cash equivalents as at 1 January</t>
        </is>
      </c>
      <c r="B62" s="6" t="n"/>
      <c r="C62" s="6" t="n">
        <v>216831.3</v>
      </c>
      <c r="D62" s="6" t="n">
        <v>520509.8</v>
      </c>
      <c r="E62" s="6" t="n">
        <v>652769.3</v>
      </c>
      <c r="F62" s="6" t="n">
        <v>576523.2</v>
      </c>
      <c r="G62" s="6" t="n">
        <v>433198</v>
      </c>
      <c r="H62" s="6" t="n">
        <v>556093</v>
      </c>
      <c r="I62" s="6" t="n">
        <v>564977.9</v>
      </c>
      <c r="J62" s="6" t="n">
        <v>519912.3</v>
      </c>
      <c r="K62" s="6" t="n">
        <v>196648.9</v>
      </c>
      <c r="L62" s="6" t="n">
        <v>268406</v>
      </c>
      <c r="M62" s="6" t="n">
        <v>119816.1</v>
      </c>
      <c r="N62" s="6" t="n">
        <v>125827.6</v>
      </c>
      <c r="O62" s="6" t="n">
        <v>105626.9</v>
      </c>
      <c r="P62" s="6" t="n"/>
      <c r="Q62" s="6" t="n"/>
      <c r="R62" s="6" t="n"/>
    </row>
    <row r="63">
      <c r="A63" s="6" t="inlineStr">
        <is>
          <t>Effect of exchange rate changes on cash and cash equivalents (as reported, USD)</t>
        </is>
      </c>
      <c r="B63" s="6" t="n"/>
      <c r="C63" s="6" t="n">
        <v>-2406.2</v>
      </c>
      <c r="D63" s="6" t="n"/>
      <c r="E63" s="6" t="n"/>
      <c r="F63" s="6" t="n"/>
      <c r="G63" s="6" t="n"/>
      <c r="H63" s="6" t="n"/>
      <c r="I63" s="6" t="n"/>
      <c r="J63" s="6" t="n"/>
      <c r="K63" s="6" t="n"/>
      <c r="L63" s="6" t="n"/>
      <c r="M63" s="6" t="n"/>
      <c r="N63" s="6" t="n"/>
      <c r="O63" s="6" t="n"/>
      <c r="P63" s="6" t="n"/>
      <c r="Q63" s="6" t="n"/>
      <c r="R63" s="6" t="n"/>
    </row>
    <row r="64">
      <c r="A64" s="6" t="inlineStr">
        <is>
          <t>Effect of GBP/USD translation (£ conversion artefact - see FX note)</t>
        </is>
      </c>
      <c r="B64" s="6" t="n"/>
      <c r="C64" s="6" t="n">
        <v>7167.3</v>
      </c>
      <c r="D64" s="6" t="n">
        <v>-19418.4</v>
      </c>
      <c r="E64" s="6" t="n">
        <v>72358.39999999999</v>
      </c>
      <c r="F64" s="6" t="n">
        <v>7150</v>
      </c>
      <c r="G64" s="6" t="n">
        <v>-24576.4</v>
      </c>
      <c r="H64" s="6" t="n">
        <v>-14816.2</v>
      </c>
      <c r="I64" s="6" t="n">
        <v>30975.9</v>
      </c>
      <c r="J64" s="6" t="n">
        <v>-50940.7</v>
      </c>
      <c r="K64" s="6" t="n">
        <v>65082.6</v>
      </c>
      <c r="L64" s="6" t="n">
        <v>11689.1</v>
      </c>
      <c r="M64" s="6" t="n">
        <v>14436.2</v>
      </c>
      <c r="N64" s="6" t="n">
        <v>0</v>
      </c>
      <c r="O64" s="6" t="n">
        <v>0</v>
      </c>
      <c r="P64" s="6" t="n"/>
      <c r="Q64" s="6" t="n"/>
      <c r="R64" s="6" t="n"/>
    </row>
    <row r="65">
      <c r="A65" s="5" t="inlineStr">
        <is>
          <t>Cash and cash equivalents at 31 December</t>
        </is>
      </c>
      <c r="B65" s="5" t="n"/>
      <c r="C65" s="5" t="n">
        <v>383726.2</v>
      </c>
      <c r="D65" s="5" t="n">
        <v>216831.3</v>
      </c>
      <c r="E65" s="5" t="n">
        <v>520509.8</v>
      </c>
      <c r="F65" s="5" t="n">
        <v>652769.3</v>
      </c>
      <c r="G65" s="5" t="n">
        <v>576523.2</v>
      </c>
      <c r="H65" s="5" t="n">
        <v>433198</v>
      </c>
      <c r="I65" s="5" t="n">
        <v>556093</v>
      </c>
      <c r="J65" s="5" t="n">
        <v>564977.9</v>
      </c>
      <c r="K65" s="5" t="n">
        <v>519912.3</v>
      </c>
      <c r="L65" s="5" t="n">
        <v>196648.9</v>
      </c>
      <c r="M65" s="5" t="n">
        <v>268406</v>
      </c>
      <c r="N65" s="5" t="n">
        <v>119758.1</v>
      </c>
      <c r="O65" s="5" t="n">
        <v>125827.6</v>
      </c>
      <c r="P65" s="5" t="n"/>
      <c r="Q65" s="5" t="n"/>
      <c r="R65" s="5" t="n"/>
    </row>
    <row r="67" ht="520" customHeight="1">
      <c r="A67"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cash flow is blank: no FY2025 Annual Report has been published yet (only the FY2025 Pillar 3 disclosure is out so far) - Pillar 3 sheets are fully populated for FY2025.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67:R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Asset Quality</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Loans and advances to customers</t>
        </is>
      </c>
      <c r="B4" s="6" t="n"/>
      <c r="C4" s="6" t="n"/>
      <c r="D4" s="6" t="n"/>
      <c r="E4" s="6" t="n"/>
      <c r="F4" s="6" t="n"/>
      <c r="G4" s="6" t="n"/>
      <c r="H4" s="6" t="n"/>
      <c r="I4" s="6" t="n"/>
      <c r="J4" s="6" t="n"/>
      <c r="K4" s="6" t="n"/>
      <c r="L4" s="6" t="n"/>
      <c r="M4" s="6" t="n"/>
      <c r="N4" s="6" t="n"/>
      <c r="O4" s="6" t="n"/>
      <c r="P4" s="6" t="n"/>
      <c r="Q4" s="6" t="n"/>
      <c r="R4" s="6" t="n"/>
    </row>
    <row r="5">
      <c r="A5" s="6" t="inlineStr">
        <is>
          <t>Gross exposure</t>
        </is>
      </c>
      <c r="B5" s="6" t="n"/>
      <c r="C5" s="6" t="n">
        <v>357098.8</v>
      </c>
      <c r="D5" s="6" t="n">
        <v>282475.4</v>
      </c>
      <c r="E5" s="6" t="n">
        <v>264759.8</v>
      </c>
      <c r="F5" s="6" t="n">
        <v>265839.1</v>
      </c>
      <c r="G5" s="6" t="n">
        <v>119318.1</v>
      </c>
      <c r="H5" s="6" t="n">
        <v>51225.3</v>
      </c>
      <c r="I5" s="6" t="n">
        <v>70531</v>
      </c>
      <c r="J5" s="6" t="n">
        <v>114605</v>
      </c>
      <c r="K5" s="6" t="n">
        <v>183473.6</v>
      </c>
      <c r="L5" s="6" t="n">
        <v>253652.7</v>
      </c>
      <c r="M5" s="6" t="n">
        <v>252674.4</v>
      </c>
      <c r="N5" s="6" t="n"/>
      <c r="O5" s="6" t="n"/>
      <c r="P5" s="6" t="n"/>
      <c r="Q5" s="6" t="n"/>
      <c r="R5" s="6" t="n"/>
    </row>
    <row r="6">
      <c r="A6" s="6" t="inlineStr">
        <is>
          <t>IFRS 9 impairment allowance</t>
        </is>
      </c>
      <c r="B6" s="6" t="n"/>
      <c r="C6" s="6" t="n">
        <v>-2641.6</v>
      </c>
      <c r="D6" s="6" t="n">
        <v>-4861.8</v>
      </c>
      <c r="E6" s="6" t="n">
        <v>-4197</v>
      </c>
      <c r="F6" s="6" t="n">
        <v>-4383.2</v>
      </c>
      <c r="G6" s="6" t="n">
        <v>-1605.2</v>
      </c>
      <c r="H6" s="6" t="n">
        <v>-1803.2</v>
      </c>
      <c r="I6" s="6" t="n">
        <v>-4012.4</v>
      </c>
      <c r="J6" s="6" t="n"/>
      <c r="K6" s="6" t="n"/>
      <c r="L6" s="6" t="n"/>
      <c r="M6" s="6" t="n"/>
      <c r="N6" s="6" t="n"/>
      <c r="O6" s="6" t="n"/>
      <c r="P6" s="6" t="n"/>
      <c r="Q6" s="6" t="n"/>
      <c r="R6" s="6" t="n"/>
    </row>
    <row r="7">
      <c r="A7" s="6" t="inlineStr">
        <is>
          <t>IAS 39 impairment allowance (pre-IFRS 9)</t>
        </is>
      </c>
      <c r="B7" s="6" t="n"/>
      <c r="C7" s="6" t="n"/>
      <c r="D7" s="6" t="n"/>
      <c r="E7" s="6" t="n"/>
      <c r="F7" s="6" t="n"/>
      <c r="G7" s="6" t="n"/>
      <c r="H7" s="6" t="n"/>
      <c r="I7" s="6" t="n"/>
      <c r="J7" s="6" t="n">
        <v>-24724.1</v>
      </c>
      <c r="K7" s="6" t="n">
        <v>-21408.5</v>
      </c>
      <c r="L7" s="6" t="n">
        <v>-5626.6</v>
      </c>
      <c r="M7" s="6" t="n">
        <v>0</v>
      </c>
      <c r="N7" s="6" t="n"/>
      <c r="O7" s="6" t="n"/>
      <c r="P7" s="6" t="n"/>
      <c r="Q7" s="6" t="n"/>
      <c r="R7" s="6" t="n"/>
    </row>
    <row r="8">
      <c r="A8" s="5" t="inlineStr">
        <is>
          <t>Net loans and advances to customers</t>
        </is>
      </c>
      <c r="B8" s="5" t="n"/>
      <c r="C8" s="5" t="n">
        <v>354457.3</v>
      </c>
      <c r="D8" s="5" t="n">
        <v>277613.5</v>
      </c>
      <c r="E8" s="5" t="n">
        <v>260562.8</v>
      </c>
      <c r="F8" s="5" t="n">
        <v>261455.9</v>
      </c>
      <c r="G8" s="5" t="n">
        <v>117712.9</v>
      </c>
      <c r="H8" s="5" t="n">
        <v>49422.1</v>
      </c>
      <c r="I8" s="5" t="n">
        <v>66518.5</v>
      </c>
      <c r="J8" s="5" t="n">
        <v>89880.89999999999</v>
      </c>
      <c r="K8" s="5" t="n">
        <v>162065.1</v>
      </c>
      <c r="L8" s="5" t="n">
        <v>248026.1</v>
      </c>
      <c r="M8" s="5" t="n">
        <v>252674.4</v>
      </c>
      <c r="N8" s="5" t="n"/>
      <c r="O8" s="5" t="n"/>
      <c r="P8" s="5" t="n"/>
      <c r="Q8" s="5" t="n"/>
      <c r="R8" s="5" t="n"/>
    </row>
    <row r="9">
      <c r="A9" s="6" t="inlineStr">
        <is>
          <t>Impairment as % of gross exposure</t>
        </is>
      </c>
      <c r="B9" s="6" t="n"/>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c r="N9" s="6" t="n"/>
      <c r="O9" s="6" t="n"/>
      <c r="P9" s="6" t="n"/>
      <c r="Q9" s="6" t="n"/>
      <c r="R9" s="6" t="n"/>
    </row>
    <row r="10">
      <c r="A10" s="5" t="inlineStr">
        <is>
          <t>IAS 39 individual/collective allowance split (pre-IFRS 9, FY2016-FY2017 only)</t>
        </is>
      </c>
      <c r="B10" s="6" t="n"/>
      <c r="C10" s="6" t="n"/>
      <c r="D10" s="6" t="n"/>
      <c r="E10" s="6" t="n"/>
      <c r="F10" s="6" t="n"/>
      <c r="G10" s="6" t="n"/>
      <c r="H10" s="6" t="n"/>
      <c r="I10" s="6" t="n"/>
      <c r="J10" s="6" t="n"/>
      <c r="K10" s="6" t="n"/>
      <c r="L10" s="6" t="n"/>
      <c r="M10" s="6" t="n"/>
      <c r="N10" s="6" t="n"/>
      <c r="O10" s="6" t="n"/>
      <c r="P10" s="6" t="n"/>
      <c r="Q10" s="6" t="n"/>
      <c r="R10" s="6" t="n"/>
    </row>
    <row r="11">
      <c r="A11" s="6" t="inlineStr">
        <is>
          <t>Individual impairment allowance</t>
        </is>
      </c>
      <c r="B11" s="6" t="n"/>
      <c r="C11" s="6" t="n"/>
      <c r="D11" s="6" t="n"/>
      <c r="E11" s="6" t="n"/>
      <c r="F11" s="6" t="n"/>
      <c r="G11" s="6" t="n"/>
      <c r="H11" s="6" t="n"/>
      <c r="I11" s="6" t="n"/>
      <c r="J11" s="6" t="n">
        <v>-21138.3</v>
      </c>
      <c r="K11" s="6" t="n">
        <v>-20612.5</v>
      </c>
      <c r="L11" s="6" t="n"/>
      <c r="M11" s="6" t="n"/>
      <c r="N11" s="6" t="n"/>
      <c r="O11" s="6" t="n"/>
      <c r="P11" s="6" t="n"/>
      <c r="Q11" s="6" t="n"/>
      <c r="R11" s="6" t="n"/>
    </row>
    <row r="12">
      <c r="A12" s="6" t="inlineStr">
        <is>
          <t>Collective impairment allowance</t>
        </is>
      </c>
      <c r="B12" s="6" t="n"/>
      <c r="C12" s="6" t="n"/>
      <c r="D12" s="6" t="n"/>
      <c r="E12" s="6" t="n"/>
      <c r="F12" s="6" t="n"/>
      <c r="G12" s="6" t="n"/>
      <c r="H12" s="6" t="n"/>
      <c r="I12" s="6" t="n"/>
      <c r="J12" s="6" t="n">
        <v>-3585.8</v>
      </c>
      <c r="K12" s="6" t="n">
        <v>-796</v>
      </c>
      <c r="L12" s="6" t="n"/>
      <c r="M12" s="6" t="n"/>
      <c r="N12" s="6" t="n"/>
      <c r="O12" s="6" t="n"/>
      <c r="P12" s="6" t="n"/>
      <c r="Q12" s="6" t="n"/>
      <c r="R12" s="6" t="n"/>
    </row>
    <row r="13">
      <c r="A13" s="5" t="inlineStr">
        <is>
          <t>IFRS 9 ECL allowance by stage (Loans and advances to customers)</t>
        </is>
      </c>
      <c r="B13" s="6" t="n"/>
      <c r="C13" s="6" t="n"/>
      <c r="D13" s="6" t="n"/>
      <c r="E13" s="6" t="n"/>
      <c r="F13" s="6" t="n"/>
      <c r="G13" s="6" t="n"/>
      <c r="H13" s="6" t="n"/>
      <c r="I13" s="6" t="n"/>
      <c r="J13" s="6" t="n"/>
      <c r="K13" s="6" t="n"/>
      <c r="L13" s="6" t="n"/>
      <c r="M13" s="6" t="n"/>
      <c r="N13" s="6" t="n"/>
      <c r="O13" s="6" t="n"/>
      <c r="P13" s="6" t="n"/>
      <c r="Q13" s="6" t="n"/>
      <c r="R13" s="6" t="n"/>
    </row>
    <row r="14">
      <c r="A14" s="6" t="inlineStr">
        <is>
          <t>Stage 1 (12-month ECL)</t>
        </is>
      </c>
      <c r="B14" s="6" t="n"/>
      <c r="C14" s="6" t="n">
        <v>2294.6</v>
      </c>
      <c r="D14" s="6" t="n">
        <v>4562.2</v>
      </c>
      <c r="E14" s="6" t="n">
        <v>3557.3</v>
      </c>
      <c r="F14" s="6" t="n">
        <v>3873.1</v>
      </c>
      <c r="G14" s="6" t="n">
        <v>1579.6</v>
      </c>
      <c r="H14" s="6" t="n">
        <v>1060.8</v>
      </c>
      <c r="I14" s="6" t="n">
        <v>67.40000000000001</v>
      </c>
      <c r="J14" s="6" t="n"/>
      <c r="K14" s="6" t="n"/>
      <c r="L14" s="6" t="n"/>
      <c r="M14" s="6" t="n"/>
      <c r="N14" s="6" t="n"/>
      <c r="O14" s="6" t="n"/>
      <c r="P14" s="6" t="n"/>
      <c r="Q14" s="6" t="n"/>
      <c r="R14" s="6" t="n"/>
    </row>
    <row r="15">
      <c r="A15" s="6" t="inlineStr">
        <is>
          <t>Stage 2 (lifetime ECL, not credit-impaired)</t>
        </is>
      </c>
      <c r="B15" s="6" t="n"/>
      <c r="C15" s="6" t="n">
        <v>347</v>
      </c>
      <c r="D15" s="6" t="n">
        <v>299.7</v>
      </c>
      <c r="E15" s="6" t="n">
        <v>639.7</v>
      </c>
      <c r="F15" s="6" t="n">
        <v>510.1</v>
      </c>
      <c r="G15" s="6" t="n">
        <v>25.6</v>
      </c>
      <c r="H15" s="6" t="n">
        <v>742.4</v>
      </c>
      <c r="I15" s="6" t="n">
        <v>3945</v>
      </c>
      <c r="J15" s="6" t="n"/>
      <c r="K15" s="6" t="n"/>
      <c r="L15" s="6" t="n"/>
      <c r="M15" s="6" t="n"/>
      <c r="N15" s="6" t="n"/>
      <c r="O15" s="6" t="n"/>
      <c r="P15" s="6" t="n"/>
      <c r="Q15" s="6" t="n"/>
      <c r="R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c r="N16" s="6" t="n"/>
      <c r="O16" s="6" t="n"/>
      <c r="P16" s="6" t="n"/>
      <c r="Q16" s="6" t="n"/>
      <c r="R16" s="6" t="n"/>
    </row>
    <row r="17">
      <c r="A17" s="5" t="inlineStr">
        <is>
          <t>Total ECL allowance</t>
        </is>
      </c>
      <c r="B17" s="5" t="n"/>
      <c r="C17" s="5" t="n">
        <v>2641.6</v>
      </c>
      <c r="D17" s="5" t="n">
        <v>4861.8</v>
      </c>
      <c r="E17" s="5" t="n">
        <v>4197</v>
      </c>
      <c r="F17" s="5" t="n">
        <v>4383.2</v>
      </c>
      <c r="G17" s="5" t="n">
        <v>1605.2</v>
      </c>
      <c r="H17" s="5" t="n">
        <v>1803.2</v>
      </c>
      <c r="I17" s="5" t="n">
        <v>4012.4</v>
      </c>
      <c r="J17" s="5" t="n"/>
      <c r="K17" s="5" t="n"/>
      <c r="L17" s="5" t="n"/>
      <c r="M17" s="5" t="n"/>
      <c r="N17" s="5" t="n"/>
      <c r="O17" s="5" t="n"/>
      <c r="P17" s="5" t="n"/>
      <c r="Q17" s="5" t="n"/>
      <c r="R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is blank: no FY2025 Annual Report has been published yet.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FY2009-FY2013 COLUMNS (added 2026-09-15): these columns appear on this sheet because the Pillar 3 year range was extended back to FY2009 to carry the newly-recovered FY2011 Pillar 3 edition. They are EMPTY of asset-quality data on purpose. The FY2011 edition is a Basel II / BIPRU capital-adequacy disclosure and contains no impairment provision figure, no arrears or default table and no exposure-quality breakdown of any kind; no Pillar 3 edition exists at all for FY2009, FY2010, FY2012 or FY2013. Nothing was carried over from the Annual Reports for these years either, since that would mix a different source basis into rows sourced from Pillar 3 disclosures. See the Pillar 3 sources note on the metric sheets for the full archive-status breakdown.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R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capital</t>
        </is>
      </c>
      <c r="B4" s="6" t="n">
        <v>320.8</v>
      </c>
      <c r="C4" s="6" t="n">
        <v>302.3</v>
      </c>
      <c r="D4" s="6" t="n">
        <v>265.5</v>
      </c>
      <c r="E4" s="6" t="n">
        <v>240.3</v>
      </c>
      <c r="F4" s="6" t="n">
        <v>207.9</v>
      </c>
      <c r="G4" s="6" t="n">
        <v>205.4</v>
      </c>
      <c r="H4" s="6" t="n"/>
      <c r="I4" s="6" t="n"/>
      <c r="J4" s="6" t="n"/>
      <c r="K4" s="6" t="n"/>
      <c r="L4" s="6" t="n">
        <v>127.2</v>
      </c>
      <c r="M4" s="6" t="n">
        <v>109.4</v>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ht="60" customHeight="1">
      <c r="A5" s="7" t="inlineStr">
        <is>
          <t>Note: FY2009-FY2013 'Not applicable (Basel II)': the CET1 concept is a CRD IV construct and does not exist in the recovered FY2011 Basel II edition, which discloses a single undifferentiated Tier 1 capital figure (carried on the Tier 1 Capital and Total Capital sheets).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5:R5"/>
    <mergeCell ref="A7:R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ht="60" customHeight="1">
      <c r="A5" s="7" t="inlineStr">
        <is>
          <t>Note: FY2009-FY2013 'Not applicable (Basel II)' - no CET1 concept existed (see CET1 Capital sheet).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5:R5"/>
    <mergeCell ref="A7:R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capital (CRR/CRD IV basis)</t>
        </is>
      </c>
      <c r="B4" s="6" t="n">
        <v>320.8</v>
      </c>
      <c r="C4" s="6" t="n">
        <v>302.3</v>
      </c>
      <c r="D4" s="6" t="n">
        <v>265.5</v>
      </c>
      <c r="E4" s="6" t="n">
        <v>240.3</v>
      </c>
      <c r="F4" s="6" t="n">
        <v>207.9</v>
      </c>
      <c r="G4" s="6" t="n">
        <v>205.4</v>
      </c>
      <c r="H4" s="6" t="n"/>
      <c r="I4" s="6" t="n"/>
      <c r="J4" s="6" t="n"/>
      <c r="K4" s="6" t="n"/>
      <c r="L4" s="6" t="n">
        <v>127.2</v>
      </c>
      <c r="M4" s="6" t="n">
        <v>109.4</v>
      </c>
      <c r="N4" s="6" t="n"/>
      <c r="O4" s="6" t="n"/>
      <c r="P4" s="6" t="n"/>
      <c r="Q4" s="6" t="n"/>
      <c r="R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v>
      </c>
      <c r="Q5" s="6" t="n"/>
      <c r="R5" s="6" t="n"/>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v>
      </c>
      <c r="Q6" s="6" t="n"/>
      <c r="R6" s="6" t="n"/>
    </row>
    <row r="7" ht="60" customHeight="1">
      <c r="A7"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they appear here as 43.6 and 40.0 to match the numeric scale the rest of this sheet actually uses - see the unit-scale defect note below, which explains why that is not the same as the sheet's stated '£'000' label.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 capital in every year - the Bank holds no Additional Tier 1 (AT1)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7:R7"/>
    <mergeCell ref="A9:R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the recovered FY2011 edition states no capital/RWA ratio at all. It DOES print a 'Solvency Ratio against Pillar 1' of 203%, but that is capital divided by the capital REQUIREMENT - a capital-cover multiple, roughly 12.5x a true capital ratio - and putting it here would overstate the Bank's capitalisation by an order of magnitude. See the source note. Nothing is back-solved from the capital and capital-requirement figures either.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5:R5"/>
    <mergeCell ref="A7:R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(CRR/CRD IV basis)</t>
        </is>
      </c>
      <c r="B4" s="6" t="n">
        <v>320.8</v>
      </c>
      <c r="C4" s="6" t="n">
        <v>302.3</v>
      </c>
      <c r="D4" s="6" t="n">
        <v>265.5</v>
      </c>
      <c r="E4" s="6" t="n">
        <v>240.3</v>
      </c>
      <c r="F4" s="6" t="n">
        <v>207.9</v>
      </c>
      <c r="G4" s="6" t="n">
        <v>205.4</v>
      </c>
      <c r="H4" s="6" t="n"/>
      <c r="I4" s="6" t="n"/>
      <c r="J4" s="6" t="n"/>
      <c r="K4" s="6" t="n"/>
      <c r="L4" s="6" t="n">
        <v>127.2</v>
      </c>
      <c r="M4" s="6" t="n">
        <v>109.4</v>
      </c>
      <c r="N4" s="6" t="n"/>
      <c r="O4" s="6" t="n"/>
      <c r="P4" s="6" t="n"/>
      <c r="Q4" s="6" t="n"/>
      <c r="R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v>
      </c>
      <c r="Q5" s="6" t="n"/>
      <c r="R5" s="6" t="n"/>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v>
      </c>
      <c r="Q6" s="6" t="n"/>
      <c r="R6" s="6" t="n"/>
    </row>
    <row r="7" ht="60" customHeight="1">
      <c r="A7"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they appear here as 43.6 and 40.0 to match the numeric scale the rest of this sheet actually uses - see the unit-scale defect note below, which explains why that is not the same as the sheet's stated '£'000' label.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CET1/Tier 1 capital in every year - the Bank holds no AT1 or Tier 2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7:R7"/>
    <mergeCell ref="A9:R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 see the Tier 1 Ratio sheet's note on the 203% capital-cover trap.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5:R5"/>
    <mergeCell ref="A7:R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risk-weighted exposure amount</t>
        </is>
      </c>
      <c r="B4" s="6" t="n">
        <v>1370.7</v>
      </c>
      <c r="C4" s="6" t="n">
        <v>1179.2</v>
      </c>
      <c r="D4" s="6" t="n">
        <v>917.3</v>
      </c>
      <c r="E4" s="6" t="n">
        <v>930.1</v>
      </c>
      <c r="F4" s="6" t="n">
        <v>1000.5</v>
      </c>
      <c r="G4" s="6" t="n">
        <v>726</v>
      </c>
      <c r="H4" s="6" t="n"/>
      <c r="I4" s="6" t="n"/>
      <c r="J4" s="6" t="n"/>
      <c r="K4" s="6" t="n"/>
      <c r="L4" s="6" t="n">
        <v>624</v>
      </c>
      <c r="M4" s="6" t="n">
        <v>490.4</v>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(2026-09-15): the recovered FY2011 Basel II edition discloses Pillar 1 capital REQUIREMENTS (Credit 18,156 / Market 27 / Operational 1,503 / Total 19,686, GBP'000), not risk-weighted amounts. Dividing those by 8% would give a total RWA of 246,075, but that is a derivation and this project transcribes only what a document states directly, so the cell is left as a stated absence and the requirement figures are preserved verbatim in the source note. NOTE THE INCONSISTENCY THIS EXPOSES: the FY2014/FY2015 figures on this very row WERE produced by exactly that division in an earlier pass. That pre-existing derivation was not removed here (withdrawing populated data is not this pass's decision) but it is flagged, and it was not propagated backwards.
FY2023's figure (own report, £m equivalent of $1,167,888k) differs from the FY2024 report's restated FY2023 comparative ($1,203,364k) - a Basic Indicator Approach operational-risk methodology update. FY2023's own report figure is used, consistent with this project's convention of preferring each year's own report.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5:R5"/>
    <mergeCell ref="A7:R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6" t="inlineStr">
        <is>
          <t>Credit Risk (excluding CCR)</t>
        </is>
      </c>
      <c r="B4" s="6" t="n">
        <v>1224.3</v>
      </c>
      <c r="C4" s="6" t="n">
        <v>963.3</v>
      </c>
      <c r="D4" s="6" t="n">
        <v>788</v>
      </c>
      <c r="E4" s="6" t="n">
        <v>777</v>
      </c>
      <c r="F4" s="6" t="n">
        <v>919</v>
      </c>
      <c r="G4" s="6" t="n">
        <v>650.7</v>
      </c>
      <c r="H4" s="6" t="n"/>
      <c r="I4" s="6" t="n"/>
      <c r="J4" s="6" t="n"/>
      <c r="K4" s="6" t="n"/>
      <c r="L4" s="6" t="n">
        <v>580</v>
      </c>
      <c r="M4" s="6" t="n">
        <v>455</v>
      </c>
      <c r="N4" s="6" t="n"/>
      <c r="O4" s="6" t="n"/>
      <c r="P4" s="6" t="n"/>
      <c r="Q4" s="6" t="n"/>
      <c r="R4" s="6" t="n"/>
    </row>
    <row r="5">
      <c r="A5" s="6" t="inlineStr">
        <is>
          <t>Counterparty Credit Risk (CCR)</t>
        </is>
      </c>
      <c r="B5" s="6" t="n">
        <v>5.1</v>
      </c>
      <c r="C5" s="6" t="n">
        <v>78.40000000000001</v>
      </c>
      <c r="D5" s="6" t="n">
        <v>42.5</v>
      </c>
      <c r="E5" s="6" t="n">
        <v>65.59999999999999</v>
      </c>
      <c r="F5" s="6" t="n"/>
      <c r="G5" s="6" t="n"/>
      <c r="H5" s="6" t="n"/>
      <c r="I5" s="6" t="n"/>
      <c r="J5" s="6" t="n"/>
      <c r="K5" s="6" t="n"/>
      <c r="L5" s="6" t="n"/>
      <c r="M5" s="6" t="n"/>
      <c r="N5" s="6" t="n"/>
      <c r="O5" s="6" t="n"/>
      <c r="P5" s="6" t="n"/>
      <c r="Q5" s="6" t="n"/>
      <c r="R5" s="6" t="n"/>
    </row>
    <row r="6">
      <c r="A6" s="6" t="inlineStr">
        <is>
          <t>of which: Credit Valuation Adjustment (CVA)</t>
        </is>
      </c>
      <c r="B6" s="6" t="n">
        <v>0.8</v>
      </c>
      <c r="C6" s="6" t="n">
        <v>1.1</v>
      </c>
      <c r="D6" s="6" t="n">
        <v>1</v>
      </c>
      <c r="E6" s="6" t="n">
        <v>0.8</v>
      </c>
      <c r="F6" s="6" t="n">
        <v>3.3</v>
      </c>
      <c r="G6" s="6" t="n">
        <v>2.6</v>
      </c>
      <c r="H6" s="6" t="n"/>
      <c r="I6" s="6" t="n"/>
      <c r="J6" s="6" t="n"/>
      <c r="K6" s="6" t="n"/>
      <c r="L6" s="6" t="n"/>
      <c r="M6" s="6" t="n"/>
      <c r="N6" s="6" t="n"/>
      <c r="O6" s="6" t="n"/>
      <c r="P6" s="6" t="n"/>
      <c r="Q6" s="6" t="n"/>
      <c r="R6" s="6" t="n"/>
    </row>
    <row r="7">
      <c r="A7" s="6" t="inlineStr">
        <is>
          <t>Settlement Risk</t>
        </is>
      </c>
      <c r="B7" s="6" t="n">
        <v>0</v>
      </c>
      <c r="C7" s="6" t="n">
        <v>0</v>
      </c>
      <c r="D7" s="6" t="n">
        <v>0</v>
      </c>
      <c r="E7" s="6" t="n">
        <v>0</v>
      </c>
      <c r="F7" s="6" t="n">
        <v>0</v>
      </c>
      <c r="G7" s="6" t="n">
        <v>0</v>
      </c>
      <c r="H7" s="6" t="n"/>
      <c r="I7" s="6" t="n"/>
      <c r="J7" s="6" t="n"/>
      <c r="K7" s="6" t="n"/>
      <c r="L7" s="6" t="n"/>
      <c r="M7" s="6" t="n"/>
      <c r="N7" s="6" t="n"/>
      <c r="O7" s="6" t="n"/>
      <c r="P7" s="6" t="n"/>
      <c r="Q7" s="6" t="n"/>
      <c r="R7" s="6" t="n"/>
    </row>
    <row r="8">
      <c r="A8" s="6" t="inlineStr">
        <is>
          <t>Market Risk (FX and commodities)</t>
        </is>
      </c>
      <c r="B8" s="6" t="n">
        <v>3.8</v>
      </c>
      <c r="C8" s="6" t="n">
        <v>3.4</v>
      </c>
      <c r="D8" s="6" t="n">
        <v>3</v>
      </c>
      <c r="E8" s="6" t="n">
        <v>9.300000000000001</v>
      </c>
      <c r="F8" s="6" t="n">
        <v>5.5</v>
      </c>
      <c r="G8" s="6" t="n">
        <v>5.1</v>
      </c>
      <c r="H8" s="6" t="n"/>
      <c r="I8" s="6" t="n"/>
      <c r="J8" s="6" t="n"/>
      <c r="K8" s="6" t="n"/>
      <c r="L8" s="6" t="n">
        <v>3.8</v>
      </c>
      <c r="M8" s="6" t="n">
        <v>1</v>
      </c>
      <c r="N8" s="6" t="n"/>
      <c r="O8" s="6" t="n"/>
      <c r="P8" s="6" t="n"/>
      <c r="Q8" s="6" t="n"/>
      <c r="R8" s="6" t="n"/>
    </row>
    <row r="9">
      <c r="A9" s="6" t="inlineStr">
        <is>
          <t>Operational Risk</t>
        </is>
      </c>
      <c r="B9" s="6" t="n">
        <v>137.5</v>
      </c>
      <c r="C9" s="6" t="n">
        <v>134.2</v>
      </c>
      <c r="D9" s="6" t="n">
        <v>83.8</v>
      </c>
      <c r="E9" s="6" t="n">
        <v>78.2</v>
      </c>
      <c r="F9" s="6" t="n">
        <v>72.7</v>
      </c>
      <c r="G9" s="6" t="n">
        <v>67.59999999999999</v>
      </c>
      <c r="H9" s="6" t="n"/>
      <c r="I9" s="6" t="n"/>
      <c r="J9" s="6" t="n"/>
      <c r="K9" s="6" t="n"/>
      <c r="L9" s="6" t="n">
        <v>40.1</v>
      </c>
      <c r="M9" s="6" t="n">
        <v>34.3</v>
      </c>
      <c r="N9" s="6" t="n"/>
      <c r="O9" s="6" t="n"/>
      <c r="P9" s="6" t="n"/>
      <c r="Q9" s="6" t="n"/>
      <c r="R9" s="6" t="n"/>
    </row>
    <row r="10">
      <c r="A10" s="5" t="inlineStr">
        <is>
          <t>Total risk-weighted exposure amount</t>
        </is>
      </c>
      <c r="B10" s="5" t="n">
        <v>1370.7</v>
      </c>
      <c r="C10" s="5" t="n">
        <v>1179.2</v>
      </c>
      <c r="D10" s="5" t="n">
        <v>917.3</v>
      </c>
      <c r="E10" s="5" t="n">
        <v>930.1</v>
      </c>
      <c r="F10" s="5" t="n">
        <v>1000.5</v>
      </c>
      <c r="G10" s="5" t="n">
        <v>726</v>
      </c>
      <c r="H10" s="5" t="n"/>
      <c r="I10" s="5" t="n"/>
      <c r="J10" s="5" t="n"/>
      <c r="K10" s="5" t="n"/>
      <c r="L10" s="5" t="n">
        <v>624</v>
      </c>
      <c r="M10" s="5" t="n">
        <v>490.4</v>
      </c>
      <c r="N10" s="5" t="n"/>
      <c r="O10" s="5" t="n"/>
      <c r="P10" s="5" t="n"/>
      <c r="Q10" s="5" t="n"/>
      <c r="R10" s="5" t="n"/>
    </row>
    <row r="11">
      <c r="A11" s="6" t="inlineStr">
        <is>
          <t>Memo: amounts below thresholds for deduction (already included within Credit Risk above)</t>
        </is>
      </c>
      <c r="B11" s="6" t="n">
        <v>0</v>
      </c>
      <c r="C11" s="6" t="n">
        <v>0.8</v>
      </c>
      <c r="D11" s="6" t="n"/>
      <c r="E11" s="6" t="n"/>
      <c r="F11" s="6" t="n"/>
      <c r="G11" s="6" t="n"/>
      <c r="H11" s="6" t="n"/>
      <c r="I11" s="6" t="n"/>
      <c r="J11" s="6" t="n"/>
      <c r="K11" s="6" t="n"/>
      <c r="L11" s="6" t="n"/>
      <c r="M11" s="6" t="n"/>
      <c r="N11" s="6" t="n"/>
      <c r="O11" s="6" t="n"/>
      <c r="P11" s="6" t="n"/>
      <c r="Q11" s="6" t="n"/>
      <c r="R11" s="6" t="n"/>
    </row>
    <row r="13" ht="440" customHeight="1">
      <c r="A13"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FY2020 RECOVERED 2026-09-15 from the FY2021 report's own COMPARATIVE COLUMN, not from a FY2020 document (none exists - see the Pillar 3 sources note). https://www.zenith-bank.co.uk/media/2228/31dec21-pillar-3.pdf, section 11.2 'Overview of risk weighted exposure and own funds requirements', p.25: that table is explicitly headed 'the risk weighted exposures by risk type under Pillar 1 for BOTH PERIODS' and carries a full '31st December 2020' column alongside 31st December 2021 - Credit Risk 888,907k / CVA 3,617k / Settlement Risk nil / Market risk 6,955k / Operational Risk 92,300k / Total 991,779k (US$). Validated three ways: the five components sum to exactly the printed total of 991,779k with no rounding residual; the same table's FY2021 column reproduces this sheet's existing FY2021 figures exactly, line for line; and FY2020 follows FY2021's own taxonomy, so the CCR row is left BLANK (not zero) and CVA is shown separately, exactly as for FY2021, per the source's footnote that other CCR is under 1% of Credit Risk and is therefore folded into the Credit Risk line. Note this means FY2020's Credit Risk row, like FY2021's, includes an immaterial unseparated CCR component. Converted to GBP at the FY2020 period-end spot rate per the FX methodology above.
FY2016-FY2019 remain blank - no Pillar 3 disclosure document is recoverable for those years, and no surviving document's comparative column reaches them (the FY2021 report is the earliest modern edition, and its comparative reaches only FY2020; see Pillar 3 sources note above for the search performed).
FY2009-FY2013 COLUMNS (added 2026-09-15) ARE BLANK ON PURPOSE, AND NO RWA WAS DERIVED FOR THEM. The recovered FY2011 Pillar 3 edition discloses Pillar 1 CAPITAL REQUIREMENTS, not risk-weighted amounts: Credit Risk 18,156 / Market Risk 27 / Operational Risk 1,503 / Total 19,686 (GBP'000, native, not FX-converted), with credit risk further split by exposure class as Financial Institutions 5,768, Corporates 7,461, Retail 25, Bonds 3,899, Sovereigns 896, Multilateral Development Banks 0 and Fixed and other assets 107. Every one of those is 8% of the corresponding risk weighted exposure amount by the source's own definition, so each could be grossed up - and that is exactly what an earlier pass did to produce the FY2014/FY2015 rows on this sheet. It was NOT done here, because grossing up is a derivation and this project's standing rule is to transcribe only what a document states directly. The requirement figures are preserved verbatim in this note instead, which loses nothing. This does leave FY2014/FY2015 on a derived basis and FY2011 on a stated-absence basis on the same sheet; that inconsistency is flagged rather than resolved by adding a second derivation. FY2009, FY2010, FY2012 and FY2013 have no Pillar 3 edition in any archive.</t>
        </is>
      </c>
    </row>
  </sheetData>
  <mergeCells count="1">
    <mergeCell ref="A13:R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exposure measure excluding claims on central banks</t>
        </is>
      </c>
      <c r="B4" s="6" t="n">
        <v>2358.6</v>
      </c>
      <c r="C4" s="6" t="n">
        <v>2387.1</v>
      </c>
      <c r="D4" s="6" t="n">
        <v>2256.1</v>
      </c>
      <c r="E4" s="6" t="n">
        <v>2818.2</v>
      </c>
      <c r="F4" s="6" t="n">
        <v>2381.4</v>
      </c>
      <c r="G4" s="6" t="n">
        <v>1818.1</v>
      </c>
      <c r="H4" s="6" t="n"/>
      <c r="I4" s="6" t="n"/>
      <c r="J4" s="6" t="n"/>
      <c r="K4" s="6" t="n"/>
      <c r="L4" s="6" t="n"/>
      <c r="M4" s="6" t="n"/>
      <c r="N4" s="6" t="n"/>
      <c r="O4" s="6" t="n"/>
      <c r="P4" s="6" t="n"/>
      <c r="Q4" s="6" t="n"/>
      <c r="R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inlineStr">
        <is>
          <t>10.68%</t>
        </is>
      </c>
      <c r="H5" s="6" t="n"/>
      <c r="I5" s="6" t="n"/>
      <c r="J5" s="6" t="n"/>
      <c r="K5" s="6" t="n"/>
      <c r="L5" s="6" t="n"/>
      <c r="M5" s="6" t="n"/>
      <c r="N5" s="6" t="inlineStr">
        <is>
          <t>Not applicable (Basel II)</t>
        </is>
      </c>
      <c r="O5" s="6" t="inlineStr">
        <is>
          <t>Not applicable (Basel II)</t>
        </is>
      </c>
      <c r="P5" s="6" t="inlineStr">
        <is>
          <t>Not applicable (Basel II)</t>
        </is>
      </c>
      <c r="Q5" s="6" t="inlineStr">
        <is>
          <t>Not applicable (Basel II)</t>
        </is>
      </c>
      <c r="R5" s="6" t="inlineStr">
        <is>
          <t>Not applicable (Basel II)</t>
        </is>
      </c>
    </row>
    <row r="6" ht="60" customHeight="1">
      <c r="A6" s="7" t="inlineStr">
        <is>
          <t>Note: FY2009-FY2013 'Not applicable (Basel II)' (2026-09-15): the regulatory leverage ratio is a CRD IV construct with no Basel II counterpart, and the recovered FY2011 edition mentions no leverage ratio anywhere. Marked structurally inapplicable rather than left blank.
FY2020 added 2026-09-15 from the FY2021 Pillar 3's section 10 Key Metrics comparative column - same row label and same 'excluding claims on central banks' basis as the years above it, so this continues the series without a basis change. The exposure measure (US$2,483,697k) and ratio (10.68%) are both printed; 280,619 / 2,483,697 = 11.30% on the capital shown, and the Bank's 10.68% reflects its own tier-1-for-leverage measurement, so the printed figure is carried as disclosed and nothing is derived.
FY2014-FY2019 remain blank: the CRD IV/UK leverage ratio framework did not apply to a firm this size in FY2014/FY2015 (their own surviving Pillar 3 disclosures mention no leverage ratio), and no Pillar 3 disclosure document has been recovered for FY2016-FY2019. NOTE the prior version of this note said FY2016-FY2020 - that was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8:R8"/>
    <mergeCell ref="A6:R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high-quality liquid assets (HQLA), weighted value</t>
        </is>
      </c>
      <c r="B4" s="6" t="n">
        <v>708.3</v>
      </c>
      <c r="C4" s="6" t="n">
        <v>810.1</v>
      </c>
      <c r="D4" s="6" t="n">
        <v>901.4</v>
      </c>
      <c r="E4" s="6" t="n">
        <v>1014.7</v>
      </c>
      <c r="F4" s="6" t="n">
        <v>689.9</v>
      </c>
      <c r="G4" s="6" t="n">
        <v>573</v>
      </c>
      <c r="H4" s="6" t="n"/>
      <c r="I4" s="6" t="n"/>
      <c r="J4" s="6" t="n"/>
      <c r="K4" s="6" t="n"/>
      <c r="L4" s="6" t="n"/>
      <c r="M4" s="6" t="n"/>
      <c r="N4" s="6" t="n"/>
      <c r="O4" s="6" t="n"/>
      <c r="P4" s="6" t="n"/>
      <c r="Q4" s="6" t="n"/>
      <c r="R4" s="6" t="n"/>
    </row>
    <row r="5">
      <c r="A5" s="6" t="inlineStr">
        <is>
          <t>Total net cash outflows, adjusted value</t>
        </is>
      </c>
      <c r="B5" s="6" t="n">
        <v>262.2</v>
      </c>
      <c r="C5" s="6" t="n">
        <v>245.2</v>
      </c>
      <c r="D5" s="6" t="n">
        <v>290.3</v>
      </c>
      <c r="E5" s="6" t="n">
        <v>309.8</v>
      </c>
      <c r="F5" s="6" t="n">
        <v>249.8</v>
      </c>
      <c r="G5" s="6" t="n">
        <v>131.7</v>
      </c>
      <c r="H5" s="6" t="n"/>
      <c r="I5" s="6" t="n"/>
      <c r="J5" s="6" t="n"/>
      <c r="K5" s="6" t="n"/>
      <c r="L5" s="6" t="n"/>
      <c r="M5" s="6" t="n"/>
      <c r="N5" s="6" t="n"/>
      <c r="O5" s="6" t="n"/>
      <c r="P5" s="6" t="n"/>
      <c r="Q5" s="6" t="n"/>
      <c r="R5" s="6" t="n"/>
    </row>
    <row r="6">
      <c r="A6" s="6" t="inlineStr">
        <is>
          <t>Liquidity Coverage Ratio (%) (12-month simple average)</t>
        </is>
      </c>
      <c r="B6" s="6" t="inlineStr">
        <is>
          <t>270.19%</t>
        </is>
      </c>
      <c r="C6" s="6" t="inlineStr">
        <is>
          <t>330.42%</t>
        </is>
      </c>
      <c r="D6" s="6" t="inlineStr">
        <is>
          <t>310%</t>
        </is>
      </c>
      <c r="E6" s="6" t="inlineStr">
        <is>
          <t>343%</t>
        </is>
      </c>
      <c r="F6" s="6" t="n"/>
      <c r="G6" s="6" t="n"/>
      <c r="H6" s="6" t="n"/>
      <c r="I6" s="6" t="n"/>
      <c r="J6" s="6" t="n"/>
      <c r="K6" s="6" t="n"/>
      <c r="L6" s="6" t="n"/>
      <c r="M6" s="6" t="n"/>
      <c r="N6" s="6" t="n"/>
      <c r="O6" s="6" t="n"/>
      <c r="P6" s="6" t="n"/>
      <c r="Q6" s="6" t="n"/>
      <c r="R6" s="6" t="n"/>
    </row>
    <row r="7">
      <c r="A7" s="6" t="inlineStr">
        <is>
          <t>Liquidity Coverage Ratio (%) (point-in-time at year-end)</t>
        </is>
      </c>
      <c r="B7" s="6" t="n"/>
      <c r="C7" s="6" t="n"/>
      <c r="D7" s="6" t="n"/>
      <c r="E7" s="6" t="n"/>
      <c r="F7" s="6" t="inlineStr">
        <is>
          <t>276%</t>
        </is>
      </c>
      <c r="G7" s="6" t="inlineStr">
        <is>
          <t>435%</t>
        </is>
      </c>
      <c r="H7" s="6" t="n"/>
      <c r="I7" s="6" t="n"/>
      <c r="J7" s="6" t="n"/>
      <c r="K7" s="6" t="n"/>
      <c r="L7" s="6" t="n"/>
      <c r="M7" s="6" t="n"/>
      <c r="N7" s="6" t="inlineStr">
        <is>
          <t>Not applicable (pre-LCR regime)</t>
        </is>
      </c>
      <c r="O7" s="6" t="inlineStr">
        <is>
          <t>Not applicable (pre-LCR regime)</t>
        </is>
      </c>
      <c r="P7" s="6" t="inlineStr">
        <is>
          <t>Not applicable (pre-LCR regime)</t>
        </is>
      </c>
      <c r="Q7" s="6" t="inlineStr">
        <is>
          <t>Not applicable (pre-LCR regime)</t>
        </is>
      </c>
      <c r="R7" s="6" t="inlineStr">
        <is>
          <t>Not applicable (pre-LCR regime)</t>
        </is>
      </c>
    </row>
    <row r="8" ht="60" customHeight="1">
      <c r="A8" s="7" t="inlineStr">
        <is>
          <t>Note: FY2009-FY2013 'Not applicable (pre-LCR regime)' (2026-09-15): the LCR was not a UK requirement in those years - the recovered FY2011 Basel II edition manages liquidity under the pre-LCR ILAA/BIPRU regime and discloses no quantitative liquidity metric at all. The marker is placed on the point-in-time row purely because that is the row FY2020/FY2021 use; it applies to the metric as a whole, not to one basis. Marked structurally inapplicable rather than left blank.
TWO DIFFERENT BASES, deliberately kept on separate rows (2026-09-15). FY2021 is a point-in-time (year-end) figure as originally disclosed; FY2022 onward is a 12-month simple average, per each year's own report. They are NOT comparable, so FY2021 is shown on its own row rather than continuing the average row with a different-basis number - an earlier revision of this workbook carried all five years in a single row, which implied a like-for-like 276% -&gt; 343% move that the sources do not support. The HQLA and net-cash-outflow rows above carry the same vintage split (FY2021 point-in-time, FY2022 onward averaged) and are left as single rows, following the same convention used for Access Bank. FY2022's own report (374,822k/343%) differs from the FY2023 report's restated FY2022 comparative (348,210k/352%) - FY2022's own report figure is used, per this project's convention.
FY2020 (435%) added 2026-09-15 and placed on the POINT-IN-TIME row, not the average row: it comes from the FY2021 report's section 10 comparative column, i.e. the same table and the same basis as FY2021's 276%. Its HQLA (US$782,801k) and net cash outflows (US$179,896k) divide to 435.1%, reproducing the printed ratio. Reading FY2020 -&gt; FY2021 as 435% -&gt; 276% is therefore like-for-like; reading FY2020 -&gt; FY2022 across the two rows is not.
FY2014-FY2019 remain blank: LCR minimum requirements were phased in for UK firms from October 2015, and no Pillar 3 disclosure covering LCR has been recovered for FY2016-FY2019; FY2014/FY2015's own surviving Pillar 3 disclosures pre-date LCR reporting for this firm and mention no LCR figure. NOTE the prior version of this note said FY2014-FY2020 -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t>
        </is>
      </c>
    </row>
    <row r="10" ht="120" customHeight="1">
      <c r="A10"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8:R8"/>
    <mergeCell ref="A10:R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available stable funding</t>
        </is>
      </c>
      <c r="B4" s="6" t="n">
        <v>979.3</v>
      </c>
      <c r="C4" s="6" t="n">
        <v>908.4</v>
      </c>
      <c r="D4" s="6" t="n">
        <v>838</v>
      </c>
      <c r="E4" s="6" t="n">
        <v>754.6</v>
      </c>
      <c r="F4" s="6" t="n"/>
      <c r="G4" s="6" t="n"/>
      <c r="H4" s="6" t="n"/>
      <c r="I4" s="6" t="n"/>
      <c r="J4" s="6" t="n"/>
      <c r="K4" s="6" t="n"/>
      <c r="L4" s="6" t="n"/>
      <c r="M4" s="6" t="n"/>
      <c r="N4" s="6" t="n"/>
      <c r="O4" s="6" t="n"/>
      <c r="P4" s="6" t="n"/>
      <c r="Q4" s="6" t="n"/>
      <c r="R4" s="6" t="n"/>
    </row>
    <row r="5">
      <c r="A5" s="6" t="inlineStr">
        <is>
          <t>Total required stable funding</t>
        </is>
      </c>
      <c r="B5" s="6" t="n">
        <v>705.3</v>
      </c>
      <c r="C5" s="6" t="n">
        <v>613.9</v>
      </c>
      <c r="D5" s="6" t="n">
        <v>584.7</v>
      </c>
      <c r="E5" s="6" t="n">
        <v>608.2</v>
      </c>
      <c r="F5" s="6" t="n"/>
      <c r="G5" s="6" t="n"/>
      <c r="H5" s="6" t="n"/>
      <c r="I5" s="6" t="n"/>
      <c r="J5" s="6" t="n"/>
      <c r="K5" s="6" t="n"/>
      <c r="L5" s="6" t="n"/>
      <c r="M5" s="6" t="n"/>
      <c r="N5" s="6" t="n"/>
      <c r="O5" s="6" t="n"/>
      <c r="P5" s="6" t="n"/>
      <c r="Q5" s="6" t="n"/>
      <c r="R5" s="6" t="n"/>
    </row>
    <row r="6">
      <c r="A6" s="6" t="inlineStr">
        <is>
          <t>Net Stable Funding Ratio (%)</t>
        </is>
      </c>
      <c r="B6" s="6" t="inlineStr">
        <is>
          <t>138.85%</t>
        </is>
      </c>
      <c r="C6" s="6" t="inlineStr">
        <is>
          <t>147.98%</t>
        </is>
      </c>
      <c r="D6" s="6" t="inlineStr">
        <is>
          <t>143%</t>
        </is>
      </c>
      <c r="E6" s="6" t="inlineStr">
        <is>
          <t>124%</t>
        </is>
      </c>
      <c r="F6" s="6" t="inlineStr">
        <is>
          <t>Not disclosed</t>
        </is>
      </c>
      <c r="G6" s="6" t="n"/>
      <c r="H6" s="6" t="n"/>
      <c r="I6" s="6" t="n"/>
      <c r="J6" s="6" t="n"/>
      <c r="K6" s="6" t="n"/>
      <c r="L6" s="6" t="n"/>
      <c r="M6" s="6" t="n"/>
      <c r="N6" s="6" t="inlineStr">
        <is>
          <t>Not applicable</t>
        </is>
      </c>
      <c r="O6" s="6" t="inlineStr">
        <is>
          <t>Not applicable</t>
        </is>
      </c>
      <c r="P6" s="6" t="inlineStr">
        <is>
          <t>Not applicable</t>
        </is>
      </c>
      <c r="Q6" s="6" t="inlineStr">
        <is>
          <t>Not applicable</t>
        </is>
      </c>
      <c r="R6" s="6" t="inlineStr">
        <is>
          <t>Not applicable</t>
        </is>
      </c>
    </row>
    <row r="7" ht="60" customHeight="1">
      <c r="A7" s="7" t="inlineStr">
        <is>
          <t>Note: FY2009-FY2013 'Not applicable' (2026-09-15): the NSFR did not exist as a UK requirement until 1 January 2022, so those years are structurally inapplicable, not gaps. (Plain 'Not applicable' rather than the '(Basel II)' qualifier used on the neighbouring sheets, because the NSFR post-dates CRD IV too.)
STRUCTURAL, NOT MISSING - and the Bank says so in its own words. The FY2021 Pillar 3, section 10 (p.22), states: "From 1st January 2022 the new UK Net Stable Funding Ratio (NSFR) was adopted and will be shown in the next Pillar 3 disclosure." So FY2021 and every earlier year genuinely have no NSFR to disclose, and FY2022 is correctly the first year populated. This matches the UK-wide position under PRA PS17/21: no NSFR requirement and no disclosure template existed before 1 January 2022. Re-verified 2026-09-15 by re-reading the FY2021 document in full.
FY2014-FY2020 are blank for the same regulatory reason. Note that a FY2020 column IS now available for the other Pillar 3 metrics on this workbook (see the CET1/leverage/LCR sheets) because the FY2021 report carries a full FY2020 comparative - but that comparative contains no NSFR either, which is exactly what the adoption date predicts. The prior version of this note said no Pillar 3 document could be recovered for FY2016-FY2020; that is now narrowed to FY2016-FY2019.</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7:R7"/>
    <mergeCell ref="A9:R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applicable (pre-dates MREL regime)</t>
        </is>
      </c>
      <c r="O4" s="6" t="inlineStr">
        <is>
          <t>Not applicable (pre-dates MREL regime)</t>
        </is>
      </c>
      <c r="P4" s="6" t="inlineStr">
        <is>
          <t>Not applicable (pre-dates MREL regime)</t>
        </is>
      </c>
      <c r="Q4" s="6" t="inlineStr">
        <is>
          <t>Not applicable (pre-dates MREL regime)</t>
        </is>
      </c>
      <c r="R4" s="6" t="inlineStr">
        <is>
          <t>Not applicable (pre-dates MREL regime)</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
FY2009-FY2013 changed from 'Not publicly disclosed' to 'Not applicable (pre-dates MREL regime)' 2026-09-15: MREL was introduced by the BRRD and had no UK existence in those years, so those cells are structurally inapplicable rather than a disclosure gap. The recovered FY2011 Basel II edition contains no occurrence of 'MREL'.</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PRE-EXISTING UNIT-SCALE DEFECT ON THIS SHEET, FOUND 2026-09-15, NOT FIXED IN THIS PASS ***
Every absolute-amount cell on the Pillar 3 metric sheets and the RWA Breakdown sheet of this workbook is 1000x smaller than the "£'000" unit label claims: the figures are effectively GBP MILLIONS. Demonstration from this workbook's own numbers: the Balance Sheet sheet shows FY2024 Total equity as 305,356.2 under the same "£'000, conv. from USD" header, while the CET1 Capital sheet shows FY2024 CET1 capital as 302.3 - two figures that should be within a few percent of each other, three orders of magnitude apart. CAUSE: the statement sheets pass raw USD amounts into stock()/flow(), which divide by 1,000 to reach GBP'000, but the Pillar 3 source dictionaries hold US$'000 amounts taken straight from the KM1/OV1 tables, so that same divide-by-1,000 is applied to figures that are already in thousands. RATIOS ARE UNAFFECTED (numerator and denominator are both scaled identically, and each printed ratio still reproduces), and the sheets are internally consistent, so year-on-year comparison within a sheet is safe; what is wrong is the unit LABEL and any comparison against the statement sheets. This was found while adding the FY2011 figures and is reported as a defect needing its own ticket rather than corrected here: the fix touches every year including the current five-year window, the Overview copies and the extracted insights database, and it is outside this pass's scope.</t>
        </is>
      </c>
    </row>
  </sheetData>
  <mergeCells count="2">
    <mergeCell ref="A5:R5"/>
    <mergeCell ref="A7:R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2026-09-15T20:43:55Z</dcterms:created>
  <dcterms:modified xmlns:dcterms="http://purl.org/dc/terms/" xmlns:xsi="http://www.w3.org/2001/XMLSchema-instance" xsi:type="dcterms:W3CDTF">2026-09-15T20:43:55Z</dcterms:modified>
</cp:coreProperties>
</file>