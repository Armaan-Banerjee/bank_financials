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Balance Sheet" sheetId="2" state="visible" r:id="rId2"/>
    <sheet xmlns:r="http://schemas.openxmlformats.org/officeDocument/2006/relationships" name="Profit &amp; Loss" sheetId="3" state="visible" r:id="rId3"/>
    <sheet xmlns:r="http://schemas.openxmlformats.org/officeDocument/2006/relationships" name="Statement of Changes in Equity" sheetId="4" state="visible" r:id="rId4"/>
    <sheet xmlns:r="http://schemas.openxmlformats.org/officeDocument/2006/relationships" name="Cash Flow Statement" sheetId="5" state="visible" r:id="rId5"/>
    <sheet xmlns:r="http://schemas.openxmlformats.org/officeDocument/2006/relationships" name="Asset Quality" sheetId="6" state="visible" r:id="rId6"/>
    <sheet xmlns:r="http://schemas.openxmlformats.org/officeDocument/2006/relationships" name="Profitability" sheetId="7" state="visible" r:id="rId7"/>
    <sheet xmlns:r="http://schemas.openxmlformats.org/officeDocument/2006/relationships" name="KM1 Key Metrics" sheetId="8" state="visible" r:id="rId8"/>
    <sheet xmlns:r="http://schemas.openxmlformats.org/officeDocument/2006/relationships" name="CET1 Capital" sheetId="9" state="visible" r:id="rId9"/>
    <sheet xmlns:r="http://schemas.openxmlformats.org/officeDocument/2006/relationships" name="CET1 Ratio" sheetId="10" state="visible" r:id="rId10"/>
    <sheet xmlns:r="http://schemas.openxmlformats.org/officeDocument/2006/relationships" name="Tier 1 Capital" sheetId="11" state="visible" r:id="rId11"/>
    <sheet xmlns:r="http://schemas.openxmlformats.org/officeDocument/2006/relationships" name="Tier 1 Ratio" sheetId="12" state="visible" r:id="rId12"/>
    <sheet xmlns:r="http://schemas.openxmlformats.org/officeDocument/2006/relationships" name="Total Capital" sheetId="13" state="visible" r:id="rId13"/>
    <sheet xmlns:r="http://schemas.openxmlformats.org/officeDocument/2006/relationships" name="Total Capital Ratio" sheetId="14" state="visible" r:id="rId14"/>
    <sheet xmlns:r="http://schemas.openxmlformats.org/officeDocument/2006/relationships" name="Total RWAs" sheetId="15" state="visible" r:id="rId15"/>
    <sheet xmlns:r="http://schemas.openxmlformats.org/officeDocument/2006/relationships" name="RWA Breakdown" sheetId="16" state="visible" r:id="rId16"/>
    <sheet xmlns:r="http://schemas.openxmlformats.org/officeDocument/2006/relationships" name="Leverage Ratio" sheetId="17" state="visible" r:id="rId17"/>
    <sheet xmlns:r="http://schemas.openxmlformats.org/officeDocument/2006/relationships" name="LCR" sheetId="18" state="visible" r:id="rId18"/>
    <sheet xmlns:r="http://schemas.openxmlformats.org/officeDocument/2006/relationships" name="NSFR" sheetId="19" state="visible" r:id="rId19"/>
    <sheet xmlns:r="http://schemas.openxmlformats.org/officeDocument/2006/relationships" name="MREL Ratio" sheetId="20" state="visible" r:id="rId20"/>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3"/>
    </font>
    <font>
      <i val="1"/>
      <color rgb="00666666"/>
      <sz val="9"/>
    </font>
    <font>
      <b val="1"/>
      <color rgb="00FFFFFF"/>
    </font>
    <font>
      <b val="1"/>
    </font>
    <font>
      <i val="1"/>
      <color rgb="00444444"/>
      <sz val="9"/>
    </font>
  </fonts>
  <fills count="3">
    <fill>
      <patternFill/>
    </fill>
    <fill>
      <patternFill patternType="gray125"/>
    </fill>
    <fill>
      <patternFill patternType="solid">
        <fgColor rgb="002A3E5C"/>
        <bgColor rgb="002A3E5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4" fillId="0" borderId="0" pivotButton="0" quotePrefix="0" xfId="0"/>
    <xf numFmtId="0" fontId="3" fillId="2" borderId="0" applyAlignment="1" pivotButton="0" quotePrefix="0" xfId="0">
      <alignment horizontal="left" vertical="center" wrapText="1"/>
    </xf>
    <xf numFmtId="0" fontId="4" fillId="0" borderId="1" pivotButton="0" quotePrefix="0" xfId="0"/>
    <xf numFmtId="0" fontId="0" fillId="0" borderId="1" pivotButton="0" quotePrefix="0" xfId="0"/>
    <xf numFmtId="0" fontId="2" fillId="0" borderId="0" applyAlignment="1" pivotButton="0" quotePrefix="0" xfId="0">
      <alignment horizontal="left" vertical="top" wrapText="1"/>
    </xf>
    <xf numFmtId="0" fontId="5"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styles" Target="styles.xml" Id="rId21"/><Relationship Type="http://schemas.openxmlformats.org/officeDocument/2006/relationships/theme" Target="theme/theme1.xml" Id="rId22"/></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Zenith Bank (UK) Limited — Balance Sheet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'Overview'!U6</f>
            </strRef>
          </tx>
          <spPr>
            <a:ln xmlns:a="http://schemas.openxmlformats.org/drawingml/2006/main">
              <a:prstDash val="solid"/>
            </a:ln>
          </spPr>
          <cat>
            <numRef>
              <f>'Overview'!$V$5:$AL$5</f>
            </numRef>
          </cat>
          <val>
            <numRef>
              <f>'Overview'!$V$6:$AL$6</f>
            </numRef>
          </val>
        </ser>
        <ser>
          <idx val="1"/>
          <order val="1"/>
          <tx>
            <strRef>
              <f>'Overview'!U7</f>
            </strRef>
          </tx>
          <spPr>
            <a:ln xmlns:a="http://schemas.openxmlformats.org/drawingml/2006/main">
              <a:prstDash val="solid"/>
            </a:ln>
          </spPr>
          <cat>
            <numRef>
              <f>'Overview'!$V$5:$AL$5</f>
            </numRef>
          </cat>
          <val>
            <numRef>
              <f>'Overview'!$V$7:$AL$7</f>
            </numRef>
          </val>
        </ser>
        <ser>
          <idx val="2"/>
          <order val="2"/>
          <tx>
            <strRef>
              <f>'Overview'!U8</f>
            </strRef>
          </tx>
          <spPr>
            <a:ln xmlns:a="http://schemas.openxmlformats.org/drawingml/2006/main">
              <a:prstDash val="solid"/>
            </a:ln>
          </spPr>
          <cat>
            <numRef>
              <f>'Overview'!$V$5:$AL$5</f>
            </numRef>
          </cat>
          <val>
            <numRef>
              <f>'Overview'!$V$8:$AL$8</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Zenith Bank (UK) Limited — Profit &amp; Loss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'Overview'!AO12</f>
            </strRef>
          </tx>
          <spPr>
            <a:ln xmlns:a="http://schemas.openxmlformats.org/drawingml/2006/main">
              <a:prstDash val="solid"/>
            </a:ln>
          </spPr>
          <cat>
            <numRef>
              <f>'Overview'!$AP$11:$BF$11</f>
            </numRef>
          </cat>
          <val>
            <numRef>
              <f>'Overview'!$AP$12:$BF$12</f>
            </numRef>
          </val>
        </ser>
        <ser>
          <idx val="1"/>
          <order val="1"/>
          <tx>
            <strRef>
              <f>'Overview'!AO13</f>
            </strRef>
          </tx>
          <spPr>
            <a:ln xmlns:a="http://schemas.openxmlformats.org/drawingml/2006/main">
              <a:prstDash val="solid"/>
            </a:ln>
          </spPr>
          <cat>
            <numRef>
              <f>'Overview'!$AP$11:$BF$11</f>
            </numRef>
          </cat>
          <val>
            <numRef>
              <f>'Overview'!$AP$13:$BF$13</f>
            </numRef>
          </val>
        </ser>
        <ser>
          <idx val="2"/>
          <order val="2"/>
          <tx>
            <strRef>
              <f>'Overview'!AO14</f>
            </strRef>
          </tx>
          <spPr>
            <a:ln xmlns:a="http://schemas.openxmlformats.org/drawingml/2006/main">
              <a:prstDash val="solid"/>
            </a:ln>
          </spPr>
          <cat>
            <numRef>
              <f>'Overview'!$AP$11:$BF$11</f>
            </numRef>
          </cat>
          <val>
            <numRef>
              <f>'Overview'!$AP$14:$BF$14</f>
            </numRef>
          </val>
        </ser>
        <ser>
          <idx val="3"/>
          <order val="3"/>
          <tx>
            <strRef>
              <f>'Overview'!AO15</f>
            </strRef>
          </tx>
          <spPr>
            <a:ln xmlns:a="http://schemas.openxmlformats.org/drawingml/2006/main">
              <a:prstDash val="solid"/>
            </a:ln>
          </spPr>
          <cat>
            <numRef>
              <f>'Overview'!$AP$11:$BF$11</f>
            </numRef>
          </cat>
          <val>
            <numRef>
              <f>'Overview'!$AP$15:$BF$15</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Zenith Bank (UK) Limited — Statement of Changes in Equity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'Overview'!BI19</f>
            </strRef>
          </tx>
          <spPr>
            <a:ln xmlns:a="http://schemas.openxmlformats.org/drawingml/2006/main">
              <a:prstDash val="solid"/>
            </a:ln>
          </spPr>
          <cat>
            <numRef>
              <f>'Overview'!$BJ$18:$BU$18</f>
            </numRef>
          </cat>
          <val>
            <numRef>
              <f>'Overview'!$BJ$19:$BU$19</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Zenith Bank (UK) Limited — Cash Flow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'Overview'!BX23</f>
            </strRef>
          </tx>
          <spPr>
            <a:ln xmlns:a="http://schemas.openxmlformats.org/drawingml/2006/main">
              <a:prstDash val="solid"/>
            </a:ln>
          </spPr>
          <cat>
            <numRef>
              <f>'Overview'!$BY$22:$CL$22</f>
            </numRef>
          </cat>
          <val>
            <numRef>
              <f>'Overview'!$BY$23:$CL$23</f>
            </numRef>
          </val>
        </ser>
        <ser>
          <idx val="1"/>
          <order val="1"/>
          <tx>
            <strRef>
              <f>'Overview'!BX24</f>
            </strRef>
          </tx>
          <spPr>
            <a:ln xmlns:a="http://schemas.openxmlformats.org/drawingml/2006/main">
              <a:prstDash val="solid"/>
            </a:ln>
          </spPr>
          <cat>
            <numRef>
              <f>'Overview'!$BY$22:$CL$22</f>
            </numRef>
          </cat>
          <val>
            <numRef>
              <f>'Overview'!$BY$24:$CL$24</f>
            </numRef>
          </val>
        </ser>
        <ser>
          <idx val="2"/>
          <order val="2"/>
          <tx>
            <strRef>
              <f>'Overview'!BX25</f>
            </strRef>
          </tx>
          <spPr>
            <a:ln xmlns:a="http://schemas.openxmlformats.org/drawingml/2006/main">
              <a:prstDash val="solid"/>
            </a:ln>
          </spPr>
          <cat>
            <numRef>
              <f>'Overview'!$BY$22:$CL$22</f>
            </numRef>
          </cat>
          <val>
            <numRef>
              <f>'Overview'!$BY$25:$CL$25</f>
            </numRef>
          </val>
        </ser>
        <ser>
          <idx val="3"/>
          <order val="3"/>
          <tx>
            <strRef>
              <f>'Overview'!BX26</f>
            </strRef>
          </tx>
          <spPr>
            <a:ln xmlns:a="http://schemas.openxmlformats.org/drawingml/2006/main">
              <a:prstDash val="solid"/>
            </a:ln>
          </spPr>
          <cat>
            <numRef>
              <f>'Overview'!$BY$22:$CL$22</f>
            </numRef>
          </cat>
          <val>
            <numRef>
              <f>'Overview'!$BY$26:$CL$26</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5.xml><?xml version="1.0" encoding="utf-8"?>
<chartSpace xmlns="http://schemas.openxmlformats.org/drawingml/2006/chart">
  <chart>
    <title>
      <tx>
        <rich>
          <a:bodyPr xmlns:a="http://schemas.openxmlformats.org/drawingml/2006/main"/>
          <a:p xmlns:a="http://schemas.openxmlformats.org/drawingml/2006/main">
            <a:pPr>
              <a:defRPr/>
            </a:pPr>
            <a:r>
              <a:t>Zenith Bank (UK) Limited — Pillar 3 Key Metrics by Year</a:t>
            </a:r>
          </a:p>
        </rich>
      </tx>
    </title>
    <plotArea>
      <layout>
        <manualLayout>
          <layoutTarget val="inner"/>
          <xMode val="edge"/>
          <yMode val="edge"/>
          <wMode val="factor"/>
          <hMode val="factor"/>
          <x val="0.1"/>
          <y val="0.12"/>
          <w val="0.85"/>
          <h val="0.5"/>
        </manualLayout>
      </layout>
      <lineChart>
        <grouping val="standard"/>
        <ser>
          <idx val="0"/>
          <order val="0"/>
          <tx>
            <strRef>
              <f>'Overview'!CO6</f>
            </strRef>
          </tx>
          <spPr>
            <a:ln xmlns:a="http://schemas.openxmlformats.org/drawingml/2006/main">
              <a:prstDash val="solid"/>
            </a:ln>
          </spPr>
          <marker>
            <symbol val="none"/>
            <spPr>
              <a:ln xmlns:a="http://schemas.openxmlformats.org/drawingml/2006/main">
                <a:prstDash val="solid"/>
              </a:ln>
            </spPr>
          </marker>
          <cat>
            <numRef>
              <f>'Overview'!$CP$5:$DD$5</f>
            </numRef>
          </cat>
          <val>
            <numRef>
              <f>'Overview'!$CP$6:$DD$6</f>
            </numRef>
          </val>
          <smooth val="0"/>
        </ser>
        <ser>
          <idx val="1"/>
          <order val="1"/>
          <tx>
            <strRef>
              <f>'Overview'!CO7</f>
            </strRef>
          </tx>
          <spPr>
            <a:ln xmlns:a="http://schemas.openxmlformats.org/drawingml/2006/main">
              <a:prstDash val="solid"/>
            </a:ln>
          </spPr>
          <marker>
            <symbol val="none"/>
            <spPr>
              <a:ln xmlns:a="http://schemas.openxmlformats.org/drawingml/2006/main">
                <a:prstDash val="solid"/>
              </a:ln>
            </spPr>
          </marker>
          <cat>
            <numRef>
              <f>'Overview'!$CP$5:$DD$5</f>
            </numRef>
          </cat>
          <val>
            <numRef>
              <f>'Overview'!$CP$7:$DD$7</f>
            </numRef>
          </val>
          <smooth val="0"/>
        </ser>
        <ser>
          <idx val="2"/>
          <order val="2"/>
          <tx>
            <strRef>
              <f>'Overview'!CO8</f>
            </strRef>
          </tx>
          <spPr>
            <a:ln xmlns:a="http://schemas.openxmlformats.org/drawingml/2006/main">
              <a:prstDash val="solid"/>
            </a:ln>
          </spPr>
          <marker>
            <symbol val="none"/>
            <spPr>
              <a:ln xmlns:a="http://schemas.openxmlformats.org/drawingml/2006/main">
                <a:prstDash val="solid"/>
              </a:ln>
            </spPr>
          </marker>
          <cat>
            <numRef>
              <f>'Overview'!$CP$5:$DD$5</f>
            </numRef>
          </cat>
          <val>
            <numRef>
              <f>'Overview'!$CP$8:$DD$8</f>
            </numRef>
          </val>
          <smooth val="0"/>
        </ser>
        <ser>
          <idx val="3"/>
          <order val="3"/>
          <tx>
            <strRef>
              <f>'Overview'!CO9</f>
            </strRef>
          </tx>
          <spPr>
            <a:ln xmlns:a="http://schemas.openxmlformats.org/drawingml/2006/main">
              <a:prstDash val="solid"/>
            </a:ln>
          </spPr>
          <marker>
            <symbol val="none"/>
            <spPr>
              <a:ln xmlns:a="http://schemas.openxmlformats.org/drawingml/2006/main">
                <a:prstDash val="solid"/>
              </a:ln>
            </spPr>
          </marker>
          <cat>
            <numRef>
              <f>'Overview'!$CP$5:$DD$5</f>
            </numRef>
          </cat>
          <val>
            <numRef>
              <f>'Overview'!$CP$9:$DD$9</f>
            </numRef>
          </val>
          <smooth val="0"/>
        </ser>
        <ser>
          <idx val="4"/>
          <order val="4"/>
          <tx>
            <strRef>
              <f>'Overview'!CO10</f>
            </strRef>
          </tx>
          <spPr>
            <a:ln xmlns:a="http://schemas.openxmlformats.org/drawingml/2006/main">
              <a:prstDash val="solid"/>
            </a:ln>
          </spPr>
          <marker>
            <symbol val="none"/>
            <spPr>
              <a:ln xmlns:a="http://schemas.openxmlformats.org/drawingml/2006/main">
                <a:prstDash val="solid"/>
              </a:ln>
            </spPr>
          </marker>
          <cat>
            <numRef>
              <f>'Overview'!$CP$5:$DD$5</f>
            </numRef>
          </cat>
          <val>
            <numRef>
              <f>'Overview'!$CP$10:$DD$10</f>
            </numRef>
          </val>
          <smooth val="0"/>
        </ser>
        <ser>
          <idx val="5"/>
          <order val="5"/>
          <tx>
            <strRef>
              <f>'Overview'!CO11</f>
            </strRef>
          </tx>
          <spPr>
            <a:ln xmlns:a="http://schemas.openxmlformats.org/drawingml/2006/main">
              <a:prstDash val="solid"/>
            </a:ln>
          </spPr>
          <marker>
            <symbol val="none"/>
            <spPr>
              <a:ln xmlns:a="http://schemas.openxmlformats.org/drawingml/2006/main">
                <a:prstDash val="solid"/>
              </a:ln>
            </spPr>
          </marker>
          <cat>
            <numRef>
              <f>'Overview'!$CP$5:$DD$5</f>
            </numRef>
          </cat>
          <val>
            <numRef>
              <f>'Overview'!$CP$11:$DD$11</f>
            </numRef>
          </val>
          <smooth val="0"/>
        </ser>
        <axId val="10"/>
        <axId val="100"/>
      </line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a:t>
                </a:r>
              </a:p>
            </rich>
          </tx>
        </title>
        <majorTickMark val="out"/>
        <minorTickMark val="none"/>
        <tickLblPos val="nextTo"/>
        <crossAx val="10"/>
      </valAx>
    </plotArea>
    <legend>
      <legendPos val="b"/>
      <layout>
        <manualLayout>
          <xMode val="edge"/>
          <yMode val="edge"/>
          <wMode val="factor"/>
          <hMode val="factor"/>
          <x val="0.02"/>
          <y val="0.78"/>
          <w val="0.96"/>
          <h val="0.22"/>
        </manualLayout>
      </layout>
    </legend>
    <plotVisOnly val="0"/>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s>
</file>

<file path=xl/drawings/drawing1.xml><?xml version="1.0" encoding="utf-8"?>
<wsDr xmlns="http://schemas.openxmlformats.org/drawingml/2006/spreadsheetDrawing">
  <oneCellAnchor>
    <from>
      <col>0</col>
      <colOff>0</colOff>
      <row>39</row>
      <rowOff>0</rowOff>
    </from>
    <ext cx="8640000" cy="46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0</col>
      <colOff>0</colOff>
      <row>61</row>
      <rowOff>0</rowOff>
    </from>
    <ext cx="8640000" cy="46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83</row>
      <rowOff>0</rowOff>
    </from>
    <ext cx="8640000" cy="46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0</col>
      <colOff>0</colOff>
      <row>105</row>
      <rowOff>0</rowOff>
    </from>
    <ext cx="8640000" cy="46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0</col>
      <colOff>0</colOff>
      <row>127</row>
      <rowOff>0</rowOff>
    </from>
    <ext cx="8640000" cy="576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DD37"/>
  <sheetViews>
    <sheetView workbookViewId="0">
      <selection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hidden="1" width="13" customWidth="1" min="21" max="21"/>
    <col hidden="1" width="13" customWidth="1" min="22" max="22"/>
    <col hidden="1" width="13" customWidth="1" min="23" max="23"/>
    <col hidden="1" width="13" customWidth="1" min="24" max="24"/>
    <col hidden="1" width="13" customWidth="1" min="25" max="25"/>
    <col hidden="1" width="13" customWidth="1" min="26" max="26"/>
    <col hidden="1" width="13" customWidth="1" min="27" max="27"/>
    <col hidden="1" width="13" customWidth="1" min="28" max="28"/>
    <col hidden="1" width="13" customWidth="1" min="29" max="29"/>
    <col hidden="1" width="13" customWidth="1" min="30" max="30"/>
    <col hidden="1" width="13" customWidth="1" min="31" max="31"/>
    <col hidden="1" width="13" customWidth="1" min="32" max="32"/>
    <col hidden="1" width="13" customWidth="1" min="33" max="33"/>
    <col hidden="1" width="13" customWidth="1" min="34" max="34"/>
    <col hidden="1" width="13" customWidth="1" min="35" max="35"/>
    <col hidden="1" width="13" customWidth="1" min="36" max="36"/>
    <col hidden="1" width="13" customWidth="1" min="37" max="37"/>
    <col hidden="1" width="13" customWidth="1" min="38" max="38"/>
    <col hidden="1" width="13" customWidth="1" min="39" max="39"/>
    <col hidden="1" width="13" customWidth="1" min="40" max="40"/>
    <col hidden="1" width="13" customWidth="1" min="41" max="41"/>
    <col hidden="1" width="13" customWidth="1" min="42" max="42"/>
    <col hidden="1" width="13" customWidth="1" min="43" max="43"/>
    <col hidden="1" width="13" customWidth="1" min="44" max="44"/>
    <col hidden="1" width="13" customWidth="1" min="45" max="45"/>
    <col hidden="1" width="13" customWidth="1" min="46" max="46"/>
    <col hidden="1" width="13" customWidth="1" min="47" max="47"/>
    <col hidden="1" width="13" customWidth="1" min="48" max="48"/>
    <col hidden="1" width="13" customWidth="1" min="49" max="49"/>
    <col hidden="1" width="13" customWidth="1" min="50" max="50"/>
    <col hidden="1" width="13" customWidth="1" min="51" max="51"/>
    <col hidden="1" width="13" customWidth="1" min="52" max="52"/>
    <col hidden="1" width="13" customWidth="1" min="53" max="53"/>
    <col hidden="1" width="13" customWidth="1" min="54" max="54"/>
    <col hidden="1" width="13" customWidth="1" min="55" max="55"/>
    <col hidden="1" width="13" customWidth="1" min="56" max="56"/>
    <col hidden="1" width="13" customWidth="1" min="57" max="57"/>
    <col hidden="1" width="13" customWidth="1" min="58" max="58"/>
    <col hidden="1" width="13" customWidth="1" min="59" max="59"/>
    <col hidden="1" width="13" customWidth="1" min="60" max="60"/>
    <col hidden="1" width="13" customWidth="1" min="61" max="61"/>
    <col hidden="1" width="13" customWidth="1" min="62" max="62"/>
    <col hidden="1" width="13" customWidth="1" min="63" max="63"/>
    <col hidden="1" width="13" customWidth="1" min="64" max="64"/>
    <col hidden="1" width="13" customWidth="1" min="65" max="65"/>
    <col hidden="1" width="13" customWidth="1" min="66" max="66"/>
    <col hidden="1" width="13" customWidth="1" min="67" max="67"/>
    <col hidden="1" width="13" customWidth="1" min="68" max="68"/>
    <col hidden="1" width="13" customWidth="1" min="69" max="69"/>
    <col hidden="1" width="13" customWidth="1" min="70" max="70"/>
    <col hidden="1" width="13" customWidth="1" min="71" max="71"/>
    <col hidden="1" width="13" customWidth="1" min="72" max="72"/>
    <col hidden="1" width="13" customWidth="1" min="73" max="73"/>
    <col hidden="1" width="13" customWidth="1" min="74" max="74"/>
    <col hidden="1" width="13" customWidth="1" min="75" max="75"/>
    <col hidden="1" width="13" customWidth="1" min="76" max="76"/>
    <col hidden="1" width="13" customWidth="1" min="77" max="77"/>
    <col hidden="1" width="13" customWidth="1" min="78" max="78"/>
    <col hidden="1" width="13" customWidth="1" min="79" max="79"/>
    <col hidden="1" width="13" customWidth="1" min="80" max="80"/>
    <col hidden="1" width="13" customWidth="1" min="81" max="81"/>
    <col hidden="1" width="13" customWidth="1" min="82" max="82"/>
    <col hidden="1" width="13" customWidth="1" min="83" max="83"/>
    <col hidden="1" width="13" customWidth="1" min="84" max="84"/>
    <col hidden="1" width="13" customWidth="1" min="85" max="85"/>
    <col hidden="1" width="13" customWidth="1" min="86" max="86"/>
    <col hidden="1" width="13" customWidth="1" min="87" max="87"/>
    <col hidden="1" width="13" customWidth="1" min="88" max="88"/>
    <col hidden="1" width="13" customWidth="1" min="89" max="89"/>
    <col hidden="1" width="13" customWidth="1" min="90" max="90"/>
    <col hidden="1" width="13" customWidth="1" min="91" max="91"/>
    <col hidden="1" width="13" customWidth="1" min="92" max="92"/>
    <col hidden="1" width="13" customWidth="1" min="93" max="93"/>
    <col hidden="1" width="13" customWidth="1" min="94" max="94"/>
    <col hidden="1" width="13" customWidth="1" min="95" max="95"/>
    <col hidden="1" width="13" customWidth="1" min="96" max="96"/>
    <col hidden="1" width="13" customWidth="1" min="97" max="97"/>
    <col hidden="1" width="13" customWidth="1" min="98" max="98"/>
    <col hidden="1" width="13" customWidth="1" min="99" max="99"/>
    <col hidden="1" width="13" customWidth="1" min="100" max="100"/>
    <col hidden="1" width="13" customWidth="1" min="101" max="101"/>
    <col hidden="1" width="13" customWidth="1" min="102" max="102"/>
    <col hidden="1" width="13" customWidth="1" min="103" max="103"/>
    <col hidden="1" width="13" customWidth="1" min="104" max="104"/>
    <col hidden="1" width="13" customWidth="1" min="105" max="105"/>
    <col hidden="1" width="13" customWidth="1" min="106" max="106"/>
    <col hidden="1" width="13" customWidth="1" min="107" max="107"/>
    <col hidden="1" width="13" customWidth="1" min="108" max="108"/>
  </cols>
  <sheetData>
    <row r="1">
      <c r="A1" s="1" t="inlineStr">
        <is>
          <t>Zenith Bank (UK) Limited — Overview</t>
        </is>
      </c>
    </row>
    <row r="2">
      <c r="A2" s="2" t="inlineStr">
        <is>
          <t>Headline balance sheet, profit &amp; loss, cash flow and Pillar 3 figures across all years covered in this workbook - how the bank is using its money and the risk it is taking with it</t>
        </is>
      </c>
    </row>
    <row r="3"/>
    <row r="4">
      <c r="A4" s="3" t="inlineStr">
        <is>
          <t>Balance Sheet Summary (£'000)</t>
        </is>
      </c>
    </row>
    <row r="5">
      <c r="A5" s="4" t="inlineStr">
        <is>
          <t>Line item</t>
        </is>
      </c>
      <c r="B5" s="4" t="inlineStr">
        <is>
          <t>FY2025</t>
        </is>
      </c>
      <c r="C5" s="4" t="inlineStr">
        <is>
          <t>FY2024</t>
        </is>
      </c>
      <c r="D5" s="4" t="inlineStr">
        <is>
          <t>FY2023</t>
        </is>
      </c>
      <c r="E5" s="4" t="inlineStr">
        <is>
          <t>FY2022</t>
        </is>
      </c>
      <c r="F5" s="4" t="inlineStr">
        <is>
          <t>FY2021</t>
        </is>
      </c>
      <c r="G5" s="4" t="inlineStr">
        <is>
          <t>FY2020</t>
        </is>
      </c>
      <c r="H5" s="4" t="inlineStr">
        <is>
          <t>FY2019</t>
        </is>
      </c>
      <c r="I5" s="4" t="inlineStr">
        <is>
          <t>FY2018</t>
        </is>
      </c>
      <c r="J5" s="4" t="inlineStr">
        <is>
          <t>FY2017</t>
        </is>
      </c>
      <c r="K5" s="4" t="inlineStr">
        <is>
          <t>FY2016</t>
        </is>
      </c>
      <c r="L5" s="4" t="inlineStr">
        <is>
          <t>FY2015</t>
        </is>
      </c>
      <c r="M5" s="4" t="inlineStr">
        <is>
          <t>FY2014</t>
        </is>
      </c>
      <c r="N5" s="4" t="inlineStr">
        <is>
          <t>FY2013</t>
        </is>
      </c>
      <c r="O5" s="4" t="inlineStr">
        <is>
          <t>FY2012</t>
        </is>
      </c>
      <c r="P5" s="4" t="inlineStr">
        <is>
          <t>FY2011</t>
        </is>
      </c>
      <c r="Q5" s="4" t="inlineStr">
        <is>
          <t>FY2010</t>
        </is>
      </c>
      <c r="R5" s="4" t="inlineStr">
        <is>
          <t>FY2009</t>
        </is>
      </c>
      <c r="V5" t="inlineStr">
        <is>
          <t>FY2009</t>
        </is>
      </c>
      <c r="W5" t="inlineStr">
        <is>
          <t>FY2010</t>
        </is>
      </c>
      <c r="X5" t="inlineStr">
        <is>
          <t>FY2011</t>
        </is>
      </c>
      <c r="Y5" t="inlineStr">
        <is>
          <t>FY2012</t>
        </is>
      </c>
      <c r="Z5" t="inlineStr">
        <is>
          <t>FY2013</t>
        </is>
      </c>
      <c r="AA5" t="inlineStr">
        <is>
          <t>FY2014</t>
        </is>
      </c>
      <c r="AB5" t="inlineStr">
        <is>
          <t>FY2015</t>
        </is>
      </c>
      <c r="AC5" t="inlineStr">
        <is>
          <t>FY2016</t>
        </is>
      </c>
      <c r="AD5" t="inlineStr">
        <is>
          <t>FY2017</t>
        </is>
      </c>
      <c r="AE5" t="inlineStr">
        <is>
          <t>FY2018</t>
        </is>
      </c>
      <c r="AF5" t="inlineStr">
        <is>
          <t>FY2019</t>
        </is>
      </c>
      <c r="AG5" t="inlineStr">
        <is>
          <t>FY2020</t>
        </is>
      </c>
      <c r="AH5" t="inlineStr">
        <is>
          <t>FY2021</t>
        </is>
      </c>
      <c r="AI5" t="inlineStr">
        <is>
          <t>FY2022</t>
        </is>
      </c>
      <c r="AJ5" t="inlineStr">
        <is>
          <t>FY2023</t>
        </is>
      </c>
      <c r="AK5" t="inlineStr">
        <is>
          <t>FY2024</t>
        </is>
      </c>
      <c r="AL5" t="inlineStr">
        <is>
          <t>FY2025</t>
        </is>
      </c>
      <c r="CP5" t="inlineStr">
        <is>
          <t>FY2011</t>
        </is>
      </c>
      <c r="CQ5" t="inlineStr">
        <is>
          <t>FY2012</t>
        </is>
      </c>
      <c r="CR5" t="inlineStr">
        <is>
          <t>FY2013</t>
        </is>
      </c>
      <c r="CS5" t="inlineStr">
        <is>
          <t>FY2014</t>
        </is>
      </c>
      <c r="CT5" t="inlineStr">
        <is>
          <t>FY2015</t>
        </is>
      </c>
      <c r="CU5" t="inlineStr">
        <is>
          <t>FY2016</t>
        </is>
      </c>
      <c r="CV5" t="inlineStr">
        <is>
          <t>FY2017</t>
        </is>
      </c>
      <c r="CW5" t="inlineStr">
        <is>
          <t>FY2018</t>
        </is>
      </c>
      <c r="CX5" t="inlineStr">
        <is>
          <t>FY2019</t>
        </is>
      </c>
      <c r="CY5" t="inlineStr">
        <is>
          <t>FY2020</t>
        </is>
      </c>
      <c r="CZ5" t="inlineStr">
        <is>
          <t>FY2021</t>
        </is>
      </c>
      <c r="DA5" t="inlineStr">
        <is>
          <t>FY2022</t>
        </is>
      </c>
      <c r="DB5" t="inlineStr">
        <is>
          <t>FY2023</t>
        </is>
      </c>
      <c r="DC5" t="inlineStr">
        <is>
          <t>FY2024</t>
        </is>
      </c>
      <c r="DD5" t="inlineStr">
        <is>
          <t>FY2025</t>
        </is>
      </c>
    </row>
    <row r="6">
      <c r="A6" s="5" t="inlineStr">
        <is>
          <t>Total assets</t>
        </is>
      </c>
      <c r="B6" s="5" t="n">
        <v>2226937.9</v>
      </c>
      <c r="C6" s="5" t="n">
        <v>2116703.1</v>
      </c>
      <c r="D6" s="5" t="n">
        <v>2089290.6</v>
      </c>
      <c r="E6" s="5" t="n">
        <v>2591520.9</v>
      </c>
      <c r="F6" s="5" t="n">
        <v>2130359.2</v>
      </c>
      <c r="G6" s="5" t="n">
        <v>1688935.5</v>
      </c>
      <c r="H6" s="5" t="n">
        <v>1280524.6</v>
      </c>
      <c r="I6" s="5" t="n">
        <v>1491256.9</v>
      </c>
      <c r="J6" s="5" t="n">
        <v>1240386.5</v>
      </c>
      <c r="K6" s="5" t="n">
        <v>1072445.7</v>
      </c>
      <c r="L6" s="5" t="n">
        <v>778818.5</v>
      </c>
      <c r="M6" s="5" t="n">
        <v>1025768.3</v>
      </c>
      <c r="N6" s="5" t="n">
        <v>849996.5</v>
      </c>
      <c r="O6" s="5" t="n">
        <v>611063.7</v>
      </c>
      <c r="P6" s="5" t="n">
        <v>497041.9</v>
      </c>
      <c r="Q6" s="5" t="n">
        <v>409845.5</v>
      </c>
      <c r="R6" s="5" t="n">
        <v>430644.9</v>
      </c>
      <c r="U6" t="inlineStr">
        <is>
          <t>Total assets</t>
        </is>
      </c>
      <c r="V6" t="n">
        <v>430644.9</v>
      </c>
      <c r="W6" t="n">
        <v>409845.5</v>
      </c>
      <c r="X6" t="n">
        <v>497041.9</v>
      </c>
      <c r="Y6" t="n">
        <v>611063.7</v>
      </c>
      <c r="Z6" t="n">
        <v>849996.5</v>
      </c>
      <c r="AA6" t="n">
        <v>1025768.3</v>
      </c>
      <c r="AB6" t="n">
        <v>778818.5</v>
      </c>
      <c r="AC6" t="n">
        <v>1072445.7</v>
      </c>
      <c r="AD6" t="n">
        <v>1240386.5</v>
      </c>
      <c r="AE6" t="n">
        <v>1491256.9</v>
      </c>
      <c r="AF6" t="n">
        <v>1280524.6</v>
      </c>
      <c r="AG6" t="n">
        <v>1688935.5</v>
      </c>
      <c r="AH6" t="n">
        <v>2130359.2</v>
      </c>
      <c r="AI6" t="n">
        <v>2591520.9</v>
      </c>
      <c r="AJ6" t="n">
        <v>2089290.6</v>
      </c>
      <c r="AK6" t="n">
        <v>2116703.1</v>
      </c>
      <c r="AL6" t="n">
        <v>2226937.9</v>
      </c>
      <c r="CO6" t="inlineStr">
        <is>
          <t>CET1 Ratio</t>
        </is>
      </c>
      <c r="CS6" t="n">
        <v>22.32</v>
      </c>
      <c r="CT6" t="n">
        <v>20.38</v>
      </c>
      <c r="CV6" t="n">
        <v>35.53</v>
      </c>
      <c r="CW6" t="n">
        <v>32.38</v>
      </c>
      <c r="CY6" t="n">
        <v>28.29</v>
      </c>
      <c r="CZ6" t="n">
        <v>20.78</v>
      </c>
      <c r="DA6" t="n">
        <v>25.84</v>
      </c>
      <c r="DB6" t="n">
        <v>28.95</v>
      </c>
      <c r="DC6" t="n">
        <v>25.64</v>
      </c>
      <c r="DD6" t="n">
        <v>23.4</v>
      </c>
    </row>
    <row r="7">
      <c r="A7" s="5" t="inlineStr">
        <is>
          <t>Total liabilities</t>
        </is>
      </c>
      <c r="B7" s="5" t="n">
        <v>1902851.7</v>
      </c>
      <c r="C7" s="5" t="n">
        <v>1811346.9</v>
      </c>
      <c r="D7" s="5" t="n">
        <v>1825371.8</v>
      </c>
      <c r="E7" s="5" t="n">
        <v>2353937.2</v>
      </c>
      <c r="F7" s="5" t="n">
        <v>1927464.8</v>
      </c>
      <c r="G7" s="5" t="n">
        <v>1487212.9</v>
      </c>
      <c r="H7" s="5" t="n">
        <v>1088116.9</v>
      </c>
      <c r="I7" s="5" t="n">
        <v>1314749.8</v>
      </c>
      <c r="J7" s="5" t="n">
        <v>1087324.1</v>
      </c>
      <c r="K7" s="5" t="n">
        <v>915444.6</v>
      </c>
      <c r="L7" s="5" t="n">
        <v>650253.4</v>
      </c>
      <c r="M7" s="5" t="n">
        <v>907113.5</v>
      </c>
      <c r="N7" s="5" t="n">
        <v>775487.5</v>
      </c>
      <c r="O7" s="5" t="n">
        <v>544227.6</v>
      </c>
      <c r="P7" s="5" t="n">
        <v>453417.1</v>
      </c>
      <c r="Q7" s="5" t="n">
        <v>369843.2</v>
      </c>
      <c r="R7" s="5" t="n">
        <v>393259.7</v>
      </c>
      <c r="U7" t="inlineStr">
        <is>
          <t>Total liabilities</t>
        </is>
      </c>
      <c r="V7" t="n">
        <v>393259.7</v>
      </c>
      <c r="W7" t="n">
        <v>369843.2</v>
      </c>
      <c r="X7" t="n">
        <v>453417.1</v>
      </c>
      <c r="Y7" t="n">
        <v>544227.6</v>
      </c>
      <c r="Z7" t="n">
        <v>775487.5</v>
      </c>
      <c r="AA7" t="n">
        <v>907113.5</v>
      </c>
      <c r="AB7" t="n">
        <v>650253.4</v>
      </c>
      <c r="AC7" t="n">
        <v>915444.6</v>
      </c>
      <c r="AD7" t="n">
        <v>1087324.1</v>
      </c>
      <c r="AE7" t="n">
        <v>1314749.8</v>
      </c>
      <c r="AF7" t="n">
        <v>1088116.9</v>
      </c>
      <c r="AG7" t="n">
        <v>1487212.9</v>
      </c>
      <c r="AH7" t="n">
        <v>1927464.8</v>
      </c>
      <c r="AI7" t="n">
        <v>2353937.2</v>
      </c>
      <c r="AJ7" t="n">
        <v>1825371.8</v>
      </c>
      <c r="AK7" t="n">
        <v>1811346.9</v>
      </c>
      <c r="AL7" t="n">
        <v>1902851.7</v>
      </c>
      <c r="CO7" t="inlineStr">
        <is>
          <t>Tier 1 Ratio</t>
        </is>
      </c>
      <c r="CS7" t="n">
        <v>22.32</v>
      </c>
      <c r="CT7" t="n">
        <v>20.38</v>
      </c>
      <c r="CV7" t="n">
        <v>35.53</v>
      </c>
      <c r="CW7" t="n">
        <v>32.38</v>
      </c>
      <c r="CY7" t="n">
        <v>28.29</v>
      </c>
      <c r="CZ7" t="n">
        <v>20.78</v>
      </c>
      <c r="DA7" t="n">
        <v>25.84</v>
      </c>
      <c r="DB7" t="n">
        <v>28.95</v>
      </c>
      <c r="DC7" t="n">
        <v>25.64</v>
      </c>
      <c r="DD7" t="n">
        <v>23.4</v>
      </c>
    </row>
    <row r="8">
      <c r="A8" s="5" t="inlineStr">
        <is>
          <t>Total equity</t>
        </is>
      </c>
      <c r="B8" s="5" t="n">
        <v>324086.2</v>
      </c>
      <c r="C8" s="5" t="n">
        <v>305356.2</v>
      </c>
      <c r="D8" s="5" t="n">
        <v>263918.8</v>
      </c>
      <c r="E8" s="5" t="n">
        <v>237583.7</v>
      </c>
      <c r="F8" s="5" t="n">
        <v>202894.4</v>
      </c>
      <c r="G8" s="5" t="n">
        <v>201722.6</v>
      </c>
      <c r="H8" s="5" t="n">
        <v>192407.7</v>
      </c>
      <c r="I8" s="5" t="n">
        <v>176507.1</v>
      </c>
      <c r="J8" s="5" t="n">
        <v>153062.4</v>
      </c>
      <c r="K8" s="5" t="n">
        <v>157001.1</v>
      </c>
      <c r="L8" s="5" t="n">
        <v>128565.1</v>
      </c>
      <c r="M8" s="5" t="n">
        <v>118654.9</v>
      </c>
      <c r="N8" s="5" t="n">
        <v>74509</v>
      </c>
      <c r="O8" s="5" t="n">
        <v>66836.10000000001</v>
      </c>
      <c r="P8" s="5" t="n">
        <v>43624.8</v>
      </c>
      <c r="Q8" s="5" t="n">
        <v>40002.3</v>
      </c>
      <c r="R8" s="5" t="n">
        <v>37385.2</v>
      </c>
      <c r="U8" t="inlineStr">
        <is>
          <t>Total equity</t>
        </is>
      </c>
      <c r="V8" t="n">
        <v>37385.2</v>
      </c>
      <c r="W8" t="n">
        <v>40002.3</v>
      </c>
      <c r="X8" t="n">
        <v>43624.8</v>
      </c>
      <c r="Y8" t="n">
        <v>66836.10000000001</v>
      </c>
      <c r="Z8" t="n">
        <v>74509</v>
      </c>
      <c r="AA8" t="n">
        <v>118654.9</v>
      </c>
      <c r="AB8" t="n">
        <v>128565.1</v>
      </c>
      <c r="AC8" t="n">
        <v>157001.1</v>
      </c>
      <c r="AD8" t="n">
        <v>153062.4</v>
      </c>
      <c r="AE8" t="n">
        <v>176507.1</v>
      </c>
      <c r="AF8" t="n">
        <v>192407.7</v>
      </c>
      <c r="AG8" t="n">
        <v>201722.6</v>
      </c>
      <c r="AH8" t="n">
        <v>202894.4</v>
      </c>
      <c r="AI8" t="n">
        <v>237583.7</v>
      </c>
      <c r="AJ8" t="n">
        <v>263918.8</v>
      </c>
      <c r="AK8" t="n">
        <v>305356.2</v>
      </c>
      <c r="AL8" t="n">
        <v>324086.2</v>
      </c>
      <c r="CO8" t="inlineStr">
        <is>
          <t>Total Capital Ratio</t>
        </is>
      </c>
      <c r="CS8" t="n">
        <v>22.32</v>
      </c>
      <c r="CT8" t="n">
        <v>20.38</v>
      </c>
      <c r="CV8" t="n">
        <v>35.53</v>
      </c>
      <c r="CW8" t="n">
        <v>32.38</v>
      </c>
      <c r="CY8" t="n">
        <v>28.29</v>
      </c>
      <c r="CZ8" t="n">
        <v>20.78</v>
      </c>
      <c r="DA8" t="n">
        <v>25.84</v>
      </c>
      <c r="DB8" t="n">
        <v>28.95</v>
      </c>
      <c r="DC8" t="n">
        <v>25.64</v>
      </c>
      <c r="DD8" t="n">
        <v>23.4</v>
      </c>
    </row>
    <row r="9">
      <c r="CO9" t="inlineStr">
        <is>
          <t>Leverage Ratio</t>
        </is>
      </c>
      <c r="CY9" t="n">
        <v>10.68</v>
      </c>
      <c r="CZ9" t="n">
        <v>8.359999999999999</v>
      </c>
      <c r="DA9" t="n">
        <v>7.32</v>
      </c>
      <c r="DB9" t="n">
        <v>9.76</v>
      </c>
      <c r="DC9" t="n">
        <v>11.25</v>
      </c>
      <c r="DD9" t="n">
        <v>12.08</v>
      </c>
    </row>
    <row r="10">
      <c r="A10" s="3" t="inlineStr">
        <is>
          <t>Profit &amp; Loss Summary (£'000)</t>
        </is>
      </c>
      <c r="CO10" t="inlineStr">
        <is>
          <t>LCR</t>
        </is>
      </c>
      <c r="CY10" t="n">
        <v>435</v>
      </c>
      <c r="CZ10" t="n">
        <v>276</v>
      </c>
      <c r="DA10" t="n">
        <v>343</v>
      </c>
      <c r="DB10" t="n">
        <v>310</v>
      </c>
      <c r="DC10" t="n">
        <v>330.42</v>
      </c>
      <c r="DD10" t="n">
        <v>270.19</v>
      </c>
    </row>
    <row r="11">
      <c r="A11" s="4" t="inlineStr">
        <is>
          <t>Line item</t>
        </is>
      </c>
      <c r="B11" s="4" t="inlineStr">
        <is>
          <t>FY2025</t>
        </is>
      </c>
      <c r="C11" s="4" t="inlineStr">
        <is>
          <t>FY2024</t>
        </is>
      </c>
      <c r="D11" s="4" t="inlineStr">
        <is>
          <t>FY2023</t>
        </is>
      </c>
      <c r="E11" s="4" t="inlineStr">
        <is>
          <t>FY2022</t>
        </is>
      </c>
      <c r="F11" s="4" t="inlineStr">
        <is>
          <t>FY2021</t>
        </is>
      </c>
      <c r="G11" s="4" t="inlineStr">
        <is>
          <t>FY2020</t>
        </is>
      </c>
      <c r="H11" s="4" t="inlineStr">
        <is>
          <t>FY2019</t>
        </is>
      </c>
      <c r="I11" s="4" t="inlineStr">
        <is>
          <t>FY2018</t>
        </is>
      </c>
      <c r="J11" s="4" t="inlineStr">
        <is>
          <t>FY2017</t>
        </is>
      </c>
      <c r="K11" s="4" t="inlineStr">
        <is>
          <t>FY2016</t>
        </is>
      </c>
      <c r="L11" s="4" t="inlineStr">
        <is>
          <t>FY2015</t>
        </is>
      </c>
      <c r="M11" s="4" t="inlineStr">
        <is>
          <t>FY2014</t>
        </is>
      </c>
      <c r="N11" s="4" t="inlineStr">
        <is>
          <t>FY2013</t>
        </is>
      </c>
      <c r="O11" s="4" t="inlineStr">
        <is>
          <t>FY2012</t>
        </is>
      </c>
      <c r="P11" s="4" t="inlineStr">
        <is>
          <t>FY2011</t>
        </is>
      </c>
      <c r="Q11" s="4" t="inlineStr">
        <is>
          <t>FY2010</t>
        </is>
      </c>
      <c r="R11" s="4" t="inlineStr">
        <is>
          <t>FY2009</t>
        </is>
      </c>
      <c r="AP11" t="inlineStr">
        <is>
          <t>FY2009</t>
        </is>
      </c>
      <c r="AQ11" t="inlineStr">
        <is>
          <t>FY2010</t>
        </is>
      </c>
      <c r="AR11" t="inlineStr">
        <is>
          <t>FY2011</t>
        </is>
      </c>
      <c r="AS11" t="inlineStr">
        <is>
          <t>FY2012</t>
        </is>
      </c>
      <c r="AT11" t="inlineStr">
        <is>
          <t>FY2013</t>
        </is>
      </c>
      <c r="AU11" t="inlineStr">
        <is>
          <t>FY2014</t>
        </is>
      </c>
      <c r="AV11" t="inlineStr">
        <is>
          <t>FY2015</t>
        </is>
      </c>
      <c r="AW11" t="inlineStr">
        <is>
          <t>FY2016</t>
        </is>
      </c>
      <c r="AX11" t="inlineStr">
        <is>
          <t>FY2017</t>
        </is>
      </c>
      <c r="AY11" t="inlineStr">
        <is>
          <t>FY2018</t>
        </is>
      </c>
      <c r="AZ11" t="inlineStr">
        <is>
          <t>FY2019</t>
        </is>
      </c>
      <c r="BA11" t="inlineStr">
        <is>
          <t>FY2020</t>
        </is>
      </c>
      <c r="BB11" t="inlineStr">
        <is>
          <t>FY2021</t>
        </is>
      </c>
      <c r="BC11" t="inlineStr">
        <is>
          <t>FY2022</t>
        </is>
      </c>
      <c r="BD11" t="inlineStr">
        <is>
          <t>FY2023</t>
        </is>
      </c>
      <c r="BE11" t="inlineStr">
        <is>
          <t>FY2024</t>
        </is>
      </c>
      <c r="BF11" t="inlineStr">
        <is>
          <t>FY2025</t>
        </is>
      </c>
      <c r="CO11" t="inlineStr">
        <is>
          <t>NSFR</t>
        </is>
      </c>
      <c r="DA11" t="n">
        <v>124</v>
      </c>
      <c r="DB11" t="n">
        <v>143</v>
      </c>
      <c r="DC11" t="n">
        <v>147.98</v>
      </c>
      <c r="DD11" t="n">
        <v>138.85</v>
      </c>
    </row>
    <row r="12">
      <c r="A12" s="5" t="inlineStr">
        <is>
          <t>Net interest income</t>
        </is>
      </c>
      <c r="B12" s="5" t="n">
        <v>64348</v>
      </c>
      <c r="C12" s="5" t="n">
        <v>62855</v>
      </c>
      <c r="D12" s="5" t="n">
        <v>77360.5</v>
      </c>
      <c r="E12" s="5" t="n">
        <v>51765.3</v>
      </c>
      <c r="F12" s="5" t="n">
        <v>27807.4</v>
      </c>
      <c r="G12" s="5" t="n">
        <v>28077.3</v>
      </c>
      <c r="H12" s="5" t="n">
        <v>34628.4</v>
      </c>
      <c r="I12" s="5" t="n">
        <v>28962.3</v>
      </c>
      <c r="J12" s="5" t="n">
        <v>21978.3</v>
      </c>
      <c r="K12" s="5" t="n">
        <v>21277.5</v>
      </c>
      <c r="L12" s="5" t="n">
        <v>14592.1</v>
      </c>
      <c r="M12" s="5" t="n">
        <v>14209.2</v>
      </c>
      <c r="N12" s="5" t="n">
        <v>13339</v>
      </c>
      <c r="O12" s="5" t="n">
        <v>7827.1</v>
      </c>
      <c r="P12" s="5" t="n">
        <v>8363.200000000001</v>
      </c>
      <c r="Q12" s="5" t="n">
        <v>6974</v>
      </c>
      <c r="R12" s="5" t="n">
        <v>5915.1</v>
      </c>
      <c r="AO12" t="inlineStr">
        <is>
          <t>Net interest income</t>
        </is>
      </c>
      <c r="AP12" t="n">
        <v>5915.1</v>
      </c>
      <c r="AQ12" t="n">
        <v>6974</v>
      </c>
      <c r="AR12" t="n">
        <v>8363.200000000001</v>
      </c>
      <c r="AS12" t="n">
        <v>7827.1</v>
      </c>
      <c r="AT12" t="n">
        <v>13339</v>
      </c>
      <c r="AU12" t="n">
        <v>14209.2</v>
      </c>
      <c r="AV12" t="n">
        <v>14592.1</v>
      </c>
      <c r="AW12" t="n">
        <v>21277.5</v>
      </c>
      <c r="AX12" t="n">
        <v>21978.3</v>
      </c>
      <c r="AY12" t="n">
        <v>28962.3</v>
      </c>
      <c r="AZ12" t="n">
        <v>34628.4</v>
      </c>
      <c r="BA12" t="n">
        <v>28077.3</v>
      </c>
      <c r="BB12" t="n">
        <v>27807.4</v>
      </c>
      <c r="BC12" t="n">
        <v>51765.3</v>
      </c>
      <c r="BD12" t="n">
        <v>77360.5</v>
      </c>
      <c r="BE12" t="n">
        <v>62855</v>
      </c>
      <c r="BF12" t="n">
        <v>64348</v>
      </c>
    </row>
    <row r="13">
      <c r="A13" s="5" t="inlineStr">
        <is>
          <t>Operating income</t>
        </is>
      </c>
      <c r="B13" s="5" t="n">
        <v>79077.2</v>
      </c>
      <c r="C13" s="5" t="n">
        <v>66720.5</v>
      </c>
      <c r="D13" s="5" t="n">
        <v>85377.89999999999</v>
      </c>
      <c r="E13" s="5" t="n">
        <v>62492.6</v>
      </c>
      <c r="F13" s="5" t="n">
        <v>31947.1</v>
      </c>
      <c r="G13" s="5" t="n">
        <v>38550</v>
      </c>
      <c r="H13" s="5" t="n">
        <v>45518.9</v>
      </c>
      <c r="I13" s="5" t="n">
        <v>37242.3</v>
      </c>
      <c r="J13" s="5" t="n">
        <v>31028.1</v>
      </c>
      <c r="K13" s="5" t="n">
        <v>27568.5</v>
      </c>
      <c r="L13" s="5" t="n">
        <v>21146.7</v>
      </c>
      <c r="M13" s="5" t="n">
        <v>20617.5</v>
      </c>
      <c r="N13" s="5" t="n">
        <v>18433.1</v>
      </c>
      <c r="O13" s="5" t="n">
        <v>14445</v>
      </c>
      <c r="P13" s="5" t="n">
        <v>12050.6</v>
      </c>
      <c r="Q13" s="5" t="n">
        <v>9368.6</v>
      </c>
      <c r="R13" s="5" t="n">
        <v>8647.1</v>
      </c>
      <c r="AO13" t="inlineStr">
        <is>
          <t>Operating income</t>
        </is>
      </c>
      <c r="AP13" t="n">
        <v>8647.1</v>
      </c>
      <c r="AQ13" t="n">
        <v>9368.6</v>
      </c>
      <c r="AR13" t="n">
        <v>12050.6</v>
      </c>
      <c r="AS13" t="n">
        <v>14445</v>
      </c>
      <c r="AT13" t="n">
        <v>18433.1</v>
      </c>
      <c r="AU13" t="n">
        <v>20617.5</v>
      </c>
      <c r="AV13" t="n">
        <v>21146.7</v>
      </c>
      <c r="AW13" t="n">
        <v>27568.5</v>
      </c>
      <c r="AX13" t="n">
        <v>31028.1</v>
      </c>
      <c r="AY13" t="n">
        <v>37242.3</v>
      </c>
      <c r="AZ13" t="n">
        <v>45518.9</v>
      </c>
      <c r="BA13" t="n">
        <v>38550</v>
      </c>
      <c r="BB13" t="n">
        <v>31947.1</v>
      </c>
      <c r="BC13" t="n">
        <v>62492.6</v>
      </c>
      <c r="BD13" t="n">
        <v>85377.89999999999</v>
      </c>
      <c r="BE13" t="n">
        <v>66720.5</v>
      </c>
      <c r="BF13" t="n">
        <v>79077.2</v>
      </c>
    </row>
    <row r="14">
      <c r="A14" s="5" t="inlineStr">
        <is>
          <t>Profit before tax</t>
        </is>
      </c>
      <c r="B14" s="5" t="n">
        <v>49007.4</v>
      </c>
      <c r="C14" s="5" t="n">
        <v>44011</v>
      </c>
      <c r="D14" s="5" t="n">
        <v>58520.5</v>
      </c>
      <c r="E14" s="5" t="n">
        <v>36615</v>
      </c>
      <c r="F14" s="5" t="n">
        <v>9915.799999999999</v>
      </c>
      <c r="G14" s="5" t="n">
        <v>17062.6</v>
      </c>
      <c r="H14" s="5" t="n">
        <v>27217.8</v>
      </c>
      <c r="I14" s="5" t="n">
        <v>25376.1</v>
      </c>
      <c r="J14" s="5" t="n">
        <v>12431.7</v>
      </c>
      <c r="K14" s="5" t="n">
        <v>2539.8</v>
      </c>
      <c r="L14" s="5" t="n">
        <v>4645.5</v>
      </c>
      <c r="M14" s="5" t="n">
        <v>11540.9</v>
      </c>
      <c r="N14" s="5" t="n">
        <v>10059.7</v>
      </c>
      <c r="O14" s="5" t="n">
        <v>6928.1</v>
      </c>
      <c r="P14" s="5" t="n">
        <v>5105</v>
      </c>
      <c r="Q14" s="5" t="n">
        <v>3678.2</v>
      </c>
      <c r="R14" s="5" t="n">
        <v>3252.3</v>
      </c>
      <c r="AO14" t="inlineStr">
        <is>
          <t>Profit before tax</t>
        </is>
      </c>
      <c r="AP14" t="n">
        <v>3252.3</v>
      </c>
      <c r="AQ14" t="n">
        <v>3678.2</v>
      </c>
      <c r="AR14" t="n">
        <v>5105</v>
      </c>
      <c r="AS14" t="n">
        <v>6928.1</v>
      </c>
      <c r="AT14" t="n">
        <v>10059.7</v>
      </c>
      <c r="AU14" t="n">
        <v>11540.9</v>
      </c>
      <c r="AV14" t="n">
        <v>4645.5</v>
      </c>
      <c r="AW14" t="n">
        <v>2539.8</v>
      </c>
      <c r="AX14" t="n">
        <v>12431.7</v>
      </c>
      <c r="AY14" t="n">
        <v>25376.1</v>
      </c>
      <c r="AZ14" t="n">
        <v>27217.8</v>
      </c>
      <c r="BA14" t="n">
        <v>17062.6</v>
      </c>
      <c r="BB14" t="n">
        <v>9915.799999999999</v>
      </c>
      <c r="BC14" t="n">
        <v>36615</v>
      </c>
      <c r="BD14" t="n">
        <v>58520.5</v>
      </c>
      <c r="BE14" t="n">
        <v>44011</v>
      </c>
      <c r="BF14" t="n">
        <v>49007.4</v>
      </c>
    </row>
    <row r="15">
      <c r="A15" s="5" t="inlineStr">
        <is>
          <t>Profit for the year</t>
        </is>
      </c>
      <c r="B15" s="5" t="n">
        <v>36752.6</v>
      </c>
      <c r="C15" s="5" t="n">
        <v>33033.4</v>
      </c>
      <c r="D15" s="5" t="n">
        <v>44085.1</v>
      </c>
      <c r="E15" s="5" t="n">
        <v>28474.9</v>
      </c>
      <c r="F15" s="5" t="n">
        <v>8292.700000000001</v>
      </c>
      <c r="G15" s="5" t="n">
        <v>13966</v>
      </c>
      <c r="H15" s="5" t="n">
        <v>21894.4</v>
      </c>
      <c r="I15" s="5" t="n">
        <v>20629.7</v>
      </c>
      <c r="J15" s="5" t="n">
        <v>10583.1</v>
      </c>
      <c r="K15" s="5" t="n">
        <v>1955.6</v>
      </c>
      <c r="L15" s="5" t="n">
        <v>3484.1</v>
      </c>
      <c r="M15" s="5" t="n">
        <v>8742.299999999999</v>
      </c>
      <c r="N15" s="5" t="n">
        <v>7672.9</v>
      </c>
      <c r="O15" s="5" t="n">
        <v>5232</v>
      </c>
      <c r="P15" s="5" t="n">
        <v>3622.5</v>
      </c>
      <c r="Q15" s="5" t="n">
        <v>2617.2</v>
      </c>
      <c r="R15" s="5" t="n">
        <v>2341.7</v>
      </c>
      <c r="AO15" t="inlineStr">
        <is>
          <t>Profit for the year</t>
        </is>
      </c>
      <c r="AP15" t="n">
        <v>2341.7</v>
      </c>
      <c r="AQ15" t="n">
        <v>2617.2</v>
      </c>
      <c r="AR15" t="n">
        <v>3622.5</v>
      </c>
      <c r="AS15" t="n">
        <v>5232</v>
      </c>
      <c r="AT15" t="n">
        <v>7672.9</v>
      </c>
      <c r="AU15" t="n">
        <v>8742.299999999999</v>
      </c>
      <c r="AV15" t="n">
        <v>3484.1</v>
      </c>
      <c r="AW15" t="n">
        <v>1955.6</v>
      </c>
      <c r="AX15" t="n">
        <v>10583.1</v>
      </c>
      <c r="AY15" t="n">
        <v>20629.7</v>
      </c>
      <c r="AZ15" t="n">
        <v>21894.4</v>
      </c>
      <c r="BA15" t="n">
        <v>13966</v>
      </c>
      <c r="BB15" t="n">
        <v>8292.700000000001</v>
      </c>
      <c r="BC15" t="n">
        <v>28474.9</v>
      </c>
      <c r="BD15" t="n">
        <v>44085.1</v>
      </c>
      <c r="BE15" t="n">
        <v>33033.4</v>
      </c>
      <c r="BF15" t="n">
        <v>36752.6</v>
      </c>
    </row>
    <row r="17">
      <c r="A17" s="3" t="inlineStr">
        <is>
          <t>Statement of Changes in Equity Summary (£'000)</t>
        </is>
      </c>
    </row>
    <row r="18">
      <c r="A18" s="4" t="inlineStr">
        <is>
          <t>Line item</t>
        </is>
      </c>
      <c r="B18" s="4" t="inlineStr">
        <is>
          <t>FY2025</t>
        </is>
      </c>
      <c r="C18" s="4" t="inlineStr">
        <is>
          <t>FY2024</t>
        </is>
      </c>
      <c r="D18" s="4" t="inlineStr">
        <is>
          <t>FY2023</t>
        </is>
      </c>
      <c r="E18" s="4" t="inlineStr">
        <is>
          <t>FY2022</t>
        </is>
      </c>
      <c r="F18" s="4" t="inlineStr">
        <is>
          <t>FY2021</t>
        </is>
      </c>
      <c r="G18" s="4" t="inlineStr">
        <is>
          <t>FY2020</t>
        </is>
      </c>
      <c r="H18" s="4" t="inlineStr">
        <is>
          <t>FY2019</t>
        </is>
      </c>
      <c r="I18" s="4" t="inlineStr">
        <is>
          <t>FY2018</t>
        </is>
      </c>
      <c r="J18" s="4" t="inlineStr">
        <is>
          <t>FY2017</t>
        </is>
      </c>
      <c r="K18" s="4" t="inlineStr">
        <is>
          <t>FY2016</t>
        </is>
      </c>
      <c r="L18" s="4" t="inlineStr">
        <is>
          <t>FY2015</t>
        </is>
      </c>
      <c r="M18" s="4" t="inlineStr">
        <is>
          <t>FY2014</t>
        </is>
      </c>
      <c r="BJ18" t="inlineStr">
        <is>
          <t>FY2014</t>
        </is>
      </c>
      <c r="BK18" t="inlineStr">
        <is>
          <t>FY2015</t>
        </is>
      </c>
      <c r="BL18" t="inlineStr">
        <is>
          <t>FY2016</t>
        </is>
      </c>
      <c r="BM18" t="inlineStr">
        <is>
          <t>FY2017</t>
        </is>
      </c>
      <c r="BN18" t="inlineStr">
        <is>
          <t>FY2018</t>
        </is>
      </c>
      <c r="BO18" t="inlineStr">
        <is>
          <t>FY2019</t>
        </is>
      </c>
      <c r="BP18" t="inlineStr">
        <is>
          <t>FY2020</t>
        </is>
      </c>
      <c r="BQ18" t="inlineStr">
        <is>
          <t>FY2021</t>
        </is>
      </c>
      <c r="BR18" t="inlineStr">
        <is>
          <t>FY2022</t>
        </is>
      </c>
      <c r="BS18" t="inlineStr">
        <is>
          <t>FY2023</t>
        </is>
      </c>
      <c r="BT18" t="inlineStr">
        <is>
          <t>FY2024</t>
        </is>
      </c>
      <c r="BU18" t="inlineStr">
        <is>
          <t>FY2025</t>
        </is>
      </c>
    </row>
    <row r="19">
      <c r="A19" s="5" t="inlineStr">
        <is>
          <t>Total equity (period end)</t>
        </is>
      </c>
      <c r="B19" s="5" t="n">
        <v>324086.2</v>
      </c>
      <c r="C19" s="5" t="n">
        <v>305356.2</v>
      </c>
      <c r="D19" s="5" t="n">
        <v>263918.8</v>
      </c>
      <c r="E19" s="5" t="n">
        <v>237583.7</v>
      </c>
      <c r="F19" s="5" t="n">
        <v>202894.4</v>
      </c>
      <c r="G19" s="5" t="n">
        <v>201722.6</v>
      </c>
      <c r="H19" s="5" t="n">
        <v>192407.7</v>
      </c>
      <c r="I19" s="5" t="n">
        <v>176507.1</v>
      </c>
      <c r="J19" s="5" t="n">
        <v>153062.4</v>
      </c>
      <c r="K19" s="5" t="n">
        <v>157001.1</v>
      </c>
      <c r="L19" s="5" t="n">
        <v>128565.1</v>
      </c>
      <c r="M19" s="5" t="n">
        <v>118654.9</v>
      </c>
      <c r="BI19" t="inlineStr">
        <is>
          <t>Total equity (period end)</t>
        </is>
      </c>
      <c r="BJ19" t="n">
        <v>118654.9</v>
      </c>
      <c r="BK19" t="n">
        <v>128565.1</v>
      </c>
      <c r="BL19" t="n">
        <v>157001.1</v>
      </c>
      <c r="BM19" t="n">
        <v>153062.4</v>
      </c>
      <c r="BN19" t="n">
        <v>176507.1</v>
      </c>
      <c r="BO19" t="n">
        <v>192407.7</v>
      </c>
      <c r="BP19" t="n">
        <v>201722.6</v>
      </c>
      <c r="BQ19" t="n">
        <v>202894.4</v>
      </c>
      <c r="BR19" t="n">
        <v>237583.7</v>
      </c>
      <c r="BS19" t="n">
        <v>263918.8</v>
      </c>
      <c r="BT19" t="n">
        <v>305356.2</v>
      </c>
      <c r="BU19" t="n">
        <v>324086.2</v>
      </c>
    </row>
    <row r="21">
      <c r="A21" s="3" t="inlineStr">
        <is>
          <t>Cash Flow Summary (£'000)</t>
        </is>
      </c>
    </row>
    <row r="22">
      <c r="A22" s="4" t="inlineStr">
        <is>
          <t>Line item</t>
        </is>
      </c>
      <c r="B22" s="4" t="inlineStr">
        <is>
          <t>FY2025</t>
        </is>
      </c>
      <c r="C22" s="4" t="inlineStr">
        <is>
          <t>FY2024</t>
        </is>
      </c>
      <c r="D22" s="4" t="inlineStr">
        <is>
          <t>FY2023</t>
        </is>
      </c>
      <c r="E22" s="4" t="inlineStr">
        <is>
          <t>FY2022</t>
        </is>
      </c>
      <c r="F22" s="4" t="inlineStr">
        <is>
          <t>FY2021</t>
        </is>
      </c>
      <c r="G22" s="4" t="inlineStr">
        <is>
          <t>FY2020</t>
        </is>
      </c>
      <c r="H22" s="4" t="inlineStr">
        <is>
          <t>FY2019</t>
        </is>
      </c>
      <c r="I22" s="4" t="inlineStr">
        <is>
          <t>FY2018</t>
        </is>
      </c>
      <c r="J22" s="4" t="inlineStr">
        <is>
          <t>FY2017</t>
        </is>
      </c>
      <c r="K22" s="4" t="inlineStr">
        <is>
          <t>FY2016</t>
        </is>
      </c>
      <c r="L22" s="4" t="inlineStr">
        <is>
          <t>FY2015</t>
        </is>
      </c>
      <c r="M22" s="4" t="inlineStr">
        <is>
          <t>FY2014</t>
        </is>
      </c>
      <c r="N22" s="4" t="inlineStr">
        <is>
          <t>FY2013</t>
        </is>
      </c>
      <c r="O22" s="4" t="inlineStr">
        <is>
          <t>FY2012</t>
        </is>
      </c>
      <c r="BY22" t="inlineStr">
        <is>
          <t>FY2012</t>
        </is>
      </c>
      <c r="BZ22" t="inlineStr">
        <is>
          <t>FY2013</t>
        </is>
      </c>
      <c r="CA22" t="inlineStr">
        <is>
          <t>FY2014</t>
        </is>
      </c>
      <c r="CB22" t="inlineStr">
        <is>
          <t>FY2015</t>
        </is>
      </c>
      <c r="CC22" t="inlineStr">
        <is>
          <t>FY2016</t>
        </is>
      </c>
      <c r="CD22" t="inlineStr">
        <is>
          <t>FY2017</t>
        </is>
      </c>
      <c r="CE22" t="inlineStr">
        <is>
          <t>FY2018</t>
        </is>
      </c>
      <c r="CF22" t="inlineStr">
        <is>
          <t>FY2019</t>
        </is>
      </c>
      <c r="CG22" t="inlineStr">
        <is>
          <t>FY2020</t>
        </is>
      </c>
      <c r="CH22" t="inlineStr">
        <is>
          <t>FY2021</t>
        </is>
      </c>
      <c r="CI22" t="inlineStr">
        <is>
          <t>FY2022</t>
        </is>
      </c>
      <c r="CJ22" t="inlineStr">
        <is>
          <t>FY2023</t>
        </is>
      </c>
      <c r="CK22" t="inlineStr">
        <is>
          <t>FY2024</t>
        </is>
      </c>
      <c r="CL22" t="inlineStr">
        <is>
          <t>FY2025</t>
        </is>
      </c>
    </row>
    <row r="23">
      <c r="A23" s="5" t="inlineStr">
        <is>
          <t>Net cash generated from/(used in) operating activities</t>
        </is>
      </c>
      <c r="B23" s="5" t="n">
        <v>-42275.5</v>
      </c>
      <c r="C23" s="5" t="n">
        <v>162230.1</v>
      </c>
      <c r="D23" s="5" t="n">
        <v>-276726.4</v>
      </c>
      <c r="E23" s="5" t="n">
        <v>-197184.8</v>
      </c>
      <c r="F23" s="5" t="n">
        <v>84381.3</v>
      </c>
      <c r="G23" s="5" t="n">
        <v>207192.8</v>
      </c>
      <c r="H23" s="5" t="n">
        <v>-76511.5</v>
      </c>
      <c r="I23" s="5" t="n">
        <v>-51112.4</v>
      </c>
      <c r="J23" s="5" t="n">
        <v>74286.2</v>
      </c>
      <c r="K23" s="5" t="n">
        <v>225723.4</v>
      </c>
      <c r="L23" s="5" t="n">
        <v>-74876.39999999999</v>
      </c>
      <c r="M23" s="5" t="n">
        <v>80335.5</v>
      </c>
      <c r="N23" s="5" t="n">
        <v>11924.7</v>
      </c>
      <c r="O23" s="5" t="n">
        <v>11157.9</v>
      </c>
      <c r="BX23" t="inlineStr">
        <is>
          <t>Net cash generated from/(used in) operating activities</t>
        </is>
      </c>
      <c r="BY23" t="n">
        <v>11157.9</v>
      </c>
      <c r="BZ23" t="n">
        <v>11924.7</v>
      </c>
      <c r="CA23" t="n">
        <v>80335.5</v>
      </c>
      <c r="CB23" t="n">
        <v>-74876.39999999999</v>
      </c>
      <c r="CC23" t="n">
        <v>225723.4</v>
      </c>
      <c r="CD23" t="n">
        <v>74286.2</v>
      </c>
      <c r="CE23" t="n">
        <v>-51112.4</v>
      </c>
      <c r="CF23" t="n">
        <v>-76511.5</v>
      </c>
      <c r="CG23" t="n">
        <v>207192.8</v>
      </c>
      <c r="CH23" t="n">
        <v>84381.3</v>
      </c>
      <c r="CI23" t="n">
        <v>-197184.8</v>
      </c>
      <c r="CJ23" t="n">
        <v>-276726.4</v>
      </c>
      <c r="CK23" t="n">
        <v>162230.1</v>
      </c>
      <c r="CL23" t="n">
        <v>-42275.5</v>
      </c>
    </row>
    <row r="24">
      <c r="A24" s="5" t="inlineStr">
        <is>
          <t>Net cash generated from/(used in) investing activities</t>
        </is>
      </c>
      <c r="B24" s="5" t="n">
        <v>-8213.1</v>
      </c>
      <c r="C24" s="5" t="n">
        <v>429.6</v>
      </c>
      <c r="D24" s="5" t="n">
        <v>7360.1</v>
      </c>
      <c r="E24" s="5" t="n">
        <v>-2155.5</v>
      </c>
      <c r="F24" s="5" t="n">
        <v>-8018.4</v>
      </c>
      <c r="G24" s="5" t="n">
        <v>-39565.5</v>
      </c>
      <c r="H24" s="5" t="n">
        <v>-31092.8</v>
      </c>
      <c r="I24" s="5" t="n">
        <v>11251.6</v>
      </c>
      <c r="J24" s="5" t="n">
        <v>21720.2</v>
      </c>
      <c r="K24" s="5" t="n">
        <v>32457.4</v>
      </c>
      <c r="L24" s="5" t="n">
        <v>-8569.799999999999</v>
      </c>
      <c r="M24" s="5" t="n">
        <v>23450.8</v>
      </c>
      <c r="N24" s="5" t="n">
        <v>-17994.2</v>
      </c>
      <c r="O24" s="5" t="n">
        <v>-9415.299999999999</v>
      </c>
      <c r="BX24" t="inlineStr">
        <is>
          <t>Net cash generated from/(used in) investing activities</t>
        </is>
      </c>
      <c r="BY24" t="n">
        <v>-9415.299999999999</v>
      </c>
      <c r="BZ24" t="n">
        <v>-17994.2</v>
      </c>
      <c r="CA24" t="n">
        <v>23450.8</v>
      </c>
      <c r="CB24" t="n">
        <v>-8569.799999999999</v>
      </c>
      <c r="CC24" t="n">
        <v>32457.4</v>
      </c>
      <c r="CD24" t="n">
        <v>21720.2</v>
      </c>
      <c r="CE24" t="n">
        <v>11251.6</v>
      </c>
      <c r="CF24" t="n">
        <v>-31092.8</v>
      </c>
      <c r="CG24" t="n">
        <v>-39565.5</v>
      </c>
      <c r="CH24" t="n">
        <v>-8018.4</v>
      </c>
      <c r="CI24" t="n">
        <v>-2155.5</v>
      </c>
      <c r="CJ24" t="n">
        <v>7360.1</v>
      </c>
      <c r="CK24" t="n">
        <v>429.6</v>
      </c>
      <c r="CL24" t="n">
        <v>-8213.1</v>
      </c>
    </row>
    <row r="25">
      <c r="A25" s="5" t="inlineStr">
        <is>
          <t>Net cash generated from/(used in) financing activities</t>
        </is>
      </c>
      <c r="B25" s="5" t="n">
        <v>-960.6</v>
      </c>
      <c r="C25" s="5" t="n">
        <v>-525.9</v>
      </c>
      <c r="D25" s="5" t="n">
        <v>-14893.7</v>
      </c>
      <c r="E25" s="5" t="n">
        <v>-5277.6</v>
      </c>
      <c r="F25" s="5" t="n">
        <v>-7266.8</v>
      </c>
      <c r="G25" s="5" t="n">
        <v>274.2</v>
      </c>
      <c r="H25" s="5" t="n">
        <v>-474.5</v>
      </c>
      <c r="I25" s="5" t="n"/>
      <c r="J25" s="5" t="n"/>
      <c r="K25" s="5" t="n"/>
      <c r="L25" s="5" t="n"/>
      <c r="M25" s="5" t="n">
        <v>30367.4</v>
      </c>
      <c r="N25" s="5" t="n">
        <v>0</v>
      </c>
      <c r="O25" s="5" t="n">
        <v>18458.1</v>
      </c>
      <c r="BX25" t="inlineStr">
        <is>
          <t>Net cash generated from/(used in) financing activities</t>
        </is>
      </c>
      <c r="BY25" t="n">
        <v>18458.1</v>
      </c>
      <c r="BZ25" t="n">
        <v>0</v>
      </c>
      <c r="CA25" t="n">
        <v>30367.4</v>
      </c>
      <c r="CF25" t="n">
        <v>-474.5</v>
      </c>
      <c r="CG25" t="n">
        <v>274.2</v>
      </c>
      <c r="CH25" t="n">
        <v>-7266.8</v>
      </c>
      <c r="CI25" t="n">
        <v>-5277.6</v>
      </c>
      <c r="CJ25" t="n">
        <v>-14893.7</v>
      </c>
      <c r="CK25" t="n">
        <v>-525.9</v>
      </c>
      <c r="CL25" t="n">
        <v>-960.6</v>
      </c>
    </row>
    <row r="26">
      <c r="A26" s="5" t="inlineStr">
        <is>
          <t>Cash and cash equivalents at end of year</t>
        </is>
      </c>
      <c r="B26" s="5" t="n">
        <v>318322.9</v>
      </c>
      <c r="C26" s="5" t="n">
        <v>383726.2</v>
      </c>
      <c r="D26" s="5" t="n">
        <v>216831.3</v>
      </c>
      <c r="E26" s="5" t="n">
        <v>520509.8</v>
      </c>
      <c r="F26" s="5" t="n">
        <v>652769.3</v>
      </c>
      <c r="G26" s="5" t="n">
        <v>576523.2</v>
      </c>
      <c r="H26" s="5" t="n">
        <v>433198</v>
      </c>
      <c r="I26" s="5" t="n">
        <v>556093</v>
      </c>
      <c r="J26" s="5" t="n">
        <v>564977.9</v>
      </c>
      <c r="K26" s="5" t="n">
        <v>519912.3</v>
      </c>
      <c r="L26" s="5" t="n">
        <v>196648.9</v>
      </c>
      <c r="M26" s="5" t="n">
        <v>268406</v>
      </c>
      <c r="N26" s="5" t="n">
        <v>119758.1</v>
      </c>
      <c r="O26" s="5" t="n">
        <v>125827.6</v>
      </c>
      <c r="BX26" t="inlineStr">
        <is>
          <t>Cash and cash equivalents at end of year</t>
        </is>
      </c>
      <c r="BY26" t="n">
        <v>125827.6</v>
      </c>
      <c r="BZ26" t="n">
        <v>119758.1</v>
      </c>
      <c r="CA26" t="n">
        <v>268406</v>
      </c>
      <c r="CB26" t="n">
        <v>196648.9</v>
      </c>
      <c r="CC26" t="n">
        <v>519912.3</v>
      </c>
      <c r="CD26" t="n">
        <v>564977.9</v>
      </c>
      <c r="CE26" t="n">
        <v>556093</v>
      </c>
      <c r="CF26" t="n">
        <v>433198</v>
      </c>
      <c r="CG26" t="n">
        <v>576523.2</v>
      </c>
      <c r="CH26" t="n">
        <v>652769.3</v>
      </c>
      <c r="CI26" t="n">
        <v>520509.8</v>
      </c>
      <c r="CJ26" t="n">
        <v>216831.3</v>
      </c>
      <c r="CK26" t="n">
        <v>383726.2</v>
      </c>
      <c r="CL26" t="n">
        <v>318322.9</v>
      </c>
    </row>
    <row r="28">
      <c r="A28" s="3" t="inlineStr">
        <is>
          <t>Pillar 3 Key Metrics</t>
        </is>
      </c>
    </row>
    <row r="29">
      <c r="A29" s="4" t="inlineStr">
        <is>
          <t>Line item</t>
        </is>
      </c>
      <c r="B29" s="4" t="inlineStr">
        <is>
          <t>FY2025</t>
        </is>
      </c>
      <c r="C29" s="4" t="inlineStr">
        <is>
          <t>FY2024</t>
        </is>
      </c>
      <c r="D29" s="4" t="inlineStr">
        <is>
          <t>FY2023</t>
        </is>
      </c>
      <c r="E29" s="4" t="inlineStr">
        <is>
          <t>FY2022</t>
        </is>
      </c>
      <c r="F29" s="4" t="inlineStr">
        <is>
          <t>FY2021</t>
        </is>
      </c>
      <c r="G29" s="4" t="inlineStr">
        <is>
          <t>FY2020</t>
        </is>
      </c>
      <c r="H29" s="4" t="inlineStr">
        <is>
          <t>FY2019</t>
        </is>
      </c>
      <c r="I29" s="4" t="inlineStr">
        <is>
          <t>FY2018</t>
        </is>
      </c>
      <c r="J29" s="4" t="inlineStr">
        <is>
          <t>FY2017</t>
        </is>
      </c>
      <c r="K29" s="4" t="inlineStr">
        <is>
          <t>FY2016</t>
        </is>
      </c>
      <c r="L29" s="4" t="inlineStr">
        <is>
          <t>FY2015</t>
        </is>
      </c>
      <c r="M29" s="4" t="inlineStr">
        <is>
          <t>FY2014</t>
        </is>
      </c>
      <c r="N29" s="4" t="inlineStr">
        <is>
          <t>FY2013</t>
        </is>
      </c>
      <c r="O29" s="4" t="inlineStr">
        <is>
          <t>FY2012</t>
        </is>
      </c>
      <c r="P29" s="4" t="inlineStr">
        <is>
          <t>FY2011</t>
        </is>
      </c>
    </row>
    <row r="30">
      <c r="A30" s="6" t="inlineStr">
        <is>
          <t>CET1 Ratio</t>
        </is>
      </c>
      <c r="B30" s="6" t="inlineStr">
        <is>
          <t>23.40%</t>
        </is>
      </c>
      <c r="C30" s="6" t="inlineStr">
        <is>
          <t>25.64%</t>
        </is>
      </c>
      <c r="D30" s="6" t="inlineStr">
        <is>
          <t>28.95%</t>
        </is>
      </c>
      <c r="E30" s="6" t="inlineStr">
        <is>
          <t>25.84%</t>
        </is>
      </c>
      <c r="F30" s="6" t="inlineStr">
        <is>
          <t>20.78%</t>
        </is>
      </c>
      <c r="G30" s="6" t="inlineStr">
        <is>
          <t>28.29%</t>
        </is>
      </c>
      <c r="H30" s="6" t="n"/>
      <c r="I30" s="6" t="inlineStr">
        <is>
          <t>32.38%</t>
        </is>
      </c>
      <c r="J30" s="6" t="inlineStr">
        <is>
          <t>35.53%</t>
        </is>
      </c>
      <c r="K30" s="6" t="inlineStr">
        <is>
          <t>Not published – FY2016 AR prints no ratio; recovered FY2016 Pillar 3 p.9-10 prints only a 365% 'Solvency Ratio against Pillar 1' (capital/requirement), no CET1 ratio</t>
        </is>
      </c>
      <c r="L30" s="6" t="inlineStr">
        <is>
          <t>20.38%</t>
        </is>
      </c>
      <c r="M30" s="6" t="inlineStr">
        <is>
          <t>22.32%</t>
        </is>
      </c>
      <c r="N30" s="6" t="n"/>
      <c r="O30" s="6" t="n"/>
      <c r="P30" s="6" t="n"/>
    </row>
    <row r="31">
      <c r="A31" s="6" t="inlineStr">
        <is>
          <t>Tier 1 Ratio</t>
        </is>
      </c>
      <c r="B31" s="6" t="inlineStr">
        <is>
          <t>23.40%</t>
        </is>
      </c>
      <c r="C31" s="6" t="inlineStr">
        <is>
          <t>25.64%</t>
        </is>
      </c>
      <c r="D31" s="6" t="inlineStr">
        <is>
          <t>28.95%</t>
        </is>
      </c>
      <c r="E31" s="6" t="inlineStr">
        <is>
          <t>25.84%</t>
        </is>
      </c>
      <c r="F31" s="6" t="inlineStr">
        <is>
          <t>20.78%</t>
        </is>
      </c>
      <c r="G31" s="6" t="inlineStr">
        <is>
          <t>28.29%</t>
        </is>
      </c>
      <c r="H31" s="6" t="n"/>
      <c r="I31" s="6" t="inlineStr">
        <is>
          <t>32.38%</t>
        </is>
      </c>
      <c r="J31" s="6" t="inlineStr">
        <is>
          <t>35.53%</t>
        </is>
      </c>
      <c r="K31" s="6" t="inlineStr">
        <is>
          <t>Not published – FY2016 AR prints no ratio; recovered FY2016 Pillar 3 p.9-10 prints only a 365% 'Solvency Ratio against Pillar 1' (capital/requirement), no CET1 ratio</t>
        </is>
      </c>
      <c r="L31" s="6" t="inlineStr">
        <is>
          <t>20.38%</t>
        </is>
      </c>
      <c r="M31" s="6" t="inlineStr">
        <is>
          <t>22.32%</t>
        </is>
      </c>
      <c r="N31" s="6" t="n"/>
      <c r="O31" s="6" t="n"/>
      <c r="P31" s="6" t="inlineStr">
        <is>
          <t>Not published – FY2011 Pillar 3 (Basel II) prints no capital ratio; its 203% 'Solvency Ratio against Pillar 1' is capital/requirement, not a ratio - see note</t>
        </is>
      </c>
    </row>
    <row r="32">
      <c r="A32" s="6" t="inlineStr">
        <is>
          <t>Total Capital Ratio</t>
        </is>
      </c>
      <c r="B32" s="6" t="inlineStr">
        <is>
          <t>23.40%</t>
        </is>
      </c>
      <c r="C32" s="6" t="inlineStr">
        <is>
          <t>25.64%</t>
        </is>
      </c>
      <c r="D32" s="6" t="inlineStr">
        <is>
          <t>28.95%</t>
        </is>
      </c>
      <c r="E32" s="6" t="inlineStr">
        <is>
          <t>25.84%</t>
        </is>
      </c>
      <c r="F32" s="6" t="inlineStr">
        <is>
          <t>20.78%</t>
        </is>
      </c>
      <c r="G32" s="6" t="inlineStr">
        <is>
          <t>28.29%</t>
        </is>
      </c>
      <c r="H32" s="6" t="n"/>
      <c r="I32" s="6" t="inlineStr">
        <is>
          <t>32.38%</t>
        </is>
      </c>
      <c r="J32" s="6" t="inlineStr">
        <is>
          <t>35.53%</t>
        </is>
      </c>
      <c r="K32" s="6" t="inlineStr">
        <is>
          <t>Not published – FY2016 AR prints no ratio; recovered FY2016 Pillar 3 p.9-10 prints only a 365% 'Solvency Ratio against Pillar 1' (capital/requirement), no CET1 ratio</t>
        </is>
      </c>
      <c r="L32" s="6" t="inlineStr">
        <is>
          <t>20.38%</t>
        </is>
      </c>
      <c r="M32" s="6" t="inlineStr">
        <is>
          <t>22.32%</t>
        </is>
      </c>
      <c r="N32" s="6" t="n"/>
      <c r="O32" s="6" t="n"/>
      <c r="P32" s="6" t="inlineStr">
        <is>
          <t>Not published – FY2011 Pillar 3 (Basel II) prints no capital ratio; its 203% 'Solvency Ratio against Pillar 1' is capital/requirement, not a ratio - see note</t>
        </is>
      </c>
    </row>
    <row r="33">
      <c r="A33" s="6" t="inlineStr">
        <is>
          <t>Leverage Ratio</t>
        </is>
      </c>
      <c r="B33" s="6" t="inlineStr">
        <is>
          <t>12.08%</t>
        </is>
      </c>
      <c r="C33" s="6" t="inlineStr">
        <is>
          <t>11.25%</t>
        </is>
      </c>
      <c r="D33" s="6" t="inlineStr">
        <is>
          <t>9.76%</t>
        </is>
      </c>
      <c r="E33" s="6" t="inlineStr">
        <is>
          <t>7.32%</t>
        </is>
      </c>
      <c r="F33" s="6" t="inlineStr">
        <is>
          <t>8.36%</t>
        </is>
      </c>
      <c r="G33" s="6" t="inlineStr">
        <is>
          <t>10.68%</t>
        </is>
      </c>
      <c r="H33" s="6" t="n"/>
      <c r="I33" s="6" t="n"/>
      <c r="J33" s="6" t="n"/>
      <c r="K33" s="6" t="n"/>
      <c r="L33" s="6" t="n"/>
      <c r="M33" s="6" t="n"/>
      <c r="N33" s="6" t="n"/>
      <c r="O33" s="6" t="n"/>
      <c r="P33" s="6" t="n"/>
    </row>
    <row r="34">
      <c r="A34" s="6" t="inlineStr">
        <is>
          <t>LCR</t>
        </is>
      </c>
      <c r="B34" s="6" t="inlineStr">
        <is>
          <t>270.19%</t>
        </is>
      </c>
      <c r="C34" s="6" t="inlineStr">
        <is>
          <t>330.42%</t>
        </is>
      </c>
      <c r="D34" s="6" t="inlineStr">
        <is>
          <t>310%</t>
        </is>
      </c>
      <c r="E34" s="6" t="inlineStr">
        <is>
          <t>343%</t>
        </is>
      </c>
      <c r="F34" s="6" t="inlineStr">
        <is>
          <t>276%</t>
        </is>
      </c>
      <c r="G34" s="6" t="inlineStr">
        <is>
          <t>435%</t>
        </is>
      </c>
      <c r="H34" s="6" t="n"/>
      <c r="I34" s="6" t="n"/>
      <c r="J34" s="6" t="n"/>
      <c r="K34" s="6" t="n"/>
      <c r="L34" s="6" t="n"/>
      <c r="M34" s="6" t="n"/>
      <c r="N34" s="6" t="n"/>
      <c r="O34" s="6" t="n"/>
      <c r="P34" s="6" t="n"/>
    </row>
    <row r="35">
      <c r="A35" s="6" t="inlineStr">
        <is>
          <t>NSFR</t>
        </is>
      </c>
      <c r="B35" s="6" t="inlineStr">
        <is>
          <t>138.85%</t>
        </is>
      </c>
      <c r="C35" s="6" t="inlineStr">
        <is>
          <t>147.98%</t>
        </is>
      </c>
      <c r="D35" s="6" t="inlineStr">
        <is>
          <t>143%</t>
        </is>
      </c>
      <c r="E35" s="6" t="inlineStr">
        <is>
          <t>124%</t>
        </is>
      </c>
      <c r="F35" s="6" t="n"/>
      <c r="G35" s="6" t="n"/>
      <c r="H35" s="6" t="n"/>
      <c r="I35" s="6" t="n"/>
      <c r="J35" s="6" t="n"/>
      <c r="K35" s="6" t="n"/>
      <c r="L35" s="6" t="n"/>
      <c r="M35" s="6" t="n"/>
      <c r="N35" s="6" t="n"/>
      <c r="O35" s="6" t="n"/>
      <c r="P35" s="6" t="n"/>
    </row>
    <row r="37" ht="130" customHeight="1">
      <c r="A37" s="7" t="inlineStr">
        <is>
          <t>Note: FY2017 (35.53%) and FY2018 (32.38%) CAPITAL RATIOS ADDED 2026-09-18 and they are NOT from a Pillar 3 document - no Pillar 3 edition survives for either year. Both are stated in the Strategic Report of that year's own Annual Report (FY2017 printed p.11, FY2018 printed p.8); FY2017's is specifically the '35.53% under IAS 39 at 31 December 2017' figure, not either of the two 1 January 2018 IFRS 9 transition figures printed beside it. They appear on all three capital-ratio rows because the Bank's entire capital base is CET1 by its own statement (no AT1, no Tier 2). The corresponding RWA is NOT shown anywhere in this workbook for those years and was not derived from capital and ratio - see the Total RWAs sheet. FY2016 and FY2019 still have no ratio, but not for the same reason: FY2019's Annual Report prints a capital table and no ratio and its Pillar 3 document is still lost, while FY2016's Pillar 3 was recovered on 2026-09-19 and itself prints no capital ratio - only a 365% capital-cover multiple, which is not one. FY2016's capital AMOUNT does come from that edition (added 2026-10-07; see the CET1 Capital sheet).
FY2020 LCR (435%) and FY2021 LCR (276%) are deliberately omitted from this at-a-glance row: both are point-in-time year-end figures, whereas FY2022 onward are 12-month simple averages, and the two bases are not comparable on a single trend line. Both bases are shown, on separate rows, on the LCR sheet itself. The FY2020 capital ratios (28.29%) and leverage ratio (10.68%) ARE shown above: those are single-basis metrics with no such split, and they were missing from this Overview only because the pass that recovered FY2020 from the FY2021 report's comparative column populated the detail sheets without copying the values up here. Corrected 2026-09-15; the figures are a straight duplication of the CET1/Tier 1/Total Capital Ratio and Leverage Ratio sheets, nothing recomputed. Figures are duplicated from the detail sheets for at-a-glance trend viewing; see each sheet's own source citation. All £ figures are converted from the Bank's native USD reporting (see Cash Flow Statement sheet's FX conversion note) - this conversion was not explicitly requested for this bank but applied for consistency with the rest of the series. FY2025 statement figures come from the Companies House filing of the FY2025 accounts, not from the Bank's own site, which publishes annual reports only to FY2024 (see the Cash Flow Statement sheet note). Window extended back to FY2014 under HD-048 (capped by explicit user decision - see the HD-048 extension note on the Cash Flow Statement sheet); CET1/Tier 1/Total Capital Ratio for FY2014/FY2015 use a pre-CRD IV methodology (see Pillar 3 sources note on those sheets) and Leverage Ratio/LCR/NSFR are blank for all of FY2014-FY2020 (not yet in force, and/or no Pillar 3 document recoverable for FY2016-FY2020). 2026-09-15 HISTORICAL PILLAR 3: a FY2011 Basel II Pillar 3 edition was recovered and transcribed, so the Pillar 3, RWA Breakdown and Asset Quality sheets now run to FY2009 alongside the statutory statements. NOTHING FROM IT APPEARS ON THIS OVERVIEW, and the FY2009-FY2013 ratio cells above are blank by design: that edition states no capital ratio, no leverage ratio and no liquidity metric, and the only ratio it does print (a 203% 'Solvency Ratio against Pillar 1') is capital over the capital REQUIREMENT, not over RWA - it is excluded deliberately rather than by omission, because showing it on a ratio trend line would overstate capitalisation by roughly 12.5x. Its Basel II capital figures sit on their own separate rows on the Tier 1 Capital and Total Capital sheets. A FY2008 edition was also recovered but produced no cell anywhere - its only figure is dated to 31 December 2007 accounts adjusted for a May 2008 event, so it belongs to no year column; see the Pillar 3 sources note.</t>
        </is>
      </c>
    </row>
  </sheetData>
  <mergeCells count="1">
    <mergeCell ref="A37:R37"/>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R4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4"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s>
  <sheetData>
    <row r="1">
      <c r="A1" s="1" t="inlineStr">
        <is>
          <t>Zenith Bank (UK) Limited — Statement of Financial Position</t>
        </is>
      </c>
    </row>
    <row r="2">
      <c r="A2" s="2" t="inlineStr">
        <is>
          <t>£'000 (FY2009-FY2013 native GBP, FY2014 onward converted from USD) - see source note at bottom for FX methodology and rates used.</t>
        </is>
      </c>
    </row>
    <row r="3">
      <c r="A3" s="4" t="inlineStr">
        <is>
          <t>Line item</t>
        </is>
      </c>
      <c r="B3" s="4" t="inlineStr">
        <is>
          <t>FY2025 (£'000, conv. from USD)</t>
        </is>
      </c>
      <c r="C3" s="4" t="inlineStr">
        <is>
          <t>FY2024 (£'000, conv. from USD)</t>
        </is>
      </c>
      <c r="D3" s="4" t="inlineStr">
        <is>
          <t>FY2023 (£'000, conv. from USD)</t>
        </is>
      </c>
      <c r="E3" s="4" t="inlineStr">
        <is>
          <t>FY2022 (£'000, conv. from USD)</t>
        </is>
      </c>
      <c r="F3" s="4" t="inlineStr">
        <is>
          <t>FY2021 (£'000, conv. from USD)</t>
        </is>
      </c>
      <c r="G3" s="4" t="inlineStr">
        <is>
          <t>FY2020 (£'000, conv. from USD)</t>
        </is>
      </c>
      <c r="H3" s="4" t="inlineStr">
        <is>
          <t>FY2019 (£'000, conv. from USD)</t>
        </is>
      </c>
      <c r="I3" s="4" t="inlineStr">
        <is>
          <t>FY2018 (£'000, conv. from USD)</t>
        </is>
      </c>
      <c r="J3" s="4" t="inlineStr">
        <is>
          <t>FY2017 (£'000, conv. from USD)</t>
        </is>
      </c>
      <c r="K3" s="4" t="inlineStr">
        <is>
          <t>FY2016 (£'000, conv. from USD)</t>
        </is>
      </c>
      <c r="L3" s="4" t="inlineStr">
        <is>
          <t>FY2015 (£'000, conv. from USD)</t>
        </is>
      </c>
      <c r="M3" s="4" t="inlineStr">
        <is>
          <t>FY2014 (£'000, conv. from USD)</t>
        </is>
      </c>
      <c r="N3" s="4" t="inlineStr">
        <is>
          <t>FY2013 (£'000, conv. from USD)</t>
        </is>
      </c>
      <c r="O3" s="4" t="inlineStr">
        <is>
          <t>FY2012 (£'000, conv. from USD)</t>
        </is>
      </c>
      <c r="P3" s="4" t="inlineStr">
        <is>
          <t>FY2011 (£'000, conv. from USD)</t>
        </is>
      </c>
      <c r="Q3" s="4" t="inlineStr">
        <is>
          <t>FY2010 (£'000, conv. from USD)</t>
        </is>
      </c>
      <c r="R3" s="4" t="inlineStr">
        <is>
          <t>FY2009 (£'000, conv. from USD)</t>
        </is>
      </c>
    </row>
    <row r="4">
      <c r="A4" s="5" t="inlineStr">
        <is>
          <t>Assets</t>
        </is>
      </c>
      <c r="B4" s="6" t="n"/>
      <c r="C4" s="6" t="n"/>
      <c r="D4" s="6" t="n"/>
      <c r="E4" s="6" t="n"/>
      <c r="F4" s="6" t="n"/>
      <c r="G4" s="6" t="n"/>
      <c r="H4" s="6" t="n"/>
      <c r="I4" s="6" t="n"/>
      <c r="J4" s="6" t="n"/>
      <c r="K4" s="6" t="n"/>
      <c r="L4" s="6" t="n"/>
      <c r="M4" s="6" t="n"/>
      <c r="N4" s="6" t="n"/>
      <c r="O4" s="6" t="n"/>
      <c r="P4" s="6" t="n"/>
      <c r="Q4" s="6" t="n"/>
      <c r="R4" s="6" t="n"/>
    </row>
    <row r="5">
      <c r="A5" s="6" t="inlineStr">
        <is>
          <t>Cash and cash equivalents</t>
        </is>
      </c>
      <c r="B5" s="6" t="n">
        <v>318322.9</v>
      </c>
      <c r="C5" s="6" t="n">
        <v>383726.2</v>
      </c>
      <c r="D5" s="6" t="n">
        <v>216831.3</v>
      </c>
      <c r="E5" s="6" t="n">
        <v>520509.8</v>
      </c>
      <c r="F5" s="6" t="n">
        <v>652769.3</v>
      </c>
      <c r="G5" s="6" t="n">
        <v>576523.2</v>
      </c>
      <c r="H5" s="6" t="n">
        <v>433198</v>
      </c>
      <c r="I5" s="6" t="n">
        <v>556093</v>
      </c>
      <c r="J5" s="6" t="n">
        <v>564977.9</v>
      </c>
      <c r="K5" s="6" t="n">
        <v>519912.3</v>
      </c>
      <c r="L5" s="6" t="n">
        <v>196648.9</v>
      </c>
      <c r="M5" s="6" t="n">
        <v>268406</v>
      </c>
      <c r="N5" s="6" t="n">
        <v>119758.1</v>
      </c>
      <c r="O5" s="6" t="n">
        <v>125827.6</v>
      </c>
      <c r="P5" s="6" t="n">
        <v>82.7</v>
      </c>
      <c r="Q5" s="6" t="n">
        <v>82.59999999999999</v>
      </c>
      <c r="R5" s="6" t="n"/>
    </row>
    <row r="6">
      <c r="A6" s="6" t="inlineStr">
        <is>
          <t>Derivative financial assets</t>
        </is>
      </c>
      <c r="B6" s="6" t="n">
        <v>1697.9</v>
      </c>
      <c r="C6" s="6" t="n">
        <v>1212.8</v>
      </c>
      <c r="D6" s="6" t="n">
        <v>1893.3</v>
      </c>
      <c r="E6" s="6" t="n">
        <v>1833.2</v>
      </c>
      <c r="F6" s="6" t="n">
        <v>3779.2</v>
      </c>
      <c r="G6" s="6" t="n">
        <v>7662.8</v>
      </c>
      <c r="H6" s="6" t="n">
        <v>2119.1</v>
      </c>
      <c r="I6" s="6" t="n"/>
      <c r="J6" s="6" t="n"/>
      <c r="K6" s="6" t="n"/>
      <c r="L6" s="6" t="n"/>
      <c r="M6" s="6" t="n"/>
      <c r="N6" s="6" t="n"/>
      <c r="O6" s="6" t="n"/>
      <c r="P6" s="6" t="n"/>
      <c r="Q6" s="6" t="n"/>
      <c r="R6" s="6" t="n"/>
    </row>
    <row r="7">
      <c r="A7" s="6" t="inlineStr">
        <is>
          <t>Loans and advances to banks</t>
        </is>
      </c>
      <c r="B7" s="6" t="n">
        <v>145490.6</v>
      </c>
      <c r="C7" s="6" t="n">
        <v>90006.89999999999</v>
      </c>
      <c r="D7" s="6" t="n">
        <v>120858.3</v>
      </c>
      <c r="E7" s="6" t="n">
        <v>140936.2</v>
      </c>
      <c r="F7" s="6" t="n">
        <v>113898.1</v>
      </c>
      <c r="G7" s="6" t="n">
        <v>134139.9</v>
      </c>
      <c r="H7" s="6" t="n">
        <v>201129.9</v>
      </c>
      <c r="I7" s="6" t="n">
        <v>133969.6</v>
      </c>
      <c r="J7" s="6" t="n">
        <v>110004.5</v>
      </c>
      <c r="K7" s="6" t="n">
        <v>172871.7</v>
      </c>
      <c r="L7" s="6" t="n">
        <v>123851.3</v>
      </c>
      <c r="M7" s="6" t="n">
        <v>281606.2</v>
      </c>
      <c r="N7" s="6" t="n">
        <v>270069</v>
      </c>
      <c r="O7" s="6" t="n">
        <v>76078.2</v>
      </c>
      <c r="P7" s="6" t="n">
        <v>167144.9</v>
      </c>
      <c r="Q7" s="6" t="n">
        <v>163499.3</v>
      </c>
      <c r="R7" s="6" t="n">
        <v>275505.7</v>
      </c>
    </row>
    <row r="8">
      <c r="A8" s="6" t="inlineStr">
        <is>
          <t>Loans and advances to customers</t>
        </is>
      </c>
      <c r="B8" s="6" t="n">
        <v>481232.5</v>
      </c>
      <c r="C8" s="6" t="n">
        <v>354457.3</v>
      </c>
      <c r="D8" s="6" t="n">
        <v>277613.5</v>
      </c>
      <c r="E8" s="6" t="n">
        <v>260562.8</v>
      </c>
      <c r="F8" s="6" t="n">
        <v>261455.9</v>
      </c>
      <c r="G8" s="6" t="n">
        <v>117712.9</v>
      </c>
      <c r="H8" s="6" t="n">
        <v>49422.1</v>
      </c>
      <c r="I8" s="6" t="n">
        <v>66518.5</v>
      </c>
      <c r="J8" s="6" t="n">
        <v>89880.89999999999</v>
      </c>
      <c r="K8" s="6" t="n">
        <v>162065.1</v>
      </c>
      <c r="L8" s="6" t="n">
        <v>248026.1</v>
      </c>
      <c r="M8" s="6" t="n">
        <v>252674.4</v>
      </c>
      <c r="N8" s="6" t="n">
        <v>265311.2</v>
      </c>
      <c r="O8" s="6" t="n">
        <v>237794.9</v>
      </c>
      <c r="P8" s="6" t="n">
        <v>165610.6</v>
      </c>
      <c r="Q8" s="6" t="n">
        <v>64048</v>
      </c>
      <c r="R8" s="6" t="n">
        <v>17711.6</v>
      </c>
    </row>
    <row r="9">
      <c r="A9" s="6" t="inlineStr">
        <is>
          <t>Securities measured at fair value through profit or loss</t>
        </is>
      </c>
      <c r="B9" s="6" t="n">
        <v>638.7</v>
      </c>
      <c r="C9" s="6" t="n">
        <v>3431.9</v>
      </c>
      <c r="D9" s="6" t="n">
        <v>4010.5</v>
      </c>
      <c r="E9" s="6" t="n">
        <v>2123.2</v>
      </c>
      <c r="F9" s="6" t="n">
        <v>7787.3</v>
      </c>
      <c r="G9" s="6" t="n">
        <v>8092.3</v>
      </c>
      <c r="H9" s="6" t="n">
        <v>6987.9</v>
      </c>
      <c r="I9" s="6" t="n">
        <v>39533.9</v>
      </c>
      <c r="J9" s="6" t="n">
        <v>384896.4</v>
      </c>
      <c r="K9" s="6" t="n">
        <v>101944</v>
      </c>
      <c r="L9" s="6" t="n">
        <v>83340.2</v>
      </c>
      <c r="M9" s="6" t="n">
        <v>109612.9</v>
      </c>
      <c r="N9" s="6" t="n">
        <v>62070</v>
      </c>
      <c r="O9" s="6" t="n">
        <v>58615.6</v>
      </c>
      <c r="P9" s="6" t="n"/>
      <c r="Q9" s="6" t="n"/>
      <c r="R9" s="6" t="n"/>
    </row>
    <row r="10">
      <c r="A10" s="6" t="inlineStr">
        <is>
          <t>Securities measured at fair value through OCI</t>
        </is>
      </c>
      <c r="B10" s="6" t="n">
        <v>1078321.1</v>
      </c>
      <c r="C10" s="6" t="n">
        <v>1097103.2</v>
      </c>
      <c r="D10" s="6" t="n">
        <v>1305775.6</v>
      </c>
      <c r="E10" s="6" t="n">
        <v>1494908.3</v>
      </c>
      <c r="F10" s="6" t="n">
        <v>947237.4</v>
      </c>
      <c r="G10" s="6" t="n">
        <v>711059.7</v>
      </c>
      <c r="H10" s="6" t="n">
        <v>482767.1</v>
      </c>
      <c r="I10" s="6" t="n">
        <v>619862.6</v>
      </c>
      <c r="J10" s="6" t="n">
        <v>5058.1</v>
      </c>
      <c r="K10" s="6" t="n"/>
      <c r="L10" s="6" t="n"/>
      <c r="M10" s="6" t="n"/>
      <c r="N10" s="6" t="n"/>
      <c r="O10" s="6" t="n"/>
      <c r="P10" s="6" t="n"/>
      <c r="Q10" s="6" t="n"/>
      <c r="R10" s="6" t="n"/>
    </row>
    <row r="11">
      <c r="A11" s="6" t="inlineStr">
        <is>
          <t>Securities measured at amortised cost</t>
        </is>
      </c>
      <c r="B11" s="6" t="n">
        <v>185087</v>
      </c>
      <c r="C11" s="6" t="n">
        <v>170624.3</v>
      </c>
      <c r="D11" s="6" t="n">
        <v>155387.6</v>
      </c>
      <c r="E11" s="6" t="n">
        <v>160493.8</v>
      </c>
      <c r="F11" s="6" t="n">
        <v>137749.9</v>
      </c>
      <c r="G11" s="6" t="n">
        <v>128432.7</v>
      </c>
      <c r="H11" s="6" t="n">
        <v>98149.10000000001</v>
      </c>
      <c r="I11" s="6" t="n">
        <v>70635.3</v>
      </c>
      <c r="J11" s="6" t="n">
        <v>81833.8</v>
      </c>
      <c r="K11" s="6" t="n">
        <v>113321.2</v>
      </c>
      <c r="L11" s="6" t="n">
        <v>124008</v>
      </c>
      <c r="M11" s="6" t="n">
        <v>110539.2</v>
      </c>
      <c r="N11" s="6" t="n">
        <v>128290.3</v>
      </c>
      <c r="O11" s="6" t="n">
        <v>110703.5</v>
      </c>
      <c r="P11" s="6" t="n">
        <v>161808.7</v>
      </c>
      <c r="Q11" s="6" t="n">
        <v>179356.5</v>
      </c>
      <c r="R11" s="6" t="n">
        <v>134554.3</v>
      </c>
    </row>
    <row r="12">
      <c r="A12" s="6" t="inlineStr">
        <is>
          <t>Right-of-use assets</t>
        </is>
      </c>
      <c r="B12" s="6" t="n">
        <v>5746</v>
      </c>
      <c r="C12" s="6" t="n">
        <v>6946.1</v>
      </c>
      <c r="D12" s="6" t="n">
        <v>956.2</v>
      </c>
      <c r="E12" s="6" t="n"/>
      <c r="F12" s="6" t="n"/>
      <c r="G12" s="6" t="n"/>
      <c r="H12" s="6" t="n"/>
      <c r="I12" s="6" t="n"/>
      <c r="J12" s="6" t="n"/>
      <c r="K12" s="6" t="n"/>
      <c r="L12" s="6" t="n"/>
      <c r="M12" s="6" t="n"/>
      <c r="N12" s="6" t="n"/>
      <c r="O12" s="6" t="n"/>
      <c r="P12" s="6" t="n"/>
      <c r="Q12" s="6" t="n"/>
      <c r="R12" s="6" t="n"/>
    </row>
    <row r="13">
      <c r="A13" s="6" t="inlineStr">
        <is>
          <t>Property and equipment</t>
        </is>
      </c>
      <c r="B13" s="6" t="n">
        <v>529.8</v>
      </c>
      <c r="C13" s="6" t="n">
        <v>134.6</v>
      </c>
      <c r="D13" s="6" t="n">
        <v>277.8</v>
      </c>
      <c r="E13" s="6" t="n">
        <v>2137.5</v>
      </c>
      <c r="F13" s="6" t="n">
        <v>2729.4</v>
      </c>
      <c r="G13" s="6" t="n">
        <v>3303.3</v>
      </c>
      <c r="H13" s="6" t="n">
        <v>3646.6</v>
      </c>
      <c r="I13" s="6" t="n">
        <v>953.7</v>
      </c>
      <c r="J13" s="6" t="n">
        <v>878</v>
      </c>
      <c r="K13" s="6" t="n">
        <v>988.9</v>
      </c>
      <c r="L13" s="6" t="n">
        <v>990.2</v>
      </c>
      <c r="M13" s="6" t="n">
        <v>343.5</v>
      </c>
      <c r="N13" s="6" t="n">
        <v>508.2</v>
      </c>
      <c r="O13" s="6" t="n">
        <v>792.7</v>
      </c>
      <c r="P13" s="6" t="n">
        <v>1343.6</v>
      </c>
      <c r="Q13" s="6" t="n">
        <v>1791.8</v>
      </c>
      <c r="R13" s="6" t="n">
        <v>1773.1</v>
      </c>
    </row>
    <row r="14">
      <c r="A14" s="6" t="inlineStr">
        <is>
          <t>Intangible assets</t>
        </is>
      </c>
      <c r="B14" s="6" t="n">
        <v>2231.9</v>
      </c>
      <c r="C14" s="6" t="n">
        <v>1954.5</v>
      </c>
      <c r="D14" s="6" t="n">
        <v>606.3</v>
      </c>
      <c r="E14" s="6" t="n">
        <v>821.4</v>
      </c>
      <c r="F14" s="6" t="n">
        <v>773.5</v>
      </c>
      <c r="G14" s="6" t="n">
        <v>1021.4</v>
      </c>
      <c r="H14" s="6" t="n">
        <v>1528.3</v>
      </c>
      <c r="I14" s="6" t="n">
        <v>1470.5</v>
      </c>
      <c r="J14" s="6" t="n">
        <v>734.1</v>
      </c>
      <c r="K14" s="6" t="n">
        <v>450.8</v>
      </c>
      <c r="L14" s="6" t="n">
        <v>618.7</v>
      </c>
      <c r="M14" s="6" t="n">
        <v>679.6</v>
      </c>
      <c r="N14" s="6" t="n">
        <v>469.4</v>
      </c>
      <c r="O14" s="6" t="n">
        <v>520.5</v>
      </c>
      <c r="P14" s="6" t="n"/>
      <c r="Q14" s="6" t="n"/>
      <c r="R14" s="6" t="n"/>
    </row>
    <row r="15">
      <c r="A15" s="6" t="inlineStr">
        <is>
          <t>Current tax assets</t>
        </is>
      </c>
      <c r="B15" s="6" t="n">
        <v>971.8</v>
      </c>
      <c r="C15" s="6" t="n">
        <v>415.1</v>
      </c>
      <c r="D15" s="6" t="n">
        <v>447.2</v>
      </c>
      <c r="E15" s="6" t="n"/>
      <c r="F15" s="6" t="n"/>
      <c r="G15" s="6" t="n"/>
      <c r="H15" s="6" t="n"/>
      <c r="I15" s="6" t="n"/>
      <c r="J15" s="6" t="n"/>
      <c r="K15" s="6" t="n"/>
      <c r="L15" s="6" t="n"/>
      <c r="M15" s="6" t="n"/>
      <c r="N15" s="6" t="n"/>
      <c r="O15" s="6" t="n"/>
      <c r="P15" s="6" t="n"/>
      <c r="Q15" s="6" t="n"/>
      <c r="R15" s="6" t="n"/>
    </row>
    <row r="16">
      <c r="A16" s="6" t="inlineStr">
        <is>
          <t>Deferred tax assets</t>
        </is>
      </c>
      <c r="B16" s="6" t="inlineStr">
        <is>
          <t>-</t>
        </is>
      </c>
      <c r="C16" s="6" t="n">
        <v>818.2</v>
      </c>
      <c r="D16" s="6" t="n">
        <v>2323.4</v>
      </c>
      <c r="E16" s="6" t="n">
        <v>5809.9</v>
      </c>
      <c r="F16" s="6" t="n">
        <v>839.7</v>
      </c>
      <c r="G16" s="6" t="n">
        <v>148</v>
      </c>
      <c r="H16" s="6" t="n">
        <v>795.5</v>
      </c>
      <c r="I16" s="6" t="n">
        <v>1156.6</v>
      </c>
      <c r="J16" s="6" t="n">
        <v>1</v>
      </c>
      <c r="K16" s="6" t="n">
        <v>137</v>
      </c>
      <c r="L16" s="6" t="n">
        <v>137.1</v>
      </c>
      <c r="M16" s="6" t="n">
        <v>137</v>
      </c>
      <c r="N16" s="6" t="n">
        <v>137</v>
      </c>
      <c r="O16" s="6" t="n">
        <v>146.7</v>
      </c>
      <c r="P16" s="6" t="n">
        <v>96</v>
      </c>
      <c r="Q16" s="6" t="n">
        <v>152.1</v>
      </c>
      <c r="R16" s="6" t="n">
        <v>196.1</v>
      </c>
    </row>
    <row r="17">
      <c r="A17" s="6" t="inlineStr">
        <is>
          <t>Other assets</t>
        </is>
      </c>
      <c r="B17" s="6" t="n">
        <v>6667.6</v>
      </c>
      <c r="C17" s="6" t="n">
        <v>5872</v>
      </c>
      <c r="D17" s="6" t="n">
        <v>2309.6</v>
      </c>
      <c r="E17" s="6" t="n">
        <v>1384.8</v>
      </c>
      <c r="F17" s="6" t="n">
        <v>1339.5</v>
      </c>
      <c r="G17" s="6" t="n">
        <v>839.2</v>
      </c>
      <c r="H17" s="6" t="n">
        <v>781.1</v>
      </c>
      <c r="I17" s="6" t="n">
        <v>1063.1</v>
      </c>
      <c r="J17" s="6" t="n">
        <v>2121.9</v>
      </c>
      <c r="K17" s="6" t="n">
        <v>754.6</v>
      </c>
      <c r="L17" s="6" t="n">
        <v>1198</v>
      </c>
      <c r="M17" s="6" t="n">
        <v>1769.5</v>
      </c>
      <c r="N17" s="6" t="n">
        <v>3383.2</v>
      </c>
      <c r="O17" s="6" t="n">
        <v>584</v>
      </c>
      <c r="P17" s="6" t="n">
        <v>955.3</v>
      </c>
      <c r="Q17" s="6" t="n">
        <v>915.3</v>
      </c>
      <c r="R17" s="6" t="n">
        <v>904.1</v>
      </c>
    </row>
    <row r="18">
      <c r="A18" s="5" t="inlineStr">
        <is>
          <t>Total assets</t>
        </is>
      </c>
      <c r="B18" s="5" t="n">
        <v>2226937.9</v>
      </c>
      <c r="C18" s="5" t="n">
        <v>2116703.1</v>
      </c>
      <c r="D18" s="5" t="n">
        <v>2089290.6</v>
      </c>
      <c r="E18" s="5" t="n">
        <v>2591520.9</v>
      </c>
      <c r="F18" s="5" t="n">
        <v>2130359.2</v>
      </c>
      <c r="G18" s="5" t="n">
        <v>1688935.5</v>
      </c>
      <c r="H18" s="5" t="n">
        <v>1280524.6</v>
      </c>
      <c r="I18" s="5" t="n">
        <v>1491256.9</v>
      </c>
      <c r="J18" s="5" t="n">
        <v>1240386.5</v>
      </c>
      <c r="K18" s="5" t="n">
        <v>1072445.7</v>
      </c>
      <c r="L18" s="5" t="n">
        <v>778818.5</v>
      </c>
      <c r="M18" s="5" t="n">
        <v>1025768.3</v>
      </c>
      <c r="N18" s="5" t="n">
        <v>849996.5</v>
      </c>
      <c r="O18" s="5" t="n">
        <v>611063.7</v>
      </c>
      <c r="P18" s="5" t="n">
        <v>497041.9</v>
      </c>
      <c r="Q18" s="5" t="n">
        <v>409845.5</v>
      </c>
      <c r="R18" s="5" t="n">
        <v>430644.9</v>
      </c>
    </row>
    <row r="19">
      <c r="A19" s="5" t="inlineStr">
        <is>
          <t>Liabilities</t>
        </is>
      </c>
      <c r="B19" s="6" t="n"/>
      <c r="C19" s="6" t="n"/>
      <c r="D19" s="6" t="n"/>
      <c r="E19" s="6" t="n"/>
      <c r="F19" s="6" t="n"/>
      <c r="G19" s="6" t="n"/>
      <c r="H19" s="6" t="n"/>
      <c r="I19" s="6" t="n"/>
      <c r="J19" s="6" t="n"/>
      <c r="K19" s="6" t="n"/>
      <c r="L19" s="6" t="n"/>
      <c r="M19" s="6" t="n"/>
      <c r="N19" s="6" t="n"/>
      <c r="O19" s="6" t="n"/>
      <c r="P19" s="6" t="n"/>
      <c r="Q19" s="6" t="n"/>
      <c r="R19" s="6" t="n"/>
    </row>
    <row r="20">
      <c r="A20" s="6" t="inlineStr">
        <is>
          <t>Derivative financial liabilities</t>
        </is>
      </c>
      <c r="B20" s="6" t="n">
        <v>296.4</v>
      </c>
      <c r="C20" s="6" t="n">
        <v>2472.6</v>
      </c>
      <c r="D20" s="6" t="n">
        <v>415.8</v>
      </c>
      <c r="E20" s="6" t="n">
        <v>376.4</v>
      </c>
      <c r="F20" s="6" t="n">
        <v>2764</v>
      </c>
      <c r="G20" s="6" t="n">
        <v>2383.7</v>
      </c>
      <c r="H20" s="6" t="n">
        <v>314.2</v>
      </c>
      <c r="I20" s="6" t="n"/>
      <c r="J20" s="6" t="n"/>
      <c r="K20" s="6" t="n"/>
      <c r="L20" s="6" t="n"/>
      <c r="M20" s="6" t="n"/>
      <c r="N20" s="6" t="n"/>
      <c r="O20" s="6" t="n"/>
      <c r="P20" s="6" t="n"/>
      <c r="Q20" s="6" t="n"/>
      <c r="R20" s="6" t="n"/>
    </row>
    <row r="21">
      <c r="A21" s="6" t="inlineStr">
        <is>
          <t>Deposits from banks</t>
        </is>
      </c>
      <c r="B21" s="6" t="n">
        <v>1091515.8</v>
      </c>
      <c r="C21" s="6" t="n">
        <v>1027434</v>
      </c>
      <c r="D21" s="6" t="n">
        <v>1008262.7</v>
      </c>
      <c r="E21" s="6" t="n">
        <v>1629765.7</v>
      </c>
      <c r="F21" s="6" t="n">
        <v>1399280</v>
      </c>
      <c r="G21" s="6" t="n">
        <v>945317.5</v>
      </c>
      <c r="H21" s="6" t="n">
        <v>772976.7</v>
      </c>
      <c r="I21" s="6" t="n">
        <v>1055794.7</v>
      </c>
      <c r="J21" s="6" t="n">
        <v>931104.5</v>
      </c>
      <c r="K21" s="6" t="n">
        <v>665651.9</v>
      </c>
      <c r="L21" s="6" t="n">
        <v>517602.9</v>
      </c>
      <c r="M21" s="6" t="n">
        <v>783026.9</v>
      </c>
      <c r="N21" s="6" t="n">
        <v>662795.4</v>
      </c>
      <c r="O21" s="6" t="n">
        <v>467665</v>
      </c>
      <c r="P21" s="6" t="n">
        <v>416570.6</v>
      </c>
      <c r="Q21" s="6" t="n">
        <v>341266.7</v>
      </c>
      <c r="R21" s="6" t="n">
        <v>387577.7</v>
      </c>
    </row>
    <row r="22">
      <c r="A22" s="6" t="inlineStr">
        <is>
          <t>Deposits from customers</t>
        </is>
      </c>
      <c r="B22" s="6" t="n">
        <v>783695.2</v>
      </c>
      <c r="C22" s="6" t="n">
        <v>696164</v>
      </c>
      <c r="D22" s="6" t="n">
        <v>774098</v>
      </c>
      <c r="E22" s="6" t="n">
        <v>643544.2</v>
      </c>
      <c r="F22" s="6" t="n">
        <v>482915.4</v>
      </c>
      <c r="G22" s="6" t="n">
        <v>532793</v>
      </c>
      <c r="H22" s="6" t="n">
        <v>303588</v>
      </c>
      <c r="I22" s="6" t="n">
        <v>251310.8</v>
      </c>
      <c r="J22" s="6" t="n">
        <v>150888.3</v>
      </c>
      <c r="K22" s="6" t="n">
        <v>246338.9</v>
      </c>
      <c r="L22" s="6" t="n">
        <v>129273.8</v>
      </c>
      <c r="M22" s="6" t="n">
        <v>120215.9</v>
      </c>
      <c r="N22" s="6" t="n">
        <v>109159.1</v>
      </c>
      <c r="O22" s="6" t="n">
        <v>74161.60000000001</v>
      </c>
      <c r="P22" s="6" t="n">
        <v>34303.5</v>
      </c>
      <c r="Q22" s="6" t="n">
        <v>26986.7</v>
      </c>
      <c r="R22" s="6" t="n">
        <v>4083.3</v>
      </c>
    </row>
    <row r="23">
      <c r="A23" s="6" t="inlineStr">
        <is>
          <t>Repurchase agreements and other similar secured borrowing</t>
        </is>
      </c>
      <c r="B23" s="6" t="n">
        <v>10731.8</v>
      </c>
      <c r="C23" s="6" t="n">
        <v>71086.7</v>
      </c>
      <c r="D23" s="6" t="n">
        <v>36123.2</v>
      </c>
      <c r="E23" s="6" t="n">
        <v>63143.8</v>
      </c>
      <c r="F23" s="6" t="n">
        <v>33705.4</v>
      </c>
      <c r="G23" s="6" t="n"/>
      <c r="H23" s="6" t="n"/>
      <c r="I23" s="6" t="n"/>
      <c r="J23" s="6" t="n"/>
      <c r="K23" s="6" t="n"/>
      <c r="L23" s="6" t="n"/>
      <c r="M23" s="6" t="n"/>
      <c r="N23" s="6" t="n"/>
      <c r="O23" s="6" t="n"/>
      <c r="P23" s="6" t="n"/>
      <c r="Q23" s="6" t="n"/>
      <c r="R23" s="6" t="n"/>
    </row>
    <row r="24">
      <c r="A24" s="6" t="inlineStr">
        <is>
          <t>Deferred tax liabilities</t>
        </is>
      </c>
      <c r="B24" s="6" t="n">
        <v>50.5</v>
      </c>
      <c r="C24" s="6" t="n"/>
      <c r="D24" s="6" t="n"/>
      <c r="E24" s="6" t="n"/>
      <c r="F24" s="6" t="n"/>
      <c r="G24" s="6" t="n"/>
      <c r="H24" s="6" t="n"/>
      <c r="I24" s="6" t="n"/>
      <c r="J24" s="6" t="n"/>
      <c r="K24" s="6" t="n"/>
      <c r="L24" s="6" t="n"/>
      <c r="M24" s="6" t="n"/>
      <c r="N24" s="6" t="n"/>
      <c r="O24" s="6" t="n"/>
      <c r="P24" s="6" t="n"/>
      <c r="Q24" s="6" t="n"/>
      <c r="R24" s="6" t="n"/>
    </row>
    <row r="25">
      <c r="A25" s="6" t="inlineStr">
        <is>
          <t>Current tax liabilities</t>
        </is>
      </c>
      <c r="B25" s="6" t="inlineStr">
        <is>
          <t>-</t>
        </is>
      </c>
      <c r="C25" s="6" t="n">
        <v>1654.1</v>
      </c>
      <c r="D25" s="6" t="n">
        <v>0</v>
      </c>
      <c r="E25" s="6" t="n">
        <v>1011.4</v>
      </c>
      <c r="F25" s="6" t="n">
        <v>768</v>
      </c>
      <c r="G25" s="6" t="n">
        <v>266.1</v>
      </c>
      <c r="H25" s="6" t="n">
        <v>3435.7</v>
      </c>
      <c r="I25" s="6" t="n"/>
      <c r="J25" s="6" t="n"/>
      <c r="K25" s="6" t="n"/>
      <c r="L25" s="6" t="n"/>
      <c r="M25" s="6" t="n"/>
      <c r="N25" s="6" t="n"/>
      <c r="O25" s="6" t="n"/>
      <c r="P25" s="6" t="n"/>
      <c r="Q25" s="6" t="n"/>
      <c r="R25" s="6" t="n"/>
    </row>
    <row r="26">
      <c r="A26" s="6" t="inlineStr">
        <is>
          <t>Impairment allowance on committed/off-balance-sheet facilities</t>
        </is>
      </c>
      <c r="B26" s="6" t="n">
        <v>523.4</v>
      </c>
      <c r="C26" s="6" t="n">
        <v>499.7</v>
      </c>
      <c r="D26" s="6" t="n">
        <v>0</v>
      </c>
      <c r="E26" s="6" t="n">
        <v>588.8</v>
      </c>
      <c r="F26" s="6" t="n">
        <v>585.9</v>
      </c>
      <c r="G26" s="6" t="n">
        <v>210.7</v>
      </c>
      <c r="H26" s="6" t="n">
        <v>1090.6</v>
      </c>
      <c r="I26" s="6" t="n"/>
      <c r="J26" s="6" t="n"/>
      <c r="K26" s="6" t="n"/>
      <c r="L26" s="6" t="n"/>
      <c r="M26" s="6" t="n"/>
      <c r="N26" s="6" t="n"/>
      <c r="O26" s="6" t="n"/>
      <c r="P26" s="6" t="n"/>
      <c r="Q26" s="6" t="n"/>
      <c r="R26" s="6" t="n"/>
    </row>
    <row r="27">
      <c r="A27" s="6" t="inlineStr">
        <is>
          <t>Lease obligation</t>
        </is>
      </c>
      <c r="B27" s="6" t="n">
        <v>6319.1</v>
      </c>
      <c r="C27" s="6" t="n">
        <v>7047.5</v>
      </c>
      <c r="D27" s="6" t="n">
        <v>829</v>
      </c>
      <c r="E27" s="6" t="n">
        <v>1531.7</v>
      </c>
      <c r="F27" s="6" t="n">
        <v>2187.4</v>
      </c>
      <c r="G27" s="6" t="n">
        <v>3113.2</v>
      </c>
      <c r="H27" s="6" t="n">
        <v>2846.9</v>
      </c>
      <c r="I27" s="6" t="n"/>
      <c r="J27" s="6" t="n"/>
      <c r="K27" s="6" t="n"/>
      <c r="L27" s="6" t="n"/>
      <c r="M27" s="6" t="n"/>
      <c r="N27" s="6" t="n"/>
      <c r="O27" s="6" t="n"/>
      <c r="P27" s="6" t="n"/>
      <c r="Q27" s="6" t="n"/>
      <c r="R27" s="6" t="n"/>
    </row>
    <row r="28">
      <c r="A28" s="6" t="inlineStr">
        <is>
          <t>Other liabilities</t>
        </is>
      </c>
      <c r="B28" s="6" t="n">
        <v>9584.9</v>
      </c>
      <c r="C28" s="6" t="n">
        <v>4852.9</v>
      </c>
      <c r="D28" s="6" t="n">
        <v>5643.1</v>
      </c>
      <c r="E28" s="6" t="n">
        <v>13975.2</v>
      </c>
      <c r="F28" s="6" t="n">
        <v>5258.6</v>
      </c>
      <c r="G28" s="6" t="n">
        <v>3128.6</v>
      </c>
      <c r="H28" s="6" t="n">
        <v>3864.8</v>
      </c>
      <c r="I28" s="6" t="n">
        <v>7644.3</v>
      </c>
      <c r="J28" s="6" t="n">
        <v>5331.3</v>
      </c>
      <c r="K28" s="6" t="n">
        <v>3453.8</v>
      </c>
      <c r="L28" s="6" t="n">
        <v>3376.7</v>
      </c>
      <c r="M28" s="6" t="n">
        <v>3870.6</v>
      </c>
      <c r="N28" s="6" t="n">
        <v>3533</v>
      </c>
      <c r="O28" s="6" t="n">
        <v>2401</v>
      </c>
      <c r="P28" s="6" t="n">
        <v>2542.9</v>
      </c>
      <c r="Q28" s="6" t="n">
        <v>1589.8</v>
      </c>
      <c r="R28" s="6" t="n">
        <v>1598.7</v>
      </c>
    </row>
    <row r="29">
      <c r="A29" s="6" t="inlineStr">
        <is>
          <t>Provision</t>
        </is>
      </c>
      <c r="B29" s="6" t="n">
        <v>134.6</v>
      </c>
      <c r="C29" s="6" t="n">
        <v>135.4</v>
      </c>
      <c r="D29" s="6" t="n"/>
      <c r="E29" s="6" t="n"/>
      <c r="F29" s="6" t="n"/>
      <c r="G29" s="6" t="n"/>
      <c r="H29" s="6" t="n"/>
      <c r="I29" s="6" t="n"/>
      <c r="J29" s="6" t="n"/>
      <c r="K29" s="6" t="n"/>
      <c r="L29" s="6" t="n"/>
      <c r="M29" s="6" t="n"/>
      <c r="N29" s="6" t="n"/>
      <c r="O29" s="6" t="n"/>
      <c r="P29" s="6" t="n"/>
      <c r="Q29" s="6" t="n"/>
      <c r="R29" s="6" t="n"/>
    </row>
    <row r="30">
      <c r="A30" s="5" t="inlineStr">
        <is>
          <t>Total liabilities</t>
        </is>
      </c>
      <c r="B30" s="5" t="n">
        <v>1902851.7</v>
      </c>
      <c r="C30" s="5" t="n">
        <v>1811346.9</v>
      </c>
      <c r="D30" s="5" t="n">
        <v>1825371.8</v>
      </c>
      <c r="E30" s="5" t="n">
        <v>2353937.2</v>
      </c>
      <c r="F30" s="5" t="n">
        <v>1927464.8</v>
      </c>
      <c r="G30" s="5" t="n">
        <v>1487212.9</v>
      </c>
      <c r="H30" s="5" t="n">
        <v>1088116.9</v>
      </c>
      <c r="I30" s="5" t="n">
        <v>1314749.8</v>
      </c>
      <c r="J30" s="5" t="n">
        <v>1087324.1</v>
      </c>
      <c r="K30" s="5" t="n">
        <v>915444.6</v>
      </c>
      <c r="L30" s="5" t="n">
        <v>650253.4</v>
      </c>
      <c r="M30" s="5" t="n">
        <v>907113.5</v>
      </c>
      <c r="N30" s="5" t="n">
        <v>775487.5</v>
      </c>
      <c r="O30" s="5" t="n">
        <v>544227.6</v>
      </c>
      <c r="P30" s="5" t="n">
        <v>453417.1</v>
      </c>
      <c r="Q30" s="5" t="n">
        <v>369843.2</v>
      </c>
      <c r="R30" s="5" t="n">
        <v>393259.7</v>
      </c>
    </row>
    <row r="31">
      <c r="A31" s="5" t="inlineStr">
        <is>
          <t>Equity</t>
        </is>
      </c>
      <c r="B31" s="6" t="n"/>
      <c r="C31" s="6" t="n"/>
      <c r="D31" s="6" t="n"/>
      <c r="E31" s="6" t="n"/>
      <c r="F31" s="6" t="n"/>
      <c r="G31" s="6" t="n"/>
      <c r="H31" s="6" t="n"/>
      <c r="I31" s="6" t="n"/>
      <c r="J31" s="6" t="n"/>
      <c r="K31" s="6" t="n"/>
      <c r="L31" s="6" t="n"/>
      <c r="M31" s="6" t="n"/>
      <c r="N31" s="6" t="n"/>
      <c r="O31" s="6" t="n"/>
      <c r="P31" s="6" t="n"/>
      <c r="Q31" s="6" t="n"/>
      <c r="R31" s="6" t="n"/>
    </row>
    <row r="32">
      <c r="A32" s="6" t="inlineStr">
        <is>
          <t>Share Capital</t>
        </is>
      </c>
      <c r="B32" s="6" t="n">
        <v>101652</v>
      </c>
      <c r="C32" s="6" t="n">
        <v>109230.2</v>
      </c>
      <c r="D32" s="6" t="n">
        <v>107368.5</v>
      </c>
      <c r="E32" s="6" t="n">
        <v>113004.6</v>
      </c>
      <c r="F32" s="6" t="n">
        <v>101103.2</v>
      </c>
      <c r="G32" s="6" t="n">
        <v>100067.1</v>
      </c>
      <c r="H32" s="6" t="n">
        <v>103483.4</v>
      </c>
      <c r="I32" s="6" t="n">
        <v>107049</v>
      </c>
      <c r="J32" s="6" t="n">
        <v>101185.5</v>
      </c>
      <c r="K32" s="6" t="n">
        <v>111112.4</v>
      </c>
      <c r="L32" s="6" t="n">
        <v>92247.5</v>
      </c>
      <c r="M32" s="6" t="n">
        <v>87584.3</v>
      </c>
      <c r="N32" s="6" t="n">
        <v>53459.1</v>
      </c>
      <c r="O32" s="6" t="n">
        <v>53459.1</v>
      </c>
      <c r="P32" s="6" t="n">
        <v>35001</v>
      </c>
      <c r="Q32" s="6" t="n">
        <v>35001</v>
      </c>
      <c r="R32" s="6" t="n">
        <v>35001</v>
      </c>
    </row>
    <row r="33">
      <c r="A33" s="6" t="inlineStr">
        <is>
          <t>FVOCI Reserves</t>
        </is>
      </c>
      <c r="B33" s="6" t="n">
        <v>1115.6</v>
      </c>
      <c r="C33" s="6" t="n">
        <v>-477.8</v>
      </c>
      <c r="D33" s="6" t="n">
        <v>-3539.6</v>
      </c>
      <c r="E33" s="6" t="n">
        <v>-13131.8</v>
      </c>
      <c r="F33" s="6" t="n">
        <v>402.1</v>
      </c>
      <c r="G33" s="6" t="n">
        <v>3097.7</v>
      </c>
      <c r="H33" s="6" t="n">
        <v>560.6</v>
      </c>
      <c r="I33" s="6" t="n">
        <v>-78.2</v>
      </c>
      <c r="J33" s="6" t="n">
        <v>0</v>
      </c>
      <c r="K33" s="6" t="n"/>
      <c r="L33" s="6" t="n"/>
      <c r="M33" s="6" t="n"/>
      <c r="N33" s="6" t="n"/>
      <c r="O33" s="6" t="n"/>
      <c r="P33" s="6" t="n"/>
      <c r="Q33" s="6" t="n"/>
      <c r="R33" s="6" t="n"/>
    </row>
    <row r="34">
      <c r="A34" s="6" t="inlineStr">
        <is>
          <t>Reserves (foreign currency translation)</t>
        </is>
      </c>
      <c r="B34" s="6" t="n">
        <v>2299.1</v>
      </c>
      <c r="C34" s="6" t="n"/>
      <c r="D34" s="6" t="n"/>
      <c r="E34" s="6" t="n"/>
      <c r="F34" s="6" t="n"/>
      <c r="G34" s="6" t="n"/>
      <c r="H34" s="6" t="n"/>
      <c r="I34" s="6" t="n"/>
      <c r="J34" s="6" t="n"/>
      <c r="K34" s="6" t="n"/>
      <c r="L34" s="6" t="n"/>
      <c r="M34" s="6" t="n"/>
      <c r="N34" s="6" t="n"/>
      <c r="O34" s="6" t="n"/>
      <c r="P34" s="6" t="n"/>
      <c r="Q34" s="6" t="n"/>
      <c r="R34" s="6" t="n"/>
    </row>
    <row r="35">
      <c r="A35" s="6" t="inlineStr">
        <is>
          <t>Retained earnings</t>
        </is>
      </c>
      <c r="B35" s="6" t="n">
        <v>219019.5</v>
      </c>
      <c r="C35" s="6" t="n">
        <v>196603.8</v>
      </c>
      <c r="D35" s="6" t="n">
        <v>160089.8</v>
      </c>
      <c r="E35" s="6" t="n">
        <v>137710.9</v>
      </c>
      <c r="F35" s="6" t="n">
        <v>101389.1</v>
      </c>
      <c r="G35" s="6" t="n">
        <v>98557.8</v>
      </c>
      <c r="H35" s="6" t="n">
        <v>88363.7</v>
      </c>
      <c r="I35" s="6" t="n">
        <v>69536.2</v>
      </c>
      <c r="J35" s="6" t="n">
        <v>51876.9</v>
      </c>
      <c r="K35" s="6" t="n">
        <v>45888.6</v>
      </c>
      <c r="L35" s="6" t="n">
        <v>36317.6</v>
      </c>
      <c r="M35" s="6" t="n">
        <v>31070.6</v>
      </c>
      <c r="N35" s="6" t="n">
        <v>21049.9</v>
      </c>
      <c r="O35" s="6" t="n">
        <v>13377</v>
      </c>
      <c r="P35" s="6" t="n">
        <v>8623.799999999999</v>
      </c>
      <c r="Q35" s="6" t="n">
        <v>5001.3</v>
      </c>
      <c r="R35" s="6" t="n">
        <v>2384.2</v>
      </c>
    </row>
    <row r="36">
      <c r="A36" s="5" t="inlineStr">
        <is>
          <t>Total equity</t>
        </is>
      </c>
      <c r="B36" s="5" t="n">
        <v>324086.2</v>
      </c>
      <c r="C36" s="5" t="n">
        <v>305356.2</v>
      </c>
      <c r="D36" s="5" t="n">
        <v>263918.8</v>
      </c>
      <c r="E36" s="5" t="n">
        <v>237583.7</v>
      </c>
      <c r="F36" s="5" t="n">
        <v>202894.4</v>
      </c>
      <c r="G36" s="5" t="n">
        <v>201722.6</v>
      </c>
      <c r="H36" s="5" t="n">
        <v>192407.7</v>
      </c>
      <c r="I36" s="5" t="n">
        <v>176507.1</v>
      </c>
      <c r="J36" s="5" t="n">
        <v>153062.4</v>
      </c>
      <c r="K36" s="5" t="n">
        <v>157001.1</v>
      </c>
      <c r="L36" s="5" t="n">
        <v>128565.1</v>
      </c>
      <c r="M36" s="5" t="n">
        <v>118654.9</v>
      </c>
      <c r="N36" s="5" t="n">
        <v>74509</v>
      </c>
      <c r="O36" s="5" t="n">
        <v>66836.10000000001</v>
      </c>
      <c r="P36" s="5" t="n">
        <v>43624.8</v>
      </c>
      <c r="Q36" s="5" t="n">
        <v>40002.3</v>
      </c>
      <c r="R36" s="5" t="n">
        <v>37385.2</v>
      </c>
    </row>
    <row r="37">
      <c r="A37" s="5" t="inlineStr">
        <is>
          <t>Total liabilities and equity</t>
        </is>
      </c>
      <c r="B37" s="5" t="n">
        <v>2226937.9</v>
      </c>
      <c r="C37" s="5" t="n">
        <v>2116703.1</v>
      </c>
      <c r="D37" s="5" t="n">
        <v>2089290.6</v>
      </c>
      <c r="E37" s="5" t="n">
        <v>2591520.9</v>
      </c>
      <c r="F37" s="5" t="n">
        <v>2130359.2</v>
      </c>
      <c r="G37" s="5" t="n">
        <v>1688935.5</v>
      </c>
      <c r="H37" s="5" t="n">
        <v>1280524.6</v>
      </c>
      <c r="I37" s="5" t="n">
        <v>1491256.9</v>
      </c>
      <c r="J37" s="5" t="n">
        <v>1240386.5</v>
      </c>
      <c r="K37" s="5" t="n">
        <v>1072445.7</v>
      </c>
      <c r="L37" s="5" t="n">
        <v>778818.5</v>
      </c>
      <c r="M37" s="5" t="n">
        <v>1025768.3</v>
      </c>
      <c r="N37" s="5" t="n">
        <v>849996.5</v>
      </c>
      <c r="O37" s="5" t="n">
        <v>611063.7</v>
      </c>
      <c r="P37" s="5" t="n">
        <v>497041.9</v>
      </c>
      <c r="Q37" s="5" t="n">
        <v>409845.5</v>
      </c>
      <c r="R37" s="5" t="n">
        <v>430644.9</v>
      </c>
    </row>
    <row r="39" ht="340" customHeight="1">
      <c r="A39" s="8" t="inlineStr">
        <is>
          <t>Sources - all figures are Zenith Bank (UK) Limited's own primary statements (converted from USD to £, see FX conversion note below):
FY2024: Annual Report and Financial Statements 2024, p.42-43 (Statement of Profit or Loss and OCI), p.41 (Statement of Financial Position) - https://www.zenith-bank.co.uk/media/2273/2024-annual-report-and-financial-statements.pdf
FY2023: Annual Report and Financial Statements 2023, p.35 (Statement of Profit or Loss and OCI), p.34 (Statement of Financial Position) - https://www.zenith-bank.co.uk/media/2253/2023-annual-report-and-financial-statements.pdf
FY2022: Annual Report and Financial Statements 2022, p.33 (Statement of Profit or Loss and OCI), p.32 (Statement of Financial Position) - https://www.zenith-bank.co.uk/media/2237/2022-annual-report-and-financial-statements.pdf
FY2021: Annual Report and Financial Statements 2021, p.31 (Statement of Profit or Loss and OCI), p.30 (Statement of Financial Position) - https://www.zenith-bank.co.uk/media/2205/2021-annual-report-and-financial-statements.pdf
FY2020: Annual Report 2020, p.31 (Statement of Comprehensive Income), p.32 (Statement of Financial Position) - https://www.zenith-bank.co.uk/media/2199/zenith-bank-uk-limited-annual-report-2020.pdf
FY2019: Annual Report 2019, p.20 (Statement of Profit or Loss and OCI), p.21 (Statement of Financial Position) - https://www.zenith-bank.co.uk/media/2169/258558-zenith-web.pdf
FY2018: Annual Report and Financial Statements 2018, p.18 (Statement of Profit or Loss), p.19 (Statement of Financial Position) - https://www.zenith-bank.co.uk/media/2151/2018-annual-report.pdf
FY2017: Annual Report and Financial Statements 2017, p.17 (Statement of Profit and Loss), p.18 (Statement of Financial Position) - https://www.zenith-bank.co.uk/media/2142/2017-annual-report-and-financial-statements.pdf
FY2016: Annual Report and Accounts 2016, p.9 (Statement of Profit and Loss), p.10 (Statement of Financial Position) - https://www.zenith-bank.co.uk/media/1009/statutory_accounts_year_ended_31st_december_2016.pdf
FY2015: Annual Report and Financial Statements 2015, p.9 (Statement of Profit and Loss), p.10 (Statement of Other Comprehensive Income), p.11 (Statement of Financial Position) - https://www.zenith-bank.co.uk/media/1011/zenith_bank_-uk-_ltd_-_annual_report_and_financial_statements_2015.pdf
FY2014: Annual Report and Financial Statements 2014, p.9 (Statement of Profit and Loss), p.10 (Statement of Other Comprehensive Income), p.11 (Statement of Financial Position) - https://www.zenith-bank.co.uk/media/1010/zenith_bank_-uk-_ltd_-_annual_report_and_accounts_2014.pdf
FY2025: Annual Report and Financial Statements 2025, pp.39-40 printed (PDF pp.41-42), Statement of Profit or Loss and Other Comprehensive Income / Statement of Financial Position - https://find-and-update.company-information.service.gov.uk/company/05713749/filing-history/MzUyMjI1NjUwM2FkaXF6a2N4/document?format=pdf&amp;download=0
FY2025 ADDED 2026-09-18 from the Companies House filing, which is an image-only scan read VISUALLY at 300 dpi (see the Cash Flow Statement sheet's note for why the Bank's own site has no FY2025 report). The FY2025 balance sheet ties exactly: total assets 2,994,786,108 = total liabilities 2,558,955,031 + total equity 435,831,077, in USD before conversion, with no plug row.
FY2025 NEW LINES: 'Deferred tax liabilities' (67,847) and 'Reserves (foreign currency translation)' (3,091,802) appear for the first time; in the P&amp;L, 'Net gains realised on disposal of securities measured at amortised cost' (537,511) and 'Foreign operations - foreign currency translation differences' (3,091,802) likewise. 'Deferred tax assets' and 'Current tax liabilities' print literal DASHES for FY2025 and are carried through as '-', not as 0 - the Bank held the opposite balance in each case (a deferred tax LIABILITY and a current tax ASSET), which a zero would misstate.
FY2024 IS RESTATED IN THE FY2025 EDITION AND THIS WORKBOOK DOES NOT USE THE RESTATEMENT. The FY2025 report heads its comparative column '2024 (Restated)' and moves US$839,784 between personnel and other expenses (personnel 22,907,160 and other 12,661,084 restated, against 23,746,944 and 11,821,300 as originally published). Every subtotal is unaffected - operating expenses, profit before tax and profit for the year are identical on both bases - so this is a pure reclassification. Per this project's standing rule the FY2024 column keeps its OWN edition's figures; the restatement is recorded here, not applied.
FY2013: Financial Statements for the year ended 31 December 2013, p.9 (Statement of Comprehensive Income), p.10 (Statement of Financial Position) - https://find-and-update.company-information.service.gov.uk/company/05713749/filing-history/MzEwNDk3MzAyNmFkaXF6a2N4/document?format=pdf&amp;download=0
FY2012: Financial Statements as at 31 December 2012, p.8 (Statement of Comprehensive Income), p.9 (Statement of Financial Position) - https://find-and-update.company-information.service.gov.uk/company/05713749/filing-history/MzA4MDQyODAzOGFkaXF6a2N4/document?format=pdf&amp;download=0
FY2011: Annual report and financial statements for the year ended 31 December 2011, p.8 (Profit and loss account), p.9 (Balance sheet) - https://find-and-update.company-information.service.gov.uk/company/05713749/filing-history/MzA1NjQzNDY0OWFkaXF6a2N4/document?format=pdf&amp;download=0
FY2010: Annual report and financial statements for the year ended 31 December 2010, p.7 (Profit and loss account), p.8 (Balance sheet) - https://find-and-update.company-information.service.gov.uk/company/05713749/filing-history/MzAzNjAzNzkzN2FkaXF6a2N4/document?format=pdf&amp;download=0
FY2009: Annual report and financial statement for the year ended 31 December 2009, p.7 (Profit and loss account), p.8 (Balance sheet) - https://find-and-update.company-information.service.gov.uk/company/05713749/filing-history/MzAxMzk0ODA3MmFkaXF6a2N4/document?format=pdf&amp;download=0
ENTITY NOTE: Zenith Bank (UK) Limited (FRN 451720) is a UK subsidiary of Zenith Bank Plc (Nigeria). Unlike several other foreign-subsidiary banks in this workbook series (ICICI Bank UK, Philippine National Bank Europe, Citibank UK, State Bank of India UK), it prepares full financial statements under UK-adopted International Accounting Standards (not FRS 101/102 reduced disclosure), including a genuine Statement of Cash Flows every year - no cash-flow exemption applies. The Bank's own capital structure is CET1-only (no AT1 or Tier 2 instruments), so CET1 capital = Tier 1 capital = Total capital in every year shown.</t>
        </is>
      </c>
    </row>
    <row r="41" ht="377" customHeight="1">
      <c r="A41" s="8" t="inlineStr">
        <is>
          <t>(continued)
FX CONVERSION NOTE: Zenith Bank (UK) Limited reports in US Dollars. This workbook converts every $ amount to £ for consistency with the rest of this series, following the same methodology established for SMBC Bank International plc: point-in-time/balance figures (capital, RWA, leverage exposure, HQLA, cash balances) use the Bank of England GBP/USD SPOT rate as at that fiscal year-end (31 December); flow figures (every cash flow statement line item) use the AVERAGE of Bank of England rates over that calendar year. FY2020-FY2025 rates are via poundsterlinglive.com's published Bank of England archive; FY2014-FY2019 rates (added under HD-048) were pulled directly from the Bank of England's own Interactive Statistical Database (series XUDLGBD, spot exchange rate US dollar into Sterling), inverted and rounded to 4dp - the same underlying BoE series poundsterlinglive republishes. Rates used (£1 = $X): 31 Dec 2013 spot 1.6529 (FY2014 opening cash only); FY2014 spot 1.5608 / average 1.6465; FY2015 spot 1.4819 / average 1.5281; FY2016 spot 1.2303 / average 1.3488; FY2017 spot 1.3510 / average 1.2878; FY2018 spot 1.2770 / average 1.3335; FY2019 spot 1.3210 / average 1.2757; FY2020 spot 1.3661 / average 1.2825 (FY2020 spot pre-dates HD-048 and is kept unchanged from the original build for continuity - a fresh BoE query for the same date gives 1.3648, a ~0.1% difference attributable to archive rounding, immaterial at 1dp in £'000 terms); FY2021 spot 1.3521 / average 1.3752; FY2022 spot 1.2097 / average 1.2362; FY2023 spot 1.2732 / average 1.2439; FY2024 spot 1.2515 / average 1.2782; FY2025 spot 1.3448 / average 1.3193. All % ratios (CET1/Tier 1/Total Capital/Leverage/LCR/NSFR ratios) are shown EXACTLY as reported in USD and were NOT converted - a ratio is dimensionless and currency-invariant. Because stocks and flows are converted at different rates, the cash flow statement includes an explicit 'Effect of GBP/USD translation' reconciling line so opening + all flows + this line = closing exactly in £ terms - this line is purely an artefact of £ translation and has no bearing on the Bank's underlying USD results. This conversion was not explicitly requested for this bank (unlike SMBC) - applied for consistency with the rest of the series; flag if £'000 rather than the Bank's native US$'000 presentation is not what's wanted here.
HD-048 EXTENSION NOTE (2026-09-06): this workbook was extended from its original FY2021-FY2025 window back to FY2014 under wayfinder ticket HD-048, capped at FY2014 by explicit project-wide user decision even though Zenith Bank (UK) Limited's own disclosure archive genuinely extends to FY2009 (Pillar 3 pre-CRD IV/Basel III isn't considered comparable to later years, and this project caps historical depth at FY2014 across all extended banks). FY2014-FY2020 Annual Report and Financial Statements were re-sourced directly from the Bank's own live website (zenith-bank.co.uk/why-us/statutory-accounts-tax-strategy/), each verified by opening the actual PDF and checking its cover/contents page states the claimed year - this caught the site's own '2015' link actually serving a byte-identical copy of the FY2018 report (same file, two URLs); the genuine FY2015 Annual Report was recovered from Internet Archive Wayback Machine crawl data instead (media/1011). FY2014-FY2015 Pillar 3 disclosures were similarly recovered from Wayback Machine captures of the Bank's pre-2018 site (see Pillar 3 sources note). No Pillar 3 disclosure document for FY2016-FY2020 could be found on the live site or in the Wayback Machine despite a thorough search (CDX API queries against every plausible URL pattern, including two specific leads from an earlier interrupted session that both proved to be unarchived 404s on further verification) - the Bank's Pillar 3 page itself was archived several times across those years and confirms the underlying PDF links existed at the time, but the PDF binaries themselves were never crawled by the Wayback Machine. Annual Report-sourced sheets (Balance Sheet, P&amp;L, Statement of Changes in Equity, Cash Flow Statement, Asset Quality) are fully populated for all of FY2014-FY2020.
SUPERSEDED IN PART, 2026-09-18 - DO NOT READ THE PARAGRAPH ABOVE AS 'NO CAPITAL DATA EXISTS FOR FY2016-FY2019'. It said, in its original form, that all 11 Pillar 3 metric sheets and the RWA Breakdown sheet were 'therefore genuinely blank for FY2016-FY2020'. The word 'therefore' was the error: the absence of a Pillar 3 DOCUMENT was treated as the absence of the DATA, and nobody opened the Annual Reports looking for capital. They carry a 'Capital Management' note with a Capital Resources table every year. FY2016-FY2019 capital, and FY2017/FY2018 CET1 ratios, are now populated from that source (and FY2012/FY2013 from the same note in the Companies House filings). What remains genuinely absent for FY2016-FY2019 is RWA, the RWA breakdown, the leverage ratio and the LCR. See the ANNUAL-REPORT CAPITAL RECOVERY note on the capital sheets.
HD-073 EXTENSION NOTE (2026-09-06/07): this workbook was extended from its FY2014 floor back to FY2009 under wayfinder ticket HD-073, using the Bank's own statutory accounts recovered from Companies House (company 05713749) - the Bank's own website archive does not go back this far. CURRENCY: FY2009-FY2013 are reported by the Bank natively in GBP (its redenomination to USD, see the FX conversion note above, happened during 2013/2014) - these 5 years require NO FX conversion at all and are shown as £'000 directly (see stock2()/flow2()/opening_cash2() in this script). STATEMENT AVAILABILITY: FY2012 and FY2013 have full IFRS-style statements (Statement of Comprehensive Income, Statement of Financial Position, Statement of Changes in Equity, Statement of Cash Flows), all populated here. FY2009-FY2011 pre-date the Bank's IFRS adoption entirely - each year's own report contains only a 'Profit and loss account' and 'Balance sheet' under old UK GAAP, and each explicitly states 'There are no recognised gains or losses for the year other than as stated above. Accordingly no Statement of Total Recognised Gains and Losses has been prepared' and contains no Statement of Cash Flows at all - a genuine, disclosed absence (not a small-company cash-flow exemption assumption), so the Statement of Changes in Equity and Cash Flow Statement sheets are genuinely blank for FY2009-FY2011. PRESENTATION BRIDGE (Balance Sheet, FY2009-FY2011): these years predate the Trading/Investment securities split (a single 'Securities' line is shown here as 'Securities measured at amortised cost') and the Deposits by banks/corporates split shown from FY2012 ('Deposits by corporates' maps to 'Deposits from customers', consistent with later years' convention); 'Other assets' combines the Bank's own separate 'Other assets' and 'Prepayments' lines (no dedicated Prepayments row exists in this sheet's modern label set); 'Other liabilities' holds the Bank's own 'Accrued expenses' line. FY2009's own report does not separately disclose a 'Cash' line at all (folded into 'Loans and advances to banks', £275,505,662) - FY2010's own report later reclassifies out a £35,421 'Cash' balance for its FY2009 comparative; FY2009's own as-originally-reported combined figure is used here, per this project's convention of preferring each year's own report. PRESENTATION BRIDGE (P&amp;L, FY2009-FY2010): neither year separately discloses Personnel expenses/Depreciation and amortisation - a single 'Administrative expenses' line is shown here as 'Other expenses' (Personnel expenses/Depreciation and amortisation blank, not zero, for these two years only). RESTATEMENT NOTE: FY2011's own report (profit before tax £5,104,963, profit for the year £3,622,457) differs from the FY2012 Annual Report's own restated FY2011 IFRS comparative (profit before tax £4,973,686, profit for the year £3,491,180) - a reclassification between interest/fee/expense lines under the Bank's FY2012 IFRS conversion, not a change to the audited FY2011 result. FY2011's own report figures are used throughout, consistent with this project's convention of preferring each year's own report over a later restated comparative. Similarly, FY2009's own report labels ('Interest receivable', 'Fees &amp; commissions receivable', 'Exchange profits') differ from FY2010's own report's FY2009 comparative labels ('Interest earned', 'Fees &amp; commission earned', 'Trading profits (Net)') with a like-for-like £518,750 shift between the interest and fee/trading lines - Operating income and Profit for the year are identical either way; FY2009's own report figures are used. BRIDGE GAP (FY2013/FY2014 boundary): FY2013's own report shows closing Total equity of £74,509,003 and closing cash of £119,758,144; the Bank's own FY2014 Annual Report separately expresses its 1 January 2014 opening position in USD (used, unchanged, by the pre-existing FY2014 opening rows in this workbook) which back-converts via the 31 Dec 2013 spot rate to approximately £74,543,010 total equity and £119,819,001 opening cash - a small (~0.05%) gap attributable to the Bank's own USD-conversion/rounding at the point of redenomination, not reconciled further; both figures are shown exactly as each source discloses them.
PRESENTATION NOTE: 'Right-of-use assets' and 'Current tax assets' are shown as separate balance sheet lines only from FY2023 onward - FY2021/FY2022's own balance sheets do not present a right-of-use asset line at all (embedded within 'Property and equipment') and show no current tax asset line (the Bank held a current tax LIABILITY, not asset, in those years). FY2023 explicitly discloses both 'Current tax liabilities' and 'Impairment allowance on committed but undrawn facilities' as nil (US$0), shown as 0 here (a confirmed disclosed nil, not a gap). All years FY2021-FY2024 tie exactly: Total assets = Total liabilities + Total equity, to the penny in USD before conversion - zero plug rows.</t>
        </is>
      </c>
    </row>
    <row r="43" ht="340" customHeight="1">
      <c r="A43" s="8" t="inlineStr">
        <is>
          <t>(continued)
HD-048 HISTORICAL STRUCTURE NOTE (FY2014-FY2020): the Bank's balance sheet classification changed materially over this period and rows are mapped onto the modern (FY2021+) labels above for comparability, per this project's convention of holding row labels constant across relabelling. FY2014-FY2017 pre-date IFRS 9 (adopted 1 January 2018): 'Securities measured at fair value through profit or loss' represents the Bank's own 'Securities Trading'/'Securities designated at fair value' line (IAS 39 FVTPL); 'Securities measured at amortised cost' represents the Bank's own 'Securities Investment (HTM: Amortised Cost)' held-to-maturity line; 'Securities measured at fair value through OCI' is blank (not zero) for FY2014-FY2016 since the Bank held no available-for-sale securities in those years, and holds the Bank's own 'Securities available for sale' figure for FY2017 (an AFS reserve of exactly $0 was disclosed alongside it that year). 'Derivative financial assets/ liabilities', 'Current tax liabilities', 'Impairment allowance on committed/off-balance-sheet facilities' and 'Lease obligation' are blank (not zero) for FY2014-FY2018 - genuinely not disclosed as separate line items until the Bank's IFRS 9 (FY2018) and IFRS 16 (FY2019) transitions respectively. 'FVOCI Reserves' holds the Bank's own 'AFS Reserve' for FY2017 (both a fair-value-through-OCI type reserve on securities, renamed at the FY2018 IFRS 9 transition) - shown as a disclosed nil (0) for FY2017. All years FY2014-FY2020 individually tie exactly: Total assets = Total liabilities + Total equity, to the penny in USD before conversion - zero plug rows in any year.
See the HD-073 extension note below for the FY2009-FY2013 presentation bridge (native GBP, no split Trading/Investment securities or banks/customers deposits categories, combined Other assets/Prepayments). All years FY2009-FY2013 individually tie exactly: Total assets = Total liabilities + Total equity, to the penny in £ - zero plug rows.</t>
        </is>
      </c>
    </row>
  </sheetData>
  <mergeCells count="3">
    <mergeCell ref="A43:R43"/>
    <mergeCell ref="A41:R41"/>
    <mergeCell ref="A39:R39"/>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41"/>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s>
  <sheetData>
    <row r="1">
      <c r="A1" s="1" t="inlineStr">
        <is>
          <t>Zenith Bank (UK) Limited — Statement of Profit or Loss and Other Comprehensive Income</t>
        </is>
      </c>
    </row>
    <row r="2">
      <c r="A2" s="2" t="inlineStr">
        <is>
          <t>£'000 (FY2009-FY2013 native GBP, FY2014 onward converted from USD) - see source note at bottom for FX methodology and rates used.</t>
        </is>
      </c>
    </row>
    <row r="3">
      <c r="A3" s="4" t="inlineStr">
        <is>
          <t>Line item</t>
        </is>
      </c>
      <c r="B3" s="4" t="inlineStr">
        <is>
          <t>FY2025 (£'000, conv. from USD)</t>
        </is>
      </c>
      <c r="C3" s="4" t="inlineStr">
        <is>
          <t>FY2024 (£'000, conv. from USD)</t>
        </is>
      </c>
      <c r="D3" s="4" t="inlineStr">
        <is>
          <t>FY2023 (£'000, conv. from USD)</t>
        </is>
      </c>
      <c r="E3" s="4" t="inlineStr">
        <is>
          <t>FY2022 (£'000, conv. from USD)</t>
        </is>
      </c>
      <c r="F3" s="4" t="inlineStr">
        <is>
          <t>FY2021 (£'000, conv. from USD)</t>
        </is>
      </c>
      <c r="G3" s="4" t="inlineStr">
        <is>
          <t>FY2020 (£'000, conv. from USD)</t>
        </is>
      </c>
      <c r="H3" s="4" t="inlineStr">
        <is>
          <t>FY2019 (£'000, conv. from USD)</t>
        </is>
      </c>
      <c r="I3" s="4" t="inlineStr">
        <is>
          <t>FY2018 (£'000, conv. from USD)</t>
        </is>
      </c>
      <c r="J3" s="4" t="inlineStr">
        <is>
          <t>FY2017 (£'000, conv. from USD)</t>
        </is>
      </c>
      <c r="K3" s="4" t="inlineStr">
        <is>
          <t>FY2016 (£'000, conv. from USD)</t>
        </is>
      </c>
      <c r="L3" s="4" t="inlineStr">
        <is>
          <t>FY2015 (£'000, conv. from USD)</t>
        </is>
      </c>
      <c r="M3" s="4" t="inlineStr">
        <is>
          <t>FY2014 (£'000, conv. from USD)</t>
        </is>
      </c>
      <c r="N3" s="4" t="inlineStr">
        <is>
          <t>FY2013 (£'000, conv. from USD)</t>
        </is>
      </c>
      <c r="O3" s="4" t="inlineStr">
        <is>
          <t>FY2012 (£'000, conv. from USD)</t>
        </is>
      </c>
      <c r="P3" s="4" t="inlineStr">
        <is>
          <t>FY2011 (£'000, conv. from USD)</t>
        </is>
      </c>
      <c r="Q3" s="4" t="inlineStr">
        <is>
          <t>FY2010 (£'000, conv. from USD)</t>
        </is>
      </c>
      <c r="R3" s="4" t="inlineStr">
        <is>
          <t>FY2009 (£'000, conv. from USD)</t>
        </is>
      </c>
    </row>
    <row r="4">
      <c r="A4" s="5" t="inlineStr">
        <is>
          <t>Income</t>
        </is>
      </c>
      <c r="B4" s="6" t="n"/>
      <c r="C4" s="6" t="n"/>
      <c r="D4" s="6" t="n"/>
      <c r="E4" s="6" t="n"/>
      <c r="F4" s="6" t="n"/>
      <c r="G4" s="6" t="n"/>
      <c r="H4" s="6" t="n"/>
      <c r="I4" s="6" t="n"/>
      <c r="J4" s="6" t="n"/>
      <c r="K4" s="6" t="n"/>
      <c r="L4" s="6" t="n"/>
      <c r="M4" s="6" t="n"/>
      <c r="N4" s="6" t="n"/>
      <c r="O4" s="6" t="n"/>
      <c r="P4" s="6" t="n"/>
      <c r="Q4" s="6" t="n"/>
      <c r="R4" s="6" t="n"/>
    </row>
    <row r="5">
      <c r="A5" s="6" t="inlineStr">
        <is>
          <t>Interest income</t>
        </is>
      </c>
      <c r="B5" s="6" t="n">
        <v>115860.7</v>
      </c>
      <c r="C5" s="6" t="n">
        <v>117726.2</v>
      </c>
      <c r="D5" s="6" t="n">
        <v>118993.4</v>
      </c>
      <c r="E5" s="6" t="n">
        <v>63895.8</v>
      </c>
      <c r="F5" s="6" t="n">
        <v>31528.2</v>
      </c>
      <c r="G5" s="6" t="n">
        <v>35631.2</v>
      </c>
      <c r="H5" s="6" t="n">
        <v>43599.7</v>
      </c>
      <c r="I5" s="6" t="n">
        <v>33003.8</v>
      </c>
      <c r="J5" s="6" t="n">
        <v>25309.2</v>
      </c>
      <c r="K5" s="6" t="n">
        <v>27970.2</v>
      </c>
      <c r="L5" s="6" t="n">
        <v>28727.1</v>
      </c>
      <c r="M5" s="6" t="n">
        <v>32288.9</v>
      </c>
      <c r="N5" s="6" t="n">
        <v>28518</v>
      </c>
      <c r="O5" s="6" t="n">
        <v>15116.7</v>
      </c>
      <c r="P5" s="6" t="n">
        <v>11927.8</v>
      </c>
      <c r="Q5" s="6" t="n">
        <v>8243.1</v>
      </c>
      <c r="R5" s="6" t="n">
        <v>8943.1</v>
      </c>
    </row>
    <row r="6">
      <c r="A6" s="6" t="inlineStr">
        <is>
          <t>Interest expense</t>
        </is>
      </c>
      <c r="B6" s="6" t="n">
        <v>-51512.7</v>
      </c>
      <c r="C6" s="6" t="n">
        <v>-54871.3</v>
      </c>
      <c r="D6" s="6" t="n">
        <v>-41632.9</v>
      </c>
      <c r="E6" s="6" t="n">
        <v>-12130.6</v>
      </c>
      <c r="F6" s="6" t="n">
        <v>-3720.8</v>
      </c>
      <c r="G6" s="6" t="n">
        <v>-7553.9</v>
      </c>
      <c r="H6" s="6" t="n">
        <v>-8971.299999999999</v>
      </c>
      <c r="I6" s="6" t="n">
        <v>-4041.5</v>
      </c>
      <c r="J6" s="6" t="n">
        <v>-3330.9</v>
      </c>
      <c r="K6" s="6" t="n">
        <v>-6692.7</v>
      </c>
      <c r="L6" s="6" t="n">
        <v>-14135</v>
      </c>
      <c r="M6" s="6" t="n">
        <v>-18079.7</v>
      </c>
      <c r="N6" s="6" t="n">
        <v>-15179</v>
      </c>
      <c r="O6" s="6" t="n">
        <v>-7289.6</v>
      </c>
      <c r="P6" s="6" t="n">
        <v>-3564.6</v>
      </c>
      <c r="Q6" s="6" t="n">
        <v>-1269.1</v>
      </c>
      <c r="R6" s="6" t="n">
        <v>-3028</v>
      </c>
    </row>
    <row r="7">
      <c r="A7" s="5" t="inlineStr">
        <is>
          <t>Net interest income</t>
        </is>
      </c>
      <c r="B7" s="5" t="n">
        <v>64348</v>
      </c>
      <c r="C7" s="5" t="n">
        <v>62855</v>
      </c>
      <c r="D7" s="5" t="n">
        <v>77360.5</v>
      </c>
      <c r="E7" s="5" t="n">
        <v>51765.3</v>
      </c>
      <c r="F7" s="5" t="n">
        <v>27807.4</v>
      </c>
      <c r="G7" s="5" t="n">
        <v>28077.3</v>
      </c>
      <c r="H7" s="5" t="n">
        <v>34628.4</v>
      </c>
      <c r="I7" s="5" t="n">
        <v>28962.3</v>
      </c>
      <c r="J7" s="5" t="n">
        <v>21978.3</v>
      </c>
      <c r="K7" s="5" t="n">
        <v>21277.5</v>
      </c>
      <c r="L7" s="5" t="n">
        <v>14592.1</v>
      </c>
      <c r="M7" s="5" t="n">
        <v>14209.2</v>
      </c>
      <c r="N7" s="5" t="n">
        <v>13339</v>
      </c>
      <c r="O7" s="5" t="n">
        <v>7827.1</v>
      </c>
      <c r="P7" s="5" t="n">
        <v>8363.200000000001</v>
      </c>
      <c r="Q7" s="5" t="n">
        <v>6974</v>
      </c>
      <c r="R7" s="5" t="n">
        <v>5915.1</v>
      </c>
    </row>
    <row r="8">
      <c r="A8" s="6" t="inlineStr">
        <is>
          <t>Fee and commission income</t>
        </is>
      </c>
      <c r="B8" s="6" t="n">
        <v>9463.200000000001</v>
      </c>
      <c r="C8" s="6" t="n">
        <v>7567.8</v>
      </c>
      <c r="D8" s="6" t="n">
        <v>8364</v>
      </c>
      <c r="E8" s="6" t="n">
        <v>8529.299999999999</v>
      </c>
      <c r="F8" s="6" t="n">
        <v>6454.5</v>
      </c>
      <c r="G8" s="6" t="n">
        <v>5877.2</v>
      </c>
      <c r="H8" s="6" t="n">
        <v>4871.4</v>
      </c>
      <c r="I8" s="6" t="n">
        <v>4673.2</v>
      </c>
      <c r="J8" s="6" t="n">
        <v>4438.5</v>
      </c>
      <c r="K8" s="6" t="n">
        <v>3962.5</v>
      </c>
      <c r="L8" s="6" t="n">
        <v>4924.6</v>
      </c>
      <c r="M8" s="6" t="n">
        <v>4725.1</v>
      </c>
      <c r="N8" s="6" t="n">
        <v>4366.4</v>
      </c>
      <c r="O8" s="6" t="n">
        <v>4044.9</v>
      </c>
      <c r="P8" s="6" t="n">
        <v>2827.7</v>
      </c>
      <c r="Q8" s="6" t="n">
        <v>2106.2</v>
      </c>
      <c r="R8" s="6" t="n">
        <v>2050.4</v>
      </c>
    </row>
    <row r="9">
      <c r="A9" s="6" t="inlineStr">
        <is>
          <t>Trading income</t>
        </is>
      </c>
      <c r="B9" s="6" t="n">
        <v>3132.6</v>
      </c>
      <c r="C9" s="6" t="n">
        <v>3094.9</v>
      </c>
      <c r="D9" s="6" t="n"/>
      <c r="E9" s="6" t="n"/>
      <c r="F9" s="6" t="n"/>
      <c r="G9" s="6" t="n"/>
      <c r="H9" s="6" t="n"/>
      <c r="I9" s="6" t="n"/>
      <c r="J9" s="6" t="n"/>
      <c r="K9" s="6" t="n"/>
      <c r="L9" s="6" t="n"/>
      <c r="M9" s="6" t="n"/>
      <c r="N9" s="6" t="n"/>
      <c r="O9" s="6" t="n"/>
      <c r="P9" s="6" t="n"/>
      <c r="Q9" s="6" t="n"/>
      <c r="R9" s="6" t="n"/>
    </row>
    <row r="10">
      <c r="A10" s="6" t="inlineStr">
        <is>
          <t>Trading and other income</t>
        </is>
      </c>
      <c r="B10" s="6" t="n"/>
      <c r="C10" s="6" t="n"/>
      <c r="D10" s="6" t="n">
        <v>2002.1</v>
      </c>
      <c r="E10" s="6" t="n">
        <v>4256.7</v>
      </c>
      <c r="F10" s="6" t="n">
        <v>815.4</v>
      </c>
      <c r="G10" s="6" t="n">
        <v>6293.8</v>
      </c>
      <c r="H10" s="6" t="n">
        <v>6019.1</v>
      </c>
      <c r="I10" s="6" t="n">
        <v>3606.7</v>
      </c>
      <c r="J10" s="6" t="n">
        <v>4611.4</v>
      </c>
      <c r="K10" s="6" t="n">
        <v>2328.6</v>
      </c>
      <c r="L10" s="6" t="n">
        <v>1630.1</v>
      </c>
      <c r="M10" s="6" t="n">
        <v>1683.2</v>
      </c>
      <c r="N10" s="6" t="n">
        <v>727.7</v>
      </c>
      <c r="O10" s="6" t="n">
        <v>2573.1</v>
      </c>
      <c r="P10" s="6" t="n">
        <v>859.7</v>
      </c>
      <c r="Q10" s="6" t="n">
        <v>288.4</v>
      </c>
      <c r="R10" s="6" t="n">
        <v>681.6</v>
      </c>
    </row>
    <row r="11">
      <c r="A11" s="6" t="inlineStr">
        <is>
          <t>Net gains/(losses) on disposal of securities measured at FVOCI</t>
        </is>
      </c>
      <c r="B11" s="6" t="n">
        <v>1252.6</v>
      </c>
      <c r="C11" s="6" t="n">
        <v>-164.8</v>
      </c>
      <c r="D11" s="6" t="n">
        <v>-1331.6</v>
      </c>
      <c r="E11" s="6" t="n"/>
      <c r="F11" s="6" t="n"/>
      <c r="G11" s="6" t="n"/>
      <c r="H11" s="6" t="n"/>
      <c r="I11" s="6" t="n"/>
      <c r="J11" s="6" t="n"/>
      <c r="K11" s="6" t="n"/>
      <c r="L11" s="6" t="n"/>
      <c r="M11" s="6" t="n"/>
      <c r="N11" s="6" t="n"/>
      <c r="O11" s="6" t="n"/>
      <c r="P11" s="6" t="n"/>
      <c r="Q11" s="6" t="n"/>
      <c r="R11" s="6" t="n"/>
    </row>
    <row r="12">
      <c r="A12" s="6" t="inlineStr">
        <is>
          <t>Net gains realised on disposal of securities measured at amortised cost</t>
        </is>
      </c>
      <c r="B12" s="6" t="n">
        <v>407.4</v>
      </c>
      <c r="C12" s="6" t="n"/>
      <c r="D12" s="6" t="n"/>
      <c r="E12" s="6" t="n"/>
      <c r="F12" s="6" t="n"/>
      <c r="G12" s="6" t="n"/>
      <c r="H12" s="6" t="n"/>
      <c r="I12" s="6" t="n"/>
      <c r="J12" s="6" t="n"/>
      <c r="K12" s="6" t="n"/>
      <c r="L12" s="6" t="n"/>
      <c r="M12" s="6" t="n"/>
      <c r="N12" s="6" t="n"/>
      <c r="O12" s="6" t="n"/>
      <c r="P12" s="6" t="n"/>
      <c r="Q12" s="6" t="n"/>
      <c r="R12" s="6" t="n"/>
    </row>
    <row r="13">
      <c r="A13" s="6" t="inlineStr">
        <is>
          <t>Net loss on derecognition of financial instruments</t>
        </is>
      </c>
      <c r="B13" s="6" t="inlineStr">
        <is>
          <t>-</t>
        </is>
      </c>
      <c r="C13" s="6" t="n">
        <v>-5856.7</v>
      </c>
      <c r="D13" s="6" t="n"/>
      <c r="E13" s="6" t="n"/>
      <c r="F13" s="6" t="n"/>
      <c r="G13" s="6" t="n"/>
      <c r="H13" s="6" t="n"/>
      <c r="I13" s="6" t="n"/>
      <c r="J13" s="6" t="n"/>
      <c r="K13" s="6" t="n"/>
      <c r="L13" s="6" t="n"/>
      <c r="M13" s="6" t="n"/>
      <c r="N13" s="6" t="n"/>
      <c r="O13" s="6" t="n"/>
      <c r="P13" s="6" t="n"/>
      <c r="Q13" s="6" t="n"/>
      <c r="R13" s="6" t="n"/>
    </row>
    <row r="14">
      <c r="A14" s="6" t="inlineStr">
        <is>
          <t>Fair value movement on financial derivatives (net)</t>
        </is>
      </c>
      <c r="B14" s="6" t="n">
        <v>2623.7</v>
      </c>
      <c r="C14" s="6" t="n">
        <v>-2705.2</v>
      </c>
      <c r="D14" s="6" t="n">
        <v>121.2</v>
      </c>
      <c r="E14" s="6" t="n">
        <v>-5585.1</v>
      </c>
      <c r="F14" s="6" t="n"/>
      <c r="G14" s="6" t="n"/>
      <c r="H14" s="6" t="n"/>
      <c r="I14" s="6" t="n"/>
      <c r="J14" s="6" t="n"/>
      <c r="K14" s="6" t="n"/>
      <c r="L14" s="6" t="n"/>
      <c r="M14" s="6" t="n"/>
      <c r="N14" s="6" t="n"/>
      <c r="O14" s="6" t="n"/>
      <c r="P14" s="6" t="n"/>
      <c r="Q14" s="6" t="n"/>
      <c r="R14" s="6" t="n"/>
    </row>
    <row r="15">
      <c r="A15" s="6" t="inlineStr">
        <is>
          <t>Exchange differences</t>
        </is>
      </c>
      <c r="B15" s="6" t="n">
        <v>-2150.3</v>
      </c>
      <c r="C15" s="6" t="n">
        <v>1929.4</v>
      </c>
      <c r="D15" s="6" t="n">
        <v>-1138.2</v>
      </c>
      <c r="E15" s="6" t="n">
        <v>3526.4</v>
      </c>
      <c r="F15" s="6" t="n"/>
      <c r="G15" s="6" t="n"/>
      <c r="H15" s="6" t="n"/>
      <c r="I15" s="6" t="n"/>
      <c r="J15" s="6" t="n"/>
      <c r="K15" s="6" t="n"/>
      <c r="L15" s="6" t="n"/>
      <c r="M15" s="6" t="n"/>
      <c r="N15" s="6" t="n"/>
      <c r="O15" s="6" t="n"/>
      <c r="P15" s="6" t="n"/>
      <c r="Q15" s="6" t="n"/>
      <c r="R15" s="6" t="n"/>
    </row>
    <row r="16">
      <c r="A16" s="6" t="inlineStr">
        <is>
          <t>Revaluation loss</t>
        </is>
      </c>
      <c r="B16" s="6" t="n"/>
      <c r="C16" s="6" t="n"/>
      <c r="D16" s="6" t="n"/>
      <c r="E16" s="6" t="n"/>
      <c r="F16" s="6" t="n">
        <v>-3130.1</v>
      </c>
      <c r="G16" s="6" t="n">
        <v>-1698.3</v>
      </c>
      <c r="H16" s="6" t="n"/>
      <c r="I16" s="6" t="n"/>
      <c r="J16" s="6" t="n"/>
      <c r="K16" s="6" t="n"/>
      <c r="L16" s="6" t="n"/>
      <c r="M16" s="6" t="n"/>
      <c r="N16" s="6" t="n"/>
      <c r="O16" s="6" t="n"/>
      <c r="P16" s="6" t="n"/>
      <c r="Q16" s="6" t="n"/>
      <c r="R16" s="6" t="n"/>
    </row>
    <row r="17">
      <c r="A17" s="5" t="inlineStr">
        <is>
          <t>Operating income</t>
        </is>
      </c>
      <c r="B17" s="5" t="n">
        <v>79077.2</v>
      </c>
      <c r="C17" s="5" t="n">
        <v>66720.5</v>
      </c>
      <c r="D17" s="5" t="n">
        <v>85377.89999999999</v>
      </c>
      <c r="E17" s="5" t="n">
        <v>62492.6</v>
      </c>
      <c r="F17" s="5" t="n">
        <v>31947.1</v>
      </c>
      <c r="G17" s="5" t="n">
        <v>38550</v>
      </c>
      <c r="H17" s="5" t="n">
        <v>45518.9</v>
      </c>
      <c r="I17" s="5" t="n">
        <v>37242.3</v>
      </c>
      <c r="J17" s="5" t="n">
        <v>31028.1</v>
      </c>
      <c r="K17" s="5" t="n">
        <v>27568.5</v>
      </c>
      <c r="L17" s="5" t="n">
        <v>21146.7</v>
      </c>
      <c r="M17" s="5" t="n">
        <v>20617.5</v>
      </c>
      <c r="N17" s="5" t="n">
        <v>18433.1</v>
      </c>
      <c r="O17" s="5" t="n">
        <v>14445</v>
      </c>
      <c r="P17" s="5" t="n">
        <v>12050.6</v>
      </c>
      <c r="Q17" s="5" t="n">
        <v>9368.6</v>
      </c>
      <c r="R17" s="5" t="n">
        <v>8647.1</v>
      </c>
    </row>
    <row r="18">
      <c r="A18" s="6" t="inlineStr">
        <is>
          <t>Personnel expenses</t>
        </is>
      </c>
      <c r="B18" s="6" t="n">
        <v>-19268.5</v>
      </c>
      <c r="C18" s="6" t="n">
        <v>-18578.4</v>
      </c>
      <c r="D18" s="6" t="n">
        <v>-18017.1</v>
      </c>
      <c r="E18" s="6" t="n">
        <v>-13822</v>
      </c>
      <c r="F18" s="6" t="n">
        <v>-12363.2</v>
      </c>
      <c r="G18" s="6" t="n">
        <v>-12869.5</v>
      </c>
      <c r="H18" s="6" t="n">
        <v>-11965.3</v>
      </c>
      <c r="I18" s="6" t="n">
        <v>-10163.3</v>
      </c>
      <c r="J18" s="6" t="n">
        <v>-8615.1</v>
      </c>
      <c r="K18" s="6" t="n">
        <v>-7104.1</v>
      </c>
      <c r="L18" s="6" t="n">
        <v>-7135.6</v>
      </c>
      <c r="M18" s="6" t="n">
        <v>-6205.2</v>
      </c>
      <c r="N18" s="6" t="n">
        <v>-5188.6</v>
      </c>
      <c r="O18" s="6" t="n">
        <v>-4630.8</v>
      </c>
      <c r="P18" s="6" t="n">
        <v>-4336.1</v>
      </c>
      <c r="Q18" s="6" t="n"/>
      <c r="R18" s="6" t="n"/>
    </row>
    <row r="19">
      <c r="A19" s="6" t="inlineStr">
        <is>
          <t>Depreciation and amortisation</t>
        </is>
      </c>
      <c r="B19" s="6" t="n">
        <v>-1668.7</v>
      </c>
      <c r="C19" s="6" t="n">
        <v>-1317.6</v>
      </c>
      <c r="D19" s="6" t="n">
        <v>-1306.3</v>
      </c>
      <c r="E19" s="6" t="n">
        <v>-1354.8</v>
      </c>
      <c r="F19" s="6" t="n">
        <v>-1292.2</v>
      </c>
      <c r="G19" s="6" t="n">
        <v>-1662.3</v>
      </c>
      <c r="H19" s="6" t="n">
        <v>-1471.2</v>
      </c>
      <c r="I19" s="6" t="n">
        <v>-781.4</v>
      </c>
      <c r="J19" s="6" t="n">
        <v>-525.7</v>
      </c>
      <c r="K19" s="6" t="n">
        <v>-580.1</v>
      </c>
      <c r="L19" s="6" t="n">
        <v>-705.8</v>
      </c>
      <c r="M19" s="6" t="n">
        <v>-585.2</v>
      </c>
      <c r="N19" s="6" t="n">
        <v>-761.4</v>
      </c>
      <c r="O19" s="6" t="n">
        <v>-584.1</v>
      </c>
      <c r="P19" s="6" t="n"/>
      <c r="Q19" s="6" t="n"/>
      <c r="R19" s="6" t="n"/>
    </row>
    <row r="20">
      <c r="A20" s="6" t="inlineStr">
        <is>
          <t>Other expenses</t>
        </is>
      </c>
      <c r="B20" s="6" t="n">
        <v>-11307.7</v>
      </c>
      <c r="C20" s="6" t="n">
        <v>-9248.4</v>
      </c>
      <c r="D20" s="6" t="n">
        <v>-6914.1</v>
      </c>
      <c r="E20" s="6" t="n">
        <v>-6438.3</v>
      </c>
      <c r="F20" s="6" t="n">
        <v>-5691</v>
      </c>
      <c r="G20" s="6" t="n">
        <v>-5866.9</v>
      </c>
      <c r="H20" s="6" t="n">
        <v>-4883.1</v>
      </c>
      <c r="I20" s="6" t="n">
        <v>-4313</v>
      </c>
      <c r="J20" s="6" t="n">
        <v>-4176.6</v>
      </c>
      <c r="K20" s="6" t="n">
        <v>-3998.7</v>
      </c>
      <c r="L20" s="6" t="n">
        <v>-3203.4</v>
      </c>
      <c r="M20" s="6" t="n">
        <v>-2286.2</v>
      </c>
      <c r="N20" s="6" t="n">
        <v>-2423.3</v>
      </c>
      <c r="O20" s="6" t="n">
        <v>-2302</v>
      </c>
      <c r="P20" s="6" t="n">
        <v>-2609.5</v>
      </c>
      <c r="Q20" s="6" t="n">
        <v>-5690.3</v>
      </c>
      <c r="R20" s="6" t="n">
        <v>-5394.8</v>
      </c>
    </row>
    <row r="21">
      <c r="A21" s="5" t="inlineStr">
        <is>
          <t>Operating expenses</t>
        </is>
      </c>
      <c r="B21" s="5" t="n">
        <v>-32244.9</v>
      </c>
      <c r="C21" s="5" t="n">
        <v>-29144.4</v>
      </c>
      <c r="D21" s="5" t="n">
        <v>-26237.5</v>
      </c>
      <c r="E21" s="5" t="n">
        <v>-21615.1</v>
      </c>
      <c r="F21" s="5" t="n">
        <v>-19346.4</v>
      </c>
      <c r="G21" s="5" t="n">
        <v>-20398.7</v>
      </c>
      <c r="H21" s="5" t="n">
        <v>-18319.5</v>
      </c>
      <c r="I21" s="5" t="n">
        <v>-15257.7</v>
      </c>
      <c r="J21" s="5" t="n">
        <v>-13317.5</v>
      </c>
      <c r="K21" s="5" t="n">
        <v>-11683</v>
      </c>
      <c r="L21" s="5" t="n">
        <v>-11044.7</v>
      </c>
      <c r="M21" s="5" t="n">
        <v>-9076.6</v>
      </c>
      <c r="N21" s="5" t="n">
        <v>-8373.299999999999</v>
      </c>
      <c r="O21" s="5" t="n">
        <v>-7516.9</v>
      </c>
      <c r="P21" s="5" t="n">
        <v>-6945.6</v>
      </c>
      <c r="Q21" s="5" t="n">
        <v>-5690.3</v>
      </c>
      <c r="R21" s="5" t="n">
        <v>-5394.8</v>
      </c>
    </row>
    <row r="22">
      <c r="A22" s="5" t="inlineStr">
        <is>
          <t>Operating profit before impairment provision and taxation</t>
        </is>
      </c>
      <c r="B22" s="5" t="n">
        <v>46832.3</v>
      </c>
      <c r="C22" s="5" t="n">
        <v>37576.1</v>
      </c>
      <c r="D22" s="5" t="n">
        <v>59140.4</v>
      </c>
      <c r="E22" s="5" t="n">
        <v>40877.5</v>
      </c>
      <c r="F22" s="5" t="n">
        <v>12600.7</v>
      </c>
      <c r="G22" s="5" t="n">
        <v>18151.3</v>
      </c>
      <c r="H22" s="5" t="n">
        <v>27199.3</v>
      </c>
      <c r="I22" s="5" t="n">
        <v>21984.6</v>
      </c>
      <c r="J22" s="5" t="n">
        <v>17710.6</v>
      </c>
      <c r="K22" s="5" t="n">
        <v>15885.6</v>
      </c>
      <c r="L22" s="5" t="n">
        <v>10102</v>
      </c>
      <c r="M22" s="5" t="n">
        <v>11540.9</v>
      </c>
      <c r="N22" s="5" t="n">
        <v>10059.7</v>
      </c>
      <c r="O22" s="5" t="n">
        <v>6928.1</v>
      </c>
      <c r="P22" s="5" t="n">
        <v>5105</v>
      </c>
      <c r="Q22" s="5" t="n">
        <v>3678.2</v>
      </c>
      <c r="R22" s="5" t="n">
        <v>3252.3</v>
      </c>
    </row>
    <row r="23">
      <c r="A23" s="6" t="inlineStr">
        <is>
          <t>Net impairment credit/(charge) on financial assets</t>
        </is>
      </c>
      <c r="B23" s="6" t="n">
        <v>2175</v>
      </c>
      <c r="C23" s="6" t="n">
        <v>6434.9</v>
      </c>
      <c r="D23" s="6" t="n">
        <v>-619.9</v>
      </c>
      <c r="E23" s="6" t="n">
        <v>-4262.4</v>
      </c>
      <c r="F23" s="6" t="n">
        <v>-2684.9</v>
      </c>
      <c r="G23" s="6" t="n">
        <v>-1088.6</v>
      </c>
      <c r="H23" s="6" t="n">
        <v>18.4</v>
      </c>
      <c r="I23" s="6" t="n">
        <v>3391.4</v>
      </c>
      <c r="J23" s="6" t="n">
        <v>-5279</v>
      </c>
      <c r="K23" s="6" t="n">
        <v>-13345.8</v>
      </c>
      <c r="L23" s="6" t="n">
        <v>-5456.5</v>
      </c>
      <c r="M23" s="6" t="n">
        <v>0</v>
      </c>
      <c r="N23" s="6" t="n"/>
      <c r="O23" s="6" t="n"/>
      <c r="P23" s="6" t="n"/>
      <c r="Q23" s="6" t="n"/>
      <c r="R23" s="6" t="n"/>
    </row>
    <row r="24">
      <c r="A24" s="5" t="inlineStr">
        <is>
          <t>Profit before tax</t>
        </is>
      </c>
      <c r="B24" s="5" t="n">
        <v>49007.4</v>
      </c>
      <c r="C24" s="5" t="n">
        <v>44011</v>
      </c>
      <c r="D24" s="5" t="n">
        <v>58520.5</v>
      </c>
      <c r="E24" s="5" t="n">
        <v>36615</v>
      </c>
      <c r="F24" s="5" t="n">
        <v>9915.799999999999</v>
      </c>
      <c r="G24" s="5" t="n">
        <v>17062.6</v>
      </c>
      <c r="H24" s="5" t="n">
        <v>27217.8</v>
      </c>
      <c r="I24" s="5" t="n">
        <v>25376.1</v>
      </c>
      <c r="J24" s="5" t="n">
        <v>12431.7</v>
      </c>
      <c r="K24" s="5" t="n">
        <v>2539.8</v>
      </c>
      <c r="L24" s="5" t="n">
        <v>4645.5</v>
      </c>
      <c r="M24" s="5" t="n">
        <v>11540.9</v>
      </c>
      <c r="N24" s="5" t="n">
        <v>10059.7</v>
      </c>
      <c r="O24" s="5" t="n">
        <v>6928.1</v>
      </c>
      <c r="P24" s="5" t="n">
        <v>5105</v>
      </c>
      <c r="Q24" s="5" t="n">
        <v>3678.2</v>
      </c>
      <c r="R24" s="5" t="n">
        <v>3252.3</v>
      </c>
    </row>
    <row r="25">
      <c r="A25" s="6" t="inlineStr">
        <is>
          <t>Income tax expense</t>
        </is>
      </c>
      <c r="B25" s="6" t="n">
        <v>-12254.7</v>
      </c>
      <c r="C25" s="6" t="n">
        <v>-10977.6</v>
      </c>
      <c r="D25" s="6" t="n">
        <v>-14435.4</v>
      </c>
      <c r="E25" s="6" t="n">
        <v>-8140.1</v>
      </c>
      <c r="F25" s="6" t="n">
        <v>-1623.1</v>
      </c>
      <c r="G25" s="6" t="n">
        <v>-3096.7</v>
      </c>
      <c r="H25" s="6" t="n">
        <v>-5323.4</v>
      </c>
      <c r="I25" s="6" t="n">
        <v>-4746.3</v>
      </c>
      <c r="J25" s="6" t="n">
        <v>-1848.6</v>
      </c>
      <c r="K25" s="6" t="n">
        <v>-584.1</v>
      </c>
      <c r="L25" s="6" t="n">
        <v>-1161.4</v>
      </c>
      <c r="M25" s="6" t="n">
        <v>-2798.7</v>
      </c>
      <c r="N25" s="6" t="n">
        <v>-2386.8</v>
      </c>
      <c r="O25" s="6" t="n">
        <v>-1696.1</v>
      </c>
      <c r="P25" s="6" t="n">
        <v>-1482.5</v>
      </c>
      <c r="Q25" s="6" t="n">
        <v>-1061.1</v>
      </c>
      <c r="R25" s="6" t="n">
        <v>-910.7</v>
      </c>
    </row>
    <row r="26">
      <c r="A26" s="5" t="inlineStr">
        <is>
          <t>Profit for the year</t>
        </is>
      </c>
      <c r="B26" s="5" t="n">
        <v>36752.6</v>
      </c>
      <c r="C26" s="5" t="n">
        <v>33033.4</v>
      </c>
      <c r="D26" s="5" t="n">
        <v>44085.1</v>
      </c>
      <c r="E26" s="5" t="n">
        <v>28474.9</v>
      </c>
      <c r="F26" s="5" t="n">
        <v>8292.700000000001</v>
      </c>
      <c r="G26" s="5" t="n">
        <v>13966</v>
      </c>
      <c r="H26" s="5" t="n">
        <v>21894.4</v>
      </c>
      <c r="I26" s="5" t="n">
        <v>20629.7</v>
      </c>
      <c r="J26" s="5" t="n">
        <v>10583.1</v>
      </c>
      <c r="K26" s="5" t="n">
        <v>1955.6</v>
      </c>
      <c r="L26" s="5" t="n">
        <v>3484.1</v>
      </c>
      <c r="M26" s="5" t="n">
        <v>8742.299999999999</v>
      </c>
      <c r="N26" s="5" t="n">
        <v>7672.9</v>
      </c>
      <c r="O26" s="5" t="n">
        <v>5232</v>
      </c>
      <c r="P26" s="5" t="n">
        <v>3622.5</v>
      </c>
      <c r="Q26" s="5" t="n">
        <v>2617.2</v>
      </c>
      <c r="R26" s="5" t="n">
        <v>2341.7</v>
      </c>
    </row>
    <row r="27">
      <c r="A27" s="5" t="inlineStr">
        <is>
          <t>Other comprehensive income</t>
        </is>
      </c>
      <c r="B27" s="6" t="n"/>
      <c r="C27" s="6" t="n"/>
      <c r="D27" s="6" t="n"/>
      <c r="E27" s="6" t="n"/>
      <c r="F27" s="6" t="n"/>
      <c r="G27" s="6" t="n"/>
      <c r="H27" s="6" t="n"/>
      <c r="I27" s="6" t="n"/>
      <c r="J27" s="6" t="n"/>
      <c r="K27" s="6" t="n"/>
      <c r="L27" s="6" t="n"/>
      <c r="M27" s="6" t="n"/>
      <c r="N27" s="6" t="n"/>
      <c r="O27" s="6" t="n"/>
      <c r="P27" s="6" t="n"/>
      <c r="Q27" s="6" t="n"/>
      <c r="R27" s="6" t="n"/>
    </row>
    <row r="28">
      <c r="A28" s="6" t="inlineStr">
        <is>
          <t>Foreign operations - foreign currency translation differences</t>
        </is>
      </c>
      <c r="B28" s="6" t="n">
        <v>2343.5</v>
      </c>
      <c r="C28" s="6" t="n"/>
      <c r="D28" s="6" t="n"/>
      <c r="E28" s="6" t="n"/>
      <c r="F28" s="6" t="n"/>
      <c r="G28" s="6" t="n"/>
      <c r="H28" s="6" t="n"/>
      <c r="I28" s="6" t="n"/>
      <c r="J28" s="6" t="n"/>
      <c r="K28" s="6" t="n"/>
      <c r="L28" s="6" t="n"/>
      <c r="M28" s="6" t="n"/>
      <c r="N28" s="6" t="n"/>
      <c r="O28" s="6" t="n"/>
      <c r="P28" s="6" t="n"/>
      <c r="Q28" s="6" t="n"/>
      <c r="R28" s="6" t="n"/>
    </row>
    <row r="29">
      <c r="A29" s="6" t="inlineStr">
        <is>
          <t>Net change in fair value of debt instruments at FVOCI</t>
        </is>
      </c>
      <c r="B29" s="6" t="n">
        <v>3706.6</v>
      </c>
      <c r="C29" s="6" t="n">
        <v>4392.4</v>
      </c>
      <c r="D29" s="6" t="n">
        <v>11073.3</v>
      </c>
      <c r="E29" s="6" t="n">
        <v>-18210.2</v>
      </c>
      <c r="F29" s="6" t="n">
        <v>-2769.3</v>
      </c>
      <c r="G29" s="6" t="n">
        <v>4207.8</v>
      </c>
      <c r="H29" s="6" t="n">
        <v>1067.8</v>
      </c>
      <c r="I29" s="6" t="n">
        <v>-90.2</v>
      </c>
      <c r="J29" s="6" t="n"/>
      <c r="K29" s="6" t="n"/>
      <c r="L29" s="6" t="n"/>
      <c r="M29" s="6" t="n"/>
      <c r="N29" s="6" t="n"/>
      <c r="O29" s="6" t="n"/>
      <c r="P29" s="6" t="n"/>
      <c r="Q29" s="6" t="n"/>
      <c r="R29" s="6" t="n"/>
    </row>
    <row r="30">
      <c r="A30" s="6" t="inlineStr">
        <is>
          <t>Net change in fair value of debt instruments reclassified to profit or loss</t>
        </is>
      </c>
      <c r="B30" s="6" t="n">
        <v>-1252.6</v>
      </c>
      <c r="C30" s="6" t="n">
        <v>164.8</v>
      </c>
      <c r="D30" s="6" t="n">
        <v>1331.6</v>
      </c>
      <c r="E30" s="6" t="n">
        <v>-40.8</v>
      </c>
      <c r="F30" s="6" t="n">
        <v>-435.1</v>
      </c>
      <c r="G30" s="6" t="n">
        <v>-828.9</v>
      </c>
      <c r="H30" s="6" t="n">
        <v>-274.2</v>
      </c>
      <c r="I30" s="6" t="n"/>
      <c r="J30" s="6" t="n"/>
      <c r="K30" s="6" t="n"/>
      <c r="L30" s="6" t="n"/>
      <c r="M30" s="6" t="n"/>
      <c r="N30" s="6" t="n"/>
      <c r="O30" s="6" t="n"/>
      <c r="P30" s="6" t="n"/>
      <c r="Q30" s="6" t="n"/>
      <c r="R30" s="6" t="n"/>
    </row>
    <row r="31">
      <c r="A31" s="6" t="inlineStr">
        <is>
          <t>Expected credit loss reversals/(gains) recognised in income statement</t>
        </is>
      </c>
      <c r="B31" s="6" t="n">
        <v>-250.1</v>
      </c>
      <c r="C31" s="6" t="n">
        <v>-360</v>
      </c>
      <c r="D31" s="6" t="n">
        <v>-155.8</v>
      </c>
      <c r="E31" s="6" t="n"/>
      <c r="F31" s="6" t="n"/>
      <c r="G31" s="6" t="n"/>
      <c r="H31" s="6" t="n"/>
      <c r="I31" s="6" t="n"/>
      <c r="J31" s="6" t="n"/>
      <c r="K31" s="6" t="n"/>
      <c r="L31" s="6" t="n"/>
      <c r="M31" s="6" t="n"/>
      <c r="N31" s="6" t="n"/>
      <c r="O31" s="6" t="n"/>
      <c r="P31" s="6" t="n"/>
      <c r="Q31" s="6" t="n"/>
      <c r="R31" s="6" t="n"/>
    </row>
    <row r="32">
      <c r="A32" s="6" t="inlineStr">
        <is>
          <t>Income tax on items reclassified subsequently to profit or loss</t>
        </is>
      </c>
      <c r="B32" s="6" t="n">
        <v>-613.5</v>
      </c>
      <c r="C32" s="6" t="n">
        <v>-1139.3</v>
      </c>
      <c r="D32" s="6" t="n">
        <v>-3101.2</v>
      </c>
      <c r="E32" s="6" t="n">
        <v>4961</v>
      </c>
      <c r="F32" s="6" t="n">
        <v>522.5</v>
      </c>
      <c r="G32" s="6" t="n">
        <v>-656.6</v>
      </c>
      <c r="H32" s="6" t="n">
        <v>-134.9</v>
      </c>
      <c r="I32" s="6" t="n">
        <v>15.3</v>
      </c>
      <c r="J32" s="6" t="n"/>
      <c r="K32" s="6" t="n"/>
      <c r="L32" s="6" t="n"/>
      <c r="M32" s="6" t="n"/>
      <c r="N32" s="6" t="n"/>
      <c r="O32" s="6" t="n"/>
      <c r="P32" s="6" t="n"/>
      <c r="Q32" s="6" t="n"/>
      <c r="R32" s="6" t="n"/>
    </row>
    <row r="33">
      <c r="A33" s="6" t="inlineStr">
        <is>
          <t>Currency translation reserve arising from change of functional and presentation currency</t>
        </is>
      </c>
      <c r="B33" s="6" t="n"/>
      <c r="C33" s="6" t="n"/>
      <c r="D33" s="6" t="n"/>
      <c r="E33" s="6" t="n"/>
      <c r="F33" s="6" t="n"/>
      <c r="G33" s="6" t="n"/>
      <c r="H33" s="6" t="n"/>
      <c r="I33" s="6" t="n"/>
      <c r="J33" s="6" t="n"/>
      <c r="K33" s="6" t="n"/>
      <c r="L33" s="6" t="n"/>
      <c r="M33" s="6" t="n">
        <v>-1352.9</v>
      </c>
      <c r="N33" s="6" t="n"/>
      <c r="O33" s="6" t="n"/>
      <c r="P33" s="6" t="n"/>
      <c r="Q33" s="6" t="n"/>
      <c r="R33" s="6" t="n"/>
    </row>
    <row r="34">
      <c r="A34" s="5" t="inlineStr">
        <is>
          <t>Other comprehensive income for the year (net of tax)</t>
        </is>
      </c>
      <c r="B34" s="5" t="n">
        <v>3933.9</v>
      </c>
      <c r="C34" s="5" t="n">
        <v>3057.9</v>
      </c>
      <c r="D34" s="5" t="n">
        <v>9147.799999999999</v>
      </c>
      <c r="E34" s="5" t="n">
        <v>-13290.1</v>
      </c>
      <c r="F34" s="5" t="n">
        <v>-2681.9</v>
      </c>
      <c r="G34" s="5" t="n">
        <v>2722.3</v>
      </c>
      <c r="H34" s="5" t="n">
        <v>658.7</v>
      </c>
      <c r="I34" s="5" t="n">
        <v>-74.8</v>
      </c>
      <c r="J34" s="5" t="n">
        <v>0</v>
      </c>
      <c r="K34" s="5" t="n">
        <v>0</v>
      </c>
      <c r="L34" s="5" t="n">
        <v>0</v>
      </c>
      <c r="M34" s="5" t="n">
        <v>-1352.9</v>
      </c>
      <c r="N34" s="5" t="n">
        <v>0</v>
      </c>
      <c r="O34" s="5" t="n">
        <v>0</v>
      </c>
      <c r="P34" s="5" t="n">
        <v>0</v>
      </c>
      <c r="Q34" s="5" t="n">
        <v>0</v>
      </c>
      <c r="R34" s="5" t="n">
        <v>0</v>
      </c>
    </row>
    <row r="35">
      <c r="A35" s="5" t="inlineStr">
        <is>
          <t>Total comprehensive income for the year</t>
        </is>
      </c>
      <c r="B35" s="5" t="n">
        <v>40686.6</v>
      </c>
      <c r="C35" s="5" t="n">
        <v>36091.3</v>
      </c>
      <c r="D35" s="5" t="n">
        <v>53232.9</v>
      </c>
      <c r="E35" s="5" t="n">
        <v>15184.8</v>
      </c>
      <c r="F35" s="5" t="n">
        <v>5610.8</v>
      </c>
      <c r="G35" s="5" t="n">
        <v>16688.2</v>
      </c>
      <c r="H35" s="5" t="n">
        <v>22553.1</v>
      </c>
      <c r="I35" s="5" t="n">
        <v>20554.9</v>
      </c>
      <c r="J35" s="5" t="n">
        <v>10583.1</v>
      </c>
      <c r="K35" s="5" t="n">
        <v>1955.6</v>
      </c>
      <c r="L35" s="5" t="n">
        <v>3484.1</v>
      </c>
      <c r="M35" s="5" t="n">
        <v>7389.3</v>
      </c>
      <c r="N35" s="5" t="n">
        <v>7672.9</v>
      </c>
      <c r="O35" s="5" t="n">
        <v>5232</v>
      </c>
      <c r="P35" s="5" t="n">
        <v>3622.5</v>
      </c>
      <c r="Q35" s="5" t="n">
        <v>2617.2</v>
      </c>
      <c r="R35" s="5" t="n">
        <v>2341.7</v>
      </c>
    </row>
    <row r="37" ht="409" customHeight="1">
      <c r="A37" s="8" t="inlineStr">
        <is>
          <t>Sources - all figures are Zenith Bank (UK) Limited's own primary statements (converted from USD to £, see FX conversion note below):
FY2024: Annual Report and Financial Statements 2024, p.42-43 (Statement of Profit or Loss and OCI), p.41 (Statement of Financial Position) - https://www.zenith-bank.co.uk/media/2273/2024-annual-report-and-financial-statements.pdf
FY2023: Annual Report and Financial Statements 2023, p.35 (Statement of Profit or Loss and OCI), p.34 (Statement of Financial Position) - https://www.zenith-bank.co.uk/media/2253/2023-annual-report-and-financial-statements.pdf
FY2022: Annual Report and Financial Statements 2022, p.33 (Statement of Profit or Loss and OCI), p.32 (Statement of Financial Position) - https://www.zenith-bank.co.uk/media/2237/2022-annual-report-and-financial-statements.pdf
FY2021: Annual Report and Financial Statements 2021, p.31 (Statement of Profit or Loss and OCI), p.30 (Statement of Financial Position) - https://www.zenith-bank.co.uk/media/2205/2021-annual-report-and-financial-statements.pdf
FY2020: Annual Report 2020, p.31 (Statement of Comprehensive Income), p.32 (Statement of Financial Position) - https://www.zenith-bank.co.uk/media/2199/zenith-bank-uk-limited-annual-report-2020.pdf
FY2019: Annual Report 2019, p.20 (Statement of Profit or Loss and OCI), p.21 (Statement of Financial Position) - https://www.zenith-bank.co.uk/media/2169/258558-zenith-web.pdf
FY2018: Annual Report and Financial Statements 2018, p.18 (Statement of Profit or Loss), p.19 (Statement of Financial Position) - https://www.zenith-bank.co.uk/media/2151/2018-annual-report.pdf
FY2017: Annual Report and Financial Statements 2017, p.17 (Statement of Profit and Loss), p.18 (Statement of Financial Position) - https://www.zenith-bank.co.uk/media/2142/2017-annual-report-and-financial-statements.pdf
FY2016: Annual Report and Accounts 2016, p.9 (Statement of Profit and Loss), p.10 (Statement of Financial Position) - https://www.zenith-bank.co.uk/media/1009/statutory_accounts_year_ended_31st_december_2016.pdf
FY2015: Annual Report and Financial Statements 2015, p.9 (Statement of Profit and Loss), p.10 (Statement of Other Comprehensive Income), p.11 (Statement of Financial Position) - https://www.zenith-bank.co.uk/media/1011/zenith_bank_-uk-_ltd_-_annual_report_and_financial_statements_2015.pdf
FY2014: Annual Report and Financial Statements 2014, p.9 (Statement of Profit and Loss), p.10 (Statement of Other Comprehensive Income), p.11 (Statement of Financial Position) - https://www.zenith-bank.co.uk/media/1010/zenith_bank_-uk-_ltd_-_annual_report_and_accounts_2014.pdf
FY2025: Annual Report and Financial Statements 2025, pp.39-40 printed (PDF pp.41-42), Statement of Profit or Loss and Other Comprehensive Income / Statement of Financial Position - https://find-and-update.company-information.service.gov.uk/company/05713749/filing-history/MzUyMjI1NjUwM2FkaXF6a2N4/document?format=pdf&amp;download=0
FY2025 ADDED 2026-09-18 from the Companies House filing, which is an image-only scan read VISUALLY at 300 dpi (see the Cash Flow Statement sheet's note for why the Bank's own site has no FY2025 report). The FY2025 balance sheet ties exactly: total assets 2,994,786,108 = total liabilities 2,558,955,031 + total equity 435,831,077, in USD before conversion, with no plug row.
FY2025 NEW LINES: 'Deferred tax liabilities' (67,847) and 'Reserves (foreign currency translation)' (3,091,802) appear for the first time; in the P&amp;L, 'Net gains realised on disposal of securities measured at amortised cost' (537,511) and 'Foreign operations - foreign currency translation differences' (3,091,802) likewise. 'Deferred tax assets' and 'Current tax liabilities' print literal DASHES for FY2025 and are carried through as '-', not as 0 - the Bank held the opposite balance in each case (a deferred tax LIABILITY and a current tax ASSET), which a zero would misstate.
FY2024 IS RESTATED IN THE FY2025 EDITION AND THIS WORKBOOK DOES NOT USE THE RESTATEMENT. The FY2025 report heads its comparative column '2024 (Restated)' and moves US$839,784 between personnel and other expenses (personnel 22,907,160 and other 12,661,084 restated, against 23,746,944 and 11,821,300 as originally published). Every subtotal is unaffected - operating expenses, profit before tax and profit for the year are identical on both bases - so this is a pure reclassification. Per this project's standing rule the FY2024 column keeps its OWN edition's figures; the restatement is recorded here, not applied.
FY2013: Financial Statements for the year ended 31 December 2013, p.9 (Statement of Comprehensive Income), p.10 (Statement of Financial Position) - https://find-and-update.company-information.service.gov.uk/company/05713749/filing-history/MzEwNDk3MzAyNmFkaXF6a2N4/document?format=pdf&amp;download=0
FY2012: Financial Statements as at 31 December 2012, p.8 (Statement of Comprehensive Income), p.9 (Statement of Financial Position) - https://find-and-update.company-information.service.gov.uk/company/05713749/filing-history/MzA4MDQyODAzOGFkaXF6a2N4/document?format=pdf&amp;download=0
FY2011: Annual report and financial statements for the year ended 31 December 2011, p.8 (Profit and loss account), p.9 (Balance sheet) - https://find-and-update.company-information.service.gov.uk/company/05713749/filing-history/MzA1NjQzNDY0OWFkaXF6a2N4/document?format=pdf&amp;download=0
FY2010: Annual report and financial statements for the year ended 31 December 2010, p.7 (Profit and loss account), p.8 (Balance sheet) - https://find-and-update.company-information.service.gov.uk/company/05713749/filing-history/MzAzNjAzNzkzN2FkaXF6a2N4/document?format=pdf&amp;download=0
FY2009: Annual report and financial statement for the year ended 31 December 2009, p.7 (Profit and loss account), p.8 (Balance sheet) - https://find-and-update.company-information.service.gov.uk/company/05713749/filing-history/MzAxMzk0ODA3MmFkaXF6a2N4/document?format=pdf&amp;download=0
ENTITY NOTE: Zenith Bank (UK) Limited (FRN 451720) is a UK subsidiary of Zenith Bank Plc (Nigeria). Unlike several other foreign-subsidiary banks in this workbook series (ICICI Bank UK, Philippine National Bank Europe, Citibank UK, State Bank of India UK), it prepares full financial statements under UK-adopted International Accounting Standards (not FRS 101/102 reduced disclosure), including a genuine Statement of Cash Flows every year - no cash-flow exemption applies. The Bank's own capital structure is CET1-only (no AT1 or Tier 2 instruments), so CET1 capital = Tier 1 capital = Total capital in every year shown.</t>
        </is>
      </c>
    </row>
    <row r="39" ht="409" customHeight="1">
      <c r="A39" s="8" t="inlineStr">
        <is>
          <t>(continued)
FX CONVERSION NOTE: Zenith Bank (UK) Limited reports in US Dollars. This workbook converts every $ amount to £ for consistency with the rest of this series, following the same methodology established for SMBC Bank International plc: point-in-time/balance figures (capital, RWA, leverage exposure, HQLA, cash balances) use the Bank of England GBP/USD SPOT rate as at that fiscal year-end (31 December); flow figures (every cash flow statement line item) use the AVERAGE of Bank of England rates over that calendar year. FY2020-FY2025 rates are via poundsterlinglive.com's published Bank of England archive; FY2014-FY2019 rates (added under HD-048) were pulled directly from the Bank of England's own Interactive Statistical Database (series XUDLGBD, spot exchange rate US dollar into Sterling), inverted and rounded to 4dp - the same underlying BoE series poundsterlinglive republishes. Rates used (£1 = $X): 31 Dec 2013 spot 1.6529 (FY2014 opening cash only); FY2014 spot 1.5608 / average 1.6465; FY2015 spot 1.4819 / average 1.5281; FY2016 spot 1.2303 / average 1.3488; FY2017 spot 1.3510 / average 1.2878; FY2018 spot 1.2770 / average 1.3335; FY2019 spot 1.3210 / average 1.2757; FY2020 spot 1.3661 / average 1.2825 (FY2020 spot pre-dates HD-048 and is kept unchanged from the original build for continuity - a fresh BoE query for the same date gives 1.3648, a ~0.1% difference attributable to archive rounding, immaterial at 1dp in £'000 terms); FY2021 spot 1.3521 / average 1.3752; FY2022 spot 1.2097 / average 1.2362; FY2023 spot 1.2732 / average 1.2439; FY2024 spot 1.2515 / average 1.2782; FY2025 spot 1.3448 / average 1.3193. All % ratios (CET1/Tier 1/Total Capital/Leverage/LCR/NSFR ratios) are shown EXACTLY as reported in USD and were NOT converted - a ratio is dimensionless and currency-invariant. Because stocks and flows are converted at different rates, the cash flow statement includes an explicit 'Effect of GBP/USD translation' reconciling line so opening + all flows + this line = closing exactly in £ terms - this line is purely an artefact of £ translation and has no bearing on the Bank's underlying USD results. This conversion was not explicitly requested for this bank (unlike SMBC) - applied for consistency with the rest of the series; flag if £'000 rather than the Bank's native US$'000 presentation is not what's wanted here.
HD-048 EXTENSION NOTE (2026-09-06): this workbook was extended from its original FY2021-FY2025 window back to FY2014 under wayfinder ticket HD-048, capped at FY2014 by explicit project-wide user decision even though Zenith Bank (UK) Limited's own disclosure archive genuinely extends to FY2009 (Pillar 3 pre-CRD IV/Basel III isn't considered comparable to later years, and this project caps historical depth at FY2014 across all extended banks). FY2014-FY2020 Annual Report and Financial Statements were re-sourced directly from the Bank's own live website (zenith-bank.co.uk/why-us/statutory-accounts-tax-strategy/), each verified by opening the actual PDF and checking its cover/contents page states the claimed year - this caught the site's own '2015' link actually serving a byte-identical copy of the FY2018 report (same file, two URLs); the genuine FY2015 Annual Report was recovered from Internet Archive Wayback Machine crawl data instead (media/1011). FY2014-FY2015 Pillar 3 disclosures were similarly recovered from Wayback Machine captures of the Bank's pre-2018 site (see Pillar 3 sources note). No Pillar 3 disclosure document for FY2016-FY2020 could be found on the live site or in the Wayback Machine despite a thorough search (CDX API queries against every plausible URL pattern, including two specific leads from an earlier interrupted session that both proved to be unarchived 404s on further verification) - the Bank's Pillar 3 page itself was archived several times across those years and confirms the underlying PDF links existed at the time, but the PDF binaries themselves were never crawled by the Wayback Machine. Annual Report-sourced sheets (Balance Sheet, P&amp;L, Statement of Changes in Equity, Cash Flow Statement, Asset Quality) are fully populated for all of FY2014-FY2020.
SUPERSEDED IN PART, 2026-09-18 - DO NOT READ THE PARAGRAPH ABOVE AS 'NO CAPITAL DATA EXISTS FOR FY2016-FY2019'. It said, in its original form, that all 11 Pillar 3 metric sheets and the RWA Breakdown sheet were 'therefore genuinely blank for FY2016-FY2020'. The word 'therefore' was the error: the absence of a Pillar 3 DOCUMENT was treated as the absence of the DATA, and nobody opened the Annual Reports looking for capital. They carry a 'Capital Management' note with a Capital Resources table every year. FY2016-FY2019 capital, and FY2017/FY2018 CET1 ratios, are now populated from that source (and FY2012/FY2013 from the same note in the Companies House filings). What remains genuinely absent for FY2016-FY2019 is RWA, the RWA breakdown, the leverage ratio and the LCR. See the ANNUAL-REPORT CAPITAL RECOVERY note on the capital sheets.
HD-073 EXTENSION NOTE (2026-09-06/07): this workbook was extended from its FY2014 floor back to FY2009 under wayfinder ticket HD-073, using the Bank's own statutory accounts recovered from Companies House (company 05713749) - the Bank's own website archive does not go back this far. CURRENCY: FY2009-FY2013 are reported by the Bank natively in GBP (its redenomination to USD, see the FX conversion note above, happened during 2013/2014) - these 5 years require NO FX conversion at all and are shown as £'000 directly (see stock2()/flow2()/opening_cash2() in this script). STATEMENT AVAILABILITY: FY2012 and FY2013 have full IFRS-style statements (Statement of Comprehensive Income, Statement of Financial Position, Statement of Changes in Equity, Statement of Cash Flows), all populated here. FY2009-FY2011 pre-date the Bank's IFRS adoption entirely - each year's own report contains only a 'Profit and loss account' and 'Balance sheet' under old UK GAAP, and each explicitly states 'There are no recognised gains or losses for the year other than as stated above. Accordingly no Statement of Total Recognised Gains and Losses has been prepared' and contains no Statement of Cash Flows at all - a genuine, disclosed absence (not a small-company cash-flow exemption assumption), so the Statement of Changes in Equity and Cash Flow Statement sheets are genuinely blank for FY2009-FY2011. PRESENTATION BRIDGE (Balance Sheet, FY2009-FY2011): these years predate the Trading/Investment securities split (a single 'Securities' line is shown here as 'Securities measured at amortised cost') and the Deposits by banks/corporates split shown from FY2012 ('Deposits by corporates' maps to 'Deposits from customers', consistent with later years' convention); 'Other assets' combines the Bank's own separate 'Other assets' and 'Prepayments' lines (no dedicated Prepayments row exists in this sheet's modern label set); 'Other liabilities' holds the Bank's own 'Accrued expenses' line. FY2009's own report does not separately disclose a 'Cash' line at all (folded into 'Loans and advances to banks', £275,505,662) - FY2010's own report later reclassifies out a £35,421 'Cash' balance for its FY2009 comparative; FY2009's own as-originally-reported combined figure is used here, per this project's convention of preferring each year's own report. PRESENTATION BRIDGE (P&amp;L, FY2009-FY2010): neither year separately discloses Personnel expenses/Depreciation and amortisation - a single 'Administrative expenses' line is shown here as 'Other expenses' (Personnel expenses/Depreciation and amortisation blank, not zero, for these two years only). RESTATEMENT NOTE: FY2011's own report (profit before tax £5,104,963, profit for the year £3,622,457) differs from the FY2012 Annual Report's own restated FY2011 IFRS comparative (profit before tax £4,973,686, profit for the year £3,491,180) - a reclassification between interest/fee/expense lines under the Bank's FY2012 IFRS conversion, not a change to the audited FY2011 result. FY2011's own report figures are used throughout, consistent with this project's convention of preferring each year's own report over a later restated comparative. Similarly, FY2009's own report labels ('Interest receivable', 'Fees &amp; commissions receivable', 'Exchange profits') differ from FY2010's own report's FY2009 comparative labels ('Interest earned', 'Fees &amp; commission earned', 'Trading profits (Net)') with a like-for-like £518,750 shift between the interest and fee/trading lines - Operating income and Profit for the year are identical either way; FY2009's own report figures are used. BRIDGE GAP (FY2013/FY2014 boundary): FY2013's own report shows closing Total equity of £74,509,003 and closing cash of £119,758,144; the Bank's own FY2014 Annual Report separately expresses its 1 January 2014 opening position in USD (used, unchanged, by the pre-existing FY2014 opening rows in this workbook) which back-converts via the 31 Dec 2013 spot rate to approximately £74,543,010 total equity and £119,819,001 opening cash - a small (~0.05%) gap attributable to the Bank's own USD-conversion/rounding at the point of redenomination, not reconciled further; both figures are shown exactly as each source discloses them.
PRESENTATION NOTE: row labels are held constant across years for comparability where the underlying concept is the same, even though the Bank's own report relabels/regroups some lines year to year - e.g. FY2022/FY2023's own reports label the pre-impairment subtotal 'Net operating income' rather than 'Operating profit before impairment provision and taxation' (FY2021/FY2024's label, used here throughout); 'Trading income' (FY2024) replaces 'Trading and other income' (FY2021-FY2023) as a relabelling, not a scope change; FY2021's FV-movement/exchange-difference/FVOCI-disposal lines are combined into a single 'Revaluation loss' line in that year's report (not split as in later years, and NOT split to match AR2022's restated FY2021 comparative - FY2021's own report figure is used). 'Net gains/(losses) on disposal of securities measured at FVOCI' and 'Expected credit loss reversals/(gains) recognised in income statement' are new lines first disclosed in FY2023's own report (present for FY2023 and FY2024 only; blank, not zero, for FY2021/FY2022 since those years' own reports genuinely do not disclose them as separate items - each is a carve-out of a few tens of thousands of dollars from a pre-existing broader line, with zero effect on any subtotal). RESTATEMENT NOTE: FY2023's own P&amp;L (used for FY2023's column here, net interest income $96,228,685) differs from the FY2024 Annual Report's restated FY2023 comparative (interest income revised down to $147,456,638, net interest income $95,669,439) - FY2023's own report figure is used, consistent with this project's convention and the same restatement already documented on the Cash Flow Statement sheet. All totals tie exactly to the penny in USD before conversion for FY2021-FY2024 - zero plug rows.</t>
        </is>
      </c>
    </row>
    <row r="41" ht="409" customHeight="1">
      <c r="A41" s="8" t="inlineStr">
        <is>
          <t>(continued)
HD-048 HISTORICAL NOTE (FY2014-FY2020): FY2014-FY2017 (pre-IFRS 9) show a single 'Net impairment credit/(charge)' figure that was always a charge (never a credit) under the IAS 39 incurred-loss model then in force - FY2014 discloses this as an explicit nil ($0, per the comparative column in its own FY2015 Annual Report), not a genuine gap. 'Trading and other income' holds the Bank's own 'Other Income' (FY2014-FY2015) and 'Trading and other income' (FY2016-FY2019) lines - the same broad non-interest, non-fee income category (including FX gains) under differing labels each year. FY2014's Other Comprehensive Income is a one-off 'Currency translation reserve arising from change of functional and presentation currency' movement (-$2,227,602, fully unwound by year-end), per the Bank's own note 2(b) - a genuine historical accounting event (the Bank changed its functional and presentation currency from GBP to USD during 2013/2014), not a fair-value item, and unrelated to this workbook's own USD-to-£ conversion overlay. DISCREPANCY NOTE: FY2018's own P&amp;L states Other Comprehensive Income for the year as $(99,803) (shown here, tying to Total Comprehensive Income $27,409,954), but the Statement of Changes in Equity's own FVOCI Reserve column moves by only $(35,856) that year (from $(63,947) post-IFRS 9 transition to $(99,803) closing) - the $63,947 gap exactly equals the FY2018 opening IFRS 9 transition adjustment, suggesting the Bank's own P&amp;L 'OCI for the year' line may have inadvertently included that opening adjustment rather than showing only the year's movement. Both figures are shown exactly as each statement discloses them (P&amp;L here; Statement of Changes in Equity on its own sheet) rather than forcing an artificial reconciliation - flagged as a genuine apparent inconsistency in the Bank's own FY2018 Annual Report, not a data-entry error in this workbook. All other years FY2014-FY2020 tie exactly to the penny in USD before conversion - zero plug rows.
HD-073 EXTENSION NOTE (FY2009-FY2013): 'Net impairment credit/(charge)' is blank (not zero) for all five years - none of these years' own P&amp;L accounts separately disclose an impairment charge, so it cannot be honestly distinguished from 'Other expenses' below. 'Personnel expenses' and 'Depreciation and amortisation' are blank (not zero) for FY2009/FY2010 - both years' own reports show a single combined 'Administrative expenses' line (shown here under 'Other expenses'); FY2011 splits out 'Employee costs' (shown as 'Personnel expenses') but still combines depreciation within its own 'Administrative expenses' line (shown here under 'Other expenses'). Each year FY2009-FY2013 ties exactly: Operating income - Operating expenses = Operating profit before tax = Profit before tax (no separate impairment line in any of these years' own reports), and Profit before tax - tax = Profit for the year, to the penny in £ - zero plug rows. Other Comprehensive Income is shown as an explicit disclosed nil (0) for FY2009-FY2013: each year's own report states 'There are no recognised gains or losses for the year other than as stated above' (FY2009-FY2011) or explicitly discloses 'Other Comprehensive Income for the year: -' (FY2012-FY2013). See the HD-073 extension note on the Cash Flow Statement sheet for the restatement/relabelling discrepancies between each year's own report and later years' comparative columns.</t>
        </is>
      </c>
    </row>
  </sheetData>
  <mergeCells count="3">
    <mergeCell ref="A41:R41"/>
    <mergeCell ref="A39:R39"/>
    <mergeCell ref="A37:R37"/>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60"/>
  <sheetViews>
    <sheetView workbookViewId="0">
      <pane ySplit="4" topLeftCell="A5" activePane="bottomLeft" state="frozen"/>
      <selection pane="bottomLeft" activeCell="A1" sqref="A1"/>
    </sheetView>
  </sheetViews>
  <sheetFormatPr baseColWidth="8" defaultRowHeight="15"/>
  <cols>
    <col width="56" customWidth="1" min="1" max="1"/>
    <col width="15" customWidth="1" min="2" max="2"/>
    <col width="15" customWidth="1" min="3" max="3"/>
    <col width="15" customWidth="1" min="4" max="4"/>
    <col width="15" customWidth="1" min="5" max="5"/>
    <col width="15" customWidth="1" min="6" max="6"/>
  </cols>
  <sheetData>
    <row r="1">
      <c r="A1" s="1" t="inlineStr">
        <is>
          <t>Zenith Bank (UK) Limited — Statement of Changes in Equity</t>
        </is>
      </c>
    </row>
    <row r="2">
      <c r="A2" s="2" t="inlineStr">
        <is>
          <t>£'000 (FY2012-FY2013 native GBP, FY2014 onward converted from USD) - chronological 1 January 2012 through 31 December 2025. No FY2009-FY2011 movement shown (no Statement of Changes in Equity disclosed those years - see HD-073 extension note).</t>
        </is>
      </c>
    </row>
    <row r="3">
      <c r="A3" s="4" t="inlineStr">
        <is>
          <t>Movement</t>
        </is>
      </c>
      <c r="B3" s="4" t="inlineStr">
        <is>
          <t>Share Capital</t>
        </is>
      </c>
      <c r="C3" s="4" t="inlineStr">
        <is>
          <t>Currency Translation Reserve</t>
        </is>
      </c>
      <c r="D3" s="4" t="inlineStr">
        <is>
          <t>FVOCI Reserves</t>
        </is>
      </c>
      <c r="E3" s="4" t="inlineStr">
        <is>
          <t>Retained Earnings</t>
        </is>
      </c>
      <c r="F3" s="4" t="inlineStr">
        <is>
          <t>Total Equity</t>
        </is>
      </c>
    </row>
    <row r="4">
      <c r="A4" s="5" t="inlineStr">
        <is>
          <t>Balance as at 1 January 2012</t>
        </is>
      </c>
      <c r="B4" s="5" t="n">
        <v>35001</v>
      </c>
      <c r="C4" s="5" t="n">
        <v>0</v>
      </c>
      <c r="D4" s="5" t="n">
        <v>0</v>
      </c>
      <c r="E4" s="5" t="n">
        <v>8108.5</v>
      </c>
      <c r="F4" s="5" t="n">
        <v>43109.5</v>
      </c>
    </row>
    <row r="5">
      <c r="A5" s="6" t="inlineStr">
        <is>
          <t>Profit for the year (FY2012)</t>
        </is>
      </c>
      <c r="B5" s="6" t="n">
        <v>0</v>
      </c>
      <c r="C5" s="6" t="n">
        <v>0</v>
      </c>
      <c r="D5" s="6" t="n">
        <v>0</v>
      </c>
      <c r="E5" s="6" t="n">
        <v>5232</v>
      </c>
      <c r="F5" s="6" t="n">
        <v>5232</v>
      </c>
    </row>
    <row r="6">
      <c r="A6" s="6" t="inlineStr">
        <is>
          <t>Transfer from reserves (FY2012)</t>
        </is>
      </c>
      <c r="B6" s="6" t="n">
        <v>0</v>
      </c>
      <c r="C6" s="6" t="n">
        <v>0</v>
      </c>
      <c r="D6" s="6" t="n">
        <v>0</v>
      </c>
      <c r="E6" s="6" t="n">
        <v>36.5</v>
      </c>
      <c r="F6" s="6" t="n">
        <v>36.5</v>
      </c>
    </row>
    <row r="7">
      <c r="A7" s="6" t="inlineStr">
        <is>
          <t>Shares issued (FY2012)</t>
        </is>
      </c>
      <c r="B7" s="6" t="n">
        <v>18458.1</v>
      </c>
      <c r="C7" s="6" t="n">
        <v>0</v>
      </c>
      <c r="D7" s="6" t="n">
        <v>0</v>
      </c>
      <c r="E7" s="6" t="n">
        <v>0</v>
      </c>
      <c r="F7" s="6" t="n">
        <v>18458.1</v>
      </c>
    </row>
    <row r="8">
      <c r="A8" s="5" t="inlineStr">
        <is>
          <t>Balance as at 31 December 2012 / 1 January 2013</t>
        </is>
      </c>
      <c r="B8" s="5" t="n">
        <v>53459.1</v>
      </c>
      <c r="C8" s="5" t="n">
        <v>0</v>
      </c>
      <c r="D8" s="5" t="n">
        <v>0</v>
      </c>
      <c r="E8" s="5" t="n">
        <v>13377</v>
      </c>
      <c r="F8" s="5" t="n">
        <v>66836.10000000001</v>
      </c>
    </row>
    <row r="9">
      <c r="A9" s="6" t="inlineStr">
        <is>
          <t>Profit for the year (FY2013)</t>
        </is>
      </c>
      <c r="B9" s="6" t="n">
        <v>0</v>
      </c>
      <c r="C9" s="6" t="n">
        <v>0</v>
      </c>
      <c r="D9" s="6" t="n">
        <v>0</v>
      </c>
      <c r="E9" s="6" t="n">
        <v>7672.9</v>
      </c>
      <c r="F9" s="6" t="n">
        <v>7672.9</v>
      </c>
    </row>
    <row r="10">
      <c r="A10" s="5" t="inlineStr">
        <is>
          <t>Balance as at 31 December 2013 (per FY2013's own Annual Report)</t>
        </is>
      </c>
      <c r="B10" s="5" t="n">
        <v>53459.1</v>
      </c>
      <c r="C10" s="5" t="n">
        <v>0</v>
      </c>
      <c r="D10" s="5" t="n">
        <v>0</v>
      </c>
      <c r="E10" s="5" t="n">
        <v>21049.9</v>
      </c>
      <c r="F10" s="5" t="n">
        <v>74509</v>
      </c>
    </row>
    <row r="11">
      <c r="A11" s="5" t="inlineStr">
        <is>
          <t>Balance as at 1 January 2014</t>
        </is>
      </c>
      <c r="B11" s="5" t="n">
        <v>52566.5</v>
      </c>
      <c r="C11" s="5" t="n">
        <v>1347.7</v>
      </c>
      <c r="D11" s="5" t="n">
        <v>0</v>
      </c>
      <c r="E11" s="5" t="n">
        <v>20630.9</v>
      </c>
      <c r="F11" s="5" t="n">
        <v>74545.10000000001</v>
      </c>
    </row>
    <row r="12">
      <c r="A12" s="6" t="inlineStr">
        <is>
          <t>Profit for the year (FY2014)</t>
        </is>
      </c>
      <c r="B12" s="6" t="n">
        <v>0</v>
      </c>
      <c r="C12" s="6" t="n">
        <v>0</v>
      </c>
      <c r="D12" s="6" t="n">
        <v>0</v>
      </c>
      <c r="E12" s="6" t="n">
        <v>8742.299999999999</v>
      </c>
      <c r="F12" s="6" t="n">
        <v>8742.299999999999</v>
      </c>
    </row>
    <row r="13">
      <c r="A13" s="6" t="inlineStr">
        <is>
          <t>Adjustment resulting from redenomination (FY2014)</t>
        </is>
      </c>
      <c r="B13" s="6" t="n">
        <v>-112.7</v>
      </c>
      <c r="C13" s="6" t="n">
        <v>0</v>
      </c>
      <c r="D13" s="6" t="n">
        <v>0</v>
      </c>
      <c r="E13" s="6" t="n">
        <v>0</v>
      </c>
      <c r="F13" s="6" t="n">
        <v>-112.7</v>
      </c>
    </row>
    <row r="14">
      <c r="A14" s="6" t="inlineStr">
        <is>
          <t>Issuance of new shares (FY2014)</t>
        </is>
      </c>
      <c r="B14" s="6" t="n">
        <v>30367.4</v>
      </c>
      <c r="C14" s="6" t="n">
        <v>0</v>
      </c>
      <c r="D14" s="6" t="n">
        <v>0</v>
      </c>
      <c r="E14" s="6" t="n">
        <v>0</v>
      </c>
      <c r="F14" s="6" t="n">
        <v>30367.4</v>
      </c>
    </row>
    <row r="15">
      <c r="A15" s="6" t="inlineStr">
        <is>
          <t>Currency translation reserve movement (FY2014)</t>
        </is>
      </c>
      <c r="B15" s="6" t="n">
        <v>0</v>
      </c>
      <c r="C15" s="6" t="n">
        <v>-1352.9</v>
      </c>
      <c r="D15" s="6" t="n">
        <v>0</v>
      </c>
      <c r="E15" s="6" t="n">
        <v>0</v>
      </c>
      <c r="F15" s="6" t="n">
        <v>-1352.9</v>
      </c>
    </row>
    <row r="16">
      <c r="A16" s="5" t="inlineStr">
        <is>
          <t>Balance as at 31 December 2014</t>
        </is>
      </c>
      <c r="B16" s="5" t="n">
        <v>87584.3</v>
      </c>
      <c r="C16" s="5" t="n">
        <v>0</v>
      </c>
      <c r="D16" s="5" t="n">
        <v>0</v>
      </c>
      <c r="E16" s="5" t="n">
        <v>31070.6</v>
      </c>
      <c r="F16" s="5" t="n">
        <v>118654.9</v>
      </c>
    </row>
    <row r="17">
      <c r="A17" s="6" t="inlineStr">
        <is>
          <t>Profit for the year (FY2015)</t>
        </is>
      </c>
      <c r="B17" s="6" t="n">
        <v>0</v>
      </c>
      <c r="C17" s="6" t="n">
        <v>0</v>
      </c>
      <c r="D17" s="6" t="n">
        <v>0</v>
      </c>
      <c r="E17" s="6" t="n">
        <v>3484.1</v>
      </c>
      <c r="F17" s="6" t="n">
        <v>3484.1</v>
      </c>
    </row>
    <row r="18">
      <c r="A18" s="5" t="inlineStr">
        <is>
          <t>Balance as at 31 December 2015</t>
        </is>
      </c>
      <c r="B18" s="5" t="n">
        <v>92247.5</v>
      </c>
      <c r="C18" s="5" t="n">
        <v>0</v>
      </c>
      <c r="D18" s="5" t="n">
        <v>0</v>
      </c>
      <c r="E18" s="5" t="n">
        <v>36317.6</v>
      </c>
      <c r="F18" s="5" t="n">
        <v>128565.1</v>
      </c>
    </row>
    <row r="19">
      <c r="A19" s="6" t="inlineStr">
        <is>
          <t>Profit for the year (FY2016)</t>
        </is>
      </c>
      <c r="B19" s="6" t="n">
        <v>0</v>
      </c>
      <c r="C19" s="6" t="n">
        <v>0</v>
      </c>
      <c r="D19" s="6" t="n">
        <v>0</v>
      </c>
      <c r="E19" s="6" t="n">
        <v>1955.6</v>
      </c>
      <c r="F19" s="6" t="n">
        <v>1955.6</v>
      </c>
    </row>
    <row r="20">
      <c r="A20" s="5" t="inlineStr">
        <is>
          <t>Balance as at 31 December 2016</t>
        </is>
      </c>
      <c r="B20" s="5" t="n">
        <v>111112.4</v>
      </c>
      <c r="C20" s="5" t="n">
        <v>0</v>
      </c>
      <c r="D20" s="5" t="n">
        <v>0</v>
      </c>
      <c r="E20" s="5" t="n">
        <v>45888.6</v>
      </c>
      <c r="F20" s="5" t="n">
        <v>157001.1</v>
      </c>
    </row>
    <row r="21">
      <c r="A21" s="6" t="inlineStr">
        <is>
          <t>Profit for the year (FY2017)</t>
        </is>
      </c>
      <c r="B21" s="6" t="n">
        <v>0</v>
      </c>
      <c r="C21" s="6" t="n">
        <v>0</v>
      </c>
      <c r="D21" s="6" t="n">
        <v>0</v>
      </c>
      <c r="E21" s="6" t="n">
        <v>10583.1</v>
      </c>
      <c r="F21" s="6" t="n">
        <v>10583.1</v>
      </c>
    </row>
    <row r="22">
      <c r="A22" s="5" t="inlineStr">
        <is>
          <t>Balance as at 31 December 2017</t>
        </is>
      </c>
      <c r="B22" s="5" t="n">
        <v>101185.5</v>
      </c>
      <c r="C22" s="5" t="n">
        <v>0</v>
      </c>
      <c r="D22" s="5" t="n">
        <v>0</v>
      </c>
      <c r="E22" s="5" t="n">
        <v>51876.9</v>
      </c>
      <c r="F22" s="5" t="n">
        <v>153062.4</v>
      </c>
    </row>
    <row r="23">
      <c r="A23" s="6" t="inlineStr">
        <is>
          <t>Impact of adopting IFRS 9 at 1 January 2018</t>
        </is>
      </c>
      <c r="B23" s="6" t="n">
        <v>0</v>
      </c>
      <c r="C23" s="6" t="n">
        <v>0</v>
      </c>
      <c r="D23" s="6" t="n">
        <v>-48</v>
      </c>
      <c r="E23" s="6" t="n">
        <v>-6597.4</v>
      </c>
      <c r="F23" s="6" t="n">
        <v>-6645.4</v>
      </c>
    </row>
    <row r="24">
      <c r="A24" s="6" t="inlineStr">
        <is>
          <t>Profit for the year (FY2018)</t>
        </is>
      </c>
      <c r="B24" s="6" t="n">
        <v>0</v>
      </c>
      <c r="C24" s="6" t="n">
        <v>0</v>
      </c>
      <c r="D24" s="6" t="n">
        <v>0</v>
      </c>
      <c r="E24" s="6" t="n">
        <v>20629.7</v>
      </c>
      <c r="F24" s="6" t="n">
        <v>20629.7</v>
      </c>
    </row>
    <row r="25">
      <c r="A25" s="6" t="inlineStr">
        <is>
          <t>Fair value reserve movement, debt instruments (FY2018)</t>
        </is>
      </c>
      <c r="B25" s="6" t="n">
        <v>0</v>
      </c>
      <c r="C25" s="6" t="n">
        <v>0</v>
      </c>
      <c r="D25" s="6" t="n">
        <v>-26.9</v>
      </c>
      <c r="E25" s="6" t="n">
        <v>0</v>
      </c>
      <c r="F25" s="6" t="n">
        <v>-26.9</v>
      </c>
    </row>
    <row r="26">
      <c r="A26" s="5" t="inlineStr">
        <is>
          <t>Balance as at 31 December 2018</t>
        </is>
      </c>
      <c r="B26" s="5" t="n">
        <v>107049</v>
      </c>
      <c r="C26" s="5" t="n">
        <v>0</v>
      </c>
      <c r="D26" s="5" t="n">
        <v>-78.2</v>
      </c>
      <c r="E26" s="5" t="n">
        <v>69536.2</v>
      </c>
      <c r="F26" s="5" t="n">
        <v>176507.1</v>
      </c>
    </row>
    <row r="27">
      <c r="A27" s="6" t="inlineStr">
        <is>
          <t>Profit for the year (FY2019)</t>
        </is>
      </c>
      <c r="B27" s="6" t="n">
        <v>0</v>
      </c>
      <c r="C27" s="6" t="n">
        <v>0</v>
      </c>
      <c r="D27" s="6" t="n">
        <v>0</v>
      </c>
      <c r="E27" s="6" t="n">
        <v>21894.4</v>
      </c>
      <c r="F27" s="6" t="n">
        <v>21894.4</v>
      </c>
    </row>
    <row r="28">
      <c r="A28" s="6" t="inlineStr">
        <is>
          <t>Fair value reserve movement, net of tax (FY2019)</t>
        </is>
      </c>
      <c r="B28" s="6" t="n">
        <v>0</v>
      </c>
      <c r="C28" s="6" t="n">
        <v>0</v>
      </c>
      <c r="D28" s="6" t="n">
        <v>658.7</v>
      </c>
      <c r="E28" s="6" t="n">
        <v>0</v>
      </c>
      <c r="F28" s="6" t="n">
        <v>658.7</v>
      </c>
    </row>
    <row r="29">
      <c r="A29" s="5" t="inlineStr">
        <is>
          <t>Balance as at 31 December 2019</t>
        </is>
      </c>
      <c r="B29" s="5" t="n">
        <v>103483.4</v>
      </c>
      <c r="C29" s="5" t="n">
        <v>0</v>
      </c>
      <c r="D29" s="5" t="n">
        <v>560.6</v>
      </c>
      <c r="E29" s="5" t="n">
        <v>88363.7</v>
      </c>
      <c r="F29" s="5" t="n">
        <v>192407.7</v>
      </c>
    </row>
    <row r="30">
      <c r="A30" s="6" t="inlineStr">
        <is>
          <t>Profit for the year (FY2020)</t>
        </is>
      </c>
      <c r="B30" s="6" t="n">
        <v>0</v>
      </c>
      <c r="C30" s="6" t="n">
        <v>0</v>
      </c>
      <c r="D30" s="6" t="n">
        <v>0</v>
      </c>
      <c r="E30" s="6" t="n">
        <v>13966</v>
      </c>
      <c r="F30" s="6" t="n">
        <v>13966</v>
      </c>
    </row>
    <row r="31">
      <c r="A31" s="6" t="inlineStr">
        <is>
          <t>Fair value reserve movement, net of tax (FY2020)</t>
        </is>
      </c>
      <c r="B31" s="6" t="n">
        <v>0</v>
      </c>
      <c r="C31" s="6" t="n">
        <v>0</v>
      </c>
      <c r="D31" s="6" t="n">
        <v>2722.3</v>
      </c>
      <c r="E31" s="6" t="n">
        <v>0</v>
      </c>
      <c r="F31" s="6" t="n">
        <v>2722.3</v>
      </c>
    </row>
    <row r="32">
      <c r="A32" s="5" t="inlineStr">
        <is>
          <t>Balance as at 31 December 2020</t>
        </is>
      </c>
      <c r="B32" s="5" t="n">
        <v>100067.1</v>
      </c>
      <c r="C32" s="5" t="n">
        <v>0</v>
      </c>
      <c r="D32" s="5" t="n">
        <v>3097.7</v>
      </c>
      <c r="E32" s="5" t="n">
        <v>98557.8</v>
      </c>
      <c r="F32" s="5" t="n">
        <v>201722.6</v>
      </c>
    </row>
    <row r="33">
      <c r="A33" s="6" t="inlineStr">
        <is>
          <t>Profit for the year (FY2021)</t>
        </is>
      </c>
      <c r="B33" s="6" t="n">
        <v>0</v>
      </c>
      <c r="C33" s="6" t="n">
        <v>0</v>
      </c>
      <c r="D33" s="6" t="n">
        <v>0</v>
      </c>
      <c r="E33" s="6" t="n">
        <v>8292.700000000001</v>
      </c>
      <c r="F33" s="6" t="n">
        <v>8292.700000000001</v>
      </c>
    </row>
    <row r="34">
      <c r="A34" s="6" t="inlineStr">
        <is>
          <t>Other comprehensive income (FY2021)</t>
        </is>
      </c>
      <c r="B34" s="6" t="n">
        <v>0</v>
      </c>
      <c r="C34" s="6" t="n">
        <v>0</v>
      </c>
      <c r="D34" s="6" t="n">
        <v>-2681.9</v>
      </c>
      <c r="E34" s="6" t="n">
        <v>0</v>
      </c>
      <c r="F34" s="6" t="n">
        <v>-2681.9</v>
      </c>
    </row>
    <row r="35">
      <c r="A35" s="6" t="inlineStr">
        <is>
          <t>Dividends paid to shareholders (FY2021)</t>
        </is>
      </c>
      <c r="B35" s="6" t="n">
        <v>0</v>
      </c>
      <c r="C35" s="6" t="n">
        <v>0</v>
      </c>
      <c r="D35" s="6" t="n">
        <v>0</v>
      </c>
      <c r="E35" s="6" t="n">
        <v>-6512.3</v>
      </c>
      <c r="F35" s="6" t="n">
        <v>-6512.3</v>
      </c>
    </row>
    <row r="36">
      <c r="A36" s="5" t="inlineStr">
        <is>
          <t>Balance as at 31 December 2021</t>
        </is>
      </c>
      <c r="B36" s="5" t="n">
        <v>101103.2</v>
      </c>
      <c r="C36" s="5" t="n">
        <v>0</v>
      </c>
      <c r="D36" s="5" t="n">
        <v>402.1</v>
      </c>
      <c r="E36" s="5" t="n">
        <v>101389.1</v>
      </c>
      <c r="F36" s="5" t="n">
        <v>202894.4</v>
      </c>
    </row>
    <row r="37">
      <c r="A37" s="6" t="inlineStr">
        <is>
          <t>Profit for the year (FY2022)</t>
        </is>
      </c>
      <c r="B37" s="6" t="n">
        <v>0</v>
      </c>
      <c r="C37" s="6" t="n">
        <v>0</v>
      </c>
      <c r="D37" s="6" t="n">
        <v>0</v>
      </c>
      <c r="E37" s="6" t="n">
        <v>28474.9</v>
      </c>
      <c r="F37" s="6" t="n">
        <v>28474.9</v>
      </c>
    </row>
    <row r="38">
      <c r="A38" s="6" t="inlineStr">
        <is>
          <t>Other comprehensive income (FY2022)</t>
        </is>
      </c>
      <c r="B38" s="6" t="n">
        <v>0</v>
      </c>
      <c r="C38" s="6" t="n">
        <v>0</v>
      </c>
      <c r="D38" s="6" t="n">
        <v>-13290.1</v>
      </c>
      <c r="E38" s="6" t="n">
        <v>0</v>
      </c>
      <c r="F38" s="6" t="n">
        <v>-13290.1</v>
      </c>
    </row>
    <row r="39">
      <c r="A39" s="6" t="inlineStr">
        <is>
          <t>Dividends paid to shareholders (FY2022)</t>
        </is>
      </c>
      <c r="B39" s="6" t="n">
        <v>0</v>
      </c>
      <c r="C39" s="6" t="n">
        <v>0</v>
      </c>
      <c r="D39" s="6" t="n">
        <v>0</v>
      </c>
      <c r="E39" s="6" t="n">
        <v>-4610.9</v>
      </c>
      <c r="F39" s="6" t="n">
        <v>-4610.9</v>
      </c>
    </row>
    <row r="40">
      <c r="A40" s="5" t="inlineStr">
        <is>
          <t>Balance as at 31 December 2022</t>
        </is>
      </c>
      <c r="B40" s="5" t="n">
        <v>113004.6</v>
      </c>
      <c r="C40" s="5" t="n">
        <v>0</v>
      </c>
      <c r="D40" s="5" t="n">
        <v>-13131.8</v>
      </c>
      <c r="E40" s="5" t="n">
        <v>137710.9</v>
      </c>
      <c r="F40" s="5" t="n">
        <v>237583.7</v>
      </c>
    </row>
    <row r="41">
      <c r="A41" s="6" t="inlineStr">
        <is>
          <t>Profit for the year (FY2023)</t>
        </is>
      </c>
      <c r="B41" s="6" t="n">
        <v>0</v>
      </c>
      <c r="C41" s="6" t="n">
        <v>0</v>
      </c>
      <c r="D41" s="6" t="n">
        <v>0</v>
      </c>
      <c r="E41" s="6" t="n">
        <v>44085.1</v>
      </c>
      <c r="F41" s="6" t="n">
        <v>44085.1</v>
      </c>
    </row>
    <row r="42">
      <c r="A42" s="6" t="inlineStr">
        <is>
          <t>Other comprehensive income (FY2023)</t>
        </is>
      </c>
      <c r="B42" s="6" t="n">
        <v>0</v>
      </c>
      <c r="C42" s="6" t="n">
        <v>0</v>
      </c>
      <c r="D42" s="6" t="n">
        <v>9147.799999999999</v>
      </c>
      <c r="E42" s="6" t="n">
        <v>0</v>
      </c>
      <c r="F42" s="6" t="n">
        <v>9147.799999999999</v>
      </c>
    </row>
    <row r="43">
      <c r="A43" s="6" t="inlineStr">
        <is>
          <t>Dividends paid to shareholders (FY2023)</t>
        </is>
      </c>
      <c r="B43" s="6" t="n">
        <v>0</v>
      </c>
      <c r="C43" s="6" t="n">
        <v>0</v>
      </c>
      <c r="D43" s="6" t="n">
        <v>0</v>
      </c>
      <c r="E43" s="6" t="n">
        <v>-14149</v>
      </c>
      <c r="F43" s="6" t="n">
        <v>-14149</v>
      </c>
    </row>
    <row r="44">
      <c r="A44" s="5" t="inlineStr">
        <is>
          <t>Balance as at 31 December 2023</t>
        </is>
      </c>
      <c r="B44" s="5" t="n">
        <v>107368.5</v>
      </c>
      <c r="C44" s="5" t="n">
        <v>0</v>
      </c>
      <c r="D44" s="5" t="n">
        <v>-3539.6</v>
      </c>
      <c r="E44" s="5" t="n">
        <v>160089.8</v>
      </c>
      <c r="F44" s="5" t="n">
        <v>263918.8</v>
      </c>
    </row>
    <row r="45">
      <c r="A45" s="6" t="inlineStr">
        <is>
          <t>Profit for the year (FY2024)</t>
        </is>
      </c>
      <c r="B45" s="6" t="n">
        <v>0</v>
      </c>
      <c r="C45" s="6" t="n">
        <v>0</v>
      </c>
      <c r="D45" s="6" t="n">
        <v>0</v>
      </c>
      <c r="E45" s="6" t="n">
        <v>33033.4</v>
      </c>
      <c r="F45" s="6" t="n">
        <v>33033.4</v>
      </c>
    </row>
    <row r="46">
      <c r="A46" s="6" t="inlineStr">
        <is>
          <t>Other comprehensive income (FY2024)</t>
        </is>
      </c>
      <c r="B46" s="6" t="n">
        <v>0</v>
      </c>
      <c r="C46" s="6" t="n">
        <v>0</v>
      </c>
      <c r="D46" s="6" t="n">
        <v>3057.9</v>
      </c>
      <c r="E46" s="6" t="n">
        <v>0</v>
      </c>
      <c r="F46" s="6" t="n">
        <v>3057.9</v>
      </c>
    </row>
    <row r="47">
      <c r="A47" s="6" t="inlineStr">
        <is>
          <t>Dividends paid to shareholders (FY2024)</t>
        </is>
      </c>
      <c r="B47" s="6" t="n">
        <v>0</v>
      </c>
      <c r="C47" s="6" t="n">
        <v>0</v>
      </c>
      <c r="D47" s="6" t="n">
        <v>0</v>
      </c>
      <c r="E47" s="6" t="n">
        <v>0</v>
      </c>
      <c r="F47" s="6" t="n">
        <v>0</v>
      </c>
    </row>
    <row r="48">
      <c r="A48" s="5" t="inlineStr">
        <is>
          <t>Balance as at 31 December 2024</t>
        </is>
      </c>
      <c r="B48" s="5" t="n">
        <v>109230.2</v>
      </c>
      <c r="C48" s="5" t="n">
        <v>0</v>
      </c>
      <c r="D48" s="5" t="n">
        <v>-477.8</v>
      </c>
      <c r="E48" s="5" t="n">
        <v>196603.8</v>
      </c>
      <c r="F48" s="5" t="n">
        <v>305356.2</v>
      </c>
    </row>
    <row r="49">
      <c r="A49" s="6" t="inlineStr">
        <is>
          <t>Profit for the year (FY2025)</t>
        </is>
      </c>
      <c r="B49" s="6" t="n">
        <v>0</v>
      </c>
      <c r="C49" s="6" t="n">
        <v>0</v>
      </c>
      <c r="D49" s="6" t="n">
        <v>0</v>
      </c>
      <c r="E49" s="6" t="n">
        <v>36752.6</v>
      </c>
      <c r="F49" s="6" t="n">
        <v>36752.6</v>
      </c>
    </row>
    <row r="50">
      <c r="A50" s="6" t="inlineStr">
        <is>
          <t>Other comprehensive income (FY2025)</t>
        </is>
      </c>
      <c r="B50" s="6" t="n">
        <v>0</v>
      </c>
      <c r="C50" s="6" t="n">
        <v>2343.5</v>
      </c>
      <c r="D50" s="6" t="n">
        <v>1590.4</v>
      </c>
      <c r="E50" s="6" t="n">
        <v>0</v>
      </c>
      <c r="F50" s="6" t="n">
        <v>3933.9</v>
      </c>
    </row>
    <row r="51">
      <c r="A51" s="6" t="inlineStr">
        <is>
          <t>Dividends paid to shareholders (FY2025)</t>
        </is>
      </c>
      <c r="B51" s="6" t="n">
        <v>0</v>
      </c>
      <c r="C51" s="6" t="n">
        <v>0</v>
      </c>
      <c r="D51" s="6" t="n">
        <v>0</v>
      </c>
      <c r="E51" s="6" t="n">
        <v>0</v>
      </c>
      <c r="F51" s="6" t="n">
        <v>0</v>
      </c>
    </row>
    <row r="52">
      <c r="A52" s="5" t="inlineStr">
        <is>
          <t>Balance as at 31 December 2025</t>
        </is>
      </c>
      <c r="B52" s="5" t="n">
        <v>101652</v>
      </c>
      <c r="C52" s="5" t="n">
        <v>2299.1</v>
      </c>
      <c r="D52" s="5" t="n">
        <v>1115.6</v>
      </c>
      <c r="E52" s="5" t="n">
        <v>219019.5</v>
      </c>
      <c r="F52" s="5" t="n">
        <v>324086.2</v>
      </c>
    </row>
    <row r="54" ht="409" customHeight="1">
      <c r="A54" s="8" t="inlineStr">
        <is>
          <t>Sources - Zenith Bank (UK) Limited's own Statement of Changes in Equity (converted from USD to £, see FX conversion note below):
FY2025: Annual Report and Financial Statements 2025, p.41 printed (PDF p.43) - https://find-and-update.company-information.service.gov.uk/company/05713749/filing-history/MzUyMjI1NjUwM2FkaXF6a2N4/document?format=pdf&amp;download=0
FY2024: Annual Report and Financial Statements 2024, p.45 - https://www.zenith-bank.co.uk/media/2273/2024-annual-report-and-financial-statements.pdf
FY2023: Annual Report and Financial Statements 2023, p.37 - https://www.zenith-bank.co.uk/media/2253/2023-annual-report-and-financial-statements.pdf
FY2022: Annual Report and Financial Statements 2022, p.35 - https://www.zenith-bank.co.uk/media/2237/2022-annual-report-and-financial-statements.pdf
FY2021: Annual Report and Financial Statements 2021, p.33 - https://www.zenith-bank.co.uk/media/2205/2021-annual-report-and-financial-statements.pdf
FY2020: Annual Report 2020, p.33 - https://www.zenith-bank.co.uk/media/2199/zenith-bank-uk-limited-annual-report-2020.pdf
FY2019: Annual Report 2019, p.22 - https://www.zenith-bank.co.uk/media/2169/258558-zenith-web.pdf
FY2018: Annual Report and Financial Statements 2018, p.20 - https://www.zenith-bank.co.uk/media/2151/2018-annual-report.pdf
FY2017: Annual Report and Financial Statements 2017, p.19 - https://www.zenith-bank.co.uk/media/2142/2017-annual-report-and-financial-statements.pdf
FY2016: Annual Report and Accounts 2016, p.11 - https://www.zenith-bank.co.uk/media/1009/statutory_accounts_year_ended_31st_december_2016.pdf
FY2015: Annual Report and Financial Statements 2015, p.12 - https://www.zenith-bank.co.uk/media/1011/zenith_bank_-uk-_ltd_-_annual_report_and_financial_statements_2015.pdf
FY2014: Annual Report and Financial Statements 2014, p.12 - https://www.zenith-bank.co.uk/media/1010/zenith_bank_-uk-_ltd_-_annual_report_and_accounts_2014.pdf
FY2013: Financial Statements for the year ended 31 December 2013, p.11 - https://find-and-update.company-information.service.gov.uk/company/05713749/filing-history/MzEwNDk3MzAyNmFkaXF6a2N4/document?format=pdf&amp;download=0
FY2012: Financial Statements as at 31 December 2012, p.11 (also giving the FY2013 report's own FY2012 comparative column, cross-checked) - https://find-and-update.company-information.service.gov.uk/company/05713749/filing-history/MzA4MDQyODAzOGFkaXF6a2N4/document?format=pdf&amp;download=0
FY2009-FY2011 equity roll-forward is blank: these years' own Annual Reports contain no Statement of Changes in Equity or Statement of Total Recognised Gains and Losses at all (see HD-073 extension note below) - a genuine, disclosed absence.
Opening balance (1 January 2014, the earliest year shown before this HD-073 extension) is converted using the 31 Dec 2013 GBP/USD spot rate (1.6529) since it is the same balance as FY2013's closing position (outside this workbook's window). Every other opening balance is converted using that prior year's own 31 December spot rate for the same reason (e.g. 1 Jan 2021 uses the 31 Dec 2020 rate, 1.3661). Profit/OCI/dividend movements use each year's average rate; balances (opening/closing) use that date's spot rate - consistent with the rest of this workbook's FX methodology (see FX conversion note). Every year ties exactly: each closing balance matches both the next year's opening balance and that year's own Balance Sheet Total equity figure, to the penny in USD before conversion. Zero plug rows. FY2014 includes a one-off 'Currency Translation Reserve' movement (-$2,227,602, fully unwound to nil by 31 December 2014) arising from the Bank's own change of functional and presentation currency (GBP to USD) during 2013/2014, per the Bank's own report note 2(b) - a genuine historical accounting event unrelated to this workbook's own USD-to-£ conversion overlay, kept as its own distinct column rather than merged into the 'FVOCI Reserves' column (a different underlying reserve concept that wasn't introduced until FY2017 (AFS Reserve)/FY2018 (renamed FVOCI Reserve)). See the Profit &amp; Loss sheet's own source note for a flagged discrepancy between FY2018's P&amp;L-stated Other Comprehensive Income and this sheet's own FY2018 FVOCI Reserve movement ($(35,856) shown here, per the Bank's own Statement of Changes in Equity).</t>
        </is>
      </c>
    </row>
    <row r="56" ht="409" customHeight="1">
      <c r="A56" s="8" t="inlineStr">
        <is>
          <t>(continued)
FY2025 ADDED 2026-09-18 from the Companies House filing of the FY2025 accounts (the Bank's own site publishes annual reports only to FY2024 - see the Cash Flow Statement sheet note), which is an image-only scan read VISUALLY at 300 dpi. FY2025 ties the same way every other year does: the closing balance 435,831,077 is the FY2025 Balance Sheet Total equity, and the opening balance is FY2024's closing 382,153,296, both in USD before conversion. The Currency Translation Reserve column, nil since FY2014, moves again in FY2025 (+3,091,802) - the Bank's own 'Foreign operations - foreign currency translation differences' line, a new disclosure that year.
ENTITY NOTE: Zenith Bank (UK) Limited (FRN 451720) is a UK subsidiary of Zenith Bank Plc (Nigeria). Unlike several other foreign-subsidiary banks in this workbook series (ICICI Bank UK, Philippine National Bank Europe, Citibank UK, State Bank of India UK), it prepares full financial statements under UK-adopted International Accounting Standards (not FRS 101/102 reduced disclosure), including a genuine Statement of Cash Flows every year - no cash-flow exemption applies. The Bank's own capital structure is CET1-only (no AT1 or Tier 2 instruments), so CET1 capital = Tier 1 capital = Total capital in every year shown.
FX CONVERSION NOTE: Zenith Bank (UK) Limited reports in US Dollars. This workbook converts every $ amount to £ for consistency with the rest of this series, following the same methodology established for SMBC Bank International plc: point-in-time/balance figures (capital, RWA, leverage exposure, HQLA, cash balances) use the Bank of England GBP/USD SPOT rate as at that fiscal year-end (31 December); flow figures (every cash flow statement line item) use the AVERAGE of Bank of England rates over that calendar year. FY2020-FY2025 rates are via poundsterlinglive.com's published Bank of England archive; FY2014-FY2019 rates (added under HD-048) were pulled directly from the Bank of England's own Interactive Statistical Database (series XUDLGBD, spot exchange rate US dollar into Sterling), inverted and rounded to 4dp - the same underlying BoE series poundsterlinglive republishes. Rates used (£1 = $X): 31 Dec 2013 spot 1.6529 (FY2014 opening cash only); FY2014 spot 1.5608 / average 1.6465; FY2015 spot 1.4819 / average 1.5281; FY2016 spot 1.2303 / average 1.3488; FY2017 spot 1.3510 / average 1.2878; FY2018 spot 1.2770 / average 1.3335; FY2019 spot 1.3210 / average 1.2757; FY2020 spot 1.3661 / average 1.2825 (FY2020 spot pre-dates HD-048 and is kept unchanged from the original build for continuity - a fresh BoE query for the same date gives 1.3648, a ~0.1% difference attributable to archive rounding, immaterial at 1dp in £'000 terms); FY2021 spot 1.3521 / average 1.3752; FY2022 spot 1.2097 / average 1.2362; FY2023 spot 1.2732 / average 1.2439; FY2024 spot 1.2515 / average 1.2782; FY2025 spot 1.3448 / average 1.3193. All % ratios (CET1/Tier 1/Total Capital/Leverage/LCR/NSFR ratios) are shown EXACTLY as reported in USD and were NOT converted - a ratio is dimensionless and currency-invariant. Because stocks and flows are converted at different rates, the cash flow statement includes an explicit 'Effect of GBP/USD translation' reconciling line so opening + all flows + this line = closing exactly in £ terms - this line is purely an artefact of £ translation and has no bearing on the Bank's underlying USD results. This conversion was not explicitly requested for this bank (unlike SMBC) - applied for consistency with the rest of the series; flag if £'000 rather than the Bank's native US$'000 presentation is not what's wanted here.</t>
        </is>
      </c>
    </row>
    <row r="58" ht="409" customHeight="1">
      <c r="A58" s="8" t="inlineStr">
        <is>
          <t>(continued)
HD-048 EXTENSION NOTE (2026-09-06): this workbook was extended from its original FY2021-FY2025 window back to FY2014 under wayfinder ticket HD-048, capped at FY2014 by explicit project-wide user decision even though Zenith Bank (UK) Limited's own disclosure archive genuinely extends to FY2009 (Pillar 3 pre-CRD IV/Basel III isn't considered comparable to later years, and this project caps historical depth at FY2014 across all extended banks). FY2014-FY2020 Annual Report and Financial Statements were re-sourced directly from the Bank's own live website (zenith-bank.co.uk/why-us/statutory-accounts-tax-strategy/), each verified by opening the actual PDF and checking its cover/contents page states the claimed year - this caught the site's own '2015' link actually serving a byte-identical copy of the FY2018 report (same file, two URLs); the genuine FY2015 Annual Report was recovered from Internet Archive Wayback Machine crawl data instead (media/1011). FY2014-FY2015 Pillar 3 disclosures were similarly recovered from Wayback Machine captures of the Bank's pre-2018 site (see Pillar 3 sources note). No Pillar 3 disclosure document for FY2016-FY2020 could be found on the live site or in the Wayback Machine despite a thorough search (CDX API queries against every plausible URL pattern, including two specific leads from an earlier interrupted session that both proved to be unarchived 404s on further verification) - the Bank's Pillar 3 page itself was archived several times across those years and confirms the underlying PDF links existed at the time, but the PDF binaries themselves were never crawled by the Wayback Machine. Annual Report-sourced sheets (Balance Sheet, P&amp;L, Statement of Changes in Equity, Cash Flow Statement, Asset Quality) are fully populated for all of FY2014-FY2020.
SUPERSEDED IN PART, 2026-09-18 - DO NOT READ THE PARAGRAPH ABOVE AS 'NO CAPITAL DATA EXISTS FOR FY2016-FY2019'. It said, in its original form, that all 11 Pillar 3 metric sheets and the RWA Breakdown sheet were 'therefore genuinely blank for FY2016-FY2020'. The word 'therefore' was the error: the absence of a Pillar 3 DOCUMENT was treated as the absence of the DATA, and nobody opened the Annual Reports looking for capital. They carry a 'Capital Management' note with a Capital Resources table every year. FY2016-FY2019 capital, and FY2017/FY2018 CET1 ratios, are now populated from that source (and FY2012/FY2013 from the same note in the Companies House filings). What remains genuinely absent for FY2016-FY2019 is RWA, the RWA breakdown, the leverage ratio and the LCR. See the ANNUAL-REPORT CAPITAL RECOVERY note on the capital sheets.
HD-073 EXTENSION NOTE (2026-09-06/07): this workbook was extended from its FY2014 floor back to FY2009 under wayfinder ticket HD-073, using the Bank's own statutory accounts recovered from Companies House (company 05713749) - the Bank's own website archive does not go back this far. CURRENCY: FY2009-FY2013 are reported by the Bank natively in GBP (its redenomination to USD, see the FX conversion note above, happened during 2013/2014) - these 5 years require NO FX conversion at all and are shown as £'000 directly (see stock2()/flow2()/opening_cash2() in this script). STATEMENT AVAILABILITY: FY2012 and FY2013 have full IFRS-style statements (Statement of Comprehensive Income, Statement of Financial Position, Statement of Changes in Equity, Statement of Cash Flows), all populated here. FY2009-FY2011 pre-date the Bank's IFRS adoption entirely - each year's own report contains only a 'Profit and loss account' and 'Balance sheet' under old UK GAAP, and each explicitly states 'There are no recognised gains or losses for the year other than as stated above. Accordingly no Statement of Total Recognised Gains and Losses has been prepared' and contains no Statement of Cash Flows at all - a genuine, disclosed absence (not a small-company cash-flow exemption assumption), so the Statement of Changes in Equity and Cash Flow Statement sheets are genuinely blank for FY2009-FY2011. PRESENTATION BRIDGE (Balance Sheet, FY2009-FY2011): these years predate the Trading/Investment securities split (a single 'Securities' line is shown here as 'Securities measured at amortised cost') and the Deposits by banks/corporates split shown from FY2012 ('Deposits by corporates' maps to 'Deposits from customers', consistent with later years' convention); 'Other assets' combines the Bank's own separate 'Other assets' and 'Prepayments' lines (no dedicated Prepayments row exists in this sheet's modern label set); 'Other liabilities' holds the Bank's own 'Accrued expenses' line. FY2009's own report does not separately disclose a 'Cash' line at all (folded into 'Loans and advances to banks', £275,505,662) - FY2010's own report later reclassifies out a £35,421 'Cash' balance for its FY2009 comparative; FY2009's own as-originally-reported combined figure is used here, per this project's convention of preferring each year's own report. PRESENTATION BRIDGE (P&amp;L, FY2009-FY2010): neither year separately discloses Personnel expenses/Depreciation and amortisation - a single 'Administrative expenses' line is shown here as 'Other expenses' (Personnel expenses/Depreciation and amortisation blank, not zero, for these two years only).</t>
        </is>
      </c>
    </row>
    <row r="60" ht="409" customHeight="1">
      <c r="A60" s="8" t="inlineStr">
        <is>
          <t>(continued)
RESTATEMENT NOTE: FY2011's own report (profit before tax £5,104,963, profit for the year £3,622,457) differs from the FY2012 Annual Report's own restated FY2011 IFRS comparative (profit before tax £4,973,686, profit for the year £3,491,180) - a reclassification between interest/fee/expense lines under the Bank's FY2012 IFRS conversion, not a change to the audited FY2011 result. FY2011's own report figures are used throughout, consistent with this project's convention of preferring each year's own report over a later restated comparative. Similarly, FY2009's own report labels ('Interest receivable', 'Fees &amp; commissions receivable', 'Exchange profits') differ from FY2010's own report's FY2009 comparative labels ('Interest earned', 'Fees &amp; commission earned', 'Trading profits (Net)') with a like-for-like £518,750 shift between the interest and fee/trading lines - Operating income and Profit for the year are identical either way; FY2009's own report figures are used. BRIDGE GAP (FY2013/FY2014 boundary): FY2013's own report shows closing Total equity of £74,509,003 and closing cash of £119,758,144; the Bank's own FY2014 Annual Report separately expresses its 1 January 2014 opening position in USD (used, unchanged, by the pre-existing FY2014 opening rows in this workbook) which back-converts via the 31 Dec 2013 spot rate to approximately £74,543,010 total equity and £119,819,001 opening cash - a small (~0.05%) gap attributable to the Bank's own USD-conversion/rounding at the point of redenomination, not reconciled further; both figures are shown exactly as each source discloses them.</t>
        </is>
      </c>
    </row>
  </sheetData>
  <mergeCells count="4">
    <mergeCell ref="A54:F54"/>
    <mergeCell ref="A58:F58"/>
    <mergeCell ref="A56:F56"/>
    <mergeCell ref="A60:F6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70"/>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6"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s>
  <sheetData>
    <row r="1">
      <c r="A1" s="1" t="inlineStr">
        <is>
          <t>Zenith Bank (UK) Limited — Statement of Cash Flows</t>
        </is>
      </c>
    </row>
    <row r="2">
      <c r="A2" s="2" t="inlineStr">
        <is>
          <t>£'000 (FY2012-FY2013 native GBP, FY2014 onward converted from USD) - see source note at bottom for FX methodology and rates used. No FY2009-FY2011 column shown (no Statement of Cash Flows disclosed those years - see HD-073 extension note).</t>
        </is>
      </c>
    </row>
    <row r="3">
      <c r="A3" s="4" t="inlineStr">
        <is>
          <t>Line item</t>
        </is>
      </c>
      <c r="B3" s="4" t="inlineStr">
        <is>
          <t>FY2025 (£'000, conv. from USD)</t>
        </is>
      </c>
      <c r="C3" s="4" t="inlineStr">
        <is>
          <t>FY2024 (£'000, conv. from USD)</t>
        </is>
      </c>
      <c r="D3" s="4" t="inlineStr">
        <is>
          <t>FY2023 (£'000, conv. from USD)</t>
        </is>
      </c>
      <c r="E3" s="4" t="inlineStr">
        <is>
          <t>FY2022 (£'000, conv. from USD)</t>
        </is>
      </c>
      <c r="F3" s="4" t="inlineStr">
        <is>
          <t>FY2021 (£'000, conv. from USD)</t>
        </is>
      </c>
      <c r="G3" s="4" t="inlineStr">
        <is>
          <t>FY2020 (£'000, conv. from USD)</t>
        </is>
      </c>
      <c r="H3" s="4" t="inlineStr">
        <is>
          <t>FY2019 (£'000, conv. from USD)</t>
        </is>
      </c>
      <c r="I3" s="4" t="inlineStr">
        <is>
          <t>FY2018 (£'000, conv. from USD)</t>
        </is>
      </c>
      <c r="J3" s="4" t="inlineStr">
        <is>
          <t>FY2017 (£'000, conv. from USD)</t>
        </is>
      </c>
      <c r="K3" s="4" t="inlineStr">
        <is>
          <t>FY2016 (£'000, conv. from USD)</t>
        </is>
      </c>
      <c r="L3" s="4" t="inlineStr">
        <is>
          <t>FY2015 (£'000, conv. from USD)</t>
        </is>
      </c>
      <c r="M3" s="4" t="inlineStr">
        <is>
          <t>FY2014 (£'000, conv. from USD)</t>
        </is>
      </c>
      <c r="N3" s="4" t="inlineStr">
        <is>
          <t>FY2013 (£'000, conv. from USD)</t>
        </is>
      </c>
      <c r="O3" s="4" t="inlineStr">
        <is>
          <t>FY2012 (£'000, conv. from USD)</t>
        </is>
      </c>
    </row>
    <row r="4">
      <c r="A4" s="5" t="inlineStr">
        <is>
          <t>Operating activities</t>
        </is>
      </c>
      <c r="B4" s="6" t="n"/>
      <c r="C4" s="6" t="n"/>
      <c r="D4" s="6" t="n"/>
      <c r="E4" s="6" t="n"/>
      <c r="F4" s="6" t="n"/>
      <c r="G4" s="6" t="n"/>
      <c r="H4" s="6" t="n"/>
      <c r="I4" s="6" t="n"/>
      <c r="J4" s="6" t="n"/>
      <c r="K4" s="6" t="n"/>
      <c r="L4" s="6" t="n"/>
      <c r="M4" s="6" t="n"/>
      <c r="N4" s="6" t="n"/>
      <c r="O4" s="6" t="n"/>
    </row>
    <row r="5">
      <c r="A5" s="6" t="inlineStr">
        <is>
          <t>Profit for the year</t>
        </is>
      </c>
      <c r="B5" s="6" t="n">
        <v>36752.6</v>
      </c>
      <c r="C5" s="6" t="n">
        <v>33033.4</v>
      </c>
      <c r="D5" s="6" t="n">
        <v>44085.1</v>
      </c>
      <c r="E5" s="6" t="n">
        <v>28474.9</v>
      </c>
      <c r="F5" s="6" t="n">
        <v>8292.700000000001</v>
      </c>
      <c r="G5" s="6" t="n">
        <v>13966</v>
      </c>
      <c r="H5" s="6" t="n">
        <v>21894.4</v>
      </c>
      <c r="I5" s="6" t="n">
        <v>20629.7</v>
      </c>
      <c r="J5" s="6" t="n">
        <v>10583.1</v>
      </c>
      <c r="K5" s="6" t="n">
        <v>1955.6</v>
      </c>
      <c r="L5" s="6" t="n">
        <v>3484.1</v>
      </c>
      <c r="M5" s="6" t="n">
        <v>8742.299999999999</v>
      </c>
      <c r="N5" s="6" t="n">
        <v>7672.9</v>
      </c>
      <c r="O5" s="6" t="n">
        <v>5232</v>
      </c>
    </row>
    <row r="6">
      <c r="A6" s="6" t="inlineStr">
        <is>
          <t>Impairment provision charge/(reversal)</t>
        </is>
      </c>
      <c r="B6" s="6" t="n">
        <v>-2175</v>
      </c>
      <c r="C6" s="6" t="n">
        <v>-6434.9</v>
      </c>
      <c r="D6" s="6" t="n">
        <v>619.9</v>
      </c>
      <c r="E6" s="6" t="n">
        <v>4262.4</v>
      </c>
      <c r="F6" s="6" t="n">
        <v>2684.9</v>
      </c>
      <c r="G6" s="6" t="n">
        <v>1088.6</v>
      </c>
      <c r="H6" s="6" t="n">
        <v>-18.4</v>
      </c>
      <c r="I6" s="6" t="n">
        <v>-3391.4</v>
      </c>
      <c r="J6" s="6" t="n">
        <v>5279</v>
      </c>
      <c r="K6" s="6" t="n">
        <v>13345.8</v>
      </c>
      <c r="L6" s="6" t="n">
        <v>5456.5</v>
      </c>
      <c r="M6" s="6" t="n"/>
      <c r="N6" s="6" t="n"/>
      <c r="O6" s="6" t="n"/>
    </row>
    <row r="7">
      <c r="A7" s="6" t="inlineStr">
        <is>
          <t>Depreciation of property and equipment</t>
        </is>
      </c>
      <c r="B7" s="6" t="n">
        <v>873.2</v>
      </c>
      <c r="C7" s="6" t="n">
        <v>926.7</v>
      </c>
      <c r="D7" s="6" t="n">
        <v>864</v>
      </c>
      <c r="E7" s="6" t="n">
        <v>914.9</v>
      </c>
      <c r="F7" s="6" t="n">
        <v>810.8</v>
      </c>
      <c r="G7" s="6" t="n">
        <v>876.4</v>
      </c>
      <c r="H7" s="6" t="n">
        <v>724.7</v>
      </c>
      <c r="I7" s="6" t="n">
        <v>169.6</v>
      </c>
      <c r="J7" s="6" t="n">
        <v>154.4</v>
      </c>
      <c r="K7" s="6" t="n">
        <v>191.8</v>
      </c>
      <c r="L7" s="6" t="n">
        <v>291.7</v>
      </c>
      <c r="M7" s="6" t="n">
        <v>239.1</v>
      </c>
      <c r="N7" s="6" t="n">
        <v>413.8</v>
      </c>
      <c r="O7" s="6" t="n">
        <v>255.3</v>
      </c>
    </row>
    <row r="8">
      <c r="A8" s="6" t="inlineStr">
        <is>
          <t>Amortisation of intangible assets</t>
        </is>
      </c>
      <c r="B8" s="6" t="n">
        <v>795.6</v>
      </c>
      <c r="C8" s="6" t="n">
        <v>390.8</v>
      </c>
      <c r="D8" s="6" t="n">
        <v>442.3</v>
      </c>
      <c r="E8" s="6" t="n">
        <v>439.9</v>
      </c>
      <c r="F8" s="6" t="n">
        <v>481.5</v>
      </c>
      <c r="G8" s="6" t="n">
        <v>785.9</v>
      </c>
      <c r="H8" s="6" t="n">
        <v>746.4</v>
      </c>
      <c r="I8" s="6" t="n">
        <v>611.8</v>
      </c>
      <c r="J8" s="6" t="n">
        <v>371.3</v>
      </c>
      <c r="K8" s="6" t="n">
        <v>388.3</v>
      </c>
      <c r="L8" s="6" t="n">
        <v>414.1</v>
      </c>
      <c r="M8" s="6" t="n">
        <v>346.1</v>
      </c>
      <c r="N8" s="6" t="n">
        <v>347.6</v>
      </c>
      <c r="O8" s="6" t="n">
        <v>328.7</v>
      </c>
    </row>
    <row r="9">
      <c r="A9" s="6" t="inlineStr">
        <is>
          <t>Interest expense on Right-of-use lease obligations</t>
        </is>
      </c>
      <c r="B9" s="6" t="n">
        <v>258.4</v>
      </c>
      <c r="C9" s="6" t="n">
        <v>271.3</v>
      </c>
      <c r="D9" s="6" t="n">
        <v>14.7</v>
      </c>
      <c r="E9" s="6" t="n"/>
      <c r="F9" s="6" t="n">
        <v>35.8</v>
      </c>
      <c r="G9" s="6" t="n">
        <v>31</v>
      </c>
      <c r="H9" s="6" t="n"/>
      <c r="I9" s="6" t="n"/>
      <c r="J9" s="6" t="n"/>
      <c r="K9" s="6" t="n"/>
      <c r="L9" s="6" t="n"/>
      <c r="M9" s="6" t="n"/>
      <c r="N9" s="6" t="n"/>
      <c r="O9" s="6" t="n"/>
    </row>
    <row r="10">
      <c r="A10" s="6" t="inlineStr">
        <is>
          <t>Interest expense (transition to IFRS 16)</t>
        </is>
      </c>
      <c r="B10" s="6" t="n"/>
      <c r="C10" s="6" t="n"/>
      <c r="D10" s="6" t="n"/>
      <c r="E10" s="6" t="n"/>
      <c r="F10" s="6" t="n"/>
      <c r="G10" s="6" t="n"/>
      <c r="H10" s="6" t="n">
        <v>26.3</v>
      </c>
      <c r="I10" s="6" t="n"/>
      <c r="J10" s="6" t="n"/>
      <c r="K10" s="6" t="n"/>
      <c r="L10" s="6" t="n"/>
      <c r="M10" s="6" t="n"/>
      <c r="N10" s="6" t="n"/>
      <c r="O10" s="6" t="n"/>
    </row>
    <row r="11">
      <c r="A11" s="6" t="inlineStr">
        <is>
          <t>Exchange difference on property and equipment</t>
        </is>
      </c>
      <c r="B11" s="6" t="n"/>
      <c r="C11" s="6" t="n"/>
      <c r="D11" s="6" t="n"/>
      <c r="E11" s="6" t="n"/>
      <c r="F11" s="6" t="n"/>
      <c r="G11" s="6" t="n"/>
      <c r="H11" s="6" t="n"/>
      <c r="I11" s="6" t="n">
        <v>-82</v>
      </c>
      <c r="J11" s="6" t="n"/>
      <c r="K11" s="6" t="n"/>
      <c r="L11" s="6" t="n"/>
      <c r="M11" s="6" t="n"/>
      <c r="N11" s="6" t="n"/>
      <c r="O11" s="6" t="n"/>
    </row>
    <row r="12">
      <c r="A12" s="6" t="inlineStr">
        <is>
          <t>Exchange difference on intangible assets</t>
        </is>
      </c>
      <c r="B12" s="6" t="n"/>
      <c r="C12" s="6" t="n"/>
      <c r="D12" s="6" t="n"/>
      <c r="E12" s="6" t="n"/>
      <c r="F12" s="6" t="n"/>
      <c r="G12" s="6" t="n"/>
      <c r="H12" s="6" t="n"/>
      <c r="I12" s="6" t="n">
        <v>-271.5</v>
      </c>
      <c r="J12" s="6" t="n"/>
      <c r="K12" s="6" t="n"/>
      <c r="L12" s="6" t="n"/>
      <c r="M12" s="6" t="n"/>
      <c r="N12" s="6" t="n"/>
      <c r="O12" s="6" t="n"/>
    </row>
    <row r="13">
      <c r="A13" s="6" t="inlineStr">
        <is>
          <t>Gain on disposal of property and equipment</t>
        </is>
      </c>
      <c r="B13" s="6" t="n"/>
      <c r="C13" s="6" t="n"/>
      <c r="D13" s="6" t="n"/>
      <c r="E13" s="6" t="n"/>
      <c r="F13" s="6" t="n"/>
      <c r="G13" s="6" t="n"/>
      <c r="H13" s="6" t="n"/>
      <c r="I13" s="6" t="n"/>
      <c r="J13" s="6" t="n"/>
      <c r="K13" s="6" t="n">
        <v>0</v>
      </c>
      <c r="L13" s="6" t="n">
        <v>-5.5</v>
      </c>
      <c r="M13" s="6" t="n"/>
      <c r="N13" s="6" t="n"/>
      <c r="O13" s="6" t="n"/>
    </row>
    <row r="14">
      <c r="A14" s="6" t="inlineStr">
        <is>
          <t>Recoveries of bad debts written off</t>
        </is>
      </c>
      <c r="B14" s="6" t="n"/>
      <c r="C14" s="6" t="n"/>
      <c r="D14" s="6" t="n"/>
      <c r="E14" s="6" t="n">
        <v>-55.9</v>
      </c>
      <c r="F14" s="6" t="n"/>
      <c r="G14" s="6" t="n"/>
      <c r="H14" s="6" t="n"/>
      <c r="I14" s="6" t="n"/>
      <c r="J14" s="6" t="n"/>
      <c r="K14" s="6" t="n"/>
      <c r="L14" s="6" t="n"/>
      <c r="M14" s="6" t="n"/>
      <c r="N14" s="6" t="n"/>
      <c r="O14" s="6" t="n"/>
    </row>
    <row r="15">
      <c r="A15" s="6" t="inlineStr">
        <is>
          <t>Current income tax expense</t>
        </is>
      </c>
      <c r="B15" s="6" t="n">
        <v>12040.6</v>
      </c>
      <c r="C15" s="6" t="n">
        <v>10603.7</v>
      </c>
      <c r="D15" s="6" t="n">
        <v>14265.6</v>
      </c>
      <c r="E15" s="6" t="n">
        <v>7636.1</v>
      </c>
      <c r="F15" s="6" t="n">
        <v>1623.1</v>
      </c>
      <c r="G15" s="6" t="n"/>
      <c r="H15" s="6" t="n"/>
      <c r="I15" s="6" t="n"/>
      <c r="J15" s="6" t="n"/>
      <c r="K15" s="6" t="n"/>
      <c r="L15" s="6" t="n"/>
      <c r="M15" s="6" t="n"/>
      <c r="N15" s="6" t="n"/>
      <c r="O15" s="6" t="n"/>
    </row>
    <row r="16">
      <c r="A16" s="6" t="inlineStr">
        <is>
          <t>Deferred income tax expense</t>
        </is>
      </c>
      <c r="B16" s="6" t="n">
        <v>214.1</v>
      </c>
      <c r="C16" s="6" t="n">
        <v>373.9</v>
      </c>
      <c r="D16" s="6" t="n">
        <v>169.8</v>
      </c>
      <c r="E16" s="6" t="n">
        <v>194</v>
      </c>
      <c r="F16" s="6" t="n"/>
      <c r="G16" s="6" t="n"/>
      <c r="H16" s="6" t="n"/>
      <c r="I16" s="6" t="n"/>
      <c r="J16" s="6" t="n"/>
      <c r="K16" s="6" t="n"/>
      <c r="L16" s="6" t="n"/>
      <c r="M16" s="6" t="n"/>
      <c r="N16" s="6" t="n"/>
      <c r="O16" s="6" t="n"/>
    </row>
    <row r="17">
      <c r="A17" s="6" t="inlineStr">
        <is>
          <t>Income tax expense (not split current/deferred - pre-FY2021 presentation)</t>
        </is>
      </c>
      <c r="B17" s="6" t="n"/>
      <c r="C17" s="6" t="n"/>
      <c r="D17" s="6" t="n"/>
      <c r="E17" s="6" t="n"/>
      <c r="F17" s="6" t="n"/>
      <c r="G17" s="6" t="n">
        <v>3096.7</v>
      </c>
      <c r="H17" s="6" t="n">
        <v>5323.4</v>
      </c>
      <c r="I17" s="6" t="n">
        <v>4731</v>
      </c>
      <c r="J17" s="6" t="n">
        <v>1848.6</v>
      </c>
      <c r="K17" s="6" t="n">
        <v>584.1</v>
      </c>
      <c r="L17" s="6" t="n">
        <v>1161.4</v>
      </c>
      <c r="M17" s="6" t="n">
        <v>2798.7</v>
      </c>
      <c r="N17" s="6" t="n">
        <v>2386.8</v>
      </c>
      <c r="O17" s="6" t="n">
        <v>1696.1</v>
      </c>
    </row>
    <row r="18">
      <c r="A18" s="6" t="inlineStr">
        <is>
          <t>Foreign currency translation gain - Right-of-use assets</t>
        </is>
      </c>
      <c r="B18" s="6" t="n"/>
      <c r="C18" s="6" t="n"/>
      <c r="D18" s="6" t="n"/>
      <c r="E18" s="6" t="n"/>
      <c r="F18" s="6" t="n">
        <v>-153.9</v>
      </c>
      <c r="G18" s="6" t="n"/>
      <c r="H18" s="6" t="n"/>
      <c r="I18" s="6" t="n"/>
      <c r="J18" s="6" t="n"/>
      <c r="K18" s="6" t="n"/>
      <c r="L18" s="6" t="n"/>
      <c r="M18" s="6" t="n"/>
      <c r="N18" s="6" t="n"/>
      <c r="O18" s="6" t="n"/>
    </row>
    <row r="19">
      <c r="A19" s="6" t="inlineStr">
        <is>
          <t>Foreign currency translation gain/(loss) - Lease obligation</t>
        </is>
      </c>
      <c r="B19" s="6" t="n"/>
      <c r="C19" s="6" t="n"/>
      <c r="D19" s="6" t="n">
        <v>88.90000000000001</v>
      </c>
      <c r="E19" s="6" t="n">
        <v>-257.1</v>
      </c>
      <c r="F19" s="6" t="n">
        <v>-223.3</v>
      </c>
      <c r="G19" s="6" t="n">
        <v>78.59999999999999</v>
      </c>
      <c r="H19" s="6" t="n"/>
      <c r="I19" s="6" t="n"/>
      <c r="J19" s="6" t="n"/>
      <c r="K19" s="6" t="n"/>
      <c r="L19" s="6" t="n"/>
      <c r="M19" s="6" t="n"/>
      <c r="N19" s="6" t="n"/>
      <c r="O19" s="6" t="n"/>
    </row>
    <row r="20">
      <c r="A20" s="6" t="inlineStr">
        <is>
          <t>Foreign currency translation gain - Deferred tax assets</t>
        </is>
      </c>
      <c r="B20" s="6" t="n"/>
      <c r="C20" s="6" t="n"/>
      <c r="D20" s="6" t="n"/>
      <c r="E20" s="6" t="n">
        <v>0</v>
      </c>
      <c r="F20" s="6" t="n"/>
      <c r="G20" s="6" t="n"/>
      <c r="H20" s="6" t="n"/>
      <c r="I20" s="6" t="n"/>
      <c r="J20" s="6" t="n"/>
      <c r="K20" s="6" t="n"/>
      <c r="L20" s="6" t="n"/>
      <c r="M20" s="6" t="n"/>
      <c r="N20" s="6" t="n"/>
      <c r="O20" s="6" t="n"/>
    </row>
    <row r="21">
      <c r="A21" s="6" t="inlineStr">
        <is>
          <t>Foreign currency translation (gain)/loss - Corporation tax liability</t>
        </is>
      </c>
      <c r="B21" s="6" t="n"/>
      <c r="C21" s="6" t="n"/>
      <c r="D21" s="6" t="n">
        <v>-99.2</v>
      </c>
      <c r="E21" s="6" t="n">
        <v>-35.4</v>
      </c>
      <c r="F21" s="6" t="n">
        <v>-2</v>
      </c>
      <c r="G21" s="6" t="n">
        <v>200.3</v>
      </c>
      <c r="H21" s="6" t="n"/>
      <c r="I21" s="6" t="n"/>
      <c r="J21" s="6" t="n"/>
      <c r="K21" s="6" t="n"/>
      <c r="L21" s="6" t="n"/>
      <c r="M21" s="6" t="n"/>
      <c r="N21" s="6" t="n"/>
      <c r="O21" s="6" t="n"/>
    </row>
    <row r="22">
      <c r="A22" s="6" t="inlineStr">
        <is>
          <t>Deferred tax asset write-off (legacy)</t>
        </is>
      </c>
      <c r="B22" s="6" t="n"/>
      <c r="C22" s="6" t="n"/>
      <c r="D22" s="6" t="n">
        <v>1</v>
      </c>
      <c r="E22" s="6" t="n"/>
      <c r="F22" s="6" t="n"/>
      <c r="G22" s="6" t="n"/>
      <c r="H22" s="6" t="n"/>
      <c r="I22" s="6" t="n"/>
      <c r="J22" s="6" t="n"/>
      <c r="K22" s="6" t="n"/>
      <c r="L22" s="6" t="n"/>
      <c r="M22" s="6" t="n"/>
      <c r="N22" s="6" t="n"/>
      <c r="O22" s="6" t="n"/>
    </row>
    <row r="23">
      <c r="A23" s="6" t="inlineStr">
        <is>
          <t>Impairment on equity investments</t>
        </is>
      </c>
      <c r="B23" s="6" t="n"/>
      <c r="C23" s="6" t="n"/>
      <c r="D23" s="6" t="n"/>
      <c r="E23" s="6" t="n"/>
      <c r="F23" s="6" t="n">
        <v>48.5</v>
      </c>
      <c r="G23" s="6" t="n">
        <v>557.5</v>
      </c>
      <c r="H23" s="6" t="n"/>
      <c r="I23" s="6" t="n"/>
      <c r="J23" s="6" t="n"/>
      <c r="K23" s="6" t="n"/>
      <c r="L23" s="6" t="n"/>
      <c r="M23" s="6" t="n"/>
      <c r="N23" s="6" t="n"/>
      <c r="O23" s="6" t="n"/>
    </row>
    <row r="24">
      <c r="A24" s="6" t="inlineStr">
        <is>
          <t>Interest income</t>
        </is>
      </c>
      <c r="B24" s="6" t="n">
        <v>-115860.7</v>
      </c>
      <c r="C24" s="6" t="n">
        <v>-117726.2</v>
      </c>
      <c r="D24" s="6" t="n">
        <v>-118993.4</v>
      </c>
      <c r="E24" s="6" t="n">
        <v>-63895.8</v>
      </c>
      <c r="F24" s="6" t="n"/>
      <c r="G24" s="6" t="n"/>
      <c r="H24" s="6" t="n"/>
      <c r="I24" s="6" t="n"/>
      <c r="J24" s="6" t="n"/>
      <c r="K24" s="6" t="n"/>
      <c r="L24" s="6" t="n"/>
      <c r="M24" s="6" t="n"/>
      <c r="N24" s="6" t="n"/>
      <c r="O24" s="6" t="n"/>
    </row>
    <row r="25">
      <c r="A25" s="6" t="inlineStr">
        <is>
          <t>Interest expense</t>
        </is>
      </c>
      <c r="B25" s="6" t="n">
        <v>51254.3</v>
      </c>
      <c r="C25" s="6" t="n">
        <v>54600</v>
      </c>
      <c r="D25" s="6" t="n">
        <v>41618.2</v>
      </c>
      <c r="E25" s="6" t="n">
        <v>12130.6</v>
      </c>
      <c r="F25" s="6" t="n"/>
      <c r="G25" s="6" t="n"/>
      <c r="H25" s="6" t="n"/>
      <c r="I25" s="6" t="n"/>
      <c r="J25" s="6" t="n"/>
      <c r="K25" s="6" t="n"/>
      <c r="L25" s="6" t="n"/>
      <c r="M25" s="6" t="n"/>
      <c r="N25" s="6" t="n"/>
      <c r="O25" s="6" t="n"/>
    </row>
    <row r="26">
      <c r="A26" s="6" t="inlineStr">
        <is>
          <t>Fair value movement on securities measured at FVTPL</t>
        </is>
      </c>
      <c r="B26" s="6" t="n">
        <v>-12.9</v>
      </c>
      <c r="C26" s="6" t="n">
        <v>54.1</v>
      </c>
      <c r="D26" s="6" t="n"/>
      <c r="E26" s="6" t="n"/>
      <c r="F26" s="6" t="n"/>
      <c r="G26" s="6" t="n"/>
      <c r="H26" s="6" t="n"/>
      <c r="I26" s="6" t="n"/>
      <c r="J26" s="6" t="n"/>
      <c r="K26" s="6" t="n"/>
      <c r="L26" s="6" t="n"/>
      <c r="M26" s="6" t="n"/>
      <c r="N26" s="6" t="n"/>
      <c r="O26" s="6" t="n"/>
    </row>
    <row r="27">
      <c r="A27" s="6" t="inlineStr">
        <is>
          <t>Fair value movement on derivative contracts</t>
        </is>
      </c>
      <c r="B27" s="6" t="n">
        <v>-2623.7</v>
      </c>
      <c r="C27" s="6" t="n">
        <v>2705.2</v>
      </c>
      <c r="D27" s="6" t="n"/>
      <c r="E27" s="6" t="n"/>
      <c r="F27" s="6" t="n"/>
      <c r="G27" s="6" t="n"/>
      <c r="H27" s="6" t="n"/>
      <c r="I27" s="6" t="n"/>
      <c r="J27" s="6" t="n"/>
      <c r="K27" s="6" t="n"/>
      <c r="L27" s="6" t="n"/>
      <c r="M27" s="6" t="n"/>
      <c r="N27" s="6" t="n"/>
      <c r="O27" s="6" t="n"/>
    </row>
    <row r="28">
      <c r="A28" s="6" t="inlineStr">
        <is>
          <t>Unrealised foreign exchange (gains)/losses</t>
        </is>
      </c>
      <c r="B28" s="6" t="n">
        <v>2150.3</v>
      </c>
      <c r="C28" s="6" t="n">
        <v>-1929.4</v>
      </c>
      <c r="D28" s="6" t="n"/>
      <c r="E28" s="6" t="n"/>
      <c r="F28" s="6" t="n"/>
      <c r="G28" s="6" t="n"/>
      <c r="H28" s="6" t="n"/>
      <c r="I28" s="6" t="n"/>
      <c r="J28" s="6" t="n"/>
      <c r="K28" s="6" t="n"/>
      <c r="L28" s="6" t="n"/>
      <c r="M28" s="6" t="n"/>
      <c r="N28" s="6" t="n"/>
      <c r="O28" s="6" t="n"/>
    </row>
    <row r="29">
      <c r="A29" s="6" t="inlineStr">
        <is>
          <t>Loss on derecognition of assets</t>
        </is>
      </c>
      <c r="B29" s="6" t="inlineStr">
        <is>
          <t>-</t>
        </is>
      </c>
      <c r="C29" s="6" t="n">
        <v>5856.7</v>
      </c>
      <c r="D29" s="6" t="n"/>
      <c r="E29" s="6" t="n"/>
      <c r="F29" s="6" t="n"/>
      <c r="G29" s="6" t="n"/>
      <c r="H29" s="6" t="n"/>
      <c r="I29" s="6" t="n"/>
      <c r="J29" s="6" t="n"/>
      <c r="K29" s="6" t="n"/>
      <c r="L29" s="6" t="n"/>
      <c r="M29" s="6" t="n"/>
      <c r="N29" s="6" t="n"/>
      <c r="O29" s="6" t="n"/>
    </row>
    <row r="30">
      <c r="A30" s="6" t="inlineStr">
        <is>
          <t>Decrease/(Increase) in loans and advances to banks</t>
        </is>
      </c>
      <c r="B30" s="6" t="n">
        <v>-59698.3</v>
      </c>
      <c r="C30" s="6" t="n">
        <v>29135.6</v>
      </c>
      <c r="D30" s="6" t="n">
        <v>14246.2</v>
      </c>
      <c r="E30" s="6" t="n">
        <v>-13748.1</v>
      </c>
      <c r="F30" s="6" t="n">
        <v>21515.7</v>
      </c>
      <c r="G30" s="6" t="n">
        <v>65919.3</v>
      </c>
      <c r="H30" s="6" t="n">
        <v>-75357.8</v>
      </c>
      <c r="I30" s="6" t="n">
        <v>-18530.8</v>
      </c>
      <c r="J30" s="6" t="n">
        <v>49749.9</v>
      </c>
      <c r="K30" s="6" t="n">
        <v>-21610.9</v>
      </c>
      <c r="L30" s="6" t="n">
        <v>162069</v>
      </c>
      <c r="M30" s="6" t="n">
        <v>4301.4</v>
      </c>
      <c r="N30" s="6" t="n">
        <v>-193990.8</v>
      </c>
      <c r="O30" s="6" t="n">
        <v>-14659.2</v>
      </c>
    </row>
    <row r="31">
      <c r="A31" s="6" t="inlineStr">
        <is>
          <t>(Increase)/Decrease in loans and advances to customers</t>
        </is>
      </c>
      <c r="B31" s="6" t="n">
        <v>-137240.2</v>
      </c>
      <c r="C31" s="6" t="n">
        <v>-72008.7</v>
      </c>
      <c r="D31" s="6" t="n">
        <v>-30523.7</v>
      </c>
      <c r="E31" s="6" t="n">
        <v>32301.5</v>
      </c>
      <c r="F31" s="6" t="n">
        <v>-142893.6</v>
      </c>
      <c r="G31" s="6" t="n">
        <v>-74890.3</v>
      </c>
      <c r="H31" s="6" t="n">
        <v>17558.5</v>
      </c>
      <c r="I31" s="6" t="n">
        <v>27513.9</v>
      </c>
      <c r="J31" s="6" t="n">
        <v>55258.1</v>
      </c>
      <c r="K31" s="6" t="n">
        <v>111328.8</v>
      </c>
      <c r="L31" s="6" t="n">
        <v>17554</v>
      </c>
      <c r="M31" s="6" t="n">
        <v>26948.6</v>
      </c>
      <c r="N31" s="6" t="n">
        <v>-27516.3</v>
      </c>
      <c r="O31" s="6" t="n">
        <v>-72540.60000000001</v>
      </c>
    </row>
    <row r="32">
      <c r="A32" s="6" t="inlineStr">
        <is>
          <t>(Increase)/Decrease in securities measured at fair value through profit or loss</t>
        </is>
      </c>
      <c r="B32" s="6" t="n">
        <v>1543.3</v>
      </c>
      <c r="C32" s="6" t="n">
        <v>-94</v>
      </c>
      <c r="D32" s="6" t="n">
        <v>-1408.1</v>
      </c>
      <c r="E32" s="6" t="n">
        <v>5332.3</v>
      </c>
      <c r="F32" s="6" t="n">
        <v>382.3</v>
      </c>
      <c r="G32" s="6" t="n">
        <v>-1422.2</v>
      </c>
      <c r="H32" s="6" t="n">
        <v>32338.2</v>
      </c>
      <c r="I32" s="6" t="n">
        <v>352088.7</v>
      </c>
      <c r="J32" s="6" t="n">
        <v>-306393.3</v>
      </c>
      <c r="K32" s="6" t="n">
        <v>-1423.3</v>
      </c>
      <c r="L32" s="6" t="n">
        <v>31138</v>
      </c>
      <c r="M32" s="6" t="n">
        <v>-41566.2</v>
      </c>
      <c r="N32" s="6" t="n">
        <v>-3454.3</v>
      </c>
      <c r="O32" s="6" t="n">
        <v>1004.8</v>
      </c>
    </row>
    <row r="33">
      <c r="A33" s="6" t="inlineStr">
        <is>
          <t>Decrease/(Increase) in securities measured at FVOCI</t>
        </is>
      </c>
      <c r="B33" s="6" t="n">
        <v>-19768.8</v>
      </c>
      <c r="C33" s="6" t="n">
        <v>246077.5</v>
      </c>
      <c r="D33" s="6" t="n">
        <v>125305.6</v>
      </c>
      <c r="E33" s="6" t="n">
        <v>-460226</v>
      </c>
      <c r="F33" s="6" t="n">
        <v>-228212</v>
      </c>
      <c r="G33" s="6" t="n">
        <v>-257556.7</v>
      </c>
      <c r="H33" s="6" t="n">
        <v>120592.1</v>
      </c>
      <c r="I33" s="6" t="n">
        <v>-588526.7</v>
      </c>
      <c r="J33" s="6" t="n">
        <v>-5306.3</v>
      </c>
      <c r="K33" s="6" t="n"/>
      <c r="L33" s="6" t="n"/>
      <c r="M33" s="6" t="n"/>
      <c r="N33" s="6" t="n"/>
      <c r="O33" s="6" t="n"/>
    </row>
    <row r="34">
      <c r="A34" s="6" t="inlineStr">
        <is>
          <t>(Increase)/Decrease in other assets</t>
        </is>
      </c>
      <c r="B34" s="6" t="n">
        <v>-1820.2</v>
      </c>
      <c r="C34" s="6" t="n">
        <v>-3448.8</v>
      </c>
      <c r="D34" s="6" t="n">
        <v>-1017.3</v>
      </c>
      <c r="E34" s="6" t="n">
        <v>110</v>
      </c>
      <c r="F34" s="6" t="n">
        <v>-420.1</v>
      </c>
      <c r="G34" s="6" t="n">
        <v>-157.3</v>
      </c>
      <c r="H34" s="6" t="n">
        <v>255.4</v>
      </c>
      <c r="I34" s="6" t="n">
        <v>1131.6</v>
      </c>
      <c r="J34" s="6" t="n">
        <v>-1525.3</v>
      </c>
      <c r="K34" s="6" t="n">
        <v>950.4</v>
      </c>
      <c r="L34" s="6" t="n">
        <v>652.7</v>
      </c>
      <c r="M34" s="6" t="n">
        <v>102.1</v>
      </c>
      <c r="N34" s="6" t="n">
        <v>-2799.2</v>
      </c>
      <c r="O34" s="6" t="n">
        <v>183.3</v>
      </c>
    </row>
    <row r="35">
      <c r="A35" s="6" t="inlineStr">
        <is>
          <t>(Decrease)/Increase in deposits from banks</t>
        </is>
      </c>
      <c r="B35" s="6" t="n">
        <v>139695.3</v>
      </c>
      <c r="C35" s="6" t="n">
        <v>-5927.9</v>
      </c>
      <c r="D35" s="6" t="n">
        <v>-553170.2</v>
      </c>
      <c r="E35" s="6" t="n">
        <v>64102.2</v>
      </c>
      <c r="F35" s="6" t="n">
        <v>436713.3</v>
      </c>
      <c r="G35" s="6" t="n">
        <v>210757.2</v>
      </c>
      <c r="H35" s="6" t="n">
        <v>-256445.6</v>
      </c>
      <c r="I35" s="6" t="n">
        <v>67737.3</v>
      </c>
      <c r="J35" s="6" t="n">
        <v>340868.6</v>
      </c>
      <c r="K35" s="6" t="n">
        <v>38490.4</v>
      </c>
      <c r="L35" s="6" t="n">
        <v>-297829.2</v>
      </c>
      <c r="M35" s="6" t="n">
        <v>76576.8</v>
      </c>
      <c r="N35" s="6" t="n">
        <v>195130.4</v>
      </c>
      <c r="O35" s="6" t="n">
        <v>51198.9</v>
      </c>
    </row>
    <row r="36">
      <c r="A36" s="6" t="inlineStr">
        <is>
          <t>(Decrease)/Increase in deposits from customers</t>
        </is>
      </c>
      <c r="B36" s="6" t="n">
        <v>84406.8</v>
      </c>
      <c r="C36" s="6" t="n">
        <v>-82122.2</v>
      </c>
      <c r="D36" s="6" t="n">
        <v>160865.4</v>
      </c>
      <c r="E36" s="6" t="n">
        <v>100175.7</v>
      </c>
      <c r="F36" s="6" t="n">
        <v>-54463.8</v>
      </c>
      <c r="G36" s="6" t="n">
        <v>254821.7</v>
      </c>
      <c r="H36" s="6" t="n">
        <v>62801.5</v>
      </c>
      <c r="I36" s="6" t="n">
        <v>87794.39999999999</v>
      </c>
      <c r="J36" s="6" t="n">
        <v>-77046.7</v>
      </c>
      <c r="K36" s="6" t="n">
        <v>82666</v>
      </c>
      <c r="L36" s="6" t="n">
        <v>2577</v>
      </c>
      <c r="M36" s="6" t="n">
        <v>4322.3</v>
      </c>
      <c r="N36" s="6" t="n">
        <v>34997.5</v>
      </c>
      <c r="O36" s="6" t="n">
        <v>39858.1</v>
      </c>
    </row>
    <row r="37">
      <c r="A37" s="6" t="inlineStr">
        <is>
          <t>Increase/(Decrease) in repurchase agreements and other similar secured borrowing</t>
        </is>
      </c>
      <c r="B37" s="6" t="n">
        <v>-56596.5</v>
      </c>
      <c r="C37" s="6" t="n">
        <v>33642</v>
      </c>
      <c r="D37" s="6" t="n">
        <v>-24583.5</v>
      </c>
      <c r="E37" s="6" t="n">
        <v>24574.5</v>
      </c>
      <c r="F37" s="6" t="n">
        <v>33139.3</v>
      </c>
      <c r="G37" s="6" t="n"/>
      <c r="H37" s="6" t="n"/>
      <c r="I37" s="6" t="n"/>
      <c r="J37" s="6" t="n"/>
      <c r="K37" s="6" t="n"/>
      <c r="L37" s="6" t="n"/>
      <c r="M37" s="6" t="n"/>
      <c r="N37" s="6" t="n"/>
      <c r="O37" s="6" t="n"/>
    </row>
    <row r="38">
      <c r="A38" s="6" t="inlineStr">
        <is>
          <t>(Increase)/Decrease in derivative financial instruments (net)</t>
        </is>
      </c>
      <c r="B38" s="6" t="n"/>
      <c r="C38" s="6" t="n"/>
      <c r="D38" s="6" t="n">
        <v>-95.59999999999999</v>
      </c>
      <c r="E38" s="6" t="n">
        <v>-315.2</v>
      </c>
      <c r="F38" s="6" t="n">
        <v>4246.1</v>
      </c>
      <c r="G38" s="6" t="n">
        <v>-3764.2</v>
      </c>
      <c r="H38" s="6" t="n">
        <v>-3243.5</v>
      </c>
      <c r="I38" s="6" t="n"/>
      <c r="J38" s="6" t="n"/>
      <c r="K38" s="6" t="n"/>
      <c r="L38" s="6" t="n"/>
      <c r="M38" s="6" t="n"/>
      <c r="N38" s="6" t="n"/>
      <c r="O38" s="6" t="n"/>
    </row>
    <row r="39">
      <c r="A39" s="6" t="inlineStr">
        <is>
          <t>Increase/(Decrease) in other liabilities</t>
        </is>
      </c>
      <c r="B39" s="6" t="n">
        <v>4108.2</v>
      </c>
      <c r="C39" s="6" t="n">
        <v>3811.4</v>
      </c>
      <c r="D39" s="6" t="n">
        <v>-7814.9</v>
      </c>
      <c r="E39" s="6" t="n">
        <v>7924</v>
      </c>
      <c r="F39" s="6" t="n">
        <v>2062.3</v>
      </c>
      <c r="G39" s="6" t="n">
        <v>-648.2</v>
      </c>
      <c r="H39" s="6" t="n">
        <v>688.2</v>
      </c>
      <c r="I39" s="6" t="n">
        <v>1581.2</v>
      </c>
      <c r="J39" s="6" t="n">
        <v>444.8</v>
      </c>
      <c r="K39" s="6" t="n">
        <v>-660.5</v>
      </c>
      <c r="L39" s="6" t="n">
        <v>123.3</v>
      </c>
      <c r="M39" s="6" t="n">
        <v>120.7</v>
      </c>
      <c r="N39" s="6" t="n">
        <v>930.9</v>
      </c>
      <c r="O39" s="6" t="n">
        <v>274.7</v>
      </c>
    </row>
    <row r="40">
      <c r="A40" s="6" t="inlineStr">
        <is>
          <t>Interest income received</t>
        </is>
      </c>
      <c r="B40" s="6" t="n">
        <v>79116.39999999999</v>
      </c>
      <c r="C40" s="6" t="n">
        <v>81396.60000000001</v>
      </c>
      <c r="D40" s="6" t="n">
        <v>109627</v>
      </c>
      <c r="E40" s="6" t="n">
        <v>70337.7</v>
      </c>
      <c r="F40" s="6" t="n"/>
      <c r="G40" s="6" t="n"/>
      <c r="H40" s="6" t="n"/>
      <c r="I40" s="6" t="n"/>
      <c r="J40" s="6" t="n"/>
      <c r="K40" s="6" t="n"/>
      <c r="L40" s="6" t="n"/>
      <c r="M40" s="6" t="n"/>
      <c r="N40" s="6" t="n"/>
      <c r="O40" s="6" t="n"/>
    </row>
    <row r="41">
      <c r="A41" s="6" t="inlineStr">
        <is>
          <t>Interest expense paid</t>
        </is>
      </c>
      <c r="B41" s="6" t="n">
        <v>-45529.2</v>
      </c>
      <c r="C41" s="6" t="n">
        <v>-41972.7</v>
      </c>
      <c r="D41" s="6" t="n">
        <v>-35626.4</v>
      </c>
      <c r="E41" s="6" t="n">
        <v>-10111.2</v>
      </c>
      <c r="F41" s="6" t="n"/>
      <c r="G41" s="6" t="n"/>
      <c r="H41" s="6" t="n"/>
      <c r="I41" s="6" t="n"/>
      <c r="J41" s="6" t="n"/>
      <c r="K41" s="6" t="n"/>
      <c r="L41" s="6" t="n"/>
      <c r="M41" s="6" t="n"/>
      <c r="N41" s="6" t="n"/>
      <c r="O41" s="6" t="n"/>
    </row>
    <row r="42">
      <c r="A42" s="6" t="inlineStr">
        <is>
          <t>Income tax paid</t>
        </is>
      </c>
      <c r="B42" s="6" t="n">
        <v>-14159.2</v>
      </c>
      <c r="C42" s="6" t="n">
        <v>-8984.1</v>
      </c>
      <c r="D42" s="6" t="n">
        <v>-15607.8</v>
      </c>
      <c r="E42" s="6" t="n">
        <v>-7451</v>
      </c>
      <c r="F42" s="6" t="n">
        <v>-1286.3</v>
      </c>
      <c r="G42" s="6" t="n">
        <v>-6547.3</v>
      </c>
      <c r="H42" s="6" t="n">
        <v>-4395.4</v>
      </c>
      <c r="I42" s="6" t="n">
        <v>-4299.3</v>
      </c>
      <c r="J42" s="6" t="n">
        <v>0</v>
      </c>
      <c r="K42" s="6" t="n">
        <v>-483.2</v>
      </c>
      <c r="L42" s="6" t="n">
        <v>-1963.6</v>
      </c>
      <c r="M42" s="6" t="n">
        <v>-2596.4</v>
      </c>
      <c r="N42" s="6" t="n">
        <v>-2194.6</v>
      </c>
      <c r="O42" s="6" t="n">
        <v>-1674.3</v>
      </c>
    </row>
    <row r="43">
      <c r="A43" s="5" t="inlineStr">
        <is>
          <t>Net cash generated from/(used in) operating activities</t>
        </is>
      </c>
      <c r="B43" s="5" t="n">
        <v>-42275.5</v>
      </c>
      <c r="C43" s="5" t="n">
        <v>162230.1</v>
      </c>
      <c r="D43" s="5" t="n">
        <v>-276726.4</v>
      </c>
      <c r="E43" s="5" t="n">
        <v>-197184.8</v>
      </c>
      <c r="F43" s="5" t="n">
        <v>84381.3</v>
      </c>
      <c r="G43" s="5" t="n">
        <v>207192.8</v>
      </c>
      <c r="H43" s="5" t="n">
        <v>-76511.5</v>
      </c>
      <c r="I43" s="5" t="n">
        <v>-51112.4</v>
      </c>
      <c r="J43" s="5" t="n">
        <v>74286.2</v>
      </c>
      <c r="K43" s="5" t="n">
        <v>225723.4</v>
      </c>
      <c r="L43" s="5" t="n">
        <v>-74876.39999999999</v>
      </c>
      <c r="M43" s="5" t="n">
        <v>80335.5</v>
      </c>
      <c r="N43" s="5" t="n">
        <v>11924.7</v>
      </c>
      <c r="O43" s="5" t="n">
        <v>11157.9</v>
      </c>
    </row>
    <row r="44">
      <c r="A44" s="5" t="inlineStr">
        <is>
          <t>Investing activities</t>
        </is>
      </c>
      <c r="B44" s="6" t="n"/>
      <c r="C44" s="6" t="n"/>
      <c r="D44" s="6" t="n"/>
      <c r="E44" s="6" t="n"/>
      <c r="F44" s="6" t="n"/>
      <c r="G44" s="6" t="n"/>
      <c r="H44" s="6" t="n"/>
      <c r="I44" s="6" t="n"/>
      <c r="J44" s="6" t="n"/>
      <c r="K44" s="6" t="n"/>
      <c r="L44" s="6" t="n"/>
      <c r="M44" s="6" t="n"/>
      <c r="N44" s="6" t="n"/>
      <c r="O44" s="6" t="n"/>
    </row>
    <row r="45">
      <c r="A45" s="6" t="inlineStr">
        <is>
          <t>Acquisition of securities measured at amortised cost</t>
        </is>
      </c>
      <c r="B45" s="6" t="n">
        <v>-74352.89999999999</v>
      </c>
      <c r="C45" s="6" t="n">
        <v>-63438.6</v>
      </c>
      <c r="D45" s="6" t="n">
        <v>-21488.7</v>
      </c>
      <c r="E45" s="6" t="n">
        <v>-38525.3</v>
      </c>
      <c r="F45" s="6" t="n">
        <v>-31205.1</v>
      </c>
      <c r="G45" s="6" t="n">
        <v>-42925.8</v>
      </c>
      <c r="H45" s="6" t="n">
        <v>-43241.9</v>
      </c>
      <c r="I45" s="6" t="n">
        <v>-36902.9</v>
      </c>
      <c r="J45" s="6" t="n"/>
      <c r="K45" s="6" t="n"/>
      <c r="L45" s="6" t="n"/>
      <c r="M45" s="6" t="n"/>
      <c r="N45" s="6" t="n"/>
      <c r="O45" s="6" t="n"/>
    </row>
    <row r="46">
      <c r="A46" s="6" t="inlineStr">
        <is>
          <t>Proceeds from redemption of securities measured at amortised cost</t>
        </is>
      </c>
      <c r="B46" s="6" t="n">
        <v>54696.4</v>
      </c>
      <c r="C46" s="6" t="n">
        <v>54622.5</v>
      </c>
      <c r="D46" s="6" t="n">
        <v>16939.9</v>
      </c>
      <c r="E46" s="6" t="n">
        <v>22359.8</v>
      </c>
      <c r="F46" s="6" t="n">
        <v>23472.9</v>
      </c>
      <c r="G46" s="6" t="n">
        <v>4299</v>
      </c>
      <c r="H46" s="6" t="n">
        <v>13156</v>
      </c>
      <c r="I46" s="6" t="n">
        <v>49270.7</v>
      </c>
      <c r="J46" s="6" t="n"/>
      <c r="K46" s="6" t="n"/>
      <c r="L46" s="6" t="n"/>
      <c r="M46" s="6" t="n"/>
      <c r="N46" s="6" t="n"/>
      <c r="O46" s="6" t="n"/>
    </row>
    <row r="47">
      <c r="A47" s="6" t="inlineStr">
        <is>
          <t>Net change in securities measured at amortised cost (pre-FY2018 combined presentation)</t>
        </is>
      </c>
      <c r="B47" s="6" t="n"/>
      <c r="C47" s="6" t="n"/>
      <c r="D47" s="6" t="n"/>
      <c r="E47" s="6" t="n"/>
      <c r="F47" s="6" t="n"/>
      <c r="G47" s="6" t="n"/>
      <c r="H47" s="6" t="n"/>
      <c r="I47" s="6" t="n"/>
      <c r="J47" s="6" t="n">
        <v>22411.6</v>
      </c>
      <c r="K47" s="6" t="n">
        <v>32879.9</v>
      </c>
      <c r="L47" s="6" t="n">
        <v>-7354.2</v>
      </c>
      <c r="M47" s="6" t="n">
        <v>24065.6</v>
      </c>
      <c r="N47" s="6" t="n">
        <v>-17586.8</v>
      </c>
      <c r="O47" s="6" t="n">
        <v>-8861.700000000001</v>
      </c>
    </row>
    <row r="48">
      <c r="A48" s="6" t="inlineStr">
        <is>
          <t>Interest income received (investing)</t>
        </is>
      </c>
      <c r="B48" s="6" t="n">
        <v>13213.5</v>
      </c>
      <c r="C48" s="6" t="n">
        <v>10994.9</v>
      </c>
      <c r="D48" s="6" t="n">
        <v>12221.3</v>
      </c>
      <c r="E48" s="6" t="n">
        <v>14429</v>
      </c>
      <c r="F48" s="6" t="n"/>
      <c r="G48" s="6" t="n"/>
      <c r="H48" s="6" t="n"/>
      <c r="I48" s="6" t="n"/>
      <c r="J48" s="6" t="n"/>
      <c r="K48" s="6" t="n"/>
      <c r="L48" s="6" t="n"/>
      <c r="M48" s="6" t="n"/>
      <c r="N48" s="6" t="n"/>
      <c r="O48" s="6" t="n"/>
    </row>
    <row r="49">
      <c r="A49" s="6" t="inlineStr">
        <is>
          <t>Acquisition of property and equipment</t>
        </is>
      </c>
      <c r="B49" s="6" t="n">
        <v>-553.4</v>
      </c>
      <c r="C49" s="6" t="n">
        <v>-48.6</v>
      </c>
      <c r="D49" s="6" t="n">
        <v>-48.4</v>
      </c>
      <c r="E49" s="6" t="n">
        <v>-21.3</v>
      </c>
      <c r="F49" s="6" t="n">
        <v>-25</v>
      </c>
      <c r="G49" s="6" t="n">
        <v>-223</v>
      </c>
      <c r="H49" s="6" t="n">
        <v>-149.8</v>
      </c>
      <c r="I49" s="6" t="n">
        <v>-111.4</v>
      </c>
      <c r="J49" s="6" t="n">
        <v>-39.2</v>
      </c>
      <c r="K49" s="6" t="n">
        <v>-199.9</v>
      </c>
      <c r="L49" s="6" t="n">
        <v>-937</v>
      </c>
      <c r="M49" s="6" t="n">
        <v>-77.5</v>
      </c>
      <c r="N49" s="6" t="n">
        <v>-129.2</v>
      </c>
      <c r="O49" s="6" t="n">
        <v>-233.4</v>
      </c>
    </row>
    <row r="50">
      <c r="A50" s="6" t="inlineStr">
        <is>
          <t>Proceeds from sale of property and equipment</t>
        </is>
      </c>
      <c r="B50" s="6" t="n"/>
      <c r="C50" s="6" t="n"/>
      <c r="D50" s="6" t="n"/>
      <c r="E50" s="6" t="n"/>
      <c r="F50" s="6" t="n"/>
      <c r="G50" s="6" t="n"/>
      <c r="H50" s="6" t="n"/>
      <c r="I50" s="6" t="n"/>
      <c r="J50" s="6" t="n"/>
      <c r="K50" s="6" t="n">
        <v>0</v>
      </c>
      <c r="L50" s="6" t="n">
        <v>34.3</v>
      </c>
      <c r="M50" s="6" t="n">
        <v>0</v>
      </c>
      <c r="N50" s="6" t="n">
        <v>18.5</v>
      </c>
      <c r="O50" s="6" t="n"/>
    </row>
    <row r="51">
      <c r="A51" s="6" t="inlineStr">
        <is>
          <t>Additions to Right-of-use assets</t>
        </is>
      </c>
      <c r="B51" s="6" t="n"/>
      <c r="C51" s="6" t="n"/>
      <c r="D51" s="6" t="n"/>
      <c r="E51" s="6" t="n"/>
      <c r="F51" s="6" t="n">
        <v>-33.9</v>
      </c>
      <c r="G51" s="6" t="n">
        <v>-416.1</v>
      </c>
      <c r="H51" s="6" t="n"/>
      <c r="I51" s="6" t="n"/>
      <c r="J51" s="6" t="n"/>
      <c r="K51" s="6" t="n"/>
      <c r="L51" s="6" t="n"/>
      <c r="M51" s="6" t="n"/>
      <c r="N51" s="6" t="n"/>
      <c r="O51" s="6" t="n"/>
    </row>
    <row r="52">
      <c r="A52" s="6" t="inlineStr">
        <is>
          <t>Acquisition of intangible assets</t>
        </is>
      </c>
      <c r="B52" s="6" t="n">
        <v>-1216.6</v>
      </c>
      <c r="C52" s="6" t="n">
        <v>-1700.5</v>
      </c>
      <c r="D52" s="6" t="n">
        <v>-264</v>
      </c>
      <c r="E52" s="6" t="n">
        <v>-397.7</v>
      </c>
      <c r="F52" s="6" t="n">
        <v>-227.3</v>
      </c>
      <c r="G52" s="6" t="n">
        <v>-299.7</v>
      </c>
      <c r="H52" s="6" t="n">
        <v>-857</v>
      </c>
      <c r="I52" s="6" t="n">
        <v>-1004.8</v>
      </c>
      <c r="J52" s="6" t="n">
        <v>-652.2</v>
      </c>
      <c r="K52" s="6" t="n">
        <v>-222.6</v>
      </c>
      <c r="L52" s="6" t="n">
        <v>-312.9</v>
      </c>
      <c r="M52" s="6" t="n">
        <v>-537.4</v>
      </c>
      <c r="N52" s="6" t="n">
        <v>-296.6</v>
      </c>
      <c r="O52" s="6" t="n">
        <v>-320.2</v>
      </c>
    </row>
    <row r="53">
      <c r="A53" s="5" t="inlineStr">
        <is>
          <t>Net cash generated from/(used in) investing activities</t>
        </is>
      </c>
      <c r="B53" s="5" t="n">
        <v>-8213.1</v>
      </c>
      <c r="C53" s="5" t="n">
        <v>429.6</v>
      </c>
      <c r="D53" s="5" t="n">
        <v>7360.1</v>
      </c>
      <c r="E53" s="5" t="n">
        <v>-2155.5</v>
      </c>
      <c r="F53" s="5" t="n">
        <v>-8018.4</v>
      </c>
      <c r="G53" s="5" t="n">
        <v>-39565.5</v>
      </c>
      <c r="H53" s="5" t="n">
        <v>-31092.8</v>
      </c>
      <c r="I53" s="5" t="n">
        <v>11251.6</v>
      </c>
      <c r="J53" s="5" t="n">
        <v>21720.2</v>
      </c>
      <c r="K53" s="5" t="n">
        <v>32457.4</v>
      </c>
      <c r="L53" s="5" t="n">
        <v>-8569.799999999999</v>
      </c>
      <c r="M53" s="5" t="n">
        <v>23450.8</v>
      </c>
      <c r="N53" s="5" t="n">
        <v>-17994.2</v>
      </c>
      <c r="O53" s="5" t="n">
        <v>-9415.299999999999</v>
      </c>
    </row>
    <row r="54">
      <c r="A54" s="5" t="inlineStr">
        <is>
          <t>Financing activities</t>
        </is>
      </c>
      <c r="B54" s="6" t="n"/>
      <c r="C54" s="6" t="n"/>
      <c r="D54" s="6" t="n"/>
      <c r="E54" s="6" t="n"/>
      <c r="F54" s="6" t="n"/>
      <c r="G54" s="6" t="n"/>
      <c r="H54" s="6" t="n"/>
      <c r="I54" s="6" t="n"/>
      <c r="J54" s="6" t="n"/>
      <c r="K54" s="6" t="n"/>
      <c r="L54" s="6" t="n"/>
      <c r="M54" s="6" t="n"/>
      <c r="N54" s="6" t="n"/>
      <c r="O54" s="6" t="n"/>
    </row>
    <row r="55">
      <c r="A55" s="6" t="inlineStr">
        <is>
          <t>Repayment of lease liability/obligation</t>
        </is>
      </c>
      <c r="B55" s="6" t="n">
        <v>-702.2</v>
      </c>
      <c r="C55" s="6" t="n">
        <v>-525.9</v>
      </c>
      <c r="D55" s="6" t="n">
        <v>-744.7</v>
      </c>
      <c r="E55" s="6" t="n">
        <v>-666.7</v>
      </c>
      <c r="F55" s="6" t="n">
        <v>-788.4</v>
      </c>
      <c r="G55" s="6" t="n">
        <v>-141.8</v>
      </c>
      <c r="H55" s="6" t="n">
        <v>-448.2</v>
      </c>
      <c r="I55" s="6" t="n"/>
      <c r="J55" s="6" t="n"/>
      <c r="K55" s="6" t="n"/>
      <c r="L55" s="6" t="n"/>
      <c r="M55" s="6" t="n"/>
      <c r="N55" s="6" t="n"/>
      <c r="O55" s="6" t="n"/>
    </row>
    <row r="56">
      <c r="A56" s="6" t="inlineStr">
        <is>
          <t>Interest payment on Lease liability</t>
        </is>
      </c>
      <c r="B56" s="6" t="n">
        <v>-258.4</v>
      </c>
      <c r="C56" s="6" t="n"/>
      <c r="D56" s="6" t="n"/>
      <c r="E56" s="6" t="n"/>
      <c r="F56" s="6" t="n"/>
      <c r="G56" s="6" t="n"/>
      <c r="H56" s="6" t="n"/>
      <c r="I56" s="6" t="n"/>
      <c r="J56" s="6" t="n"/>
      <c r="K56" s="6" t="n"/>
      <c r="L56" s="6" t="n"/>
      <c r="M56" s="6" t="n"/>
      <c r="N56" s="6" t="n"/>
      <c r="O56" s="6" t="n"/>
    </row>
    <row r="57">
      <c r="A57" s="6" t="inlineStr">
        <is>
          <t>Addition of new lease obligation</t>
        </is>
      </c>
      <c r="B57" s="6" t="n"/>
      <c r="C57" s="6" t="n"/>
      <c r="D57" s="6" t="n"/>
      <c r="E57" s="6" t="n"/>
      <c r="F57" s="6" t="n">
        <v>33.9</v>
      </c>
      <c r="G57" s="6" t="n">
        <v>416.1</v>
      </c>
      <c r="H57" s="6" t="n"/>
      <c r="I57" s="6" t="n"/>
      <c r="J57" s="6" t="n"/>
      <c r="K57" s="6" t="n"/>
      <c r="L57" s="6" t="n"/>
      <c r="M57" s="6" t="n"/>
      <c r="N57" s="6" t="n"/>
      <c r="O57" s="6" t="n"/>
    </row>
    <row r="58">
      <c r="A58" s="6" t="inlineStr">
        <is>
          <t>Interest payment on lease obligation (transition to IFRS 16)</t>
        </is>
      </c>
      <c r="B58" s="6" t="n"/>
      <c r="C58" s="6" t="n"/>
      <c r="D58" s="6" t="n"/>
      <c r="E58" s="6" t="n"/>
      <c r="F58" s="6" t="n"/>
      <c r="G58" s="6" t="n">
        <v>0</v>
      </c>
      <c r="H58" s="6" t="n">
        <v>-26.3</v>
      </c>
      <c r="I58" s="6" t="n"/>
      <c r="J58" s="6" t="n"/>
      <c r="K58" s="6" t="n"/>
      <c r="L58" s="6" t="n"/>
      <c r="M58" s="6" t="n"/>
      <c r="N58" s="6" t="n"/>
      <c r="O58" s="6" t="n"/>
    </row>
    <row r="59">
      <c r="A59" s="6" t="inlineStr">
        <is>
          <t>Proceeds from issue of share capital</t>
        </is>
      </c>
      <c r="B59" s="6" t="n"/>
      <c r="C59" s="6" t="n"/>
      <c r="D59" s="6" t="n"/>
      <c r="E59" s="6" t="n"/>
      <c r="F59" s="6" t="n"/>
      <c r="G59" s="6" t="n"/>
      <c r="H59" s="6" t="n"/>
      <c r="I59" s="6" t="n"/>
      <c r="J59" s="6" t="n"/>
      <c r="K59" s="6" t="n"/>
      <c r="L59" s="6" t="n"/>
      <c r="M59" s="6" t="n">
        <v>30367.4</v>
      </c>
      <c r="N59" s="6" t="n">
        <v>0</v>
      </c>
      <c r="O59" s="6" t="n">
        <v>18458.1</v>
      </c>
    </row>
    <row r="60">
      <c r="A60" s="6" t="inlineStr">
        <is>
          <t>Dividends paid to shareholders</t>
        </is>
      </c>
      <c r="B60" s="6" t="n"/>
      <c r="C60" s="6" t="n"/>
      <c r="D60" s="6" t="n">
        <v>-14149</v>
      </c>
      <c r="E60" s="6" t="n">
        <v>-4610.9</v>
      </c>
      <c r="F60" s="6" t="n">
        <v>-6512.3</v>
      </c>
      <c r="G60" s="6" t="n"/>
      <c r="H60" s="6" t="n"/>
      <c r="I60" s="6" t="n"/>
      <c r="J60" s="6" t="n"/>
      <c r="K60" s="6" t="n"/>
      <c r="L60" s="6" t="n"/>
      <c r="M60" s="6" t="n"/>
      <c r="N60" s="6" t="n"/>
      <c r="O60" s="6" t="n"/>
    </row>
    <row r="61">
      <c r="A61" s="5" t="inlineStr">
        <is>
          <t>Net cash generated from/(used in) financing activities</t>
        </is>
      </c>
      <c r="B61" s="5" t="n">
        <v>-960.6</v>
      </c>
      <c r="C61" s="5" t="n">
        <v>-525.9</v>
      </c>
      <c r="D61" s="5" t="n">
        <v>-14893.7</v>
      </c>
      <c r="E61" s="5" t="n">
        <v>-5277.6</v>
      </c>
      <c r="F61" s="5" t="n">
        <v>-7266.8</v>
      </c>
      <c r="G61" s="5" t="n">
        <v>274.2</v>
      </c>
      <c r="H61" s="5" t="n">
        <v>-474.5</v>
      </c>
      <c r="I61" s="5" t="n"/>
      <c r="J61" s="5" t="n"/>
      <c r="K61" s="5" t="n"/>
      <c r="L61" s="5" t="n"/>
      <c r="M61" s="5" t="n">
        <v>30367.4</v>
      </c>
      <c r="N61" s="5" t="n">
        <v>0</v>
      </c>
      <c r="O61" s="5" t="n">
        <v>18458.1</v>
      </c>
    </row>
    <row r="62">
      <c r="A62" s="5" t="inlineStr">
        <is>
          <t>Net (decrease)/increase of cash and cash equivalents</t>
        </is>
      </c>
      <c r="B62" s="5" t="n">
        <v>-51449.2</v>
      </c>
      <c r="C62" s="5" t="n">
        <v>162133.8</v>
      </c>
      <c r="D62" s="5" t="n">
        <v>-284260.1</v>
      </c>
      <c r="E62" s="5" t="n">
        <v>-204617.9</v>
      </c>
      <c r="F62" s="5" t="n">
        <v>69096.10000000001</v>
      </c>
      <c r="G62" s="5" t="n">
        <v>167901.6</v>
      </c>
      <c r="H62" s="5" t="n">
        <v>-108078.8</v>
      </c>
      <c r="I62" s="5" t="n">
        <v>-39860.8</v>
      </c>
      <c r="J62" s="5" t="n">
        <v>96006.3</v>
      </c>
      <c r="K62" s="5" t="n">
        <v>258180.8</v>
      </c>
      <c r="L62" s="5" t="n">
        <v>-83446.2</v>
      </c>
      <c r="M62" s="5" t="n">
        <v>134153.7</v>
      </c>
      <c r="N62" s="5" t="n">
        <v>-6069.5</v>
      </c>
      <c r="O62" s="5" t="n">
        <v>20200.7</v>
      </c>
    </row>
    <row r="63">
      <c r="A63" s="6" t="inlineStr">
        <is>
          <t>Cash and cash equivalents as at 1 January</t>
        </is>
      </c>
      <c r="B63" s="6" t="n">
        <v>383726.2</v>
      </c>
      <c r="C63" s="6" t="n">
        <v>216831.3</v>
      </c>
      <c r="D63" s="6" t="n">
        <v>520509.8</v>
      </c>
      <c r="E63" s="6" t="n">
        <v>652769.3</v>
      </c>
      <c r="F63" s="6" t="n">
        <v>576523.2</v>
      </c>
      <c r="G63" s="6" t="n">
        <v>433198</v>
      </c>
      <c r="H63" s="6" t="n">
        <v>556093</v>
      </c>
      <c r="I63" s="6" t="n">
        <v>564977.9</v>
      </c>
      <c r="J63" s="6" t="n">
        <v>519912.3</v>
      </c>
      <c r="K63" s="6" t="n">
        <v>196648.9</v>
      </c>
      <c r="L63" s="6" t="n">
        <v>268406</v>
      </c>
      <c r="M63" s="6" t="n">
        <v>119816.1</v>
      </c>
      <c r="N63" s="6" t="n">
        <v>125827.6</v>
      </c>
      <c r="O63" s="6" t="n">
        <v>105626.9</v>
      </c>
    </row>
    <row r="64">
      <c r="A64" s="6" t="inlineStr">
        <is>
          <t>Effect of exchange rate changes on cash and cash equivalents (as reported, USD)</t>
        </is>
      </c>
      <c r="B64" s="6" t="n">
        <v>11918.5</v>
      </c>
      <c r="C64" s="6" t="n">
        <v>-2406.2</v>
      </c>
      <c r="D64" s="6" t="n"/>
      <c r="E64" s="6" t="n"/>
      <c r="F64" s="6" t="n"/>
      <c r="G64" s="6" t="n"/>
      <c r="H64" s="6" t="n"/>
      <c r="I64" s="6" t="n"/>
      <c r="J64" s="6" t="n"/>
      <c r="K64" s="6" t="n"/>
      <c r="L64" s="6" t="n"/>
      <c r="M64" s="6" t="n"/>
      <c r="N64" s="6" t="n"/>
      <c r="O64" s="6" t="n"/>
    </row>
    <row r="65">
      <c r="A65" s="6" t="inlineStr">
        <is>
          <t>Effect of GBP/USD translation (£ conversion artefact - see FX note)</t>
        </is>
      </c>
      <c r="B65" s="6" t="n">
        <v>-25872.6</v>
      </c>
      <c r="C65" s="6" t="n">
        <v>7167.3</v>
      </c>
      <c r="D65" s="6" t="n">
        <v>-19418.4</v>
      </c>
      <c r="E65" s="6" t="n">
        <v>72358.39999999999</v>
      </c>
      <c r="F65" s="6" t="n">
        <v>7150</v>
      </c>
      <c r="G65" s="6" t="n">
        <v>-24576.4</v>
      </c>
      <c r="H65" s="6" t="n">
        <v>-14816.2</v>
      </c>
      <c r="I65" s="6" t="n">
        <v>30975.9</v>
      </c>
      <c r="J65" s="6" t="n">
        <v>-50940.7</v>
      </c>
      <c r="K65" s="6" t="n">
        <v>65082.6</v>
      </c>
      <c r="L65" s="6" t="n">
        <v>11689.1</v>
      </c>
      <c r="M65" s="6" t="n">
        <v>14436.2</v>
      </c>
      <c r="N65" s="6" t="n">
        <v>0</v>
      </c>
      <c r="O65" s="6" t="n">
        <v>0</v>
      </c>
    </row>
    <row r="66">
      <c r="A66" s="5" t="inlineStr">
        <is>
          <t>Cash and cash equivalents at 31 December</t>
        </is>
      </c>
      <c r="B66" s="5" t="n">
        <v>318322.9</v>
      </c>
      <c r="C66" s="5" t="n">
        <v>383726.2</v>
      </c>
      <c r="D66" s="5" t="n">
        <v>216831.3</v>
      </c>
      <c r="E66" s="5" t="n">
        <v>520509.8</v>
      </c>
      <c r="F66" s="5" t="n">
        <v>652769.3</v>
      </c>
      <c r="G66" s="5" t="n">
        <v>576523.2</v>
      </c>
      <c r="H66" s="5" t="n">
        <v>433198</v>
      </c>
      <c r="I66" s="5" t="n">
        <v>556093</v>
      </c>
      <c r="J66" s="5" t="n">
        <v>564977.9</v>
      </c>
      <c r="K66" s="5" t="n">
        <v>519912.3</v>
      </c>
      <c r="L66" s="5" t="n">
        <v>196648.9</v>
      </c>
      <c r="M66" s="5" t="n">
        <v>268406</v>
      </c>
      <c r="N66" s="5" t="n">
        <v>119758.1</v>
      </c>
      <c r="O66" s="5" t="n">
        <v>125827.6</v>
      </c>
    </row>
    <row r="68" ht="409" customHeight="1">
      <c r="A68" s="8" t="inlineStr">
        <is>
          <t>Sources - all figures are Zenith Bank (UK) Limited's own Statement of Cash Flows (converted from USD to £, see FX conversion note below):
FY2024: Annual Report and Financial Statements 2024, p.44-45 (Statement of Cash Flows) - https://www.zenith-bank.co.uk/media/2273/2024-annual-report-and-financial-statements.pdf
FY2023: Annual Report and Financial Statements 2023, p.36 (Statement of Cash Flows) - https://www.zenith-bank.co.uk/media/2253/2023-annual-report-and-financial-statements.pdf
FY2022: Annual Report and Financial Statements 2022, p.34 (Statement of Cash Flows) - https://www.zenith-bank.co.uk/media/2237/2022-annual-report-and-financial-statements.pdf
FY2021: Annual Report and Financial Statements 2021, p.32 (Statement of Cash Flows) - https://www.zenith-bank.co.uk/media/2205/2021-annual-report-and-financial-statements.pdf
FY2020: Annual Report 2020, p.34 (Statement of Cash Flows) - https://www.zenith-bank.co.uk/media/2199/zenith-bank-uk-limited-annual-report-2020.pdf
FY2019: Annual Report 2019, p.23 (Statement of Cash Flows) - https://www.zenith-bank.co.uk/media/2169/258558-zenith-web.pdf
FY2018: Annual Report and Financial Statements 2018, p.21 (Statement of Cash Flows) - https://www.zenith-bank.co.uk/media/2151/2018-annual-report.pdf
FY2017: Annual Report and Financial Statements 2017, p.20 (Statement of Cash Flows) - https://www.zenith-bank.co.uk/media/2142/2017-annual-report-and-financial-statements.pdf
FY2016: Annual Report and Accounts 2016, p.12 (Statement of Cash Flows) - https://www.zenith-bank.co.uk/media/1009/statutory_accounts_year_ended_31st_december_2016.pdf
FY2015: Annual Report and Financial Statements 2015, p.13 (Statement of cash flows) - https://www.zenith-bank.co.uk/media/1011/zenith_bank_-uk-_ltd_-_annual_report_and_financial_statements_2015.pdf
FY2014: Annual Report and Financial Statements 2014, p.13 (Statement of cash flows) - https://www.zenith-bank.co.uk/media/1010/zenith_bank_-uk-_ltd_-_annual_report_and_accounts_2014.pdf
FY2025: Annual Report and Financial Statements 2025, pp.42-43 printed (PDF pp.44-45), Statement of Cash Flows - https://find-and-update.company-information.service.gov.uk/company/05713749/filing-history/MzUyMjI1NjUwM2FkaXF6a2N4/document?format=pdf&amp;download=0
FY2025 WAS BLANK UNTIL 18 SEPTEMBER 2026 and the reason it filled matters for the next reader: no FY2025 Annual Report was ever published on zenith-bank.co.uk (its own 'Statutory Accounts &amp; Tax Strategy' page still lists annual reports only to 2024, though its separate Pillar 3 page carries the FY2025 edition), so checking the Bank's own site - the route every other year here uses - would have kept returning nothing. The FY2025 statutory accounts exist only as the Companies House filing cited above ('Full accounts made up to 31 December 2025', filed 18 May 2026, 122 pages). That filing is a go-tiff2pdf scan with no text layer whatsoever, so every FY2025 figure in this workbook was read VISUALLY from pages rendered at 300 dpi; OCR was used only to index which page held which statement, never to read a number.
FY2025 PRESENTATION CHANGES, each kept as the Bank printed it rather than forced onto the FY2024 shape: (a) financing activities now split the lease outflow into 'Repayment of Lease liability' (926,443) and 'Interest payment on Lease liability' (340,871), where FY2024's own report printed a single 672,177 - this workbook keeps FY2024 as its own edition printed it and gives FY2025 its own two rows; (b) 'Loss on derecognition of assets' prints a literal dash for FY2025, carried through as '-' and NOT as 0.
Note: FY2021's own report presents operating cash flow more simply than later years - net interest is not separately reversed out of profit and re-added on a cash basis (no 'Interest income'/'Interest expense' adjustment lines, no 'Interest income received'/'Interest expense paid' cash lines); FY2022 onward introduced this more granular presentation. Blank cells for FY2021 on those rows reflect this, not missing data. FY2014-FY2020's own reports present operating cash flow even more simply than FY2021 - none of them separately reverse out net interest on a cash basis at all (that level of granularity was only introduced FY2022 onward); blank cells for FY2014-FY2020 on those specific reconciliation rows reflect this, not missing data. FY2014-FY2017 (pre-IFRS 9) show a single 'Impairment provision charge' line rather than the IFRS 9-era split used from FY2018; FY2014 shows none at all (the Bank recognised zero impairment charge that year, per its own report). FY2019-FY2020 add 'Interest expense (transition to IFRS 16)'/lease-related lines not present in earlier years, reflecting the Bank's genuine IFRS 16 adoption (1 January 2019) - blank, not zero, for years before that transition.
Activity-total rows may be off by up to £0.2k from summing the visible line items above them, since each £ line is independently rounded to 1 decimal place before summing; the full statement ties exactly end-to-end via the net change, opening balance, exchange-rate-effect and translation-effect lines (verified to the penny in £'000 terms for every populated year).
FY2013: Financial Statements for the year ended 31 December 2013, p.12 (Consolidated statement of cash flows) - https://find-and-update.company-information.service.gov.uk/company/05713749/filing-history/MzEwNDk3MzAyNmFkaXF6a2N4/document?format=pdf&amp;download=0
FY2012: Financial Statements as at 31 December 2012, p.11 (Statement of cash flows, FY2013's own FY2012 comparative column) - https://find-and-update.company-information.service.gov.uk/company/05713749/filing-history/MzEwNDk3MzAyNmFkaXF6a2N4/document?format=pdf&amp;download=0 (cross-checked against FY2012's own Annual Report, same document as the FY2012 sources row above)
FY2009-FY2011 cash flow is blank: these years' own Annual Reports contain no Statement of Cash Flows at all (see HD-073 extension note below) - a genuine, disclosed absence.
ENTITY NOTE: Zenith Bank (UK) Limited (FRN 451720) is a UK subsidiary of Zenith Bank Plc (Nigeria). Unlike several other foreign-subsidiary banks in this workbook series (ICICI Bank UK, Philippine National Bank Europe, Citibank UK, State Bank of India UK), it prepares full financial statements under UK-adopted International Accounting Standards (not FRS 101/102 reduced disclosure), including a genuine Statement of Cash Flows every year - no cash-flow exemption applies. The Bank's own capital structure is CET1-only (no AT1 or Tier 2 instruments), so CET1 capital = Tier 1 capital = Total capital in every year shown.</t>
        </is>
      </c>
    </row>
    <row r="70" ht="409" customHeight="1">
      <c r="A70" s="8" t="inlineStr">
        <is>
          <t>(continued)
FX CONVERSION NOTE: Zenith Bank (UK) Limited reports in US Dollars. This workbook converts every $ amount to £ for consistency with the rest of this series, following the same methodology established for SMBC Bank International plc: point-in-time/balance figures (capital, RWA, leverage exposure, HQLA, cash balances) use the Bank of England GBP/USD SPOT rate as at that fiscal year-end (31 December); flow figures (every cash flow statement line item) use the AVERAGE of Bank of England rates over that calendar year. FY2020-FY2025 rates are via poundsterlinglive.com's published Bank of England archive; FY2014-FY2019 rates (added under HD-048) were pulled directly from the Bank of England's own Interactive Statistical Database (series XUDLGBD, spot exchange rate US dollar into Sterling), inverted and rounded to 4dp - the same underlying BoE series poundsterlinglive republishes. Rates used (£1 = $X): 31 Dec 2013 spot 1.6529 (FY2014 opening cash only); FY2014 spot 1.5608 / average 1.6465; FY2015 spot 1.4819 / average 1.5281; FY2016 spot 1.2303 / average 1.3488; FY2017 spot 1.3510 / average 1.2878; FY2018 spot 1.2770 / average 1.3335; FY2019 spot 1.3210 / average 1.2757; FY2020 spot 1.3661 / average 1.2825 (FY2020 spot pre-dates HD-048 and is kept unchanged from the original build for continuity - a fresh BoE query for the same date gives 1.3648, a ~0.1% difference attributable to archive rounding, immaterial at 1dp in £'000 terms); FY2021 spot 1.3521 / average 1.3752; FY2022 spot 1.2097 / average 1.2362; FY2023 spot 1.2732 / average 1.2439; FY2024 spot 1.2515 / average 1.2782; FY2025 spot 1.3448 / average 1.3193. All % ratios (CET1/Tier 1/Total Capital/Leverage/LCR/NSFR ratios) are shown EXACTLY as reported in USD and were NOT converted - a ratio is dimensionless and currency-invariant. Because stocks and flows are converted at different rates, the cash flow statement includes an explicit 'Effect of GBP/USD translation' reconciling line so opening + all flows + this line = closing exactly in £ terms - this line is purely an artefact of £ translation and has no bearing on the Bank's underlying USD results. This conversion was not explicitly requested for this bank (unlike SMBC) - applied for consistency with the rest of the series; flag if £'000 rather than the Bank's native US$'000 presentation is not what's wanted here.
RESTATEMENT NOTE: FY2023's own Annual Report cash flow figures (used for FY2023's column here) differ slightly from the 'restated' FY2023 comparative shown in the FY2024 Annual Report (e.g. operating activities $(344,220,013) as originally reported vs $(346,336,139) restated) - both report the same $276,069,567 closing balance, so the restatement is a reclassification between line items, not a change to overall cash movement. FY2023's own as-originally-reported figures are used throughout, consistent with this project's convention of preferring each year's own report over a later restated comparative.
HD-048 EXTENSION NOTE (2026-09-06): this workbook was extended from its original FY2021-FY2025 window back to FY2014 under wayfinder ticket HD-048, capped at FY2014 by explicit project-wide user decision even though Zenith Bank (UK) Limited's own disclosure archive genuinely extends to FY2009 (Pillar 3 pre-CRD IV/Basel III isn't considered comparable to later years, and this project caps historical depth at FY2014 across all extended banks). FY2014-FY2020 Annual Report and Financial Statements were re-sourced directly from the Bank's own live website (zenith-bank.co.uk/why-us/statutory-accounts-tax-strategy/), each verified by opening the actual PDF and checking its cover/contents page states the claimed year - this caught the site's own '2015' link actually serving a byte-identical copy of the FY2018 report (same file, two URLs); the genuine FY2015 Annual Report was recovered from Internet Archive Wayback Machine crawl data instead (media/1011). FY2014-FY2015 Pillar 3 disclosures were similarly recovered from Wayback Machine captures of the Bank's pre-2018 site (see Pillar 3 sources note). No Pillar 3 disclosure document for FY2016-FY2020 could be found on the live site or in the Wayback Machine despite a thorough search (CDX API queries against every plausible URL pattern, including two specific leads from an earlier interrupted session that both proved to be unarchived 404s on further verification) - the Bank's Pillar 3 page itself was archived several times across those years and confirms the underlying PDF links existed at the time, but the PDF binaries themselves were never crawled by the Wayback Machine. Annual Report-sourced sheets (Balance Sheet, P&amp;L, Statement of Changes in Equity, Cash Flow Statement, Asset Quality) are fully populated for all of FY2014-FY2020.
SUPERSEDED IN PART, 2026-09-18 - DO NOT READ THE PARAGRAPH ABOVE AS 'NO CAPITAL DATA EXISTS FOR FY2016-FY2019'. It said, in its original form, that all 11 Pillar 3 metric sheets and the RWA Breakdown sheet were 'therefore genuinely blank for FY2016-FY2020'. The word 'therefore' was the error: the absence of a Pillar 3 DOCUMENT was treated as the absence of the DATA, and nobody opened the Annual Reports looking for capital. They carry a 'Capital Management' note with a Capital Resources table every year. FY2016-FY2019 capital, and FY2017/FY2018 CET1 ratios, are now populated from that source (and FY2012/FY2013 from the same note in the Companies House filings). What remains genuinely absent for FY2016-FY2019 is RWA, the RWA breakdown, the leverage ratio and the LCR. See the ANNUAL-REPORT CAPITAL RECOVERY note on the capital sheets.
HD-073 EXTENSION NOTE (2026-09-06/07): this workbook was extended from its FY2014 floor back to FY2009 under wayfinder ticket HD-073, using the Bank's own statutory accounts recovered from Companies House (company 05713749) - the Bank's own website archive does not go back this far. CURRENCY: FY2009-FY2013 are reported by the Bank natively in GBP (its redenomination to USD, see the FX conversion note above, happened during 2013/2014) - these 5 years require NO FX conversion at all and are shown as £'000 directly (see stock2()/flow2()/opening_cash2() in this script). STATEMENT AVAILABILITY: FY2012 and FY2013 have full IFRS-style statements (Statement of Comprehensive Income, Statement of Financial Position, Statement of Changes in Equity, Statement of Cash Flows), all populated here. FY2009-FY2011 pre-date the Bank's IFRS adoption entirely - each year's own report contains only a 'Profit and loss account' and 'Balance sheet' under old UK GAAP, and each explicitly states 'There are no recognised gains or losses for the year other than as stated above. Accordingly no Statement of Total Recognised Gains and Losses has been prepared' and contains no Statement of Cash Flows at all - a genuine, disclosed absence (not a small-company cash-flow exemption assumption), so the Statement of Changes in Equity and Cash Flow Statement sheets are genuinely blank for FY2009-FY2011. PRESENTATION BRIDGE (Balance Sheet, FY2009-FY2011): these years predate the Trading/Investment securities split (a single 'Securities' line is shown here as 'Securities measured at amortised cost') and the Deposits by banks/corporates split shown from FY2012 ('Deposits by corporates' maps to 'Deposits from customers', consistent with later years' convention); 'Other assets' combines the Bank's own separate 'Other assets' and 'Prepayments' lines (no dedicated Prepayments row exists in this sheet's modern label set); 'Other liabilities' holds the Bank's own 'Accrued expenses' line. FY2009's own report does not separately disclose a 'Cash' line at all (folded into 'Loans and advances to banks', £275,505,662) - FY2010's own report later reclassifies out a £35,421 'Cash' balance for its FY2009 comparative; FY2009's own as-originally-reported combined figure is used here, per this project's convention of preferring each year's own report. PRESENTATION BRIDGE (P&amp;L, FY2009-FY2010): neither year separately discloses Personnel expenses/Depreciation and amortisation - a single 'Administrative expenses' line is shown here as 'Other expenses' (Personnel expenses/Depreciation and amortisation blank, not zero, for these two years only). RESTATEMENT NOTE: FY2011's own report (profit before tax £5,104,963, profit for the year £3,622,457) differs from the FY2012 Annual Report's own restated FY2011 IFRS comparative (profit before tax £4,973,686, profit for the year £3,491,180) - a reclassification between interest/fee/expense lines under the Bank's FY2012 IFRS conversion, not a change to the audited FY2011 result. FY2011's own report figures are used throughout, consistent with this project's convention of preferring each year's own report over a later restated comparative. Similarly, FY2009's own report labels ('Interest receivable', 'Fees &amp; commissions receivable', 'Exchange profits') differ from FY2010's own report's FY2009 comparative labels ('Interest earned', 'Fees &amp; commission earned', 'Trading profits (Net)') with a like-for-like £518,750 shift between the interest and fee/trading lines - Operating income and Profit for the year are identical either way; FY2009's own report figures are used. BRIDGE GAP (FY2013/FY2014 boundary): FY2013's own report shows closing Total equity of £74,509,003 and closing cash of £119,758,144; the Bank's own FY2014 Annual Report separately expresses its 1 January 2014 opening position in USD (used, unchanged, by the pre-existing FY2014 opening rows in this workbook) which back-converts via the 31 Dec 2013 spot rate to approximately £74,543,010 total equity and £119,819,001 opening cash - a small (~0.05%) gap attributable to the Bank's own USD-conversion/rounding at the point of redenomination, not reconciled further; both figures are shown exactly as each source discloses them.</t>
        </is>
      </c>
    </row>
  </sheetData>
  <mergeCells count="2">
    <mergeCell ref="A70:O70"/>
    <mergeCell ref="A68:O68"/>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21"/>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4"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c r="A1" s="1" t="inlineStr">
        <is>
          <t>Zenith Bank (UK) Limited — Asset Quality</t>
        </is>
      </c>
    </row>
    <row r="2">
      <c r="A2" s="2" t="inlineStr">
        <is>
          <t>£'000, converted from USD - see source note at bottom for FX methodology and rates used.</t>
        </is>
      </c>
    </row>
    <row r="3">
      <c r="A3" s="4" t="inlineStr">
        <is>
          <t>Line item</t>
        </is>
      </c>
      <c r="B3" s="4" t="inlineStr">
        <is>
          <t>FY2025 (£'000, conv. from USD)</t>
        </is>
      </c>
      <c r="C3" s="4" t="inlineStr">
        <is>
          <t>FY2024 (£'000, conv. from USD)</t>
        </is>
      </c>
      <c r="D3" s="4" t="inlineStr">
        <is>
          <t>FY2023 (£'000, conv. from USD)</t>
        </is>
      </c>
      <c r="E3" s="4" t="inlineStr">
        <is>
          <t>FY2022 (£'000, conv. from USD)</t>
        </is>
      </c>
      <c r="F3" s="4" t="inlineStr">
        <is>
          <t>FY2021 (£'000, conv. from USD)</t>
        </is>
      </c>
      <c r="G3" s="4" t="inlineStr">
        <is>
          <t>FY2020 (£'000, conv. from USD)</t>
        </is>
      </c>
      <c r="H3" s="4" t="inlineStr">
        <is>
          <t>FY2019 (£'000, conv. from USD)</t>
        </is>
      </c>
      <c r="I3" s="4" t="inlineStr">
        <is>
          <t>FY2018 (£'000, conv. from USD)</t>
        </is>
      </c>
      <c r="J3" s="4" t="inlineStr">
        <is>
          <t>FY2017 (£'000, conv. from USD)</t>
        </is>
      </c>
      <c r="K3" s="4" t="inlineStr">
        <is>
          <t>FY2016 (£'000, conv. from USD)</t>
        </is>
      </c>
      <c r="L3" s="4" t="inlineStr">
        <is>
          <t>FY2015 (£'000, conv. from USD)</t>
        </is>
      </c>
      <c r="M3" s="4" t="inlineStr">
        <is>
          <t>FY2014 (£'000, conv. from USD)</t>
        </is>
      </c>
    </row>
    <row r="4">
      <c r="A4" s="5" t="inlineStr">
        <is>
          <t>Loans and advances to customers</t>
        </is>
      </c>
      <c r="B4" s="6" t="n"/>
      <c r="C4" s="6" t="n"/>
      <c r="D4" s="6" t="n"/>
      <c r="E4" s="6" t="n"/>
      <c r="F4" s="6" t="n"/>
      <c r="G4" s="6" t="n"/>
      <c r="H4" s="6" t="n"/>
      <c r="I4" s="6" t="n"/>
      <c r="J4" s="6" t="n"/>
      <c r="K4" s="6" t="n"/>
      <c r="L4" s="6" t="n"/>
      <c r="M4" s="6" t="n"/>
    </row>
    <row r="5">
      <c r="A5" s="6" t="inlineStr">
        <is>
          <t>Gross exposure</t>
        </is>
      </c>
      <c r="B5" s="6" t="n">
        <v>484768.8</v>
      </c>
      <c r="C5" s="6" t="n">
        <v>357098.8</v>
      </c>
      <c r="D5" s="6" t="n">
        <v>282475.4</v>
      </c>
      <c r="E5" s="6" t="n">
        <v>264759.8</v>
      </c>
      <c r="F5" s="6" t="n">
        <v>265839.1</v>
      </c>
      <c r="G5" s="6" t="n">
        <v>119318.1</v>
      </c>
      <c r="H5" s="6" t="n">
        <v>51225.3</v>
      </c>
      <c r="I5" s="6" t="n">
        <v>70531</v>
      </c>
      <c r="J5" s="6" t="n">
        <v>114605</v>
      </c>
      <c r="K5" s="6" t="n">
        <v>183473.6</v>
      </c>
      <c r="L5" s="6" t="n">
        <v>253652.7</v>
      </c>
      <c r="M5" s="6" t="n">
        <v>252674.4</v>
      </c>
    </row>
    <row r="6">
      <c r="A6" s="6" t="inlineStr">
        <is>
          <t>IFRS 9 impairment allowance</t>
        </is>
      </c>
      <c r="B6" s="6" t="n">
        <v>-3536.3</v>
      </c>
      <c r="C6" s="6" t="n">
        <v>-2641.6</v>
      </c>
      <c r="D6" s="6" t="n">
        <v>-4861.8</v>
      </c>
      <c r="E6" s="6" t="n">
        <v>-4197</v>
      </c>
      <c r="F6" s="6" t="n">
        <v>-4383.2</v>
      </c>
      <c r="G6" s="6" t="n">
        <v>-1605.2</v>
      </c>
      <c r="H6" s="6" t="n">
        <v>-1803.2</v>
      </c>
      <c r="I6" s="6" t="n">
        <v>-4012.4</v>
      </c>
      <c r="J6" s="6" t="n"/>
      <c r="K6" s="6" t="n"/>
      <c r="L6" s="6" t="n"/>
      <c r="M6" s="6" t="n"/>
    </row>
    <row r="7">
      <c r="A7" s="6" t="inlineStr">
        <is>
          <t>IAS 39 impairment allowance (pre-IFRS 9)</t>
        </is>
      </c>
      <c r="B7" s="6" t="n"/>
      <c r="C7" s="6" t="n"/>
      <c r="D7" s="6" t="n"/>
      <c r="E7" s="6" t="n"/>
      <c r="F7" s="6" t="n"/>
      <c r="G7" s="6" t="n"/>
      <c r="H7" s="6" t="n"/>
      <c r="I7" s="6" t="n"/>
      <c r="J7" s="6" t="n">
        <v>-24724.1</v>
      </c>
      <c r="K7" s="6" t="n">
        <v>-21408.5</v>
      </c>
      <c r="L7" s="6" t="n">
        <v>-5626.6</v>
      </c>
      <c r="M7" s="6" t="n">
        <v>0</v>
      </c>
    </row>
    <row r="8">
      <c r="A8" s="5" t="inlineStr">
        <is>
          <t>Net loans and advances to customers</t>
        </is>
      </c>
      <c r="B8" s="5" t="n">
        <v>481232.5</v>
      </c>
      <c r="C8" s="5" t="n">
        <v>354457.3</v>
      </c>
      <c r="D8" s="5" t="n">
        <v>277613.5</v>
      </c>
      <c r="E8" s="5" t="n">
        <v>260562.8</v>
      </c>
      <c r="F8" s="5" t="n">
        <v>261455.9</v>
      </c>
      <c r="G8" s="5" t="n">
        <v>117712.9</v>
      </c>
      <c r="H8" s="5" t="n">
        <v>49422.1</v>
      </c>
      <c r="I8" s="5" t="n">
        <v>66518.5</v>
      </c>
      <c r="J8" s="5" t="n">
        <v>89880.89999999999</v>
      </c>
      <c r="K8" s="5" t="n">
        <v>162065.1</v>
      </c>
      <c r="L8" s="5" t="n">
        <v>248026.1</v>
      </c>
      <c r="M8" s="5" t="n">
        <v>252674.4</v>
      </c>
    </row>
    <row r="9">
      <c r="A9" s="6" t="inlineStr">
        <is>
          <t>Impairment as % of gross exposure</t>
        </is>
      </c>
      <c r="B9" s="6" t="inlineStr">
        <is>
          <t>0.7%</t>
        </is>
      </c>
      <c r="C9" s="6" t="inlineStr">
        <is>
          <t>0.7%</t>
        </is>
      </c>
      <c r="D9" s="6" t="inlineStr">
        <is>
          <t>1.7%</t>
        </is>
      </c>
      <c r="E9" s="6" t="inlineStr">
        <is>
          <t>1.6%</t>
        </is>
      </c>
      <c r="F9" s="6" t="inlineStr">
        <is>
          <t>1.6%</t>
        </is>
      </c>
      <c r="G9" s="6" t="inlineStr">
        <is>
          <t>1.3%</t>
        </is>
      </c>
      <c r="H9" s="6" t="inlineStr">
        <is>
          <t>3.5%</t>
        </is>
      </c>
      <c r="I9" s="6" t="inlineStr">
        <is>
          <t>5.7%</t>
        </is>
      </c>
      <c r="J9" s="6" t="inlineStr">
        <is>
          <t>21.6%</t>
        </is>
      </c>
      <c r="K9" s="6" t="inlineStr">
        <is>
          <t>11.7%</t>
        </is>
      </c>
      <c r="L9" s="6" t="inlineStr">
        <is>
          <t>2.2%</t>
        </is>
      </c>
      <c r="M9" s="6" t="inlineStr">
        <is>
          <t>0.0%</t>
        </is>
      </c>
    </row>
    <row r="10">
      <c r="A10" s="5" t="inlineStr">
        <is>
          <t>IAS 39 individual/collective allowance split (pre-IFRS 9, FY2016-FY2017 only)</t>
        </is>
      </c>
      <c r="B10" s="6" t="n"/>
      <c r="C10" s="6" t="n"/>
      <c r="D10" s="6" t="n"/>
      <c r="E10" s="6" t="n"/>
      <c r="F10" s="6" t="n"/>
      <c r="G10" s="6" t="n"/>
      <c r="H10" s="6" t="n"/>
      <c r="I10" s="6" t="n"/>
      <c r="J10" s="6" t="n"/>
      <c r="K10" s="6" t="n"/>
      <c r="L10" s="6" t="n"/>
      <c r="M10" s="6" t="n"/>
    </row>
    <row r="11">
      <c r="A11" s="6" t="inlineStr">
        <is>
          <t>Individual impairment allowance</t>
        </is>
      </c>
      <c r="B11" s="6" t="n"/>
      <c r="C11" s="6" t="n"/>
      <c r="D11" s="6" t="n"/>
      <c r="E11" s="6" t="n"/>
      <c r="F11" s="6" t="n"/>
      <c r="G11" s="6" t="n"/>
      <c r="H11" s="6" t="n"/>
      <c r="I11" s="6" t="n"/>
      <c r="J11" s="6" t="n">
        <v>-21138.3</v>
      </c>
      <c r="K11" s="6" t="n">
        <v>-20612.5</v>
      </c>
      <c r="L11" s="6" t="n"/>
      <c r="M11" s="6" t="n"/>
    </row>
    <row r="12">
      <c r="A12" s="6" t="inlineStr">
        <is>
          <t>Collective impairment allowance</t>
        </is>
      </c>
      <c r="B12" s="6" t="n"/>
      <c r="C12" s="6" t="n"/>
      <c r="D12" s="6" t="n"/>
      <c r="E12" s="6" t="n"/>
      <c r="F12" s="6" t="n"/>
      <c r="G12" s="6" t="n"/>
      <c r="H12" s="6" t="n"/>
      <c r="I12" s="6" t="n"/>
      <c r="J12" s="6" t="n">
        <v>-3585.8</v>
      </c>
      <c r="K12" s="6" t="n">
        <v>-796</v>
      </c>
      <c r="L12" s="6" t="n"/>
      <c r="M12" s="6" t="n"/>
    </row>
    <row r="13">
      <c r="A13" s="5" t="inlineStr">
        <is>
          <t>IFRS 9 ECL allowance by stage (Loans and advances to customers)</t>
        </is>
      </c>
      <c r="B13" s="6" t="n"/>
      <c r="C13" s="6" t="n"/>
      <c r="D13" s="6" t="n"/>
      <c r="E13" s="6" t="n"/>
      <c r="F13" s="6" t="n"/>
      <c r="G13" s="6" t="n"/>
      <c r="H13" s="6" t="n"/>
      <c r="I13" s="6" t="n"/>
      <c r="J13" s="6" t="n"/>
      <c r="K13" s="6" t="n"/>
      <c r="L13" s="6" t="n"/>
      <c r="M13" s="6" t="n"/>
    </row>
    <row r="14">
      <c r="A14" s="6" t="inlineStr">
        <is>
          <t>Stage 1 (12-month ECL)</t>
        </is>
      </c>
      <c r="B14" s="6" t="n">
        <v>3048.2</v>
      </c>
      <c r="C14" s="6" t="n">
        <v>2294.6</v>
      </c>
      <c r="D14" s="6" t="n">
        <v>4562.2</v>
      </c>
      <c r="E14" s="6" t="n">
        <v>3557.3</v>
      </c>
      <c r="F14" s="6" t="n">
        <v>3873.1</v>
      </c>
      <c r="G14" s="6" t="n">
        <v>1579.6</v>
      </c>
      <c r="H14" s="6" t="n">
        <v>1060.8</v>
      </c>
      <c r="I14" s="6" t="n">
        <v>67.40000000000001</v>
      </c>
      <c r="J14" s="6" t="n"/>
      <c r="K14" s="6" t="n"/>
      <c r="L14" s="6" t="n"/>
      <c r="M14" s="6" t="n"/>
    </row>
    <row r="15">
      <c r="A15" s="6" t="inlineStr">
        <is>
          <t>Stage 2 (lifetime ECL, not credit-impaired)</t>
        </is>
      </c>
      <c r="B15" s="6" t="n">
        <v>488.2</v>
      </c>
      <c r="C15" s="6" t="n">
        <v>347</v>
      </c>
      <c r="D15" s="6" t="n">
        <v>299.7</v>
      </c>
      <c r="E15" s="6" t="n">
        <v>639.7</v>
      </c>
      <c r="F15" s="6" t="n">
        <v>510.1</v>
      </c>
      <c r="G15" s="6" t="n">
        <v>25.6</v>
      </c>
      <c r="H15" s="6" t="n">
        <v>742.4</v>
      </c>
      <c r="I15" s="6" t="n">
        <v>3945</v>
      </c>
      <c r="J15" s="6" t="n"/>
      <c r="K15" s="6" t="n"/>
      <c r="L15" s="6" t="n"/>
      <c r="M15" s="6" t="n"/>
    </row>
    <row r="16">
      <c r="A16" s="6" t="inlineStr">
        <is>
          <t>Stage 3 (lifetime ECL, credit-impaired/default)</t>
        </is>
      </c>
      <c r="B16" s="6" t="n"/>
      <c r="C16" s="6" t="n">
        <v>0</v>
      </c>
      <c r="D16" s="6" t="n">
        <v>0</v>
      </c>
      <c r="E16" s="6" t="n">
        <v>0</v>
      </c>
      <c r="F16" s="6" t="n">
        <v>0</v>
      </c>
      <c r="G16" s="6" t="n">
        <v>0</v>
      </c>
      <c r="H16" s="6" t="n">
        <v>0</v>
      </c>
      <c r="I16" s="6" t="n">
        <v>0</v>
      </c>
      <c r="J16" s="6" t="n"/>
      <c r="K16" s="6" t="n"/>
      <c r="L16" s="6" t="n"/>
      <c r="M16" s="6" t="n"/>
    </row>
    <row r="17">
      <c r="A17" s="5" t="inlineStr">
        <is>
          <t>Total ECL allowance</t>
        </is>
      </c>
      <c r="B17" s="5" t="n">
        <v>3536.3</v>
      </c>
      <c r="C17" s="5" t="n">
        <v>2641.6</v>
      </c>
      <c r="D17" s="5" t="n">
        <v>4861.8</v>
      </c>
      <c r="E17" s="5" t="n">
        <v>4197</v>
      </c>
      <c r="F17" s="5" t="n">
        <v>4383.2</v>
      </c>
      <c r="G17" s="5" t="n">
        <v>1605.2</v>
      </c>
      <c r="H17" s="5" t="n">
        <v>1803.2</v>
      </c>
      <c r="I17" s="5" t="n">
        <v>4012.4</v>
      </c>
      <c r="J17" s="5" t="n"/>
      <c r="K17" s="5" t="n"/>
      <c r="L17" s="5" t="n"/>
      <c r="M17" s="5" t="n"/>
    </row>
    <row r="19" ht="409" customHeight="1">
      <c r="A19" s="8" t="inlineStr">
        <is>
          <t>Sources - Zenith Bank (UK) Limited's own credit risk / loan impairment notes (converted from USD to £, see FX conversion note below):
FY2024: Annual Report and Financial Statements 2024, p.66-68 (Credit risk note, ECL by stage) - https://www.zenith-bank.co.uk/media/2273/2024-annual-report-and-financial-statements.pdf
FY2023: Annual Report and Financial Statements 2023, p.58-60 (Credit risk note, ECL by stage) - https://www.zenith-bank.co.uk/media/2253/2023-annual-report-and-financial-statements.pdf
FY2022: Annual Report and Financial Statements 2022, p.56-58 (Credit risk note, ECL by stage) - https://www.zenith-bank.co.uk/media/2237/2022-annual-report-and-financial-statements.pdf
FY2021: Annual Report and Financial Statements 2021, p.54-56 (Credit risk note, ECL by stage) - https://www.zenith-bank.co.uk/media/2205/2021-annual-report-and-financial-statements.pdf
FY2020: Annual Report 2020, note 14 (Loans and advances to customers) and note 25 (Financial risk management, IFRS 9 ECL Staging Analysis and sectoral gross exposure/impairment table) - https://www.zenith-bank.co.uk/media/2199/zenith-bank-uk-limited-annual-report-2020.pdf
FY2019: Annual Report 2019, note 14 and note 25 (same structure as FY2020) - https://www.zenith-bank.co.uk/media/2169/258558-zenith-web.pdf
FY2018: Annual Report and Financial Statements 2018, note 14 (Loans and advances to customers) and note 25 (Financial risk management, IFRS 9 ECL Staging Analysis) - https://www.zenith-bank.co.uk/media/2151/2018-annual-report.pdf
FY2017: Annual Report and Financial Statements 2017, note 14 (Loans and advances to customers) - https://www.zenith-bank.co.uk/media/2142/2017-annual-report-and-financial-statements.pdf
FY2016: Annual Report and Accounts 2016, note 12 (Loans and advances to customers) - https://www.zenith-bank.co.uk/media/1009/statutory_accounts_year_ended_31st_december_2016.pdf
FY2015: Annual Report and Financial Statements 2015, note 12 (Loans and advances to customers) - https://www.zenith-bank.co.uk/media/1011/zenith_bank_-uk-_ltd_-_annual_report_and_financial_statements_2015.pdf
FY2014: Annual Report and Financial Statements 2014, note 12 (Loans and advances to customers) - https://www.zenith-bank.co.uk/media/1010/zenith_bank_-uk-_ltd_-_annual_report_and_accounts_2014.pdf
FY2025: Annual Report and Financial Statements 2025, note 18 'Loans and advances to customers' (p.63 printed, PDF p.65), note 20a 'Movements in Impairment' (p.64 printed, PDF p.66) and the credit-risk note's ECL-allowance reconciliation by class (p.104 printed, PDF p.106) - https://find-and-update.company-information.service.gov.uk/company/05713749/filing-history/MzUyMjI1NjUwM2FkaXF6a2N4/document?format=pdf&amp;download=0
FY2025 ADDED 2026-09-18 from the Companies House filing, read VISUALLY at 300 dpi (image-only scan). The three sources tie: gross 651,917,069 less allowance 4,755,653 = net 647,161,416, which is the balance sheet figure, and the stage split 4,099,161 + 656,492 sums to that same 4,755,653.
FY2025 STAGE 3 IS BLANK FOR A STRUCTURAL REASON, NOT A ZERO. In FY2018-FY2024 the Bank printed a 'Lifetime ECL credit-impaired' column for loans and advances to customers and filled it with an explicit nil, which is why those years show 0 here. The FY2025 edition's loans-to-customers reconciliation prints only TWO stage columns - 12-month ECL and Lifetime ECL not credit-impaired - with no Stage 3 column at all (its securities tables on the facing pages do still carry three). A column that is not printed is a different finding from a column printed as nil, so FY2025 is left blank rather than carried forward as 0.
IFRS 9 STAGING NOTE: the Bank discloses the ECL ALLOWANCE by stage for loans and advances to customers in every year shown FY2018-FY2024 (IFRS 9 was adopted 1 January 2018), but does NOT separately disclose the GROSS CARRYING AMOUNT by stage for this specific line in FY2021-FY2024 (only the allowance split) - so a gross-exposure-based NPL ratio cannot be honestly derived from what's disclosed for those years and is not shown there. FY2019 and FY2020 uniquely DO disclose a gross-exposure/impairment sectoral breakdown (shown in the 'Impairment as % of gross exposure' row for those two years, sourced from that breakdown rather than the ECL staging table). Stage 3 (credit-impaired/default) ECL allowance is exactly nil for loans and advances to customers in every IFRS 9-era year shown (FY2018-FY2024) - a genuine finding (no identified defaulted customer exposures in the disclosed period), not an omission.
HD-048 PRE-IFRS 9 NOTE (FY2014-FY2017): these four years pre-date IFRS 9 entirely and use the IAS 39 incurred-loss impairment model, which has no 'stage' concept - the IFRS 9 ECL stage rows above are genuinely blank (not zero) for FY2014-FY2017. FY2016 and FY2017 do disclose an individual/collective impairment split (a different, IAS 39-specific distinction, shown in its own section above) but not staged ECL. FY2015 discloses a single undifferentiated 'Impairment provision' with no individual/collective split at all. FY2014 discloses zero impairment provision on loans and advances to customers - an explicit disclosed nil (confirmed by the FY2015 Annual Report's own FY2014 comparative column showing '-'), not a gap. 'Gross exposure' for FY2014-FY2017 is computed as the sum of the Bank's own disclosed 'Loans to individuals' and 'Loans and advances to corporates' lines (both components of the same note); each year's own report figures are used throughout (not a later year's restated comparative) - e.g. FY2017's own report restates FY2016's corporates/individual-impairment comparatives, but FY2016's own report figures are used for the FY2016 column here, consistent with this project's convention.
FY2009-FY2013 COLUMNS (added 2026-09-15): these columns appear on this sheet because the Pillar 3 year range was extended back to FY2009 to carry the newly-recovered FY2011 Pillar 3 edition. They are EMPTY of asset-quality data on purpose. The FY2011 edition is a Basel II / BIPRU capital-adequacy disclosure and contains no impairment provision figure, no arrears or default table and no exposure-quality breakdown of any kind; no Pillar 3 edition exists at all for FY2009, FY2010, FY2012 or FY2013. Nothing was carried over from the Annual Reports for these years either, since that would mix a different source basis into rows sourced from Pillar 3 disclosures. See the Pillar 3 sources note on the metric sheets for the full archive-status breakdown.</t>
        </is>
      </c>
    </row>
    <row r="21" ht="409" customHeight="1">
      <c r="A21" s="8" t="inlineStr">
        <is>
          <t>(continued)
ENTITY NOTE: Zenith Bank (UK) Limited (FRN 451720) is a UK subsidiary of Zenith Bank Plc (Nigeria). Unlike several other foreign-subsidiary banks in this workbook series (ICICI Bank UK, Philippine National Bank Europe, Citibank UK, State Bank of India UK), it prepares full financial statements under UK-adopted International Accounting Standards (not FRS 101/102 reduced disclosure), including a genuine Statement of Cash Flows every year - no cash-flow exemption applies. The Bank's own capital structure is CET1-only (no AT1 or Tier 2 instruments), so CET1 capital = Tier 1 capital = Total capital in every year shown.
FX CONVERSION NOTE: Zenith Bank (UK) Limited reports in US Dollars. This workbook converts every $ amount to £ for consistency with the rest of this series, following the same methodology established for SMBC Bank International plc: point-in-time/balance figures (capital, RWA, leverage exposure, HQLA, cash balances) use the Bank of England GBP/USD SPOT rate as at that fiscal year-end (31 December); flow figures (every cash flow statement line item) use the AVERAGE of Bank of England rates over that calendar year. FY2020-FY2025 rates are via poundsterlinglive.com's published Bank of England archive; FY2014-FY2019 rates (added under HD-048) were pulled directly from the Bank of England's own Interactive Statistical Database (series XUDLGBD, spot exchange rate US dollar into Sterling), inverted and rounded to 4dp - the same underlying BoE series poundsterlinglive republishes. Rates used (£1 = $X): 31 Dec 2013 spot 1.6529 (FY2014 opening cash only); FY2014 spot 1.5608 / average 1.6465; FY2015 spot 1.4819 / average 1.5281; FY2016 spot 1.2303 / average 1.3488; FY2017 spot 1.3510 / average 1.2878; FY2018 spot 1.2770 / average 1.3335; FY2019 spot 1.3210 / average 1.2757; FY2020 spot 1.3661 / average 1.2825 (FY2020 spot pre-dates HD-048 and is kept unchanged from the original build for continuity - a fresh BoE query for the same date gives 1.3648, a ~0.1% difference attributable to archive rounding, immaterial at 1dp in £'000 terms); FY2021 spot 1.3521 / average 1.3752; FY2022 spot 1.2097 / average 1.2362; FY2023 spot 1.2732 / average 1.2439; FY2024 spot 1.2515 / average 1.2782; FY2025 spot 1.3448 / average 1.3193. All % ratios (CET1/Tier 1/Total Capital/Leverage/LCR/NSFR ratios) are shown EXACTLY as reported in USD and were NOT converted - a ratio is dimensionless and currency-invariant. Because stocks and flows are converted at different rates, the cash flow statement includes an explicit 'Effect of GBP/USD translation' reconciling line so opening + all flows + this line = closing exactly in £ terms - this line is purely an artefact of £ translation and has no bearing on the Bank's underlying USD results. This conversion was not explicitly requested for this bank (unlike SMBC) - applied for consistency with the rest of the series; flag if £'000 rather than the Bank's native US$'000 presentation is not what's wanted here.</t>
        </is>
      </c>
    </row>
  </sheetData>
  <mergeCells count="2">
    <mergeCell ref="A19:M19"/>
    <mergeCell ref="A21:M2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R11"/>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s>
  <sheetData>
    <row r="1">
      <c r="A1" s="1" t="inlineStr">
        <is>
          <t>Zenith Bank (UK) Limited — Profitability</t>
        </is>
      </c>
    </row>
    <row r="2">
      <c r="A2" s="2" t="inlineStr">
        <is>
          <t>Return on equity and return on assets in per cent, computed from this workbook's own Balance Sheet and Profit &amp; Loss sheets.</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c r="M3" s="4" t="inlineStr">
        <is>
          <t>FY2014</t>
        </is>
      </c>
      <c r="N3" s="4" t="inlineStr">
        <is>
          <t>FY2013</t>
        </is>
      </c>
      <c r="O3" s="4" t="inlineStr">
        <is>
          <t>FY2012</t>
        </is>
      </c>
      <c r="P3" s="4" t="inlineStr">
        <is>
          <t>FY2011</t>
        </is>
      </c>
      <c r="Q3" s="4" t="inlineStr">
        <is>
          <t>FY2010</t>
        </is>
      </c>
      <c r="R3" s="4" t="inlineStr">
        <is>
          <t>FY2009</t>
        </is>
      </c>
    </row>
    <row r="4">
      <c r="A4" s="6" t="inlineStr">
        <is>
          <t>Return on equity - average equity basis</t>
        </is>
      </c>
      <c r="B4" s="6" t="inlineStr">
        <is>
          <t>Not computed</t>
        </is>
      </c>
      <c r="C4" s="6" t="inlineStr">
        <is>
          <t>Not computed</t>
        </is>
      </c>
      <c r="D4" s="6" t="inlineStr">
        <is>
          <t>Not computed</t>
        </is>
      </c>
      <c r="E4" s="6" t="inlineStr">
        <is>
          <t>Not computed</t>
        </is>
      </c>
      <c r="F4" s="6" t="inlineStr">
        <is>
          <t>Not computed</t>
        </is>
      </c>
      <c r="G4" s="6" t="inlineStr">
        <is>
          <t>Not computed</t>
        </is>
      </c>
      <c r="H4" s="6" t="inlineStr">
        <is>
          <t>Not computed</t>
        </is>
      </c>
      <c r="I4" s="6" t="inlineStr">
        <is>
          <t>Not computed</t>
        </is>
      </c>
      <c r="J4" s="6" t="inlineStr">
        <is>
          <t>Not computed</t>
        </is>
      </c>
      <c r="K4" s="6" t="inlineStr">
        <is>
          <t>Not computed</t>
        </is>
      </c>
      <c r="L4" s="6" t="inlineStr">
        <is>
          <t>Not computed</t>
        </is>
      </c>
      <c r="M4" s="6" t="inlineStr">
        <is>
          <t>Not computed</t>
        </is>
      </c>
      <c r="N4" s="6" t="inlineStr">
        <is>
          <t>10.86%</t>
        </is>
      </c>
      <c r="O4" s="6" t="inlineStr">
        <is>
          <t>9.47%</t>
        </is>
      </c>
      <c r="P4" s="6" t="inlineStr">
        <is>
          <t>8.66%</t>
        </is>
      </c>
      <c r="Q4" s="6" t="inlineStr">
        <is>
          <t>6.76%</t>
        </is>
      </c>
      <c r="R4" s="6" t="n"/>
    </row>
    <row r="5">
      <c r="A5" s="6" t="inlineStr">
        <is>
          <t>Return on equity - year-end equity basis</t>
        </is>
      </c>
      <c r="B5" s="6" t="inlineStr">
        <is>
          <t>Not computed</t>
        </is>
      </c>
      <c r="C5" s="6" t="inlineStr">
        <is>
          <t>Not computed</t>
        </is>
      </c>
      <c r="D5" s="6" t="inlineStr">
        <is>
          <t>Not computed</t>
        </is>
      </c>
      <c r="E5" s="6" t="inlineStr">
        <is>
          <t>Not computed</t>
        </is>
      </c>
      <c r="F5" s="6" t="inlineStr">
        <is>
          <t>Not computed</t>
        </is>
      </c>
      <c r="G5" s="6" t="inlineStr">
        <is>
          <t>Not computed</t>
        </is>
      </c>
      <c r="H5" s="6" t="inlineStr">
        <is>
          <t>Not computed</t>
        </is>
      </c>
      <c r="I5" s="6" t="inlineStr">
        <is>
          <t>Not computed</t>
        </is>
      </c>
      <c r="J5" s="6" t="inlineStr">
        <is>
          <t>Not computed</t>
        </is>
      </c>
      <c r="K5" s="6" t="inlineStr">
        <is>
          <t>Not computed</t>
        </is>
      </c>
      <c r="L5" s="6" t="inlineStr">
        <is>
          <t>Not computed</t>
        </is>
      </c>
      <c r="M5" s="6" t="inlineStr">
        <is>
          <t>Not computed</t>
        </is>
      </c>
      <c r="N5" s="6" t="inlineStr">
        <is>
          <t>10.30%</t>
        </is>
      </c>
      <c r="O5" s="6" t="inlineStr">
        <is>
          <t>7.83%</t>
        </is>
      </c>
      <c r="P5" s="6" t="inlineStr">
        <is>
          <t>8.30%</t>
        </is>
      </c>
      <c r="Q5" s="6" t="inlineStr">
        <is>
          <t>6.54%</t>
        </is>
      </c>
      <c r="R5" s="6" t="inlineStr">
        <is>
          <t>6.26%</t>
        </is>
      </c>
    </row>
    <row r="6">
      <c r="A6" s="6" t="inlineStr">
        <is>
          <t>Return on assets - average assets basis</t>
        </is>
      </c>
      <c r="B6" s="6" t="inlineStr">
        <is>
          <t>Not computed</t>
        </is>
      </c>
      <c r="C6" s="6" t="inlineStr">
        <is>
          <t>Not computed</t>
        </is>
      </c>
      <c r="D6" s="6" t="inlineStr">
        <is>
          <t>Not computed</t>
        </is>
      </c>
      <c r="E6" s="6" t="inlineStr">
        <is>
          <t>Not computed</t>
        </is>
      </c>
      <c r="F6" s="6" t="inlineStr">
        <is>
          <t>Not computed</t>
        </is>
      </c>
      <c r="G6" s="6" t="inlineStr">
        <is>
          <t>Not computed</t>
        </is>
      </c>
      <c r="H6" s="6" t="inlineStr">
        <is>
          <t>Not computed</t>
        </is>
      </c>
      <c r="I6" s="6" t="inlineStr">
        <is>
          <t>Not computed</t>
        </is>
      </c>
      <c r="J6" s="6" t="inlineStr">
        <is>
          <t>Not computed</t>
        </is>
      </c>
      <c r="K6" s="6" t="inlineStr">
        <is>
          <t>Not computed</t>
        </is>
      </c>
      <c r="L6" s="6" t="inlineStr">
        <is>
          <t>Not computed</t>
        </is>
      </c>
      <c r="M6" s="6" t="inlineStr">
        <is>
          <t>Not computed</t>
        </is>
      </c>
      <c r="N6" s="6" t="inlineStr">
        <is>
          <t>1.05%</t>
        </is>
      </c>
      <c r="O6" s="6" t="inlineStr">
        <is>
          <t>0.94%</t>
        </is>
      </c>
      <c r="P6" s="6" t="inlineStr">
        <is>
          <t>0.80%</t>
        </is>
      </c>
      <c r="Q6" s="6" t="inlineStr">
        <is>
          <t>0.62%</t>
        </is>
      </c>
      <c r="R6" s="6" t="n"/>
    </row>
    <row r="7">
      <c r="A7" s="6" t="inlineStr">
        <is>
          <t>Return on assets - year-end assets basis</t>
        </is>
      </c>
      <c r="B7" s="6" t="inlineStr">
        <is>
          <t>Not computed</t>
        </is>
      </c>
      <c r="C7" s="6" t="inlineStr">
        <is>
          <t>Not computed</t>
        </is>
      </c>
      <c r="D7" s="6" t="inlineStr">
        <is>
          <t>Not computed</t>
        </is>
      </c>
      <c r="E7" s="6" t="inlineStr">
        <is>
          <t>Not computed</t>
        </is>
      </c>
      <c r="F7" s="6" t="inlineStr">
        <is>
          <t>Not computed</t>
        </is>
      </c>
      <c r="G7" s="6" t="inlineStr">
        <is>
          <t>Not computed</t>
        </is>
      </c>
      <c r="H7" s="6" t="inlineStr">
        <is>
          <t>Not computed</t>
        </is>
      </c>
      <c r="I7" s="6" t="inlineStr">
        <is>
          <t>Not computed</t>
        </is>
      </c>
      <c r="J7" s="6" t="inlineStr">
        <is>
          <t>Not computed</t>
        </is>
      </c>
      <c r="K7" s="6" t="inlineStr">
        <is>
          <t>Not computed</t>
        </is>
      </c>
      <c r="L7" s="6" t="inlineStr">
        <is>
          <t>Not computed</t>
        </is>
      </c>
      <c r="M7" s="6" t="inlineStr">
        <is>
          <t>Not computed</t>
        </is>
      </c>
      <c r="N7" s="6" t="inlineStr">
        <is>
          <t>0.90%</t>
        </is>
      </c>
      <c r="O7" s="6" t="inlineStr">
        <is>
          <t>0.86%</t>
        </is>
      </c>
      <c r="P7" s="6" t="inlineStr">
        <is>
          <t>0.73%</t>
        </is>
      </c>
      <c r="Q7" s="6" t="inlineStr">
        <is>
          <t>0.64%</t>
        </is>
      </c>
      <c r="R7" s="6" t="inlineStr">
        <is>
          <t>0.54%</t>
        </is>
      </c>
    </row>
    <row r="8">
      <c r="A8" s="6" t="inlineStr">
        <is>
          <t>Return on Equity (as published)</t>
        </is>
      </c>
      <c r="B8" s="6" t="n"/>
      <c r="C8" s="6" t="n"/>
      <c r="D8" s="6" t="n"/>
      <c r="E8" s="6" t="n"/>
      <c r="F8" s="6" t="n"/>
      <c r="G8" s="6" t="inlineStr">
        <is>
          <t>7%</t>
        </is>
      </c>
      <c r="H8" s="6" t="inlineStr">
        <is>
          <t>Not published</t>
        </is>
      </c>
      <c r="I8" s="6" t="n"/>
      <c r="J8" s="6" t="n"/>
      <c r="K8" s="6" t="n"/>
      <c r="L8" s="6" t="n"/>
      <c r="M8" s="6" t="n"/>
      <c r="N8" s="6" t="n"/>
      <c r="O8" s="6" t="n"/>
      <c r="P8" s="6" t="n"/>
      <c r="Q8" s="6" t="n"/>
      <c r="R8" s="6" t="n"/>
    </row>
    <row r="9" ht="247" customHeight="1">
      <c r="A9" s="7" t="inlineStr">
        <is>
          <t>Note: TWO KINDS OF FIGURE, NEVER MERGED. The rows above are not one series. The 'Return on equity/assets' rows are THIS PROJECT'S OWN ARITHMETIC on the figures printed on this workbook's statement sheets. The rows marked '(as published)' are the bank's own published ratios, quoted verbatim, each struck on the bank's own definition - which differs from bank to bank and usually from ours, most often in whether the numerator is before or after tax and whether the denominator is average, opening or year-end equity, tangible equity or required equity. They are not averaged, reconciled, or substituted for one another, and where they disagree both stand: the disagreement is the finding.
THE BANK'S OWN DEFINITIONS, VERBATIM. Return on Equity: “It is expressed as Profit After Tax as a percentage of the average shareholders’ equity during the reporting period.”
WHY TWO BASES ARE PRINTED FOR EACH RATIO, AND NEITHER IS PREFERRED. The average basis divides by the mean of the opening and closing balance and is the fairer measure of a year in which the balance sheet moved a long way; the year-end basis divides by the closing balance alone and is what most outside sources quote. Both are shown so the reader can see which question a figure answers. They are not averaged and neither is 'the' return. The two diverge most in FY2012, where return on equity is 9.47% on an average basis and 7.83% on a year-end basis.
FY2009 HAS NO AVERAGE-BASIS RATIO, AND THAT IS CORRECT. An average denominator needs an opening balance, and FY2009 is the oldest column this workbook carries, so there is no prior year to open from. The blank is structural, not a missing figure. The year-end basis is shown for FY2009 because it needs only the closing balance.
WHY SOME CELLS SAY 'NOT COMPUTED'. The years FY2025, FY2024, FY2023, FY2022, FY2021, FY2020, FY2019, FY2018, FY2017, FY2016, FY2015, FY2014 is marked 'Not computed' rather than given a number, and the reason is a unit problem, not a missing figure. This workbook's statement sheets print (£'000, conv. from USD): the figures were converted from the bank's reporting currency on this project's standing convention, which converts BALANCE SHEET stocks at the financial year-end SPOT rate and PROFIT AND LOSS flows at that year's AVERAGE rate - the right treatment for each statement taken on its own. A ratio struck ACROSS the two therefore divides a figure converted at one rate by a figure converted at another. Both sides are labelled in the same currency, so such a ratio looks sound and is self-consistent on every check this project runs, but it carries the whole spot-versus-average spread - on recent years a bias of roughly two per cent of the ratio, changing sign from year to year, so it distorts the trend as well as the level. The house rule is that a ratio cancels its unit only if both sides share it; where they do not, the honest output is a refusal rather than a number with a caveat attached. A reader who wants these ratios should strike them on the bank's own figures in its own reporting currency, where both sides do share a basis. (scripts/profitability_fx_basis.py records the basis verdict for every converted workbook in this corpus, and why that verdict cannot be read off the page or detected in the code.)
THE REST OF THE SERIES IS COMPUTED, AND THAT IS NOT AN INCONSISTENCY. FY2013, FY2012, FY2011, FY2010, FY2009 are shown as percentages because in those years both statements rest on a single basis, so the ratio does cancel. The split is a property of this bank's own reporting history, not of the method.
FIGURES THE BANK PUBLISHED ONLY AS A LATER EDITION'S COMPARATIVE, AND WHY THEY ARE NOT IN THE CELLS ABOVE. FY2019 Return on Equity 11%. Each year's cell carries what that year's OWN annual report printed. A comparative restated in a later edition is a different claim - it may rest on a revised definition, a restated perimeter or a corrected prior figure - so it is recorded here rather than substituted into the year it refers to.</t>
        </is>
      </c>
    </row>
    <row r="11" ht="170" customHeight="1">
      <c r="A11" s="8" t="inlineStr">
        <is>
          <t>Computed by this workbook's own build script from the Profit &amp; Loss and Balance Sheet sheets of this same workbook - the Profit &amp; Loss row “profit for the year” and the Balance Sheet rows “total equity” and “total assets”, resolved BY LABEL at build time through the shared resolver scripts/profitability_rows.py, so this sheet cannot drift from the statements it summarises. Those rows are themselves transcribed from Zenith Bank (UK) Limited's Annual Report and Accounts for each year; see the source cells on the Balance Sheet and Profit &amp; Loss sheets for the exact document, page and table behind every input to every percentage above.
The '(as published)' rows are quoted verbatim from Zenith Bank (UK) Limited's own disclosures and are recorded, with the exact document, page and verification state for each, in research/profitability/published_returns.jsonl under ‘ZENITH’.</t>
        </is>
      </c>
    </row>
  </sheetData>
  <mergeCells count="2">
    <mergeCell ref="A11:R11"/>
    <mergeCell ref="A9:R9"/>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36"/>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Zenith Bank (UK) Limited — KM1 Key Metrics</t>
        </is>
      </c>
    </row>
    <row r="2">
      <c r="A2" s="2" t="inlineStr">
        <is>
          <t>The Bank's published Key Metrics / UK KM1 table in its own row order and precision. Amounts are native US$ thousands as printed; LCR/NSFR figures are averages where the source says so.</t>
        </is>
      </c>
    </row>
    <row r="3">
      <c r="A3" s="4" t="inlineStr">
        <is>
          <t>Line item</t>
        </is>
      </c>
      <c r="B3" s="4" t="inlineStr">
        <is>
          <t>FY2025</t>
        </is>
      </c>
      <c r="C3" s="4" t="inlineStr">
        <is>
          <t>FY2024</t>
        </is>
      </c>
      <c r="D3" s="4" t="inlineStr">
        <is>
          <t>FY2023</t>
        </is>
      </c>
      <c r="E3" s="4" t="inlineStr">
        <is>
          <t>FY2022</t>
        </is>
      </c>
      <c r="F3" s="4" t="inlineStr">
        <is>
          <t>FY2021</t>
        </is>
      </c>
      <c r="G3" s="4" t="inlineStr">
        <is>
          <t>FY2020</t>
        </is>
      </c>
    </row>
    <row r="4">
      <c r="A4" s="5" t="inlineStr">
        <is>
          <t>Available own funds (US$)</t>
        </is>
      </c>
      <c r="B4" s="6" t="n"/>
      <c r="C4" s="6" t="n"/>
      <c r="D4" s="6" t="n"/>
      <c r="E4" s="6" t="n"/>
      <c r="F4" s="6" t="n"/>
      <c r="G4" s="6" t="n"/>
    </row>
    <row r="5">
      <c r="A5" s="6" t="inlineStr">
        <is>
          <t>Common Equity Tier 1 (CET1) capital (US$ k)</t>
        </is>
      </c>
      <c r="B5" s="6" t="n">
        <v>431376</v>
      </c>
      <c r="C5" s="6" t="n">
        <v>378325</v>
      </c>
      <c r="D5" s="6" t="n">
        <v>338086</v>
      </c>
      <c r="E5" s="6" t="n">
        <v>290721</v>
      </c>
      <c r="F5" s="6" t="n">
        <v>281088</v>
      </c>
      <c r="G5" s="6" t="n">
        <v>280619</v>
      </c>
    </row>
    <row r="6">
      <c r="A6" s="6" t="inlineStr">
        <is>
          <t>Tier 1 capital (US$ k)</t>
        </is>
      </c>
      <c r="B6" s="6" t="n">
        <v>431376</v>
      </c>
      <c r="C6" s="6" t="n">
        <v>378325</v>
      </c>
      <c r="D6" s="6" t="n">
        <v>338086</v>
      </c>
      <c r="E6" s="6" t="n">
        <v>290721</v>
      </c>
      <c r="F6" s="6" t="n">
        <v>281088</v>
      </c>
      <c r="G6" s="6" t="n">
        <v>280619</v>
      </c>
    </row>
    <row r="7">
      <c r="A7" s="6" t="inlineStr">
        <is>
          <t>Total capital (US$ k)</t>
        </is>
      </c>
      <c r="B7" s="6" t="n">
        <v>431376</v>
      </c>
      <c r="C7" s="6" t="n">
        <v>378325</v>
      </c>
      <c r="D7" s="6" t="n">
        <v>338086</v>
      </c>
      <c r="E7" s="6" t="n">
        <v>290721</v>
      </c>
      <c r="F7" s="6" t="n">
        <v>281088</v>
      </c>
      <c r="G7" s="6" t="n">
        <v>280619</v>
      </c>
    </row>
    <row r="8">
      <c r="A8" s="5" t="inlineStr">
        <is>
          <t>Risk-weighted exposure amount</t>
        </is>
      </c>
      <c r="B8" s="6" t="n"/>
      <c r="C8" s="6" t="n"/>
      <c r="D8" s="6" t="n"/>
      <c r="E8" s="6" t="n"/>
      <c r="F8" s="6" t="n"/>
      <c r="G8" s="6" t="n"/>
    </row>
    <row r="9">
      <c r="A9" s="6" t="inlineStr">
        <is>
          <t>Total risk-weighted exposure amount (US$ k)</t>
        </is>
      </c>
      <c r="B9" s="6" t="n">
        <v>1843312</v>
      </c>
      <c r="C9" s="6" t="n">
        <v>1475750</v>
      </c>
      <c r="D9" s="6" t="n">
        <v>1167888</v>
      </c>
      <c r="E9" s="6" t="n">
        <v>1125146</v>
      </c>
      <c r="F9" s="6" t="n">
        <v>1352803</v>
      </c>
      <c r="G9" s="6" t="n">
        <v>991779</v>
      </c>
    </row>
    <row r="10">
      <c r="A10" s="5" t="inlineStr">
        <is>
          <t>Capital ratios (as a percentage of risk-weighted exposure amount)</t>
        </is>
      </c>
      <c r="B10" s="6" t="n"/>
      <c r="C10" s="6" t="n"/>
      <c r="D10" s="6" t="n"/>
      <c r="E10" s="6" t="n"/>
      <c r="F10" s="6" t="n"/>
      <c r="G10" s="6" t="n"/>
    </row>
    <row r="11">
      <c r="A11" s="6" t="inlineStr">
        <is>
          <t>Common Equity Tier 1 ratio (%)</t>
        </is>
      </c>
      <c r="B11" s="6" t="inlineStr">
        <is>
          <t>23.40%</t>
        </is>
      </c>
      <c r="C11" s="6" t="inlineStr">
        <is>
          <t>25.64%</t>
        </is>
      </c>
      <c r="D11" s="6" t="inlineStr">
        <is>
          <t>28.95%</t>
        </is>
      </c>
      <c r="E11" s="6" t="inlineStr">
        <is>
          <t>25.84%</t>
        </is>
      </c>
      <c r="F11" s="6" t="inlineStr">
        <is>
          <t>20.78%</t>
        </is>
      </c>
      <c r="G11" s="6" t="inlineStr">
        <is>
          <t>28.29%</t>
        </is>
      </c>
    </row>
    <row r="12">
      <c r="A12" s="6" t="inlineStr">
        <is>
          <t>Tier 1 ratio (%)</t>
        </is>
      </c>
      <c r="B12" s="6" t="inlineStr">
        <is>
          <t>23.40%</t>
        </is>
      </c>
      <c r="C12" s="6" t="inlineStr">
        <is>
          <t>25.64%</t>
        </is>
      </c>
      <c r="D12" s="6" t="inlineStr">
        <is>
          <t>28.95%</t>
        </is>
      </c>
      <c r="E12" s="6" t="inlineStr">
        <is>
          <t>25.84%</t>
        </is>
      </c>
      <c r="F12" s="6" t="inlineStr">
        <is>
          <t>20.78%</t>
        </is>
      </c>
      <c r="G12" s="6" t="inlineStr">
        <is>
          <t>28.29%</t>
        </is>
      </c>
    </row>
    <row r="13">
      <c r="A13" s="6" t="inlineStr">
        <is>
          <t>Total capital ratio (%)</t>
        </is>
      </c>
      <c r="B13" s="6" t="inlineStr">
        <is>
          <t>23.40%</t>
        </is>
      </c>
      <c r="C13" s="6" t="inlineStr">
        <is>
          <t>25.64%</t>
        </is>
      </c>
      <c r="D13" s="6" t="inlineStr">
        <is>
          <t>28.95%</t>
        </is>
      </c>
      <c r="E13" s="6" t="inlineStr">
        <is>
          <t>25.84%</t>
        </is>
      </c>
      <c r="F13" s="6" t="inlineStr">
        <is>
          <t>20.78%</t>
        </is>
      </c>
      <c r="G13" s="6" t="inlineStr">
        <is>
          <t>28.29%</t>
        </is>
      </c>
    </row>
    <row r="14">
      <c r="A14" s="5" t="inlineStr">
        <is>
          <t>Additional own funds requirements based on SREP (as a percentage of risk-weighted exposure amount)</t>
        </is>
      </c>
      <c r="B14" s="6" t="n"/>
      <c r="C14" s="6" t="n"/>
      <c r="D14" s="6" t="n"/>
      <c r="E14" s="6" t="n"/>
      <c r="F14" s="6" t="n"/>
      <c r="G14" s="6" t="n"/>
    </row>
    <row r="15">
      <c r="A15" s="6" t="inlineStr">
        <is>
          <t>Total SREP own funds requirements (%)</t>
        </is>
      </c>
      <c r="B15" s="6" t="inlineStr">
        <is>
          <t>14.04%</t>
        </is>
      </c>
      <c r="C15" s="6" t="inlineStr">
        <is>
          <t>14.04%</t>
        </is>
      </c>
      <c r="D15" s="6" t="inlineStr">
        <is>
          <t>14.04%</t>
        </is>
      </c>
      <c r="E15" s="6" t="inlineStr">
        <is>
          <t>12.89%</t>
        </is>
      </c>
      <c r="F15" s="6" t="inlineStr">
        <is>
          <t>12.89%</t>
        </is>
      </c>
      <c r="G15" s="6" t="inlineStr">
        <is>
          <t>12.89%</t>
        </is>
      </c>
    </row>
    <row r="16">
      <c r="A16" s="5" t="inlineStr">
        <is>
          <t>Combined buffer requirement (as a percentage of risk-weighted exposure amount)</t>
        </is>
      </c>
      <c r="B16" s="6" t="n"/>
      <c r="C16" s="6" t="n"/>
      <c r="D16" s="6" t="n"/>
      <c r="E16" s="6" t="n"/>
      <c r="F16" s="6" t="n"/>
      <c r="G16" s="6" t="n"/>
    </row>
    <row r="17">
      <c r="A17" s="6" t="inlineStr">
        <is>
          <t>Capital conservation buffer (%)</t>
        </is>
      </c>
      <c r="B17" s="6" t="inlineStr">
        <is>
          <t>2.50%</t>
        </is>
      </c>
      <c r="C17" s="6" t="inlineStr">
        <is>
          <t>2.50%</t>
        </is>
      </c>
      <c r="D17" s="6" t="inlineStr">
        <is>
          <t>2.50%</t>
        </is>
      </c>
      <c r="E17" s="6" t="inlineStr">
        <is>
          <t>2.50%</t>
        </is>
      </c>
      <c r="F17" s="6" t="inlineStr">
        <is>
          <t>2.50%</t>
        </is>
      </c>
      <c r="G17" s="6" t="inlineStr">
        <is>
          <t>2.50%</t>
        </is>
      </c>
    </row>
    <row r="18">
      <c r="A18" s="6" t="inlineStr">
        <is>
          <t>Institution specific countercyclical capital buffer (%)</t>
        </is>
      </c>
      <c r="B18" s="6" t="inlineStr">
        <is>
          <t>0.56%</t>
        </is>
      </c>
      <c r="C18" s="6" t="inlineStr">
        <is>
          <t>0.43%</t>
        </is>
      </c>
      <c r="D18" s="6" t="inlineStr">
        <is>
          <t>0.47%</t>
        </is>
      </c>
      <c r="E18" s="6" t="inlineStr">
        <is>
          <t>0.16%</t>
        </is>
      </c>
      <c r="F18" s="6" t="inlineStr">
        <is>
          <t>0.00%</t>
        </is>
      </c>
      <c r="G18" s="6" t="inlineStr">
        <is>
          <t>0.00%</t>
        </is>
      </c>
    </row>
    <row r="19">
      <c r="A19" s="6" t="inlineStr">
        <is>
          <t>Combined buffer requirement (%)</t>
        </is>
      </c>
      <c r="B19" s="6" t="inlineStr">
        <is>
          <t>3.06%</t>
        </is>
      </c>
      <c r="C19" s="6" t="inlineStr">
        <is>
          <t>2.93%</t>
        </is>
      </c>
      <c r="D19" s="6" t="inlineStr">
        <is>
          <t>2.97%</t>
        </is>
      </c>
      <c r="E19" s="6" t="inlineStr">
        <is>
          <t>2.66%</t>
        </is>
      </c>
      <c r="F19" s="6" t="inlineStr">
        <is>
          <t>2.50%</t>
        </is>
      </c>
      <c r="G19" s="6" t="inlineStr">
        <is>
          <t>2.50%</t>
        </is>
      </c>
    </row>
    <row r="20">
      <c r="A20" s="6" t="inlineStr">
        <is>
          <t>Overall capital requirement (%)</t>
        </is>
      </c>
      <c r="B20" s="6" t="inlineStr">
        <is>
          <t>17.10%</t>
        </is>
      </c>
      <c r="C20" s="6" t="inlineStr">
        <is>
          <t>16.97%</t>
        </is>
      </c>
      <c r="D20" s="6" t="inlineStr">
        <is>
          <t>17.01%</t>
        </is>
      </c>
      <c r="E20" s="6" t="inlineStr">
        <is>
          <t>15.55%</t>
        </is>
      </c>
      <c r="F20" s="6" t="inlineStr">
        <is>
          <t>15.39%</t>
        </is>
      </c>
      <c r="G20" s="6" t="inlineStr">
        <is>
          <t>15.39%</t>
        </is>
      </c>
    </row>
    <row r="21">
      <c r="A21" s="6" t="inlineStr">
        <is>
          <t>CET1 available after the total SREP own funds requirements (%)</t>
        </is>
      </c>
      <c r="B21" s="6" t="inlineStr">
        <is>
          <t>9.36%</t>
        </is>
      </c>
      <c r="C21" s="6" t="inlineStr">
        <is>
          <t>11.60%</t>
        </is>
      </c>
      <c r="D21" s="6" t="inlineStr">
        <is>
          <t>14.91%</t>
        </is>
      </c>
      <c r="E21" s="6" t="inlineStr">
        <is>
          <t>10.29%</t>
        </is>
      </c>
      <c r="F21" s="6" t="inlineStr">
        <is>
          <t>5.39%</t>
        </is>
      </c>
      <c r="G21" s="6" t="inlineStr">
        <is>
          <t>12.90%</t>
        </is>
      </c>
    </row>
    <row r="22">
      <c r="A22" s="5" t="inlineStr">
        <is>
          <t>Leverage ratio</t>
        </is>
      </c>
      <c r="B22" s="6" t="n"/>
      <c r="C22" s="6" t="n"/>
      <c r="D22" s="6" t="n"/>
      <c r="E22" s="6" t="n"/>
      <c r="F22" s="6" t="n"/>
      <c r="G22" s="6" t="n"/>
    </row>
    <row r="23">
      <c r="A23" s="6" t="inlineStr">
        <is>
          <t>Total exposure measure excluding claims on central banks (US$ k)</t>
        </is>
      </c>
      <c r="B23" s="6" t="n">
        <v>3171798</v>
      </c>
      <c r="C23" s="6" t="n">
        <v>2987483</v>
      </c>
      <c r="D23" s="6" t="n">
        <v>2872422</v>
      </c>
      <c r="E23" s="6" t="n">
        <v>3409175</v>
      </c>
      <c r="F23" s="6" t="n">
        <v>3219954</v>
      </c>
      <c r="G23" s="6" t="n">
        <v>2483697</v>
      </c>
    </row>
    <row r="24">
      <c r="A24" s="6" t="inlineStr">
        <is>
          <t>Leverage ratio excluding claims on central banks (%)</t>
        </is>
      </c>
      <c r="B24" s="6" t="inlineStr">
        <is>
          <t>12.08%</t>
        </is>
      </c>
      <c r="C24" s="6" t="inlineStr">
        <is>
          <t>11.25%</t>
        </is>
      </c>
      <c r="D24" s="6" t="inlineStr">
        <is>
          <t>9.76%</t>
        </is>
      </c>
      <c r="E24" s="6" t="inlineStr">
        <is>
          <t>7.32%</t>
        </is>
      </c>
      <c r="F24" s="6" t="inlineStr">
        <is>
          <t>8.36%</t>
        </is>
      </c>
      <c r="G24" s="6" t="inlineStr">
        <is>
          <t>10.68%</t>
        </is>
      </c>
    </row>
    <row r="25">
      <c r="A25" s="5" t="inlineStr">
        <is>
          <t>Liquidity Coverage Ratio</t>
        </is>
      </c>
      <c r="B25" s="6" t="n"/>
      <c r="C25" s="6" t="n"/>
      <c r="D25" s="6" t="n"/>
      <c r="E25" s="6" t="n"/>
      <c r="F25" s="6" t="n"/>
      <c r="G25" s="6" t="n"/>
    </row>
    <row r="26">
      <c r="A26" s="6" t="inlineStr">
        <is>
          <t>Total high-quality liquid assets (HQLA) (Weighted value) (US$ k)</t>
        </is>
      </c>
      <c r="B26" s="6" t="n">
        <v>952538</v>
      </c>
      <c r="C26" s="6" t="n">
        <v>1013789</v>
      </c>
      <c r="D26" s="6" t="n">
        <v>1147653</v>
      </c>
      <c r="E26" s="6" t="n">
        <v>1227530</v>
      </c>
      <c r="F26" s="6" t="n">
        <v>932821</v>
      </c>
      <c r="G26" s="6" t="n">
        <v>782801</v>
      </c>
    </row>
    <row r="27">
      <c r="A27" s="6" t="inlineStr">
        <is>
          <t>Cash outflows – Total weighted value (US$ k)</t>
        </is>
      </c>
      <c r="B27" s="6" t="n">
        <v>896970</v>
      </c>
      <c r="C27" s="6" t="n">
        <v>714951</v>
      </c>
      <c r="D27" s="6" t="n">
        <v>838802</v>
      </c>
      <c r="E27" s="6" t="n">
        <v>1075133</v>
      </c>
      <c r="F27" s="6" t="n">
        <v>1350918</v>
      </c>
      <c r="G27" s="6" t="n">
        <v>719583</v>
      </c>
    </row>
    <row r="28">
      <c r="A28" s="6" t="inlineStr">
        <is>
          <t>Cash inflows – Total weighted value (US$ k)</t>
        </is>
      </c>
      <c r="B28" s="6" t="n">
        <v>544428</v>
      </c>
      <c r="C28" s="6" t="n">
        <v>408131</v>
      </c>
      <c r="D28" s="6" t="n">
        <v>469155</v>
      </c>
      <c r="E28" s="6" t="n">
        <v>726923</v>
      </c>
      <c r="F28" s="6" t="n">
        <v>1022071</v>
      </c>
      <c r="G28" s="6" t="n">
        <v>818015</v>
      </c>
    </row>
    <row r="29">
      <c r="A29" s="6" t="inlineStr">
        <is>
          <t>Total net cash outflows (adjusted value) (US$ k)</t>
        </is>
      </c>
      <c r="B29" s="6" t="n">
        <v>352543</v>
      </c>
      <c r="C29" s="6" t="n">
        <v>306820</v>
      </c>
      <c r="D29" s="6" t="n">
        <v>369648</v>
      </c>
      <c r="E29" s="6" t="n">
        <v>374822</v>
      </c>
      <c r="F29" s="6" t="n">
        <v>337730</v>
      </c>
      <c r="G29" s="6" t="n">
        <v>179896</v>
      </c>
    </row>
    <row r="30">
      <c r="A30" s="6" t="inlineStr">
        <is>
          <t>Liquidity coverage ratio (%)</t>
        </is>
      </c>
      <c r="B30" s="6" t="inlineStr">
        <is>
          <t>270.19%</t>
        </is>
      </c>
      <c r="C30" s="6" t="inlineStr">
        <is>
          <t>330.42%</t>
        </is>
      </c>
      <c r="D30" s="6" t="inlineStr">
        <is>
          <t>310%</t>
        </is>
      </c>
      <c r="E30" s="6" t="inlineStr">
        <is>
          <t>343%</t>
        </is>
      </c>
      <c r="F30" s="6" t="inlineStr">
        <is>
          <t>276%</t>
        </is>
      </c>
      <c r="G30" s="6" t="inlineStr">
        <is>
          <t>435%</t>
        </is>
      </c>
    </row>
    <row r="31">
      <c r="A31" s="5" t="inlineStr">
        <is>
          <t>Net Stable Funding Ratio (NSFR)</t>
        </is>
      </c>
      <c r="B31" s="6" t="n"/>
      <c r="C31" s="6" t="n"/>
      <c r="D31" s="6" t="n"/>
      <c r="E31" s="6" t="n"/>
      <c r="F31" s="6" t="n"/>
      <c r="G31" s="6" t="n"/>
    </row>
    <row r="32">
      <c r="A32" s="6" t="inlineStr">
        <is>
          <t>Total available stable funding (US$ k)</t>
        </is>
      </c>
      <c r="B32" s="6" t="n">
        <v>1316936</v>
      </c>
      <c r="C32" s="6" t="n">
        <v>1136904</v>
      </c>
      <c r="D32" s="6" t="n">
        <v>1066880</v>
      </c>
      <c r="E32" s="6" t="n">
        <v>912816</v>
      </c>
      <c r="F32" s="6" t="n"/>
      <c r="G32" s="6" t="n"/>
    </row>
    <row r="33">
      <c r="A33" s="6" t="inlineStr">
        <is>
          <t>Total required stable funding (US$ k)</t>
        </is>
      </c>
      <c r="B33" s="6" t="n">
        <v>948441</v>
      </c>
      <c r="C33" s="6" t="n">
        <v>768308</v>
      </c>
      <c r="D33" s="6" t="n">
        <v>744377</v>
      </c>
      <c r="E33" s="6" t="n">
        <v>735763</v>
      </c>
      <c r="F33" s="6" t="n"/>
      <c r="G33" s="6" t="n"/>
    </row>
    <row r="34">
      <c r="A34" s="6" t="inlineStr">
        <is>
          <t>Net Stable Funding Ratio (%)</t>
        </is>
      </c>
      <c r="B34" s="6" t="inlineStr">
        <is>
          <t>138.85%</t>
        </is>
      </c>
      <c r="C34" s="6" t="inlineStr">
        <is>
          <t>147.98%</t>
        </is>
      </c>
      <c r="D34" s="6" t="inlineStr">
        <is>
          <t>143%</t>
        </is>
      </c>
      <c r="E34" s="6" t="inlineStr">
        <is>
          <t>124%</t>
        </is>
      </c>
      <c r="F34" s="6" t="n"/>
      <c r="G34" s="6" t="n"/>
    </row>
    <row r="36" ht="285" customHeight="1">
      <c r="A36" s="8" t="inlineStr">
        <is>
          <t>Sources — Zenith Bank (UK) Limited's own Key Metrics / UK KM1 tables; amounts are US$ thousands as printed and have not been converted to GBP:
FY2025: 2025 Pillar 3, printed p.16 — https://www.zenith-bank.co.uk/media/2290/pillar-3-zbuk-31dec25.pdf
FY2024: 2024 Pillar 3, printed p.17 — https://www.zenith-bank.co.uk/media/2274/31dec24-pillar-3-zbuk.pdf
FY2023: 2023 Pillar 3, printed p.17 — https://www.zenith-bank.co.uk/media/2260/pillar-3-31dec23-final.pdf
FY2022: 2022 Pillar 3, printed p.24 — https://www.zenith-bank.co.uk/media/2238/zbuk-31dec22-pillar-3-disclosures.pdf
FY2021: 2021 Pillar 3, printed p.23 — https://www.zenith-bank.co.uk/media/2228/31dec21-pillar-3.pdf
FY2020: 2021 Pillar 3 comparative column, printed p.23 — https://www.zenith-bank.co.uk/media/2228/31dec21-pillar-3.pdf
Each FY2021-FY2025 value comes from that year's own edition, retaining revisions rather than replacing them with later comparative figures. FY2020 uses the first later-edition comparative that prints the full row set. The table has no printed row numbers, so none are invented here. FY2021's own table predates the UK NSFR requirement and explicitly says NSFR would be shown from 1 January 2022; its NSFR cells and all pre-FY2020 columns therefore remain blank. The Bank's live Pillar 3 page was checked on 17 September 2026 and FY2025 remains the newest listed annual edition.</t>
        </is>
      </c>
    </row>
  </sheetData>
  <mergeCells count="1">
    <mergeCell ref="A36:G36"/>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R16"/>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s>
  <sheetData>
    <row r="1">
      <c r="A1" s="1" t="inlineStr">
        <is>
          <t>Zenith Bank (UK) Limited — CET1 Capital</t>
        </is>
      </c>
    </row>
    <row r="2">
      <c r="A2" s="2" t="inlineStr">
        <is>
          <t>£'000 (conv. from USD)</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c r="M3" s="4" t="inlineStr">
        <is>
          <t>FY2014</t>
        </is>
      </c>
      <c r="N3" s="4" t="inlineStr">
        <is>
          <t>FY2013</t>
        </is>
      </c>
      <c r="O3" s="4" t="inlineStr">
        <is>
          <t>FY2012</t>
        </is>
      </c>
      <c r="P3" s="4" t="inlineStr">
        <is>
          <t>FY2011</t>
        </is>
      </c>
      <c r="Q3" s="4" t="inlineStr">
        <is>
          <t>FY2010</t>
        </is>
      </c>
      <c r="R3" s="4" t="inlineStr">
        <is>
          <t>FY2009</t>
        </is>
      </c>
    </row>
    <row r="4">
      <c r="A4" s="6" t="inlineStr">
        <is>
          <t>Common Equity Tier 1 (CET1) capital</t>
        </is>
      </c>
      <c r="B4" s="6" t="n">
        <v>320773.3</v>
      </c>
      <c r="C4" s="6" t="n">
        <v>302297.2</v>
      </c>
      <c r="D4" s="6" t="n">
        <v>265540.4</v>
      </c>
      <c r="E4" s="6" t="n">
        <v>240324.9</v>
      </c>
      <c r="F4" s="6" t="n">
        <v>207889.9</v>
      </c>
      <c r="G4" s="6" t="n">
        <v>205416.1</v>
      </c>
      <c r="H4" s="6" t="n"/>
      <c r="I4" s="6" t="n"/>
      <c r="J4" s="6" t="n"/>
      <c r="K4" s="6" t="n">
        <v>156864.2</v>
      </c>
      <c r="L4" s="6" t="n">
        <v>127190.1</v>
      </c>
      <c r="M4" s="6" t="n">
        <v>109432.3</v>
      </c>
      <c r="N4" s="6" t="inlineStr">
        <is>
          <t>Not applicable (Basel II)</t>
        </is>
      </c>
      <c r="O4" s="6" t="inlineStr">
        <is>
          <t>Not applicable (Basel II)</t>
        </is>
      </c>
      <c r="P4" s="6" t="inlineStr">
        <is>
          <t>Not applicable (Basel II)</t>
        </is>
      </c>
      <c r="Q4" s="6" t="inlineStr">
        <is>
          <t>Not applicable (Basel II)</t>
        </is>
      </c>
      <c r="R4" s="6" t="inlineStr">
        <is>
          <t>Not applicable (Basel II)</t>
        </is>
      </c>
    </row>
    <row r="5">
      <c r="A5" s="6" t="inlineStr">
        <is>
          <t>Total statutory capital per the Annual Report 'Capital Management' note, before regulatory deductions (each year's own edition)</t>
        </is>
      </c>
      <c r="B5" s="6" t="n"/>
      <c r="C5" s="6" t="n"/>
      <c r="D5" s="6" t="n"/>
      <c r="E5" s="6" t="n"/>
      <c r="F5" s="6" t="n"/>
      <c r="G5" s="6" t="n"/>
      <c r="H5" s="6" t="n">
        <v>192407.7</v>
      </c>
      <c r="I5" s="6" t="n">
        <v>176507.1</v>
      </c>
      <c r="J5" s="6" t="n">
        <v>153062.4</v>
      </c>
      <c r="K5" s="6" t="n">
        <v>157001.1</v>
      </c>
      <c r="L5" s="6" t="n"/>
      <c r="M5" s="6" t="n"/>
      <c r="N5" s="6" t="n"/>
      <c r="O5" s="6" t="n"/>
      <c r="P5" s="6" t="n"/>
      <c r="Q5" s="6" t="n"/>
      <c r="R5" s="6" t="n"/>
    </row>
    <row r="6">
      <c r="A6" s="6" t="inlineStr">
        <is>
          <t>Total regulatory capital (Tier 1) after regulatory deductions, per the Annual Report 'Capital Management' note (each year's own edition)</t>
        </is>
      </c>
      <c r="B6" s="6" t="n"/>
      <c r="C6" s="6" t="n"/>
      <c r="D6" s="6" t="n"/>
      <c r="E6" s="6" t="n"/>
      <c r="F6" s="6" t="n"/>
      <c r="G6" s="6" t="n"/>
      <c r="H6" s="6" t="n">
        <v>166560.7</v>
      </c>
      <c r="I6" s="6" t="n">
        <v>158385.9</v>
      </c>
      <c r="J6" s="6" t="n"/>
      <c r="K6" s="6" t="n"/>
      <c r="L6" s="6" t="n"/>
      <c r="M6" s="6" t="n"/>
      <c r="N6" s="6" t="n"/>
      <c r="O6" s="6" t="n"/>
      <c r="P6" s="6" t="n"/>
      <c r="Q6" s="6" t="n"/>
      <c r="R6" s="6" t="n"/>
    </row>
    <row r="7">
      <c r="A7" s="6" t="inlineStr">
        <is>
          <t>Total regulatory capital (Tier 1) after deductions - FY2017 COMPARATIVE COLUMN of the FY2018 Annual Report (FY2017's own edition prints no post-deduction figure)</t>
        </is>
      </c>
      <c r="B7" s="6" t="n"/>
      <c r="C7" s="6" t="n"/>
      <c r="D7" s="6" t="n"/>
      <c r="E7" s="6" t="n"/>
      <c r="F7" s="6" t="n"/>
      <c r="G7" s="6" t="n"/>
      <c r="H7" s="6" t="n"/>
      <c r="I7" s="6" t="n"/>
      <c r="J7" s="6" t="n">
        <v>142974.4</v>
      </c>
      <c r="K7" s="6" t="n"/>
      <c r="L7" s="6" t="n"/>
      <c r="M7" s="6" t="n"/>
      <c r="N7" s="6" t="n"/>
      <c r="O7" s="6" t="n"/>
      <c r="P7" s="6" t="n"/>
      <c r="Q7" s="6" t="n"/>
      <c r="R7" s="6" t="n"/>
    </row>
    <row r="8">
      <c r="A8" s="6" t="inlineStr">
        <is>
          <t>Total regulatory capital (Tier 1) INCLUDING audited profit for the year - the FY2019 edition's own second presentation of the same table</t>
        </is>
      </c>
      <c r="B8" s="6" t="n"/>
      <c r="C8" s="6" t="n"/>
      <c r="D8" s="6" t="n"/>
      <c r="E8" s="6" t="n"/>
      <c r="F8" s="6" t="n"/>
      <c r="G8" s="6" t="n"/>
      <c r="H8" s="6" t="n">
        <v>187704.3</v>
      </c>
      <c r="I8" s="6" t="n"/>
      <c r="J8" s="6" t="n"/>
      <c r="K8" s="6" t="n"/>
      <c r="L8" s="6" t="n"/>
      <c r="M8" s="6" t="n"/>
      <c r="N8" s="6" t="n"/>
      <c r="O8" s="6" t="n"/>
      <c r="P8" s="6" t="n"/>
      <c r="Q8" s="6" t="n"/>
      <c r="R8" s="6" t="n"/>
    </row>
    <row r="9" ht="377" customHeight="1">
      <c r="A9" s="7" t="inlineStr">
        <is>
          <t>Note: *** FY2016 CAPITAL AMOUNT ADDED 2026-10-07, FROM THE RECOVERED FY2016 PILLAR 3 ITSELF ***
This row's FY2016 cell stood BLANK until today, and the reason it stood blank is no longer true. The FY2016 Pillar 3 edition was recovered from Common Crawl on 2026-09-19 (see the Z16 note in the source cell below for the WARC coordinates), but that pass deliberately left the capital amount unwritten as outside its scope, and several notes in this script went on saying no FY2016 Pillar 3 document was recoverable. Those sentences have been narrowed to FY2017-FY2019 throughout.
WHAT THE DOCUMENT PRINTS. 'Zenith Bank (UK) Limited - Pillar 3 Disclosures for the year ended 31 December 2016', 17pp, printed p.9 (the printed folio equals the PDF sheet index in this document), section 4.2 'Capital Resources', US$000's, two columns headed 2016 and 2015: Share capital at 31 December 136,702 / 136,702; Profit and loss reserve 56,457 / 53,819; Regulatory deductions (169) / a printed DASH; Total CET-1 capital 192,990 / 190,521. The same page's section 4.3.1 Pillar 1 Allocation table prints 'Regulatory Available Capital' 192,990 / 190,521 - the same label this row's FY2014 and FY2015 cells are struck on. Read off a 300 dpi page image on 2026-10-07. US$192,990k converts to this row's £'000 at the FY2016 period-end spot rate, exactly as every other FY2014+ cell on it.
THE EDITION ALSO SETTLES THE BASIS IN ITS OWN WORDS: 'The Bank's entire capital base qualifies as Common Equity Tier 1 capital (CET-1) which consists of fully issued ordinary shares and audited reserves.' So CET1 = Tier 1 = Total capital for FY2016 is the Bank's statement, not an inference, and the same figure appears on all three capital sheets for that reason.
AND IT RESTATES FY2015, WHICH IS RECORDED HERE AND NOT RECONCILED. This row's FY2015 cell carries US$188,483k, the 'Regulatory Available Capital' printed in FY2015's OWN edition (printed p.9, section 4.3.1, beside a Pillar 1 requirement total of 73,972 and a 'Solvency Ratio against Pillar 1' of 255%). That edition's section 4.2 separately prints 'Total tier 1 capital 190,521' with NO regulatory-deduction line, so the FY2015 document itself carries two different figures 2,038 apart and explains neither. The FY2016 edition's 2015 comparative then prints 190,521 in BOTH places and a solvency ratio of 258% (190,521/73,972 = 257.6%, against the FY2015 edition's own 188,483/73,972 = 254.8%), i.e. it restated the 2015 regulatory capital upward by the 2,038 and recomputed the cover multiple to match. Both printings were read off page images on 2026-10-07 and BOTH STAND: the FY2015 cell keeps that year's own edition's 188,483, because a later edition's comparative does not displace what the bank originally published, and nothing here is averaged, adjusted or reconciled. The practical consequence for FY2016 is small but worth stating - FY2016's own 192,990 is net of a 169 deduction its own edition prints, so it is on the post-deduction basis this row declares; it is the 2015 column, not the 2016 one, that the two editions disagree about.
NO FY2016 RATIO AND NO FY2016 RWA WERE ADDED, and that is deliberate. The edition prints no capital ratio and no risk-weighted exposure amount anywhere in its 17 pages. Its 'Solvency Ratio against Pillar 1' of 365% (2015: 258%) is available capital divided by the capital REQUIREMENT - a cover multiple, roughly 12.5x a true capital ratio - and is not a capital ratio; see the Tier 1 Ratio sheet. The Pillar 1 requirement total of US$52,940k was NOT grossed up by 8% to manufacture an RWA, following the FY2011 treatment. Text-layer control on the recovered file, 2026-10-07: 238 hits for 'risk' and 73 for 'capital' against 0 for 'capital ratio', 0 for 'leverage', 0 for 'Liquidity Coverage' and 0 for 'MREL', so those zeros are facts about the document rather than about the probe.
FY2009-FY2013 'Not applicable (Basel II)': the CET1 concept is a CRD IV construct and does not exist in the recovered FY2011 Basel II edition, which discloses a single undifferentiated Tier 1 capital figure (carried on the Tier 1 Capital and Total Capital sheets). The FY2012/FY2013 Basel II Annual Report capital rows are for the same reason carried on the Tier 1 Capital and Total Capital sheets only, not here.
*** ANNUAL-REPORT CAPITAL RECOVERY, 2026-09-18 - READ THIS BEFORE RE-CHASING FY2012/FY2013 OR FY2016-FY2019 ***
Every prior pass treated FY2016-FY2019 as a closed gap on the reasoning that no Pillar 3 disclosure document is recoverable for those years. That reasoning was about DOCUMENTS OF ONE KIND. It remained true of FY2017-FY2019 (see the archive-status note below - the ladder was re-run in full on 2026-09-18 and every rung failed again) and is now FALSE of FY2016, whose edition was recovered from Common Crawl on 2026-09-19; but it was never a statement about the Bank's CAPITAL DISCLOSURE, because Zenith Bank (UK) Limited also prints a 'Capital Management' note inside note 25 'Financial risk management' of EVERY Annual Report, and that note carries a Capital Resources table. Those tables were read on 2026-09-18 and are the source of the FY2012, FY2013, FY2016, FY2017, FY2018 and FY2019 capital rows on this sheet. NONE of them discloses a risk-weighted exposure amount, which is why Total RWAs and the RWA Breakdown sheet stay empty of figures for those years.
THE ROWS ARE SEPARATE FROM THE CRR/KM1 ROW ABOVE ON PURPOSE. A Pillar 3 UK KM1 'CET1 capital' figure and an Annual Report 'Capital Resources' figure are not guaranteed to be struck on the same basis, and for this Bank they demonstrably are not in some years (FY2018's own Annual Report reconciles statutory capital of US$225,399,559 down to regulatory Tier 1 of US$202,258,835 through an IFRS 9 transition add-back, an IFRS 9 year-1 deduction, a prudential valuation adjustment and an intangibles deduction). Splicing either figure onto the KM1 row would create a silent basis break mid-series, so each basis keeps its own labelled row and no cell is merged across the break.
WHAT EACH YEAR'S OWN EDITION ACTUALLY PRINTS (all US$ unless stated):
  FY2016 (Annual Report and Accounts 2016, printed p.34 / PDF p.37 - https://www.zenith-bank.co.uk/media/1009/statutory_accounts_year_ended_31st_december_2016.pdf): a two-line Capital Resources table, Share capital 136.7 / Retained earnings 56.5 / TOTAL TIER 1 CAPITAL 193.2, printed in US$ MILLIONS to one decimal. There is no regulatory-deduction reconciliation, no RWA and no ratio in this edition. The figure carried here is 193,158,399 rather than 193,200,000: that is the same edition's own share capital (136,701,620) plus its own retained earnings (56,456,779), both printed in full dollars on its Statement of Financial Position and Statement of Changes in Equity, i.e. exactly the addition the capital note itself performs at a coarser scale. The FY2017 edition's comparative column prints the same line as 193,158,399 to the dollar, confirming it.
  FY2017 (Annual Report and Financial Statements 2017, printed p.48 / PDF p.50 - https://www.zenith-bank.co.uk/media/2142/2017-annual-report-and-financial-statements.pdf): Share capital 136,701,620 / Retained earnings 70,085,676 / Total Tier 1 capital 206,787,296. This edition prints NO post-deduction regulatory figure at all - the FY2017 regulatory Tier 1 of 193,158,399 exists only as the FY2018 edition's comparative column, and is therefore carried on its own explicitly comparative-labelled row rather than alongside own-edition figures.
  FY2018 (Annual Report and Financial Statements 2018, printed p.57 / PDF p.59 - https://www.zenith-bank.co.uk/media/2151/2018-annual-report.pdf): Share capital 136,701,620 / Reserves (99,803) / Retained earnings 88,797,742 / Total statutory capital 225,399,559; then IFRS 9 transition adjustment 8,861,638, Profit or loss attributable to owners of the parent (27,509,757), IFRS 9 transition adjustment year 1 impact (1,772,328), value adjustments due to the requirements for prudential valuation (unaudited) (842,446), other intangible assets before deduction of deferred tax liabilities (1,877,831) = TOTAL REGULATORY CAPITAL (TIER 1) 202,258,835. The reconciliation foots exactly.</t>
        </is>
      </c>
    </row>
    <row r="10" ht="234" customHeight="1">
      <c r="A10" s="7" t="inlineStr">
        <is>
          <t>(continued)
FY2019 (Annual Report and Financial Statements 2019, printed p.60 / PDF p.62 - https://www.zenith-bank.co.uk/media/2169/258558-zenith-web.pdf): Share capital 136,701,620 / Reserves 740,531 / Retained earnings 116,728,430 / Total statutory capital 254,170,581; then IFRS 9 transition adjustment (3,544,655), prudential valuation (649,575), other intangible assets (2,018,933) and profit for the year (27,930,688) = TOTAL REGULATORY CAPITAL (TIER 1) EXCLUDING AUDITED PROFIT 220,026,730; the same table then adds the profit back to give TOTAL REGULATORY CAPITAL (TIER 1) INCLUDING AUDITED PROFIT 247,957,418. BOTH are printed, so both are carried, on separate rows; neither is preferred silently. (The same table's FY2018 comparative column restates FY2018 on the including-profit basis as 229,768,592 - recorded here in the note only, since FY2018's own edition printed no such line.)
  FY2013 (Financial Statements for the year ended 31 December 2013, printed p.39 / PDF p.41 - https://find-and-update.company-information.service.gov.uk/company/05713749/filing-history/MzEwNDk3MzAyNmFkaXF6a2N4/document?format=pdf&amp;download=0): 'Total capital at 31 December 2013 was GBP 74,509,003 (2012: GBP 66,836,084) ... Total Regulatory Capital as at 31 December 2013 was GBP 72,342,265 (2012: GBP 62,082,926)', with a Capital Resources table reading Tier one Capital / Shareholders' Funds 72,342,265 / TOTAL TIER 1 CAPITAL 72,342,265.
  FY2012 (Financial Statements as at 31 December 2012, printed p.38 / PDF p.40 - https://find-and-update.company-information.service.gov.uk/company/05713749/filing-history/MzA4MDQyODAzOGFkaXF6a2N4/document?format=pdf&amp;download=0): the same note, 'Total capital at 31 December 2012 was GBP 66,836,084 (2011 GBP 43,109,518) ... Total Regulatory Capital as at 31 December 2012 was GBP 62,082,926 (2011 GBP 40,002,338)', table TOTAL TIER 1 CAPITAL 62,082,926.
FY2012/FY2013 ARE NATIVE GBP AND ARE NOT FX-CONVERTED - they pre-date the Bank's redenomination to USD (see the FX conversion note on the Cash Flow Statement sheet and NATIVE_GBP_YEARS in the build script), so they sit on these sheets in GBP'000 exactly as printed, on the same scale as the FY2011 Basel II rows. Both editions are IMAGE-ONLY SCANS from Companies House (company 05713749) with a zero-character text layer; they were OCR'd to locate the page and then EVERY FIGURE WAS CONFIRMED VISUALLY against the page rendered at 260 dpi. No figure here rests on OCR output alone.
TWO CORROBORATIONS AND ONE DIVERGENCE, none of them adjusted. (1) The FY2012 edition's 2011 comparative Total Regulatory Capital of GBP 40,002,338 matches, to the pound, the 'Regulatory Available Capital 40,002' (GBP'000) that the recovered FY2011 Pillar 3 prints - two independent documents agreeing, and it also resolves the dating caveat recorded against that FY2011 Pillar 3 figure in favour of it being a genuine 31 December 2011 position rather than a FY2010 one. (2) The FY2012 edition's 2011 comparative 'total capital' of GBP 43,109,518 does NOT match this workbook's FY2011 total equity of GBP 43,624,795 (taken from FY2011's own report) - a GBP 515,277 gap, consistent with the FY2012 IFRS-conversion restatement already documented in the HD-073 extension note. Each year keeps its own report's figure; nothing was reconciled.
WHAT IS STILL GENUINELY ABSENT AFTER THIS PASS: no Zenith Bank (UK) Annual Report in any year FY2012-FY2019 prints a risk-weighted exposure amount, an RWA breakdown, a leverage ratio, an LCR or an NSFR. Each of those four editions was searched in full text for 'risk weighted', 'risk-weighted', 'RWA', 'leverage', 'liquidity coverage' and 'stable funding'; the only hits are the boilerplate sentence 'a ratio of total regulatory capital to risk-weighted exposures at or above a level determined for each institution' and narrative liquidity-management prose naming the LCR and NSFR without any figure. Those cells therefore carry explicit stated-absence markers rather than blanks.
PRE-CRD IV NOTE (FY2014/FY2015/FY2016): see the PRE-CRD IV METHODOLOGY NOTE in the Pillar 3 sources above for full detail - the FY2014 and FY2015 RATIOS are the Bank's own 'Regulatory Available Capital' (not its larger undeducted 'Total tier 1 capital per audited accounts' memo figure) divided by a derived Total RWA (each Pillar 1 capital requirement component divided by 8%, summed). FY2016's edition is the same pre-CRD IV format and its CAPITAL AMOUNT is now carried (2026-10-07, see the FY2016 capital note on the CET1/Tier 1/Total Capital sheets), but NO FY2016 RATIO is shown, because the derivation that produced the FY2014/FY2015 ratios was not extended - see the Total RWAs sheet. FY2017-FY2019 are blank: no Pillar 3 disclosure document is recoverable for those three years (see Pillar 3 sources note). FY2020 is NOT blank; it comes from the FY2021 edition's comparative column.</t>
        </is>
      </c>
    </row>
    <row r="12" ht="377" customHeight="1">
      <c r="A12" s="8" t="inlineStr">
        <is>
          <t>Sources - Zenith Bank (UK) Limited Pillar 3 Disclosures (UK KM1 - Key Metrics; pre-CRD IV Pillar 1/2 disclosures for FY2014-FY2015 - see methodology note below), converted from USD to £ where a $ amount (see FX conversion note on the Cash Flow Statement sheet; % ratios are unconverted):
FY2025: Pillar 3 Disclosures as at 31 Dec 2025, p.16 (Section 10, Key Metrics) - https://www.zenith-bank.co.uk/media/2290/pillar-3-zbuk-31dec25.pdf
FY2024: Pillar 3 Disclosures as at 31 Dec 2024, p.17 (Section 9, Key Metrics) - https://www.zenith-bank.co.uk/media/2274/31dec24-pillar-3-zbuk.pdf
FY2023: Pillar 3 Disclosures as at 31 Dec 2023, p.17 (Section 9, Key Metrics) - https://www.zenith-bank.co.uk/media/2260/pillar-3-31dec23-final.pdf
FY2022: Pillar 3 Disclosures as at 31 Dec 2022, p.24 (Section 10, Key Metrics) - https://www.zenith-bank.co.uk/media/2238/zbuk-31dec22-pillar-3-disclosures.pdf
FY2021: Pillar 3 Disclosures as at 31 Dec 2021, p.23 (Section 10, Key Metrics) - https://www.zenith-bank.co.uk/media/2228/31dec21-pillar-3.pdf
FY2015: Pillar 3 Disclosures 31 December 2015, p.8-9 (Section 4, Capital Adequacy Overview &amp; Resources) - http://web.archive.org/web/20161128044735id_/http://www.zenith-bank.co.uk/uploads/ZBL_Pillar_3_Disclosure_Document_2015.pdf
FY2014: Pillar 3 Disclosures 31 December 2014, p.8-9 (Section 4, Capital Adequacy Overview &amp; Resources) - http://web.archive.org/web/20160826052010id_/http://www.zenith-bank.co.uk/uploads/ZBL_Pillar_3_Disclosure_Document_2014.pdf
FY2017-FY2019 PILLAR 3 DOCUMENTS: unobtainable, and the full fetch ladder was re-run on 2026-09-18 with every rung failing, so this is a statement about ACCESS and is recorded as such. NARROWED FROM FY2016-FY2019 ON 2026-09-19 AND RE-CONFIRMED 2026-10-07: the FY2016 edition WAS recovered, from Common Crawl at the pre-2018 /uploads/ address, and its capital figure is now on the capital sheets (see the Z16 notes below). Everything in this paragraph about media/1013 remains true of that URL - the file really was deleted from the Bank's media store - and is kept because it is what sent the search to the older path. The two file names are known from archived captures of the Bank's own Pillar 3 index page - https://zenith-bank.co.uk/media/1013/zbl_pillar_3_disclosure_document_2016.pdf (named on the 2018-04-01 and 2019-02-15 captures, the older capture pointing at the pre-2018 path http://www.zenith-bank.co.uk/uploads/ZBL_Pillar_3_Disclosure_Document_2016.pdf) and https://zenith-bank.co.uk/media/2177/zenith-bank-uk-limited-pillar-3-disclosure-2019.pdf (named on the 2021-01-27 and 2021-09-19 captures). Rungs tried against each, all failing: plain curl (404 text/html), curl -L (404), curl --http1.1 -L (404), browser User-Agent with an Accept header (404); the old /uploads/ path 301-redirects to the same 404. A Wayback 'id_' raw fetch 404s for all three URLs, and a CDX enumeration of both zenith-bank.co.uk and www.zenith-bank.co.uk returns no capture of any Pillar 3 binary between the FY2015 and FY2021 editions. THIS IS NOT A STATEMENT THAT THE BANK PUBLISHED NOTHING - for FY2016 and FY2019 it demonstrably did. It is a statement that the archive failed. The capital data for these years was obtained from a completely different source family instead: see the ANNUAL-REPORT CAPITAL RECOVERY note on the capital sheets. FY2020's figures come from the FY2021 edition's own comparative column (see FY2020_COMPARATIVE_NOTE), so FY2020 needs no document of its own.
PRE-CRD IV METHODOLOGY NOTE (FY2014-FY2015 only): these two years pre-date the Bank's adoption of the modern UK KM1 template and CRD IV/Basel III concepts entirely - there is no 'CET1' concept, no Leverage Ratio, no LCR and no NSFR disclosed (LCR/NSFR minimums were not yet phased in for a firm this size; the Bank's own disclosure is a Pillar 1/Pillar 2 ICAAP-style capital adequacy summary). Because the Bank's entire capital base was ordinary share capital and audited reserves (no AT1 or Tier 2 instruments then either), its single 'Tier 1 capital' figure is shown here as CET1/Tier 1/Total Capital alike, consistent with the modern-era convention used elsewhere in this workbook - but note the figure used is the Bank's own 'Regulatory Available Capital' (post regulatory deductions, the figure actually used in its published solvency ratio), not its larger undeducted 'Total tier 1 capital per audited accounts' memo figure (FY2014: $185,197k memo vs $170,802k regulatory available; FY2015: $190,521k memo vs $188,483k regulatory available). Total RWAs for FY2014/FY2015 are derived (not directly disclosed) by dividing each disclosed Pillar 1 capital requirement by 8% (the standard Basel capital-to-RWA ratio), per component (Credit/Market/Operational Risk) and summed - FY2014's derived total ($765,350k) differs by $12.5k from an alternative derivation off the disclosed grand total capital requirement ($765,363k), a rounding artefact of the source's own component figures; the per-component sum is used throughout for internal consistency with the RWA Breakdown sheet. The resulting CET1/Tier1/Total Capital ratio (regulatory available capital / derived RWA) is NOT the same figure as the Bank's own headline 'Solvency Ratio against Pillar 1' (available capital / capital REQUIREMENT, i.e. roughly 12.5x this ratio) - both are shown in the RWA Breakdown sheet's source note for transparency.
HISTORICAL PILLAR 3 RECOVERY (2026-09-15) - FY2008 and FY2011 editions recovered from the Wayback Machine
FY2011: Zenith Bank (UK) Limited, "Pillar 3 Disclosures for the year ended 31 December 2011" (17pp, 'Reviewed May 2012'), section 4.2 Capital Resources and section 4.3 Capital Allocation, p.7-8 - https://web.archive.org/web/20130616222348id_/http://www.zenith-bank.co.uk:80/docs/ZBL_Pillar_3_Disclosure_Document_2011.pdf
FY2008: Zenith Bank (UK) Limited, "Pillar 3 Disclosures for the year ending 31 December 2008" (9pp, 'Reviewed December 2008'), section 1 Capital Adequacy Overview &amp; Resources, p.6 - https://web.archive.org/web/20090424153904id_/http://www.zenith-bank.co.uk:80/documents/ZBL_Pillar_3_Disclosure_Document.pdf
*** FY2008: RECOVERED, READ, AND DELIBERATELY NOT USED FOR ANY CELL ***
This document's cover is internally contradictory - it says 'FOR THE YEAR ENDING 31 DECEMBER 2008' but also 'Reviewed December 2008' and, on its last page, 'This Disclosure will be published in December 2008'. The contradiction was resolved from the FIGURES, not the cover, and the figures are decisive. The document's ONLY quantitative table is introduced verbatim as: "Tier 1 capital based on our 31 December 2007 audited accounts as adjusted for a GBP 15 million capital injection in May 2008 is as follows: Share capital 35,001 / Profit and loss reserve (1,473) / Total tier 1 capital 33,528" (GBP'000). Two further statements confirm it: "The disclosures should be read in conjunction with the ZBL Annual Report and Financial Statements for the corresponding financial year WHICH WILL BE PUBLISHED IN MARCH 2009", and "The disclosures herein are based on the ICAAP last approved in September 2008". So this is an in-year disclosure written before the 2008 year-end and before the 2008 accounts existed; 'for the year ending' means the year then in progress, not an as-at date. THE FIGURE IS THEREFORE NEITHER AN FY2008 NOR AN FY2007 POSITION - it is 31 December 2007 audited reserves combined with share capital that already includes a May 2008 injection. There is no year column in this workbook it can honestly occupy, and mapping it to FY2008 (or to FY2007) would misdate it. No cell was written from it. It is recorded here in full so the document is part of this workbook's record and is not re-chased as an open lead. The edition contains no RWA, no capital requirement and no ratio of any kind, so nothing further was available from it in any case.</t>
        </is>
      </c>
    </row>
    <row r="14" ht="390" customHeight="1">
      <c r="A14" s="8" t="inlineStr">
        <is>
          <t>(continued)
FY2011 - TRANSCRIBED. Cover date is unambiguous ('for the year ended 31 December 2011', reviewed May 2012) and the capital table is explicitly headed 'Tier 1 capital as at 31 December 2011 audited accounts'. Native GBP: this pre-dates the Bank's redenomination to USD, so NO FX conversion is applied to these figures (see NATIVE_GBP_YEARS on the statement sheets for the same treatment). Figures, GBP'000:
  Capital table - Share capital at 31 December 2011 35,001; Profit and loss reserve 8,630; TOTAL TIER 1 CAPITAL 43,631. The Bank states 'The Bank's entire capital base is Tier 1 capital which consists of fully issued ordinary shares satisfying all the criteria for a Tier 1 instrument (as outlined in GENPRU 2.2.83 R) and audited reserves' - so there is no AT1 and no Tier 2, by the Bank's own statement.
  Pillar 1 capital requirements - Credit Risk 18,156; Market Risk 27; Operational Risk 1,503; TOTAL 19,686. Regulatory Available Capital 40,002.
  Pillar 1 credit risk capital requirement by exposure class (each stated as 8% of the risk weighted exposure amount) - Financial Institutions 5,768; Corporates 7,461; Retail 25; Bonds 3,899; Sovereigns 896; Multilateral Development Banks 0; Fixed and other assets 107; total 18,156.
  Pillar 2 - Own Capital Assessment total 29,802 against Regulatory 19,686; capital resources at assessment date 40,002 on both bases.
NO RWA IS RECORDED FOR FY2011, AND THAT IS DELIBERATE. The edition discloses capital REQUIREMENTS, not risk-weighted amounts. Dividing each requirement by 8% would produce a total RWA of 246,075 - but that is a derivation, and this project's standing rule is to transcribe only what a document states directly. The requirement figures are preserved verbatim above instead. READ THIS ALONGSIDE THE PRE-CRD IV METHODOLOGY NOTE BELOW: the FY2014/FY2015 Total RWA figures already on these sheets WERE produced by exactly that division, in an earlier pass. That pre-existing derivation is left untouched here (removing populated data is not this pass's call) but it is flagged, and it was deliberately NOT propagated backwards to FY2011.
*** CAPITAL-COVER RATIO TRAP - WHY FY2011's RATIO CELLS ARE 'Not publicly disclosed' RATHER THAN 203% ***
The FY2011 edition prints 'Solvency Ratio against Pillar 1 203%' and, in its Pillar 2 table, 'Capital Adequacy Ratio 203% / 134%'. These are NOT CRR-style capital ratios. The source annotates the first one itself: '(capital divided by Total amount)', i.e. available capital divided by the capital REQUIREMENT - a capital-cover multiple of roughly 12.5x a true capital/RWA ratio. Writing 203% into the Total Capital Ratio sheet would overstate the Bank's capitalisation by an order of magnitude. This exact mistake has been caught three separate times elsewhere in this project. The ratio cells for FY2011 are therefore 'Not publicly disclosed', and the 203%/134% figures live here in the note where they cannot be mistaken for CRR ratios.
TWO FY2011 CAPITAL FIGURES, BOTH CARRIED, NEITHER PREFERRED SILENTLY. 'Total tier 1 capital' per the audited accounts is 43,631; 'Regulatory Available Capital' (post regulatory deductions) is 40,002. Both are on their own rows on the capital sheets. A DATING CAVEAT ON THE SECOND ONE, recorded because it could not be resolved from the document: the Pillar 2 table labels the same 40,002 'Capital resources (AT ASSESSMENT DATE)', not as at 31 December 2011, and 40,002 is also - to the GBP'000 - this workbook's FY2010 closing Total equity of GBP 40,002,338. That may be coincidence or it may mean the ICAAP assessment was run off the FY2010 year-end position. The document does not say, so no conclusion is asserted; the 43,631 figure is the one the document explicitly dates to 31 December 2011.
VALIDATION GATE - PASSED CLEANLY, ACROSS THREE YEARS. The FY2011 edition's operational-risk table (section 4.3.3) prints three full years of actual income in GBP, and every single line reproduces this workbook's Profit &amp; Loss sheet to the pound: 2011 interest receivable 11,927,839 / interest payable (3,564,624) / net interest income 8,363,215 / fees and commissions 2,827,687 / exchange profits 859,674 / OPERATING INCOME 12,050,576; 2010 8,243,082 / (1,269,122) / 6,973,960 / 2,106,201 / 288,424 / 9,368,585; 2009 8,943,064 / (3,027,983) / 5,915,081 / 2,050,411 / 681,633 / 8,647,125. That independently corroborates the FY2009-FY2011 P&amp;L figures recovered from Companies House under HD-073, from a completely separate document. ONE SMALL DIVERGENCE, documented not corrected: the Pillar 3's 'Profit and loss reserve 8,630' against this workbook's FY2011 retained earnings of 8,623,795 (a GBP 6.2k gap that simple rounding to GBP'000 does not explain - 8,623,795 rounds to 8,624), and correspondingly 'Total tier 1 capital 43,631' against Total equity 43,624,795. Share capital agrees exactly at 35,001. Neither figure was overwritten.
*** ARCHIVE STATUS OF THE REMAINING YEARS - three genuinely different statements, kept distinct ***
(a) FY2016 and FY2019 - PUBLISHED BUT LOST. These editions demonstrably existed: archived captures of the Bank's own Pillar 3 index page name the files. But the PDFs themselves 404 on the live site and were never captured by any crawler. This is a stronger and more useful statement than 'not found': the disclosure was made, and it is the archive that failed, so no amount of further searching of the Bank's own site will recover it. Second pass 2026-09-19 also tried archive.ph, Wayback CDX of every Zenith domain without the PDF mimetype filter, the following year's Annual Report for a comparative, the parent Zenith Bank Plc's Pillar 3 (no separate UK-entity disclosure in what is readable; live copies 403, archived copies truncated) and a web search - all negative.
(b) FY2017, FY2018 and FY2020 - APPARENTLY NEVER POSTED. The Bank's index page only ever displayed the single latest edition, and it still showed FY2016 as at February 2019 and still showed FY2019 as at September 2021 - which implies no FY2017, FY2018 or FY2020 edition was ever published to the site. THIS IS AN INFERENCE, NOT PROOF, AND THE CAVEAT IS RECORDED DELIBERATELY: there are no index-page captures at all between February 2019 and January 2021, so an edition could have been posted and replaced inside that window without leaving a trace. (FY2020's figures are nonetheless held on these sheets, recovered from the FY2021 edition's own comparative column - see FY2020_COMPARATIVE_NOTE - so for FY2020 the question is moot.)
(c) FY2009, FY2010, FY2012 and FY2013 - NO CAPTURE AT ALL. Neither the PDFs nor any index page naming them survives, so it is not known whether editions for these years were ever published.
These three states are recorded separately on purpose. 'Published but lost' closes a lead permanently; 'apparently never posted' is a rebuttable inference; 'no capture at all' is a genuine unknown.
*** UNIT-SCALE DEFECT FOUND AND FIXED 2026-09-15 - READ BEFORE COMPARING AGAINST ANY EARLIER COPY ***</t>
        </is>
      </c>
    </row>
    <row r="16" ht="234" customHeight="1">
      <c r="A16" s="8" t="inlineStr">
        <is>
          <t>(continued)
For a period earlier on 2026-09-15, every absolute-amount cell on the 11 Pillar 3 metric sheets and the RWA Breakdown sheet of this workbook was 1000x smaller than its "£'000" unit label claimed - the figures were effectively GBP MILLIONS. The symptom: FY2024 CET1 capital read 302.3 while the Balance Sheet sheet showed FY2024 Total equity as 305,356.2 under the same "£'000, conv. from USD" header - two figures that should be within a few percent of each other, three orders of magnitude apart.
CAUSE (a units-handling bug in this build script, NOT a transcription error - no source figure was ever wrong): the Annual Report statements print WHOLE DOLLARS and are transcribed that way, so stock()/flow() divide by 1,000 on top of the FX rate to reach £'000. The Pillar 3 disclosures print US$'000 and are transcribed that way, but were being passed through that same stock(), applying the divide-by-1,000 twice over to figures that were already in thousands. FIX: a separate stock_k() helper (FX conversion only, no divide by 1,000) now serves every Pillar 3 and RWA Breakdown call site; the transcribed source figures were not touched.
THE SOURCE SCALE IS EXPLICIT IN THE DOCUMENTS, not inferred. The FY2024 edition's UK KM1 and UK OV1 tables suffix every figure with a literal " k" ("Common Equity Tier 1 (CET1) capital 378,325 k"; "Total risk-weighted exposure amount 1,475,750 k") and its own footnote writes it out in prose: "the average ASF US$1,136,904k / the average RSF US$768,308k = 147.98%". The FY2015 edition heads its capital tables "US$000's". The decisive cross-check: the Bank's share capital is "136,701,620 ordinary shares of US$1", which the Annual Report carries as 136,701,620 and the Pillar 3 prints as "136,702 k" - the same money at two scales.
WHAT DID NOT CHANGE, AND WHY THE DEFECT SURVIVED SO LONG: every ratio on these sheets (CET1/Tier 1/Total Capital/Leverage/LCR/NSFR) is dimensionless, so numerator and denominator were scaled identically and every printed ratio reproduced both before and after the fix - there was no ratio symptom to catch. The statement sheets (Balance Sheet, Profit &amp; Loss, Statement of Changes in Equity, Cash Flow Statement, Asset Quality) were never affected: they are sourced from the Annual Reports in whole dollars and stock()/flow() were always correct for them. The Overview sheet carries no Pillar 3 absolute amount at all (only statement totals and ratios), so it needed no rescaling either.
FY2011 FOOTNOTE: the two Basel II capital figures on the Tier 1 Capital and Total Capital sheets were entered as 43.6 and 40.0 during the window in which the defect stood, deliberately matching the wrong scale so as not to create a mixed-unit defect inside a single sheet. They now read 43,631 and 40,002 - the figures the FY2011 edition actually prints, in GBP'000.
FY2016 PILLAR 3 RECOVERED (GA-020 cdn-sweep, 2026-09-19) - this supersedes the FY2016 half of the 'unobtainable' paragraph above. The Bank's pre-2018 site served files from /uploads/, and Common Crawl captured http://www.zenith-bank.co.uk/uploads/ZBL_Pillar_3_Disclosure_Document_2016.pdf on 2018-02-24 (crawl CC-MAIN-2018-09; WARC crawl-data/CC-MAIN-2018-09/segments/1518891815318.53/warc/CC-MAIN-20180224033332-20180224053332-00132.warc.gz, offset 592640953, length 648238; retrieve with an HTTP Range request against https://data.commoncrawl.org/). HTTP 200 application/pdf, Last-Modified 2018-01-02, 713,641 bytes = the stated Content-Length, %PDF ... %%EOF, 17 pages; title page 'ZENITH BANK (UK) LIMITED - PILLAR 3 DISCLOSURES FOR THE YEAR ENDED 31 DECEMBER 2016'. Read on the page images: p.8 s.3.3.1 names 'LCR, NSFR, Funding concentration' only as PRA standards the Bank maintains, with no figure; p.9 s.4.2 Total CET-1 capital US$192,990k (2015: 190,521) and s.4.3.1 Pillar 1 capital requirements Credit 47,135 / Market 633 / Operational 5,172 / Total 52,940 (US$000), Regulatory Available Capital 192,990; p.10 'Solvency Ratio against Pillar 1 (Available capital / Required capital)' 365% (2015: 258%) and the credit-risk capital requirement (8%) by exposure class; p.11 Pillar 2A allocation, total 94,675. It is the same pre-CRD IV Pillar 1/Pillar 2 format as FY2014/FY2015: no CET1/capital ratio, no risk-weighted amount, no leverage ratio, no LCR/NSFR figure and no MREL anywhere in its 17 pages (text layer on every page; the only image is the p.1 logo). So the FY2016 ratio, RWA, leverage, LCR and MREL cells read 'Not published' from the edition itself. The RWA is NOT derived from the requirements by dividing by 8%, following the FY2011 treatment (the FY2014/FY2015 derivation stays flagged, not extended). The 365% cover multiple is NOT a capital ratio (see the Tier 1 Ratio note). The capital AMOUNT (US$192,990k) WAS LEFT UNWRITTEN BY THAT PASS as outside its scope, which left the CRR-basis FY2016 cell blank while the Annual-Report rows beneath it carried figures. It was placed on 2026-10-07, after being re-read off a 300 dpi image of printed p.9 - see the FY2016 capital note on the CET1 Capital, Tier 1 Capital and Total Capital sheets, which also records the FY2015 restatement the same page exposes. FY2019 remains unreached: its media/2177 file was never captured by Wayback or by any of 74 Common Crawl crawls (2016-2023) of zenith-bank.co.uk/media/*, and the Azure origin zenithbank-uk.azurewebsites.net 301s to the same 404.</t>
        </is>
      </c>
    </row>
  </sheetData>
  <mergeCells count="5">
    <mergeCell ref="A16:R16"/>
    <mergeCell ref="A10:R10"/>
    <mergeCell ref="A14:R14"/>
    <mergeCell ref="A9:R9"/>
    <mergeCell ref="A12:R1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R13"/>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s>
  <sheetData>
    <row r="1">
      <c r="A1" s="1" t="inlineStr">
        <is>
          <t>Zenith Bank (UK) Limited — CET1 Ratio</t>
        </is>
      </c>
    </row>
    <row r="2">
      <c r="A2" s="2" t="inlineStr">
        <is>
          <t>% of RWA</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c r="M3" s="4" t="inlineStr">
        <is>
          <t>FY2014</t>
        </is>
      </c>
      <c r="N3" s="4" t="inlineStr">
        <is>
          <t>FY2013</t>
        </is>
      </c>
      <c r="O3" s="4" t="inlineStr">
        <is>
          <t>FY2012</t>
        </is>
      </c>
      <c r="P3" s="4" t="inlineStr">
        <is>
          <t>FY2011</t>
        </is>
      </c>
      <c r="Q3" s="4" t="inlineStr">
        <is>
          <t>FY2010</t>
        </is>
      </c>
      <c r="R3" s="4" t="inlineStr">
        <is>
          <t>FY2009</t>
        </is>
      </c>
    </row>
    <row r="4">
      <c r="A4" s="6" t="inlineStr">
        <is>
          <t>Common Equity Tier 1 (CET1) ratio</t>
        </is>
      </c>
      <c r="B4" s="6" t="inlineStr">
        <is>
          <t>23.40%</t>
        </is>
      </c>
      <c r="C4" s="6" t="inlineStr">
        <is>
          <t>25.64%</t>
        </is>
      </c>
      <c r="D4" s="6" t="inlineStr">
        <is>
          <t>28.95%</t>
        </is>
      </c>
      <c r="E4" s="6" t="inlineStr">
        <is>
          <t>25.84%</t>
        </is>
      </c>
      <c r="F4" s="6" t="inlineStr">
        <is>
          <t>20.78%</t>
        </is>
      </c>
      <c r="G4" s="6" t="inlineStr">
        <is>
          <t>28.29%</t>
        </is>
      </c>
      <c r="H4" s="6" t="n"/>
      <c r="I4" s="6" t="n"/>
      <c r="J4" s="6" t="n"/>
      <c r="K4" s="6" t="n"/>
      <c r="L4" s="6" t="inlineStr">
        <is>
          <t>20.38%</t>
        </is>
      </c>
      <c r="M4" s="6" t="inlineStr">
        <is>
          <t>22.32%</t>
        </is>
      </c>
      <c r="N4" s="6" t="inlineStr">
        <is>
          <t>Not applicable (Basel II)</t>
        </is>
      </c>
      <c r="O4" s="6" t="inlineStr">
        <is>
          <t>Not applicable (Basel II)</t>
        </is>
      </c>
      <c r="P4" s="6" t="inlineStr">
        <is>
          <t>Not applicable (Basel II)</t>
        </is>
      </c>
      <c r="Q4" s="6" t="inlineStr">
        <is>
          <t>Not applicable (Basel II)</t>
        </is>
      </c>
      <c r="R4" s="6" t="inlineStr">
        <is>
          <t>Not applicable (Basel II)</t>
        </is>
      </c>
    </row>
    <row r="5">
      <c r="A5" s="6" t="inlineStr">
        <is>
          <t>Common Equity Tier 1 (CET1) ratio as stated in that year's own ANNUAL REPORT (not from a Pillar 3 / UK KM1 template)</t>
        </is>
      </c>
      <c r="B5" s="6" t="n"/>
      <c r="C5" s="6" t="n"/>
      <c r="D5" s="6" t="n"/>
      <c r="E5" s="6" t="n"/>
      <c r="F5" s="6" t="n"/>
      <c r="G5" s="6" t="n"/>
      <c r="H5" s="6" t="inlineStr">
        <is>
          <t>Unreached today – FY2019 Pillar 3 named on archived index page; PDF 404 live; no copy in Wayback, archive.ph, Common Crawl (74 crawls) or the Azure origin host (2026-09-19); FY2019/FY2020 ARs print none</t>
        </is>
      </c>
      <c r="I5" s="6" t="inlineStr">
        <is>
          <t>32.38%</t>
        </is>
      </c>
      <c r="J5" s="6" t="inlineStr">
        <is>
          <t>35.53%</t>
        </is>
      </c>
      <c r="K5" s="6" t="inlineStr">
        <is>
          <t>Not published – FY2016 AR prints no ratio; recovered FY2016 Pillar 3 p.9-10 prints only a 365% 'Solvency Ratio against Pillar 1' (capital/requirement), no CET1 ratio</t>
        </is>
      </c>
      <c r="L5" s="6" t="n"/>
      <c r="M5" s="6" t="n"/>
      <c r="N5" s="6" t="n"/>
      <c r="O5" s="6" t="n"/>
      <c r="P5" s="6" t="n"/>
      <c r="Q5" s="6" t="n"/>
      <c r="R5" s="6" t="n"/>
    </row>
    <row r="6" ht="377" customHeight="1">
      <c r="A6" s="7" t="inlineStr">
        <is>
          <t>Note: FY2009-FY2013 'Not applicable (Basel II)' - no CET1 concept existed (see CET1 Capital sheet).
THE ANNUAL-REPORT RATIO ROW (FY2017/FY2018, added 2026-09-18) IS A SEPARATE ROW FOR A REASON. Neither figure comes from a Pillar 3 UK KM1 template - no Pillar 3 edition survives for either year (see the Annual-Report capital recovery note below). FY2018's 32.38% is stated in the Strategic Report of the FY2018 Annual Report, printed p.8 / PDF p.10 (https://www.zenith-bank.co.uk/media/2151/2018-annual-report.pdf): 'The Bank's strong capital position at the end of 2018, which reflects a Common Equity Tier 1 (CET1) ratio of 32.38%'. FY2017's 35.53% is stated in the Strategic Report of the FY2017 Annual Report, printed p.11 / PDF p.13 (https://www.zenith-bank.co.uk/media/2142/2017-annual-report-and-financial-statements.pdf), in an 'IFRS 9 implications' passage that gives three figures for the same transition - '35.53% under IAS 39 at 31 December 2017 / 34.40% under IFRS 9 at 1 January 2018 before transitional relief / 35.47% under IFRS 9 at 1 January 2018 after transitional relief'. ONLY THE FIRST IS A 31 DECEMBER 2017 POSITION; the other two are 1 January 2018 opening positions and belong to no year column here, so they are recorded in this note and nowhere else. The Bank's entire capital base is CET1 (its own statement - no AT1, no Tier 2), so the same figure is the Tier 1 ratio and the Total capital ratio, exactly as for every year sourced from a KM1 template on these sheets.
A TRAJECTORY ODDITY, FLAGGED AND DELIBERATELY NOT RESOLVED: 35.53% (FY2017) and 32.38% (FY2018) sit well above the 20.38% recorded for FY2015 and the 28.29% for FY2020, and neither the FY2017 nor the FY2018 Annual Report prints the RWA that would explain the movement. Nothing has been back-solved from capital and ratio to produce one - that is barred by this project's rules and would in any case be a derivation presented as a disclosure. The ratios are carried as printed; the RWA cells stay stated-absent.
FY2016 and FY2019 get no ratio at all: those two Annual Reports print a Capital Resources table but no capital ratio anywhere. FY2016's Pillar 3 was recovered on 2026-09-19 (see the Z16 note in the source cell) and prints no capital ratio either - only a 365% capital-cover multiple - so FY2016 is 'Not published'; FY2019's Pillar 3 demonstrably existed and is still lost, so FY2019 is 'Unreached today'.
*** ANNUAL-REPORT CAPITAL RECOVERY, 2026-09-18 - READ THIS BEFORE RE-CHASING FY2012/FY2013 OR FY2016-FY2019 ***
Every prior pass treated FY2016-FY2019 as a closed gap on the reasoning that no Pillar 3 disclosure document is recoverable for those years. That reasoning was about DOCUMENTS OF ONE KIND. It remained true of FY2017-FY2019 (see the archive-status note below - the ladder was re-run in full on 2026-09-18 and every rung failed again) and is now FALSE of FY2016, whose edition was recovered from Common Crawl on 2026-09-19; but it was never a statement about the Bank's CAPITAL DISCLOSURE, because Zenith Bank (UK) Limited also prints a 'Capital Management' note inside note 25 'Financial risk management' of EVERY Annual Report, and that note carries a Capital Resources table. Those tables were read on 2026-09-18 and are the source of the FY2012, FY2013, FY2016, FY2017, FY2018 and FY2019 capital rows on this sheet. NONE of them discloses a risk-weighted exposure amount, which is why Total RWAs and the RWA Breakdown sheet stay empty of figures for those years.
THE ROWS ARE SEPARATE FROM THE CRR/KM1 ROW ABOVE ON PURPOSE. A Pillar 3 UK KM1 'CET1 capital' figure and an Annual Report 'Capital Resources' figure are not guaranteed to be struck on the same basis, and for this Bank they demonstrably are not in some years (FY2018's own Annual Report reconciles statutory capital of US$225,399,559 down to regulatory Tier 1 of US$202,258,835 through an IFRS 9 transition add-back, an IFRS 9 year-1 deduction, a prudential valuation adjustment and an intangibles deduction). Splicing either figure onto the KM1 row would create a silent basis break mid-series, so each basis keeps its own labelled row and no cell is merged across the break.
WHAT EACH YEAR'S OWN EDITION ACTUALLY PRINTS (all US$ unless stated):
  FY2016 (Annual Report and Accounts 2016, printed p.34 / PDF p.37 - https://www.zenith-bank.co.uk/media/1009/statutory_accounts_year_ended_31st_december_2016.pdf): a two-line Capital Resources table, Share capital 136.7 / Retained earnings 56.5 / TOTAL TIER 1 CAPITAL 193.2, printed in US$ MILLIONS to one decimal. There is no regulatory-deduction reconciliation, no RWA and no ratio in this edition. The figure carried here is 193,158,399 rather than 193,200,000: that is the same edition's own share capital (136,701,620) plus its own retained earnings (56,456,779), both printed in full dollars on its Statement of Financial Position and Statement of Changes in Equity, i.e. exactly the addition the capital note itself performs at a coarser scale. The FY2017 edition's comparative column prints the same line as 193,158,399 to the dollar, confirming it.
  FY2017 (Annual Report and Financial Statements 2017, printed p.48 / PDF p.50 - https://www.zenith-bank.co.uk/media/2142/2017-annual-report-and-financial-statements.pdf): Share capital 136,701,620 / Retained earnings 70,085,676 / Total Tier 1 capital 206,787,296. This edition prints NO post-deduction regulatory figure at all - the FY2017 regulatory Tier 1 of 193,158,399 exists only as the FY2018 edition's comparative column, and is therefore carried on its own explicitly comparative-labelled row rather than alongside own-edition figures.
  FY2018 (Annual Report and Financial Statements 2018, printed p.57 / PDF p.59 - https://www.zenith-bank.co.uk/media/2151/2018-annual-report.pdf): Share capital 136,701,620 / Reserves (99,803) / Retained earnings 88,797,742 / Total statutory capital 225,399,559; then IFRS 9 transition adjustment 8,861,638, Profit or loss attributable to owners of the parent (27,509,757), IFRS 9 transition adjustment year 1 impact (1,772,328), value adjustments due to the requirements for prudential valuation (unaudited) (842,446), other intangible assets before deduction of deferred tax liabilities (1,877,831) = TOTAL REGULATORY CAPITAL (TIER 1) 202,258,835. The reconciliation foots exactly.
  FY2019 (Annual Report and Financial Statements 2019, printed p.60 / PDF p.62 - https://www.zenith-bank.co.uk/media/2169/258558-zenith-web.pdf): Share capital 136,701,620 / Reserves 740,531 / Retained earnings 116,728,430 / Total statutory capital 254,170,581; then IFRS 9 transition adjustment (3,544,655), prudential valuation (649,575), other intangible assets (2,018,933) and profit for the year (27,930,688) = TOTAL REGULATORY CAPITAL (TIER 1) EXCLUDING AUDITED PROFIT 220,026,730; the same table then adds the profit back to give TOTAL REGULATORY CAPITAL (TIER 1) INCLUDING AUDITED PROFIT 247,957,418. BOTH are printed, so both are carried, on separate rows; neither is preferred silently. (The same table's FY2018 comparative column restates FY2018 on the including-profit basis as 229,768,592 - recorded here in the note only, since FY2018's own edition printed no such line.)
  FY2013 (Financial Statements for the year ended 31 December 2013, printed p.39 / PDF p.41 - https://find-and-update.company-information.service.gov.uk/company/05713749/filing-history/MzEwNDk3MzAyNmFkaXF6a2N4/document?format=pdf&amp;download=0): 'Total capital at 31 December 2013 was GBP 74,509,003 (2012: GBP 66,836,084) ... Total Regulatory Capital as at 31 December 2013 was GBP 72,342,265 (2012: GBP 62,082,926)', with a Capital Resources table reading Tier one Capital / Shareholders' Funds 72,342,265 / TOTAL TIER 1 CAPITAL 72,342,265.</t>
        </is>
      </c>
    </row>
    <row r="7" ht="169" customHeight="1">
      <c r="A7" s="7" t="inlineStr">
        <is>
          <t>(continued)
FY2012 (Financial Statements as at 31 December 2012, printed p.38 / PDF p.40 - https://find-and-update.company-information.service.gov.uk/company/05713749/filing-history/MzA4MDQyODAzOGFkaXF6a2N4/document?format=pdf&amp;download=0): the same note, 'Total capital at 31 December 2012 was GBP 66,836,084 (2011 GBP 43,109,518) ... Total Regulatory Capital as at 31 December 2012 was GBP 62,082,926 (2011 GBP 40,002,338)', table TOTAL TIER 1 CAPITAL 62,082,926.
FY2012/FY2013 ARE NATIVE GBP AND ARE NOT FX-CONVERTED - they pre-date the Bank's redenomination to USD (see the FX conversion note on the Cash Flow Statement sheet and NATIVE_GBP_YEARS in the build script), so they sit on these sheets in GBP'000 exactly as printed, on the same scale as the FY2011 Basel II rows. Both editions are IMAGE-ONLY SCANS from Companies House (company 05713749) with a zero-character text layer; they were OCR'd to locate the page and then EVERY FIGURE WAS CONFIRMED VISUALLY against the page rendered at 260 dpi. No figure here rests on OCR output alone.
TWO CORROBORATIONS AND ONE DIVERGENCE, none of them adjusted. (1) The FY2012 edition's 2011 comparative Total Regulatory Capital of GBP 40,002,338 matches, to the pound, the 'Regulatory Available Capital 40,002' (GBP'000) that the recovered FY2011 Pillar 3 prints - two independent documents agreeing, and it also resolves the dating caveat recorded against that FY2011 Pillar 3 figure in favour of it being a genuine 31 December 2011 position rather than a FY2010 one. (2) The FY2012 edition's 2011 comparative 'total capital' of GBP 43,109,518 does NOT match this workbook's FY2011 total equity of GBP 43,624,795 (taken from FY2011's own report) - a GBP 515,277 gap, consistent with the FY2012 IFRS-conversion restatement already documented in the HD-073 extension note. Each year keeps its own report's figure; nothing was reconciled.
WHAT IS STILL GENUINELY ABSENT AFTER THIS PASS: no Zenith Bank (UK) Annual Report in any year FY2012-FY2019 prints a risk-weighted exposure amount, an RWA breakdown, a leverage ratio, an LCR or an NSFR. Each of those four editions was searched in full text for 'risk weighted', 'risk-weighted', 'RWA', 'leverage', 'liquidity coverage' and 'stable funding'; the only hits are the boilerplate sentence 'a ratio of total regulatory capital to risk-weighted exposures at or above a level determined for each institution' and narrative liquidity-management prose naming the LCR and NSFR without any figure. Those cells therefore carry explicit stated-absence markers rather than blanks.
PRE-CRD IV NOTE (FY2014/FY2015/FY2016): see the PRE-CRD IV METHODOLOGY NOTE in the Pillar 3 sources above for full detail - the FY2014 and FY2015 RATIOS are the Bank's own 'Regulatory Available Capital' (not its larger undeducted 'Total tier 1 capital per audited accounts' memo figure) divided by a derived Total RWA (each Pillar 1 capital requirement component divided by 8%, summed). FY2016's edition is the same pre-CRD IV format and its CAPITAL AMOUNT is now carried (2026-10-07, see the FY2016 capital note on the CET1/Tier 1/Total Capital sheets), but NO FY2016 RATIO is shown, because the derivation that produced the FY2014/FY2015 ratios was not extended - see the Total RWAs sheet. FY2017-FY2019 are blank: no Pillar 3 disclosure document is recoverable for those three years (see Pillar 3 sources note). FY2020 is NOT blank; it comes from the FY2021 edition's comparative column.</t>
        </is>
      </c>
    </row>
    <row r="9" ht="377" customHeight="1">
      <c r="A9" s="8" t="inlineStr">
        <is>
          <t>Sources - Zenith Bank (UK) Limited Pillar 3 Disclosures (UK KM1 - Key Metrics; pre-CRD IV Pillar 1/2 disclosures for FY2014-FY2015 - see methodology note below), converted from USD to £ where a $ amount (see FX conversion note on the Cash Flow Statement sheet; % ratios are unconverted):
FY2025: Pillar 3 Disclosures as at 31 Dec 2025, p.16 (Section 10, Key Metrics) - https://www.zenith-bank.co.uk/media/2290/pillar-3-zbuk-31dec25.pdf
FY2024: Pillar 3 Disclosures as at 31 Dec 2024, p.17 (Section 9, Key Metrics) - https://www.zenith-bank.co.uk/media/2274/31dec24-pillar-3-zbuk.pdf
FY2023: Pillar 3 Disclosures as at 31 Dec 2023, p.17 (Section 9, Key Metrics) - https://www.zenith-bank.co.uk/media/2260/pillar-3-31dec23-final.pdf
FY2022: Pillar 3 Disclosures as at 31 Dec 2022, p.24 (Section 10, Key Metrics) - https://www.zenith-bank.co.uk/media/2238/zbuk-31dec22-pillar-3-disclosures.pdf
FY2021: Pillar 3 Disclosures as at 31 Dec 2021, p.23 (Section 10, Key Metrics) - https://www.zenith-bank.co.uk/media/2228/31dec21-pillar-3.pdf
FY2015: Pillar 3 Disclosures 31 December 2015, p.8-9 (Section 4, Capital Adequacy Overview &amp; Resources) - http://web.archive.org/web/20161128044735id_/http://www.zenith-bank.co.uk/uploads/ZBL_Pillar_3_Disclosure_Document_2015.pdf
FY2014: Pillar 3 Disclosures 31 December 2014, p.8-9 (Section 4, Capital Adequacy Overview &amp; Resources) - http://web.archive.org/web/20160826052010id_/http://www.zenith-bank.co.uk/uploads/ZBL_Pillar_3_Disclosure_Document_2014.pdf
FY2017-FY2019 PILLAR 3 DOCUMENTS: unobtainable, and the full fetch ladder was re-run on 2026-09-18 with every rung failing, so this is a statement about ACCESS and is recorded as such. NARROWED FROM FY2016-FY2019 ON 2026-09-19 AND RE-CONFIRMED 2026-10-07: the FY2016 edition WAS recovered, from Common Crawl at the pre-2018 /uploads/ address, and its capital figure is now on the capital sheets (see the Z16 notes below). Everything in this paragraph about media/1013 remains true of that URL - the file really was deleted from the Bank's media store - and is kept because it is what sent the search to the older path. The two file names are known from archived captures of the Bank's own Pillar 3 index page - https://zenith-bank.co.uk/media/1013/zbl_pillar_3_disclosure_document_2016.pdf (named on the 2018-04-01 and 2019-02-15 captures, the older capture pointing at the pre-2018 path http://www.zenith-bank.co.uk/uploads/ZBL_Pillar_3_Disclosure_Document_2016.pdf) and https://zenith-bank.co.uk/media/2177/zenith-bank-uk-limited-pillar-3-disclosure-2019.pdf (named on the 2021-01-27 and 2021-09-19 captures). Rungs tried against each, all failing: plain curl (404 text/html), curl -L (404), curl --http1.1 -L (404), browser User-Agent with an Accept header (404); the old /uploads/ path 301-redirects to the same 404. A Wayback 'id_' raw fetch 404s for all three URLs, and a CDX enumeration of both zenith-bank.co.uk and www.zenith-bank.co.uk returns no capture of any Pillar 3 binary between the FY2015 and FY2021 editions. THIS IS NOT A STATEMENT THAT THE BANK PUBLISHED NOTHING - for FY2016 and FY2019 it demonstrably did. It is a statement that the archive failed. The capital data for these years was obtained from a completely different source family instead: see the ANNUAL-REPORT CAPITAL RECOVERY note on the capital sheets. FY2020's figures come from the FY2021 edition's own comparative column (see FY2020_COMPARATIVE_NOTE), so FY2020 needs no document of its own.
PRE-CRD IV METHODOLOGY NOTE (FY2014-FY2015 only): these two years pre-date the Bank's adoption of the modern UK KM1 template and CRD IV/Basel III concepts entirely - there is no 'CET1' concept, no Leverage Ratio, no LCR and no NSFR disclosed (LCR/NSFR minimums were not yet phased in for a firm this size; the Bank's own disclosure is a Pillar 1/Pillar 2 ICAAP-style capital adequacy summary). Because the Bank's entire capital base was ordinary share capital and audited reserves (no AT1 or Tier 2 instruments then either), its single 'Tier 1 capital' figure is shown here as CET1/Tier 1/Total Capital alike, consistent with the modern-era convention used elsewhere in this workbook - but note the figure used is the Bank's own 'Regulatory Available Capital' (post regulatory deductions, the figure actually used in its published solvency ratio), not its larger undeducted 'Total tier 1 capital per audited accounts' memo figure (FY2014: $185,197k memo vs $170,802k regulatory available; FY2015: $190,521k memo vs $188,483k regulatory available). Total RWAs for FY2014/FY2015 are derived (not directly disclosed) by dividing each disclosed Pillar 1 capital requirement by 8% (the standard Basel capital-to-RWA ratio), per component (Credit/Market/Operational Risk) and summed - FY2014's derived total ($765,350k) differs by $12.5k from an alternative derivation off the disclosed grand total capital requirement ($765,363k), a rounding artefact of the source's own component figures; the per-component sum is used throughout for internal consistency with the RWA Breakdown sheet. The resulting CET1/Tier1/Total Capital ratio (regulatory available capital / derived RWA) is NOT the same figure as the Bank's own headline 'Solvency Ratio against Pillar 1' (available capital / capital REQUIREMENT, i.e. roughly 12.5x this ratio) - both are shown in the RWA Breakdown sheet's source note for transparency.
HISTORICAL PILLAR 3 RECOVERY (2026-09-15) - FY2008 and FY2011 editions recovered from the Wayback Machine
FY2011: Zenith Bank (UK) Limited, "Pillar 3 Disclosures for the year ended 31 December 2011" (17pp, 'Reviewed May 2012'), section 4.2 Capital Resources and section 4.3 Capital Allocation, p.7-8 - https://web.archive.org/web/20130616222348id_/http://www.zenith-bank.co.uk:80/docs/ZBL_Pillar_3_Disclosure_Document_2011.pdf
FY2008: Zenith Bank (UK) Limited, "Pillar 3 Disclosures for the year ending 31 December 2008" (9pp, 'Reviewed December 2008'), section 1 Capital Adequacy Overview &amp; Resources, p.6 - https://web.archive.org/web/20090424153904id_/http://www.zenith-bank.co.uk:80/documents/ZBL_Pillar_3_Disclosure_Document.pdf
*** FY2008: RECOVERED, READ, AND DELIBERATELY NOT USED FOR ANY CELL ***
This document's cover is internally contradictory - it says 'FOR THE YEAR ENDING 31 DECEMBER 2008' but also 'Reviewed December 2008' and, on its last page, 'This Disclosure will be published in December 2008'. The contradiction was resolved from the FIGURES, not the cover, and the figures are decisive. The document's ONLY quantitative table is introduced verbatim as: "Tier 1 capital based on our 31 December 2007 audited accounts as adjusted for a GBP 15 million capital injection in May 2008 is as follows: Share capital 35,001 / Profit and loss reserve (1,473) / Total tier 1 capital 33,528" (GBP'000). Two further statements confirm it: "The disclosures should be read in conjunction with the ZBL Annual Report and Financial Statements for the corresponding financial year WHICH WILL BE PUBLISHED IN MARCH 2009", and "The disclosures herein are based on the ICAAP last approved in September 2008". So this is an in-year disclosure written before the 2008 year-end and before the 2008 accounts existed; 'for the year ending' means the year then in progress, not an as-at date. THE FIGURE IS THEREFORE NEITHER AN FY2008 NOR AN FY2007 POSITION - it is 31 December 2007 audited reserves combined with share capital that already includes a May 2008 injection. There is no year column in this workbook it can honestly occupy, and mapping it to FY2008 (or to FY2007) would misdate it. No cell was written from it. It is recorded here in full so the document is part of this workbook's record and is not re-chased as an open lead. The edition contains no RWA, no capital requirement and no ratio of any kind, so nothing further was available from it in any case.</t>
        </is>
      </c>
    </row>
    <row r="11" ht="390" customHeight="1">
      <c r="A11" s="8" t="inlineStr">
        <is>
          <t>(continued)
FY2011 - TRANSCRIBED. Cover date is unambiguous ('for the year ended 31 December 2011', reviewed May 2012) and the capital table is explicitly headed 'Tier 1 capital as at 31 December 2011 audited accounts'. Native GBP: this pre-dates the Bank's redenomination to USD, so NO FX conversion is applied to these figures (see NATIVE_GBP_YEARS on the statement sheets for the same treatment). Figures, GBP'000:
  Capital table - Share capital at 31 December 2011 35,001; Profit and loss reserve 8,630; TOTAL TIER 1 CAPITAL 43,631. The Bank states 'The Bank's entire capital base is Tier 1 capital which consists of fully issued ordinary shares satisfying all the criteria for a Tier 1 instrument (as outlined in GENPRU 2.2.83 R) and audited reserves' - so there is no AT1 and no Tier 2, by the Bank's own statement.
  Pillar 1 capital requirements - Credit Risk 18,156; Market Risk 27; Operational Risk 1,503; TOTAL 19,686. Regulatory Available Capital 40,002.
  Pillar 1 credit risk capital requirement by exposure class (each stated as 8% of the risk weighted exposure amount) - Financial Institutions 5,768; Corporates 7,461; Retail 25; Bonds 3,899; Sovereigns 896; Multilateral Development Banks 0; Fixed and other assets 107; total 18,156.
  Pillar 2 - Own Capital Assessment total 29,802 against Regulatory 19,686; capital resources at assessment date 40,002 on both bases.
NO RWA IS RECORDED FOR FY2011, AND THAT IS DELIBERATE. The edition discloses capital REQUIREMENTS, not risk-weighted amounts. Dividing each requirement by 8% would produce a total RWA of 246,075 - but that is a derivation, and this project's standing rule is to transcribe only what a document states directly. The requirement figures are preserved verbatim above instead. READ THIS ALONGSIDE THE PRE-CRD IV METHODOLOGY NOTE BELOW: the FY2014/FY2015 Total RWA figures already on these sheets WERE produced by exactly that division, in an earlier pass. That pre-existing derivation is left untouched here (removing populated data is not this pass's call) but it is flagged, and it was deliberately NOT propagated backwards to FY2011.
*** CAPITAL-COVER RATIO TRAP - WHY FY2011's RATIO CELLS ARE 'Not publicly disclosed' RATHER THAN 203% ***
The FY2011 edition prints 'Solvency Ratio against Pillar 1 203%' and, in its Pillar 2 table, 'Capital Adequacy Ratio 203% / 134%'. These are NOT CRR-style capital ratios. The source annotates the first one itself: '(capital divided by Total amount)', i.e. available capital divided by the capital REQUIREMENT - a capital-cover multiple of roughly 12.5x a true capital/RWA ratio. Writing 203% into the Total Capital Ratio sheet would overstate the Bank's capitalisation by an order of magnitude. This exact mistake has been caught three separate times elsewhere in this project. The ratio cells for FY2011 are therefore 'Not publicly disclosed', and the 203%/134% figures live here in the note where they cannot be mistaken for CRR ratios.
TWO FY2011 CAPITAL FIGURES, BOTH CARRIED, NEITHER PREFERRED SILENTLY. 'Total tier 1 capital' per the audited accounts is 43,631; 'Regulatory Available Capital' (post regulatory deductions) is 40,002. Both are on their own rows on the capital sheets. A DATING CAVEAT ON THE SECOND ONE, recorded because it could not be resolved from the document: the Pillar 2 table labels the same 40,002 'Capital resources (AT ASSESSMENT DATE)', not as at 31 December 2011, and 40,002 is also - to the GBP'000 - this workbook's FY2010 closing Total equity of GBP 40,002,338. That may be coincidence or it may mean the ICAAP assessment was run off the FY2010 year-end position. The document does not say, so no conclusion is asserted; the 43,631 figure is the one the document explicitly dates to 31 December 2011.
VALIDATION GATE - PASSED CLEANLY, ACROSS THREE YEARS. The FY2011 edition's operational-risk table (section 4.3.3) prints three full years of actual income in GBP, and every single line reproduces this workbook's Profit &amp; Loss sheet to the pound: 2011 interest receivable 11,927,839 / interest payable (3,564,624) / net interest income 8,363,215 / fees and commissions 2,827,687 / exchange profits 859,674 / OPERATING INCOME 12,050,576; 2010 8,243,082 / (1,269,122) / 6,973,960 / 2,106,201 / 288,424 / 9,368,585; 2009 8,943,064 / (3,027,983) / 5,915,081 / 2,050,411 / 681,633 / 8,647,125. That independently corroborates the FY2009-FY2011 P&amp;L figures recovered from Companies House under HD-073, from a completely separate document. ONE SMALL DIVERGENCE, documented not corrected: the Pillar 3's 'Profit and loss reserve 8,630' against this workbook's FY2011 retained earnings of 8,623,795 (a GBP 6.2k gap that simple rounding to GBP'000 does not explain - 8,623,795 rounds to 8,624), and correspondingly 'Total tier 1 capital 43,631' against Total equity 43,624,795. Share capital agrees exactly at 35,001. Neither figure was overwritten.
*** ARCHIVE STATUS OF THE REMAINING YEARS - three genuinely different statements, kept distinct ***
(a) FY2016 and FY2019 - PUBLISHED BUT LOST. These editions demonstrably existed: archived captures of the Bank's own Pillar 3 index page name the files. But the PDFs themselves 404 on the live site and were never captured by any crawler. This is a stronger and more useful statement than 'not found': the disclosure was made, and it is the archive that failed, so no amount of further searching of the Bank's own site will recover it. Second pass 2026-09-19 also tried archive.ph, Wayback CDX of every Zenith domain without the PDF mimetype filter, the following year's Annual Report for a comparative, the parent Zenith Bank Plc's Pillar 3 (no separate UK-entity disclosure in what is readable; live copies 403, archived copies truncated) and a web search - all negative.
(b) FY2017, FY2018 and FY2020 - APPARENTLY NEVER POSTED. The Bank's index page only ever displayed the single latest edition, and it still showed FY2016 as at February 2019 and still showed FY2019 as at September 2021 - which implies no FY2017, FY2018 or FY2020 edition was ever published to the site. THIS IS AN INFERENCE, NOT PROOF, AND THE CAVEAT IS RECORDED DELIBERATELY: there are no index-page captures at all between February 2019 and January 2021, so an edition could have been posted and replaced inside that window without leaving a trace. (FY2020's figures are nonetheless held on these sheets, recovered from the FY2021 edition's own comparative column - see FY2020_COMPARATIVE_NOTE - so for FY2020 the question is moot.)
(c) FY2009, FY2010, FY2012 and FY2013 - NO CAPTURE AT ALL. Neither the PDFs nor any index page naming them survives, so it is not known whether editions for these years were ever published.
These three states are recorded separately on purpose. 'Published but lost' closes a lead permanently; 'apparently never posted' is a rebuttable inference; 'no capture at all' is a genuine unknown.
*** UNIT-SCALE DEFECT FOUND AND FIXED 2026-09-15 - READ BEFORE COMPARING AGAINST ANY EARLIER COPY ***</t>
        </is>
      </c>
    </row>
    <row r="13" ht="234" customHeight="1">
      <c r="A13" s="8" t="inlineStr">
        <is>
          <t>(continued)
For a period earlier on 2026-09-15, every absolute-amount cell on the 11 Pillar 3 metric sheets and the RWA Breakdown sheet of this workbook was 1000x smaller than its "£'000" unit label claimed - the figures were effectively GBP MILLIONS. The symptom: FY2024 CET1 capital read 302.3 while the Balance Sheet sheet showed FY2024 Total equity as 305,356.2 under the same "£'000, conv. from USD" header - two figures that should be within a few percent of each other, three orders of magnitude apart.
CAUSE (a units-handling bug in this build script, NOT a transcription error - no source figure was ever wrong): the Annual Report statements print WHOLE DOLLARS and are transcribed that way, so stock()/flow() divide by 1,000 on top of the FX rate to reach £'000. The Pillar 3 disclosures print US$'000 and are transcribed that way, but were being passed through that same stock(), applying the divide-by-1,000 twice over to figures that were already in thousands. FIX: a separate stock_k() helper (FX conversion only, no divide by 1,000) now serves every Pillar 3 and RWA Breakdown call site; the transcribed source figures were not touched.
THE SOURCE SCALE IS EXPLICIT IN THE DOCUMENTS, not inferred. The FY2024 edition's UK KM1 and UK OV1 tables suffix every figure with a literal " k" ("Common Equity Tier 1 (CET1) capital 378,325 k"; "Total risk-weighted exposure amount 1,475,750 k") and its own footnote writes it out in prose: "the average ASF US$1,136,904k / the average RSF US$768,308k = 147.98%". The FY2015 edition heads its capital tables "US$000's". The decisive cross-check: the Bank's share capital is "136,701,620 ordinary shares of US$1", which the Annual Report carries as 136,701,620 and the Pillar 3 prints as "136,702 k" - the same money at two scales.
WHAT DID NOT CHANGE, AND WHY THE DEFECT SURVIVED SO LONG: every ratio on these sheets (CET1/Tier 1/Total Capital/Leverage/LCR/NSFR) is dimensionless, so numerator and denominator were scaled identically and every printed ratio reproduced both before and after the fix - there was no ratio symptom to catch. The statement sheets (Balance Sheet, Profit &amp; Loss, Statement of Changes in Equity, Cash Flow Statement, Asset Quality) were never affected: they are sourced from the Annual Reports in whole dollars and stock()/flow() were always correct for them. The Overview sheet carries no Pillar 3 absolute amount at all (only statement totals and ratios), so it needed no rescaling either.
FY2011 FOOTNOTE: the two Basel II capital figures on the Tier 1 Capital and Total Capital sheets were entered as 43.6 and 40.0 during the window in which the defect stood, deliberately matching the wrong scale so as not to create a mixed-unit defect inside a single sheet. They now read 43,631 and 40,002 - the figures the FY2011 edition actually prints, in GBP'000.
FY2016 PILLAR 3 RECOVERED (GA-020 cdn-sweep, 2026-09-19) - this supersedes the FY2016 half of the 'unobtainable' paragraph above. The Bank's pre-2018 site served files from /uploads/, and Common Crawl captured http://www.zenith-bank.co.uk/uploads/ZBL_Pillar_3_Disclosure_Document_2016.pdf on 2018-02-24 (crawl CC-MAIN-2018-09; WARC crawl-data/CC-MAIN-2018-09/segments/1518891815318.53/warc/CC-MAIN-20180224033332-20180224053332-00132.warc.gz, offset 592640953, length 648238; retrieve with an HTTP Range request against https://data.commoncrawl.org/). HTTP 200 application/pdf, Last-Modified 2018-01-02, 713,641 bytes = the stated Content-Length, %PDF ... %%EOF, 17 pages; title page 'ZENITH BANK (UK) LIMITED - PILLAR 3 DISCLOSURES FOR THE YEAR ENDED 31 DECEMBER 2016'. Read on the page images: p.8 s.3.3.1 names 'LCR, NSFR, Funding concentration' only as PRA standards the Bank maintains, with no figure; p.9 s.4.2 Total CET-1 capital US$192,990k (2015: 190,521) and s.4.3.1 Pillar 1 capital requirements Credit 47,135 / Market 633 / Operational 5,172 / Total 52,940 (US$000), Regulatory Available Capital 192,990; p.10 'Solvency Ratio against Pillar 1 (Available capital / Required capital)' 365% (2015: 258%) and the credit-risk capital requirement (8%) by exposure class; p.11 Pillar 2A allocation, total 94,675. It is the same pre-CRD IV Pillar 1/Pillar 2 format as FY2014/FY2015: no CET1/capital ratio, no risk-weighted amount, no leverage ratio, no LCR/NSFR figure and no MREL anywhere in its 17 pages (text layer on every page; the only image is the p.1 logo). So the FY2016 ratio, RWA, leverage, LCR and MREL cells read 'Not published' from the edition itself. The RWA is NOT derived from the requirements by dividing by 8%, following the FY2011 treatment (the FY2014/FY2015 derivation stays flagged, not extended). The 365% cover multiple is NOT a capital ratio (see the Tier 1 Ratio note). The capital AMOUNT (US$192,990k) WAS LEFT UNWRITTEN BY THAT PASS as outside its scope, which left the CRR-basis FY2016 cell blank while the Annual-Report rows beneath it carried figures. It was placed on 2026-10-07, after being re-read off a 300 dpi image of printed p.9 - see the FY2016 capital note on the CET1 Capital, Tier 1 Capital and Total Capital sheets, which also records the FY2015 restatement the same page exposes. FY2019 remains unreached: its media/2177 file was never captured by Wayback or by any of 74 Common Crawl crawls (2016-2023) of zenith-bank.co.uk/media/*, and the Azure origin zenithbank-uk.azurewebsites.net 301s to the same 404.</t>
        </is>
      </c>
    </row>
  </sheetData>
  <mergeCells count="5">
    <mergeCell ref="A7:R7"/>
    <mergeCell ref="A11:R11"/>
    <mergeCell ref="A13:R13"/>
    <mergeCell ref="A9:R9"/>
    <mergeCell ref="A6:R6"/>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P20"/>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s>
  <sheetData>
    <row r="1">
      <c r="A1" s="1" t="inlineStr">
        <is>
          <t>Zenith Bank (UK) Limited — Tier 1 Capital</t>
        </is>
      </c>
    </row>
    <row r="2">
      <c r="A2" s="2" t="inlineStr">
        <is>
          <t>£'000 (conv. from USD)</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c r="M3" s="4" t="inlineStr">
        <is>
          <t>FY2014</t>
        </is>
      </c>
      <c r="N3" s="4" t="inlineStr">
        <is>
          <t>FY2013</t>
        </is>
      </c>
      <c r="O3" s="4" t="inlineStr">
        <is>
          <t>FY2012</t>
        </is>
      </c>
      <c r="P3" s="4" t="inlineStr">
        <is>
          <t>FY2011</t>
        </is>
      </c>
    </row>
    <row r="4">
      <c r="A4" s="6" t="inlineStr">
        <is>
          <t>Tier 1 capital (CRR/CRD IV basis)</t>
        </is>
      </c>
      <c r="B4" s="6" t="n">
        <v>320773.3</v>
      </c>
      <c r="C4" s="6" t="n">
        <v>302297.2</v>
      </c>
      <c r="D4" s="6" t="n">
        <v>265540.4</v>
      </c>
      <c r="E4" s="6" t="n">
        <v>240324.9</v>
      </c>
      <c r="F4" s="6" t="n">
        <v>207889.9</v>
      </c>
      <c r="G4" s="6" t="n">
        <v>205416.1</v>
      </c>
      <c r="H4" s="6" t="n"/>
      <c r="I4" s="6" t="n"/>
      <c r="J4" s="6" t="n"/>
      <c r="K4" s="6" t="n">
        <v>156864.2</v>
      </c>
      <c r="L4" s="6" t="n">
        <v>127190.1</v>
      </c>
      <c r="M4" s="6" t="n">
        <v>109432.3</v>
      </c>
      <c r="N4" s="6" t="n"/>
      <c r="O4" s="6" t="n"/>
      <c r="P4" s="6" t="n"/>
    </row>
    <row r="5">
      <c r="A5" s="6" t="inlineStr">
        <is>
          <t>Total Tier 1 capital per audited accounts, Basel II / GENPRU 2.2 basis (native GBP, NOT FX-converted)</t>
        </is>
      </c>
      <c r="B5" s="6" t="n"/>
      <c r="C5" s="6" t="n"/>
      <c r="D5" s="6" t="n"/>
      <c r="E5" s="6" t="n"/>
      <c r="F5" s="6" t="n"/>
      <c r="G5" s="6" t="n"/>
      <c r="H5" s="6" t="n"/>
      <c r="I5" s="6" t="n"/>
      <c r="J5" s="6" t="n"/>
      <c r="K5" s="6" t="n"/>
      <c r="L5" s="6" t="n"/>
      <c r="M5" s="6" t="n"/>
      <c r="N5" s="6" t="n"/>
      <c r="O5" s="6" t="n"/>
      <c r="P5" s="6" t="n">
        <v>43631</v>
      </c>
    </row>
    <row r="6">
      <c r="A6" s="6" t="inlineStr">
        <is>
          <t>Regulatory Available Capital, Basel II basis, post regulatory deductions (native GBP, NOT FX-converted)</t>
        </is>
      </c>
      <c r="B6" s="6" t="n"/>
      <c r="C6" s="6" t="n"/>
      <c r="D6" s="6" t="n"/>
      <c r="E6" s="6" t="n"/>
      <c r="F6" s="6" t="n"/>
      <c r="G6" s="6" t="n"/>
      <c r="H6" s="6" t="n"/>
      <c r="I6" s="6" t="n"/>
      <c r="J6" s="6" t="n"/>
      <c r="K6" s="6" t="n"/>
      <c r="L6" s="6" t="n"/>
      <c r="M6" s="6" t="n"/>
      <c r="N6" s="6" t="n"/>
      <c r="O6" s="6" t="n"/>
      <c r="P6" s="6" t="n">
        <v>40002</v>
      </c>
    </row>
    <row r="7">
      <c r="A7" s="6" t="inlineStr">
        <is>
          <t>Total statutory capital per the Annual Report 'Capital Management' note, before regulatory deductions (each year's own edition)</t>
        </is>
      </c>
      <c r="B7" s="6" t="n"/>
      <c r="C7" s="6" t="n"/>
      <c r="D7" s="6" t="n"/>
      <c r="E7" s="6" t="n"/>
      <c r="F7" s="6" t="n"/>
      <c r="G7" s="6" t="n"/>
      <c r="H7" s="6" t="n">
        <v>192407.7</v>
      </c>
      <c r="I7" s="6" t="n">
        <v>176507.1</v>
      </c>
      <c r="J7" s="6" t="n">
        <v>153062.4</v>
      </c>
      <c r="K7" s="6" t="n">
        <v>157001.1</v>
      </c>
      <c r="L7" s="6" t="n"/>
      <c r="M7" s="6" t="n"/>
      <c r="N7" s="6" t="n"/>
      <c r="O7" s="6" t="n"/>
      <c r="P7" s="6" t="n"/>
    </row>
    <row r="8">
      <c r="A8" s="6" t="inlineStr">
        <is>
          <t>Total regulatory capital (Tier 1) after regulatory deductions, per the Annual Report 'Capital Management' note (each year's own edition)</t>
        </is>
      </c>
      <c r="B8" s="6" t="n"/>
      <c r="C8" s="6" t="n"/>
      <c r="D8" s="6" t="n"/>
      <c r="E8" s="6" t="n"/>
      <c r="F8" s="6" t="n"/>
      <c r="G8" s="6" t="n"/>
      <c r="H8" s="6" t="n">
        <v>166560.7</v>
      </c>
      <c r="I8" s="6" t="n">
        <v>158385.9</v>
      </c>
      <c r="J8" s="6" t="n"/>
      <c r="K8" s="6" t="n"/>
      <c r="L8" s="6" t="n"/>
      <c r="M8" s="6" t="n"/>
      <c r="N8" s="6" t="n"/>
      <c r="O8" s="6" t="n"/>
      <c r="P8" s="6" t="n"/>
    </row>
    <row r="9">
      <c r="A9" s="6" t="inlineStr">
        <is>
          <t>Total regulatory capital (Tier 1) after deductions - FY2017 COMPARATIVE COLUMN of the FY2018 Annual Report (FY2017's own edition prints no post-deduction figure)</t>
        </is>
      </c>
      <c r="B9" s="6" t="n"/>
      <c r="C9" s="6" t="n"/>
      <c r="D9" s="6" t="n"/>
      <c r="E9" s="6" t="n"/>
      <c r="F9" s="6" t="n"/>
      <c r="G9" s="6" t="n"/>
      <c r="H9" s="6" t="n"/>
      <c r="I9" s="6" t="n"/>
      <c r="J9" s="6" t="n">
        <v>142974.4</v>
      </c>
      <c r="K9" s="6" t="n"/>
      <c r="L9" s="6" t="n"/>
      <c r="M9" s="6" t="n"/>
      <c r="N9" s="6" t="n"/>
      <c r="O9" s="6" t="n"/>
      <c r="P9" s="6" t="n"/>
    </row>
    <row r="10">
      <c r="A10" s="6" t="inlineStr">
        <is>
          <t>Total regulatory capital (Tier 1) INCLUDING audited profit for the year - the FY2019 edition's own second presentation of the same table</t>
        </is>
      </c>
      <c r="B10" s="6" t="n"/>
      <c r="C10" s="6" t="n"/>
      <c r="D10" s="6" t="n"/>
      <c r="E10" s="6" t="n"/>
      <c r="F10" s="6" t="n"/>
      <c r="G10" s="6" t="n"/>
      <c r="H10" s="6" t="n">
        <v>187704.3</v>
      </c>
      <c r="I10" s="6" t="n"/>
      <c r="J10" s="6" t="n"/>
      <c r="K10" s="6" t="n"/>
      <c r="L10" s="6" t="n"/>
      <c r="M10" s="6" t="n"/>
      <c r="N10" s="6" t="n"/>
      <c r="O10" s="6" t="n"/>
      <c r="P10" s="6" t="n"/>
    </row>
    <row r="11">
      <c r="A11" s="6" t="inlineStr">
        <is>
          <t>Total statutory capital per the Annual Report 'Capital Management' note, Basel II era (native GBP, NOT FX-converted)</t>
        </is>
      </c>
      <c r="B11" s="6" t="n"/>
      <c r="C11" s="6" t="n"/>
      <c r="D11" s="6" t="n"/>
      <c r="E11" s="6" t="n"/>
      <c r="F11" s="6" t="n"/>
      <c r="G11" s="6" t="n"/>
      <c r="H11" s="6" t="n"/>
      <c r="I11" s="6" t="n"/>
      <c r="J11" s="6" t="n"/>
      <c r="K11" s="6" t="n"/>
      <c r="L11" s="6" t="n"/>
      <c r="M11" s="6" t="n"/>
      <c r="N11" s="6" t="n">
        <v>74509</v>
      </c>
      <c r="O11" s="6" t="n">
        <v>66836.10000000001</v>
      </c>
      <c r="P11" s="6" t="n"/>
    </row>
    <row r="12">
      <c r="A12" s="6" t="inlineStr">
        <is>
          <t>Total Tier 1 / Total Regulatory Capital per the Annual Report 'Capital Management' note, Basel II era (native GBP, NOT FX-converted)</t>
        </is>
      </c>
      <c r="B12" s="6" t="n"/>
      <c r="C12" s="6" t="n"/>
      <c r="D12" s="6" t="n"/>
      <c r="E12" s="6" t="n"/>
      <c r="F12" s="6" t="n"/>
      <c r="G12" s="6" t="n"/>
      <c r="H12" s="6" t="n"/>
      <c r="I12" s="6" t="n"/>
      <c r="J12" s="6" t="n"/>
      <c r="K12" s="6" t="n"/>
      <c r="L12" s="6" t="n"/>
      <c r="M12" s="6" t="n"/>
      <c r="N12" s="6" t="n">
        <v>72342.3</v>
      </c>
      <c r="O12" s="6" t="n">
        <v>62082.9</v>
      </c>
      <c r="P12" s="6" t="n"/>
    </row>
    <row r="13" ht="390" customHeight="1">
      <c r="A13" s="7" t="inlineStr">
        <is>
          <t>Note: *** FY2016 CAPITAL AMOUNT ADDED 2026-10-07, FROM THE RECOVERED FY2016 PILLAR 3 ITSELF ***
This row's FY2016 cell stood BLANK until today, and the reason it stood blank is no longer true. The FY2016 Pillar 3 edition was recovered from Common Crawl on 2026-09-19 (see the Z16 note in the source cell below for the WARC coordinates), but that pass deliberately left the capital amount unwritten as outside its scope, and several notes in this script went on saying no FY2016 Pillar 3 document was recoverable. Those sentences have been narrowed to FY2017-FY2019 throughout.
WHAT THE DOCUMENT PRINTS. 'Zenith Bank (UK) Limited - Pillar 3 Disclosures for the year ended 31 December 2016', 17pp, printed p.9 (the printed folio equals the PDF sheet index in this document), section 4.2 'Capital Resources', US$000's, two columns headed 2016 and 2015: Share capital at 31 December 136,702 / 136,702; Profit and loss reserve 56,457 / 53,819; Regulatory deductions (169) / a printed DASH; Total CET-1 capital 192,990 / 190,521. The same page's section 4.3.1 Pillar 1 Allocation table prints 'Regulatory Available Capital' 192,990 / 190,521 - the same label this row's FY2014 and FY2015 cells are struck on. Read off a 300 dpi page image on 2026-10-07. US$192,990k converts to this row's £'000 at the FY2016 period-end spot rate, exactly as every other FY2014+ cell on it.
THE EDITION ALSO SETTLES THE BASIS IN ITS OWN WORDS: 'The Bank's entire capital base qualifies as Common Equity Tier 1 capital (CET-1) which consists of fully issued ordinary shares and audited reserves.' So CET1 = Tier 1 = Total capital for FY2016 is the Bank's statement, not an inference, and the same figure appears on all three capital sheets for that reason.
AND IT RESTATES FY2015, WHICH IS RECORDED HERE AND NOT RECONCILED. This row's FY2015 cell carries US$188,483k, the 'Regulatory Available Capital' printed in FY2015's OWN edition (printed p.9, section 4.3.1, beside a Pillar 1 requirement total of 73,972 and a 'Solvency Ratio against Pillar 1' of 255%). That edition's section 4.2 separately prints 'Total tier 1 capital 190,521' with NO regulatory-deduction line, so the FY2015 document itself carries two different figures 2,038 apart and explains neither. The FY2016 edition's 2015 comparative then prints 190,521 in BOTH places and a solvency ratio of 258% (190,521/73,972 = 257.6%, against the FY2015 edition's own 188,483/73,972 = 254.8%), i.e. it restated the 2015 regulatory capital upward by the 2,038 and recomputed the cover multiple to match. Both printings were read off page images on 2026-10-07 and BOTH STAND: the FY2015 cell keeps that year's own edition's 188,483, because a later edition's comparative does not displace what the bank originally published, and nothing here is averaged, adjusted or reconciled. The practical consequence for FY2016 is small but worth stating - FY2016's own 192,990 is net of a 169 deduction its own edition prints, so it is on the post-deduction basis this row declares; it is the 2015 column, not the 2016 one, that the two editions disagree about.
NO FY2016 RATIO AND NO FY2016 RWA WERE ADDED, and that is deliberate. The edition prints no capital ratio and no risk-weighted exposure amount anywhere in its 17 pages. Its 'Solvency Ratio against Pillar 1' of 365% (2015: 258%) is available capital divided by the capital REQUIREMENT - a cover multiple, roughly 12.5x a true capital ratio - and is not a capital ratio; see the Tier 1 Ratio sheet. The Pillar 1 requirement total of US$52,940k was NOT grossed up by 8% to manufacture an RWA, following the FY2011 treatment. Text-layer control on the recovered file, 2026-10-07: 238 hits for 'risk' and 73 for 'capital' against 0 for 'capital ratio', 0 for 'leverage', 0 for 'Liquidity Coverage' and 0 for 'MREL', so those zeros are facts about the document rather than about the probe.
FY2011 ADDED 2026-09-15 on its own two rows, not on the row above. The recovered FY2011 Pillar 3 is a Basel II / BIPRU document computed under GENPRU 2.2 - a different capital definition from the CRR/CRD IV series, and reported in native GBP rather than the USD that every FY2014+ figure on this sheet is converted from. It is therefore NOT continuous with the row above and is deliberately not spliced onto it. The Bank's own words: 'The Bank's entire capital base is Tier 1 capital which consists of fully issued ordinary shares satisfying all the criteria for a Tier 1 instrument (as outlined in GENPRU 2.2.83 R) and audited reserves' - so the absence of AT1 and Tier 2 in FY2011 is the Bank's statement, not an inference. Both figures the edition prints are carried, with a dating caveat on the second; see the source note below. The source figures are GBP 43,631k and GBP 40,002k and they appear here exactly as printed, in £'000, on the same scale as the CRR-basis row above. (They briefly read 43.6/40.0 earlier on 2026-09-15, while the sheet-wide unit-scale defect described in the source note below still stood; that defect is now fixed.)
FY2009/FY2010/FY2012/FY2013 read 'No Pillar 3 edition exists in any archive' rather than being left blank, so the distinction between 'searched and genuinely absent' and 'never looked at' survives in the sheet itself. See the source note for how that differs from FY2016/FY2019 (published but lost) and FY2017/FY2018/FY2020 (apparently never posted).
Equal to CET1 capital in every year - the Bank holds no Additional Tier 1 (AT1) instruments.
*** ANNUAL-REPORT CAPITAL RECOVERY, 2026-09-18 - READ THIS BEFORE RE-CHASING FY2012/FY2013 OR FY2016-FY2019 ***
Every prior pass treated FY2016-FY2019 as a closed gap on the reasoning that no Pillar 3 disclosure document is recoverable for those years. That reasoning was about DOCUMENTS OF ONE KIND. It remained true of FY2017-FY2019 (see the archive-status note below - the ladder was re-run in full on 2026-09-18 and every rung failed again) and is now FALSE of FY2016, whose edition was recovered from Common Crawl on 2026-09-19; but it was never a statement about the Bank's CAPITAL DISCLOSURE, because Zenith Bank (UK) Limited also prints a 'Capital Management' note inside note 25 'Financial risk management' of EVERY Annual Report, and that note carries a Capital Resources table. Those tables were read on 2026-09-18 and are the source of the FY2012, FY2013, FY2016, FY2017, FY2018 and FY2019 capital rows on this sheet. NONE of them discloses a risk-weighted exposure amount, which is why Total RWAs and the RWA Breakdown sheet stay empty of figures for those years.
THE ROWS ARE SEPARATE FROM THE CRR/KM1 ROW ABOVE ON PURPOSE. A Pillar 3 UK KM1 'CET1 capital' figure and an Annual Report 'Capital Resources' figure are not guaranteed to be struck on the same basis, and for this Bank they demonstrably are not in some years (FY2018's own Annual Report reconciles statutory capital of US$225,399,559 down to regulatory Tier 1 of US$202,258,835 through an IFRS 9 transition add-back, an IFRS 9 year-1 deduction, a prudential valuation adjustment and an intangibles deduction). Splicing either figure onto the KM1 row would create a silent basis break mid-series, so each basis keeps its own labelled row and no cell is merged across the break.
WHAT EACH YEAR'S OWN EDITION ACTUALLY PRINTS (all US$ unless stated):</t>
        </is>
      </c>
    </row>
    <row r="14" ht="338" customHeight="1">
      <c r="A14" s="7" t="inlineStr">
        <is>
          <t>(continued)
FY2016 (Annual Report and Accounts 2016, printed p.34 / PDF p.37 - https://www.zenith-bank.co.uk/media/1009/statutory_accounts_year_ended_31st_december_2016.pdf): a two-line Capital Resources table, Share capital 136.7 / Retained earnings 56.5 / TOTAL TIER 1 CAPITAL 193.2, printed in US$ MILLIONS to one decimal. There is no regulatory-deduction reconciliation, no RWA and no ratio in this edition. The figure carried here is 193,158,399 rather than 193,200,000: that is the same edition's own share capital (136,701,620) plus its own retained earnings (56,456,779), both printed in full dollars on its Statement of Financial Position and Statement of Changes in Equity, i.e. exactly the addition the capital note itself performs at a coarser scale. The FY2017 edition's comparative column prints the same line as 193,158,399 to the dollar, confirming it.
  FY2017 (Annual Report and Financial Statements 2017, printed p.48 / PDF p.50 - https://www.zenith-bank.co.uk/media/2142/2017-annual-report-and-financial-statements.pdf): Share capital 136,701,620 / Retained earnings 70,085,676 / Total Tier 1 capital 206,787,296. This edition prints NO post-deduction regulatory figure at all - the FY2017 regulatory Tier 1 of 193,158,399 exists only as the FY2018 edition's comparative column, and is therefore carried on its own explicitly comparative-labelled row rather than alongside own-edition figures.
  FY2018 (Annual Report and Financial Statements 2018, printed p.57 / PDF p.59 - https://www.zenith-bank.co.uk/media/2151/2018-annual-report.pdf): Share capital 136,701,620 / Reserves (99,803) / Retained earnings 88,797,742 / Total statutory capital 225,399,559; then IFRS 9 transition adjustment 8,861,638, Profit or loss attributable to owners of the parent (27,509,757), IFRS 9 transition adjustment year 1 impact (1,772,328), value adjustments due to the requirements for prudential valuation (unaudited) (842,446), other intangible assets before deduction of deferred tax liabilities (1,877,831) = TOTAL REGULATORY CAPITAL (TIER 1) 202,258,835. The reconciliation foots exactly.
  FY2019 (Annual Report and Financial Statements 2019, printed p.60 / PDF p.62 - https://www.zenith-bank.co.uk/media/2169/258558-zenith-web.pdf): Share capital 136,701,620 / Reserves 740,531 / Retained earnings 116,728,430 / Total statutory capital 254,170,581; then IFRS 9 transition adjustment (3,544,655), prudential valuation (649,575), other intangible assets (2,018,933) and profit for the year (27,930,688) = TOTAL REGULATORY CAPITAL (TIER 1) EXCLUDING AUDITED PROFIT 220,026,730; the same table then adds the profit back to give TOTAL REGULATORY CAPITAL (TIER 1) INCLUDING AUDITED PROFIT 247,957,418. BOTH are printed, so both are carried, on separate rows; neither is preferred silently. (The same table's FY2018 comparative column restates FY2018 on the including-profit basis as 229,768,592 - recorded here in the note only, since FY2018's own edition printed no such line.)
  FY2013 (Financial Statements for the year ended 31 December 2013, printed p.39 / PDF p.41 - https://find-and-update.company-information.service.gov.uk/company/05713749/filing-history/MzEwNDk3MzAyNmFkaXF6a2N4/document?format=pdf&amp;download=0): 'Total capital at 31 December 2013 was GBP 74,509,003 (2012: GBP 66,836,084) ... Total Regulatory Capital as at 31 December 2013 was GBP 72,342,265 (2012: GBP 62,082,926)', with a Capital Resources table reading Tier one Capital / Shareholders' Funds 72,342,265 / TOTAL TIER 1 CAPITAL 72,342,265.
  FY2012 (Financial Statements as at 31 December 2012, printed p.38 / PDF p.40 - https://find-and-update.company-information.service.gov.uk/company/05713749/filing-history/MzA4MDQyODAzOGFkaXF6a2N4/document?format=pdf&amp;download=0): the same note, 'Total capital at 31 December 2012 was GBP 66,836,084 (2011 GBP 43,109,518) ... Total Regulatory Capital as at 31 December 2012 was GBP 62,082,926 (2011 GBP 40,002,338)', table TOTAL TIER 1 CAPITAL 62,082,926.
FY2012/FY2013 ARE NATIVE GBP AND ARE NOT FX-CONVERTED - they pre-date the Bank's redenomination to USD (see the FX conversion note on the Cash Flow Statement sheet and NATIVE_GBP_YEARS in the build script), so they sit on these sheets in GBP'000 exactly as printed, on the same scale as the FY2011 Basel II rows. Both editions are IMAGE-ONLY SCANS from Companies House (company 05713749) with a zero-character text layer; they were OCR'd to locate the page and then EVERY FIGURE WAS CONFIRMED VISUALLY against the page rendered at 260 dpi. No figure here rests on OCR output alone.
TWO CORROBORATIONS AND ONE DIVERGENCE, none of them adjusted. (1) The FY2012 edition's 2011 comparative Total Regulatory Capital of GBP 40,002,338 matches, to the pound, the 'Regulatory Available Capital 40,002' (GBP'000) that the recovered FY2011 Pillar 3 prints - two independent documents agreeing, and it also resolves the dating caveat recorded against that FY2011 Pillar 3 figure in favour of it being a genuine 31 December 2011 position rather than a FY2010 one. (2) The FY2012 edition's 2011 comparative 'total capital' of GBP 43,109,518 does NOT match this workbook's FY2011 total equity of GBP 43,624,795 (taken from FY2011's own report) - a GBP 515,277 gap, consistent with the FY2012 IFRS-conversion restatement already documented in the HD-073 extension note. Each year keeps its own report's figure; nothing was reconciled.
WHAT IS STILL GENUINELY ABSENT AFTER THIS PASS: no Zenith Bank (UK) Annual Report in any year FY2012-FY2019 prints a risk-weighted exposure amount, an RWA breakdown, a leverage ratio, an LCR or an NSFR. Each of those four editions was searched in full text for 'risk weighted', 'risk-weighted', 'RWA', 'leverage', 'liquidity coverage' and 'stable funding'; the only hits are the boilerplate sentence 'a ratio of total regulatory capital to risk-weighted exposures at or above a level determined for each institution' and narrative liquidity-management prose naming the LCR and NSFR without any figure. Those cells therefore carry explicit stated-absence markers rather than blanks.
PRE-CRD IV NOTE (FY2014/FY2015/FY2016): see the PRE-CRD IV METHODOLOGY NOTE in the Pillar 3 sources above for full detail - the FY2014 and FY2015 RATIOS are the Bank's own 'Regulatory Available Capital' (not its larger undeducted 'Total tier 1 capital per audited accounts' memo figure) divided by a derived Total RWA (each Pillar 1 capital requirement component divided by 8%, summed). FY2016's edition is the same pre-CRD IV format and its CAPITAL AMOUNT is now carried (2026-10-07, see the FY2016 capital note on the CET1/Tier 1/Total Capital sheets), but NO FY2016 RATIO is shown, because the derivation that produced the FY2014/FY2015 ratios was not extended - see the Total RWAs sheet. FY2017-FY2019 are blank: no Pillar 3 disclosure document is recoverable for those three years (see Pillar 3 sources note). FY2020 is NOT blank; it comes from the FY2021 edition's comparative column.</t>
        </is>
      </c>
    </row>
    <row r="16" ht="351" customHeight="1">
      <c r="A16" s="8" t="inlineStr">
        <is>
          <t>Sources - Zenith Bank (UK) Limited Pillar 3 Disclosures (UK KM1 - Key Metrics; pre-CRD IV Pillar 1/2 disclosures for FY2014-FY2015 - see methodology note below), converted from USD to £ where a $ amount (see FX conversion note on the Cash Flow Statement sheet; % ratios are unconverted):
FY2025: Pillar 3 Disclosures as at 31 Dec 2025, p.16 (Section 10, Key Metrics) - https://www.zenith-bank.co.uk/media/2290/pillar-3-zbuk-31dec25.pdf
FY2024: Pillar 3 Disclosures as at 31 Dec 2024, p.17 (Section 9, Key Metrics) - https://www.zenith-bank.co.uk/media/2274/31dec24-pillar-3-zbuk.pdf
FY2023: Pillar 3 Disclosures as at 31 Dec 2023, p.17 (Section 9, Key Metrics) - https://www.zenith-bank.co.uk/media/2260/pillar-3-31dec23-final.pdf
FY2022: Pillar 3 Disclosures as at 31 Dec 2022, p.24 (Section 10, Key Metrics) - https://www.zenith-bank.co.uk/media/2238/zbuk-31dec22-pillar-3-disclosures.pdf
FY2021: Pillar 3 Disclosures as at 31 Dec 2021, p.23 (Section 10, Key Metrics) - https://www.zenith-bank.co.uk/media/2228/31dec21-pillar-3.pdf
FY2015: Pillar 3 Disclosures 31 December 2015, p.8-9 (Section 4, Capital Adequacy Overview &amp; Resources) - http://web.archive.org/web/20161128044735id_/http://www.zenith-bank.co.uk/uploads/ZBL_Pillar_3_Disclosure_Document_2015.pdf
FY2014: Pillar 3 Disclosures 31 December 2014, p.8-9 (Section 4, Capital Adequacy Overview &amp; Resources) - http://web.archive.org/web/20160826052010id_/http://www.zenith-bank.co.uk/uploads/ZBL_Pillar_3_Disclosure_Document_2014.pdf
FY2017-FY2019 PILLAR 3 DOCUMENTS: unobtainable, and the full fetch ladder was re-run on 2026-09-18 with every rung failing, so this is a statement about ACCESS and is recorded as such. NARROWED FROM FY2016-FY2019 ON 2026-09-19 AND RE-CONFIRMED 2026-10-07: the FY2016 edition WAS recovered, from Common Crawl at the pre-2018 /uploads/ address, and its capital figure is now on the capital sheets (see the Z16 notes below). Everything in this paragraph about media/1013 remains true of that URL - the file really was deleted from the Bank's media store - and is kept because it is what sent the search to the older path. The two file names are known from archived captures of the Bank's own Pillar 3 index page - https://zenith-bank.co.uk/media/1013/zbl_pillar_3_disclosure_document_2016.pdf (named on the 2018-04-01 and 2019-02-15 captures, the older capture pointing at the pre-2018 path http://www.zenith-bank.co.uk/uploads/ZBL_Pillar_3_Disclosure_Document_2016.pdf) and https://zenith-bank.co.uk/media/2177/zenith-bank-uk-limited-pillar-3-disclosure-2019.pdf (named on the 2021-01-27 and 2021-09-19 captures). Rungs tried against each, all failing: plain curl (404 text/html), curl -L (404), curl --http1.1 -L (404), browser User-Agent with an Accept header (404); the old /uploads/ path 301-redirects to the same 404. A Wayback 'id_' raw fetch 404s for all three URLs, and a CDX enumeration of both zenith-bank.co.uk and www.zenith-bank.co.uk returns no capture of any Pillar 3 binary between the FY2015 and FY2021 editions. THIS IS NOT A STATEMENT THAT THE BANK PUBLISHED NOTHING - for FY2016 and FY2019 it demonstrably did. It is a statement that the archive failed. The capital data for these years was obtained from a completely different source family instead: see the ANNUAL-REPORT CAPITAL RECOVERY note on the capital sheets. FY2020's figures come from the FY2021 edition's own comparative column (see FY2020_COMPARATIVE_NOTE), so FY2020 needs no document of its own.
PRE-CRD IV METHODOLOGY NOTE (FY2014-FY2015 only): these two years pre-date the Bank's adoption of the modern UK KM1 template and CRD IV/Basel III concepts entirely - there is no 'CET1' concept, no Leverage Ratio, no LCR and no NSFR disclosed (LCR/NSFR minimums were not yet phased in for a firm this size; the Bank's own disclosure is a Pillar 1/Pillar 2 ICAAP-style capital adequacy summary). Because the Bank's entire capital base was ordinary share capital and audited reserves (no AT1 or Tier 2 instruments then either), its single 'Tier 1 capital' figure is shown here as CET1/Tier 1/Total Capital alike, consistent with the modern-era convention used elsewhere in this workbook - but note the figure used is the Bank's own 'Regulatory Available Capital' (post regulatory deductions, the figure actually used in its published solvency ratio), not its larger undeducted 'Total tier 1 capital per audited accounts' memo figure (FY2014: $185,197k memo vs $170,802k regulatory available; FY2015: $190,521k memo vs $188,483k regulatory available). Total RWAs for FY2014/FY2015 are derived (not directly disclosed) by dividing each disclosed Pillar 1 capital requirement by 8% (the standard Basel capital-to-RWA ratio), per component (Credit/Market/Operational Risk) and summed - FY2014's derived total ($765,350k) differs by $12.5k from an alternative derivation off the disclosed grand total capital requirement ($765,363k), a rounding artefact of the source's own component figures; the per-component sum is used throughout for internal consistency with the RWA Breakdown sheet. The resulting CET1/Tier1/Total Capital ratio (regulatory available capital / derived RWA) is NOT the same figure as the Bank's own headline 'Solvency Ratio against Pillar 1' (available capital / capital REQUIREMENT, i.e. roughly 12.5x this ratio) - both are shown in the RWA Breakdown sheet's source note for transparency.
HISTORICAL PILLAR 3 RECOVERY (2026-09-15) - FY2008 and FY2011 editions recovered from the Wayback Machine
FY2011: Zenith Bank (UK) Limited, "Pillar 3 Disclosures for the year ended 31 December 2011" (17pp, 'Reviewed May 2012'), section 4.2 Capital Resources and section 4.3 Capital Allocation, p.7-8 - https://web.archive.org/web/20130616222348id_/http://www.zenith-bank.co.uk:80/docs/ZBL_Pillar_3_Disclosure_Document_2011.pdf
FY2008: Zenith Bank (UK) Limited, "Pillar 3 Disclosures for the year ending 31 December 2008" (9pp, 'Reviewed December 2008'), section 1 Capital Adequacy Overview &amp; Resources, p.6 - https://web.archive.org/web/20090424153904id_/http://www.zenith-bank.co.uk:80/documents/ZBL_Pillar_3_Disclosure_Document.pdf
*** FY2008: RECOVERED, READ, AND DELIBERATELY NOT USED FOR ANY CELL ***</t>
        </is>
      </c>
    </row>
    <row r="18" ht="390" customHeight="1">
      <c r="A18" s="8" t="inlineStr">
        <is>
          <t>(continued)
This document's cover is internally contradictory - it says 'FOR THE YEAR ENDING 31 DECEMBER 2008' but also 'Reviewed December 2008' and, on its last page, 'This Disclosure will be published in December 2008'. The contradiction was resolved from the FIGURES, not the cover, and the figures are decisive. The document's ONLY quantitative table is introduced verbatim as: "Tier 1 capital based on our 31 December 2007 audited accounts as adjusted for a GBP 15 million capital injection in May 2008 is as follows: Share capital 35,001 / Profit and loss reserve (1,473) / Total tier 1 capital 33,528" (GBP'000). Two further statements confirm it: "The disclosures should be read in conjunction with the ZBL Annual Report and Financial Statements for the corresponding financial year WHICH WILL BE PUBLISHED IN MARCH 2009", and "The disclosures herein are based on the ICAAP last approved in September 2008". So this is an in-year disclosure written before the 2008 year-end and before the 2008 accounts existed; 'for the year ending' means the year then in progress, not an as-at date. THE FIGURE IS THEREFORE NEITHER AN FY2008 NOR AN FY2007 POSITION - it is 31 December 2007 audited reserves combined with share capital that already includes a May 2008 injection. There is no year column in this workbook it can honestly occupy, and mapping it to FY2008 (or to FY2007) would misdate it. No cell was written from it. It is recorded here in full so the document is part of this workbook's record and is not re-chased as an open lead. The edition contains no RWA, no capital requirement and no ratio of any kind, so nothing further was available from it in any case.
FY2011 - TRANSCRIBED. Cover date is unambiguous ('for the year ended 31 December 2011', reviewed May 2012) and the capital table is explicitly headed 'Tier 1 capital as at 31 December 2011 audited accounts'. Native GBP: this pre-dates the Bank's redenomination to USD, so NO FX conversion is applied to these figures (see NATIVE_GBP_YEARS on the statement sheets for the same treatment). Figures, GBP'000:
  Capital table - Share capital at 31 December 2011 35,001; Profit and loss reserve 8,630; TOTAL TIER 1 CAPITAL 43,631. The Bank states 'The Bank's entire capital base is Tier 1 capital which consists of fully issued ordinary shares satisfying all the criteria for a Tier 1 instrument (as outlined in GENPRU 2.2.83 R) and audited reserves' - so there is no AT1 and no Tier 2, by the Bank's own statement.
  Pillar 1 capital requirements - Credit Risk 18,156; Market Risk 27; Operational Risk 1,503; TOTAL 19,686. Regulatory Available Capital 40,002.
  Pillar 1 credit risk capital requirement by exposure class (each stated as 8% of the risk weighted exposure amount) - Financial Institutions 5,768; Corporates 7,461; Retail 25; Bonds 3,899; Sovereigns 896; Multilateral Development Banks 0; Fixed and other assets 107; total 18,156.
  Pillar 2 - Own Capital Assessment total 29,802 against Regulatory 19,686; capital resources at assessment date 40,002 on both bases.
NO RWA IS RECORDED FOR FY2011, AND THAT IS DELIBERATE. The edition discloses capital REQUIREMENTS, not risk-weighted amounts. Dividing each requirement by 8% would produce a total RWA of 246,075 - but that is a derivation, and this project's standing rule is to transcribe only what a document states directly. The requirement figures are preserved verbatim above instead. READ THIS ALONGSIDE THE PRE-CRD IV METHODOLOGY NOTE BELOW: the FY2014/FY2015 Total RWA figures already on these sheets WERE produced by exactly that division, in an earlier pass. That pre-existing derivation is left untouched here (removing populated data is not this pass's call) but it is flagged, and it was deliberately NOT propagated backwards to FY2011.
*** CAPITAL-COVER RATIO TRAP - WHY FY2011's RATIO CELLS ARE 'Not publicly disclosed' RATHER THAN 203% ***
The FY2011 edition prints 'Solvency Ratio against Pillar 1 203%' and, in its Pillar 2 table, 'Capital Adequacy Ratio 203% / 134%'. These are NOT CRR-style capital ratios. The source annotates the first one itself: '(capital divided by Total amount)', i.e. available capital divided by the capital REQUIREMENT - a capital-cover multiple of roughly 12.5x a true capital/RWA ratio. Writing 203% into the Total Capital Ratio sheet would overstate the Bank's capitalisation by an order of magnitude. This exact mistake has been caught three separate times elsewhere in this project. The ratio cells for FY2011 are therefore 'Not publicly disclosed', and the 203%/134% figures live here in the note where they cannot be mistaken for CRR ratios.
TWO FY2011 CAPITAL FIGURES, BOTH CARRIED, NEITHER PREFERRED SILENTLY. 'Total tier 1 capital' per the audited accounts is 43,631; 'Regulatory Available Capital' (post regulatory deductions) is 40,002. Both are on their own rows on the capital sheets. A DATING CAVEAT ON THE SECOND ONE, recorded because it could not be resolved from the document: the Pillar 2 table labels the same 40,002 'Capital resources (AT ASSESSMENT DATE)', not as at 31 December 2011, and 40,002 is also - to the GBP'000 - this workbook's FY2010 closing Total equity of GBP 40,002,338. That may be coincidence or it may mean the ICAAP assessment was run off the FY2010 year-end position. The document does not say, so no conclusion is asserted; the 43,631 figure is the one the document explicitly dates to 31 December 2011.
VALIDATION GATE - PASSED CLEANLY, ACROSS THREE YEARS. The FY2011 edition's operational-risk table (section 4.3.3) prints three full years of actual income in GBP, and every single line reproduces this workbook's Profit &amp; Loss sheet to the pound: 2011 interest receivable 11,927,839 / interest payable (3,564,624) / net interest income 8,363,215 / fees and commissions 2,827,687 / exchange profits 859,674 / OPERATING INCOME 12,050,576; 2010 8,243,082 / (1,269,122) / 6,973,960 / 2,106,201 / 288,424 / 9,368,585; 2009 8,943,064 / (3,027,983) / 5,915,081 / 2,050,411 / 681,633 / 8,647,125. That independently corroborates the FY2009-FY2011 P&amp;L figures recovered from Companies House under HD-073, from a completely separate document. ONE SMALL DIVERGENCE, documented not corrected: the Pillar 3's 'Profit and loss reserve 8,630' against this workbook's FY2011 retained earnings of 8,623,795 (a GBP 6.2k gap that simple rounding to GBP'000 does not explain - 8,623,795 rounds to 8,624), and correspondingly 'Total tier 1 capital 43,631' against Total equity 43,624,795. Share capital agrees exactly at 35,001. Neither figure was overwritten.</t>
        </is>
      </c>
    </row>
    <row r="20" ht="364" customHeight="1">
      <c r="A20" s="8" t="inlineStr">
        <is>
          <t>(continued)
*** ARCHIVE STATUS OF THE REMAINING YEARS - three genuinely different statements, kept distinct ***
(a) FY2016 and FY2019 - PUBLISHED BUT LOST. These editions demonstrably existed: archived captures of the Bank's own Pillar 3 index page name the files. But the PDFs themselves 404 on the live site and were never captured by any crawler. This is a stronger and more useful statement than 'not found': the disclosure was made, and it is the archive that failed, so no amount of further searching of the Bank's own site will recover it. Second pass 2026-09-19 also tried archive.ph, Wayback CDX of every Zenith domain without the PDF mimetype filter, the following year's Annual Report for a comparative, the parent Zenith Bank Plc's Pillar 3 (no separate UK-entity disclosure in what is readable; live copies 403, archived copies truncated) and a web search - all negative.
(b) FY2017, FY2018 and FY2020 - APPARENTLY NEVER POSTED. The Bank's index page only ever displayed the single latest edition, and it still showed FY2016 as at February 2019 and still showed FY2019 as at September 2021 - which implies no FY2017, FY2018 or FY2020 edition was ever published to the site. THIS IS AN INFERENCE, NOT PROOF, AND THE CAVEAT IS RECORDED DELIBERATELY: there are no index-page captures at all between February 2019 and January 2021, so an edition could have been posted and replaced inside that window without leaving a trace. (FY2020's figures are nonetheless held on these sheets, recovered from the FY2021 edition's own comparative column - see FY2020_COMPARATIVE_NOTE - so for FY2020 the question is moot.)
(c) FY2009, FY2010, FY2012 and FY2013 - NO CAPTURE AT ALL. Neither the PDFs nor any index page naming them survives, so it is not known whether editions for these years were ever published.
These three states are recorded separately on purpose. 'Published but lost' closes a lead permanently; 'apparently never posted' is a rebuttable inference; 'no capture at all' is a genuine unknown.
*** UNIT-SCALE DEFECT FOUND AND FIXED 2026-09-15 - READ BEFORE COMPARING AGAINST ANY EARLIER COPY ***
For a period earlier on 2026-09-15, every absolute-amount cell on the 11 Pillar 3 metric sheets and the RWA Breakdown sheet of this workbook was 1000x smaller than its "£'000" unit label claimed - the figures were effectively GBP MILLIONS. The symptom: FY2024 CET1 capital read 302.3 while the Balance Sheet sheet showed FY2024 Total equity as 305,356.2 under the same "£'000, conv. from USD" header - two figures that should be within a few percent of each other, three orders of magnitude apart.
CAUSE (a units-handling bug in this build script, NOT a transcription error - no source figure was ever wrong): the Annual Report statements print WHOLE DOLLARS and are transcribed that way, so stock()/flow() divide by 1,000 on top of the FX rate to reach £'000. The Pillar 3 disclosures print US$'000 and are transcribed that way, but were being passed through that same stock(), applying the divide-by-1,000 twice over to figures that were already in thousands. FIX: a separate stock_k() helper (FX conversion only, no divide by 1,000) now serves every Pillar 3 and RWA Breakdown call site; the transcribed source figures were not touched.
THE SOURCE SCALE IS EXPLICIT IN THE DOCUMENTS, not inferred. The FY2024 edition's UK KM1 and UK OV1 tables suffix every figure with a literal " k" ("Common Equity Tier 1 (CET1) capital 378,325 k"; "Total risk-weighted exposure amount 1,475,750 k") and its own footnote writes it out in prose: "the average ASF US$1,136,904k / the average RSF US$768,308k = 147.98%". The FY2015 edition heads its capital tables "US$000's". The decisive cross-check: the Bank's share capital is "136,701,620 ordinary shares of US$1", which the Annual Report carries as 136,701,620 and the Pillar 3 prints as "136,702 k" - the same money at two scales.
WHAT DID NOT CHANGE, AND WHY THE DEFECT SURVIVED SO LONG: every ratio on these sheets (CET1/Tier 1/Total Capital/Leverage/LCR/NSFR) is dimensionless, so numerator and denominator were scaled identically and every printed ratio reproduced both before and after the fix - there was no ratio symptom to catch. The statement sheets (Balance Sheet, Profit &amp; Loss, Statement of Changes in Equity, Cash Flow Statement, Asset Quality) were never affected: they are sourced from the Annual Reports in whole dollars and stock()/flow() were always correct for them. The Overview sheet carries no Pillar 3 absolute amount at all (only statement totals and ratios), so it needed no rescaling either.
FY2011 FOOTNOTE: the two Basel II capital figures on the Tier 1 Capital and Total Capital sheets were entered as 43.6 and 40.0 during the window in which the defect stood, deliberately matching the wrong scale so as not to create a mixed-unit defect inside a single sheet. They now read 43,631 and 40,002 - the figures the FY2011 edition actually prints, in GBP'000.
FY2016 PILLAR 3 RECOVERED (GA-020 cdn-sweep, 2026-09-19) - this supersedes the FY2016 half of the 'unobtainable' paragraph above. The Bank's pre-2018 site served files from /uploads/, and Common Crawl captured http://www.zenith-bank.co.uk/uploads/ZBL_Pillar_3_Disclosure_Document_2016.pdf on 2018-02-24 (crawl CC-MAIN-2018-09; WARC crawl-data/CC-MAIN-2018-09/segments/1518891815318.53/warc/CC-MAIN-20180224033332-20180224053332-00132.warc.gz, offset 592640953, length 648238; retrieve with an HTTP Range request against https://data.commoncrawl.org/). HTTP 200 application/pdf, Last-Modified 2018-01-02, 713,641 bytes = the stated Content-Length, %PDF ... %%EOF, 17 pages; title page 'ZENITH BANK (UK) LIMITED - PILLAR 3 DISCLOSURES FOR THE YEAR ENDED 31 DECEMBER 2016'. Read on the page images: p.8 s.3.3.1 names 'LCR, NSFR, Funding concentration' only as PRA standards the Bank maintains, with no figure; p.9 s.4.2 Total CET-1 capital US$192,990k (2015: 190,521) and s.4.3.1 Pillar 1 capital requirements Credit 47,135 / Market 633 / Operational 5,172 / Total 52,940 (US$000), Regulatory Available Capital 192,990; p.10 'Solvency Ratio against Pillar 1 (Available capital / Required capital)' 365% (2015: 258%) and the credit-risk capital requirement (8%) by exposure class; p.11 Pillar 2A allocation, total 94,675. It is the same pre-CRD IV Pillar 1/Pillar 2 format as FY2014/FY2015: no CET1/capital ratio, no risk-weighted amount, no leverage ratio, no LCR/NSFR figure and no MREL anywhere in its 17 pages (text layer on every page; the only image is the p.1 logo). So the FY2016 ratio, RWA, leverage, LCR and MREL cells read 'Not published' from the edition itself. The RWA is NOT derived from the requirements by dividing by 8%, following the FY2011 treatment (the FY2014/FY2015 derivation stays flagged, not extended). The 365% cover multiple is NOT a capital ratio (see the Tier 1 Ratio note). The capital AMOUNT (US$192,990k) WAS LEFT UNWRITTEN BY THAT PASS as outside its scope, which left the CRR-basis FY2016 cell blank while the Annual-Report rows beneath it carried figures. It was placed on 2026-10-07, after being re-read off a 300 dpi image of printed p.9 - see the FY2016 capital note on the CET1 Capital, Tier 1 Capital and Total Capital sheets, which also records the FY2015 restatement the same page exposes. FY2019 remains unreached: its media/2177 file was never captured by Wayback or by any of 74 Common Crawl crawls (2016-2023) of zenith-bank.co.uk/media/*, and the Azure origin zenithbank-uk.azurewebsites.net 301s to the same 404.</t>
        </is>
      </c>
    </row>
  </sheetData>
  <mergeCells count="5">
    <mergeCell ref="A13:P13"/>
    <mergeCell ref="A14:P14"/>
    <mergeCell ref="A18:P18"/>
    <mergeCell ref="A20:P20"/>
    <mergeCell ref="A16:P16"/>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R13"/>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s>
  <sheetData>
    <row r="1">
      <c r="A1" s="1" t="inlineStr">
        <is>
          <t>Zenith Bank (UK) Limited — Tier 1 Ratio</t>
        </is>
      </c>
    </row>
    <row r="2">
      <c r="A2" s="2" t="inlineStr">
        <is>
          <t>% of RWA</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c r="M3" s="4" t="inlineStr">
        <is>
          <t>FY2014</t>
        </is>
      </c>
      <c r="N3" s="4" t="inlineStr">
        <is>
          <t>FY2013</t>
        </is>
      </c>
      <c r="O3" s="4" t="inlineStr">
        <is>
          <t>FY2012</t>
        </is>
      </c>
      <c r="P3" s="4" t="inlineStr">
        <is>
          <t>FY2011</t>
        </is>
      </c>
      <c r="Q3" s="4" t="inlineStr">
        <is>
          <t>FY2010</t>
        </is>
      </c>
      <c r="R3" s="4" t="inlineStr">
        <is>
          <t>FY2009</t>
        </is>
      </c>
    </row>
    <row r="4">
      <c r="A4" s="6" t="inlineStr">
        <is>
          <t>Tier 1 ratio</t>
        </is>
      </c>
      <c r="B4" s="6" t="inlineStr">
        <is>
          <t>23.40%</t>
        </is>
      </c>
      <c r="C4" s="6" t="inlineStr">
        <is>
          <t>25.64%</t>
        </is>
      </c>
      <c r="D4" s="6" t="inlineStr">
        <is>
          <t>28.95%</t>
        </is>
      </c>
      <c r="E4" s="6" t="inlineStr">
        <is>
          <t>25.84%</t>
        </is>
      </c>
      <c r="F4" s="6" t="inlineStr">
        <is>
          <t>20.78%</t>
        </is>
      </c>
      <c r="G4" s="6" t="inlineStr">
        <is>
          <t>28.29%</t>
        </is>
      </c>
      <c r="H4" s="6" t="n"/>
      <c r="I4" s="6" t="n"/>
      <c r="J4" s="6" t="n"/>
      <c r="K4" s="6" t="n"/>
      <c r="L4" s="6" t="inlineStr">
        <is>
          <t>20.38%</t>
        </is>
      </c>
      <c r="M4" s="6" t="inlineStr">
        <is>
          <t>22.32%</t>
        </is>
      </c>
      <c r="N4" s="6" t="inlineStr">
        <is>
          <t>No Pillar 3 edition exists in any archive</t>
        </is>
      </c>
      <c r="O4" s="6" t="inlineStr">
        <is>
          <t>No Pillar 3 edition exists in any archive</t>
        </is>
      </c>
      <c r="P4" s="6" t="inlineStr">
        <is>
          <t>Not published – FY2011 Pillar 3 (Basel II) prints no capital ratio; its 203% 'Solvency Ratio against Pillar 1' is capital/requirement, not a ratio - see note</t>
        </is>
      </c>
      <c r="Q4" s="6" t="inlineStr">
        <is>
          <t>No Pillar 3 edition exists in any archive</t>
        </is>
      </c>
      <c r="R4" s="6" t="inlineStr">
        <is>
          <t>No Pillar 3 edition exists in any archive</t>
        </is>
      </c>
    </row>
    <row r="5">
      <c r="A5" s="6" t="inlineStr">
        <is>
          <t>Tier 1 ratio (= the CET1 ratio; no AT1 in issue) as stated in that year's own ANNUAL REPORT (not from a Pillar 3 / UK KM1 template)</t>
        </is>
      </c>
      <c r="B5" s="6" t="n"/>
      <c r="C5" s="6" t="n"/>
      <c r="D5" s="6" t="n"/>
      <c r="E5" s="6" t="n"/>
      <c r="F5" s="6" t="n"/>
      <c r="G5" s="6" t="n"/>
      <c r="H5" s="6" t="inlineStr">
        <is>
          <t>Unreached today – FY2019 Pillar 3 named on archived index page; PDF 404 live; no copy in Wayback, archive.ph, Common Crawl (74 crawls) or the Azure origin host (2026-09-19); FY2019/FY2020 ARs print none</t>
        </is>
      </c>
      <c r="I5" s="6" t="inlineStr">
        <is>
          <t>32.38%</t>
        </is>
      </c>
      <c r="J5" s="6" t="inlineStr">
        <is>
          <t>35.53%</t>
        </is>
      </c>
      <c r="K5" s="6" t="inlineStr">
        <is>
          <t>Not published – FY2016 AR prints no ratio; recovered FY2016 Pillar 3 p.9-10 prints only a 365% 'Solvency Ratio against Pillar 1' (capital/requirement), no CET1 ratio</t>
        </is>
      </c>
      <c r="L5" s="6" t="n"/>
      <c r="M5" s="6" t="n"/>
      <c r="N5" s="6" t="n"/>
      <c r="O5" s="6" t="n"/>
      <c r="P5" s="6" t="n"/>
      <c r="Q5" s="6" t="n"/>
      <c r="R5" s="6" t="n"/>
    </row>
    <row r="6" ht="390" customHeight="1">
      <c r="A6" s="7" t="inlineStr">
        <is>
          <t>Note: FY2011 'Not publicly disclosed': the recovered FY2011 edition states no capital/RWA ratio at all. It DOES print a 'Solvency Ratio against Pillar 1' of 203%, but that is capital divided by the capital REQUIREMENT - a capital-cover multiple, roughly 12.5x a true capital ratio - and putting it here would overstate the Bank's capitalisation by an order of magnitude. See the source note. Nothing is back-solved from the capital and capital-requirement figures either.
THE ANNUAL-REPORT RATIO ROW (FY2017/FY2018, added 2026-09-18) IS A SEPARATE ROW FOR A REASON. Neither figure comes from a Pillar 3 UK KM1 template - no Pillar 3 edition survives for either year (see the Annual-Report capital recovery note below). FY2018's 32.38% is stated in the Strategic Report of the FY2018 Annual Report, printed p.8 / PDF p.10 (https://www.zenith-bank.co.uk/media/2151/2018-annual-report.pdf): 'The Bank's strong capital position at the end of 2018, which reflects a Common Equity Tier 1 (CET1) ratio of 32.38%'. FY2017's 35.53% is stated in the Strategic Report of the FY2017 Annual Report, printed p.11 / PDF p.13 (https://www.zenith-bank.co.uk/media/2142/2017-annual-report-and-financial-statements.pdf), in an 'IFRS 9 implications' passage that gives three figures for the same transition - '35.53% under IAS 39 at 31 December 2017 / 34.40% under IFRS 9 at 1 January 2018 before transitional relief / 35.47% under IFRS 9 at 1 January 2018 after transitional relief'. ONLY THE FIRST IS A 31 DECEMBER 2017 POSITION; the other two are 1 January 2018 opening positions and belong to no year column here, so they are recorded in this note and nowhere else. The Bank's entire capital base is CET1 (its own statement - no AT1, no Tier 2), so the same figure is the Tier 1 ratio and the Total capital ratio, exactly as for every year sourced from a KM1 template on these sheets.
A TRAJECTORY ODDITY, FLAGGED AND DELIBERATELY NOT RESOLVED: 35.53% (FY2017) and 32.38% (FY2018) sit well above the 20.38% recorded for FY2015 and the 28.29% for FY2020, and neither the FY2017 nor the FY2018 Annual Report prints the RWA that would explain the movement. Nothing has been back-solved from capital and ratio to produce one - that is barred by this project's rules and would in any case be a derivation presented as a disclosure. The ratios are carried as printed; the RWA cells stay stated-absent.
FY2016 and FY2019 get no ratio at all: those two Annual Reports print a Capital Resources table but no capital ratio anywhere. FY2016's Pillar 3 was recovered on 2026-09-19 (see the Z16 note in the source cell) and prints no capital ratio either - only a 365% capital-cover multiple - so FY2016 is 'Not published'; FY2019's Pillar 3 demonstrably existed and is still lost, so FY2019 is 'Unreached today'.
*** ANNUAL-REPORT CAPITAL RECOVERY, 2026-09-18 - READ THIS BEFORE RE-CHASING FY2012/FY2013 OR FY2016-FY2019 ***
Every prior pass treated FY2016-FY2019 as a closed gap on the reasoning that no Pillar 3 disclosure document is recoverable for those years. That reasoning was about DOCUMENTS OF ONE KIND. It remained true of FY2017-FY2019 (see the archive-status note below - the ladder was re-run in full on 2026-09-18 and every rung failed again) and is now FALSE of FY2016, whose edition was recovered from Common Crawl on 2026-09-19; but it was never a statement about the Bank's CAPITAL DISCLOSURE, because Zenith Bank (UK) Limited also prints a 'Capital Management' note inside note 25 'Financial risk management' of EVERY Annual Report, and that note carries a Capital Resources table. Those tables were read on 2026-09-18 and are the source of the FY2012, FY2013, FY2016, FY2017, FY2018 and FY2019 capital rows on this sheet. NONE of them discloses a risk-weighted exposure amount, which is why Total RWAs and the RWA Breakdown sheet stay empty of figures for those years.
THE ROWS ARE SEPARATE FROM THE CRR/KM1 ROW ABOVE ON PURPOSE. A Pillar 3 UK KM1 'CET1 capital' figure and an Annual Report 'Capital Resources' figure are not guaranteed to be struck on the same basis, and for this Bank they demonstrably are not in some years (FY2018's own Annual Report reconciles statutory capital of US$225,399,559 down to regulatory Tier 1 of US$202,258,835 through an IFRS 9 transition add-back, an IFRS 9 year-1 deduction, a prudential valuation adjustment and an intangibles deduction). Splicing either figure onto the KM1 row would create a silent basis break mid-series, so each basis keeps its own labelled row and no cell is merged across the break.
WHAT EACH YEAR'S OWN EDITION ACTUALLY PRINTS (all US$ unless stated):
  FY2016 (Annual Report and Accounts 2016, printed p.34 / PDF p.37 - https://www.zenith-bank.co.uk/media/1009/statutory_accounts_year_ended_31st_december_2016.pdf): a two-line Capital Resources table, Share capital 136.7 / Retained earnings 56.5 / TOTAL TIER 1 CAPITAL 193.2, printed in US$ MILLIONS to one decimal. There is no regulatory-deduction reconciliation, no RWA and no ratio in this edition. The figure carried here is 193,158,399 rather than 193,200,000: that is the same edition's own share capital (136,701,620) plus its own retained earnings (56,456,779), both printed in full dollars on its Statement of Financial Position and Statement of Changes in Equity, i.e. exactly the addition the capital note itself performs at a coarser scale. The FY2017 edition's comparative column prints the same line as 193,158,399 to the dollar, confirming it.
  FY2017 (Annual Report and Financial Statements 2017, printed p.48 / PDF p.50 - https://www.zenith-bank.co.uk/media/2142/2017-annual-report-and-financial-statements.pdf): Share capital 136,701,620 / Retained earnings 70,085,676 / Total Tier 1 capital 206,787,296. This edition prints NO post-deduction regulatory figure at all - the FY2017 regulatory Tier 1 of 193,158,399 exists only as the FY2018 edition's comparative column, and is therefore carried on its own explicitly comparative-labelled row rather than alongside own-edition figures.
  FY2018 (Annual Report and Financial Statements 2018, printed p.57 / PDF p.59 - https://www.zenith-bank.co.uk/media/2151/2018-annual-report.pdf): Share capital 136,701,620 / Reserves (99,803) / Retained earnings 88,797,742 / Total statutory capital 225,399,559; then IFRS 9 transition adjustment 8,861,638, Profit or loss attributable to owners of the parent (27,509,757), IFRS 9 transition adjustment year 1 impact (1,772,328), value adjustments due to the requirements for prudential valuation (unaudited) (842,446), other intangible assets before deduction of deferred tax liabilities (1,877,831) = TOTAL REGULATORY CAPITAL (TIER 1) 202,258,835. The reconciliation foots exactly.
  FY2019 (Annual Report and Financial Statements 2019, printed p.60 / PDF p.62 - https://www.zenith-bank.co.uk/media/2169/258558-zenith-web.pdf): Share capital 136,701,620 / Reserves 740,531 / Retained earnings 116,728,430 / Total statutory capital 254,170,581; then IFRS 9 transition adjustment (3,544,655), prudential valuation (649,575), other intangible assets (2,018,933) and profit for the year (27,930,688) = TOTAL REGULATORY CAPITAL (TIER 1) EXCLUDING AUDITED PROFIT 220,026,730; the same table then adds the profit back to give TOTAL REGULATORY CAPITAL (TIER 1) INCLUDING AUDITED PROFIT 247,957,418. BOTH are printed, so both are carried, on separate rows; neither is preferred silently. (The same table's FY2018 comparative column restates FY2018 on the including-profit basis as 229,768,592 - recorded here in the note only, since FY2018's own edition printed no such line.)
  FY2013 (Financial Statements for the year ended 31 December 2013, printed p.39 / PDF p.41 - https://find-and-update.company-information.service.gov.uk/company/05713749/filing-history/MzEwNDk3MzAyNmFkaXF6a2N4/document?format=pdf&amp;download=0): 'Total capital at 31 December 2013 was GBP 74,509,003 (2012: GBP 66,836,084) ... Total Regulatory Capital as at 31 December 2013 was GBP 72,342,265 (2012: GBP 62,082,926)', with a Capital Resources table reading Tier one Capital / Shareholders' Funds 72,342,265 / TOTAL TIER 1 CAPITAL 72,342,265.</t>
        </is>
      </c>
    </row>
    <row r="7" ht="169" customHeight="1">
      <c r="A7" s="7" t="inlineStr">
        <is>
          <t>(continued)
FY2012 (Financial Statements as at 31 December 2012, printed p.38 / PDF p.40 - https://find-and-update.company-information.service.gov.uk/company/05713749/filing-history/MzA4MDQyODAzOGFkaXF6a2N4/document?format=pdf&amp;download=0): the same note, 'Total capital at 31 December 2012 was GBP 66,836,084 (2011 GBP 43,109,518) ... Total Regulatory Capital as at 31 December 2012 was GBP 62,082,926 (2011 GBP 40,002,338)', table TOTAL TIER 1 CAPITAL 62,082,926.
FY2012/FY2013 ARE NATIVE GBP AND ARE NOT FX-CONVERTED - they pre-date the Bank's redenomination to USD (see the FX conversion note on the Cash Flow Statement sheet and NATIVE_GBP_YEARS in the build script), so they sit on these sheets in GBP'000 exactly as printed, on the same scale as the FY2011 Basel II rows. Both editions are IMAGE-ONLY SCANS from Companies House (company 05713749) with a zero-character text layer; they were OCR'd to locate the page and then EVERY FIGURE WAS CONFIRMED VISUALLY against the page rendered at 260 dpi. No figure here rests on OCR output alone.
TWO CORROBORATIONS AND ONE DIVERGENCE, none of them adjusted. (1) The FY2012 edition's 2011 comparative Total Regulatory Capital of GBP 40,002,338 matches, to the pound, the 'Regulatory Available Capital 40,002' (GBP'000) that the recovered FY2011 Pillar 3 prints - two independent documents agreeing, and it also resolves the dating caveat recorded against that FY2011 Pillar 3 figure in favour of it being a genuine 31 December 2011 position rather than a FY2010 one. (2) The FY2012 edition's 2011 comparative 'total capital' of GBP 43,109,518 does NOT match this workbook's FY2011 total equity of GBP 43,624,795 (taken from FY2011's own report) - a GBP 515,277 gap, consistent with the FY2012 IFRS-conversion restatement already documented in the HD-073 extension note. Each year keeps its own report's figure; nothing was reconciled.
WHAT IS STILL GENUINELY ABSENT AFTER THIS PASS: no Zenith Bank (UK) Annual Report in any year FY2012-FY2019 prints a risk-weighted exposure amount, an RWA breakdown, a leverage ratio, an LCR or an NSFR. Each of those four editions was searched in full text for 'risk weighted', 'risk-weighted', 'RWA', 'leverage', 'liquidity coverage' and 'stable funding'; the only hits are the boilerplate sentence 'a ratio of total regulatory capital to risk-weighted exposures at or above a level determined for each institution' and narrative liquidity-management prose naming the LCR and NSFR without any figure. Those cells therefore carry explicit stated-absence markers rather than blanks.
PRE-CRD IV NOTE (FY2014/FY2015/FY2016): see the PRE-CRD IV METHODOLOGY NOTE in the Pillar 3 sources above for full detail - the FY2014 and FY2015 RATIOS are the Bank's own 'Regulatory Available Capital' (not its larger undeducted 'Total tier 1 capital per audited accounts' memo figure) divided by a derived Total RWA (each Pillar 1 capital requirement component divided by 8%, summed). FY2016's edition is the same pre-CRD IV format and its CAPITAL AMOUNT is now carried (2026-10-07, see the FY2016 capital note on the CET1/Tier 1/Total Capital sheets), but NO FY2016 RATIO is shown, because the derivation that produced the FY2014/FY2015 ratios was not extended - see the Total RWAs sheet. FY2017-FY2019 are blank: no Pillar 3 disclosure document is recoverable for those three years (see Pillar 3 sources note). FY2020 is NOT blank; it comes from the FY2021 edition's comparative column.</t>
        </is>
      </c>
    </row>
    <row r="9" ht="377" customHeight="1">
      <c r="A9" s="8" t="inlineStr">
        <is>
          <t>Sources - Zenith Bank (UK) Limited Pillar 3 Disclosures (UK KM1 - Key Metrics; pre-CRD IV Pillar 1/2 disclosures for FY2014-FY2015 - see methodology note below), converted from USD to £ where a $ amount (see FX conversion note on the Cash Flow Statement sheet; % ratios are unconverted):
FY2025: Pillar 3 Disclosures as at 31 Dec 2025, p.16 (Section 10, Key Metrics) - https://www.zenith-bank.co.uk/media/2290/pillar-3-zbuk-31dec25.pdf
FY2024: Pillar 3 Disclosures as at 31 Dec 2024, p.17 (Section 9, Key Metrics) - https://www.zenith-bank.co.uk/media/2274/31dec24-pillar-3-zbuk.pdf
FY2023: Pillar 3 Disclosures as at 31 Dec 2023, p.17 (Section 9, Key Metrics) - https://www.zenith-bank.co.uk/media/2260/pillar-3-31dec23-final.pdf
FY2022: Pillar 3 Disclosures as at 31 Dec 2022, p.24 (Section 10, Key Metrics) - https://www.zenith-bank.co.uk/media/2238/zbuk-31dec22-pillar-3-disclosures.pdf
FY2021: Pillar 3 Disclosures as at 31 Dec 2021, p.23 (Section 10, Key Metrics) - https://www.zenith-bank.co.uk/media/2228/31dec21-pillar-3.pdf
FY2015: Pillar 3 Disclosures 31 December 2015, p.8-9 (Section 4, Capital Adequacy Overview &amp; Resources) - http://web.archive.org/web/20161128044735id_/http://www.zenith-bank.co.uk/uploads/ZBL_Pillar_3_Disclosure_Document_2015.pdf
FY2014: Pillar 3 Disclosures 31 December 2014, p.8-9 (Section 4, Capital Adequacy Overview &amp; Resources) - http://web.archive.org/web/20160826052010id_/http://www.zenith-bank.co.uk/uploads/ZBL_Pillar_3_Disclosure_Document_2014.pdf
FY2017-FY2019 PILLAR 3 DOCUMENTS: unobtainable, and the full fetch ladder was re-run on 2026-09-18 with every rung failing, so this is a statement about ACCESS and is recorded as such. NARROWED FROM FY2016-FY2019 ON 2026-09-19 AND RE-CONFIRMED 2026-10-07: the FY2016 edition WAS recovered, from Common Crawl at the pre-2018 /uploads/ address, and its capital figure is now on the capital sheets (see the Z16 notes below). Everything in this paragraph about media/1013 remains true of that URL - the file really was deleted from the Bank's media store - and is kept because it is what sent the search to the older path. The two file names are known from archived captures of the Bank's own Pillar 3 index page - https://zenith-bank.co.uk/media/1013/zbl_pillar_3_disclosure_document_2016.pdf (named on the 2018-04-01 and 2019-02-15 captures, the older capture pointing at the pre-2018 path http://www.zenith-bank.co.uk/uploads/ZBL_Pillar_3_Disclosure_Document_2016.pdf) and https://zenith-bank.co.uk/media/2177/zenith-bank-uk-limited-pillar-3-disclosure-2019.pdf (named on the 2021-01-27 and 2021-09-19 captures). Rungs tried against each, all failing: plain curl (404 text/html), curl -L (404), curl --http1.1 -L (404), browser User-Agent with an Accept header (404); the old /uploads/ path 301-redirects to the same 404. A Wayback 'id_' raw fetch 404s for all three URLs, and a CDX enumeration of both zenith-bank.co.uk and www.zenith-bank.co.uk returns no capture of any Pillar 3 binary between the FY2015 and FY2021 editions. THIS IS NOT A STATEMENT THAT THE BANK PUBLISHED NOTHING - for FY2016 and FY2019 it demonstrably did. It is a statement that the archive failed. The capital data for these years was obtained from a completely different source family instead: see the ANNUAL-REPORT CAPITAL RECOVERY note on the capital sheets. FY2020's figures come from the FY2021 edition's own comparative column (see FY2020_COMPARATIVE_NOTE), so FY2020 needs no document of its own.
PRE-CRD IV METHODOLOGY NOTE (FY2014-FY2015 only): these two years pre-date the Bank's adoption of the modern UK KM1 template and CRD IV/Basel III concepts entirely - there is no 'CET1' concept, no Leverage Ratio, no LCR and no NSFR disclosed (LCR/NSFR minimums were not yet phased in for a firm this size; the Bank's own disclosure is a Pillar 1/Pillar 2 ICAAP-style capital adequacy summary). Because the Bank's entire capital base was ordinary share capital and audited reserves (no AT1 or Tier 2 instruments then either), its single 'Tier 1 capital' figure is shown here as CET1/Tier 1/Total Capital alike, consistent with the modern-era convention used elsewhere in this workbook - but note the figure used is the Bank's own 'Regulatory Available Capital' (post regulatory deductions, the figure actually used in its published solvency ratio), not its larger undeducted 'Total tier 1 capital per audited accounts' memo figure (FY2014: $185,197k memo vs $170,802k regulatory available; FY2015: $190,521k memo vs $188,483k regulatory available). Total RWAs for FY2014/FY2015 are derived (not directly disclosed) by dividing each disclosed Pillar 1 capital requirement by 8% (the standard Basel capital-to-RWA ratio), per component (Credit/Market/Operational Risk) and summed - FY2014's derived total ($765,350k) differs by $12.5k from an alternative derivation off the disclosed grand total capital requirement ($765,363k), a rounding artefact of the source's own component figures; the per-component sum is used throughout for internal consistency with the RWA Breakdown sheet. The resulting CET1/Tier1/Total Capital ratio (regulatory available capital / derived RWA) is NOT the same figure as the Bank's own headline 'Solvency Ratio against Pillar 1' (available capital / capital REQUIREMENT, i.e. roughly 12.5x this ratio) - both are shown in the RWA Breakdown sheet's source note for transparency.
HISTORICAL PILLAR 3 RECOVERY (2026-09-15) - FY2008 and FY2011 editions recovered from the Wayback Machine
FY2011: Zenith Bank (UK) Limited, "Pillar 3 Disclosures for the year ended 31 December 2011" (17pp, 'Reviewed May 2012'), section 4.2 Capital Resources and section 4.3 Capital Allocation, p.7-8 - https://web.archive.org/web/20130616222348id_/http://www.zenith-bank.co.uk:80/docs/ZBL_Pillar_3_Disclosure_Document_2011.pdf
FY2008: Zenith Bank (UK) Limited, "Pillar 3 Disclosures for the year ending 31 December 2008" (9pp, 'Reviewed December 2008'), section 1 Capital Adequacy Overview &amp; Resources, p.6 - https://web.archive.org/web/20090424153904id_/http://www.zenith-bank.co.uk:80/documents/ZBL_Pillar_3_Disclosure_Document.pdf
*** FY2008: RECOVERED, READ, AND DELIBERATELY NOT USED FOR ANY CELL ***
This document's cover is internally contradictory - it says 'FOR THE YEAR ENDING 31 DECEMBER 2008' but also 'Reviewed December 2008' and, on its last page, 'This Disclosure will be published in December 2008'. The contradiction was resolved from the FIGURES, not the cover, and the figures are decisive. The document's ONLY quantitative table is introduced verbatim as: "Tier 1 capital based on our 31 December 2007 audited accounts as adjusted for a GBP 15 million capital injection in May 2008 is as follows: Share capital 35,001 / Profit and loss reserve (1,473) / Total tier 1 capital 33,528" (GBP'000). Two further statements confirm it: "The disclosures should be read in conjunction with the ZBL Annual Report and Financial Statements for the corresponding financial year WHICH WILL BE PUBLISHED IN MARCH 2009", and "The disclosures herein are based on the ICAAP last approved in September 2008". So this is an in-year disclosure written before the 2008 year-end and before the 2008 accounts existed; 'for the year ending' means the year then in progress, not an as-at date. THE FIGURE IS THEREFORE NEITHER AN FY2008 NOR AN FY2007 POSITION - it is 31 December 2007 audited reserves combined with share capital that already includes a May 2008 injection. There is no year column in this workbook it can honestly occupy, and mapping it to FY2008 (or to FY2007) would misdate it. No cell was written from it. It is recorded here in full so the document is part of this workbook's record and is not re-chased as an open lead. The edition contains no RWA, no capital requirement and no ratio of any kind, so nothing further was available from it in any case.</t>
        </is>
      </c>
    </row>
    <row r="11" ht="390" customHeight="1">
      <c r="A11" s="8" t="inlineStr">
        <is>
          <t>(continued)
FY2011 - TRANSCRIBED. Cover date is unambiguous ('for the year ended 31 December 2011', reviewed May 2012) and the capital table is explicitly headed 'Tier 1 capital as at 31 December 2011 audited accounts'. Native GBP: this pre-dates the Bank's redenomination to USD, so NO FX conversion is applied to these figures (see NATIVE_GBP_YEARS on the statement sheets for the same treatment). Figures, GBP'000:
  Capital table - Share capital at 31 December 2011 35,001; Profit and loss reserve 8,630; TOTAL TIER 1 CAPITAL 43,631. The Bank states 'The Bank's entire capital base is Tier 1 capital which consists of fully issued ordinary shares satisfying all the criteria for a Tier 1 instrument (as outlined in GENPRU 2.2.83 R) and audited reserves' - so there is no AT1 and no Tier 2, by the Bank's own statement.
  Pillar 1 capital requirements - Credit Risk 18,156; Market Risk 27; Operational Risk 1,503; TOTAL 19,686. Regulatory Available Capital 40,002.
  Pillar 1 credit risk capital requirement by exposure class (each stated as 8% of the risk weighted exposure amount) - Financial Institutions 5,768; Corporates 7,461; Retail 25; Bonds 3,899; Sovereigns 896; Multilateral Development Banks 0; Fixed and other assets 107; total 18,156.
  Pillar 2 - Own Capital Assessment total 29,802 against Regulatory 19,686; capital resources at assessment date 40,002 on both bases.
NO RWA IS RECORDED FOR FY2011, AND THAT IS DELIBERATE. The edition discloses capital REQUIREMENTS, not risk-weighted amounts. Dividing each requirement by 8% would produce a total RWA of 246,075 - but that is a derivation, and this project's standing rule is to transcribe only what a document states directly. The requirement figures are preserved verbatim above instead. READ THIS ALONGSIDE THE PRE-CRD IV METHODOLOGY NOTE BELOW: the FY2014/FY2015 Total RWA figures already on these sheets WERE produced by exactly that division, in an earlier pass. That pre-existing derivation is left untouched here (removing populated data is not this pass's call) but it is flagged, and it was deliberately NOT propagated backwards to FY2011.
*** CAPITAL-COVER RATIO TRAP - WHY FY2011's RATIO CELLS ARE 'Not publicly disclosed' RATHER THAN 203% ***
The FY2011 edition prints 'Solvency Ratio against Pillar 1 203%' and, in its Pillar 2 table, 'Capital Adequacy Ratio 203% / 134%'. These are NOT CRR-style capital ratios. The source annotates the first one itself: '(capital divided by Total amount)', i.e. available capital divided by the capital REQUIREMENT - a capital-cover multiple of roughly 12.5x a true capital/RWA ratio. Writing 203% into the Total Capital Ratio sheet would overstate the Bank's capitalisation by an order of magnitude. This exact mistake has been caught three separate times elsewhere in this project. The ratio cells for FY2011 are therefore 'Not publicly disclosed', and the 203%/134% figures live here in the note where they cannot be mistaken for CRR ratios.
TWO FY2011 CAPITAL FIGURES, BOTH CARRIED, NEITHER PREFERRED SILENTLY. 'Total tier 1 capital' per the audited accounts is 43,631; 'Regulatory Available Capital' (post regulatory deductions) is 40,002. Both are on their own rows on the capital sheets. A DATING CAVEAT ON THE SECOND ONE, recorded because it could not be resolved from the document: the Pillar 2 table labels the same 40,002 'Capital resources (AT ASSESSMENT DATE)', not as at 31 December 2011, and 40,002 is also - to the GBP'000 - this workbook's FY2010 closing Total equity of GBP 40,002,338. That may be coincidence or it may mean the ICAAP assessment was run off the FY2010 year-end position. The document does not say, so no conclusion is asserted; the 43,631 figure is the one the document explicitly dates to 31 December 2011.
VALIDATION GATE - PASSED CLEANLY, ACROSS THREE YEARS. The FY2011 edition's operational-risk table (section 4.3.3) prints three full years of actual income in GBP, and every single line reproduces this workbook's Profit &amp; Loss sheet to the pound: 2011 interest receivable 11,927,839 / interest payable (3,564,624) / net interest income 8,363,215 / fees and commissions 2,827,687 / exchange profits 859,674 / OPERATING INCOME 12,050,576; 2010 8,243,082 / (1,269,122) / 6,973,960 / 2,106,201 / 288,424 / 9,368,585; 2009 8,943,064 / (3,027,983) / 5,915,081 / 2,050,411 / 681,633 / 8,647,125. That independently corroborates the FY2009-FY2011 P&amp;L figures recovered from Companies House under HD-073, from a completely separate document. ONE SMALL DIVERGENCE, documented not corrected: the Pillar 3's 'Profit and loss reserve 8,630' against this workbook's FY2011 retained earnings of 8,623,795 (a GBP 6.2k gap that simple rounding to GBP'000 does not explain - 8,623,795 rounds to 8,624), and correspondingly 'Total tier 1 capital 43,631' against Total equity 43,624,795. Share capital agrees exactly at 35,001. Neither figure was overwritten.
*** ARCHIVE STATUS OF THE REMAINING YEARS - three genuinely different statements, kept distinct ***
(a) FY2016 and FY2019 - PUBLISHED BUT LOST. These editions demonstrably existed: archived captures of the Bank's own Pillar 3 index page name the files. But the PDFs themselves 404 on the live site and were never captured by any crawler. This is a stronger and more useful statement than 'not found': the disclosure was made, and it is the archive that failed, so no amount of further searching of the Bank's own site will recover it. Second pass 2026-09-19 also tried archive.ph, Wayback CDX of every Zenith domain without the PDF mimetype filter, the following year's Annual Report for a comparative, the parent Zenith Bank Plc's Pillar 3 (no separate UK-entity disclosure in what is readable; live copies 403, archived copies truncated) and a web search - all negative.
(b) FY2017, FY2018 and FY2020 - APPARENTLY NEVER POSTED. The Bank's index page only ever displayed the single latest edition, and it still showed FY2016 as at February 2019 and still showed FY2019 as at September 2021 - which implies no FY2017, FY2018 or FY2020 edition was ever published to the site. THIS IS AN INFERENCE, NOT PROOF, AND THE CAVEAT IS RECORDED DELIBERATELY: there are no index-page captures at all between February 2019 and January 2021, so an edition could have been posted and replaced inside that window without leaving a trace. (FY2020's figures are nonetheless held on these sheets, recovered from the FY2021 edition's own comparative column - see FY2020_COMPARATIVE_NOTE - so for FY2020 the question is moot.)
(c) FY2009, FY2010, FY2012 and FY2013 - NO CAPTURE AT ALL. Neither the PDFs nor any index page naming them survives, so it is not known whether editions for these years were ever published.
These three states are recorded separately on purpose. 'Published but lost' closes a lead permanently; 'apparently never posted' is a rebuttable inference; 'no capture at all' is a genuine unknown.
*** UNIT-SCALE DEFECT FOUND AND FIXED 2026-09-15 - READ BEFORE COMPARING AGAINST ANY EARLIER COPY ***</t>
        </is>
      </c>
    </row>
    <row r="13" ht="234" customHeight="1">
      <c r="A13" s="8" t="inlineStr">
        <is>
          <t>(continued)
For a period earlier on 2026-09-15, every absolute-amount cell on the 11 Pillar 3 metric sheets and the RWA Breakdown sheet of this workbook was 1000x smaller than its "£'000" unit label claimed - the figures were effectively GBP MILLIONS. The symptom: FY2024 CET1 capital read 302.3 while the Balance Sheet sheet showed FY2024 Total equity as 305,356.2 under the same "£'000, conv. from USD" header - two figures that should be within a few percent of each other, three orders of magnitude apart.
CAUSE (a units-handling bug in this build script, NOT a transcription error - no source figure was ever wrong): the Annual Report statements print WHOLE DOLLARS and are transcribed that way, so stock()/flow() divide by 1,000 on top of the FX rate to reach £'000. The Pillar 3 disclosures print US$'000 and are transcribed that way, but were being passed through that same stock(), applying the divide-by-1,000 twice over to figures that were already in thousands. FIX: a separate stock_k() helper (FX conversion only, no divide by 1,000) now serves every Pillar 3 and RWA Breakdown call site; the transcribed source figures were not touched.
THE SOURCE SCALE IS EXPLICIT IN THE DOCUMENTS, not inferred. The FY2024 edition's UK KM1 and UK OV1 tables suffix every figure with a literal " k" ("Common Equity Tier 1 (CET1) capital 378,325 k"; "Total risk-weighted exposure amount 1,475,750 k") and its own footnote writes it out in prose: "the average ASF US$1,136,904k / the average RSF US$768,308k = 147.98%". The FY2015 edition heads its capital tables "US$000's". The decisive cross-check: the Bank's share capital is "136,701,620 ordinary shares of US$1", which the Annual Report carries as 136,701,620 and the Pillar 3 prints as "136,702 k" - the same money at two scales.
WHAT DID NOT CHANGE, AND WHY THE DEFECT SURVIVED SO LONG: every ratio on these sheets (CET1/Tier 1/Total Capital/Leverage/LCR/NSFR) is dimensionless, so numerator and denominator were scaled identically and every printed ratio reproduced both before and after the fix - there was no ratio symptom to catch. The statement sheets (Balance Sheet, Profit &amp; Loss, Statement of Changes in Equity, Cash Flow Statement, Asset Quality) were never affected: they are sourced from the Annual Reports in whole dollars and stock()/flow() were always correct for them. The Overview sheet carries no Pillar 3 absolute amount at all (only statement totals and ratios), so it needed no rescaling either.
FY2011 FOOTNOTE: the two Basel II capital figures on the Tier 1 Capital and Total Capital sheets were entered as 43.6 and 40.0 during the window in which the defect stood, deliberately matching the wrong scale so as not to create a mixed-unit defect inside a single sheet. They now read 43,631 and 40,002 - the figures the FY2011 edition actually prints, in GBP'000.
FY2016 PILLAR 3 RECOVERED (GA-020 cdn-sweep, 2026-09-19) - this supersedes the FY2016 half of the 'unobtainable' paragraph above. The Bank's pre-2018 site served files from /uploads/, and Common Crawl captured http://www.zenith-bank.co.uk/uploads/ZBL_Pillar_3_Disclosure_Document_2016.pdf on 2018-02-24 (crawl CC-MAIN-2018-09; WARC crawl-data/CC-MAIN-2018-09/segments/1518891815318.53/warc/CC-MAIN-20180224033332-20180224053332-00132.warc.gz, offset 592640953, length 648238; retrieve with an HTTP Range request against https://data.commoncrawl.org/). HTTP 200 application/pdf, Last-Modified 2018-01-02, 713,641 bytes = the stated Content-Length, %PDF ... %%EOF, 17 pages; title page 'ZENITH BANK (UK) LIMITED - PILLAR 3 DISCLOSURES FOR THE YEAR ENDED 31 DECEMBER 2016'. Read on the page images: p.8 s.3.3.1 names 'LCR, NSFR, Funding concentration' only as PRA standards the Bank maintains, with no figure; p.9 s.4.2 Total CET-1 capital US$192,990k (2015: 190,521) and s.4.3.1 Pillar 1 capital requirements Credit 47,135 / Market 633 / Operational 5,172 / Total 52,940 (US$000), Regulatory Available Capital 192,990; p.10 'Solvency Ratio against Pillar 1 (Available capital / Required capital)' 365% (2015: 258%) and the credit-risk capital requirement (8%) by exposure class; p.11 Pillar 2A allocation, total 94,675. It is the same pre-CRD IV Pillar 1/Pillar 2 format as FY2014/FY2015: no CET1/capital ratio, no risk-weighted amount, no leverage ratio, no LCR/NSFR figure and no MREL anywhere in its 17 pages (text layer on every page; the only image is the p.1 logo). So the FY2016 ratio, RWA, leverage, LCR and MREL cells read 'Not published' from the edition itself. The RWA is NOT derived from the requirements by dividing by 8%, following the FY2011 treatment (the FY2014/FY2015 derivation stays flagged, not extended). The 365% cover multiple is NOT a capital ratio (see the Tier 1 Ratio note). The capital AMOUNT (US$192,990k) WAS LEFT UNWRITTEN BY THAT PASS as outside its scope, which left the CRR-basis FY2016 cell blank while the Annual-Report rows beneath it carried figures. It was placed on 2026-10-07, after being re-read off a 300 dpi image of printed p.9 - see the FY2016 capital note on the CET1 Capital, Tier 1 Capital and Total Capital sheets, which also records the FY2015 restatement the same page exposes. FY2019 remains unreached: its media/2177 file was never captured by Wayback or by any of 74 Common Crawl crawls (2016-2023) of zenith-bank.co.uk/media/*, and the Azure origin zenithbank-uk.azurewebsites.net 301s to the same 404.</t>
        </is>
      </c>
    </row>
  </sheetData>
  <mergeCells count="5">
    <mergeCell ref="A7:R7"/>
    <mergeCell ref="A11:R11"/>
    <mergeCell ref="A13:R13"/>
    <mergeCell ref="A9:R9"/>
    <mergeCell ref="A6:R6"/>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P20"/>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s>
  <sheetData>
    <row r="1">
      <c r="A1" s="1" t="inlineStr">
        <is>
          <t>Zenith Bank (UK) Limited — Total Capital</t>
        </is>
      </c>
    </row>
    <row r="2">
      <c r="A2" s="2" t="inlineStr">
        <is>
          <t>£'000 (conv. from USD)</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c r="M3" s="4" t="inlineStr">
        <is>
          <t>FY2014</t>
        </is>
      </c>
      <c r="N3" s="4" t="inlineStr">
        <is>
          <t>FY2013</t>
        </is>
      </c>
      <c r="O3" s="4" t="inlineStr">
        <is>
          <t>FY2012</t>
        </is>
      </c>
      <c r="P3" s="4" t="inlineStr">
        <is>
          <t>FY2011</t>
        </is>
      </c>
    </row>
    <row r="4">
      <c r="A4" s="6" t="inlineStr">
        <is>
          <t>Total capital (CRR/CRD IV basis)</t>
        </is>
      </c>
      <c r="B4" s="6" t="n">
        <v>320773.3</v>
      </c>
      <c r="C4" s="6" t="n">
        <v>302297.2</v>
      </c>
      <c r="D4" s="6" t="n">
        <v>265540.4</v>
      </c>
      <c r="E4" s="6" t="n">
        <v>240324.9</v>
      </c>
      <c r="F4" s="6" t="n">
        <v>207889.9</v>
      </c>
      <c r="G4" s="6" t="n">
        <v>205416.1</v>
      </c>
      <c r="H4" s="6" t="n"/>
      <c r="I4" s="6" t="n"/>
      <c r="J4" s="6" t="n"/>
      <c r="K4" s="6" t="n">
        <v>156864.2</v>
      </c>
      <c r="L4" s="6" t="n">
        <v>127190.1</v>
      </c>
      <c r="M4" s="6" t="n">
        <v>109432.3</v>
      </c>
      <c r="N4" s="6" t="n"/>
      <c r="O4" s="6" t="n"/>
      <c r="P4" s="6" t="n"/>
    </row>
    <row r="5">
      <c r="A5" s="6" t="inlineStr">
        <is>
          <t>Total Tier 1 capital per audited accounts, Basel II / GENPRU 2.2 basis (native GBP, NOT FX-converted)</t>
        </is>
      </c>
      <c r="B5" s="6" t="n"/>
      <c r="C5" s="6" t="n"/>
      <c r="D5" s="6" t="n"/>
      <c r="E5" s="6" t="n"/>
      <c r="F5" s="6" t="n"/>
      <c r="G5" s="6" t="n"/>
      <c r="H5" s="6" t="n"/>
      <c r="I5" s="6" t="n"/>
      <c r="J5" s="6" t="n"/>
      <c r="K5" s="6" t="n"/>
      <c r="L5" s="6" t="n"/>
      <c r="M5" s="6" t="n"/>
      <c r="N5" s="6" t="n"/>
      <c r="O5" s="6" t="n"/>
      <c r="P5" s="6" t="n">
        <v>43631</v>
      </c>
    </row>
    <row r="6">
      <c r="A6" s="6" t="inlineStr">
        <is>
          <t>Regulatory Available Capital, Basel II basis, post regulatory deductions (native GBP, NOT FX-converted)</t>
        </is>
      </c>
      <c r="B6" s="6" t="n"/>
      <c r="C6" s="6" t="n"/>
      <c r="D6" s="6" t="n"/>
      <c r="E6" s="6" t="n"/>
      <c r="F6" s="6" t="n"/>
      <c r="G6" s="6" t="n"/>
      <c r="H6" s="6" t="n"/>
      <c r="I6" s="6" t="n"/>
      <c r="J6" s="6" t="n"/>
      <c r="K6" s="6" t="n"/>
      <c r="L6" s="6" t="n"/>
      <c r="M6" s="6" t="n"/>
      <c r="N6" s="6" t="n"/>
      <c r="O6" s="6" t="n"/>
      <c r="P6" s="6" t="n">
        <v>40002</v>
      </c>
    </row>
    <row r="7">
      <c r="A7" s="6" t="inlineStr">
        <is>
          <t>Total statutory capital per the Annual Report 'Capital Management' note, before regulatory deductions (each year's own edition)</t>
        </is>
      </c>
      <c r="B7" s="6" t="n"/>
      <c r="C7" s="6" t="n"/>
      <c r="D7" s="6" t="n"/>
      <c r="E7" s="6" t="n"/>
      <c r="F7" s="6" t="n"/>
      <c r="G7" s="6" t="n"/>
      <c r="H7" s="6" t="n">
        <v>192407.7</v>
      </c>
      <c r="I7" s="6" t="n">
        <v>176507.1</v>
      </c>
      <c r="J7" s="6" t="n">
        <v>153062.4</v>
      </c>
      <c r="K7" s="6" t="n">
        <v>157001.1</v>
      </c>
      <c r="L7" s="6" t="n"/>
      <c r="M7" s="6" t="n"/>
      <c r="N7" s="6" t="n"/>
      <c r="O7" s="6" t="n"/>
      <c r="P7" s="6" t="n"/>
    </row>
    <row r="8">
      <c r="A8" s="6" t="inlineStr">
        <is>
          <t>Total regulatory capital (Tier 1) after regulatory deductions, per the Annual Report 'Capital Management' note (each year's own edition)</t>
        </is>
      </c>
      <c r="B8" s="6" t="n"/>
      <c r="C8" s="6" t="n"/>
      <c r="D8" s="6" t="n"/>
      <c r="E8" s="6" t="n"/>
      <c r="F8" s="6" t="n"/>
      <c r="G8" s="6" t="n"/>
      <c r="H8" s="6" t="n">
        <v>166560.7</v>
      </c>
      <c r="I8" s="6" t="n">
        <v>158385.9</v>
      </c>
      <c r="J8" s="6" t="n"/>
      <c r="K8" s="6" t="n"/>
      <c r="L8" s="6" t="n"/>
      <c r="M8" s="6" t="n"/>
      <c r="N8" s="6" t="n"/>
      <c r="O8" s="6" t="n"/>
      <c r="P8" s="6" t="n"/>
    </row>
    <row r="9">
      <c r="A9" s="6" t="inlineStr">
        <is>
          <t>Total regulatory capital (Tier 1) after deductions - FY2017 COMPARATIVE COLUMN of the FY2018 Annual Report (FY2017's own edition prints no post-deduction figure)</t>
        </is>
      </c>
      <c r="B9" s="6" t="n"/>
      <c r="C9" s="6" t="n"/>
      <c r="D9" s="6" t="n"/>
      <c r="E9" s="6" t="n"/>
      <c r="F9" s="6" t="n"/>
      <c r="G9" s="6" t="n"/>
      <c r="H9" s="6" t="n"/>
      <c r="I9" s="6" t="n"/>
      <c r="J9" s="6" t="n">
        <v>142974.4</v>
      </c>
      <c r="K9" s="6" t="n"/>
      <c r="L9" s="6" t="n"/>
      <c r="M9" s="6" t="n"/>
      <c r="N9" s="6" t="n"/>
      <c r="O9" s="6" t="n"/>
      <c r="P9" s="6" t="n"/>
    </row>
    <row r="10">
      <c r="A10" s="6" t="inlineStr">
        <is>
          <t>Total regulatory capital (Tier 1) INCLUDING audited profit for the year - the FY2019 edition's own second presentation of the same table</t>
        </is>
      </c>
      <c r="B10" s="6" t="n"/>
      <c r="C10" s="6" t="n"/>
      <c r="D10" s="6" t="n"/>
      <c r="E10" s="6" t="n"/>
      <c r="F10" s="6" t="n"/>
      <c r="G10" s="6" t="n"/>
      <c r="H10" s="6" t="n">
        <v>187704.3</v>
      </c>
      <c r="I10" s="6" t="n"/>
      <c r="J10" s="6" t="n"/>
      <c r="K10" s="6" t="n"/>
      <c r="L10" s="6" t="n"/>
      <c r="M10" s="6" t="n"/>
      <c r="N10" s="6" t="n"/>
      <c r="O10" s="6" t="n"/>
      <c r="P10" s="6" t="n"/>
    </row>
    <row r="11">
      <c r="A11" s="6" t="inlineStr">
        <is>
          <t>Total statutory capital per the Annual Report 'Capital Management' note, Basel II era (native GBP, NOT FX-converted)</t>
        </is>
      </c>
      <c r="B11" s="6" t="n"/>
      <c r="C11" s="6" t="n"/>
      <c r="D11" s="6" t="n"/>
      <c r="E11" s="6" t="n"/>
      <c r="F11" s="6" t="n"/>
      <c r="G11" s="6" t="n"/>
      <c r="H11" s="6" t="n"/>
      <c r="I11" s="6" t="n"/>
      <c r="J11" s="6" t="n"/>
      <c r="K11" s="6" t="n"/>
      <c r="L11" s="6" t="n"/>
      <c r="M11" s="6" t="n"/>
      <c r="N11" s="6" t="n">
        <v>74509</v>
      </c>
      <c r="O11" s="6" t="n">
        <v>66836.10000000001</v>
      </c>
      <c r="P11" s="6" t="n"/>
    </row>
    <row r="12">
      <c r="A12" s="6" t="inlineStr">
        <is>
          <t>Total Tier 1 / Total Regulatory Capital per the Annual Report 'Capital Management' note, Basel II era (native GBP, NOT FX-converted)</t>
        </is>
      </c>
      <c r="B12" s="6" t="n"/>
      <c r="C12" s="6" t="n"/>
      <c r="D12" s="6" t="n"/>
      <c r="E12" s="6" t="n"/>
      <c r="F12" s="6" t="n"/>
      <c r="G12" s="6" t="n"/>
      <c r="H12" s="6" t="n"/>
      <c r="I12" s="6" t="n"/>
      <c r="J12" s="6" t="n"/>
      <c r="K12" s="6" t="n"/>
      <c r="L12" s="6" t="n"/>
      <c r="M12" s="6" t="n"/>
      <c r="N12" s="6" t="n">
        <v>72342.3</v>
      </c>
      <c r="O12" s="6" t="n">
        <v>62082.9</v>
      </c>
      <c r="P12" s="6" t="n"/>
    </row>
    <row r="13" ht="390" customHeight="1">
      <c r="A13" s="7" t="inlineStr">
        <is>
          <t>Note: *** FY2016 CAPITAL AMOUNT ADDED 2026-10-07, FROM THE RECOVERED FY2016 PILLAR 3 ITSELF ***
This row's FY2016 cell stood BLANK until today, and the reason it stood blank is no longer true. The FY2016 Pillar 3 edition was recovered from Common Crawl on 2026-09-19 (see the Z16 note in the source cell below for the WARC coordinates), but that pass deliberately left the capital amount unwritten as outside its scope, and several notes in this script went on saying no FY2016 Pillar 3 document was recoverable. Those sentences have been narrowed to FY2017-FY2019 throughout.
WHAT THE DOCUMENT PRINTS. 'Zenith Bank (UK) Limited - Pillar 3 Disclosures for the year ended 31 December 2016', 17pp, printed p.9 (the printed folio equals the PDF sheet index in this document), section 4.2 'Capital Resources', US$000's, two columns headed 2016 and 2015: Share capital at 31 December 136,702 / 136,702; Profit and loss reserve 56,457 / 53,819; Regulatory deductions (169) / a printed DASH; Total CET-1 capital 192,990 / 190,521. The same page's section 4.3.1 Pillar 1 Allocation table prints 'Regulatory Available Capital' 192,990 / 190,521 - the same label this row's FY2014 and FY2015 cells are struck on. Read off a 300 dpi page image on 2026-10-07. US$192,990k converts to this row's £'000 at the FY2016 period-end spot rate, exactly as every other FY2014+ cell on it.
THE EDITION ALSO SETTLES THE BASIS IN ITS OWN WORDS: 'The Bank's entire capital base qualifies as Common Equity Tier 1 capital (CET-1) which consists of fully issued ordinary shares and audited reserves.' So CET1 = Tier 1 = Total capital for FY2016 is the Bank's statement, not an inference, and the same figure appears on all three capital sheets for that reason.
AND IT RESTATES FY2015, WHICH IS RECORDED HERE AND NOT RECONCILED. This row's FY2015 cell carries US$188,483k, the 'Regulatory Available Capital' printed in FY2015's OWN edition (printed p.9, section 4.3.1, beside a Pillar 1 requirement total of 73,972 and a 'Solvency Ratio against Pillar 1' of 255%). That edition's section 4.2 separately prints 'Total tier 1 capital 190,521' with NO regulatory-deduction line, so the FY2015 document itself carries two different figures 2,038 apart and explains neither. The FY2016 edition's 2015 comparative then prints 190,521 in BOTH places and a solvency ratio of 258% (190,521/73,972 = 257.6%, against the FY2015 edition's own 188,483/73,972 = 254.8%), i.e. it restated the 2015 regulatory capital upward by the 2,038 and recomputed the cover multiple to match. Both printings were read off page images on 2026-10-07 and BOTH STAND: the FY2015 cell keeps that year's own edition's 188,483, because a later edition's comparative does not displace what the bank originally published, and nothing here is averaged, adjusted or reconciled. The practical consequence for FY2016 is small but worth stating - FY2016's own 192,990 is net of a 169 deduction its own edition prints, so it is on the post-deduction basis this row declares; it is the 2015 column, not the 2016 one, that the two editions disagree about.
NO FY2016 RATIO AND NO FY2016 RWA WERE ADDED, and that is deliberate. The edition prints no capital ratio and no risk-weighted exposure amount anywhere in its 17 pages. Its 'Solvency Ratio against Pillar 1' of 365% (2015: 258%) is available capital divided by the capital REQUIREMENT - a cover multiple, roughly 12.5x a true capital ratio - and is not a capital ratio; see the Tier 1 Ratio sheet. The Pillar 1 requirement total of US$52,940k was NOT grossed up by 8% to manufacture an RWA, following the FY2011 treatment. Text-layer control on the recovered file, 2026-10-07: 238 hits for 'risk' and 73 for 'capital' against 0 for 'capital ratio', 0 for 'leverage', 0 for 'Liquidity Coverage' and 0 for 'MREL', so those zeros are facts about the document rather than about the probe.
FY2011 ADDED 2026-09-15 on its own two rows, not on the row above. The recovered FY2011 Pillar 3 is a Basel II / BIPRU document computed under GENPRU 2.2 - a different capital definition from the CRR/CRD IV series, and reported in native GBP rather than the USD that every FY2014+ figure on this sheet is converted from. It is therefore NOT continuous with the row above and is deliberately not spliced onto it. The Bank's own words: 'The Bank's entire capital base is Tier 1 capital which consists of fully issued ordinary shares satisfying all the criteria for a Tier 1 instrument (as outlined in GENPRU 2.2.83 R) and audited reserves' - so the absence of AT1 and Tier 2 in FY2011 is the Bank's statement, not an inference. Both figures the edition prints are carried, with a dating caveat on the second; see the source note below. The source figures are GBP 43,631k and GBP 40,002k and they appear here exactly as printed, in £'000, on the same scale as the CRR-basis row above. (They briefly read 43.6/40.0 earlier on 2026-09-15, while the sheet-wide unit-scale defect described in the source note below still stood; that defect is now fixed.)
FY2009/FY2010/FY2012/FY2013 read 'No Pillar 3 edition exists in any archive' rather than being left blank, so the distinction between 'searched and genuinely absent' and 'never looked at' survives in the sheet itself. See the source note for how that differs from FY2016/FY2019 (published but lost) and FY2017/FY2018/FY2020 (apparently never posted).
Equal to CET1/Tier 1 capital in every year - the Bank holds no AT1 or Tier 2 instruments.
*** ANNUAL-REPORT CAPITAL RECOVERY, 2026-09-18 - READ THIS BEFORE RE-CHASING FY2012/FY2013 OR FY2016-FY2019 ***
Every prior pass treated FY2016-FY2019 as a closed gap on the reasoning that no Pillar 3 disclosure document is recoverable for those years. That reasoning was about DOCUMENTS OF ONE KIND. It remained true of FY2017-FY2019 (see the archive-status note below - the ladder was re-run in full on 2026-09-18 and every rung failed again) and is now FALSE of FY2016, whose edition was recovered from Common Crawl on 2026-09-19; but it was never a statement about the Bank's CAPITAL DISCLOSURE, because Zenith Bank (UK) Limited also prints a 'Capital Management' note inside note 25 'Financial risk management' of EVERY Annual Report, and that note carries a Capital Resources table. Those tables were read on 2026-09-18 and are the source of the FY2012, FY2013, FY2016, FY2017, FY2018 and FY2019 capital rows on this sheet. NONE of them discloses a risk-weighted exposure amount, which is why Total RWAs and the RWA Breakdown sheet stay empty of figures for those years.
THE ROWS ARE SEPARATE FROM THE CRR/KM1 ROW ABOVE ON PURPOSE. A Pillar 3 UK KM1 'CET1 capital' figure and an Annual Report 'Capital Resources' figure are not guaranteed to be struck on the same basis, and for this Bank they demonstrably are not in some years (FY2018's own Annual Report reconciles statutory capital of US$225,399,559 down to regulatory Tier 1 of US$202,258,835 through an IFRS 9 transition add-back, an IFRS 9 year-1 deduction, a prudential valuation adjustment and an intangibles deduction). Splicing either figure onto the KM1 row would create a silent basis break mid-series, so each basis keeps its own labelled row and no cell is merged across the break.
WHAT EACH YEAR'S OWN EDITION ACTUALLY PRINTS (all US$ unless stated):</t>
        </is>
      </c>
    </row>
    <row r="14" ht="338" customHeight="1">
      <c r="A14" s="7" t="inlineStr">
        <is>
          <t>(continued)
FY2016 (Annual Report and Accounts 2016, printed p.34 / PDF p.37 - https://www.zenith-bank.co.uk/media/1009/statutory_accounts_year_ended_31st_december_2016.pdf): a two-line Capital Resources table, Share capital 136.7 / Retained earnings 56.5 / TOTAL TIER 1 CAPITAL 193.2, printed in US$ MILLIONS to one decimal. There is no regulatory-deduction reconciliation, no RWA and no ratio in this edition. The figure carried here is 193,158,399 rather than 193,200,000: that is the same edition's own share capital (136,701,620) plus its own retained earnings (56,456,779), both printed in full dollars on its Statement of Financial Position and Statement of Changes in Equity, i.e. exactly the addition the capital note itself performs at a coarser scale. The FY2017 edition's comparative column prints the same line as 193,158,399 to the dollar, confirming it.
  FY2017 (Annual Report and Financial Statements 2017, printed p.48 / PDF p.50 - https://www.zenith-bank.co.uk/media/2142/2017-annual-report-and-financial-statements.pdf): Share capital 136,701,620 / Retained earnings 70,085,676 / Total Tier 1 capital 206,787,296. This edition prints NO post-deduction regulatory figure at all - the FY2017 regulatory Tier 1 of 193,158,399 exists only as the FY2018 edition's comparative column, and is therefore carried on its own explicitly comparative-labelled row rather than alongside own-edition figures.
  FY2018 (Annual Report and Financial Statements 2018, printed p.57 / PDF p.59 - https://www.zenith-bank.co.uk/media/2151/2018-annual-report.pdf): Share capital 136,701,620 / Reserves (99,803) / Retained earnings 88,797,742 / Total statutory capital 225,399,559; then IFRS 9 transition adjustment 8,861,638, Profit or loss attributable to owners of the parent (27,509,757), IFRS 9 transition adjustment year 1 impact (1,772,328), value adjustments due to the requirements for prudential valuation (unaudited) (842,446), other intangible assets before deduction of deferred tax liabilities (1,877,831) = TOTAL REGULATORY CAPITAL (TIER 1) 202,258,835. The reconciliation foots exactly.
  FY2019 (Annual Report and Financial Statements 2019, printed p.60 / PDF p.62 - https://www.zenith-bank.co.uk/media/2169/258558-zenith-web.pdf): Share capital 136,701,620 / Reserves 740,531 / Retained earnings 116,728,430 / Total statutory capital 254,170,581; then IFRS 9 transition adjustment (3,544,655), prudential valuation (649,575), other intangible assets (2,018,933) and profit for the year (27,930,688) = TOTAL REGULATORY CAPITAL (TIER 1) EXCLUDING AUDITED PROFIT 220,026,730; the same table then adds the profit back to give TOTAL REGULATORY CAPITAL (TIER 1) INCLUDING AUDITED PROFIT 247,957,418. BOTH are printed, so both are carried, on separate rows; neither is preferred silently. (The same table's FY2018 comparative column restates FY2018 on the including-profit basis as 229,768,592 - recorded here in the note only, since FY2018's own edition printed no such line.)
  FY2013 (Financial Statements for the year ended 31 December 2013, printed p.39 / PDF p.41 - https://find-and-update.company-information.service.gov.uk/company/05713749/filing-history/MzEwNDk3MzAyNmFkaXF6a2N4/document?format=pdf&amp;download=0): 'Total capital at 31 December 2013 was GBP 74,509,003 (2012: GBP 66,836,084) ... Total Regulatory Capital as at 31 December 2013 was GBP 72,342,265 (2012: GBP 62,082,926)', with a Capital Resources table reading Tier one Capital / Shareholders' Funds 72,342,265 / TOTAL TIER 1 CAPITAL 72,342,265.
  FY2012 (Financial Statements as at 31 December 2012, printed p.38 / PDF p.40 - https://find-and-update.company-information.service.gov.uk/company/05713749/filing-history/MzA4MDQyODAzOGFkaXF6a2N4/document?format=pdf&amp;download=0): the same note, 'Total capital at 31 December 2012 was GBP 66,836,084 (2011 GBP 43,109,518) ... Total Regulatory Capital as at 31 December 2012 was GBP 62,082,926 (2011 GBP 40,002,338)', table TOTAL TIER 1 CAPITAL 62,082,926.
FY2012/FY2013 ARE NATIVE GBP AND ARE NOT FX-CONVERTED - they pre-date the Bank's redenomination to USD (see the FX conversion note on the Cash Flow Statement sheet and NATIVE_GBP_YEARS in the build script), so they sit on these sheets in GBP'000 exactly as printed, on the same scale as the FY2011 Basel II rows. Both editions are IMAGE-ONLY SCANS from Companies House (company 05713749) with a zero-character text layer; they were OCR'd to locate the page and then EVERY FIGURE WAS CONFIRMED VISUALLY against the page rendered at 260 dpi. No figure here rests on OCR output alone.
TWO CORROBORATIONS AND ONE DIVERGENCE, none of them adjusted. (1) The FY2012 edition's 2011 comparative Total Regulatory Capital of GBP 40,002,338 matches, to the pound, the 'Regulatory Available Capital 40,002' (GBP'000) that the recovered FY2011 Pillar 3 prints - two independent documents agreeing, and it also resolves the dating caveat recorded against that FY2011 Pillar 3 figure in favour of it being a genuine 31 December 2011 position rather than a FY2010 one. (2) The FY2012 edition's 2011 comparative 'total capital' of GBP 43,109,518 does NOT match this workbook's FY2011 total equity of GBP 43,624,795 (taken from FY2011's own report) - a GBP 515,277 gap, consistent with the FY2012 IFRS-conversion restatement already documented in the HD-073 extension note. Each year keeps its own report's figure; nothing was reconciled.
WHAT IS STILL GENUINELY ABSENT AFTER THIS PASS: no Zenith Bank (UK) Annual Report in any year FY2012-FY2019 prints a risk-weighted exposure amount, an RWA breakdown, a leverage ratio, an LCR or an NSFR. Each of those four editions was searched in full text for 'risk weighted', 'risk-weighted', 'RWA', 'leverage', 'liquidity coverage' and 'stable funding'; the only hits are the boilerplate sentence 'a ratio of total regulatory capital to risk-weighted exposures at or above a level determined for each institution' and narrative liquidity-management prose naming the LCR and NSFR without any figure. Those cells therefore carry explicit stated-absence markers rather than blanks.
PRE-CRD IV NOTE (FY2014/FY2015/FY2016): see the PRE-CRD IV METHODOLOGY NOTE in the Pillar 3 sources above for full detail - the FY2014 and FY2015 RATIOS are the Bank's own 'Regulatory Available Capital' (not its larger undeducted 'Total tier 1 capital per audited accounts' memo figure) divided by a derived Total RWA (each Pillar 1 capital requirement component divided by 8%, summed). FY2016's edition is the same pre-CRD IV format and its CAPITAL AMOUNT is now carried (2026-10-07, see the FY2016 capital note on the CET1/Tier 1/Total Capital sheets), but NO FY2016 RATIO is shown, because the derivation that produced the FY2014/FY2015 ratios was not extended - see the Total RWAs sheet. FY2017-FY2019 are blank: no Pillar 3 disclosure document is recoverable for those three years (see Pillar 3 sources note). FY2020 is NOT blank; it comes from the FY2021 edition's comparative column.</t>
        </is>
      </c>
    </row>
    <row r="16" ht="351" customHeight="1">
      <c r="A16" s="8" t="inlineStr">
        <is>
          <t>Sources - Zenith Bank (UK) Limited Pillar 3 Disclosures (UK KM1 - Key Metrics; pre-CRD IV Pillar 1/2 disclosures for FY2014-FY2015 - see methodology note below), converted from USD to £ where a $ amount (see FX conversion note on the Cash Flow Statement sheet; % ratios are unconverted):
FY2025: Pillar 3 Disclosures as at 31 Dec 2025, p.16 (Section 10, Key Metrics) - https://www.zenith-bank.co.uk/media/2290/pillar-3-zbuk-31dec25.pdf
FY2024: Pillar 3 Disclosures as at 31 Dec 2024, p.17 (Section 9, Key Metrics) - https://www.zenith-bank.co.uk/media/2274/31dec24-pillar-3-zbuk.pdf
FY2023: Pillar 3 Disclosures as at 31 Dec 2023, p.17 (Section 9, Key Metrics) - https://www.zenith-bank.co.uk/media/2260/pillar-3-31dec23-final.pdf
FY2022: Pillar 3 Disclosures as at 31 Dec 2022, p.24 (Section 10, Key Metrics) - https://www.zenith-bank.co.uk/media/2238/zbuk-31dec22-pillar-3-disclosures.pdf
FY2021: Pillar 3 Disclosures as at 31 Dec 2021, p.23 (Section 10, Key Metrics) - https://www.zenith-bank.co.uk/media/2228/31dec21-pillar-3.pdf
FY2015: Pillar 3 Disclosures 31 December 2015, p.8-9 (Section 4, Capital Adequacy Overview &amp; Resources) - http://web.archive.org/web/20161128044735id_/http://www.zenith-bank.co.uk/uploads/ZBL_Pillar_3_Disclosure_Document_2015.pdf
FY2014: Pillar 3 Disclosures 31 December 2014, p.8-9 (Section 4, Capital Adequacy Overview &amp; Resources) - http://web.archive.org/web/20160826052010id_/http://www.zenith-bank.co.uk/uploads/ZBL_Pillar_3_Disclosure_Document_2014.pdf
FY2017-FY2019 PILLAR 3 DOCUMENTS: unobtainable, and the full fetch ladder was re-run on 2026-09-18 with every rung failing, so this is a statement about ACCESS and is recorded as such. NARROWED FROM FY2016-FY2019 ON 2026-09-19 AND RE-CONFIRMED 2026-10-07: the FY2016 edition WAS recovered, from Common Crawl at the pre-2018 /uploads/ address, and its capital figure is now on the capital sheets (see the Z16 notes below). Everything in this paragraph about media/1013 remains true of that URL - the file really was deleted from the Bank's media store - and is kept because it is what sent the search to the older path. The two file names are known from archived captures of the Bank's own Pillar 3 index page - https://zenith-bank.co.uk/media/1013/zbl_pillar_3_disclosure_document_2016.pdf (named on the 2018-04-01 and 2019-02-15 captures, the older capture pointing at the pre-2018 path http://www.zenith-bank.co.uk/uploads/ZBL_Pillar_3_Disclosure_Document_2016.pdf) and https://zenith-bank.co.uk/media/2177/zenith-bank-uk-limited-pillar-3-disclosure-2019.pdf (named on the 2021-01-27 and 2021-09-19 captures). Rungs tried against each, all failing: plain curl (404 text/html), curl -L (404), curl --http1.1 -L (404), browser User-Agent with an Accept header (404); the old /uploads/ path 301-redirects to the same 404. A Wayback 'id_' raw fetch 404s for all three URLs, and a CDX enumeration of both zenith-bank.co.uk and www.zenith-bank.co.uk returns no capture of any Pillar 3 binary between the FY2015 and FY2021 editions. THIS IS NOT A STATEMENT THAT THE BANK PUBLISHED NOTHING - for FY2016 and FY2019 it demonstrably did. It is a statement that the archive failed. The capital data for these years was obtained from a completely different source family instead: see the ANNUAL-REPORT CAPITAL RECOVERY note on the capital sheets. FY2020's figures come from the FY2021 edition's own comparative column (see FY2020_COMPARATIVE_NOTE), so FY2020 needs no document of its own.
PRE-CRD IV METHODOLOGY NOTE (FY2014-FY2015 only): these two years pre-date the Bank's adoption of the modern UK KM1 template and CRD IV/Basel III concepts entirely - there is no 'CET1' concept, no Leverage Ratio, no LCR and no NSFR disclosed (LCR/NSFR minimums were not yet phased in for a firm this size; the Bank's own disclosure is a Pillar 1/Pillar 2 ICAAP-style capital adequacy summary). Because the Bank's entire capital base was ordinary share capital and audited reserves (no AT1 or Tier 2 instruments then either), its single 'Tier 1 capital' figure is shown here as CET1/Tier 1/Total Capital alike, consistent with the modern-era convention used elsewhere in this workbook - but note the figure used is the Bank's own 'Regulatory Available Capital' (post regulatory deductions, the figure actually used in its published solvency ratio), not its larger undeducted 'Total tier 1 capital per audited accounts' memo figure (FY2014: $185,197k memo vs $170,802k regulatory available; FY2015: $190,521k memo vs $188,483k regulatory available). Total RWAs for FY2014/FY2015 are derived (not directly disclosed) by dividing each disclosed Pillar 1 capital requirement by 8% (the standard Basel capital-to-RWA ratio), per component (Credit/Market/Operational Risk) and summed - FY2014's derived total ($765,350k) differs by $12.5k from an alternative derivation off the disclosed grand total capital requirement ($765,363k), a rounding artefact of the source's own component figures; the per-component sum is used throughout for internal consistency with the RWA Breakdown sheet. The resulting CET1/Tier1/Total Capital ratio (regulatory available capital / derived RWA) is NOT the same figure as the Bank's own headline 'Solvency Ratio against Pillar 1' (available capital / capital REQUIREMENT, i.e. roughly 12.5x this ratio) - both are shown in the RWA Breakdown sheet's source note for transparency.
HISTORICAL PILLAR 3 RECOVERY (2026-09-15) - FY2008 and FY2011 editions recovered from the Wayback Machine
FY2011: Zenith Bank (UK) Limited, "Pillar 3 Disclosures for the year ended 31 December 2011" (17pp, 'Reviewed May 2012'), section 4.2 Capital Resources and section 4.3 Capital Allocation, p.7-8 - https://web.archive.org/web/20130616222348id_/http://www.zenith-bank.co.uk:80/docs/ZBL_Pillar_3_Disclosure_Document_2011.pdf
FY2008: Zenith Bank (UK) Limited, "Pillar 3 Disclosures for the year ending 31 December 2008" (9pp, 'Reviewed December 2008'), section 1 Capital Adequacy Overview &amp; Resources, p.6 - https://web.archive.org/web/20090424153904id_/http://www.zenith-bank.co.uk:80/documents/ZBL_Pillar_3_Disclosure_Document.pdf
*** FY2008: RECOVERED, READ, AND DELIBERATELY NOT USED FOR ANY CELL ***</t>
        </is>
      </c>
    </row>
    <row r="18" ht="390" customHeight="1">
      <c r="A18" s="8" t="inlineStr">
        <is>
          <t>(continued)
This document's cover is internally contradictory - it says 'FOR THE YEAR ENDING 31 DECEMBER 2008' but also 'Reviewed December 2008' and, on its last page, 'This Disclosure will be published in December 2008'. The contradiction was resolved from the FIGURES, not the cover, and the figures are decisive. The document's ONLY quantitative table is introduced verbatim as: "Tier 1 capital based on our 31 December 2007 audited accounts as adjusted for a GBP 15 million capital injection in May 2008 is as follows: Share capital 35,001 / Profit and loss reserve (1,473) / Total tier 1 capital 33,528" (GBP'000). Two further statements confirm it: "The disclosures should be read in conjunction with the ZBL Annual Report and Financial Statements for the corresponding financial year WHICH WILL BE PUBLISHED IN MARCH 2009", and "The disclosures herein are based on the ICAAP last approved in September 2008". So this is an in-year disclosure written before the 2008 year-end and before the 2008 accounts existed; 'for the year ending' means the year then in progress, not an as-at date. THE FIGURE IS THEREFORE NEITHER AN FY2008 NOR AN FY2007 POSITION - it is 31 December 2007 audited reserves combined with share capital that already includes a May 2008 injection. There is no year column in this workbook it can honestly occupy, and mapping it to FY2008 (or to FY2007) would misdate it. No cell was written from it. It is recorded here in full so the document is part of this workbook's record and is not re-chased as an open lead. The edition contains no RWA, no capital requirement and no ratio of any kind, so nothing further was available from it in any case.
FY2011 - TRANSCRIBED. Cover date is unambiguous ('for the year ended 31 December 2011', reviewed May 2012) and the capital table is explicitly headed 'Tier 1 capital as at 31 December 2011 audited accounts'. Native GBP: this pre-dates the Bank's redenomination to USD, so NO FX conversion is applied to these figures (see NATIVE_GBP_YEARS on the statement sheets for the same treatment). Figures, GBP'000:
  Capital table - Share capital at 31 December 2011 35,001; Profit and loss reserve 8,630; TOTAL TIER 1 CAPITAL 43,631. The Bank states 'The Bank's entire capital base is Tier 1 capital which consists of fully issued ordinary shares satisfying all the criteria for a Tier 1 instrument (as outlined in GENPRU 2.2.83 R) and audited reserves' - so there is no AT1 and no Tier 2, by the Bank's own statement.
  Pillar 1 capital requirements - Credit Risk 18,156; Market Risk 27; Operational Risk 1,503; TOTAL 19,686. Regulatory Available Capital 40,002.
  Pillar 1 credit risk capital requirement by exposure class (each stated as 8% of the risk weighted exposure amount) - Financial Institutions 5,768; Corporates 7,461; Retail 25; Bonds 3,899; Sovereigns 896; Multilateral Development Banks 0; Fixed and other assets 107; total 18,156.
  Pillar 2 - Own Capital Assessment total 29,802 against Regulatory 19,686; capital resources at assessment date 40,002 on both bases.
NO RWA IS RECORDED FOR FY2011, AND THAT IS DELIBERATE. The edition discloses capital REQUIREMENTS, not risk-weighted amounts. Dividing each requirement by 8% would produce a total RWA of 246,075 - but that is a derivation, and this project's standing rule is to transcribe only what a document states directly. The requirement figures are preserved verbatim above instead. READ THIS ALONGSIDE THE PRE-CRD IV METHODOLOGY NOTE BELOW: the FY2014/FY2015 Total RWA figures already on these sheets WERE produced by exactly that division, in an earlier pass. That pre-existing derivation is left untouched here (removing populated data is not this pass's call) but it is flagged, and it was deliberately NOT propagated backwards to FY2011.
*** CAPITAL-COVER RATIO TRAP - WHY FY2011's RATIO CELLS ARE 'Not publicly disclosed' RATHER THAN 203% ***
The FY2011 edition prints 'Solvency Ratio against Pillar 1 203%' and, in its Pillar 2 table, 'Capital Adequacy Ratio 203% / 134%'. These are NOT CRR-style capital ratios. The source annotates the first one itself: '(capital divided by Total amount)', i.e. available capital divided by the capital REQUIREMENT - a capital-cover multiple of roughly 12.5x a true capital/RWA ratio. Writing 203% into the Total Capital Ratio sheet would overstate the Bank's capitalisation by an order of magnitude. This exact mistake has been caught three separate times elsewhere in this project. The ratio cells for FY2011 are therefore 'Not publicly disclosed', and the 203%/134% figures live here in the note where they cannot be mistaken for CRR ratios.
TWO FY2011 CAPITAL FIGURES, BOTH CARRIED, NEITHER PREFERRED SILENTLY. 'Total tier 1 capital' per the audited accounts is 43,631; 'Regulatory Available Capital' (post regulatory deductions) is 40,002. Both are on their own rows on the capital sheets. A DATING CAVEAT ON THE SECOND ONE, recorded because it could not be resolved from the document: the Pillar 2 table labels the same 40,002 'Capital resources (AT ASSESSMENT DATE)', not as at 31 December 2011, and 40,002 is also - to the GBP'000 - this workbook's FY2010 closing Total equity of GBP 40,002,338. That may be coincidence or it may mean the ICAAP assessment was run off the FY2010 year-end position. The document does not say, so no conclusion is asserted; the 43,631 figure is the one the document explicitly dates to 31 December 2011.
VALIDATION GATE - PASSED CLEANLY, ACROSS THREE YEARS. The FY2011 edition's operational-risk table (section 4.3.3) prints three full years of actual income in GBP, and every single line reproduces this workbook's Profit &amp; Loss sheet to the pound: 2011 interest receivable 11,927,839 / interest payable (3,564,624) / net interest income 8,363,215 / fees and commissions 2,827,687 / exchange profits 859,674 / OPERATING INCOME 12,050,576; 2010 8,243,082 / (1,269,122) / 6,973,960 / 2,106,201 / 288,424 / 9,368,585; 2009 8,943,064 / (3,027,983) / 5,915,081 / 2,050,411 / 681,633 / 8,647,125. That independently corroborates the FY2009-FY2011 P&amp;L figures recovered from Companies House under HD-073, from a completely separate document. ONE SMALL DIVERGENCE, documented not corrected: the Pillar 3's 'Profit and loss reserve 8,630' against this workbook's FY2011 retained earnings of 8,623,795 (a GBP 6.2k gap that simple rounding to GBP'000 does not explain - 8,623,795 rounds to 8,624), and correspondingly 'Total tier 1 capital 43,631' against Total equity 43,624,795. Share capital agrees exactly at 35,001. Neither figure was overwritten.</t>
        </is>
      </c>
    </row>
    <row r="20" ht="364" customHeight="1">
      <c r="A20" s="8" t="inlineStr">
        <is>
          <t>(continued)
*** ARCHIVE STATUS OF THE REMAINING YEARS - three genuinely different statements, kept distinct ***
(a) FY2016 and FY2019 - PUBLISHED BUT LOST. These editions demonstrably existed: archived captures of the Bank's own Pillar 3 index page name the files. But the PDFs themselves 404 on the live site and were never captured by any crawler. This is a stronger and more useful statement than 'not found': the disclosure was made, and it is the archive that failed, so no amount of further searching of the Bank's own site will recover it. Second pass 2026-09-19 also tried archive.ph, Wayback CDX of every Zenith domain without the PDF mimetype filter, the following year's Annual Report for a comparative, the parent Zenith Bank Plc's Pillar 3 (no separate UK-entity disclosure in what is readable; live copies 403, archived copies truncated) and a web search - all negative.
(b) FY2017, FY2018 and FY2020 - APPARENTLY NEVER POSTED. The Bank's index page only ever displayed the single latest edition, and it still showed FY2016 as at February 2019 and still showed FY2019 as at September 2021 - which implies no FY2017, FY2018 or FY2020 edition was ever published to the site. THIS IS AN INFERENCE, NOT PROOF, AND THE CAVEAT IS RECORDED DELIBERATELY: there are no index-page captures at all between February 2019 and January 2021, so an edition could have been posted and replaced inside that window without leaving a trace. (FY2020's figures are nonetheless held on these sheets, recovered from the FY2021 edition's own comparative column - see FY2020_COMPARATIVE_NOTE - so for FY2020 the question is moot.)
(c) FY2009, FY2010, FY2012 and FY2013 - NO CAPTURE AT ALL. Neither the PDFs nor any index page naming them survives, so it is not known whether editions for these years were ever published.
These three states are recorded separately on purpose. 'Published but lost' closes a lead permanently; 'apparently never posted' is a rebuttable inference; 'no capture at all' is a genuine unknown.
*** UNIT-SCALE DEFECT FOUND AND FIXED 2026-09-15 - READ BEFORE COMPARING AGAINST ANY EARLIER COPY ***
For a period earlier on 2026-09-15, every absolute-amount cell on the 11 Pillar 3 metric sheets and the RWA Breakdown sheet of this workbook was 1000x smaller than its "£'000" unit label claimed - the figures were effectively GBP MILLIONS. The symptom: FY2024 CET1 capital read 302.3 while the Balance Sheet sheet showed FY2024 Total equity as 305,356.2 under the same "£'000, conv. from USD" header - two figures that should be within a few percent of each other, three orders of magnitude apart.
CAUSE (a units-handling bug in this build script, NOT a transcription error - no source figure was ever wrong): the Annual Report statements print WHOLE DOLLARS and are transcribed that way, so stock()/flow() divide by 1,000 on top of the FX rate to reach £'000. The Pillar 3 disclosures print US$'000 and are transcribed that way, but were being passed through that same stock(), applying the divide-by-1,000 twice over to figures that were already in thousands. FIX: a separate stock_k() helper (FX conversion only, no divide by 1,000) now serves every Pillar 3 and RWA Breakdown call site; the transcribed source figures were not touched.
THE SOURCE SCALE IS EXPLICIT IN THE DOCUMENTS, not inferred. The FY2024 edition's UK KM1 and UK OV1 tables suffix every figure with a literal " k" ("Common Equity Tier 1 (CET1) capital 378,325 k"; "Total risk-weighted exposure amount 1,475,750 k") and its own footnote writes it out in prose: "the average ASF US$1,136,904k / the average RSF US$768,308k = 147.98%". The FY2015 edition heads its capital tables "US$000's". The decisive cross-check: the Bank's share capital is "136,701,620 ordinary shares of US$1", which the Annual Report carries as 136,701,620 and the Pillar 3 prints as "136,702 k" - the same money at two scales.
WHAT DID NOT CHANGE, AND WHY THE DEFECT SURVIVED SO LONG: every ratio on these sheets (CET1/Tier 1/Total Capital/Leverage/LCR/NSFR) is dimensionless, so numerator and denominator were scaled identically and every printed ratio reproduced both before and after the fix - there was no ratio symptom to catch. The statement sheets (Balance Sheet, Profit &amp; Loss, Statement of Changes in Equity, Cash Flow Statement, Asset Quality) were never affected: they are sourced from the Annual Reports in whole dollars and stock()/flow() were always correct for them. The Overview sheet carries no Pillar 3 absolute amount at all (only statement totals and ratios), so it needed no rescaling either.
FY2011 FOOTNOTE: the two Basel II capital figures on the Tier 1 Capital and Total Capital sheets were entered as 43.6 and 40.0 during the window in which the defect stood, deliberately matching the wrong scale so as not to create a mixed-unit defect inside a single sheet. They now read 43,631 and 40,002 - the figures the FY2011 edition actually prints, in GBP'000.
FY2016 PILLAR 3 RECOVERED (GA-020 cdn-sweep, 2026-09-19) - this supersedes the FY2016 half of the 'unobtainable' paragraph above. The Bank's pre-2018 site served files from /uploads/, and Common Crawl captured http://www.zenith-bank.co.uk/uploads/ZBL_Pillar_3_Disclosure_Document_2016.pdf on 2018-02-24 (crawl CC-MAIN-2018-09; WARC crawl-data/CC-MAIN-2018-09/segments/1518891815318.53/warc/CC-MAIN-20180224033332-20180224053332-00132.warc.gz, offset 592640953, length 648238; retrieve with an HTTP Range request against https://data.commoncrawl.org/). HTTP 200 application/pdf, Last-Modified 2018-01-02, 713,641 bytes = the stated Content-Length, %PDF ... %%EOF, 17 pages; title page 'ZENITH BANK (UK) LIMITED - PILLAR 3 DISCLOSURES FOR THE YEAR ENDED 31 DECEMBER 2016'. Read on the page images: p.8 s.3.3.1 names 'LCR, NSFR, Funding concentration' only as PRA standards the Bank maintains, with no figure; p.9 s.4.2 Total CET-1 capital US$192,990k (2015: 190,521) and s.4.3.1 Pillar 1 capital requirements Credit 47,135 / Market 633 / Operational 5,172 / Total 52,940 (US$000), Regulatory Available Capital 192,990; p.10 'Solvency Ratio against Pillar 1 (Available capital / Required capital)' 365% (2015: 258%) and the credit-risk capital requirement (8%) by exposure class; p.11 Pillar 2A allocation, total 94,675. It is the same pre-CRD IV Pillar 1/Pillar 2 format as FY2014/FY2015: no CET1/capital ratio, no risk-weighted amount, no leverage ratio, no LCR/NSFR figure and no MREL anywhere in its 17 pages (text layer on every page; the only image is the p.1 logo). So the FY2016 ratio, RWA, leverage, LCR and MREL cells read 'Not published' from the edition itself. The RWA is NOT derived from the requirements by dividing by 8%, following the FY2011 treatment (the FY2014/FY2015 derivation stays flagged, not extended). The 365% cover multiple is NOT a capital ratio (see the Tier 1 Ratio note). The capital AMOUNT (US$192,990k) WAS LEFT UNWRITTEN BY THAT PASS as outside its scope, which left the CRR-basis FY2016 cell blank while the Annual-Report rows beneath it carried figures. It was placed on 2026-10-07, after being re-read off a 300 dpi image of printed p.9 - see the FY2016 capital note on the CET1 Capital, Tier 1 Capital and Total Capital sheets, which also records the FY2015 restatement the same page exposes. FY2019 remains unreached: its media/2177 file was never captured by Wayback or by any of 74 Common Crawl crawls (2016-2023) of zenith-bank.co.uk/media/*, and the Azure origin zenithbank-uk.azurewebsites.net 301s to the same 404.</t>
        </is>
      </c>
    </row>
  </sheetData>
  <mergeCells count="5">
    <mergeCell ref="A13:P13"/>
    <mergeCell ref="A14:P14"/>
    <mergeCell ref="A18:P18"/>
    <mergeCell ref="A20:P20"/>
    <mergeCell ref="A16:P16"/>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R13"/>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s>
  <sheetData>
    <row r="1">
      <c r="A1" s="1" t="inlineStr">
        <is>
          <t>Zenith Bank (UK) Limited — Total Capital Ratio</t>
        </is>
      </c>
    </row>
    <row r="2">
      <c r="A2" s="2" t="inlineStr">
        <is>
          <t>% of RWA</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c r="M3" s="4" t="inlineStr">
        <is>
          <t>FY2014</t>
        </is>
      </c>
      <c r="N3" s="4" t="inlineStr">
        <is>
          <t>FY2013</t>
        </is>
      </c>
      <c r="O3" s="4" t="inlineStr">
        <is>
          <t>FY2012</t>
        </is>
      </c>
      <c r="P3" s="4" t="inlineStr">
        <is>
          <t>FY2011</t>
        </is>
      </c>
      <c r="Q3" s="4" t="inlineStr">
        <is>
          <t>FY2010</t>
        </is>
      </c>
      <c r="R3" s="4" t="inlineStr">
        <is>
          <t>FY2009</t>
        </is>
      </c>
    </row>
    <row r="4">
      <c r="A4" s="6" t="inlineStr">
        <is>
          <t>Total capital ratio</t>
        </is>
      </c>
      <c r="B4" s="6" t="inlineStr">
        <is>
          <t>23.40%</t>
        </is>
      </c>
      <c r="C4" s="6" t="inlineStr">
        <is>
          <t>25.64%</t>
        </is>
      </c>
      <c r="D4" s="6" t="inlineStr">
        <is>
          <t>28.95%</t>
        </is>
      </c>
      <c r="E4" s="6" t="inlineStr">
        <is>
          <t>25.84%</t>
        </is>
      </c>
      <c r="F4" s="6" t="inlineStr">
        <is>
          <t>20.78%</t>
        </is>
      </c>
      <c r="G4" s="6" t="inlineStr">
        <is>
          <t>28.29%</t>
        </is>
      </c>
      <c r="H4" s="6" t="n"/>
      <c r="I4" s="6" t="n"/>
      <c r="J4" s="6" t="n"/>
      <c r="K4" s="6" t="n"/>
      <c r="L4" s="6" t="inlineStr">
        <is>
          <t>20.38%</t>
        </is>
      </c>
      <c r="M4" s="6" t="inlineStr">
        <is>
          <t>22.32%</t>
        </is>
      </c>
      <c r="N4" s="6" t="inlineStr">
        <is>
          <t>No Pillar 3 edition exists in any archive</t>
        </is>
      </c>
      <c r="O4" s="6" t="inlineStr">
        <is>
          <t>No Pillar 3 edition exists in any archive</t>
        </is>
      </c>
      <c r="P4" s="6" t="inlineStr">
        <is>
          <t>Not published – FY2011 Pillar 3 (Basel II) prints no capital ratio; its 203% 'Solvency Ratio against Pillar 1' is capital/requirement, not a ratio - see note</t>
        </is>
      </c>
      <c r="Q4" s="6" t="inlineStr">
        <is>
          <t>No Pillar 3 edition exists in any archive</t>
        </is>
      </c>
      <c r="R4" s="6" t="inlineStr">
        <is>
          <t>No Pillar 3 edition exists in any archive</t>
        </is>
      </c>
    </row>
    <row r="5">
      <c r="A5" s="6" t="inlineStr">
        <is>
          <t>Total capital ratio (= the CET1 ratio; no AT1 or Tier 2 in issue) as stated in that year's own ANNUAL REPORT (not from a Pillar 3 / UK KM1 template)</t>
        </is>
      </c>
      <c r="B5" s="6" t="n"/>
      <c r="C5" s="6" t="n"/>
      <c r="D5" s="6" t="n"/>
      <c r="E5" s="6" t="n"/>
      <c r="F5" s="6" t="n"/>
      <c r="G5" s="6" t="n"/>
      <c r="H5" s="6" t="inlineStr">
        <is>
          <t>Unreached today – FY2019 Pillar 3 named on archived index page; PDF 404 live; no copy in Wayback, archive.ph, Common Crawl (74 crawls) or the Azure origin host (2026-09-19); FY2019/FY2020 ARs print none</t>
        </is>
      </c>
      <c r="I5" s="6" t="inlineStr">
        <is>
          <t>32.38%</t>
        </is>
      </c>
      <c r="J5" s="6" t="inlineStr">
        <is>
          <t>35.53%</t>
        </is>
      </c>
      <c r="K5" s="6" t="inlineStr">
        <is>
          <t>Not published – FY2016 AR prints no ratio; recovered FY2016 Pillar 3 p.9-10 prints only a 365% 'Solvency Ratio against Pillar 1' (capital/requirement), no CET1 ratio</t>
        </is>
      </c>
      <c r="L5" s="6" t="n"/>
      <c r="M5" s="6" t="n"/>
      <c r="N5" s="6" t="n"/>
      <c r="O5" s="6" t="n"/>
      <c r="P5" s="6" t="n"/>
      <c r="Q5" s="6" t="n"/>
      <c r="R5" s="6" t="n"/>
    </row>
    <row r="6" ht="377" customHeight="1">
      <c r="A6" s="7" t="inlineStr">
        <is>
          <t>Note: FY2011 'Not publicly disclosed' - see the Tier 1 Ratio sheet's note on the 203% capital-cover trap.
THE ANNUAL-REPORT RATIO ROW (FY2017/FY2018, added 2026-09-18) IS A SEPARATE ROW FOR A REASON. Neither figure comes from a Pillar 3 UK KM1 template - no Pillar 3 edition survives for either year (see the Annual-Report capital recovery note below). FY2018's 32.38% is stated in the Strategic Report of the FY2018 Annual Report, printed p.8 / PDF p.10 (https://www.zenith-bank.co.uk/media/2151/2018-annual-report.pdf): 'The Bank's strong capital position at the end of 2018, which reflects a Common Equity Tier 1 (CET1) ratio of 32.38%'. FY2017's 35.53% is stated in the Strategic Report of the FY2017 Annual Report, printed p.11 / PDF p.13 (https://www.zenith-bank.co.uk/media/2142/2017-annual-report-and-financial-statements.pdf), in an 'IFRS 9 implications' passage that gives three figures for the same transition - '35.53% under IAS 39 at 31 December 2017 / 34.40% under IFRS 9 at 1 January 2018 before transitional relief / 35.47% under IFRS 9 at 1 January 2018 after transitional relief'. ONLY THE FIRST IS A 31 DECEMBER 2017 POSITION; the other two are 1 January 2018 opening positions and belong to no year column here, so they are recorded in this note and nowhere else. The Bank's entire capital base is CET1 (its own statement - no AT1, no Tier 2), so the same figure is the Tier 1 ratio and the Total capital ratio, exactly as for every year sourced from a KM1 template on these sheets.
A TRAJECTORY ODDITY, FLAGGED AND DELIBERATELY NOT RESOLVED: 35.53% (FY2017) and 32.38% (FY2018) sit well above the 20.38% recorded for FY2015 and the 28.29% for FY2020, and neither the FY2017 nor the FY2018 Annual Report prints the RWA that would explain the movement. Nothing has been back-solved from capital and ratio to produce one - that is barred by this project's rules and would in any case be a derivation presented as a disclosure. The ratios are carried as printed; the RWA cells stay stated-absent.
FY2016 and FY2019 get no ratio at all: those two Annual Reports print a Capital Resources table but no capital ratio anywhere. FY2016's Pillar 3 was recovered on 2026-09-19 (see the Z16 note in the source cell) and prints no capital ratio either - only a 365% capital-cover multiple - so FY2016 is 'Not published'; FY2019's Pillar 3 demonstrably existed and is still lost, so FY2019 is 'Unreached today'.
*** ANNUAL-REPORT CAPITAL RECOVERY, 2026-09-18 - READ THIS BEFORE RE-CHASING FY2012/FY2013 OR FY2016-FY2019 ***
Every prior pass treated FY2016-FY2019 as a closed gap on the reasoning that no Pillar 3 disclosure document is recoverable for those years. That reasoning was about DOCUMENTS OF ONE KIND. It remained true of FY2017-FY2019 (see the archive-status note below - the ladder was re-run in full on 2026-09-18 and every rung failed again) and is now FALSE of FY2016, whose edition was recovered from Common Crawl on 2026-09-19; but it was never a statement about the Bank's CAPITAL DISCLOSURE, because Zenith Bank (UK) Limited also prints a 'Capital Management' note inside note 25 'Financial risk management' of EVERY Annual Report, and that note carries a Capital Resources table. Those tables were read on 2026-09-18 and are the source of the FY2012, FY2013, FY2016, FY2017, FY2018 and FY2019 capital rows on this sheet. NONE of them discloses a risk-weighted exposure amount, which is why Total RWAs and the RWA Breakdown sheet stay empty of figures for those years.
THE ROWS ARE SEPARATE FROM THE CRR/KM1 ROW ABOVE ON PURPOSE. A Pillar 3 UK KM1 'CET1 capital' figure and an Annual Report 'Capital Resources' figure are not guaranteed to be struck on the same basis, and for this Bank they demonstrably are not in some years (FY2018's own Annual Report reconciles statutory capital of US$225,399,559 down to regulatory Tier 1 of US$202,258,835 through an IFRS 9 transition add-back, an IFRS 9 year-1 deduction, a prudential valuation adjustment and an intangibles deduction). Splicing either figure onto the KM1 row would create a silent basis break mid-series, so each basis keeps its own labelled row and no cell is merged across the break.
WHAT EACH YEAR'S OWN EDITION ACTUALLY PRINTS (all US$ unless stated):
  FY2016 (Annual Report and Accounts 2016, printed p.34 / PDF p.37 - https://www.zenith-bank.co.uk/media/1009/statutory_accounts_year_ended_31st_december_2016.pdf): a two-line Capital Resources table, Share capital 136.7 / Retained earnings 56.5 / TOTAL TIER 1 CAPITAL 193.2, printed in US$ MILLIONS to one decimal. There is no regulatory-deduction reconciliation, no RWA and no ratio in this edition. The figure carried here is 193,158,399 rather than 193,200,000: that is the same edition's own share capital (136,701,620) plus its own retained earnings (56,456,779), both printed in full dollars on its Statement of Financial Position and Statement of Changes in Equity, i.e. exactly the addition the capital note itself performs at a coarser scale. The FY2017 edition's comparative column prints the same line as 193,158,399 to the dollar, confirming it.
  FY2017 (Annual Report and Financial Statements 2017, printed p.48 / PDF p.50 - https://www.zenith-bank.co.uk/media/2142/2017-annual-report-and-financial-statements.pdf): Share capital 136,701,620 / Retained earnings 70,085,676 / Total Tier 1 capital 206,787,296. This edition prints NO post-deduction regulatory figure at all - the FY2017 regulatory Tier 1 of 193,158,399 exists only as the FY2018 edition's comparative column, and is therefore carried on its own explicitly comparative-labelled row rather than alongside own-edition figures.
  FY2018 (Annual Report and Financial Statements 2018, printed p.57 / PDF p.59 - https://www.zenith-bank.co.uk/media/2151/2018-annual-report.pdf): Share capital 136,701,620 / Reserves (99,803) / Retained earnings 88,797,742 / Total statutory capital 225,399,559; then IFRS 9 transition adjustment 8,861,638, Profit or loss attributable to owners of the parent (27,509,757), IFRS 9 transition adjustment year 1 impact (1,772,328), value adjustments due to the requirements for prudential valuation (unaudited) (842,446), other intangible assets before deduction of deferred tax liabilities (1,877,831) = TOTAL REGULATORY CAPITAL (TIER 1) 202,258,835. The reconciliation foots exactly.
  FY2019 (Annual Report and Financial Statements 2019, printed p.60 / PDF p.62 - https://www.zenith-bank.co.uk/media/2169/258558-zenith-web.pdf): Share capital 136,701,620 / Reserves 740,531 / Retained earnings 116,728,430 / Total statutory capital 254,170,581; then IFRS 9 transition adjustment (3,544,655), prudential valuation (649,575), other intangible assets (2,018,933) and profit for the year (27,930,688) = TOTAL REGULATORY CAPITAL (TIER 1) EXCLUDING AUDITED PROFIT 220,026,730; the same table then adds the profit back to give TOTAL REGULATORY CAPITAL (TIER 1) INCLUDING AUDITED PROFIT 247,957,418. BOTH are printed, so both are carried, on separate rows; neither is preferred silently. (The same table's FY2018 comparative column restates FY2018 on the including-profit basis as 229,768,592 - recorded here in the note only, since FY2018's own edition printed no such line.)
  FY2013 (Financial Statements for the year ended 31 December 2013, printed p.39 / PDF p.41 - https://find-and-update.company-information.service.gov.uk/company/05713749/filing-history/MzEwNDk3MzAyNmFkaXF6a2N4/document?format=pdf&amp;download=0): 'Total capital at 31 December 2013 was GBP 74,509,003 (2012: GBP 66,836,084) ... Total Regulatory Capital as at 31 December 2013 was GBP 72,342,265 (2012: GBP 62,082,926)', with a Capital Resources table reading Tier one Capital / Shareholders' Funds 72,342,265 / TOTAL TIER 1 CAPITAL 72,342,265.</t>
        </is>
      </c>
    </row>
    <row r="7" ht="169" customHeight="1">
      <c r="A7" s="7" t="inlineStr">
        <is>
          <t>(continued)
FY2012 (Financial Statements as at 31 December 2012, printed p.38 / PDF p.40 - https://find-and-update.company-information.service.gov.uk/company/05713749/filing-history/MzA4MDQyODAzOGFkaXF6a2N4/document?format=pdf&amp;download=0): the same note, 'Total capital at 31 December 2012 was GBP 66,836,084 (2011 GBP 43,109,518) ... Total Regulatory Capital as at 31 December 2012 was GBP 62,082,926 (2011 GBP 40,002,338)', table TOTAL TIER 1 CAPITAL 62,082,926.
FY2012/FY2013 ARE NATIVE GBP AND ARE NOT FX-CONVERTED - they pre-date the Bank's redenomination to USD (see the FX conversion note on the Cash Flow Statement sheet and NATIVE_GBP_YEARS in the build script), so they sit on these sheets in GBP'000 exactly as printed, on the same scale as the FY2011 Basel II rows. Both editions are IMAGE-ONLY SCANS from Companies House (company 05713749) with a zero-character text layer; they were OCR'd to locate the page and then EVERY FIGURE WAS CONFIRMED VISUALLY against the page rendered at 260 dpi. No figure here rests on OCR output alone.
TWO CORROBORATIONS AND ONE DIVERGENCE, none of them adjusted. (1) The FY2012 edition's 2011 comparative Total Regulatory Capital of GBP 40,002,338 matches, to the pound, the 'Regulatory Available Capital 40,002' (GBP'000) that the recovered FY2011 Pillar 3 prints - two independent documents agreeing, and it also resolves the dating caveat recorded against that FY2011 Pillar 3 figure in favour of it being a genuine 31 December 2011 position rather than a FY2010 one. (2) The FY2012 edition's 2011 comparative 'total capital' of GBP 43,109,518 does NOT match this workbook's FY2011 total equity of GBP 43,624,795 (taken from FY2011's own report) - a GBP 515,277 gap, consistent with the FY2012 IFRS-conversion restatement already documented in the HD-073 extension note. Each year keeps its own report's figure; nothing was reconciled.
WHAT IS STILL GENUINELY ABSENT AFTER THIS PASS: no Zenith Bank (UK) Annual Report in any year FY2012-FY2019 prints a risk-weighted exposure amount, an RWA breakdown, a leverage ratio, an LCR or an NSFR. Each of those four editions was searched in full text for 'risk weighted', 'risk-weighted', 'RWA', 'leverage', 'liquidity coverage' and 'stable funding'; the only hits are the boilerplate sentence 'a ratio of total regulatory capital to risk-weighted exposures at or above a level determined for each institution' and narrative liquidity-management prose naming the LCR and NSFR without any figure. Those cells therefore carry explicit stated-absence markers rather than blanks.
PRE-CRD IV NOTE (FY2014/FY2015/FY2016): see the PRE-CRD IV METHODOLOGY NOTE in the Pillar 3 sources above for full detail - the FY2014 and FY2015 RATIOS are the Bank's own 'Regulatory Available Capital' (not its larger undeducted 'Total tier 1 capital per audited accounts' memo figure) divided by a derived Total RWA (each Pillar 1 capital requirement component divided by 8%, summed). FY2016's edition is the same pre-CRD IV format and its CAPITAL AMOUNT is now carried (2026-10-07, see the FY2016 capital note on the CET1/Tier 1/Total Capital sheets), but NO FY2016 RATIO is shown, because the derivation that produced the FY2014/FY2015 ratios was not extended - see the Total RWAs sheet. FY2017-FY2019 are blank: no Pillar 3 disclosure document is recoverable for those three years (see Pillar 3 sources note). FY2020 is NOT blank; it comes from the FY2021 edition's comparative column.</t>
        </is>
      </c>
    </row>
    <row r="9" ht="377" customHeight="1">
      <c r="A9" s="8" t="inlineStr">
        <is>
          <t>Sources - Zenith Bank (UK) Limited Pillar 3 Disclosures (UK KM1 - Key Metrics; pre-CRD IV Pillar 1/2 disclosures for FY2014-FY2015 - see methodology note below), converted from USD to £ where a $ amount (see FX conversion note on the Cash Flow Statement sheet; % ratios are unconverted):
FY2025: Pillar 3 Disclosures as at 31 Dec 2025, p.16 (Section 10, Key Metrics) - https://www.zenith-bank.co.uk/media/2290/pillar-3-zbuk-31dec25.pdf
FY2024: Pillar 3 Disclosures as at 31 Dec 2024, p.17 (Section 9, Key Metrics) - https://www.zenith-bank.co.uk/media/2274/31dec24-pillar-3-zbuk.pdf
FY2023: Pillar 3 Disclosures as at 31 Dec 2023, p.17 (Section 9, Key Metrics) - https://www.zenith-bank.co.uk/media/2260/pillar-3-31dec23-final.pdf
FY2022: Pillar 3 Disclosures as at 31 Dec 2022, p.24 (Section 10, Key Metrics) - https://www.zenith-bank.co.uk/media/2238/zbuk-31dec22-pillar-3-disclosures.pdf
FY2021: Pillar 3 Disclosures as at 31 Dec 2021, p.23 (Section 10, Key Metrics) - https://www.zenith-bank.co.uk/media/2228/31dec21-pillar-3.pdf
FY2015: Pillar 3 Disclosures 31 December 2015, p.8-9 (Section 4, Capital Adequacy Overview &amp; Resources) - http://web.archive.org/web/20161128044735id_/http://www.zenith-bank.co.uk/uploads/ZBL_Pillar_3_Disclosure_Document_2015.pdf
FY2014: Pillar 3 Disclosures 31 December 2014, p.8-9 (Section 4, Capital Adequacy Overview &amp; Resources) - http://web.archive.org/web/20160826052010id_/http://www.zenith-bank.co.uk/uploads/ZBL_Pillar_3_Disclosure_Document_2014.pdf
FY2017-FY2019 PILLAR 3 DOCUMENTS: unobtainable, and the full fetch ladder was re-run on 2026-09-18 with every rung failing, so this is a statement about ACCESS and is recorded as such. NARROWED FROM FY2016-FY2019 ON 2026-09-19 AND RE-CONFIRMED 2026-10-07: the FY2016 edition WAS recovered, from Common Crawl at the pre-2018 /uploads/ address, and its capital figure is now on the capital sheets (see the Z16 notes below). Everything in this paragraph about media/1013 remains true of that URL - the file really was deleted from the Bank's media store - and is kept because it is what sent the search to the older path. The two file names are known from archived captures of the Bank's own Pillar 3 index page - https://zenith-bank.co.uk/media/1013/zbl_pillar_3_disclosure_document_2016.pdf (named on the 2018-04-01 and 2019-02-15 captures, the older capture pointing at the pre-2018 path http://www.zenith-bank.co.uk/uploads/ZBL_Pillar_3_Disclosure_Document_2016.pdf) and https://zenith-bank.co.uk/media/2177/zenith-bank-uk-limited-pillar-3-disclosure-2019.pdf (named on the 2021-01-27 and 2021-09-19 captures). Rungs tried against each, all failing: plain curl (404 text/html), curl -L (404), curl --http1.1 -L (404), browser User-Agent with an Accept header (404); the old /uploads/ path 301-redirects to the same 404. A Wayback 'id_' raw fetch 404s for all three URLs, and a CDX enumeration of both zenith-bank.co.uk and www.zenith-bank.co.uk returns no capture of any Pillar 3 binary between the FY2015 and FY2021 editions. THIS IS NOT A STATEMENT THAT THE BANK PUBLISHED NOTHING - for FY2016 and FY2019 it demonstrably did. It is a statement that the archive failed. The capital data for these years was obtained from a completely different source family instead: see the ANNUAL-REPORT CAPITAL RECOVERY note on the capital sheets. FY2020's figures come from the FY2021 edition's own comparative column (see FY2020_COMPARATIVE_NOTE), so FY2020 needs no document of its own.
PRE-CRD IV METHODOLOGY NOTE (FY2014-FY2015 only): these two years pre-date the Bank's adoption of the modern UK KM1 template and CRD IV/Basel III concepts entirely - there is no 'CET1' concept, no Leverage Ratio, no LCR and no NSFR disclosed (LCR/NSFR minimums were not yet phased in for a firm this size; the Bank's own disclosure is a Pillar 1/Pillar 2 ICAAP-style capital adequacy summary). Because the Bank's entire capital base was ordinary share capital and audited reserves (no AT1 or Tier 2 instruments then either), its single 'Tier 1 capital' figure is shown here as CET1/Tier 1/Total Capital alike, consistent with the modern-era convention used elsewhere in this workbook - but note the figure used is the Bank's own 'Regulatory Available Capital' (post regulatory deductions, the figure actually used in its published solvency ratio), not its larger undeducted 'Total tier 1 capital per audited accounts' memo figure (FY2014: $185,197k memo vs $170,802k regulatory available; FY2015: $190,521k memo vs $188,483k regulatory available). Total RWAs for FY2014/FY2015 are derived (not directly disclosed) by dividing each disclosed Pillar 1 capital requirement by 8% (the standard Basel capital-to-RWA ratio), per component (Credit/Market/Operational Risk) and summed - FY2014's derived total ($765,350k) differs by $12.5k from an alternative derivation off the disclosed grand total capital requirement ($765,363k), a rounding artefact of the source's own component figures; the per-component sum is used throughout for internal consistency with the RWA Breakdown sheet. The resulting CET1/Tier1/Total Capital ratio (regulatory available capital / derived RWA) is NOT the same figure as the Bank's own headline 'Solvency Ratio against Pillar 1' (available capital / capital REQUIREMENT, i.e. roughly 12.5x this ratio) - both are shown in the RWA Breakdown sheet's source note for transparency.
HISTORICAL PILLAR 3 RECOVERY (2026-09-15) - FY2008 and FY2011 editions recovered from the Wayback Machine
FY2011: Zenith Bank (UK) Limited, "Pillar 3 Disclosures for the year ended 31 December 2011" (17pp, 'Reviewed May 2012'), section 4.2 Capital Resources and section 4.3 Capital Allocation, p.7-8 - https://web.archive.org/web/20130616222348id_/http://www.zenith-bank.co.uk:80/docs/ZBL_Pillar_3_Disclosure_Document_2011.pdf
FY2008: Zenith Bank (UK) Limited, "Pillar 3 Disclosures for the year ending 31 December 2008" (9pp, 'Reviewed December 2008'), section 1 Capital Adequacy Overview &amp; Resources, p.6 - https://web.archive.org/web/20090424153904id_/http://www.zenith-bank.co.uk:80/documents/ZBL_Pillar_3_Disclosure_Document.pdf
*** FY2008: RECOVERED, READ, AND DELIBERATELY NOT USED FOR ANY CELL ***
This document's cover is internally contradictory - it says 'FOR THE YEAR ENDING 31 DECEMBER 2008' but also 'Reviewed December 2008' and, on its last page, 'This Disclosure will be published in December 2008'. The contradiction was resolved from the FIGURES, not the cover, and the figures are decisive. The document's ONLY quantitative table is introduced verbatim as: "Tier 1 capital based on our 31 December 2007 audited accounts as adjusted for a GBP 15 million capital injection in May 2008 is as follows: Share capital 35,001 / Profit and loss reserve (1,473) / Total tier 1 capital 33,528" (GBP'000). Two further statements confirm it: "The disclosures should be read in conjunction with the ZBL Annual Report and Financial Statements for the corresponding financial year WHICH WILL BE PUBLISHED IN MARCH 2009", and "The disclosures herein are based on the ICAAP last approved in September 2008". So this is an in-year disclosure written before the 2008 year-end and before the 2008 accounts existed; 'for the year ending' means the year then in progress, not an as-at date. THE FIGURE IS THEREFORE NEITHER AN FY2008 NOR AN FY2007 POSITION - it is 31 December 2007 audited reserves combined with share capital that already includes a May 2008 injection. There is no year column in this workbook it can honestly occupy, and mapping it to FY2008 (or to FY2007) would misdate it. No cell was written from it. It is recorded here in full so the document is part of this workbook's record and is not re-chased as an open lead. The edition contains no RWA, no capital requirement and no ratio of any kind, so nothing further was available from it in any case.</t>
        </is>
      </c>
    </row>
    <row r="11" ht="390" customHeight="1">
      <c r="A11" s="8" t="inlineStr">
        <is>
          <t>(continued)
FY2011 - TRANSCRIBED. Cover date is unambiguous ('for the year ended 31 December 2011', reviewed May 2012) and the capital table is explicitly headed 'Tier 1 capital as at 31 December 2011 audited accounts'. Native GBP: this pre-dates the Bank's redenomination to USD, so NO FX conversion is applied to these figures (see NATIVE_GBP_YEARS on the statement sheets for the same treatment). Figures, GBP'000:
  Capital table - Share capital at 31 December 2011 35,001; Profit and loss reserve 8,630; TOTAL TIER 1 CAPITAL 43,631. The Bank states 'The Bank's entire capital base is Tier 1 capital which consists of fully issued ordinary shares satisfying all the criteria for a Tier 1 instrument (as outlined in GENPRU 2.2.83 R) and audited reserves' - so there is no AT1 and no Tier 2, by the Bank's own statement.
  Pillar 1 capital requirements - Credit Risk 18,156; Market Risk 27; Operational Risk 1,503; TOTAL 19,686. Regulatory Available Capital 40,002.
  Pillar 1 credit risk capital requirement by exposure class (each stated as 8% of the risk weighted exposure amount) - Financial Institutions 5,768; Corporates 7,461; Retail 25; Bonds 3,899; Sovereigns 896; Multilateral Development Banks 0; Fixed and other assets 107; total 18,156.
  Pillar 2 - Own Capital Assessment total 29,802 against Regulatory 19,686; capital resources at assessment date 40,002 on both bases.
NO RWA IS RECORDED FOR FY2011, AND THAT IS DELIBERATE. The edition discloses capital REQUIREMENTS, not risk-weighted amounts. Dividing each requirement by 8% would produce a total RWA of 246,075 - but that is a derivation, and this project's standing rule is to transcribe only what a document states directly. The requirement figures are preserved verbatim above instead. READ THIS ALONGSIDE THE PRE-CRD IV METHODOLOGY NOTE BELOW: the FY2014/FY2015 Total RWA figures already on these sheets WERE produced by exactly that division, in an earlier pass. That pre-existing derivation is left untouched here (removing populated data is not this pass's call) but it is flagged, and it was deliberately NOT propagated backwards to FY2011.
*** CAPITAL-COVER RATIO TRAP - WHY FY2011's RATIO CELLS ARE 'Not publicly disclosed' RATHER THAN 203% ***
The FY2011 edition prints 'Solvency Ratio against Pillar 1 203%' and, in its Pillar 2 table, 'Capital Adequacy Ratio 203% / 134%'. These are NOT CRR-style capital ratios. The source annotates the first one itself: '(capital divided by Total amount)', i.e. available capital divided by the capital REQUIREMENT - a capital-cover multiple of roughly 12.5x a true capital/RWA ratio. Writing 203% into the Total Capital Ratio sheet would overstate the Bank's capitalisation by an order of magnitude. This exact mistake has been caught three separate times elsewhere in this project. The ratio cells for FY2011 are therefore 'Not publicly disclosed', and the 203%/134% figures live here in the note where they cannot be mistaken for CRR ratios.
TWO FY2011 CAPITAL FIGURES, BOTH CARRIED, NEITHER PREFERRED SILENTLY. 'Total tier 1 capital' per the audited accounts is 43,631; 'Regulatory Available Capital' (post regulatory deductions) is 40,002. Both are on their own rows on the capital sheets. A DATING CAVEAT ON THE SECOND ONE, recorded because it could not be resolved from the document: the Pillar 2 table labels the same 40,002 'Capital resources (AT ASSESSMENT DATE)', not as at 31 December 2011, and 40,002 is also - to the GBP'000 - this workbook's FY2010 closing Total equity of GBP 40,002,338. That may be coincidence or it may mean the ICAAP assessment was run off the FY2010 year-end position. The document does not say, so no conclusion is asserted; the 43,631 figure is the one the document explicitly dates to 31 December 2011.
VALIDATION GATE - PASSED CLEANLY, ACROSS THREE YEARS. The FY2011 edition's operational-risk table (section 4.3.3) prints three full years of actual income in GBP, and every single line reproduces this workbook's Profit &amp; Loss sheet to the pound: 2011 interest receivable 11,927,839 / interest payable (3,564,624) / net interest income 8,363,215 / fees and commissions 2,827,687 / exchange profits 859,674 / OPERATING INCOME 12,050,576; 2010 8,243,082 / (1,269,122) / 6,973,960 / 2,106,201 / 288,424 / 9,368,585; 2009 8,943,064 / (3,027,983) / 5,915,081 / 2,050,411 / 681,633 / 8,647,125. That independently corroborates the FY2009-FY2011 P&amp;L figures recovered from Companies House under HD-073, from a completely separate document. ONE SMALL DIVERGENCE, documented not corrected: the Pillar 3's 'Profit and loss reserve 8,630' against this workbook's FY2011 retained earnings of 8,623,795 (a GBP 6.2k gap that simple rounding to GBP'000 does not explain - 8,623,795 rounds to 8,624), and correspondingly 'Total tier 1 capital 43,631' against Total equity 43,624,795. Share capital agrees exactly at 35,001. Neither figure was overwritten.
*** ARCHIVE STATUS OF THE REMAINING YEARS - three genuinely different statements, kept distinct ***
(a) FY2016 and FY2019 - PUBLISHED BUT LOST. These editions demonstrably existed: archived captures of the Bank's own Pillar 3 index page name the files. But the PDFs themselves 404 on the live site and were never captured by any crawler. This is a stronger and more useful statement than 'not found': the disclosure was made, and it is the archive that failed, so no amount of further searching of the Bank's own site will recover it. Second pass 2026-09-19 also tried archive.ph, Wayback CDX of every Zenith domain without the PDF mimetype filter, the following year's Annual Report for a comparative, the parent Zenith Bank Plc's Pillar 3 (no separate UK-entity disclosure in what is readable; live copies 403, archived copies truncated) and a web search - all negative.
(b) FY2017, FY2018 and FY2020 - APPARENTLY NEVER POSTED. The Bank's index page only ever displayed the single latest edition, and it still showed FY2016 as at February 2019 and still showed FY2019 as at September 2021 - which implies no FY2017, FY2018 or FY2020 edition was ever published to the site. THIS IS AN INFERENCE, NOT PROOF, AND THE CAVEAT IS RECORDED DELIBERATELY: there are no index-page captures at all between February 2019 and January 2021, so an edition could have been posted and replaced inside that window without leaving a trace. (FY2020's figures are nonetheless held on these sheets, recovered from the FY2021 edition's own comparative column - see FY2020_COMPARATIVE_NOTE - so for FY2020 the question is moot.)
(c) FY2009, FY2010, FY2012 and FY2013 - NO CAPTURE AT ALL. Neither the PDFs nor any index page naming them survives, so it is not known whether editions for these years were ever published.
These three states are recorded separately on purpose. 'Published but lost' closes a lead permanently; 'apparently never posted' is a rebuttable inference; 'no capture at all' is a genuine unknown.
*** UNIT-SCALE DEFECT FOUND AND FIXED 2026-09-15 - READ BEFORE COMPARING AGAINST ANY EARLIER COPY ***</t>
        </is>
      </c>
    </row>
    <row r="13" ht="234" customHeight="1">
      <c r="A13" s="8" t="inlineStr">
        <is>
          <t>(continued)
For a period earlier on 2026-09-15, every absolute-amount cell on the 11 Pillar 3 metric sheets and the RWA Breakdown sheet of this workbook was 1000x smaller than its "£'000" unit label claimed - the figures were effectively GBP MILLIONS. The symptom: FY2024 CET1 capital read 302.3 while the Balance Sheet sheet showed FY2024 Total equity as 305,356.2 under the same "£'000, conv. from USD" header - two figures that should be within a few percent of each other, three orders of magnitude apart.
CAUSE (a units-handling bug in this build script, NOT a transcription error - no source figure was ever wrong): the Annual Report statements print WHOLE DOLLARS and are transcribed that way, so stock()/flow() divide by 1,000 on top of the FX rate to reach £'000. The Pillar 3 disclosures print US$'000 and are transcribed that way, but were being passed through that same stock(), applying the divide-by-1,000 twice over to figures that were already in thousands. FIX: a separate stock_k() helper (FX conversion only, no divide by 1,000) now serves every Pillar 3 and RWA Breakdown call site; the transcribed source figures were not touched.
THE SOURCE SCALE IS EXPLICIT IN THE DOCUMENTS, not inferred. The FY2024 edition's UK KM1 and UK OV1 tables suffix every figure with a literal " k" ("Common Equity Tier 1 (CET1) capital 378,325 k"; "Total risk-weighted exposure amount 1,475,750 k") and its own footnote writes it out in prose: "the average ASF US$1,136,904k / the average RSF US$768,308k = 147.98%". The FY2015 edition heads its capital tables "US$000's". The decisive cross-check: the Bank's share capital is "136,701,620 ordinary shares of US$1", which the Annual Report carries as 136,701,620 and the Pillar 3 prints as "136,702 k" - the same money at two scales.
WHAT DID NOT CHANGE, AND WHY THE DEFECT SURVIVED SO LONG: every ratio on these sheets (CET1/Tier 1/Total Capital/Leverage/LCR/NSFR) is dimensionless, so numerator and denominator were scaled identically and every printed ratio reproduced both before and after the fix - there was no ratio symptom to catch. The statement sheets (Balance Sheet, Profit &amp; Loss, Statement of Changes in Equity, Cash Flow Statement, Asset Quality) were never affected: they are sourced from the Annual Reports in whole dollars and stock()/flow() were always correct for them. The Overview sheet carries no Pillar 3 absolute amount at all (only statement totals and ratios), so it needed no rescaling either.
FY2011 FOOTNOTE: the two Basel II capital figures on the Tier 1 Capital and Total Capital sheets were entered as 43.6 and 40.0 during the window in which the defect stood, deliberately matching the wrong scale so as not to create a mixed-unit defect inside a single sheet. They now read 43,631 and 40,002 - the figures the FY2011 edition actually prints, in GBP'000.
FY2016 PILLAR 3 RECOVERED (GA-020 cdn-sweep, 2026-09-19) - this supersedes the FY2016 half of the 'unobtainable' paragraph above. The Bank's pre-2018 site served files from /uploads/, and Common Crawl captured http://www.zenith-bank.co.uk/uploads/ZBL_Pillar_3_Disclosure_Document_2016.pdf on 2018-02-24 (crawl CC-MAIN-2018-09; WARC crawl-data/CC-MAIN-2018-09/segments/1518891815318.53/warc/CC-MAIN-20180224033332-20180224053332-00132.warc.gz, offset 592640953, length 648238; retrieve with an HTTP Range request against https://data.commoncrawl.org/). HTTP 200 application/pdf, Last-Modified 2018-01-02, 713,641 bytes = the stated Content-Length, %PDF ... %%EOF, 17 pages; title page 'ZENITH BANK (UK) LIMITED - PILLAR 3 DISCLOSURES FOR THE YEAR ENDED 31 DECEMBER 2016'. Read on the page images: p.8 s.3.3.1 names 'LCR, NSFR, Funding concentration' only as PRA standards the Bank maintains, with no figure; p.9 s.4.2 Total CET-1 capital US$192,990k (2015: 190,521) and s.4.3.1 Pillar 1 capital requirements Credit 47,135 / Market 633 / Operational 5,172 / Total 52,940 (US$000), Regulatory Available Capital 192,990; p.10 'Solvency Ratio against Pillar 1 (Available capital / Required capital)' 365% (2015: 258%) and the credit-risk capital requirement (8%) by exposure class; p.11 Pillar 2A allocation, total 94,675. It is the same pre-CRD IV Pillar 1/Pillar 2 format as FY2014/FY2015: no CET1/capital ratio, no risk-weighted amount, no leverage ratio, no LCR/NSFR figure and no MREL anywhere in its 17 pages (text layer on every page; the only image is the p.1 logo). So the FY2016 ratio, RWA, leverage, LCR and MREL cells read 'Not published' from the edition itself. The RWA is NOT derived from the requirements by dividing by 8%, following the FY2011 treatment (the FY2014/FY2015 derivation stays flagged, not extended). The 365% cover multiple is NOT a capital ratio (see the Tier 1 Ratio note). The capital AMOUNT (US$192,990k) WAS LEFT UNWRITTEN BY THAT PASS as outside its scope, which left the CRR-basis FY2016 cell blank while the Annual-Report rows beneath it carried figures. It was placed on 2026-10-07, after being re-read off a 300 dpi image of printed p.9 - see the FY2016 capital note on the CET1 Capital, Tier 1 Capital and Total Capital sheets, which also records the FY2015 restatement the same page exposes. FY2019 remains unreached: its media/2177 file was never captured by Wayback or by any of 74 Common Crawl crawls (2016-2023) of zenith-bank.co.uk/media/*, and the Azure origin zenithbank-uk.azurewebsites.net 301s to the same 404.</t>
        </is>
      </c>
    </row>
  </sheetData>
  <mergeCells count="5">
    <mergeCell ref="A7:R7"/>
    <mergeCell ref="A11:R11"/>
    <mergeCell ref="A13:R13"/>
    <mergeCell ref="A9:R9"/>
    <mergeCell ref="A6:R6"/>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R12"/>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s>
  <sheetData>
    <row r="1">
      <c r="A1" s="1" t="inlineStr">
        <is>
          <t>Zenith Bank (UK) Limited — Total RWAs</t>
        </is>
      </c>
    </row>
    <row r="2">
      <c r="A2" s="2" t="inlineStr">
        <is>
          <t>£'000 (conv. from USD)</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c r="M3" s="4" t="inlineStr">
        <is>
          <t>FY2014</t>
        </is>
      </c>
      <c r="N3" s="4" t="inlineStr">
        <is>
          <t>FY2013</t>
        </is>
      </c>
      <c r="O3" s="4" t="inlineStr">
        <is>
          <t>FY2012</t>
        </is>
      </c>
      <c r="P3" s="4" t="inlineStr">
        <is>
          <t>FY2011</t>
        </is>
      </c>
      <c r="Q3" s="4" t="inlineStr">
        <is>
          <t>FY2010</t>
        </is>
      </c>
      <c r="R3" s="4" t="inlineStr">
        <is>
          <t>FY2009</t>
        </is>
      </c>
    </row>
    <row r="4">
      <c r="A4" s="6" t="inlineStr">
        <is>
          <t>Total risk-weighted exposure amount</t>
        </is>
      </c>
      <c r="B4" s="6" t="n">
        <v>1370696</v>
      </c>
      <c r="C4" s="6" t="n">
        <v>1179185</v>
      </c>
      <c r="D4" s="6" t="n">
        <v>917285.6</v>
      </c>
      <c r="E4" s="6" t="n">
        <v>930103.3</v>
      </c>
      <c r="F4" s="6" t="n">
        <v>1000519.9</v>
      </c>
      <c r="G4" s="6" t="n">
        <v>725993</v>
      </c>
      <c r="H4" s="6" t="inlineStr">
        <is>
          <t>Unreached today – FY2019 Pillar 3 named on archived index page; PDF 404 live; no copy in Wayback, archive.ph, Common Crawl (74 crawls) or the Azure origin host (2026-09-19); FY2019/FY2020 ARs print none</t>
        </is>
      </c>
      <c r="I4" s="6" t="inlineStr">
        <is>
          <t>Not disclosed (no Pillar 3 located; Annual Report prints none)</t>
        </is>
      </c>
      <c r="J4" s="6" t="inlineStr">
        <is>
          <t>Not disclosed (no Pillar 3 located; Annual Report prints none)</t>
        </is>
      </c>
      <c r="K4" s="6" t="inlineStr">
        <is>
          <t>Not published – FY2016 Pillar 3 (recovered via Common Crawl, 17pp) p.9-10 prints Pillar 1 capital requirements (total US$52,940k), not risk-weighted amounts; nothing derived</t>
        </is>
      </c>
      <c r="L4" s="6" t="n">
        <v>623962.5</v>
      </c>
      <c r="M4" s="6" t="n">
        <v>490357.5</v>
      </c>
      <c r="N4" s="6" t="inlineStr">
        <is>
          <t>No Pillar 3 edition exists in any archive</t>
        </is>
      </c>
      <c r="O4" s="6" t="inlineStr">
        <is>
          <t>No Pillar 3 edition exists in any archive</t>
        </is>
      </c>
      <c r="P4" s="6" t="inlineStr">
        <is>
          <t>Not published – FY2011 Pillar 3 (Basel II) prints Pillar 1 capital requirements (total GBP 19,686k), not risk-weighted amounts; nothing derived - see note</t>
        </is>
      </c>
      <c r="Q4" s="6" t="inlineStr">
        <is>
          <t>No Pillar 3 edition exists in any archive</t>
        </is>
      </c>
      <c r="R4" s="6" t="inlineStr">
        <is>
          <t>No Pillar 3 edition exists in any archive</t>
        </is>
      </c>
    </row>
    <row r="5" ht="390" customHeight="1">
      <c r="A5" s="7" t="inlineStr">
        <is>
          <t>Note: FY2011 'Not publicly disclosed' (2026-09-15): the recovered FY2011 Basel II edition discloses Pillar 1 capital REQUIREMENTS (Credit 18,156 / Market 27 / Operational 1,503 / Total 19,686, GBP'000), not risk-weighted amounts. Dividing those by 8% would give a total RWA of 246,075, but that is a derivation and this project transcribes only what a document states directly, so the cell is left as a stated absence and the requirement figures are preserved verbatim in the source note. NOTE THE INCONSISTENCY THIS EXPOSES: the FY2014/FY2015 figures on this very row WERE produced by exactly that division in an earlier pass. That pre-existing derivation was not removed here (withdrawing populated data is not this pass's decision) but it is flagged, and it was not propagated backwards.
FY2023's figure (own report, the £'000 equivalent of $1,167,888k) differs from the FY2024 report's restated FY2023 comparative ($1,203,364k) - a Basic Indicator Approach operational-risk methodology update. FY2023's own report figure is used, consistent with this project's convention of preferring each year's own report.
FY2016-FY2019 CHANGED FROM BLANK TO AN EXPLICIT STATED ABSENCE 2026-09-18, and the wording distinguishes two different situations rather than flattening them. All four years' Annual Reports were read in full on that date (the capital rows on the CET1/Tier 1/Total Capital sheets come from them) and NONE of the four prints a risk-weighted exposure amount - each was searched for 'risk weighted', 'risk-weighted' and 'RWA' and the only hit is the boilerplate 'a ratio of total regulatory capital to risk-weighted exposures at or above a level determined for each institution'. On top of that, FY2016 and FY2019 had a Pillar 3 edition that demonstrably existed and is lost (named on archived index pages, 404 live, never crawled), whereas FY2017 and FY2018 have no evidence of an edition ever being posted. NOTHING WAS BACK-SOLVED: FY2017's and FY2018's own CET1 ratios (35.53%, 32.38%) and their capital figures are both now on this workbook, and dividing one by the other would produce an RWA - that is a derivation, it is barred here, and it was not done.
*** ANNUAL-REPORT CAPITAL RECOVERY, 2026-09-18 - READ THIS BEFORE RE-CHASING FY2012/FY2013 OR FY2016-FY2019 ***
Every prior pass treated FY2016-FY2019 as a closed gap on the reasoning that no Pillar 3 disclosure document is recoverable for those years. That reasoning was about DOCUMENTS OF ONE KIND. It remained true of FY2017-FY2019 (see the archive-status note below - the ladder was re-run in full on 2026-09-18 and every rung failed again) and is now FALSE of FY2016, whose edition was recovered from Common Crawl on 2026-09-19; but it was never a statement about the Bank's CAPITAL DISCLOSURE, because Zenith Bank (UK) Limited also prints a 'Capital Management' note inside note 25 'Financial risk management' of EVERY Annual Report, and that note carries a Capital Resources table. Those tables were read on 2026-09-18 and are the source of the FY2012, FY2013, FY2016, FY2017, FY2018 and FY2019 capital rows on this sheet. NONE of them discloses a risk-weighted exposure amount, which is why Total RWAs and the RWA Breakdown sheet stay empty of figures for those years.
THE ROWS ARE SEPARATE FROM THE CRR/KM1 ROW ABOVE ON PURPOSE. A Pillar 3 UK KM1 'CET1 capital' figure and an Annual Report 'Capital Resources' figure are not guaranteed to be struck on the same basis, and for this Bank they demonstrably are not in some years (FY2018's own Annual Report reconciles statutory capital of US$225,399,559 down to regulatory Tier 1 of US$202,258,835 through an IFRS 9 transition add-back, an IFRS 9 year-1 deduction, a prudential valuation adjustment and an intangibles deduction). Splicing either figure onto the KM1 row would create a silent basis break mid-series, so each basis keeps its own labelled row and no cell is merged across the break.
WHAT EACH YEAR'S OWN EDITION ACTUALLY PRINTS (all US$ unless stated):
  FY2016 (Annual Report and Accounts 2016, printed p.34 / PDF p.37 - https://www.zenith-bank.co.uk/media/1009/statutory_accounts_year_ended_31st_december_2016.pdf): a two-line Capital Resources table, Share capital 136.7 / Retained earnings 56.5 / TOTAL TIER 1 CAPITAL 193.2, printed in US$ MILLIONS to one decimal. There is no regulatory-deduction reconciliation, no RWA and no ratio in this edition. The figure carried here is 193,158,399 rather than 193,200,000: that is the same edition's own share capital (136,701,620) plus its own retained earnings (56,456,779), both printed in full dollars on its Statement of Financial Position and Statement of Changes in Equity, i.e. exactly the addition the capital note itself performs at a coarser scale. The FY2017 edition's comparative column prints the same line as 193,158,399 to the dollar, confirming it.
  FY2017 (Annual Report and Financial Statements 2017, printed p.48 / PDF p.50 - https://www.zenith-bank.co.uk/media/2142/2017-annual-report-and-financial-statements.pdf): Share capital 136,701,620 / Retained earnings 70,085,676 / Total Tier 1 capital 206,787,296. This edition prints NO post-deduction regulatory figure at all - the FY2017 regulatory Tier 1 of 193,158,399 exists only as the FY2018 edition's comparative column, and is therefore carried on its own explicitly comparative-labelled row rather than alongside own-edition figures.
  FY2018 (Annual Report and Financial Statements 2018, printed p.57 / PDF p.59 - https://www.zenith-bank.co.uk/media/2151/2018-annual-report.pdf): Share capital 136,701,620 / Reserves (99,803) / Retained earnings 88,797,742 / Total statutory capital 225,399,559; then IFRS 9 transition adjustment 8,861,638, Profit or loss attributable to owners of the parent (27,509,757), IFRS 9 transition adjustment year 1 impact (1,772,328), value adjustments due to the requirements for prudential valuation (unaudited) (842,446), other intangible assets before deduction of deferred tax liabilities (1,877,831) = TOTAL REGULATORY CAPITAL (TIER 1) 202,258,835. The reconciliation foots exactly.
  FY2019 (Annual Report and Financial Statements 2019, printed p.60 / PDF p.62 - https://www.zenith-bank.co.uk/media/2169/258558-zenith-web.pdf): Share capital 136,701,620 / Reserves 740,531 / Retained earnings 116,728,430 / Total statutory capital 254,170,581; then IFRS 9 transition adjustment (3,544,655), prudential valuation (649,575), other intangible assets (2,018,933) and profit for the year (27,930,688) = TOTAL REGULATORY CAPITAL (TIER 1) EXCLUDING AUDITED PROFIT 220,026,730; the same table then adds the profit back to give TOTAL REGULATORY CAPITAL (TIER 1) INCLUDING AUDITED PROFIT 247,957,418. BOTH are printed, so both are carried, on separate rows; neither is preferred silently. (The same table's FY2018 comparative column restates FY2018 on the including-profit basis as 229,768,592 - recorded here in the note only, since FY2018's own edition printed no such line.)
  FY2013 (Financial Statements for the year ended 31 December 2013, printed p.39 / PDF p.41 - https://find-and-update.company-information.service.gov.uk/company/05713749/filing-history/MzEwNDk3MzAyNmFkaXF6a2N4/document?format=pdf&amp;download=0): 'Total capital at 31 December 2013 was GBP 74,509,003 (2012: GBP 66,836,084) ... Total Regulatory Capital as at 31 December 2013 was GBP 72,342,265 (2012: GBP 62,082,926)', with a Capital Resources table reading Tier one Capital / Shareholders' Funds 72,342,265 / TOTAL TIER 1 CAPITAL 72,342,265.
  FY2012 (Financial Statements as at 31 December 2012, printed p.38 / PDF p.40 - https://find-and-update.company-information.service.gov.uk/company/05713749/filing-history/MzA4MDQyODAzOGFkaXF6a2N4/document?format=pdf&amp;download=0): the same note, 'Total capital at 31 December 2012 was GBP 66,836,084 (2011 GBP 43,109,518) ... Total Regulatory Capital as at 31 December 2012 was GBP 62,082,926 (2011 GBP 40,002,338)', table TOTAL TIER 1 CAPITAL 62,082,926.</t>
        </is>
      </c>
    </row>
    <row r="6" ht="143" customHeight="1">
      <c r="A6" s="7" t="inlineStr">
        <is>
          <t>(continued)
FY2012/FY2013 ARE NATIVE GBP AND ARE NOT FX-CONVERTED - they pre-date the Bank's redenomination to USD (see the FX conversion note on the Cash Flow Statement sheet and NATIVE_GBP_YEARS in the build script), so they sit on these sheets in GBP'000 exactly as printed, on the same scale as the FY2011 Basel II rows. Both editions are IMAGE-ONLY SCANS from Companies House (company 05713749) with a zero-character text layer; they were OCR'd to locate the page and then EVERY FIGURE WAS CONFIRMED VISUALLY against the page rendered at 260 dpi. No figure here rests on OCR output alone.
TWO CORROBORATIONS AND ONE DIVERGENCE, none of them adjusted. (1) The FY2012 edition's 2011 comparative Total Regulatory Capital of GBP 40,002,338 matches, to the pound, the 'Regulatory Available Capital 40,002' (GBP'000) that the recovered FY2011 Pillar 3 prints - two independent documents agreeing, and it also resolves the dating caveat recorded against that FY2011 Pillar 3 figure in favour of it being a genuine 31 December 2011 position rather than a FY2010 one. (2) The FY2012 edition's 2011 comparative 'total capital' of GBP 43,109,518 does NOT match this workbook's FY2011 total equity of GBP 43,624,795 (taken from FY2011's own report) - a GBP 515,277 gap, consistent with the FY2012 IFRS-conversion restatement already documented in the HD-073 extension note. Each year keeps its own report's figure; nothing was reconciled.
WHAT IS STILL GENUINELY ABSENT AFTER THIS PASS: no Zenith Bank (UK) Annual Report in any year FY2012-FY2019 prints a risk-weighted exposure amount, an RWA breakdown, a leverage ratio, an LCR or an NSFR. Each of those four editions was searched in full text for 'risk weighted', 'risk-weighted', 'RWA', 'leverage', 'liquidity coverage' and 'stable funding'; the only hits are the boilerplate sentence 'a ratio of total regulatory capital to risk-weighted exposures at or above a level determined for each institution' and narrative liquidity-management prose naming the LCR and NSFR without any figure. Those cells therefore carry explicit stated-absence markers rather than blanks.
PRE-CRD IV NOTE (FY2014/FY2015/FY2016): see the PRE-CRD IV METHODOLOGY NOTE in the Pillar 3 sources above for full detail - the FY2014 and FY2015 RATIOS are the Bank's own 'Regulatory Available Capital' (not its larger undeducted 'Total tier 1 capital per audited accounts' memo figure) divided by a derived Total RWA (each Pillar 1 capital requirement component divided by 8%, summed). FY2016's edition is the same pre-CRD IV format and its CAPITAL AMOUNT is now carried (2026-10-07, see the FY2016 capital note on the CET1/Tier 1/Total Capital sheets), but NO FY2016 RATIO is shown, because the derivation that produced the FY2014/FY2015 ratios was not extended - see the Total RWAs sheet. FY2017-FY2019 are blank: no Pillar 3 disclosure document is recoverable for those three years (see Pillar 3 sources note). FY2020 is NOT blank; it comes from the FY2021 edition's comparative column.</t>
        </is>
      </c>
    </row>
    <row r="8" ht="377" customHeight="1">
      <c r="A8" s="8" t="inlineStr">
        <is>
          <t>Sources - Zenith Bank (UK) Limited Pillar 3 Disclosures (UK KM1 - Key Metrics; pre-CRD IV Pillar 1/2 disclosures for FY2014-FY2015 - see methodology note below), converted from USD to £ where a $ amount (see FX conversion note on the Cash Flow Statement sheet; % ratios are unconverted):
FY2025: Pillar 3 Disclosures as at 31 Dec 2025, p.16 (Section 10, Key Metrics) - https://www.zenith-bank.co.uk/media/2290/pillar-3-zbuk-31dec25.pdf
FY2024: Pillar 3 Disclosures as at 31 Dec 2024, p.17 (Section 9, Key Metrics) - https://www.zenith-bank.co.uk/media/2274/31dec24-pillar-3-zbuk.pdf
FY2023: Pillar 3 Disclosures as at 31 Dec 2023, p.17 (Section 9, Key Metrics) - https://www.zenith-bank.co.uk/media/2260/pillar-3-31dec23-final.pdf
FY2022: Pillar 3 Disclosures as at 31 Dec 2022, p.24 (Section 10, Key Metrics) - https://www.zenith-bank.co.uk/media/2238/zbuk-31dec22-pillar-3-disclosures.pdf
FY2021: Pillar 3 Disclosures as at 31 Dec 2021, p.23 (Section 10, Key Metrics) - https://www.zenith-bank.co.uk/media/2228/31dec21-pillar-3.pdf
FY2015: Pillar 3 Disclosures 31 December 2015, p.8-9 (Section 4, Capital Adequacy Overview &amp; Resources) - http://web.archive.org/web/20161128044735id_/http://www.zenith-bank.co.uk/uploads/ZBL_Pillar_3_Disclosure_Document_2015.pdf
FY2014: Pillar 3 Disclosures 31 December 2014, p.8-9 (Section 4, Capital Adequacy Overview &amp; Resources) - http://web.archive.org/web/20160826052010id_/http://www.zenith-bank.co.uk/uploads/ZBL_Pillar_3_Disclosure_Document_2014.pdf
FY2017-FY2019 PILLAR 3 DOCUMENTS: unobtainable, and the full fetch ladder was re-run on 2026-09-18 with every rung failing, so this is a statement about ACCESS and is recorded as such. NARROWED FROM FY2016-FY2019 ON 2026-09-19 AND RE-CONFIRMED 2026-10-07: the FY2016 edition WAS recovered, from Common Crawl at the pre-2018 /uploads/ address, and its capital figure is now on the capital sheets (see the Z16 notes below). Everything in this paragraph about media/1013 remains true of that URL - the file really was deleted from the Bank's media store - and is kept because it is what sent the search to the older path. The two file names are known from archived captures of the Bank's own Pillar 3 index page - https://zenith-bank.co.uk/media/1013/zbl_pillar_3_disclosure_document_2016.pdf (named on the 2018-04-01 and 2019-02-15 captures, the older capture pointing at the pre-2018 path http://www.zenith-bank.co.uk/uploads/ZBL_Pillar_3_Disclosure_Document_2016.pdf) and https://zenith-bank.co.uk/media/2177/zenith-bank-uk-limited-pillar-3-disclosure-2019.pdf (named on the 2021-01-27 and 2021-09-19 captures). Rungs tried against each, all failing: plain curl (404 text/html), curl -L (404), curl --http1.1 -L (404), browser User-Agent with an Accept header (404); the old /uploads/ path 301-redirects to the same 404. A Wayback 'id_' raw fetch 404s for all three URLs, and a CDX enumeration of both zenith-bank.co.uk and www.zenith-bank.co.uk returns no capture of any Pillar 3 binary between the FY2015 and FY2021 editions. THIS IS NOT A STATEMENT THAT THE BANK PUBLISHED NOTHING - for FY2016 and FY2019 it demonstrably did. It is a statement that the archive failed. The capital data for these years was obtained from a completely different source family instead: see the ANNUAL-REPORT CAPITAL RECOVERY note on the capital sheets. FY2020's figures come from the FY2021 edition's own comparative column (see FY2020_COMPARATIVE_NOTE), so FY2020 needs no document of its own.
PRE-CRD IV METHODOLOGY NOTE (FY2014-FY2015 only): these two years pre-date the Bank's adoption of the modern UK KM1 template and CRD IV/Basel III concepts entirely - there is no 'CET1' concept, no Leverage Ratio, no LCR and no NSFR disclosed (LCR/NSFR minimums were not yet phased in for a firm this size; the Bank's own disclosure is a Pillar 1/Pillar 2 ICAAP-style capital adequacy summary). Because the Bank's entire capital base was ordinary share capital and audited reserves (no AT1 or Tier 2 instruments then either), its single 'Tier 1 capital' figure is shown here as CET1/Tier 1/Total Capital alike, consistent with the modern-era convention used elsewhere in this workbook - but note the figure used is the Bank's own 'Regulatory Available Capital' (post regulatory deductions, the figure actually used in its published solvency ratio), not its larger undeducted 'Total tier 1 capital per audited accounts' memo figure (FY2014: $185,197k memo vs $170,802k regulatory available; FY2015: $190,521k memo vs $188,483k regulatory available). Total RWAs for FY2014/FY2015 are derived (not directly disclosed) by dividing each disclosed Pillar 1 capital requirement by 8% (the standard Basel capital-to-RWA ratio), per component (Credit/Market/Operational Risk) and summed - FY2014's derived total ($765,350k) differs by $12.5k from an alternative derivation off the disclosed grand total capital requirement ($765,363k), a rounding artefact of the source's own component figures; the per-component sum is used throughout for internal consistency with the RWA Breakdown sheet. The resulting CET1/Tier1/Total Capital ratio (regulatory available capital / derived RWA) is NOT the same figure as the Bank's own headline 'Solvency Ratio against Pillar 1' (available capital / capital REQUIREMENT, i.e. roughly 12.5x this ratio) - both are shown in the RWA Breakdown sheet's source note for transparency.
HISTORICAL PILLAR 3 RECOVERY (2026-09-15) - FY2008 and FY2011 editions recovered from the Wayback Machine
FY2011: Zenith Bank (UK) Limited, "Pillar 3 Disclosures for the year ended 31 December 2011" (17pp, 'Reviewed May 2012'), section 4.2 Capital Resources and section 4.3 Capital Allocation, p.7-8 - https://web.archive.org/web/20130616222348id_/http://www.zenith-bank.co.uk:80/docs/ZBL_Pillar_3_Disclosure_Document_2011.pdf
FY2008: Zenith Bank (UK) Limited, "Pillar 3 Disclosures for the year ending 31 December 2008" (9pp, 'Reviewed December 2008'), section 1 Capital Adequacy Overview &amp; Resources, p.6 - https://web.archive.org/web/20090424153904id_/http://www.zenith-bank.co.uk:80/documents/ZBL_Pillar_3_Disclosure_Document.pdf
*** FY2008: RECOVERED, READ, AND DELIBERATELY NOT USED FOR ANY CELL ***
This document's cover is internally contradictory - it says 'FOR THE YEAR ENDING 31 DECEMBER 2008' but also 'Reviewed December 2008' and, on its last page, 'This Disclosure will be published in December 2008'. The contradiction was resolved from the FIGURES, not the cover, and the figures are decisive. The document's ONLY quantitative table is introduced verbatim as: "Tier 1 capital based on our 31 December 2007 audited accounts as adjusted for a GBP 15 million capital injection in May 2008 is as follows: Share capital 35,001 / Profit and loss reserve (1,473) / Total tier 1 capital 33,528" (GBP'000). Two further statements confirm it: "The disclosures should be read in conjunction with the ZBL Annual Report and Financial Statements for the corresponding financial year WHICH WILL BE PUBLISHED IN MARCH 2009", and "The disclosures herein are based on the ICAAP last approved in September 2008". So this is an in-year disclosure written before the 2008 year-end and before the 2008 accounts existed; 'for the year ending' means the year then in progress, not an as-at date. THE FIGURE IS THEREFORE NEITHER AN FY2008 NOR AN FY2007 POSITION - it is 31 December 2007 audited reserves combined with share capital that already includes a May 2008 injection. There is no year column in this workbook it can honestly occupy, and mapping it to FY2008 (or to FY2007) would misdate it. No cell was written from it. It is recorded here in full so the document is part of this workbook's record and is not re-chased as an open lead. The edition contains no RWA, no capital requirement and no ratio of any kind, so nothing further was available from it in any case.</t>
        </is>
      </c>
    </row>
    <row r="10" ht="390" customHeight="1">
      <c r="A10" s="8" t="inlineStr">
        <is>
          <t>(continued)
FY2011 - TRANSCRIBED. Cover date is unambiguous ('for the year ended 31 December 2011', reviewed May 2012) and the capital table is explicitly headed 'Tier 1 capital as at 31 December 2011 audited accounts'. Native GBP: this pre-dates the Bank's redenomination to USD, so NO FX conversion is applied to these figures (see NATIVE_GBP_YEARS on the statement sheets for the same treatment). Figures, GBP'000:
  Capital table - Share capital at 31 December 2011 35,001; Profit and loss reserve 8,630; TOTAL TIER 1 CAPITAL 43,631. The Bank states 'The Bank's entire capital base is Tier 1 capital which consists of fully issued ordinary shares satisfying all the criteria for a Tier 1 instrument (as outlined in GENPRU 2.2.83 R) and audited reserves' - so there is no AT1 and no Tier 2, by the Bank's own statement.
  Pillar 1 capital requirements - Credit Risk 18,156; Market Risk 27; Operational Risk 1,503; TOTAL 19,686. Regulatory Available Capital 40,002.
  Pillar 1 credit risk capital requirement by exposure class (each stated as 8% of the risk weighted exposure amount) - Financial Institutions 5,768; Corporates 7,461; Retail 25; Bonds 3,899; Sovereigns 896; Multilateral Development Banks 0; Fixed and other assets 107; total 18,156.
  Pillar 2 - Own Capital Assessment total 29,802 against Regulatory 19,686; capital resources at assessment date 40,002 on both bases.
NO RWA IS RECORDED FOR FY2011, AND THAT IS DELIBERATE. The edition discloses capital REQUIREMENTS, not risk-weighted amounts. Dividing each requirement by 8% would produce a total RWA of 246,075 - but that is a derivation, and this project's standing rule is to transcribe only what a document states directly. The requirement figures are preserved verbatim above instead. READ THIS ALONGSIDE THE PRE-CRD IV METHODOLOGY NOTE BELOW: the FY2014/FY2015 Total RWA figures already on these sheets WERE produced by exactly that division, in an earlier pass. That pre-existing derivation is left untouched here (removing populated data is not this pass's call) but it is flagged, and it was deliberately NOT propagated backwards to FY2011.
*** CAPITAL-COVER RATIO TRAP - WHY FY2011's RATIO CELLS ARE 'Not publicly disclosed' RATHER THAN 203% ***
The FY2011 edition prints 'Solvency Ratio against Pillar 1 203%' and, in its Pillar 2 table, 'Capital Adequacy Ratio 203% / 134%'. These are NOT CRR-style capital ratios. The source annotates the first one itself: '(capital divided by Total amount)', i.e. available capital divided by the capital REQUIREMENT - a capital-cover multiple of roughly 12.5x a true capital/RWA ratio. Writing 203% into the Total Capital Ratio sheet would overstate the Bank's capitalisation by an order of magnitude. This exact mistake has been caught three separate times elsewhere in this project. The ratio cells for FY2011 are therefore 'Not publicly disclosed', and the 203%/134% figures live here in the note where they cannot be mistaken for CRR ratios.
TWO FY2011 CAPITAL FIGURES, BOTH CARRIED, NEITHER PREFERRED SILENTLY. 'Total tier 1 capital' per the audited accounts is 43,631; 'Regulatory Available Capital' (post regulatory deductions) is 40,002. Both are on their own rows on the capital sheets. A DATING CAVEAT ON THE SECOND ONE, recorded because it could not be resolved from the document: the Pillar 2 table labels the same 40,002 'Capital resources (AT ASSESSMENT DATE)', not as at 31 December 2011, and 40,002 is also - to the GBP'000 - this workbook's FY2010 closing Total equity of GBP 40,002,338. That may be coincidence or it may mean the ICAAP assessment was run off the FY2010 year-end position. The document does not say, so no conclusion is asserted; the 43,631 figure is the one the document explicitly dates to 31 December 2011.
VALIDATION GATE - PASSED CLEANLY, ACROSS THREE YEARS. The FY2011 edition's operational-risk table (section 4.3.3) prints three full years of actual income in GBP, and every single line reproduces this workbook's Profit &amp; Loss sheet to the pound: 2011 interest receivable 11,927,839 / interest payable (3,564,624) / net interest income 8,363,215 / fees and commissions 2,827,687 / exchange profits 859,674 / OPERATING INCOME 12,050,576; 2010 8,243,082 / (1,269,122) / 6,973,960 / 2,106,201 / 288,424 / 9,368,585; 2009 8,943,064 / (3,027,983) / 5,915,081 / 2,050,411 / 681,633 / 8,647,125. That independently corroborates the FY2009-FY2011 P&amp;L figures recovered from Companies House under HD-073, from a completely separate document. ONE SMALL DIVERGENCE, documented not corrected: the Pillar 3's 'Profit and loss reserve 8,630' against this workbook's FY2011 retained earnings of 8,623,795 (a GBP 6.2k gap that simple rounding to GBP'000 does not explain - 8,623,795 rounds to 8,624), and correspondingly 'Total tier 1 capital 43,631' against Total equity 43,624,795. Share capital agrees exactly at 35,001. Neither figure was overwritten.
*** ARCHIVE STATUS OF THE REMAINING YEARS - three genuinely different statements, kept distinct ***
(a) FY2016 and FY2019 - PUBLISHED BUT LOST. These editions demonstrably existed: archived captures of the Bank's own Pillar 3 index page name the files. But the PDFs themselves 404 on the live site and were never captured by any crawler. This is a stronger and more useful statement than 'not found': the disclosure was made, and it is the archive that failed, so no amount of further searching of the Bank's own site will recover it. Second pass 2026-09-19 also tried archive.ph, Wayback CDX of every Zenith domain without the PDF mimetype filter, the following year's Annual Report for a comparative, the parent Zenith Bank Plc's Pillar 3 (no separate UK-entity disclosure in what is readable; live copies 403, archived copies truncated) and a web search - all negative.
(b) FY2017, FY2018 and FY2020 - APPARENTLY NEVER POSTED. The Bank's index page only ever displayed the single latest edition, and it still showed FY2016 as at February 2019 and still showed FY2019 as at September 2021 - which implies no FY2017, FY2018 or FY2020 edition was ever published to the site. THIS IS AN INFERENCE, NOT PROOF, AND THE CAVEAT IS RECORDED DELIBERATELY: there are no index-page captures at all between February 2019 and January 2021, so an edition could have been posted and replaced inside that window without leaving a trace. (FY2020's figures are nonetheless held on these sheets, recovered from the FY2021 edition's own comparative column - see FY2020_COMPARATIVE_NOTE - so for FY2020 the question is moot.)
(c) FY2009, FY2010, FY2012 and FY2013 - NO CAPTURE AT ALL. Neither the PDFs nor any index page naming them survives, so it is not known whether editions for these years were ever published.
These three states are recorded separately on purpose. 'Published but lost' closes a lead permanently; 'apparently never posted' is a rebuttable inference; 'no capture at all' is a genuine unknown.
*** UNIT-SCALE DEFECT FOUND AND FIXED 2026-09-15 - READ BEFORE COMPARING AGAINST ANY EARLIER COPY ***</t>
        </is>
      </c>
    </row>
    <row r="12" ht="234" customHeight="1">
      <c r="A12" s="8" t="inlineStr">
        <is>
          <t>(continued)
For a period earlier on 2026-09-15, every absolute-amount cell on the 11 Pillar 3 metric sheets and the RWA Breakdown sheet of this workbook was 1000x smaller than its "£'000" unit label claimed - the figures were effectively GBP MILLIONS. The symptom: FY2024 CET1 capital read 302.3 while the Balance Sheet sheet showed FY2024 Total equity as 305,356.2 under the same "£'000, conv. from USD" header - two figures that should be within a few percent of each other, three orders of magnitude apart.
CAUSE (a units-handling bug in this build script, NOT a transcription error - no source figure was ever wrong): the Annual Report statements print WHOLE DOLLARS and are transcribed that way, so stock()/flow() divide by 1,000 on top of the FX rate to reach £'000. The Pillar 3 disclosures print US$'000 and are transcribed that way, but were being passed through that same stock(), applying the divide-by-1,000 twice over to figures that were already in thousands. FIX: a separate stock_k() helper (FX conversion only, no divide by 1,000) now serves every Pillar 3 and RWA Breakdown call site; the transcribed source figures were not touched.
THE SOURCE SCALE IS EXPLICIT IN THE DOCUMENTS, not inferred. The FY2024 edition's UK KM1 and UK OV1 tables suffix every figure with a literal " k" ("Common Equity Tier 1 (CET1) capital 378,325 k"; "Total risk-weighted exposure amount 1,475,750 k") and its own footnote writes it out in prose: "the average ASF US$1,136,904k / the average RSF US$768,308k = 147.98%". The FY2015 edition heads its capital tables "US$000's". The decisive cross-check: the Bank's share capital is "136,701,620 ordinary shares of US$1", which the Annual Report carries as 136,701,620 and the Pillar 3 prints as "136,702 k" - the same money at two scales.
WHAT DID NOT CHANGE, AND WHY THE DEFECT SURVIVED SO LONG: every ratio on these sheets (CET1/Tier 1/Total Capital/Leverage/LCR/NSFR) is dimensionless, so numerator and denominator were scaled identically and every printed ratio reproduced both before and after the fix - there was no ratio symptom to catch. The statement sheets (Balance Sheet, Profit &amp; Loss, Statement of Changes in Equity, Cash Flow Statement, Asset Quality) were never affected: they are sourced from the Annual Reports in whole dollars and stock()/flow() were always correct for them. The Overview sheet carries no Pillar 3 absolute amount at all (only statement totals and ratios), so it needed no rescaling either.
FY2011 FOOTNOTE: the two Basel II capital figures on the Tier 1 Capital and Total Capital sheets were entered as 43.6 and 40.0 during the window in which the defect stood, deliberately matching the wrong scale so as not to create a mixed-unit defect inside a single sheet. They now read 43,631 and 40,002 - the figures the FY2011 edition actually prints, in GBP'000.
FY2016 PILLAR 3 RECOVERED (GA-020 cdn-sweep, 2026-09-19) - this supersedes the FY2016 half of the 'unobtainable' paragraph above. The Bank's pre-2018 site served files from /uploads/, and Common Crawl captured http://www.zenith-bank.co.uk/uploads/ZBL_Pillar_3_Disclosure_Document_2016.pdf on 2018-02-24 (crawl CC-MAIN-2018-09; WARC crawl-data/CC-MAIN-2018-09/segments/1518891815318.53/warc/CC-MAIN-20180224033332-20180224053332-00132.warc.gz, offset 592640953, length 648238; retrieve with an HTTP Range request against https://data.commoncrawl.org/). HTTP 200 application/pdf, Last-Modified 2018-01-02, 713,641 bytes = the stated Content-Length, %PDF ... %%EOF, 17 pages; title page 'ZENITH BANK (UK) LIMITED - PILLAR 3 DISCLOSURES FOR THE YEAR ENDED 31 DECEMBER 2016'. Read on the page images: p.8 s.3.3.1 names 'LCR, NSFR, Funding concentration' only as PRA standards the Bank maintains, with no figure; p.9 s.4.2 Total CET-1 capital US$192,990k (2015: 190,521) and s.4.3.1 Pillar 1 capital requirements Credit 47,135 / Market 633 / Operational 5,172 / Total 52,940 (US$000), Regulatory Available Capital 192,990; p.10 'Solvency Ratio against Pillar 1 (Available capital / Required capital)' 365% (2015: 258%) and the credit-risk capital requirement (8%) by exposure class; p.11 Pillar 2A allocation, total 94,675. It is the same pre-CRD IV Pillar 1/Pillar 2 format as FY2014/FY2015: no CET1/capital ratio, no risk-weighted amount, no leverage ratio, no LCR/NSFR figure and no MREL anywhere in its 17 pages (text layer on every page; the only image is the p.1 logo). So the FY2016 ratio, RWA, leverage, LCR and MREL cells read 'Not published' from the edition itself. The RWA is NOT derived from the requirements by dividing by 8%, following the FY2011 treatment (the FY2014/FY2015 derivation stays flagged, not extended). The 365% cover multiple is NOT a capital ratio (see the Tier 1 Ratio note). The capital AMOUNT (US$192,990k) WAS LEFT UNWRITTEN BY THAT PASS as outside its scope, which left the CRR-basis FY2016 cell blank while the Annual-Report rows beneath it carried figures. It was placed on 2026-10-07, after being re-read off a 300 dpi image of printed p.9 - see the FY2016 capital note on the CET1 Capital, Tier 1 Capital and Total Capital sheets, which also records the FY2015 restatement the same page exposes. FY2019 remains unreached: its media/2177 file was never captured by Wayback or by any of 74 Common Crawl crawls (2016-2023) of zenith-bank.co.uk/media/*, and the Azure origin zenithbank-uk.azurewebsites.net 301s to the same 404.</t>
        </is>
      </c>
    </row>
  </sheetData>
  <mergeCells count="5">
    <mergeCell ref="A10:R10"/>
    <mergeCell ref="A5:R5"/>
    <mergeCell ref="A8:R8"/>
    <mergeCell ref="A6:R6"/>
    <mergeCell ref="A12:R12"/>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M27"/>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4"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c r="A1" s="1" t="inlineStr">
        <is>
          <t>Zenith Bank (UK) Limited — RWA Breakdown (UK OV1)</t>
        </is>
      </c>
    </row>
    <row r="2">
      <c r="A2" s="2" t="inlineStr">
        <is>
          <t>£'000, converted from USD - see source note at bottom for FX methodology and rates used.</t>
        </is>
      </c>
    </row>
    <row r="3">
      <c r="A3" s="4" t="inlineStr">
        <is>
          <t>Line item</t>
        </is>
      </c>
      <c r="B3" s="4" t="inlineStr">
        <is>
          <t>FY2025 (£'000, conv. from USD)</t>
        </is>
      </c>
      <c r="C3" s="4" t="inlineStr">
        <is>
          <t>FY2024 (£'000, conv. from USD)</t>
        </is>
      </c>
      <c r="D3" s="4" t="inlineStr">
        <is>
          <t>FY2023 (£'000, conv. from USD)</t>
        </is>
      </c>
      <c r="E3" s="4" t="inlineStr">
        <is>
          <t>FY2022 (£'000, conv. from USD)</t>
        </is>
      </c>
      <c r="F3" s="4" t="inlineStr">
        <is>
          <t>FY2021 (£'000, conv. from USD)</t>
        </is>
      </c>
      <c r="G3" s="4" t="inlineStr">
        <is>
          <t>FY2020 (£'000, conv. from USD)</t>
        </is>
      </c>
      <c r="H3" s="4" t="inlineStr">
        <is>
          <t>FY2019 (£'000, conv. from USD)</t>
        </is>
      </c>
      <c r="I3" s="4" t="inlineStr">
        <is>
          <t>FY2018 (£'000, conv. from USD)</t>
        </is>
      </c>
      <c r="J3" s="4" t="inlineStr">
        <is>
          <t>FY2017 (£'000, conv. from USD)</t>
        </is>
      </c>
      <c r="K3" s="4" t="inlineStr">
        <is>
          <t>FY2016 (£'000, conv. from USD)</t>
        </is>
      </c>
      <c r="L3" s="4" t="inlineStr">
        <is>
          <t>FY2015 (£'000, conv. from USD)</t>
        </is>
      </c>
      <c r="M3" s="4" t="inlineStr">
        <is>
          <t>FY2014 (£'000, conv. from USD)</t>
        </is>
      </c>
    </row>
    <row r="4">
      <c r="A4" s="5" t="inlineStr">
        <is>
          <t>Template UK OV1 'Overview of risk weighted exposure amounts' — each year's own Pillar 3 report (FY2025-FY2020)</t>
        </is>
      </c>
      <c r="B4" s="6" t="n"/>
      <c r="C4" s="6" t="n"/>
      <c r="D4" s="6" t="n"/>
      <c r="E4" s="6" t="n"/>
      <c r="F4" s="6" t="n"/>
      <c r="G4" s="6" t="n"/>
      <c r="H4" s="6" t="n"/>
      <c r="I4" s="6" t="n"/>
      <c r="J4" s="6" t="n"/>
      <c r="K4" s="6" t="n"/>
      <c r="L4" s="6" t="n"/>
      <c r="M4" s="6" t="n"/>
    </row>
    <row r="5">
      <c r="A5" s="6" t="inlineStr">
        <is>
          <t>Credit Risk (excluding CCR)</t>
        </is>
      </c>
      <c r="B5" s="6" t="n">
        <v>1224324.1</v>
      </c>
      <c r="C5" s="6" t="n">
        <v>963260.1</v>
      </c>
      <c r="D5" s="6" t="n">
        <v>787991.7</v>
      </c>
      <c r="E5" s="6" t="n">
        <v>776986.9</v>
      </c>
      <c r="F5" s="6" t="n">
        <v>919004.5</v>
      </c>
      <c r="G5" s="6" t="n">
        <v>650689.6</v>
      </c>
      <c r="H5" s="6" t="n"/>
      <c r="I5" s="6" t="n"/>
      <c r="J5" s="6" t="n"/>
      <c r="K5" s="6" t="n"/>
      <c r="L5" s="6" t="n"/>
      <c r="M5" s="6" t="n"/>
    </row>
    <row r="6">
      <c r="A6" s="6" t="inlineStr">
        <is>
          <t>Counterparty Credit Risk (CCR)</t>
        </is>
      </c>
      <c r="B6" s="6" t="n">
        <v>5120.5</v>
      </c>
      <c r="C6" s="6" t="n">
        <v>78360.39999999999</v>
      </c>
      <c r="D6" s="6" t="n">
        <v>42496.1</v>
      </c>
      <c r="E6" s="6" t="n">
        <v>65573.3</v>
      </c>
      <c r="F6" s="6" t="n"/>
      <c r="G6" s="6" t="n"/>
      <c r="H6" s="6" t="n"/>
      <c r="I6" s="6" t="n"/>
      <c r="J6" s="6" t="n"/>
      <c r="K6" s="6" t="n"/>
      <c r="L6" s="6" t="n"/>
      <c r="M6" s="6" t="n"/>
    </row>
    <row r="7">
      <c r="A7" s="6" t="inlineStr">
        <is>
          <t>of which: Credit Valuation Adjustment (CVA)</t>
        </is>
      </c>
      <c r="B7" s="6" t="n">
        <v>806.8</v>
      </c>
      <c r="C7" s="6" t="n">
        <v>1112.3</v>
      </c>
      <c r="D7" s="6" t="n">
        <v>1021.8</v>
      </c>
      <c r="E7" s="6" t="n">
        <v>847.3</v>
      </c>
      <c r="F7" s="6" t="n">
        <v>3328.2</v>
      </c>
      <c r="G7" s="6" t="n">
        <v>2647.7</v>
      </c>
      <c r="H7" s="6" t="n"/>
      <c r="I7" s="6" t="n"/>
      <c r="J7" s="6" t="n"/>
      <c r="K7" s="6" t="n"/>
      <c r="L7" s="6" t="n"/>
      <c r="M7" s="6" t="n"/>
    </row>
    <row r="8">
      <c r="A8" s="6" t="inlineStr">
        <is>
          <t>Settlement Risk</t>
        </is>
      </c>
      <c r="B8" s="6" t="n">
        <v>0</v>
      </c>
      <c r="C8" s="6" t="n">
        <v>0</v>
      </c>
      <c r="D8" s="6" t="n">
        <v>0</v>
      </c>
      <c r="E8" s="6" t="n">
        <v>0</v>
      </c>
      <c r="F8" s="6" t="n">
        <v>0</v>
      </c>
      <c r="G8" s="6" t="n">
        <v>0</v>
      </c>
      <c r="H8" s="6" t="n"/>
      <c r="I8" s="6" t="n"/>
      <c r="J8" s="6" t="n"/>
      <c r="K8" s="6" t="n"/>
      <c r="L8" s="6" t="n"/>
      <c r="M8" s="6" t="n"/>
    </row>
    <row r="9">
      <c r="A9" s="6" t="inlineStr">
        <is>
          <t>Market Risk (FX and commodities)</t>
        </is>
      </c>
      <c r="B9" s="6" t="n">
        <v>3772.3</v>
      </c>
      <c r="C9" s="6" t="n">
        <v>3357.6</v>
      </c>
      <c r="D9" s="6" t="n">
        <v>3038.8</v>
      </c>
      <c r="E9" s="6" t="n">
        <v>9299.799999999999</v>
      </c>
      <c r="F9" s="6" t="n">
        <v>5535.8</v>
      </c>
      <c r="G9" s="6" t="n">
        <v>5091.1</v>
      </c>
      <c r="H9" s="6" t="n"/>
      <c r="I9" s="6" t="n"/>
      <c r="J9" s="6" t="n"/>
      <c r="K9" s="6" t="n"/>
      <c r="L9" s="6" t="n"/>
      <c r="M9" s="6" t="n"/>
    </row>
    <row r="10">
      <c r="A10" s="6" t="inlineStr">
        <is>
          <t>Operational Risk</t>
        </is>
      </c>
      <c r="B10" s="6" t="n">
        <v>137478.4</v>
      </c>
      <c r="C10" s="6" t="n">
        <v>134207</v>
      </c>
      <c r="D10" s="6" t="n">
        <v>83758.2</v>
      </c>
      <c r="E10" s="6" t="n">
        <v>78243.39999999999</v>
      </c>
      <c r="F10" s="6" t="n">
        <v>72651.39999999999</v>
      </c>
      <c r="G10" s="6" t="n">
        <v>67564.60000000001</v>
      </c>
      <c r="H10" s="6" t="n"/>
      <c r="I10" s="6" t="n"/>
      <c r="J10" s="6" t="n"/>
      <c r="K10" s="6" t="n"/>
      <c r="L10" s="6" t="n"/>
      <c r="M10" s="6" t="n"/>
    </row>
    <row r="11">
      <c r="A11" s="5" t="inlineStr">
        <is>
          <t>Total risk-weighted exposure amount</t>
        </is>
      </c>
      <c r="B11" s="5" t="n">
        <v>1370696</v>
      </c>
      <c r="C11" s="5" t="n">
        <v>1179185</v>
      </c>
      <c r="D11" s="5" t="n">
        <v>917285.6</v>
      </c>
      <c r="E11" s="5" t="n">
        <v>930103.3</v>
      </c>
      <c r="F11" s="5" t="n">
        <v>1000519.9</v>
      </c>
      <c r="G11" s="5" t="n">
        <v>725993</v>
      </c>
      <c r="H11" s="5" t="n"/>
      <c r="I11" s="5" t="n"/>
      <c r="J11" s="5" t="n"/>
      <c r="K11" s="5" t="n"/>
      <c r="L11" s="5" t="n"/>
      <c r="M11" s="5" t="n"/>
    </row>
    <row r="12">
      <c r="A12" s="6" t="inlineStr">
        <is>
          <t>Memo: amounts below thresholds for deduction (already included within Credit Risk above)</t>
        </is>
      </c>
      <c r="B12" s="6" t="n">
        <v>0</v>
      </c>
      <c r="C12" s="6" t="n">
        <v>818.2</v>
      </c>
      <c r="D12" s="6" t="n"/>
      <c r="E12" s="6" t="n"/>
      <c r="F12" s="6" t="n"/>
      <c r="G12" s="6" t="n"/>
      <c r="H12" s="6" t="n"/>
      <c r="I12" s="6" t="n"/>
      <c r="J12" s="6" t="n"/>
      <c r="K12" s="6" t="n"/>
      <c r="L12" s="6" t="n"/>
      <c r="M12" s="6" t="n"/>
    </row>
    <row r="13">
      <c r="A13" s="5" t="inlineStr">
        <is>
          <t>DERIVED from each year's own disclosed Pillar 1 CAPITAL requirement divided by 8% (FY2015-FY2014). These two years pre-date the UK OV1 template entirely, so the figures above are not disclosed as risk-weighted amounts by the Bank; no counterparty-credit-risk, CVA or settlement-risk line exists in the source for either year, which is why those rows are absent here rather than zero</t>
        </is>
      </c>
      <c r="B13" s="6" t="n"/>
      <c r="C13" s="6" t="n"/>
      <c r="D13" s="6" t="n"/>
      <c r="E13" s="6" t="n"/>
      <c r="F13" s="6" t="n"/>
      <c r="G13" s="6" t="n"/>
      <c r="H13" s="6" t="n"/>
      <c r="I13" s="6" t="n"/>
      <c r="J13" s="6" t="n"/>
      <c r="K13" s="6" t="n"/>
      <c r="L13" s="6" t="n"/>
      <c r="M13" s="6" t="n"/>
    </row>
    <row r="14">
      <c r="A14" s="6" t="inlineStr">
        <is>
          <t>Credit Risk (excluding CCR)</t>
        </is>
      </c>
      <c r="B14" s="6" t="n"/>
      <c r="C14" s="6" t="n"/>
      <c r="D14" s="6" t="n"/>
      <c r="E14" s="6" t="n"/>
      <c r="F14" s="6" t="n"/>
      <c r="G14" s="6" t="n"/>
      <c r="H14" s="6" t="n"/>
      <c r="I14" s="6" t="n"/>
      <c r="J14" s="6" t="n"/>
      <c r="K14" s="6" t="n"/>
      <c r="L14" s="6" t="n">
        <v>580049.3</v>
      </c>
      <c r="M14" s="6" t="n">
        <v>455023.1</v>
      </c>
    </row>
    <row r="15">
      <c r="A15" s="6" t="inlineStr">
        <is>
          <t>Market Risk (FX and commodities)</t>
        </is>
      </c>
      <c r="B15" s="6" t="n"/>
      <c r="C15" s="6" t="n"/>
      <c r="D15" s="6" t="n"/>
      <c r="E15" s="6" t="n"/>
      <c r="F15" s="6" t="n"/>
      <c r="G15" s="6" t="n"/>
      <c r="H15" s="6" t="n"/>
      <c r="I15" s="6" t="n"/>
      <c r="J15" s="6" t="n"/>
      <c r="K15" s="6" t="n"/>
      <c r="L15" s="6" t="n">
        <v>3804.6</v>
      </c>
      <c r="M15" s="6" t="n">
        <v>1033.4</v>
      </c>
    </row>
    <row r="16">
      <c r="A16" s="6" t="inlineStr">
        <is>
          <t>Operational Risk</t>
        </is>
      </c>
      <c r="B16" s="6" t="n"/>
      <c r="C16" s="6" t="n"/>
      <c r="D16" s="6" t="n"/>
      <c r="E16" s="6" t="n"/>
      <c r="F16" s="6" t="n"/>
      <c r="G16" s="6" t="n"/>
      <c r="H16" s="6" t="n"/>
      <c r="I16" s="6" t="n"/>
      <c r="J16" s="6" t="n"/>
      <c r="K16" s="6" t="n"/>
      <c r="L16" s="6" t="n">
        <v>40109.3</v>
      </c>
      <c r="M16" s="6" t="n">
        <v>34301.6</v>
      </c>
    </row>
    <row r="17">
      <c r="A17" s="5" t="inlineStr">
        <is>
          <t>Total risk-weighted exposure amount</t>
        </is>
      </c>
      <c r="B17" s="5" t="n"/>
      <c r="C17" s="5" t="n"/>
      <c r="D17" s="5" t="n"/>
      <c r="E17" s="5" t="n"/>
      <c r="F17" s="5" t="n"/>
      <c r="G17" s="5" t="n"/>
      <c r="H17" s="5" t="n"/>
      <c r="I17" s="5" t="n"/>
      <c r="J17" s="5" t="n"/>
      <c r="K17" s="5" t="n"/>
      <c r="L17" s="5" t="n">
        <v>623962.5</v>
      </c>
      <c r="M17" s="5" t="n">
        <v>490357.5</v>
      </c>
    </row>
    <row r="18">
      <c r="A18" s="5" t="inlineStr">
        <is>
          <t>FY2016-FY2019 - STATED ABSENCE, added 2026-09-18. Each of those four Annual Reports was read in full that day; every one prints a Capital Resources table (now on the capital sheets) and NONE prints a risk-weighted exposure amount or any RWA split. Nothing is back-solved from the FY2017 / FY2018 capital and ratio figures - see the note below</t>
        </is>
      </c>
      <c r="B18" s="6" t="n"/>
      <c r="C18" s="6" t="n"/>
      <c r="D18" s="6" t="n"/>
      <c r="E18" s="6" t="n"/>
      <c r="F18" s="6" t="n"/>
      <c r="G18" s="6" t="n"/>
      <c r="H18" s="6" t="n"/>
      <c r="I18" s="6" t="n"/>
      <c r="J18" s="6" t="n"/>
      <c r="K18" s="6" t="n"/>
      <c r="L18" s="6" t="n"/>
      <c r="M18" s="6" t="n"/>
    </row>
    <row r="19">
      <c r="A19" s="6" t="inlineStr">
        <is>
          <t>Total risk-weighted exposure amount</t>
        </is>
      </c>
      <c r="B19" s="6" t="n"/>
      <c r="C19" s="6" t="n"/>
      <c r="D19" s="6" t="n"/>
      <c r="E19" s="6" t="n"/>
      <c r="F19" s="6" t="n"/>
      <c r="G19" s="6" t="n"/>
      <c r="H19" s="6" t="inlineStr">
        <is>
          <t>Unreached today – FY2019 Pillar 3 named on archived index page; PDF 404 live; no copy in Wayback, archive.ph, Common Crawl (74 crawls) or the Azure origin host (2026-09-19); FY2019/FY2020 ARs print none</t>
        </is>
      </c>
      <c r="I19" s="6" t="inlineStr">
        <is>
          <t>Not disclosed (no Pillar 3 located; Annual Report prints none)</t>
        </is>
      </c>
      <c r="J19" s="6" t="inlineStr">
        <is>
          <t>Not disclosed (no Pillar 3 located; Annual Report prints none)</t>
        </is>
      </c>
      <c r="K19" s="6" t="inlineStr">
        <is>
          <t>Not published – FY2016 Pillar 3 (recovered via Common Crawl, 17pp) p.9-10 prints Pillar 1 capital requirements (total US$52,940k), not risk-weighted amounts; nothing derived</t>
        </is>
      </c>
      <c r="L19" s="6" t="n"/>
      <c r="M19" s="6" t="n"/>
    </row>
    <row r="21" ht="409" customHeight="1">
      <c r="A21" s="8" t="inlineStr">
        <is>
          <t>Sources - Zenith Bank (UK) Limited Pillar 3 Disclosures (UK KM1 - Key Metrics; pre-CRD IV Pillar 1/2 disclosures for FY2014-FY2015 - see methodology note below), converted from USD to £ where a $ amount (see FX conversion note on the Cash Flow Statement sheet; % ratios are unconverted):
FY2025: Pillar 3 Disclosures as at 31 Dec 2025, p.16 (Section 10, Key Metrics) - https://www.zenith-bank.co.uk/media/2290/pillar-3-zbuk-31dec25.pdf
FY2024: Pillar 3 Disclosures as at 31 Dec 2024, p.17 (Section 9, Key Metrics) - https://www.zenith-bank.co.uk/media/2274/31dec24-pillar-3-zbuk.pdf
FY2023: Pillar 3 Disclosures as at 31 Dec 2023, p.17 (Section 9, Key Metrics) - https://www.zenith-bank.co.uk/media/2260/pillar-3-31dec23-final.pdf
FY2022: Pillar 3 Disclosures as at 31 Dec 2022, p.24 (Section 10, Key Metrics) - https://www.zenith-bank.co.uk/media/2238/zbuk-31dec22-pillar-3-disclosures.pdf
FY2021: Pillar 3 Disclosures as at 31 Dec 2021, p.23 (Section 10, Key Metrics) - https://www.zenith-bank.co.uk/media/2228/31dec21-pillar-3.pdf
FY2015: Pillar 3 Disclosures 31 December 2015, p.8-9 (Section 4, Capital Adequacy Overview &amp; Resources) - http://web.archive.org/web/20161128044735id_/http://www.zenith-bank.co.uk/uploads/ZBL_Pillar_3_Disclosure_Document_2015.pdf
FY2014: Pillar 3 Disclosures 31 December 2014, p.8-9 (Section 4, Capital Adequacy Overview &amp; Resources) - http://web.archive.org/web/20160826052010id_/http://www.zenith-bank.co.uk/uploads/ZBL_Pillar_3_Disclosure_Document_2014.pdf
FY2017-FY2019 PILLAR 3 DOCUMENTS: unobtainable, and the full fetch ladder was re-run on 2026-09-18 with every rung failing, so this is a statement about ACCESS and is recorded as such. NARROWED FROM FY2016-FY2019 ON 2026-09-19 AND RE-CONFIRMED 2026-10-07: the FY2016 edition WAS recovered, from Common Crawl at the pre-2018 /uploads/ address, and its capital figure is now on the capital sheets (see the Z16 notes below). Everything in this paragraph about media/1013 remains true of that URL - the file really was deleted from the Bank's media store - and is kept because it is what sent the search to the older path. The two file names are known from archived captures of the Bank's own Pillar 3 index page - https://zenith-bank.co.uk/media/1013/zbl_pillar_3_disclosure_document_2016.pdf (named on the 2018-04-01 and 2019-02-15 captures, the older capture pointing at the pre-2018 path http://www.zenith-bank.co.uk/uploads/ZBL_Pillar_3_Disclosure_Document_2016.pdf) and https://zenith-bank.co.uk/media/2177/zenith-bank-uk-limited-pillar-3-disclosure-2019.pdf (named on the 2021-01-27 and 2021-09-19 captures). Rungs tried against each, all failing: plain curl (404 text/html), curl -L (404), curl --http1.1 -L (404), browser User-Agent with an Accept header (404); the old /uploads/ path 301-redirects to the same 404. A Wayback 'id_' raw fetch 404s for all three URLs, and a CDX enumeration of both zenith-bank.co.uk and www.zenith-bank.co.uk returns no capture of any Pillar 3 binary between the FY2015 and FY2021 editions. THIS IS NOT A STATEMENT THAT THE BANK PUBLISHED NOTHING - for FY2016 and FY2019 it demonstrably did. It is a statement that the archive failed. The capital data for these years was obtained from a completely different source family instead: see the ANNUAL-REPORT CAPITAL RECOVERY note on the capital sheets. FY2020's figures come from the FY2021 edition's own comparative column (see FY2020_COMPARATIVE_NOTE), so FY2020 needs no document of its own.
PRE-CRD IV METHODOLOGY NOTE (FY2014-FY2015 only): these two years pre-date the Bank's adoption of the modern UK KM1 template and CRD IV/Basel III concepts entirely - there is no 'CET1' concept, no Leverage Ratio, no LCR and no NSFR disclosed (LCR/NSFR minimums were not yet phased in for a firm this size; the Bank's own disclosure is a Pillar 1/Pillar 2 ICAAP-style capital adequacy summary). Because the Bank's entire capital base was ordinary share capital and audited reserves (no AT1 or Tier 2 instruments then either), its single 'Tier 1 capital' figure is shown here as CET1/Tier 1/Total Capital alike, consistent with the modern-era convention used elsewhere in this workbook - but note the figure used is the Bank's own 'Regulatory Available Capital' (post regulatory deductions, the figure actually used in its published solvency ratio), not its larger undeducted 'Total tier 1 capital per audited accounts' memo figure (FY2014: $185,197k memo vs $170,802k regulatory available; FY2015: $190,521k memo vs $188,483k regulatory available). Total RWAs for FY2014/FY2015 are derived (not directly disclosed) by dividing each disclosed Pillar 1 capital requirement by 8% (the standard Basel capital-to-RWA ratio), per component (Credit/Market/Operational Risk) and summed - FY2014's derived total ($765,350k) differs by $12.5k from an alternative derivation off the disclosed grand total capital requirement ($765,363k), a rounding artefact of the source's own component figures; the per-component sum is used throughout for internal consistency with the RWA Breakdown sheet. The resulting CET1/Tier1/Total Capital ratio (regulatory available capital / derived RWA) is NOT the same figure as the Bank's own headline 'Solvency Ratio against Pillar 1' (available capital / capital REQUIREMENT, i.e. roughly 12.5x this ratio) - both are shown in the RWA Breakdown sheet's source note for transparency.
HISTORICAL PILLAR 3 RECOVERY (2026-09-15) - FY2008 and FY2011 editions recovered from the Wayback Machine
FY2011: Zenith Bank (UK) Limited, "Pillar 3 Disclosures for the year ended 31 December 2011" (17pp, 'Reviewed May 2012'), section 4.2 Capital Resources and section 4.3 Capital Allocation, p.7-8 - https://web.archive.org/web/20130616222348id_/http://www.zenith-bank.co.uk:80/docs/ZBL_Pillar_3_Disclosure_Document_2011.pdf
FY2008: Zenith Bank (UK) Limited, "Pillar 3 Disclosures for the year ending 31 December 2008" (9pp, 'Reviewed December 2008'), section 1 Capital Adequacy Overview &amp; Resources, p.6 - https://web.archive.org/web/20090424153904id_/http://www.zenith-bank.co.uk:80/documents/ZBL_Pillar_3_Disclosure_Document.pdf
*** FY2008: RECOVERED, READ, AND DELIBERATELY NOT USED FOR ANY CELL ***</t>
        </is>
      </c>
    </row>
    <row r="23" ht="409" customHeight="1">
      <c r="A23" s="8" t="inlineStr">
        <is>
          <t>(continued)
This document's cover is internally contradictory - it says 'FOR THE YEAR ENDING 31 DECEMBER 2008' but also 'Reviewed December 2008' and, on its last page, 'This Disclosure will be published in December 2008'. The contradiction was resolved from the FIGURES, not the cover, and the figures are decisive. The document's ONLY quantitative table is introduced verbatim as: "Tier 1 capital based on our 31 December 2007 audited accounts as adjusted for a GBP 15 million capital injection in May 2008 is as follows: Share capital 35,001 / Profit and loss reserve (1,473) / Total tier 1 capital 33,528" (GBP'000). Two further statements confirm it: "The disclosures should be read in conjunction with the ZBL Annual Report and Financial Statements for the corresponding financial year WHICH WILL BE PUBLISHED IN MARCH 2009", and "The disclosures herein are based on the ICAAP last approved in September 2008". So this is an in-year disclosure written before the 2008 year-end and before the 2008 accounts existed; 'for the year ending' means the year then in progress, not an as-at date. THE FIGURE IS THEREFORE NEITHER AN FY2008 NOR AN FY2007 POSITION - it is 31 December 2007 audited reserves combined with share capital that already includes a May 2008 injection. There is no year column in this workbook it can honestly occupy, and mapping it to FY2008 (or to FY2007) would misdate it. No cell was written from it. It is recorded here in full so the document is part of this workbook's record and is not re-chased as an open lead. The edition contains no RWA, no capital requirement and no ratio of any kind, so nothing further was available from it in any case.
FY2011 - TRANSCRIBED. Cover date is unambiguous ('for the year ended 31 December 2011', reviewed May 2012) and the capital table is explicitly headed 'Tier 1 capital as at 31 December 2011 audited accounts'. Native GBP: this pre-dates the Bank's redenomination to USD, so NO FX conversion is applied to these figures (see NATIVE_GBP_YEARS on the statement sheets for the same treatment). Figures, GBP'000:
  Capital table - Share capital at 31 December 2011 35,001; Profit and loss reserve 8,630; TOTAL TIER 1 CAPITAL 43,631. The Bank states 'The Bank's entire capital base is Tier 1 capital which consists of fully issued ordinary shares satisfying all the criteria for a Tier 1 instrument (as outlined in GENPRU 2.2.83 R) and audited reserves' - so there is no AT1 and no Tier 2, by the Bank's own statement.
  Pillar 1 capital requirements - Credit Risk 18,156; Market Risk 27; Operational Risk 1,503; TOTAL 19,686. Regulatory Available Capital 40,002.
  Pillar 1 credit risk capital requirement by exposure class (each stated as 8% of the risk weighted exposure amount) - Financial Institutions 5,768; Corporates 7,461; Retail 25; Bonds 3,899; Sovereigns 896; Multilateral Development Banks 0; Fixed and other assets 107; total 18,156.
  Pillar 2 - Own Capital Assessment total 29,802 against Regulatory 19,686; capital resources at assessment date 40,002 on both bases.
NO RWA IS RECORDED FOR FY2011, AND THAT IS DELIBERATE. The edition discloses capital REQUIREMENTS, not risk-weighted amounts. Dividing each requirement by 8% would produce a total RWA of 246,075 - but that is a derivation, and this project's standing rule is to transcribe only what a document states directly. The requirement figures are preserved verbatim above instead. READ THIS ALONGSIDE THE PRE-CRD IV METHODOLOGY NOTE BELOW: the FY2014/FY2015 Total RWA figures already on these sheets WERE produced by exactly that division, in an earlier pass. That pre-existing derivation is left untouched here (removing populated data is not this pass's call) but it is flagged, and it was deliberately NOT propagated backwards to FY2011.
*** CAPITAL-COVER RATIO TRAP - WHY FY2011's RATIO CELLS ARE 'Not publicly disclosed' RATHER THAN 203% ***
The FY2011 edition prints 'Solvency Ratio against Pillar 1 203%' and, in its Pillar 2 table, 'Capital Adequacy Ratio 203% / 134%'. These are NOT CRR-style capital ratios. The source annotates the first one itself: '(capital divided by Total amount)', i.e. available capital divided by the capital REQUIREMENT - a capital-cover multiple of roughly 12.5x a true capital/RWA ratio. Writing 203% into the Total Capital Ratio sheet would overstate the Bank's capitalisation by an order of magnitude. This exact mistake has been caught three separate times elsewhere in this project. The ratio cells for FY2011 are therefore 'Not publicly disclosed', and the 203%/134% figures live here in the note where they cannot be mistaken for CRR ratios.
TWO FY2011 CAPITAL FIGURES, BOTH CARRIED, NEITHER PREFERRED SILENTLY. 'Total tier 1 capital' per the audited accounts is 43,631; 'Regulatory Available Capital' (post regulatory deductions) is 40,002. Both are on their own rows on the capital sheets. A DATING CAVEAT ON THE SECOND ONE, recorded because it could not be resolved from the document: the Pillar 2 table labels the same 40,002 'Capital resources (AT ASSESSMENT DATE)', not as at 31 December 2011, and 40,002 is also - to the GBP'000 - this workbook's FY2010 closing Total equity of GBP 40,002,338. That may be coincidence or it may mean the ICAAP assessment was run off the FY2010 year-end position. The document does not say, so no conclusion is asserted; the 43,631 figure is the one the document explicitly dates to 31 December 2011.</t>
        </is>
      </c>
    </row>
    <row r="25" ht="409" customHeight="1">
      <c r="A25" s="8" t="inlineStr">
        <is>
          <t>(continued)
VALIDATION GATE - PASSED CLEANLY, ACROSS THREE YEARS. The FY2011 edition's operational-risk table (section 4.3.3) prints three full years of actual income in GBP, and every single line reproduces this workbook's Profit &amp; Loss sheet to the pound: 2011 interest receivable 11,927,839 / interest payable (3,564,624) / net interest income 8,363,215 / fees and commissions 2,827,687 / exchange profits 859,674 / OPERATING INCOME 12,050,576; 2010 8,243,082 / (1,269,122) / 6,973,960 / 2,106,201 / 288,424 / 9,368,585; 2009 8,943,064 / (3,027,983) / 5,915,081 / 2,050,411 / 681,633 / 8,647,125. That independently corroborates the FY2009-FY2011 P&amp;L figures recovered from Companies House under HD-073, from a completely separate document. ONE SMALL DIVERGENCE, documented not corrected: the Pillar 3's 'Profit and loss reserve 8,630' against this workbook's FY2011 retained earnings of 8,623,795 (a GBP 6.2k gap that simple rounding to GBP'000 does not explain - 8,623,795 rounds to 8,624), and correspondingly 'Total tier 1 capital 43,631' against Total equity 43,624,795. Share capital agrees exactly at 35,001. Neither figure was overwritten.
*** ARCHIVE STATUS OF THE REMAINING YEARS - three genuinely different statements, kept distinct ***
(a) FY2016 and FY2019 - PUBLISHED BUT LOST. These editions demonstrably existed: archived captures of the Bank's own Pillar 3 index page name the files. But the PDFs themselves 404 on the live site and were never captured by any crawler. This is a stronger and more useful statement than 'not found': the disclosure was made, and it is the archive that failed, so no amount of further searching of the Bank's own site will recover it. Second pass 2026-09-19 also tried archive.ph, Wayback CDX of every Zenith domain without the PDF mimetype filter, the following year's Annual Report for a comparative, the parent Zenith Bank Plc's Pillar 3 (no separate UK-entity disclosure in what is readable; live copies 403, archived copies truncated) and a web search - all negative.
(b) FY2017, FY2018 and FY2020 - APPARENTLY NEVER POSTED. The Bank's index page only ever displayed the single latest edition, and it still showed FY2016 as at February 2019 and still showed FY2019 as at September 2021 - which implies no FY2017, FY2018 or FY2020 edition was ever published to the site. THIS IS AN INFERENCE, NOT PROOF, AND THE CAVEAT IS RECORDED DELIBERATELY: there are no index-page captures at all between February 2019 and January 2021, so an edition could have been posted and replaced inside that window without leaving a trace. (FY2020's figures are nonetheless held on these sheets, recovered from the FY2021 edition's own comparative column - see FY2020_COMPARATIVE_NOTE - so for FY2020 the question is moot.)
(c) FY2009, FY2010, FY2012 and FY2013 - NO CAPTURE AT ALL. Neither the PDFs nor any index page naming them survives, so it is not known whether editions for these years were ever published.
These three states are recorded separately on purpose. 'Published but lost' closes a lead permanently; 'apparently never posted' is a rebuttable inference; 'no capture at all' is a genuine unknown.
*** UNIT-SCALE DEFECT FOUND AND FIXED 2026-09-15 - READ BEFORE COMPARING AGAINST ANY EARLIER COPY ***
For a period earlier on 2026-09-15, every absolute-amount cell on the 11 Pillar 3 metric sheets and the RWA Breakdown sheet of this workbook was 1000x smaller than its "£'000" unit label claimed - the figures were effectively GBP MILLIONS. The symptom: FY2024 CET1 capital read 302.3 while the Balance Sheet sheet showed FY2024 Total equity as 305,356.2 under the same "£'000, conv. from USD" header - two figures that should be within a few percent of each other, three orders of magnitude apart.
CAUSE (a units-handling bug in this build script, NOT a transcription error - no source figure was ever wrong): the Annual Report statements print WHOLE DOLLARS and are transcribed that way, so stock()/flow() divide by 1,000 on top of the FX rate to reach £'000. The Pillar 3 disclosures print US$'000 and are transcribed that way, but were being passed through that same stock(), applying the divide-by-1,000 twice over to figures that were already in thousands. FIX: a separate stock_k() helper (FX conversion only, no divide by 1,000) now serves every Pillar 3 and RWA Breakdown call site; the transcribed source figures were not touched.
THE SOURCE SCALE IS EXPLICIT IN THE DOCUMENTS, not inferred. The FY2024 edition's UK KM1 and UK OV1 tables suffix every figure with a literal " k" ("Common Equity Tier 1 (CET1) capital 378,325 k"; "Total risk-weighted exposure amount 1,475,750 k") and its own footnote writes it out in prose: "the average ASF US$1,136,904k / the average RSF US$768,308k = 147.98%". The FY2015 edition heads its capital tables "US$000's". The decisive cross-check: the Bank's share capital is "136,701,620 ordinary shares of US$1", which the Annual Report carries as 136,701,620 and the Pillar 3 prints as "136,702 k" - the same money at two scales.
WHAT DID NOT CHANGE, AND WHY THE DEFECT SURVIVED SO LONG: every ratio on these sheets (CET1/Tier 1/Total Capital/Leverage/LCR/NSFR) is dimensionless, so numerator and denominator were scaled identically and every printed ratio reproduced both before and after the fix - there was no ratio symptom to catch. The statement sheets (Balance Sheet, Profit &amp; Loss, Statement of Changes in Equity, Cash Flow Statement, Asset Quality) were never affected: they are sourced from the Annual Reports in whole dollars and stock()/flow() were always correct for them. The Overview sheet carries no Pillar 3 absolute amount at all (only statement totals and ratios), so it needed no rescaling either.
FY2011 FOOTNOTE: the two Basel II capital figures on the Tier 1 Capital and Total Capital sheets were entered as 43.6 and 40.0 during the window in which the defect stood, deliberately matching the wrong scale so as not to create a mixed-unit defect inside a single sheet. They now read 43,631 and 40,002 - the figures the FY2011 edition actually prints, in GBP'000.</t>
        </is>
      </c>
    </row>
    <row r="27" ht="409" customHeight="1">
      <c r="A27" s="8" t="inlineStr">
        <is>
          <t>(continued)
FY2016 PILLAR 3 RECOVERED (GA-020 cdn-sweep, 2026-09-19) - this supersedes the FY2016 half of the 'unobtainable' paragraph above. The Bank's pre-2018 site served files from /uploads/, and Common Crawl captured http://www.zenith-bank.co.uk/uploads/ZBL_Pillar_3_Disclosure_Document_2016.pdf on 2018-02-24 (crawl CC-MAIN-2018-09; WARC crawl-data/CC-MAIN-2018-09/segments/1518891815318.53/warc/CC-MAIN-20180224033332-20180224053332-00132.warc.gz, offset 592640953, length 648238; retrieve with an HTTP Range request against https://data.commoncrawl.org/). HTTP 200 application/pdf, Last-Modified 2018-01-02, 713,641 bytes = the stated Content-Length, %PDF ... %%EOF, 17 pages; title page 'ZENITH BANK (UK) LIMITED - PILLAR 3 DISCLOSURES FOR THE YEAR ENDED 31 DECEMBER 2016'. Read on the page images: p.8 s.3.3.1 names 'LCR, NSFR, Funding concentration' only as PRA standards the Bank maintains, with no figure; p.9 s.4.2 Total CET-1 capital US$192,990k (2015: 190,521) and s.4.3.1 Pillar 1 capital requirements Credit 47,135 / Market 633 / Operational 5,172 / Total 52,940 (US$000), Regulatory Available Capital 192,990; p.10 'Solvency Ratio against Pillar 1 (Available capital / Required capital)' 365% (2015: 258%) and the credit-risk capital requirement (8%) by exposure class; p.11 Pillar 2A allocation, total 94,675. It is the same pre-CRD IV Pillar 1/Pillar 2 format as FY2014/FY2015: no CET1/capital ratio, no risk-weighted amount, no leverage ratio, no LCR/NSFR figure and no MREL anywhere in its 17 pages (text layer on every page; the only image is the p.1 logo). So the FY2016 ratio, RWA, leverage, LCR and MREL cells read 'Not published' from the edition itself. The RWA is NOT derived from the requirements by dividing by 8%, following the FY2011 treatment (the FY2014/FY2015 derivation stays flagged, not extended). The 365% cover multiple is NOT a capital ratio (see the Tier 1 Ratio note). The capital AMOUNT (US$192,990k) WAS LEFT UNWRITTEN BY THAT PASS as outside its scope, which left the CRR-basis FY2016 cell blank while the Annual-Report rows beneath it carried figures. It was placed on 2026-10-07, after being re-read off a 300 dpi image of printed p.9 - see the FY2016 capital note on the CET1 Capital, Tier 1 Capital and Total Capital sheets, which also records the FY2015 restatement the same page exposes. FY2019 remains unreached: its media/2177 file was never captured by Wayback or by any of 74 Common Crawl crawls (2016-2023) of zenith-bank.co.uk/media/*, and the Azure origin zenithbank-uk.azurewebsites.net 301s to the same 404.
UK OV1 template (Overview of risk weighted exposure amounts). Each year's own Pillar 3 report is used. FY2024's own report splits Credit Risk (excl. CCR) $1,205,520k / CCR $98,068k, while the FY2025 report's restated FY2024 comparative shows a different split ($1,280,947k / $22,641k) - same total ($1,475,750k) either way; a reclassification between the two lines, not a change to overall RWAs. FY2021's own report pre-dates the UK OV1 template's current form: it combines most Counterparty Credit Risk into the 'Credit Risk' line (footnoted in the source as immaterial, &lt;1% of Credit Risk) while still separately disclosing CVA - so FY2021's CCR row is blank (not zero) and its Credit Risk row includes that CCR. FY2023's total ($1,167,888k) is $1k off the sum of its own visible rows due to source-side rounding of each row to the nearest $1k - not a plug. Settlement Risk is nil (explicitly disclosed, immaterial) in every year. The 'amounts below thresholds for deduction' memo line (FY2024 only, $1,024k) is explicitly excluded from the Total per the source's own footnote (already counted within Credit Risk) - not additive.
FY2014/FY2015 pre-date the UK OV1 template entirely (see PRE-CRD IV METHODOLOGY NOTE above) - rows are DERIVED by dividing each year's own disclosed Pillar 1 capital requirement per risk category by 8% (the standard Basel capital-to-RWA ratio), not directly disclosed as risk-weighted amounts. No CCR/CVA breakout or Settlement Risk line exists in the source for these two years (blank, not zero - the source's Credit Risk capital requirement may include an immaterial counterparty risk component not separately identifiable).
FY2020 RECOVERED 2026-09-15 from the FY2021 report's own COMPARATIVE COLUMN, not from a FY2020 document (none exists - see the Pillar 3 sources note). https://www.zenith-bank.co.uk/media/2228/31dec21-pillar-3.pdf, section 11.2 'Overview of risk weighted exposure and own funds requirements', p.25: that table is explicitly headed 'the risk weighted exposures by risk type under Pillar 1 for BOTH PERIODS' and carries a full '31st December 2020' column alongside 31st December 2021 - Credit Risk 888,907k / CVA 3,617k / Settlement Risk nil / Market risk 6,955k / Operational Risk 92,300k / Total 991,779k (US$). Validated three ways: the five components sum to exactly the printed total of 991,779k with no rounding residual; the same table's FY2021 column reproduces this sheet's existing FY2021 figures exactly, line for line; and FY2020 follows FY2021's own taxonomy, so the CCR row is left BLANK (not zero) and CVA is shown separately, exactly as for FY2021, per the source's footnote that other CCR is under 1% of Credit Risk and is therefore folded into the Credit Risk line. Note this means FY2020's Credit Risk row, like FY2021's, includes an immaterial unseparated CCR component. Converted to GBP at the FY2020 period-end spot rate per the FX methodology above.
FY2016-FY2019 remain blank OF RWA FIGURES, but for two different reasons. FY2017-FY2019: no Pillar 3 disclosure document is recoverable for those three years, and no surviving document's comparative column reaches them (the FY2021 report is the earliest modern edition, and its comparative reaches only FY2020; see Pillar 3 sources note above for the search performed). FY2016: its edition WAS recovered (Common Crawl, 2026-09-19) and PRINTS NO RWA - it is the pre-CRD IV format, giving Pillar 1 capital REQUIREMENTS (US$52,940k total) and not risk-weighted amounts, and nothing was grossed up from them. That is a fact about the document, not an access limit.
FY2009-FY2013 COLUMNS (added 2026-09-15) ARE BLANK ON PURPOSE, AND NO RWA WAS DERIVED FOR THEM. The recovered FY2011 Pillar 3 edition discloses Pillar 1 CAPITAL REQUIREMENTS, not risk-weighted amounts: Credit Risk 18,156 / Market Risk 27 / Operational Risk 1,503 / Total 19,686 (GBP'000, native, not FX-converted), with credit risk further split by exposure class as Financial Institutions 5,768, Corporates 7,461, Retail 25, Bonds 3,899, Sovereigns 896, Multilateral Development Banks 0 and Fixed and other assets 107. Every one of those is 8% of the corresponding risk weighted exposure amount by the source's own definition, so each could be grossed up - and that is exactly what an earlier pass did to produce the FY2014/FY2015 rows on this sheet. It was NOT done here, because grossing up is a derivation and this project's standing rule is to transcribe only what a document states directly. The requirement figures are preserved verbatim in this note instead, which loses nothing. This does leave FY2014/FY2015 on a derived basis and FY2011 on a stated-absence basis on the same sheet; that inconsistency is flagged rather than resolved by adding a second derivation. FY2009, FY2010, FY2012 and FY2013 have no Pillar 3 edition in any archive.</t>
        </is>
      </c>
    </row>
  </sheetData>
  <mergeCells count="4">
    <mergeCell ref="A25:M25"/>
    <mergeCell ref="A27:M27"/>
    <mergeCell ref="A21:M21"/>
    <mergeCell ref="A23:M23"/>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R13"/>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s>
  <sheetData>
    <row r="1">
      <c r="A1" s="1" t="inlineStr">
        <is>
          <t>Zenith Bank (UK) Limited — Leverage Ratio</t>
        </is>
      </c>
    </row>
    <row r="2">
      <c r="A2" s="2" t="inlineStr">
        <is>
          <t>£'000 / % (conv. from USD)</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c r="M3" s="4" t="inlineStr">
        <is>
          <t>FY2014</t>
        </is>
      </c>
      <c r="N3" s="4" t="inlineStr">
        <is>
          <t>FY2013</t>
        </is>
      </c>
      <c r="O3" s="4" t="inlineStr">
        <is>
          <t>FY2012</t>
        </is>
      </c>
      <c r="P3" s="4" t="inlineStr">
        <is>
          <t>FY2011</t>
        </is>
      </c>
      <c r="Q3" s="4" t="inlineStr">
        <is>
          <t>FY2010</t>
        </is>
      </c>
      <c r="R3" s="4" t="inlineStr">
        <is>
          <t>FY2009</t>
        </is>
      </c>
    </row>
    <row r="4">
      <c r="A4" s="6" t="inlineStr">
        <is>
          <t>Total exposure measure excluding claims on central banks</t>
        </is>
      </c>
      <c r="B4" s="6" t="n">
        <v>2358564.8</v>
      </c>
      <c r="C4" s="6" t="n">
        <v>2387121.9</v>
      </c>
      <c r="D4" s="6" t="n">
        <v>2256065</v>
      </c>
      <c r="E4" s="6" t="n">
        <v>2818198.7</v>
      </c>
      <c r="F4" s="6" t="n">
        <v>2381446.6</v>
      </c>
      <c r="G4" s="6" t="n">
        <v>1818093.1</v>
      </c>
      <c r="H4" s="6" t="n"/>
      <c r="I4" s="6" t="n"/>
      <c r="J4" s="6" t="n"/>
      <c r="K4" s="6" t="n"/>
      <c r="L4" s="6" t="n"/>
      <c r="M4" s="6" t="n"/>
      <c r="N4" s="6" t="n"/>
      <c r="O4" s="6" t="n"/>
      <c r="P4" s="6" t="n"/>
      <c r="Q4" s="6" t="n"/>
      <c r="R4" s="6" t="n"/>
    </row>
    <row r="5">
      <c r="A5" s="6" t="inlineStr">
        <is>
          <t>Leverage ratio excluding claims on central banks (%)</t>
        </is>
      </c>
      <c r="B5" s="6" t="inlineStr">
        <is>
          <t>12.08%</t>
        </is>
      </c>
      <c r="C5" s="6" t="inlineStr">
        <is>
          <t>11.25%</t>
        </is>
      </c>
      <c r="D5" s="6" t="inlineStr">
        <is>
          <t>9.76%</t>
        </is>
      </c>
      <c r="E5" s="6" t="inlineStr">
        <is>
          <t>7.32%</t>
        </is>
      </c>
      <c r="F5" s="6" t="inlineStr">
        <is>
          <t>8.36%</t>
        </is>
      </c>
      <c r="G5" s="6" t="inlineStr">
        <is>
          <t>10.68%</t>
        </is>
      </c>
      <c r="H5" s="6" t="inlineStr">
        <is>
          <t>Unreached today – FY2019 Pillar 3 named on archived index page; PDF 404 live; no copy in Wayback, archive.ph, Common Crawl (74 crawls) or the Azure origin host (2026-09-19); FY2019/FY2020 ARs print none</t>
        </is>
      </c>
      <c r="I5" s="6" t="inlineStr">
        <is>
          <t>Not disclosed (no Pillar 3 located; Annual Report prints none)</t>
        </is>
      </c>
      <c r="J5" s="6" t="inlineStr">
        <is>
          <t>Not disclosed (no Pillar 3 located; Annual Report prints none)</t>
        </is>
      </c>
      <c r="K5" s="6" t="inlineStr">
        <is>
          <t>Not published – FY2016 Pillar 3 (recovered via Common Crawl, 17pp) prints no leverage ratio (capital section p.8-11 read)</t>
        </is>
      </c>
      <c r="L5" s="6" t="inlineStr">
        <is>
          <t>Not disclosed (pre-CRD IV edition prints no such metric)</t>
        </is>
      </c>
      <c r="M5" s="6" t="inlineStr">
        <is>
          <t>Not disclosed (pre-CRD IV edition prints no such metric)</t>
        </is>
      </c>
      <c r="N5" s="6" t="inlineStr">
        <is>
          <t>Not applicable (Basel II)</t>
        </is>
      </c>
      <c r="O5" s="6" t="inlineStr">
        <is>
          <t>Not applicable (Basel II)</t>
        </is>
      </c>
      <c r="P5" s="6" t="inlineStr">
        <is>
          <t>Not applicable (Basel II)</t>
        </is>
      </c>
      <c r="Q5" s="6" t="inlineStr">
        <is>
          <t>Not applicable (Basel II)</t>
        </is>
      </c>
      <c r="R5" s="6" t="inlineStr">
        <is>
          <t>Not applicable (Basel II)</t>
        </is>
      </c>
    </row>
    <row r="6" ht="390" customHeight="1">
      <c r="A6" s="7" t="inlineStr">
        <is>
          <t>Note: FY2009-FY2013 'Not applicable (Basel II)' (2026-09-15): the regulatory leverage ratio is a CRD IV construct with no Basel II counterpart, and the recovered FY2011 edition mentions no leverage ratio anywhere. Marked structurally inapplicable rather than left blank.
FY2020 added 2026-09-15 from the FY2021 Pillar 3's section 10 Key Metrics comparative column - same row label and same 'excluding claims on central banks' basis as the years above it, so this continues the series without a basis change. The exposure measure (US$2,483,697k) and ratio (10.68%) are both printed; 280,619 / 2,483,697 = 11.30% on the capital shown, and the Bank's 10.68% reflects its own tier-1-for-leverage measurement, so the printed figure is carried as disclosed and nothing is derived.
FY2014-FY2019 CARRY EXPLICIT STATED-ABSENCE MARKERS AS OF 2026-09-18, replacing blanks. FY2014 and FY2015: both surviving Pillar 3 editions were re-downloaded and searched on that date, and neither contains the string 'leverage' anywhere - the CRD IV/UK leverage ratio framework did not apply to a firm this size then. FY2017-FY2019: no Pillar 3 document is recoverable (the fetch ladder was re-run in full on 2026-09-18 and every rung failed - see the archive-status note), and each of those three years' Annual Reports was read that day and mentions no leverage ratio at all. FY2016 IS NOW A DOCUMENT-BACKED ABSENCE RATHER THAN AN ACCESS LIMIT: its edition was recovered from Common Crawl on 2026-09-19 and contains no occurrence of 'leverage' in its 17 pages (text-layer control re-run 2026-10-07: 238 hits for 'risk', 73 for 'capital', 0 for 'leverage'), and its Annual Report mentions none either. NOTE the prior version of this note said FY2016-FY2020 - that was corrected once the FY2021 document's comparative column was read.
FY2020 SOURCE (added 2026-09-15): Zenith Bank (UK) Limited, "Pillar 3 Disclosures as at 31 December 2021", section 10 "Key Metrics", p.22 - a two-column table headed "31st December 2021 / 31st December 2020" that carries a complete FY2020 comparative, and section 11.1 "Composition of Regulatory Own Funds", p.24, which states it shows FY2021 "with 31st December 2020 added for comparison purposes". No separate FY2020 Pillar 3 document was needed or used.
WHY THIS WAS MISSED BEFORE: earlier passes read only section 11.2 (the RWA-by-risk-type table, which is explicitly headed "for both periods") and recorded the FY2020 RWA split from it, but never opened sections 10 or 11.1 of the same PDF - so the capital amounts, all three capital ratios, the leverage ratio and the LCR sat unread in a document already cited in this script. The sheets' prior claim that FY2016-FY2020 are blank because "no Pillar 3 document is recoverable" was true about DOCUMENTS and wrong about DATA; it was narrowed to FY2016-FY2019 then, and to FY2017-FY2019 on 2026-09-19, when the FY2016 edition was recovered from Common Crawl.
INTERNAL CONSISTENCY CHECKS, all passing: the section 10 CET1/Tier 1/Total capital figure of US$280,619k reconciles exactly to section 11.1's own build-up (CET1 before regulatory adjustments 275,574 + total regulatory adjustments 5,045 = 280,619); the section 10 RWA of US$991,779k equals the section 11.2 category sum already recorded on the RWA Breakdown sheet (888,907 + 3,617 + 6,955 + 92,300 = 991,779); and 280,619 / 991,779 = 28.29%, reproducing the printed ratio. The document also states "The Bank's entire capital base qualifies as Common Equity Tier 1 capital" and "has no Additional Tier 1 (AT1), Tier 2 or Tier 3 Capital", so CET1 = Tier 1 = Total capital is the Bank's own statement, not an inference. It further confirms solo scope: "The Bank reports as a solo UK institution and has no consolidation adjustments."
*** ANNUAL-REPORT CAPITAL RECOVERY, 2026-09-18 - READ THIS BEFORE RE-CHASING FY2012/FY2013 OR FY2016-FY2019 ***
Every prior pass treated FY2016-FY2019 as a closed gap on the reasoning that no Pillar 3 disclosure document is recoverable for those years. That reasoning was about DOCUMENTS OF ONE KIND. It remained true of FY2017-FY2019 (see the archive-status note below - the ladder was re-run in full on 2026-09-18 and every rung failed again) and is now FALSE of FY2016, whose edition was recovered from Common Crawl on 2026-09-19; but it was never a statement about the Bank's CAPITAL DISCLOSURE, because Zenith Bank (UK) Limited also prints a 'Capital Management' note inside note 25 'Financial risk management' of EVERY Annual Report, and that note carries a Capital Resources table. Those tables were read on 2026-09-18 and are the source of the FY2012, FY2013, FY2016, FY2017, FY2018 and FY2019 capital rows on this sheet. NONE of them discloses a risk-weighted exposure amount, which is why Total RWAs and the RWA Breakdown sheet stay empty of figures for those years.
THE ROWS ARE SEPARATE FROM THE CRR/KM1 ROW ABOVE ON PURPOSE. A Pillar 3 UK KM1 'CET1 capital' figure and an Annual Report 'Capital Resources' figure are not guaranteed to be struck on the same basis, and for this Bank they demonstrably are not in some years (FY2018's own Annual Report reconciles statutory capital of US$225,399,559 down to regulatory Tier 1 of US$202,258,835 through an IFRS 9 transition add-back, an IFRS 9 year-1 deduction, a prudential valuation adjustment and an intangibles deduction). Splicing either figure onto the KM1 row would create a silent basis break mid-series, so each basis keeps its own labelled row and no cell is merged across the break.
WHAT EACH YEAR'S OWN EDITION ACTUALLY PRINTS (all US$ unless stated):
  FY2016 (Annual Report and Accounts 2016, printed p.34 / PDF p.37 - https://www.zenith-bank.co.uk/media/1009/statutory_accounts_year_ended_31st_december_2016.pdf): a two-line Capital Resources table, Share capital 136.7 / Retained earnings 56.5 / TOTAL TIER 1 CAPITAL 193.2, printed in US$ MILLIONS to one decimal. There is no regulatory-deduction reconciliation, no RWA and no ratio in this edition. The figure carried here is 193,158,399 rather than 193,200,000: that is the same edition's own share capital (136,701,620) plus its own retained earnings (56,456,779), both printed in full dollars on its Statement of Financial Position and Statement of Changes in Equity, i.e. exactly the addition the capital note itself performs at a coarser scale. The FY2017 edition's comparative column prints the same line as 193,158,399 to the dollar, confirming it.
  FY2017 (Annual Report and Financial Statements 2017, printed p.48 / PDF p.50 - https://www.zenith-bank.co.uk/media/2142/2017-annual-report-and-financial-statements.pdf): Share capital 136,701,620 / Retained earnings 70,085,676 / Total Tier 1 capital 206,787,296. This edition prints NO post-deduction regulatory figure at all - the FY2017 regulatory Tier 1 of 193,158,399 exists only as the FY2018 edition's comparative column, and is therefore carried on its own explicitly comparative-labelled row rather than alongside own-edition figures.
  FY2018 (Annual Report and Financial Statements 2018, printed p.57 / PDF p.59 - https://www.zenith-bank.co.uk/media/2151/2018-annual-report.pdf): Share capital 136,701,620 / Reserves (99,803) / Retained earnings 88,797,742 / Total statutory capital 225,399,559; then IFRS 9 transition adjustment 8,861,638, Profit or loss attributable to owners of the parent (27,509,757), IFRS 9 transition adjustment year 1 impact (1,772,328), value adjustments due to the requirements for prudential valuation (unaudited) (842,446), other intangible assets before deduction of deferred tax liabilities (1,877,831) = TOTAL REGULATORY CAPITAL (TIER 1) 202,258,835. The reconciliation foots exactly.</t>
        </is>
      </c>
    </row>
    <row r="7" ht="273" customHeight="1">
      <c r="A7" s="7" t="inlineStr">
        <is>
          <t xml:space="preserve">(continued)
FY2019 (Annual Report and Financial Statements 2019, printed p.60 / PDF p.62 - https://www.zenith-bank.co.uk/media/2169/258558-zenith-web.pdf): Share capital 136,701,620 / Reserves 740,531 / Retained earnings 116,728,430 / Total statutory capital 254,170,581; then IFRS 9 transition adjustment (3,544,655), prudential valuation (649,575), other intangible assets (2,018,933) and profit for the year (27,930,688) = TOTAL REGULATORY CAPITAL (TIER 1) EXCLUDING AUDITED PROFIT 220,026,730; the same table then adds the profit back to give TOTAL REGULATORY CAPITAL (TIER 1) INCLUDING AUDITED PROFIT 247,957,418. BOTH are printed, so both are carried, on separate rows; neither is preferred silently. (The same table's FY2018 comparative column restates FY2018 on the including-profit basis as 229,768,592 - recorded here in the note only, since FY2018's own edition printed no such line.)
  FY2013 (Financial Statements for the year ended 31 December 2013, printed p.39 / PDF p.41 - https://find-and-update.company-information.service.gov.uk/company/05713749/filing-history/MzEwNDk3MzAyNmFkaXF6a2N4/document?format=pdf&amp;download=0): 'Total capital at 31 December 2013 was GBP 74,509,003 (2012: GBP 66,836,084) ... Total Regulatory Capital as at 31 December 2013 was GBP 72,342,265 (2012: GBP 62,082,926)', with a Capital Resources table reading Tier one Capital / Shareholders' Funds 72,342,265 / TOTAL TIER 1 CAPITAL 72,342,265.
  FY2012 (Financial Statements as at 31 December 2012, printed p.38 / PDF p.40 - https://find-and-update.company-information.service.gov.uk/company/05713749/filing-history/MzA4MDQyODAzOGFkaXF6a2N4/document?format=pdf&amp;download=0): the same note, 'Total capital at 31 December 2012 was GBP 66,836,084 (2011 GBP 43,109,518) ... Total Regulatory Capital as at 31 December 2012 was GBP 62,082,926 (2011 GBP 40,002,338)', table TOTAL TIER 1 CAPITAL 62,082,926.
FY2012/FY2013 ARE NATIVE GBP AND ARE NOT FX-CONVERTED - they pre-date the Bank's redenomination to USD (see the FX conversion note on the Cash Flow Statement sheet and NATIVE_GBP_YEARS in the build script), so they sit on these sheets in GBP'000 exactly as printed, on the same scale as the FY2011 Basel II rows. Both editions are IMAGE-ONLY SCANS from Companies House (company 05713749) with a zero-character text layer; they were OCR'd to locate the page and then EVERY FIGURE WAS CONFIRMED VISUALLY against the page rendered at 260 dpi. No figure here rests on OCR output alone.
TWO CORROBORATIONS AND ONE DIVERGENCE, none of them adjusted. (1) The FY2012 edition's 2011 comparative Total Regulatory Capital of GBP 40,002,338 matches, to the pound, the 'Regulatory Available Capital 40,002' (GBP'000) that the recovered FY2011 Pillar 3 prints - two independent documents agreeing, and it also resolves the dating caveat recorded against that FY2011 Pillar 3 figure in favour of it being a genuine 31 December 2011 position rather than a FY2010 one. (2) The FY2012 edition's 2011 comparative 'total capital' of GBP 43,109,518 does NOT match this workbook's FY2011 total equity of GBP 43,624,795 (taken from FY2011's own report) - a GBP 515,277 gap, consistent with the FY2012 IFRS-conversion restatement already documented in the HD-073 extension note. Each year keeps its own report's figure; nothing was reconciled.
WHAT IS STILL GENUINELY ABSENT AFTER THIS PASS: no Zenith Bank (UK) Annual Report in any year FY2012-FY2019 prints a risk-weighted exposure amount, an RWA breakdown, a leverage ratio, an LCR or an NSFR. Each of those four editions was searched in full text for 'risk weighted', 'risk-weighted', 'RWA', 'leverage', 'liquidity coverage' and 'stable funding'; the only hits are the boilerplate sentence 'a ratio of total regulatory capital to risk-weighted exposures at or above a level determined for each institution' and narrative liquidity-management prose naming the LCR and NSFR without any figure. Those cells therefore carry explicit stated-absence markers rather than blanks.
ONE LEVERAGE BASIS ONLY - CHECKED AND RECORDED 2026-10-09 (GA-026). Template UK LR2 (LRCom) asks for BOTH leverage measures - rows 24 and UK-25c on the including-claims-on-central-banks basis, UK-24b and 25 on the excluding basis, with the reconciling deduction at UK-24a - and 47 workbooks in this corpus carry both. This sheet carries the excluding side alone because that is all this bank publishes, not because the including side was missed.
HOW THAT WAS ESTABLISHED: all 10 source URLs cited on this sheet and its KM1 sheet were re-fetched on 2026-10-09 (10 returned a real PDF, %PDF magic bytes checked), and each document's full text was searched for an LR2/LRCom template and for the 'including claims on central banks' wording. Every match was opened and read on 2026-10-09; none is an in-scope disclosure. The remaining matches are NOT leverage at all: template UK CC1 (composition of regulatory own funds) has its own rows UK-25a 'Losses for the current financial year' and UK-25b 'Foreseeable tax charges', which collide with the leverage template's UK-25a/UK-25c row numbering. A row number alone never identifies a template. The bank files UK KM1, whose leverage block (rows 13 and 14) asks only for the excluding measure; a KM1 filer that publishes no LR2 therefore discloses one basis.
THIS IS A RECORDED FINDING, NOT AN UNCHECKED GAP. Do not reopen it on the sheet's shape alone. It should be reopened when a NEW edition appears, since a bank can begin printing LR2 at any time - Aldermore's FY2026 report is the first of its eight editions to do so. And note the method's own limit: the text search is defeated by a figure wrapping into the middle of a label (UBP's KM1 renders as '...excluding claims  4,407,957  on central banks'), so a hit was always read by hand and only a clean zero across every edition supports this finding. </t>
        </is>
      </c>
    </row>
    <row r="9" ht="377" customHeight="1">
      <c r="A9" s="8" t="inlineStr">
        <is>
          <t>Sources - Zenith Bank (UK) Limited Pillar 3 Disclosures (UK KM1 - Key Metrics; pre-CRD IV Pillar 1/2 disclosures for FY2014-FY2015 - see methodology note below), converted from USD to £ where a $ amount (see FX conversion note on the Cash Flow Statement sheet; % ratios are unconverted):
FY2025: Pillar 3 Disclosures as at 31 Dec 2025, p.16 (Section 10, Key Metrics) - https://www.zenith-bank.co.uk/media/2290/pillar-3-zbuk-31dec25.pdf
FY2024: Pillar 3 Disclosures as at 31 Dec 2024, p.17 (Section 9, Key Metrics) - https://www.zenith-bank.co.uk/media/2274/31dec24-pillar-3-zbuk.pdf
FY2023: Pillar 3 Disclosures as at 31 Dec 2023, p.17 (Section 9, Key Metrics) - https://www.zenith-bank.co.uk/media/2260/pillar-3-31dec23-final.pdf
FY2022: Pillar 3 Disclosures as at 31 Dec 2022, p.24 (Section 10, Key Metrics) - https://www.zenith-bank.co.uk/media/2238/zbuk-31dec22-pillar-3-disclosures.pdf
FY2021: Pillar 3 Disclosures as at 31 Dec 2021, p.23 (Section 10, Key Metrics) - https://www.zenith-bank.co.uk/media/2228/31dec21-pillar-3.pdf
FY2015: Pillar 3 Disclosures 31 December 2015, p.8-9 (Section 4, Capital Adequacy Overview &amp; Resources) - http://web.archive.org/web/20161128044735id_/http://www.zenith-bank.co.uk/uploads/ZBL_Pillar_3_Disclosure_Document_2015.pdf
FY2014: Pillar 3 Disclosures 31 December 2014, p.8-9 (Section 4, Capital Adequacy Overview &amp; Resources) - http://web.archive.org/web/20160826052010id_/http://www.zenith-bank.co.uk/uploads/ZBL_Pillar_3_Disclosure_Document_2014.pdf
FY2017-FY2019 PILLAR 3 DOCUMENTS: unobtainable, and the full fetch ladder was re-run on 2026-09-18 with every rung failing, so this is a statement about ACCESS and is recorded as such. NARROWED FROM FY2016-FY2019 ON 2026-09-19 AND RE-CONFIRMED 2026-10-07: the FY2016 edition WAS recovered, from Common Crawl at the pre-2018 /uploads/ address, and its capital figure is now on the capital sheets (see the Z16 notes below). Everything in this paragraph about media/1013 remains true of that URL - the file really was deleted from the Bank's media store - and is kept because it is what sent the search to the older path. The two file names are known from archived captures of the Bank's own Pillar 3 index page - https://zenith-bank.co.uk/media/1013/zbl_pillar_3_disclosure_document_2016.pdf (named on the 2018-04-01 and 2019-02-15 captures, the older capture pointing at the pre-2018 path http://www.zenith-bank.co.uk/uploads/ZBL_Pillar_3_Disclosure_Document_2016.pdf) and https://zenith-bank.co.uk/media/2177/zenith-bank-uk-limited-pillar-3-disclosure-2019.pdf (named on the 2021-01-27 and 2021-09-19 captures). Rungs tried against each, all failing: plain curl (404 text/html), curl -L (404), curl --http1.1 -L (404), browser User-Agent with an Accept header (404); the old /uploads/ path 301-redirects to the same 404. A Wayback 'id_' raw fetch 404s for all three URLs, and a CDX enumeration of both zenith-bank.co.uk and www.zenith-bank.co.uk returns no capture of any Pillar 3 binary between the FY2015 and FY2021 editions. THIS IS NOT A STATEMENT THAT THE BANK PUBLISHED NOTHING - for FY2016 and FY2019 it demonstrably did. It is a statement that the archive failed. The capital data for these years was obtained from a completely different source family instead: see the ANNUAL-REPORT CAPITAL RECOVERY note on the capital sheets. FY2020's figures come from the FY2021 edition's own comparative column (see FY2020_COMPARATIVE_NOTE), so FY2020 needs no document of its own.
PRE-CRD IV METHODOLOGY NOTE (FY2014-FY2015 only): these two years pre-date the Bank's adoption of the modern UK KM1 template and CRD IV/Basel III concepts entirely - there is no 'CET1' concept, no Leverage Ratio, no LCR and no NSFR disclosed (LCR/NSFR minimums were not yet phased in for a firm this size; the Bank's own disclosure is a Pillar 1/Pillar 2 ICAAP-style capital adequacy summary). Because the Bank's entire capital base was ordinary share capital and audited reserves (no AT1 or Tier 2 instruments then either), its single 'Tier 1 capital' figure is shown here as CET1/Tier 1/Total Capital alike, consistent with the modern-era convention used elsewhere in this workbook - but note the figure used is the Bank's own 'Regulatory Available Capital' (post regulatory deductions, the figure actually used in its published solvency ratio), not its larger undeducted 'Total tier 1 capital per audited accounts' memo figure (FY2014: $185,197k memo vs $170,802k regulatory available; FY2015: $190,521k memo vs $188,483k regulatory available). Total RWAs for FY2014/FY2015 are derived (not directly disclosed) by dividing each disclosed Pillar 1 capital requirement by 8% (the standard Basel capital-to-RWA ratio), per component (Credit/Market/Operational Risk) and summed - FY2014's derived total ($765,350k) differs by $12.5k from an alternative derivation off the disclosed grand total capital requirement ($765,363k), a rounding artefact of the source's own component figures; the per-component sum is used throughout for internal consistency with the RWA Breakdown sheet. The resulting CET1/Tier1/Total Capital ratio (regulatory available capital / derived RWA) is NOT the same figure as the Bank's own headline 'Solvency Ratio against Pillar 1' (available capital / capital REQUIREMENT, i.e. roughly 12.5x this ratio) - both are shown in the RWA Breakdown sheet's source note for transparency.
HISTORICAL PILLAR 3 RECOVERY (2026-09-15) - FY2008 and FY2011 editions recovered from the Wayback Machine
FY2011: Zenith Bank (UK) Limited, "Pillar 3 Disclosures for the year ended 31 December 2011" (17pp, 'Reviewed May 2012'), section 4.2 Capital Resources and section 4.3 Capital Allocation, p.7-8 - https://web.archive.org/web/20130616222348id_/http://www.zenith-bank.co.uk:80/docs/ZBL_Pillar_3_Disclosure_Document_2011.pdf
FY2008: Zenith Bank (UK) Limited, "Pillar 3 Disclosures for the year ending 31 December 2008" (9pp, 'Reviewed December 2008'), section 1 Capital Adequacy Overview &amp; Resources, p.6 - https://web.archive.org/web/20090424153904id_/http://www.zenith-bank.co.uk:80/documents/ZBL_Pillar_3_Disclosure_Document.pdf
*** FY2008: RECOVERED, READ, AND DELIBERATELY NOT USED FOR ANY CELL ***
This document's cover is internally contradictory - it says 'FOR THE YEAR ENDING 31 DECEMBER 2008' but also 'Reviewed December 2008' and, on its last page, 'This Disclosure will be published in December 2008'. The contradiction was resolved from the FIGURES, not the cover, and the figures are decisive. The document's ONLY quantitative table is introduced verbatim as: "Tier 1 capital based on our 31 December 2007 audited accounts as adjusted for a GBP 15 million capital injection in May 2008 is as follows: Share capital 35,001 / Profit and loss reserve (1,473) / Total tier 1 capital 33,528" (GBP'000). Two further statements confirm it: "The disclosures should be read in conjunction with the ZBL Annual Report and Financial Statements for the corresponding financial year WHICH WILL BE PUBLISHED IN MARCH 2009", and "The disclosures herein are based on the ICAAP last approved in September 2008". So this is an in-year disclosure written before the 2008 year-end and before the 2008 accounts existed; 'for the year ending' means the year then in progress, not an as-at date. THE FIGURE IS THEREFORE NEITHER AN FY2008 NOR AN FY2007 POSITION - it is 31 December 2007 audited reserves combined with share capital that already includes a May 2008 injection. There is no year column in this workbook it can honestly occupy, and mapping it to FY2008 (or to FY2007) would misdate it. No cell was written from it. It is recorded here in full so the document is part of this workbook's record and is not re-chased as an open lead. The edition contains no RWA, no capital requirement and no ratio of any kind, so nothing further was available from it in any case.</t>
        </is>
      </c>
    </row>
    <row r="11" ht="390" customHeight="1">
      <c r="A11" s="8" t="inlineStr">
        <is>
          <t>(continued)
FY2011 - TRANSCRIBED. Cover date is unambiguous ('for the year ended 31 December 2011', reviewed May 2012) and the capital table is explicitly headed 'Tier 1 capital as at 31 December 2011 audited accounts'. Native GBP: this pre-dates the Bank's redenomination to USD, so NO FX conversion is applied to these figures (see NATIVE_GBP_YEARS on the statement sheets for the same treatment). Figures, GBP'000:
  Capital table - Share capital at 31 December 2011 35,001; Profit and loss reserve 8,630; TOTAL TIER 1 CAPITAL 43,631. The Bank states 'The Bank's entire capital base is Tier 1 capital which consists of fully issued ordinary shares satisfying all the criteria for a Tier 1 instrument (as outlined in GENPRU 2.2.83 R) and audited reserves' - so there is no AT1 and no Tier 2, by the Bank's own statement.
  Pillar 1 capital requirements - Credit Risk 18,156; Market Risk 27; Operational Risk 1,503; TOTAL 19,686. Regulatory Available Capital 40,002.
  Pillar 1 credit risk capital requirement by exposure class (each stated as 8% of the risk weighted exposure amount) - Financial Institutions 5,768; Corporates 7,461; Retail 25; Bonds 3,899; Sovereigns 896; Multilateral Development Banks 0; Fixed and other assets 107; total 18,156.
  Pillar 2 - Own Capital Assessment total 29,802 against Regulatory 19,686; capital resources at assessment date 40,002 on both bases.
NO RWA IS RECORDED FOR FY2011, AND THAT IS DELIBERATE. The edition discloses capital REQUIREMENTS, not risk-weighted amounts. Dividing each requirement by 8% would produce a total RWA of 246,075 - but that is a derivation, and this project's standing rule is to transcribe only what a document states directly. The requirement figures are preserved verbatim above instead. READ THIS ALONGSIDE THE PRE-CRD IV METHODOLOGY NOTE BELOW: the FY2014/FY2015 Total RWA figures already on these sheets WERE produced by exactly that division, in an earlier pass. That pre-existing derivation is left untouched here (removing populated data is not this pass's call) but it is flagged, and it was deliberately NOT propagated backwards to FY2011.
*** CAPITAL-COVER RATIO TRAP - WHY FY2011's RATIO CELLS ARE 'Not publicly disclosed' RATHER THAN 203% ***
The FY2011 edition prints 'Solvency Ratio against Pillar 1 203%' and, in its Pillar 2 table, 'Capital Adequacy Ratio 203% / 134%'. These are NOT CRR-style capital ratios. The source annotates the first one itself: '(capital divided by Total amount)', i.e. available capital divided by the capital REQUIREMENT - a capital-cover multiple of roughly 12.5x a true capital/RWA ratio. Writing 203% into the Total Capital Ratio sheet would overstate the Bank's capitalisation by an order of magnitude. This exact mistake has been caught three separate times elsewhere in this project. The ratio cells for FY2011 are therefore 'Not publicly disclosed', and the 203%/134% figures live here in the note where they cannot be mistaken for CRR ratios.
TWO FY2011 CAPITAL FIGURES, BOTH CARRIED, NEITHER PREFERRED SILENTLY. 'Total tier 1 capital' per the audited accounts is 43,631; 'Regulatory Available Capital' (post regulatory deductions) is 40,002. Both are on their own rows on the capital sheets. A DATING CAVEAT ON THE SECOND ONE, recorded because it could not be resolved from the document: the Pillar 2 table labels the same 40,002 'Capital resources (AT ASSESSMENT DATE)', not as at 31 December 2011, and 40,002 is also - to the GBP'000 - this workbook's FY2010 closing Total equity of GBP 40,002,338. That may be coincidence or it may mean the ICAAP assessment was run off the FY2010 year-end position. The document does not say, so no conclusion is asserted; the 43,631 figure is the one the document explicitly dates to 31 December 2011.
VALIDATION GATE - PASSED CLEANLY, ACROSS THREE YEARS. The FY2011 edition's operational-risk table (section 4.3.3) prints three full years of actual income in GBP, and every single line reproduces this workbook's Profit &amp; Loss sheet to the pound: 2011 interest receivable 11,927,839 / interest payable (3,564,624) / net interest income 8,363,215 / fees and commissions 2,827,687 / exchange profits 859,674 / OPERATING INCOME 12,050,576; 2010 8,243,082 / (1,269,122) / 6,973,960 / 2,106,201 / 288,424 / 9,368,585; 2009 8,943,064 / (3,027,983) / 5,915,081 / 2,050,411 / 681,633 / 8,647,125. That independently corroborates the FY2009-FY2011 P&amp;L figures recovered from Companies House under HD-073, from a completely separate document. ONE SMALL DIVERGENCE, documented not corrected: the Pillar 3's 'Profit and loss reserve 8,630' against this workbook's FY2011 retained earnings of 8,623,795 (a GBP 6.2k gap that simple rounding to GBP'000 does not explain - 8,623,795 rounds to 8,624), and correspondingly 'Total tier 1 capital 43,631' against Total equity 43,624,795. Share capital agrees exactly at 35,001. Neither figure was overwritten.
*** ARCHIVE STATUS OF THE REMAINING YEARS - three genuinely different statements, kept distinct ***
(a) FY2016 and FY2019 - PUBLISHED BUT LOST. These editions demonstrably existed: archived captures of the Bank's own Pillar 3 index page name the files. But the PDFs themselves 404 on the live site and were never captured by any crawler. This is a stronger and more useful statement than 'not found': the disclosure was made, and it is the archive that failed, so no amount of further searching of the Bank's own site will recover it. Second pass 2026-09-19 also tried archive.ph, Wayback CDX of every Zenith domain without the PDF mimetype filter, the following year's Annual Report for a comparative, the parent Zenith Bank Plc's Pillar 3 (no separate UK-entity disclosure in what is readable; live copies 403, archived copies truncated) and a web search - all negative.
(b) FY2017, FY2018 and FY2020 - APPARENTLY NEVER POSTED. The Bank's index page only ever displayed the single latest edition, and it still showed FY2016 as at February 2019 and still showed FY2019 as at September 2021 - which implies no FY2017, FY2018 or FY2020 edition was ever published to the site. THIS IS AN INFERENCE, NOT PROOF, AND THE CAVEAT IS RECORDED DELIBERATELY: there are no index-page captures at all between February 2019 and January 2021, so an edition could have been posted and replaced inside that window without leaving a trace. (FY2020's figures are nonetheless held on these sheets, recovered from the FY2021 edition's own comparative column - see FY2020_COMPARATIVE_NOTE - so for FY2020 the question is moot.)
(c) FY2009, FY2010, FY2012 and FY2013 - NO CAPTURE AT ALL. Neither the PDFs nor any index page naming them survives, so it is not known whether editions for these years were ever published.
These three states are recorded separately on purpose. 'Published but lost' closes a lead permanently; 'apparently never posted' is a rebuttable inference; 'no capture at all' is a genuine unknown.
*** UNIT-SCALE DEFECT FOUND AND FIXED 2026-09-15 - READ BEFORE COMPARING AGAINST ANY EARLIER COPY ***</t>
        </is>
      </c>
    </row>
    <row r="13" ht="234" customHeight="1">
      <c r="A13" s="8" t="inlineStr">
        <is>
          <t>(continued)
For a period earlier on 2026-09-15, every absolute-amount cell on the 11 Pillar 3 metric sheets and the RWA Breakdown sheet of this workbook was 1000x smaller than its "£'000" unit label claimed - the figures were effectively GBP MILLIONS. The symptom: FY2024 CET1 capital read 302.3 while the Balance Sheet sheet showed FY2024 Total equity as 305,356.2 under the same "£'000, conv. from USD" header - two figures that should be within a few percent of each other, three orders of magnitude apart.
CAUSE (a units-handling bug in this build script, NOT a transcription error - no source figure was ever wrong): the Annual Report statements print WHOLE DOLLARS and are transcribed that way, so stock()/flow() divide by 1,000 on top of the FX rate to reach £'000. The Pillar 3 disclosures print US$'000 and are transcribed that way, but were being passed through that same stock(), applying the divide-by-1,000 twice over to figures that were already in thousands. FIX: a separate stock_k() helper (FX conversion only, no divide by 1,000) now serves every Pillar 3 and RWA Breakdown call site; the transcribed source figures were not touched.
THE SOURCE SCALE IS EXPLICIT IN THE DOCUMENTS, not inferred. The FY2024 edition's UK KM1 and UK OV1 tables suffix every figure with a literal " k" ("Common Equity Tier 1 (CET1) capital 378,325 k"; "Total risk-weighted exposure amount 1,475,750 k") and its own footnote writes it out in prose: "the average ASF US$1,136,904k / the average RSF US$768,308k = 147.98%". The FY2015 edition heads its capital tables "US$000's". The decisive cross-check: the Bank's share capital is "136,701,620 ordinary shares of US$1", which the Annual Report carries as 136,701,620 and the Pillar 3 prints as "136,702 k" - the same money at two scales.
WHAT DID NOT CHANGE, AND WHY THE DEFECT SURVIVED SO LONG: every ratio on these sheets (CET1/Tier 1/Total Capital/Leverage/LCR/NSFR) is dimensionless, so numerator and denominator were scaled identically and every printed ratio reproduced both before and after the fix - there was no ratio symptom to catch. The statement sheets (Balance Sheet, Profit &amp; Loss, Statement of Changes in Equity, Cash Flow Statement, Asset Quality) were never affected: they are sourced from the Annual Reports in whole dollars and stock()/flow() were always correct for them. The Overview sheet carries no Pillar 3 absolute amount at all (only statement totals and ratios), so it needed no rescaling either.
FY2011 FOOTNOTE: the two Basel II capital figures on the Tier 1 Capital and Total Capital sheets were entered as 43.6 and 40.0 during the window in which the defect stood, deliberately matching the wrong scale so as not to create a mixed-unit defect inside a single sheet. They now read 43,631 and 40,002 - the figures the FY2011 edition actually prints, in GBP'000.
FY2016 PILLAR 3 RECOVERED (GA-020 cdn-sweep, 2026-09-19) - this supersedes the FY2016 half of the 'unobtainable' paragraph above. The Bank's pre-2018 site served files from /uploads/, and Common Crawl captured http://www.zenith-bank.co.uk/uploads/ZBL_Pillar_3_Disclosure_Document_2016.pdf on 2018-02-24 (crawl CC-MAIN-2018-09; WARC crawl-data/CC-MAIN-2018-09/segments/1518891815318.53/warc/CC-MAIN-20180224033332-20180224053332-00132.warc.gz, offset 592640953, length 648238; retrieve with an HTTP Range request against https://data.commoncrawl.org/). HTTP 200 application/pdf, Last-Modified 2018-01-02, 713,641 bytes = the stated Content-Length, %PDF ... %%EOF, 17 pages; title page 'ZENITH BANK (UK) LIMITED - PILLAR 3 DISCLOSURES FOR THE YEAR ENDED 31 DECEMBER 2016'. Read on the page images: p.8 s.3.3.1 names 'LCR, NSFR, Funding concentration' only as PRA standards the Bank maintains, with no figure; p.9 s.4.2 Total CET-1 capital US$192,990k (2015: 190,521) and s.4.3.1 Pillar 1 capital requirements Credit 47,135 / Market 633 / Operational 5,172 / Total 52,940 (US$000), Regulatory Available Capital 192,990; p.10 'Solvency Ratio against Pillar 1 (Available capital / Required capital)' 365% (2015: 258%) and the credit-risk capital requirement (8%) by exposure class; p.11 Pillar 2A allocation, total 94,675. It is the same pre-CRD IV Pillar 1/Pillar 2 format as FY2014/FY2015: no CET1/capital ratio, no risk-weighted amount, no leverage ratio, no LCR/NSFR figure and no MREL anywhere in its 17 pages (text layer on every page; the only image is the p.1 logo). So the FY2016 ratio, RWA, leverage, LCR and MREL cells read 'Not published' from the edition itself. The RWA is NOT derived from the requirements by dividing by 8%, following the FY2011 treatment (the FY2014/FY2015 derivation stays flagged, not extended). The 365% cover multiple is NOT a capital ratio (see the Tier 1 Ratio note). The capital AMOUNT (US$192,990k) WAS LEFT UNWRITTEN BY THAT PASS as outside its scope, which left the CRR-basis FY2016 cell blank while the Annual-Report rows beneath it carried figures. It was placed on 2026-10-07, after being re-read off a 300 dpi image of printed p.9 - see the FY2016 capital note on the CET1 Capital, Tier 1 Capital and Total Capital sheets, which also records the FY2015 restatement the same page exposes. FY2019 remains unreached: its media/2177 file was never captured by Wayback or by any of 74 Common Crawl crawls (2016-2023) of zenith-bank.co.uk/media/*, and the Azure origin zenithbank-uk.azurewebsites.net 301s to the same 404.</t>
        </is>
      </c>
    </row>
  </sheetData>
  <mergeCells count="5">
    <mergeCell ref="A7:R7"/>
    <mergeCell ref="A11:R11"/>
    <mergeCell ref="A13:R13"/>
    <mergeCell ref="A9:R9"/>
    <mergeCell ref="A6:R6"/>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R15"/>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s>
  <sheetData>
    <row r="1">
      <c r="A1" s="1" t="inlineStr">
        <is>
          <t>Zenith Bank (UK) Limited — LCR</t>
        </is>
      </c>
    </row>
    <row r="2">
      <c r="A2" s="2" t="inlineStr">
        <is>
          <t>£'000 / % (conv. from USD)</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c r="M3" s="4" t="inlineStr">
        <is>
          <t>FY2014</t>
        </is>
      </c>
      <c r="N3" s="4" t="inlineStr">
        <is>
          <t>FY2013</t>
        </is>
      </c>
      <c r="O3" s="4" t="inlineStr">
        <is>
          <t>FY2012</t>
        </is>
      </c>
      <c r="P3" s="4" t="inlineStr">
        <is>
          <t>FY2011</t>
        </is>
      </c>
      <c r="Q3" s="4" t="inlineStr">
        <is>
          <t>FY2010</t>
        </is>
      </c>
      <c r="R3" s="4" t="inlineStr">
        <is>
          <t>FY2009</t>
        </is>
      </c>
    </row>
    <row r="4">
      <c r="A4" s="6" t="inlineStr">
        <is>
          <t>Total high-quality liquid assets (HQLA), weighted value</t>
        </is>
      </c>
      <c r="B4" s="6" t="n">
        <v>708312</v>
      </c>
      <c r="C4" s="6" t="n">
        <v>810059.1</v>
      </c>
      <c r="D4" s="6" t="n">
        <v>901392.6</v>
      </c>
      <c r="E4" s="6" t="n">
        <v>1014739.2</v>
      </c>
      <c r="F4" s="6" t="n">
        <v>689905.3</v>
      </c>
      <c r="G4" s="6" t="n">
        <v>573018.8</v>
      </c>
      <c r="H4" s="6" t="n"/>
      <c r="I4" s="6" t="n"/>
      <c r="J4" s="6" t="n"/>
      <c r="K4" s="6" t="n"/>
      <c r="L4" s="6" t="n"/>
      <c r="M4" s="6" t="n"/>
      <c r="N4" s="6" t="n"/>
      <c r="O4" s="6" t="n"/>
      <c r="P4" s="6" t="n"/>
      <c r="Q4" s="6" t="n"/>
      <c r="R4" s="6" t="n"/>
    </row>
    <row r="5">
      <c r="A5" s="6" t="inlineStr">
        <is>
          <t>Total net cash outflows, adjusted value</t>
        </is>
      </c>
      <c r="B5" s="6" t="n">
        <v>262152.7</v>
      </c>
      <c r="C5" s="6" t="n">
        <v>245161.8</v>
      </c>
      <c r="D5" s="6" t="n">
        <v>290329.9</v>
      </c>
      <c r="E5" s="6" t="n">
        <v>309847.1</v>
      </c>
      <c r="F5" s="6" t="n">
        <v>249781.8</v>
      </c>
      <c r="G5" s="6" t="n">
        <v>131685.8</v>
      </c>
      <c r="H5" s="6" t="n"/>
      <c r="I5" s="6" t="n"/>
      <c r="J5" s="6" t="n"/>
      <c r="K5" s="6" t="n"/>
      <c r="L5" s="6" t="n"/>
      <c r="M5" s="6" t="n"/>
      <c r="N5" s="6" t="n"/>
      <c r="O5" s="6" t="n"/>
      <c r="P5" s="6" t="n"/>
      <c r="Q5" s="6" t="n"/>
      <c r="R5" s="6" t="n"/>
    </row>
    <row r="6">
      <c r="A6" s="6" t="inlineStr">
        <is>
          <t>Liquidity Coverage Ratio (%) (12-month simple average)</t>
        </is>
      </c>
      <c r="B6" s="6" t="inlineStr">
        <is>
          <t>270.19%</t>
        </is>
      </c>
      <c r="C6" s="6" t="inlineStr">
        <is>
          <t>330.42%</t>
        </is>
      </c>
      <c r="D6" s="6" t="inlineStr">
        <is>
          <t>310%</t>
        </is>
      </c>
      <c r="E6" s="6" t="inlineStr">
        <is>
          <t>343%</t>
        </is>
      </c>
      <c r="F6" s="6" t="n"/>
      <c r="G6" s="6" t="n"/>
      <c r="H6" s="6" t="n"/>
      <c r="I6" s="6" t="n"/>
      <c r="J6" s="6" t="n"/>
      <c r="K6" s="6" t="n"/>
      <c r="L6" s="6" t="n"/>
      <c r="M6" s="6" t="n"/>
      <c r="N6" s="6" t="n"/>
      <c r="O6" s="6" t="n"/>
      <c r="P6" s="6" t="n"/>
      <c r="Q6" s="6" t="n"/>
      <c r="R6" s="6" t="n"/>
    </row>
    <row r="7">
      <c r="A7" s="6" t="inlineStr">
        <is>
          <t>Liquidity Coverage Ratio (%) (point-in-time at year-end)</t>
        </is>
      </c>
      <c r="B7" s="6" t="n"/>
      <c r="C7" s="6" t="n"/>
      <c r="D7" s="6" t="n"/>
      <c r="E7" s="6" t="n"/>
      <c r="F7" s="6" t="inlineStr">
        <is>
          <t>276%</t>
        </is>
      </c>
      <c r="G7" s="6" t="inlineStr">
        <is>
          <t>435%</t>
        </is>
      </c>
      <c r="H7" s="6" t="inlineStr">
        <is>
          <t>Unreached today – FY2019 Pillar 3 named on archived index page; PDF 404 live; no copy in Wayback, archive.ph, Common Crawl (74 crawls) or the Azure origin host (2026-09-19); FY2019/FY2020 ARs print none</t>
        </is>
      </c>
      <c r="I7" s="6" t="inlineStr">
        <is>
          <t>Not disclosed (no Pillar 3 located; Annual Report prints none)</t>
        </is>
      </c>
      <c r="J7" s="6" t="inlineStr">
        <is>
          <t>Not disclosed (no Pillar 3 located; Annual Report prints none)</t>
        </is>
      </c>
      <c r="K7" s="6" t="inlineStr">
        <is>
          <t>Not published – FY2016 Pillar 3 (recovered via Common Crawl, 17pp) names LCR only as a PRA standard it maintains (p.8, s.3.3.1); no LCR figure</t>
        </is>
      </c>
      <c r="L7" s="6" t="inlineStr">
        <is>
          <t>Not disclosed (pre-CRD IV edition prints no such metric)</t>
        </is>
      </c>
      <c r="M7" s="6" t="inlineStr">
        <is>
          <t>Not disclosed (pre-CRD IV edition prints no such metric)</t>
        </is>
      </c>
      <c r="N7" s="6" t="inlineStr">
        <is>
          <t>Not applicable (pre-LCR regime)</t>
        </is>
      </c>
      <c r="O7" s="6" t="inlineStr">
        <is>
          <t>Not applicable (pre-LCR regime)</t>
        </is>
      </c>
      <c r="P7" s="6" t="inlineStr">
        <is>
          <t>Not applicable (pre-LCR regime)</t>
        </is>
      </c>
      <c r="Q7" s="6" t="inlineStr">
        <is>
          <t>Not applicable (pre-LCR regime)</t>
        </is>
      </c>
      <c r="R7" s="6" t="inlineStr">
        <is>
          <t>Not applicable (pre-LCR regime)</t>
        </is>
      </c>
    </row>
    <row r="8" ht="364" customHeight="1">
      <c r="A8" s="7" t="inlineStr">
        <is>
          <t>Note: FY2009-FY2013 'Not applicable (pre-LCR regime)' (2026-09-15): the LCR was not a UK requirement in those years - the recovered FY2011 Basel II edition manages liquidity under the pre-LCR ILAA/BIPRU regime and discloses no quantitative liquidity metric at all. The marker is placed on the point-in-time row purely because that is the row FY2020/FY2021 use; it applies to the metric as a whole, not to one basis. Marked structurally inapplicable rather than left blank.
TWO DIFFERENT BASES, deliberately kept on separate rows (2026-09-15). FY2021 is a point-in-time (year-end) figure as originally disclosed; FY2022 onward is a 12-month simple average, per each year's own report. They are NOT comparable, so FY2021 is shown on its own row rather than continuing the average row with a different-basis number - an earlier revision of this workbook carried all five years in a single row, which implied a like-for-like 276% -&gt; 343% move that the sources do not support. The HQLA and net-cash-outflow rows above carry the same vintage split (FY2021 point-in-time, FY2022 onward averaged) and are left as single rows, following the same convention used for Access Bank. FY2022's own report (374,822k/343%) differs from the FY2023 report's restated FY2022 comparative (348,210k/352%) - FY2022's own report figure is used, per this project's convention.
FY2020 (435%) added 2026-09-15 and placed on the POINT-IN-TIME row, not the average row: it comes from the FY2021 report's section 10 comparative column, i.e. the same table and the same basis as FY2021's 276%. Its HQLA (US$782,801k) and net cash outflows (US$179,896k) divide to 435.1%, reproducing the printed ratio. Reading FY2020 -&gt; FY2021 as 435% -&gt; 276% is therefore like-for-like; reading FY2020 -&gt; FY2022 across the two rows is not.
FY2014-FY2019 CARRY EXPLICIT STATED-ABSENCE MARKERS AS OF 2026-09-18, replacing blanks, on the point-in-time row (the HQLA and net-cash-outflow rows above stay blank, since a text marker on an amount row would sit in a £'000 column). LCR minimum requirements were phased in for UK firms from October 2015; FY2014's and FY2015's own surviving Pillar 3 editions were re-downloaded and searched on 2026-09-18 and contain no occurrence of 'LCR', 'liquidity coverage' or 'stable funding' at all. For FY2017-FY2019 no Pillar 3 document is recoverable (ladder re-run in full that day, every rung failed); FY2016's WAS recovered from Common Crawl on 2026-09-19 and names LCR only as a PRA standard the Bank maintains (printed p.8, s.3.3.1) with no figure anywhere in its 17 pages (text-layer control re-run 2026-10-07: 0 hits for 'Liquidity Coverage' against 238 for 'risk'). Each of the four years' own Annual Reports was read: all four describe managing liquidity 'as per the PRA's liquidity guidelines, primarily the Liquidity Coverage Ratio' in narrative form and print NO LCR figure. NOTE the prior version of this note said FY2014-FY2020 - corrected once the FY2021 document's comparative column was read.
FY2020 SOURCE (added 2026-09-15): Zenith Bank (UK) Limited, "Pillar 3 Disclosures as at 31 December 2021", section 10 "Key Metrics", p.22 - a two-column table headed "31st December 2021 / 31st December 2020" that carries a complete FY2020 comparative, and section 11.1 "Composition of Regulatory Own Funds", p.24, which states it shows FY2021 "with 31st December 2020 added for comparison purposes". No separate FY2020 Pillar 3 document was needed or used.
WHY THIS WAS MISSED BEFORE: earlier passes read only section 11.2 (the RWA-by-risk-type table, which is explicitly headed "for both periods") and recorded the FY2020 RWA split from it, but never opened sections 10 or 11.1 of the same PDF - so the capital amounts, all three capital ratios, the leverage ratio and the LCR sat unread in a document already cited in this script. The sheets' prior claim that FY2016-FY2020 are blank because "no Pillar 3 document is recoverable" was true about DOCUMENTS and wrong about DATA; it was narrowed to FY2016-FY2019 then, and to FY2017-FY2019 on 2026-09-19, when the FY2016 edition was recovered from Common Crawl.
INTERNAL CONSISTENCY CHECKS, all passing: the section 10 CET1/Tier 1/Total capital figure of US$280,619k reconciles exactly to section 11.1's own build-up (CET1 before regulatory adjustments 275,574 + total regulatory adjustments 5,045 = 280,619); the section 10 RWA of US$991,779k equals the section 11.2 category sum already recorded on the RWA Breakdown sheet (888,907 + 3,617 + 6,955 + 92,300 = 991,779); and 280,619 / 991,779 = 28.29%, reproducing the printed ratio. The document also states "The Bank's entire capital base qualifies as Common Equity Tier 1 capital" and "has no Additional Tier 1 (AT1), Tier 2 or Tier 3 Capital", so CET1 = Tier 1 = Total capital is the Bank's own statement, not an inference. It further confirms solo scope: "The Bank reports as a solo UK institution and has no consolidation adjustments."
*** ANNUAL-REPORT CAPITAL RECOVERY, 2026-09-18 - READ THIS BEFORE RE-CHASING FY2012/FY2013 OR FY2016-FY2019 ***
Every prior pass treated FY2016-FY2019 as a closed gap on the reasoning that no Pillar 3 disclosure document is recoverable for those years. That reasoning was about DOCUMENTS OF ONE KIND. It remained true of FY2017-FY2019 (see the archive-status note below - the ladder was re-run in full on 2026-09-18 and every rung failed again) and is now FALSE of FY2016, whose edition was recovered from Common Crawl on 2026-09-19; but it was never a statement about the Bank's CAPITAL DISCLOSURE, because Zenith Bank (UK) Limited also prints a 'Capital Management' note inside note 25 'Financial risk management' of EVERY Annual Report, and that note carries a Capital Resources table. Those tables were read on 2026-09-18 and are the source of the FY2012, FY2013, FY2016, FY2017, FY2018 and FY2019 capital rows on this sheet. NONE of them discloses a risk-weighted exposure amount, which is why Total RWAs and the RWA Breakdown sheet stay empty of figures for those years.
THE ROWS ARE SEPARATE FROM THE CRR/KM1 ROW ABOVE ON PURPOSE. A Pillar 3 UK KM1 'CET1 capital' figure and an Annual Report 'Capital Resources' figure are not guaranteed to be struck on the same basis, and for this Bank they demonstrably are not in some years (FY2018's own Annual Report reconciles statutory capital of US$225,399,559 down to regulatory Tier 1 of US$202,258,835 through an IFRS 9 transition add-back, an IFRS 9 year-1 deduction, a prudential valuation adjustment and an intangibles deduction). Splicing either figure onto the KM1 row would create a silent basis break mid-series, so each basis keeps its own labelled row and no cell is merged across the break.
WHAT EACH YEAR'S OWN EDITION ACTUALLY PRINTS (all US$ unless stated):</t>
        </is>
      </c>
    </row>
    <row r="9" ht="273" customHeight="1">
      <c r="A9" s="7" t="inlineStr">
        <is>
          <t>(continued)
FY2016 (Annual Report and Accounts 2016, printed p.34 / PDF p.37 - https://www.zenith-bank.co.uk/media/1009/statutory_accounts_year_ended_31st_december_2016.pdf): a two-line Capital Resources table, Share capital 136.7 / Retained earnings 56.5 / TOTAL TIER 1 CAPITAL 193.2, printed in US$ MILLIONS to one decimal. There is no regulatory-deduction reconciliation, no RWA and no ratio in this edition. The figure carried here is 193,158,399 rather than 193,200,000: that is the same edition's own share capital (136,701,620) plus its own retained earnings (56,456,779), both printed in full dollars on its Statement of Financial Position and Statement of Changes in Equity, i.e. exactly the addition the capital note itself performs at a coarser scale. The FY2017 edition's comparative column prints the same line as 193,158,399 to the dollar, confirming it.
  FY2017 (Annual Report and Financial Statements 2017, printed p.48 / PDF p.50 - https://www.zenith-bank.co.uk/media/2142/2017-annual-report-and-financial-statements.pdf): Share capital 136,701,620 / Retained earnings 70,085,676 / Total Tier 1 capital 206,787,296. This edition prints NO post-deduction regulatory figure at all - the FY2017 regulatory Tier 1 of 193,158,399 exists only as the FY2018 edition's comparative column, and is therefore carried on its own explicitly comparative-labelled row rather than alongside own-edition figures.
  FY2018 (Annual Report and Financial Statements 2018, printed p.57 / PDF p.59 - https://www.zenith-bank.co.uk/media/2151/2018-annual-report.pdf): Share capital 136,701,620 / Reserves (99,803) / Retained earnings 88,797,742 / Total statutory capital 225,399,559; then IFRS 9 transition adjustment 8,861,638, Profit or loss attributable to owners of the parent (27,509,757), IFRS 9 transition adjustment year 1 impact (1,772,328), value adjustments due to the requirements for prudential valuation (unaudited) (842,446), other intangible assets before deduction of deferred tax liabilities (1,877,831) = TOTAL REGULATORY CAPITAL (TIER 1) 202,258,835. The reconciliation foots exactly.
  FY2019 (Annual Report and Financial Statements 2019, printed p.60 / PDF p.62 - https://www.zenith-bank.co.uk/media/2169/258558-zenith-web.pdf): Share capital 136,701,620 / Reserves 740,531 / Retained earnings 116,728,430 / Total statutory capital 254,170,581; then IFRS 9 transition adjustment (3,544,655), prudential valuation (649,575), other intangible assets (2,018,933) and profit for the year (27,930,688) = TOTAL REGULATORY CAPITAL (TIER 1) EXCLUDING AUDITED PROFIT 220,026,730; the same table then adds the profit back to give TOTAL REGULATORY CAPITAL (TIER 1) INCLUDING AUDITED PROFIT 247,957,418. BOTH are printed, so both are carried, on separate rows; neither is preferred silently. (The same table's FY2018 comparative column restates FY2018 on the including-profit basis as 229,768,592 - recorded here in the note only, since FY2018's own edition printed no such line.)
  FY2013 (Financial Statements for the year ended 31 December 2013, printed p.39 / PDF p.41 - https://find-and-update.company-information.service.gov.uk/company/05713749/filing-history/MzEwNDk3MzAyNmFkaXF6a2N4/document?format=pdf&amp;download=0): 'Total capital at 31 December 2013 was GBP 74,509,003 (2012: GBP 66,836,084) ... Total Regulatory Capital as at 31 December 2013 was GBP 72,342,265 (2012: GBP 62,082,926)', with a Capital Resources table reading Tier one Capital / Shareholders' Funds 72,342,265 / TOTAL TIER 1 CAPITAL 72,342,265.
  FY2012 (Financial Statements as at 31 December 2012, printed p.38 / PDF p.40 - https://find-and-update.company-information.service.gov.uk/company/05713749/filing-history/MzA4MDQyODAzOGFkaXF6a2N4/document?format=pdf&amp;download=0): the same note, 'Total capital at 31 December 2012 was GBP 66,836,084 (2011 GBP 43,109,518) ... Total Regulatory Capital as at 31 December 2012 was GBP 62,082,926 (2011 GBP 40,002,338)', table TOTAL TIER 1 CAPITAL 62,082,926.
FY2012/FY2013 ARE NATIVE GBP AND ARE NOT FX-CONVERTED - they pre-date the Bank's redenomination to USD (see the FX conversion note on the Cash Flow Statement sheet and NATIVE_GBP_YEARS in the build script), so they sit on these sheets in GBP'000 exactly as printed, on the same scale as the FY2011 Basel II rows. Both editions are IMAGE-ONLY SCANS from Companies House (company 05713749) with a zero-character text layer; they were OCR'd to locate the page and then EVERY FIGURE WAS CONFIRMED VISUALLY against the page rendered at 260 dpi. No figure here rests on OCR output alone.
TWO CORROBORATIONS AND ONE DIVERGENCE, none of them adjusted. (1) The FY2012 edition's 2011 comparative Total Regulatory Capital of GBP 40,002,338 matches, to the pound, the 'Regulatory Available Capital 40,002' (GBP'000) that the recovered FY2011 Pillar 3 prints - two independent documents agreeing, and it also resolves the dating caveat recorded against that FY2011 Pillar 3 figure in favour of it being a genuine 31 December 2011 position rather than a FY2010 one. (2) The FY2012 edition's 2011 comparative 'total capital' of GBP 43,109,518 does NOT match this workbook's FY2011 total equity of GBP 43,624,795 (taken from FY2011's own report) - a GBP 515,277 gap, consistent with the FY2012 IFRS-conversion restatement already documented in the HD-073 extension note. Each year keeps its own report's figure; nothing was reconciled.
WHAT IS STILL GENUINELY ABSENT AFTER THIS PASS: no Zenith Bank (UK) Annual Report in any year FY2012-FY2019 prints a risk-weighted exposure amount, an RWA breakdown, a leverage ratio, an LCR or an NSFR. Each of those four editions was searched in full text for 'risk weighted', 'risk-weighted', 'RWA', 'leverage', 'liquidity coverage' and 'stable funding'; the only hits are the boilerplate sentence 'a ratio of total regulatory capital to risk-weighted exposures at or above a level determined for each institution' and narrative liquidity-management prose naming the LCR and NSFR without any figure. Those cells therefore carry explicit stated-absence markers rather than blanks.</t>
        </is>
      </c>
    </row>
    <row r="11" ht="377" customHeight="1">
      <c r="A11" s="8" t="inlineStr">
        <is>
          <t>Sources - Zenith Bank (UK) Limited Pillar 3 Disclosures (UK KM1 - Key Metrics; pre-CRD IV Pillar 1/2 disclosures for FY2014-FY2015 - see methodology note below), converted from USD to £ where a $ amount (see FX conversion note on the Cash Flow Statement sheet; % ratios are unconverted):
FY2025: Pillar 3 Disclosures as at 31 Dec 2025, p.16 (Section 10, Key Metrics) - https://www.zenith-bank.co.uk/media/2290/pillar-3-zbuk-31dec25.pdf
FY2024: Pillar 3 Disclosures as at 31 Dec 2024, p.17 (Section 9, Key Metrics) - https://www.zenith-bank.co.uk/media/2274/31dec24-pillar-3-zbuk.pdf
FY2023: Pillar 3 Disclosures as at 31 Dec 2023, p.17 (Section 9, Key Metrics) - https://www.zenith-bank.co.uk/media/2260/pillar-3-31dec23-final.pdf
FY2022: Pillar 3 Disclosures as at 31 Dec 2022, p.24 (Section 10, Key Metrics) - https://www.zenith-bank.co.uk/media/2238/zbuk-31dec22-pillar-3-disclosures.pdf
FY2021: Pillar 3 Disclosures as at 31 Dec 2021, p.23 (Section 10, Key Metrics) - https://www.zenith-bank.co.uk/media/2228/31dec21-pillar-3.pdf
FY2015: Pillar 3 Disclosures 31 December 2015, p.8-9 (Section 4, Capital Adequacy Overview &amp; Resources) - http://web.archive.org/web/20161128044735id_/http://www.zenith-bank.co.uk/uploads/ZBL_Pillar_3_Disclosure_Document_2015.pdf
FY2014: Pillar 3 Disclosures 31 December 2014, p.8-9 (Section 4, Capital Adequacy Overview &amp; Resources) - http://web.archive.org/web/20160826052010id_/http://www.zenith-bank.co.uk/uploads/ZBL_Pillar_3_Disclosure_Document_2014.pdf
FY2017-FY2019 PILLAR 3 DOCUMENTS: unobtainable, and the full fetch ladder was re-run on 2026-09-18 with every rung failing, so this is a statement about ACCESS and is recorded as such. NARROWED FROM FY2016-FY2019 ON 2026-09-19 AND RE-CONFIRMED 2026-10-07: the FY2016 edition WAS recovered, from Common Crawl at the pre-2018 /uploads/ address, and its capital figure is now on the capital sheets (see the Z16 notes below). Everything in this paragraph about media/1013 remains true of that URL - the file really was deleted from the Bank's media store - and is kept because it is what sent the search to the older path. The two file names are known from archived captures of the Bank's own Pillar 3 index page - https://zenith-bank.co.uk/media/1013/zbl_pillar_3_disclosure_document_2016.pdf (named on the 2018-04-01 and 2019-02-15 captures, the older capture pointing at the pre-2018 path http://www.zenith-bank.co.uk/uploads/ZBL_Pillar_3_Disclosure_Document_2016.pdf) and https://zenith-bank.co.uk/media/2177/zenith-bank-uk-limited-pillar-3-disclosure-2019.pdf (named on the 2021-01-27 and 2021-09-19 captures). Rungs tried against each, all failing: plain curl (404 text/html), curl -L (404), curl --http1.1 -L (404), browser User-Agent with an Accept header (404); the old /uploads/ path 301-redirects to the same 404. A Wayback 'id_' raw fetch 404s for all three URLs, and a CDX enumeration of both zenith-bank.co.uk and www.zenith-bank.co.uk returns no capture of any Pillar 3 binary between the FY2015 and FY2021 editions. THIS IS NOT A STATEMENT THAT THE BANK PUBLISHED NOTHING - for FY2016 and FY2019 it demonstrably did. It is a statement that the archive failed. The capital data for these years was obtained from a completely different source family instead: see the ANNUAL-REPORT CAPITAL RECOVERY note on the capital sheets. FY2020's figures come from the FY2021 edition's own comparative column (see FY2020_COMPARATIVE_NOTE), so FY2020 needs no document of its own.
PRE-CRD IV METHODOLOGY NOTE (FY2014-FY2015 only): these two years pre-date the Bank's adoption of the modern UK KM1 template and CRD IV/Basel III concepts entirely - there is no 'CET1' concept, no Leverage Ratio, no LCR and no NSFR disclosed (LCR/NSFR minimums were not yet phased in for a firm this size; the Bank's own disclosure is a Pillar 1/Pillar 2 ICAAP-style capital adequacy summary). Because the Bank's entire capital base was ordinary share capital and audited reserves (no AT1 or Tier 2 instruments then either), its single 'Tier 1 capital' figure is shown here as CET1/Tier 1/Total Capital alike, consistent with the modern-era convention used elsewhere in this workbook - but note the figure used is the Bank's own 'Regulatory Available Capital' (post regulatory deductions, the figure actually used in its published solvency ratio), not its larger undeducted 'Total tier 1 capital per audited accounts' memo figure (FY2014: $185,197k memo vs $170,802k regulatory available; FY2015: $190,521k memo vs $188,483k regulatory available). Total RWAs for FY2014/FY2015 are derived (not directly disclosed) by dividing each disclosed Pillar 1 capital requirement by 8% (the standard Basel capital-to-RWA ratio), per component (Credit/Market/Operational Risk) and summed - FY2014's derived total ($765,350k) differs by $12.5k from an alternative derivation off the disclosed grand total capital requirement ($765,363k), a rounding artefact of the source's own component figures; the per-component sum is used throughout for internal consistency with the RWA Breakdown sheet. The resulting CET1/Tier1/Total Capital ratio (regulatory available capital / derived RWA) is NOT the same figure as the Bank's own headline 'Solvency Ratio against Pillar 1' (available capital / capital REQUIREMENT, i.e. roughly 12.5x this ratio) - both are shown in the RWA Breakdown sheet's source note for transparency.
HISTORICAL PILLAR 3 RECOVERY (2026-09-15) - FY2008 and FY2011 editions recovered from the Wayback Machine
FY2011: Zenith Bank (UK) Limited, "Pillar 3 Disclosures for the year ended 31 December 2011" (17pp, 'Reviewed May 2012'), section 4.2 Capital Resources and section 4.3 Capital Allocation, p.7-8 - https://web.archive.org/web/20130616222348id_/http://www.zenith-bank.co.uk:80/docs/ZBL_Pillar_3_Disclosure_Document_2011.pdf
FY2008: Zenith Bank (UK) Limited, "Pillar 3 Disclosures for the year ending 31 December 2008" (9pp, 'Reviewed December 2008'), section 1 Capital Adequacy Overview &amp; Resources, p.6 - https://web.archive.org/web/20090424153904id_/http://www.zenith-bank.co.uk:80/documents/ZBL_Pillar_3_Disclosure_Document.pdf
*** FY2008: RECOVERED, READ, AND DELIBERATELY NOT USED FOR ANY CELL ***
This document's cover is internally contradictory - it says 'FOR THE YEAR ENDING 31 DECEMBER 2008' but also 'Reviewed December 2008' and, on its last page, 'This Disclosure will be published in December 2008'. The contradiction was resolved from the FIGURES, not the cover, and the figures are decisive. The document's ONLY quantitative table is introduced verbatim as: "Tier 1 capital based on our 31 December 2007 audited accounts as adjusted for a GBP 15 million capital injection in May 2008 is as follows: Share capital 35,001 / Profit and loss reserve (1,473) / Total tier 1 capital 33,528" (GBP'000). Two further statements confirm it: "The disclosures should be read in conjunction with the ZBL Annual Report and Financial Statements for the corresponding financial year WHICH WILL BE PUBLISHED IN MARCH 2009", and "The disclosures herein are based on the ICAAP last approved in September 2008". So this is an in-year disclosure written before the 2008 year-end and before the 2008 accounts existed; 'for the year ending' means the year then in progress, not an as-at date. THE FIGURE IS THEREFORE NEITHER AN FY2008 NOR AN FY2007 POSITION - it is 31 December 2007 audited reserves combined with share capital that already includes a May 2008 injection. There is no year column in this workbook it can honestly occupy, and mapping it to FY2008 (or to FY2007) would misdate it. No cell was written from it. It is recorded here in full so the document is part of this workbook's record and is not re-chased as an open lead. The edition contains no RWA, no capital requirement and no ratio of any kind, so nothing further was available from it in any case.</t>
        </is>
      </c>
    </row>
    <row r="13" ht="390" customHeight="1">
      <c r="A13" s="8" t="inlineStr">
        <is>
          <t>(continued)
FY2011 - TRANSCRIBED. Cover date is unambiguous ('for the year ended 31 December 2011', reviewed May 2012) and the capital table is explicitly headed 'Tier 1 capital as at 31 December 2011 audited accounts'. Native GBP: this pre-dates the Bank's redenomination to USD, so NO FX conversion is applied to these figures (see NATIVE_GBP_YEARS on the statement sheets for the same treatment). Figures, GBP'000:
  Capital table - Share capital at 31 December 2011 35,001; Profit and loss reserve 8,630; TOTAL TIER 1 CAPITAL 43,631. The Bank states 'The Bank's entire capital base is Tier 1 capital which consists of fully issued ordinary shares satisfying all the criteria for a Tier 1 instrument (as outlined in GENPRU 2.2.83 R) and audited reserves' - so there is no AT1 and no Tier 2, by the Bank's own statement.
  Pillar 1 capital requirements - Credit Risk 18,156; Market Risk 27; Operational Risk 1,503; TOTAL 19,686. Regulatory Available Capital 40,002.
  Pillar 1 credit risk capital requirement by exposure class (each stated as 8% of the risk weighted exposure amount) - Financial Institutions 5,768; Corporates 7,461; Retail 25; Bonds 3,899; Sovereigns 896; Multilateral Development Banks 0; Fixed and other assets 107; total 18,156.
  Pillar 2 - Own Capital Assessment total 29,802 against Regulatory 19,686; capital resources at assessment date 40,002 on both bases.
NO RWA IS RECORDED FOR FY2011, AND THAT IS DELIBERATE. The edition discloses capital REQUIREMENTS, not risk-weighted amounts. Dividing each requirement by 8% would produce a total RWA of 246,075 - but that is a derivation, and this project's standing rule is to transcribe only what a document states directly. The requirement figures are preserved verbatim above instead. READ THIS ALONGSIDE THE PRE-CRD IV METHODOLOGY NOTE BELOW: the FY2014/FY2015 Total RWA figures already on these sheets WERE produced by exactly that division, in an earlier pass. That pre-existing derivation is left untouched here (removing populated data is not this pass's call) but it is flagged, and it was deliberately NOT propagated backwards to FY2011.
*** CAPITAL-COVER RATIO TRAP - WHY FY2011's RATIO CELLS ARE 'Not publicly disclosed' RATHER THAN 203% ***
The FY2011 edition prints 'Solvency Ratio against Pillar 1 203%' and, in its Pillar 2 table, 'Capital Adequacy Ratio 203% / 134%'. These are NOT CRR-style capital ratios. The source annotates the first one itself: '(capital divided by Total amount)', i.e. available capital divided by the capital REQUIREMENT - a capital-cover multiple of roughly 12.5x a true capital/RWA ratio. Writing 203% into the Total Capital Ratio sheet would overstate the Bank's capitalisation by an order of magnitude. This exact mistake has been caught three separate times elsewhere in this project. The ratio cells for FY2011 are therefore 'Not publicly disclosed', and the 203%/134% figures live here in the note where they cannot be mistaken for CRR ratios.
TWO FY2011 CAPITAL FIGURES, BOTH CARRIED, NEITHER PREFERRED SILENTLY. 'Total tier 1 capital' per the audited accounts is 43,631; 'Regulatory Available Capital' (post regulatory deductions) is 40,002. Both are on their own rows on the capital sheets. A DATING CAVEAT ON THE SECOND ONE, recorded because it could not be resolved from the document: the Pillar 2 table labels the same 40,002 'Capital resources (AT ASSESSMENT DATE)', not as at 31 December 2011, and 40,002 is also - to the GBP'000 - this workbook's FY2010 closing Total equity of GBP 40,002,338. That may be coincidence or it may mean the ICAAP assessment was run off the FY2010 year-end position. The document does not say, so no conclusion is asserted; the 43,631 figure is the one the document explicitly dates to 31 December 2011.
VALIDATION GATE - PASSED CLEANLY, ACROSS THREE YEARS. The FY2011 edition's operational-risk table (section 4.3.3) prints three full years of actual income in GBP, and every single line reproduces this workbook's Profit &amp; Loss sheet to the pound: 2011 interest receivable 11,927,839 / interest payable (3,564,624) / net interest income 8,363,215 / fees and commissions 2,827,687 / exchange profits 859,674 / OPERATING INCOME 12,050,576; 2010 8,243,082 / (1,269,122) / 6,973,960 / 2,106,201 / 288,424 / 9,368,585; 2009 8,943,064 / (3,027,983) / 5,915,081 / 2,050,411 / 681,633 / 8,647,125. That independently corroborates the FY2009-FY2011 P&amp;L figures recovered from Companies House under HD-073, from a completely separate document. ONE SMALL DIVERGENCE, documented not corrected: the Pillar 3's 'Profit and loss reserve 8,630' against this workbook's FY2011 retained earnings of 8,623,795 (a GBP 6.2k gap that simple rounding to GBP'000 does not explain - 8,623,795 rounds to 8,624), and correspondingly 'Total tier 1 capital 43,631' against Total equity 43,624,795. Share capital agrees exactly at 35,001. Neither figure was overwritten.
*** ARCHIVE STATUS OF THE REMAINING YEARS - three genuinely different statements, kept distinct ***
(a) FY2016 and FY2019 - PUBLISHED BUT LOST. These editions demonstrably existed: archived captures of the Bank's own Pillar 3 index page name the files. But the PDFs themselves 404 on the live site and were never captured by any crawler. This is a stronger and more useful statement than 'not found': the disclosure was made, and it is the archive that failed, so no amount of further searching of the Bank's own site will recover it. Second pass 2026-09-19 also tried archive.ph, Wayback CDX of every Zenith domain without the PDF mimetype filter, the following year's Annual Report for a comparative, the parent Zenith Bank Plc's Pillar 3 (no separate UK-entity disclosure in what is readable; live copies 403, archived copies truncated) and a web search - all negative.
(b) FY2017, FY2018 and FY2020 - APPARENTLY NEVER POSTED. The Bank's index page only ever displayed the single latest edition, and it still showed FY2016 as at February 2019 and still showed FY2019 as at September 2021 - which implies no FY2017, FY2018 or FY2020 edition was ever published to the site. THIS IS AN INFERENCE, NOT PROOF, AND THE CAVEAT IS RECORDED DELIBERATELY: there are no index-page captures at all between February 2019 and January 2021, so an edition could have been posted and replaced inside that window without leaving a trace. (FY2020's figures are nonetheless held on these sheets, recovered from the FY2021 edition's own comparative column - see FY2020_COMPARATIVE_NOTE - so for FY2020 the question is moot.)
(c) FY2009, FY2010, FY2012 and FY2013 - NO CAPTURE AT ALL. Neither the PDFs nor any index page naming them survives, so it is not known whether editions for these years were ever published.
These three states are recorded separately on purpose. 'Published but lost' closes a lead permanently; 'apparently never posted' is a rebuttable inference; 'no capture at all' is a genuine unknown.
*** UNIT-SCALE DEFECT FOUND AND FIXED 2026-09-15 - READ BEFORE COMPARING AGAINST ANY EARLIER COPY ***</t>
        </is>
      </c>
    </row>
    <row r="15" ht="234" customHeight="1">
      <c r="A15" s="8" t="inlineStr">
        <is>
          <t>(continued)
For a period earlier on 2026-09-15, every absolute-amount cell on the 11 Pillar 3 metric sheets and the RWA Breakdown sheet of this workbook was 1000x smaller than its "£'000" unit label claimed - the figures were effectively GBP MILLIONS. The symptom: FY2024 CET1 capital read 302.3 while the Balance Sheet sheet showed FY2024 Total equity as 305,356.2 under the same "£'000, conv. from USD" header - two figures that should be within a few percent of each other, three orders of magnitude apart.
CAUSE (a units-handling bug in this build script, NOT a transcription error - no source figure was ever wrong): the Annual Report statements print WHOLE DOLLARS and are transcribed that way, so stock()/flow() divide by 1,000 on top of the FX rate to reach £'000. The Pillar 3 disclosures print US$'000 and are transcribed that way, but were being passed through that same stock(), applying the divide-by-1,000 twice over to figures that were already in thousands. FIX: a separate stock_k() helper (FX conversion only, no divide by 1,000) now serves every Pillar 3 and RWA Breakdown call site; the transcribed source figures were not touched.
THE SOURCE SCALE IS EXPLICIT IN THE DOCUMENTS, not inferred. The FY2024 edition's UK KM1 and UK OV1 tables suffix every figure with a literal " k" ("Common Equity Tier 1 (CET1) capital 378,325 k"; "Total risk-weighted exposure amount 1,475,750 k") and its own footnote writes it out in prose: "the average ASF US$1,136,904k / the average RSF US$768,308k = 147.98%". The FY2015 edition heads its capital tables "US$000's". The decisive cross-check: the Bank's share capital is "136,701,620 ordinary shares of US$1", which the Annual Report carries as 136,701,620 and the Pillar 3 prints as "136,702 k" - the same money at two scales.
WHAT DID NOT CHANGE, AND WHY THE DEFECT SURVIVED SO LONG: every ratio on these sheets (CET1/Tier 1/Total Capital/Leverage/LCR/NSFR) is dimensionless, so numerator and denominator were scaled identically and every printed ratio reproduced both before and after the fix - there was no ratio symptom to catch. The statement sheets (Balance Sheet, Profit &amp; Loss, Statement of Changes in Equity, Cash Flow Statement, Asset Quality) were never affected: they are sourced from the Annual Reports in whole dollars and stock()/flow() were always correct for them. The Overview sheet carries no Pillar 3 absolute amount at all (only statement totals and ratios), so it needed no rescaling either.
FY2011 FOOTNOTE: the two Basel II capital figures on the Tier 1 Capital and Total Capital sheets were entered as 43.6 and 40.0 during the window in which the defect stood, deliberately matching the wrong scale so as not to create a mixed-unit defect inside a single sheet. They now read 43,631 and 40,002 - the figures the FY2011 edition actually prints, in GBP'000.
FY2016 PILLAR 3 RECOVERED (GA-020 cdn-sweep, 2026-09-19) - this supersedes the FY2016 half of the 'unobtainable' paragraph above. The Bank's pre-2018 site served files from /uploads/, and Common Crawl captured http://www.zenith-bank.co.uk/uploads/ZBL_Pillar_3_Disclosure_Document_2016.pdf on 2018-02-24 (crawl CC-MAIN-2018-09; WARC crawl-data/CC-MAIN-2018-09/segments/1518891815318.53/warc/CC-MAIN-20180224033332-20180224053332-00132.warc.gz, offset 592640953, length 648238; retrieve with an HTTP Range request against https://data.commoncrawl.org/). HTTP 200 application/pdf, Last-Modified 2018-01-02, 713,641 bytes = the stated Content-Length, %PDF ... %%EOF, 17 pages; title page 'ZENITH BANK (UK) LIMITED - PILLAR 3 DISCLOSURES FOR THE YEAR ENDED 31 DECEMBER 2016'. Read on the page images: p.8 s.3.3.1 names 'LCR, NSFR, Funding concentration' only as PRA standards the Bank maintains, with no figure; p.9 s.4.2 Total CET-1 capital US$192,990k (2015: 190,521) and s.4.3.1 Pillar 1 capital requirements Credit 47,135 / Market 633 / Operational 5,172 / Total 52,940 (US$000), Regulatory Available Capital 192,990; p.10 'Solvency Ratio against Pillar 1 (Available capital / Required capital)' 365% (2015: 258%) and the credit-risk capital requirement (8%) by exposure class; p.11 Pillar 2A allocation, total 94,675. It is the same pre-CRD IV Pillar 1/Pillar 2 format as FY2014/FY2015: no CET1/capital ratio, no risk-weighted amount, no leverage ratio, no LCR/NSFR figure and no MREL anywhere in its 17 pages (text layer on every page; the only image is the p.1 logo). So the FY2016 ratio, RWA, leverage, LCR and MREL cells read 'Not published' from the edition itself. The RWA is NOT derived from the requirements by dividing by 8%, following the FY2011 treatment (the FY2014/FY2015 derivation stays flagged, not extended). The 365% cover multiple is NOT a capital ratio (see the Tier 1 Ratio note). The capital AMOUNT (US$192,990k) WAS LEFT UNWRITTEN BY THAT PASS as outside its scope, which left the CRR-basis FY2016 cell blank while the Annual-Report rows beneath it carried figures. It was placed on 2026-10-07, after being re-read off a 300 dpi image of printed p.9 - see the FY2016 capital note on the CET1 Capital, Tier 1 Capital and Total Capital sheets, which also records the FY2015 restatement the same page exposes. FY2019 remains unreached: its media/2177 file was never captured by Wayback or by any of 74 Common Crawl crawls (2016-2023) of zenith-bank.co.uk/media/*, and the Azure origin zenithbank-uk.azurewebsites.net 301s to the same 404.</t>
        </is>
      </c>
    </row>
  </sheetData>
  <mergeCells count="5">
    <mergeCell ref="A15:R15"/>
    <mergeCell ref="A11:R11"/>
    <mergeCell ref="A13:R13"/>
    <mergeCell ref="A9:R9"/>
    <mergeCell ref="A8:R8"/>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R13"/>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s>
  <sheetData>
    <row r="1">
      <c r="A1" s="1" t="inlineStr">
        <is>
          <t>Zenith Bank (UK) Limited — NSFR</t>
        </is>
      </c>
    </row>
    <row r="2">
      <c r="A2" s="2" t="inlineStr">
        <is>
          <t>£'000 / % (conv. from USD)</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c r="M3" s="4" t="inlineStr">
        <is>
          <t>FY2014</t>
        </is>
      </c>
      <c r="N3" s="4" t="inlineStr">
        <is>
          <t>FY2013</t>
        </is>
      </c>
      <c r="O3" s="4" t="inlineStr">
        <is>
          <t>FY2012</t>
        </is>
      </c>
      <c r="P3" s="4" t="inlineStr">
        <is>
          <t>FY2011</t>
        </is>
      </c>
      <c r="Q3" s="4" t="inlineStr">
        <is>
          <t>FY2010</t>
        </is>
      </c>
      <c r="R3" s="4" t="inlineStr">
        <is>
          <t>FY2009</t>
        </is>
      </c>
    </row>
    <row r="4">
      <c r="A4" s="6" t="inlineStr">
        <is>
          <t>Total available stable funding</t>
        </is>
      </c>
      <c r="B4" s="6" t="n">
        <v>979280.2</v>
      </c>
      <c r="C4" s="6" t="n">
        <v>908433.1</v>
      </c>
      <c r="D4" s="6" t="n">
        <v>837951.6</v>
      </c>
      <c r="E4" s="6" t="n">
        <v>754580.5</v>
      </c>
      <c r="F4" s="6" t="n"/>
      <c r="G4" s="6" t="n"/>
      <c r="H4" s="6" t="n"/>
      <c r="I4" s="6" t="n"/>
      <c r="J4" s="6" t="n"/>
      <c r="K4" s="6" t="n"/>
      <c r="L4" s="6" t="n"/>
      <c r="M4" s="6" t="n"/>
      <c r="N4" s="6" t="n"/>
      <c r="O4" s="6" t="n"/>
      <c r="P4" s="6" t="n"/>
      <c r="Q4" s="6" t="n"/>
      <c r="R4" s="6" t="n"/>
    </row>
    <row r="5">
      <c r="A5" s="6" t="inlineStr">
        <is>
          <t>Total required stable funding</t>
        </is>
      </c>
      <c r="B5" s="6" t="n">
        <v>705265.5</v>
      </c>
      <c r="C5" s="6" t="n">
        <v>613909.7</v>
      </c>
      <c r="D5" s="6" t="n">
        <v>584650.5</v>
      </c>
      <c r="E5" s="6" t="n">
        <v>608219.4</v>
      </c>
      <c r="F5" s="6" t="n"/>
      <c r="G5" s="6" t="n"/>
      <c r="H5" s="6" t="n"/>
      <c r="I5" s="6" t="n"/>
      <c r="J5" s="6" t="n"/>
      <c r="K5" s="6" t="n"/>
      <c r="L5" s="6" t="n"/>
      <c r="M5" s="6" t="n"/>
      <c r="N5" s="6" t="n"/>
      <c r="O5" s="6" t="n"/>
      <c r="P5" s="6" t="n"/>
      <c r="Q5" s="6" t="n"/>
      <c r="R5" s="6" t="n"/>
    </row>
    <row r="6">
      <c r="A6" s="6" t="inlineStr">
        <is>
          <t>Net Stable Funding Ratio (%)</t>
        </is>
      </c>
      <c r="B6" s="6" t="inlineStr">
        <is>
          <t>138.85%</t>
        </is>
      </c>
      <c r="C6" s="6" t="inlineStr">
        <is>
          <t>147.98%</t>
        </is>
      </c>
      <c r="D6" s="6" t="inlineStr">
        <is>
          <t>143%</t>
        </is>
      </c>
      <c r="E6" s="6" t="inlineStr">
        <is>
          <t>124%</t>
        </is>
      </c>
      <c r="F6" s="6" t="inlineStr">
        <is>
          <t>Not published – FY2021 Pillar 3 s.10 p.22: NSFR 'adopted' from 1 Jan 2022 and 'will be shown in the next Pillar 3 disclosure'; no FY2021 figure printed</t>
        </is>
      </c>
      <c r="G6" s="6" t="inlineStr">
        <is>
          <t>Not applicable (pre-NSFR regime)</t>
        </is>
      </c>
      <c r="H6" s="6" t="inlineStr">
        <is>
          <t>Not applicable (pre-NSFR regime)</t>
        </is>
      </c>
      <c r="I6" s="6" t="inlineStr">
        <is>
          <t>Not applicable (pre-NSFR regime)</t>
        </is>
      </c>
      <c r="J6" s="6" t="inlineStr">
        <is>
          <t>Not applicable (pre-NSFR regime)</t>
        </is>
      </c>
      <c r="K6" s="6" t="inlineStr">
        <is>
          <t>Not applicable (pre-NSFR regime)</t>
        </is>
      </c>
      <c r="L6" s="6" t="inlineStr">
        <is>
          <t>Not applicable (pre-NSFR regime)</t>
        </is>
      </c>
      <c r="M6" s="6" t="inlineStr">
        <is>
          <t>Not applicable (pre-NSFR regime)</t>
        </is>
      </c>
      <c r="N6" s="6" t="inlineStr">
        <is>
          <t>Not applicable – no UK NSFR requirement before 1 Jan 2022 (PRA PS17/21; Bank's FY2021 Pillar 3 p.22); FY2011 Basel II Pillar 3 has none</t>
        </is>
      </c>
      <c r="O6" s="6" t="inlineStr">
        <is>
          <t>Not applicable – no UK NSFR requirement before 1 Jan 2022 (PRA PS17/21; Bank's FY2021 Pillar 3 p.22); FY2011 Basel II Pillar 3 has none</t>
        </is>
      </c>
      <c r="P6" s="6" t="inlineStr">
        <is>
          <t>Not applicable – no UK NSFR requirement before 1 Jan 2022 (PRA PS17/21; Bank's FY2021 Pillar 3 p.22); FY2011 Basel II Pillar 3 has none</t>
        </is>
      </c>
      <c r="Q6" s="6" t="inlineStr">
        <is>
          <t>Not applicable – no UK NSFR requirement before 1 Jan 2022 (PRA PS17/21; Bank's FY2021 Pillar 3 p.22); FY2011 Basel II Pillar 3 has none</t>
        </is>
      </c>
      <c r="R6" s="6" t="inlineStr">
        <is>
          <t>Not applicable – no UK NSFR requirement before 1 Jan 2022 (PRA PS17/21; Bank's FY2021 Pillar 3 p.22); FY2011 Basel II Pillar 3 has none</t>
        </is>
      </c>
    </row>
    <row r="7" ht="104" customHeight="1">
      <c r="A7" s="7" t="inlineStr">
        <is>
          <t>Note: FY2009-FY2013 'Not applicable' (2026-09-15): the NSFR did not exist as a UK requirement until 1 January 2022, so those years are structurally inapplicable, not gaps. (Plain 'Not applicable' rather than the '(Basel II)' qualifier used on the neighbouring sheets, because the NSFR post-dates CRD IV too.)
STRUCTURAL, NOT MISSING - and the Bank says so in its own words. The FY2021 Pillar 3, section 10 (p.22), states: "From 1st January 2022 the new UK Net Stable Funding Ratio (NSFR) was adopted and will be shown in the next Pillar 3 disclosure." So FY2021 and every earlier year genuinely have no NSFR to disclose, and FY2022 is correctly the first year populated. This matches the UK-wide position under PRA PS17/21: no NSFR requirement and no disclosure template existed before 1 January 2022. Re-verified 2026-09-15 by re-reading the FY2021 document in full.
FY2014-FY2020 CHANGED FROM BLANK TO 'Not applicable (pre-NSFR regime)' ON 2026-09-18 - the reason is the regulatory one just given, not a search failure, and an explicit marker stops these seven columns being re-chased as gaps. (This is the one metric in this workbook where FY2016-FY2019 do NOT get the 'Pillar 3 lost / no Pillar 3 located' wording used on the neighbouring sheets: recovering those documents would not produce an NSFR, because there was no NSFR to disclose.) Note that a FY2020 column IS now available for the other Pillar 3 metrics on this workbook (see the CET1/leverage/LCR sheets) because the FY2021 report carries a full FY2020 comparative - but that comparative contains no NSFR either, which is exactly what the adoption date predicts. The prior version of this note said no Pillar 3 document could be recovered for FY2016-FY2020; that was narrowed to FY2016-FY2019, and to FY2017-FY2019 on 2026-09-19 when the FY2016 edition was recovered from Common Crawl. The FY2016 edition contains no NSFR figure - it names NSFR only as a PRA standard the Bank maintains (printed p.8, s.3.3.1) - which does not change this row, since there was no NSFR to disclose then.</t>
        </is>
      </c>
    </row>
    <row r="9" ht="377" customHeight="1">
      <c r="A9" s="8" t="inlineStr">
        <is>
          <t>Sources - Zenith Bank (UK) Limited Pillar 3 Disclosures (UK KM1 - Key Metrics; pre-CRD IV Pillar 1/2 disclosures for FY2014-FY2015 - see methodology note below), converted from USD to £ where a $ amount (see FX conversion note on the Cash Flow Statement sheet; % ratios are unconverted):
FY2025: Pillar 3 Disclosures as at 31 Dec 2025, p.16 (Section 10, Key Metrics) - https://www.zenith-bank.co.uk/media/2290/pillar-3-zbuk-31dec25.pdf
FY2024: Pillar 3 Disclosures as at 31 Dec 2024, p.17 (Section 9, Key Metrics) - https://www.zenith-bank.co.uk/media/2274/31dec24-pillar-3-zbuk.pdf
FY2023: Pillar 3 Disclosures as at 31 Dec 2023, p.17 (Section 9, Key Metrics) - https://www.zenith-bank.co.uk/media/2260/pillar-3-31dec23-final.pdf
FY2022: Pillar 3 Disclosures as at 31 Dec 2022, p.24 (Section 10, Key Metrics) - https://www.zenith-bank.co.uk/media/2238/zbuk-31dec22-pillar-3-disclosures.pdf
FY2021: Pillar 3 Disclosures as at 31 Dec 2021, p.23 (Section 10, Key Metrics) - https://www.zenith-bank.co.uk/media/2228/31dec21-pillar-3.pdf
FY2015: Pillar 3 Disclosures 31 December 2015, p.8-9 (Section 4, Capital Adequacy Overview &amp; Resources) - http://web.archive.org/web/20161128044735id_/http://www.zenith-bank.co.uk/uploads/ZBL_Pillar_3_Disclosure_Document_2015.pdf
FY2014: Pillar 3 Disclosures 31 December 2014, p.8-9 (Section 4, Capital Adequacy Overview &amp; Resources) - http://web.archive.org/web/20160826052010id_/http://www.zenith-bank.co.uk/uploads/ZBL_Pillar_3_Disclosure_Document_2014.pdf
FY2017-FY2019 PILLAR 3 DOCUMENTS: unobtainable, and the full fetch ladder was re-run on 2026-09-18 with every rung failing, so this is a statement about ACCESS and is recorded as such. NARROWED FROM FY2016-FY2019 ON 2026-09-19 AND RE-CONFIRMED 2026-10-07: the FY2016 edition WAS recovered, from Common Crawl at the pre-2018 /uploads/ address, and its capital figure is now on the capital sheets (see the Z16 notes below). Everything in this paragraph about media/1013 remains true of that URL - the file really was deleted from the Bank's media store - and is kept because it is what sent the search to the older path. The two file names are known from archived captures of the Bank's own Pillar 3 index page - https://zenith-bank.co.uk/media/1013/zbl_pillar_3_disclosure_document_2016.pdf (named on the 2018-04-01 and 2019-02-15 captures, the older capture pointing at the pre-2018 path http://www.zenith-bank.co.uk/uploads/ZBL_Pillar_3_Disclosure_Document_2016.pdf) and https://zenith-bank.co.uk/media/2177/zenith-bank-uk-limited-pillar-3-disclosure-2019.pdf (named on the 2021-01-27 and 2021-09-19 captures). Rungs tried against each, all failing: plain curl (404 text/html), curl -L (404), curl --http1.1 -L (404), browser User-Agent with an Accept header (404); the old /uploads/ path 301-redirects to the same 404. A Wayback 'id_' raw fetch 404s for all three URLs, and a CDX enumeration of both zenith-bank.co.uk and www.zenith-bank.co.uk returns no capture of any Pillar 3 binary between the FY2015 and FY2021 editions. THIS IS NOT A STATEMENT THAT THE BANK PUBLISHED NOTHING - for FY2016 and FY2019 it demonstrably did. It is a statement that the archive failed. The capital data for these years was obtained from a completely different source family instead: see the ANNUAL-REPORT CAPITAL RECOVERY note on the capital sheets. FY2020's figures come from the FY2021 edition's own comparative column (see FY2020_COMPARATIVE_NOTE), so FY2020 needs no document of its own.
PRE-CRD IV METHODOLOGY NOTE (FY2014-FY2015 only): these two years pre-date the Bank's adoption of the modern UK KM1 template and CRD IV/Basel III concepts entirely - there is no 'CET1' concept, no Leverage Ratio, no LCR and no NSFR disclosed (LCR/NSFR minimums were not yet phased in for a firm this size; the Bank's own disclosure is a Pillar 1/Pillar 2 ICAAP-style capital adequacy summary). Because the Bank's entire capital base was ordinary share capital and audited reserves (no AT1 or Tier 2 instruments then either), its single 'Tier 1 capital' figure is shown here as CET1/Tier 1/Total Capital alike, consistent with the modern-era convention used elsewhere in this workbook - but note the figure used is the Bank's own 'Regulatory Available Capital' (post regulatory deductions, the figure actually used in its published solvency ratio), not its larger undeducted 'Total tier 1 capital per audited accounts' memo figure (FY2014: $185,197k memo vs $170,802k regulatory available; FY2015: $190,521k memo vs $188,483k regulatory available). Total RWAs for FY2014/FY2015 are derived (not directly disclosed) by dividing each disclosed Pillar 1 capital requirement by 8% (the standard Basel capital-to-RWA ratio), per component (Credit/Market/Operational Risk) and summed - FY2014's derived total ($765,350k) differs by $12.5k from an alternative derivation off the disclosed grand total capital requirement ($765,363k), a rounding artefact of the source's own component figures; the per-component sum is used throughout for internal consistency with the RWA Breakdown sheet. The resulting CET1/Tier1/Total Capital ratio (regulatory available capital / derived RWA) is NOT the same figure as the Bank's own headline 'Solvency Ratio against Pillar 1' (available capital / capital REQUIREMENT, i.e. roughly 12.5x this ratio) - both are shown in the RWA Breakdown sheet's source note for transparency.
HISTORICAL PILLAR 3 RECOVERY (2026-09-15) - FY2008 and FY2011 editions recovered from the Wayback Machine
FY2011: Zenith Bank (UK) Limited, "Pillar 3 Disclosures for the year ended 31 December 2011" (17pp, 'Reviewed May 2012'), section 4.2 Capital Resources and section 4.3 Capital Allocation, p.7-8 - https://web.archive.org/web/20130616222348id_/http://www.zenith-bank.co.uk:80/docs/ZBL_Pillar_3_Disclosure_Document_2011.pdf
FY2008: Zenith Bank (UK) Limited, "Pillar 3 Disclosures for the year ending 31 December 2008" (9pp, 'Reviewed December 2008'), section 1 Capital Adequacy Overview &amp; Resources, p.6 - https://web.archive.org/web/20090424153904id_/http://www.zenith-bank.co.uk:80/documents/ZBL_Pillar_3_Disclosure_Document.pdf
*** FY2008: RECOVERED, READ, AND DELIBERATELY NOT USED FOR ANY CELL ***
This document's cover is internally contradictory - it says 'FOR THE YEAR ENDING 31 DECEMBER 2008' but also 'Reviewed December 2008' and, on its last page, 'This Disclosure will be published in December 2008'. The contradiction was resolved from the FIGURES, not the cover, and the figures are decisive. The document's ONLY quantitative table is introduced verbatim as: "Tier 1 capital based on our 31 December 2007 audited accounts as adjusted for a GBP 15 million capital injection in May 2008 is as follows: Share capital 35,001 / Profit and loss reserve (1,473) / Total tier 1 capital 33,528" (GBP'000). Two further statements confirm it: "The disclosures should be read in conjunction with the ZBL Annual Report and Financial Statements for the corresponding financial year WHICH WILL BE PUBLISHED IN MARCH 2009", and "The disclosures herein are based on the ICAAP last approved in September 2008". So this is an in-year disclosure written before the 2008 year-end and before the 2008 accounts existed; 'for the year ending' means the year then in progress, not an as-at date. THE FIGURE IS THEREFORE NEITHER AN FY2008 NOR AN FY2007 POSITION - it is 31 December 2007 audited reserves combined with share capital that already includes a May 2008 injection. There is no year column in this workbook it can honestly occupy, and mapping it to FY2008 (or to FY2007) would misdate it. No cell was written from it. It is recorded here in full so the document is part of this workbook's record and is not re-chased as an open lead. The edition contains no RWA, no capital requirement and no ratio of any kind, so nothing further was available from it in any case.</t>
        </is>
      </c>
    </row>
    <row r="11" ht="390" customHeight="1">
      <c r="A11" s="8" t="inlineStr">
        <is>
          <t>(continued)
FY2011 - TRANSCRIBED. Cover date is unambiguous ('for the year ended 31 December 2011', reviewed May 2012) and the capital table is explicitly headed 'Tier 1 capital as at 31 December 2011 audited accounts'. Native GBP: this pre-dates the Bank's redenomination to USD, so NO FX conversion is applied to these figures (see NATIVE_GBP_YEARS on the statement sheets for the same treatment). Figures, GBP'000:
  Capital table - Share capital at 31 December 2011 35,001; Profit and loss reserve 8,630; TOTAL TIER 1 CAPITAL 43,631. The Bank states 'The Bank's entire capital base is Tier 1 capital which consists of fully issued ordinary shares satisfying all the criteria for a Tier 1 instrument (as outlined in GENPRU 2.2.83 R) and audited reserves' - so there is no AT1 and no Tier 2, by the Bank's own statement.
  Pillar 1 capital requirements - Credit Risk 18,156; Market Risk 27; Operational Risk 1,503; TOTAL 19,686. Regulatory Available Capital 40,002.
  Pillar 1 credit risk capital requirement by exposure class (each stated as 8% of the risk weighted exposure amount) - Financial Institutions 5,768; Corporates 7,461; Retail 25; Bonds 3,899; Sovereigns 896; Multilateral Development Banks 0; Fixed and other assets 107; total 18,156.
  Pillar 2 - Own Capital Assessment total 29,802 against Regulatory 19,686; capital resources at assessment date 40,002 on both bases.
NO RWA IS RECORDED FOR FY2011, AND THAT IS DELIBERATE. The edition discloses capital REQUIREMENTS, not risk-weighted amounts. Dividing each requirement by 8% would produce a total RWA of 246,075 - but that is a derivation, and this project's standing rule is to transcribe only what a document states directly. The requirement figures are preserved verbatim above instead. READ THIS ALONGSIDE THE PRE-CRD IV METHODOLOGY NOTE BELOW: the FY2014/FY2015 Total RWA figures already on these sheets WERE produced by exactly that division, in an earlier pass. That pre-existing derivation is left untouched here (removing populated data is not this pass's call) but it is flagged, and it was deliberately NOT propagated backwards to FY2011.
*** CAPITAL-COVER RATIO TRAP - WHY FY2011's RATIO CELLS ARE 'Not publicly disclosed' RATHER THAN 203% ***
The FY2011 edition prints 'Solvency Ratio against Pillar 1 203%' and, in its Pillar 2 table, 'Capital Adequacy Ratio 203% / 134%'. These are NOT CRR-style capital ratios. The source annotates the first one itself: '(capital divided by Total amount)', i.e. available capital divided by the capital REQUIREMENT - a capital-cover multiple of roughly 12.5x a true capital/RWA ratio. Writing 203% into the Total Capital Ratio sheet would overstate the Bank's capitalisation by an order of magnitude. This exact mistake has been caught three separate times elsewhere in this project. The ratio cells for FY2011 are therefore 'Not publicly disclosed', and the 203%/134% figures live here in the note where they cannot be mistaken for CRR ratios.
TWO FY2011 CAPITAL FIGURES, BOTH CARRIED, NEITHER PREFERRED SILENTLY. 'Total tier 1 capital' per the audited accounts is 43,631; 'Regulatory Available Capital' (post regulatory deductions) is 40,002. Both are on their own rows on the capital sheets. A DATING CAVEAT ON THE SECOND ONE, recorded because it could not be resolved from the document: the Pillar 2 table labels the same 40,002 'Capital resources (AT ASSESSMENT DATE)', not as at 31 December 2011, and 40,002 is also - to the GBP'000 - this workbook's FY2010 closing Total equity of GBP 40,002,338. That may be coincidence or it may mean the ICAAP assessment was run off the FY2010 year-end position. The document does not say, so no conclusion is asserted; the 43,631 figure is the one the document explicitly dates to 31 December 2011.
VALIDATION GATE - PASSED CLEANLY, ACROSS THREE YEARS. The FY2011 edition's operational-risk table (section 4.3.3) prints three full years of actual income in GBP, and every single line reproduces this workbook's Profit &amp; Loss sheet to the pound: 2011 interest receivable 11,927,839 / interest payable (3,564,624) / net interest income 8,363,215 / fees and commissions 2,827,687 / exchange profits 859,674 / OPERATING INCOME 12,050,576; 2010 8,243,082 / (1,269,122) / 6,973,960 / 2,106,201 / 288,424 / 9,368,585; 2009 8,943,064 / (3,027,983) / 5,915,081 / 2,050,411 / 681,633 / 8,647,125. That independently corroborates the FY2009-FY2011 P&amp;L figures recovered from Companies House under HD-073, from a completely separate document. ONE SMALL DIVERGENCE, documented not corrected: the Pillar 3's 'Profit and loss reserve 8,630' against this workbook's FY2011 retained earnings of 8,623,795 (a GBP 6.2k gap that simple rounding to GBP'000 does not explain - 8,623,795 rounds to 8,624), and correspondingly 'Total tier 1 capital 43,631' against Total equity 43,624,795. Share capital agrees exactly at 35,001. Neither figure was overwritten.
*** ARCHIVE STATUS OF THE REMAINING YEARS - three genuinely different statements, kept distinct ***
(a) FY2016 and FY2019 - PUBLISHED BUT LOST. These editions demonstrably existed: archived captures of the Bank's own Pillar 3 index page name the files. But the PDFs themselves 404 on the live site and were never captured by any crawler. This is a stronger and more useful statement than 'not found': the disclosure was made, and it is the archive that failed, so no amount of further searching of the Bank's own site will recover it. Second pass 2026-09-19 also tried archive.ph, Wayback CDX of every Zenith domain without the PDF mimetype filter, the following year's Annual Report for a comparative, the parent Zenith Bank Plc's Pillar 3 (no separate UK-entity disclosure in what is readable; live copies 403, archived copies truncated) and a web search - all negative.
(b) FY2017, FY2018 and FY2020 - APPARENTLY NEVER POSTED. The Bank's index page only ever displayed the single latest edition, and it still showed FY2016 as at February 2019 and still showed FY2019 as at September 2021 - which implies no FY2017, FY2018 or FY2020 edition was ever published to the site. THIS IS AN INFERENCE, NOT PROOF, AND THE CAVEAT IS RECORDED DELIBERATELY: there are no index-page captures at all between February 2019 and January 2021, so an edition could have been posted and replaced inside that window without leaving a trace. (FY2020's figures are nonetheless held on these sheets, recovered from the FY2021 edition's own comparative column - see FY2020_COMPARATIVE_NOTE - so for FY2020 the question is moot.)
(c) FY2009, FY2010, FY2012 and FY2013 - NO CAPTURE AT ALL. Neither the PDFs nor any index page naming them survives, so it is not known whether editions for these years were ever published.
These three states are recorded separately on purpose. 'Published but lost' closes a lead permanently; 'apparently never posted' is a rebuttable inference; 'no capture at all' is a genuine unknown.
*** UNIT-SCALE DEFECT FOUND AND FIXED 2026-09-15 - READ BEFORE COMPARING AGAINST ANY EARLIER COPY ***</t>
        </is>
      </c>
    </row>
    <row r="13" ht="234" customHeight="1">
      <c r="A13" s="8" t="inlineStr">
        <is>
          <t>(continued)
For a period earlier on 2026-09-15, every absolute-amount cell on the 11 Pillar 3 metric sheets and the RWA Breakdown sheet of this workbook was 1000x smaller than its "£'000" unit label claimed - the figures were effectively GBP MILLIONS. The symptom: FY2024 CET1 capital read 302.3 while the Balance Sheet sheet showed FY2024 Total equity as 305,356.2 under the same "£'000, conv. from USD" header - two figures that should be within a few percent of each other, three orders of magnitude apart.
CAUSE (a units-handling bug in this build script, NOT a transcription error - no source figure was ever wrong): the Annual Report statements print WHOLE DOLLARS and are transcribed that way, so stock()/flow() divide by 1,000 on top of the FX rate to reach £'000. The Pillar 3 disclosures print US$'000 and are transcribed that way, but were being passed through that same stock(), applying the divide-by-1,000 twice over to figures that were already in thousands. FIX: a separate stock_k() helper (FX conversion only, no divide by 1,000) now serves every Pillar 3 and RWA Breakdown call site; the transcribed source figures were not touched.
THE SOURCE SCALE IS EXPLICIT IN THE DOCUMENTS, not inferred. The FY2024 edition's UK KM1 and UK OV1 tables suffix every figure with a literal " k" ("Common Equity Tier 1 (CET1) capital 378,325 k"; "Total risk-weighted exposure amount 1,475,750 k") and its own footnote writes it out in prose: "the average ASF US$1,136,904k / the average RSF US$768,308k = 147.98%". The FY2015 edition heads its capital tables "US$000's". The decisive cross-check: the Bank's share capital is "136,701,620 ordinary shares of US$1", which the Annual Report carries as 136,701,620 and the Pillar 3 prints as "136,702 k" - the same money at two scales.
WHAT DID NOT CHANGE, AND WHY THE DEFECT SURVIVED SO LONG: every ratio on these sheets (CET1/Tier 1/Total Capital/Leverage/LCR/NSFR) is dimensionless, so numerator and denominator were scaled identically and every printed ratio reproduced both before and after the fix - there was no ratio symptom to catch. The statement sheets (Balance Sheet, Profit &amp; Loss, Statement of Changes in Equity, Cash Flow Statement, Asset Quality) were never affected: they are sourced from the Annual Reports in whole dollars and stock()/flow() were always correct for them. The Overview sheet carries no Pillar 3 absolute amount at all (only statement totals and ratios), so it needed no rescaling either.
FY2011 FOOTNOTE: the two Basel II capital figures on the Tier 1 Capital and Total Capital sheets were entered as 43.6 and 40.0 during the window in which the defect stood, deliberately matching the wrong scale so as not to create a mixed-unit defect inside a single sheet. They now read 43,631 and 40,002 - the figures the FY2011 edition actually prints, in GBP'000.
FY2016 PILLAR 3 RECOVERED (GA-020 cdn-sweep, 2026-09-19) - this supersedes the FY2016 half of the 'unobtainable' paragraph above. The Bank's pre-2018 site served files from /uploads/, and Common Crawl captured http://www.zenith-bank.co.uk/uploads/ZBL_Pillar_3_Disclosure_Document_2016.pdf on 2018-02-24 (crawl CC-MAIN-2018-09; WARC crawl-data/CC-MAIN-2018-09/segments/1518891815318.53/warc/CC-MAIN-20180224033332-20180224053332-00132.warc.gz, offset 592640953, length 648238; retrieve with an HTTP Range request against https://data.commoncrawl.org/). HTTP 200 application/pdf, Last-Modified 2018-01-02, 713,641 bytes = the stated Content-Length, %PDF ... %%EOF, 17 pages; title page 'ZENITH BANK (UK) LIMITED - PILLAR 3 DISCLOSURES FOR THE YEAR ENDED 31 DECEMBER 2016'. Read on the page images: p.8 s.3.3.1 names 'LCR, NSFR, Funding concentration' only as PRA standards the Bank maintains, with no figure; p.9 s.4.2 Total CET-1 capital US$192,990k (2015: 190,521) and s.4.3.1 Pillar 1 capital requirements Credit 47,135 / Market 633 / Operational 5,172 / Total 52,940 (US$000), Regulatory Available Capital 192,990; p.10 'Solvency Ratio against Pillar 1 (Available capital / Required capital)' 365% (2015: 258%) and the credit-risk capital requirement (8%) by exposure class; p.11 Pillar 2A allocation, total 94,675. It is the same pre-CRD IV Pillar 1/Pillar 2 format as FY2014/FY2015: no CET1/capital ratio, no risk-weighted amount, no leverage ratio, no LCR/NSFR figure and no MREL anywhere in its 17 pages (text layer on every page; the only image is the p.1 logo). So the FY2016 ratio, RWA, leverage, LCR and MREL cells read 'Not published' from the edition itself. The RWA is NOT derived from the requirements by dividing by 8%, following the FY2011 treatment (the FY2014/FY2015 derivation stays flagged, not extended). The 365% cover multiple is NOT a capital ratio (see the Tier 1 Ratio note). The capital AMOUNT (US$192,990k) WAS LEFT UNWRITTEN BY THAT PASS as outside its scope, which left the CRR-basis FY2016 cell blank while the Annual-Report rows beneath it carried figures. It was placed on 2026-10-07, after being re-read off a 300 dpi image of printed p.9 - see the FY2016 capital note on the CET1 Capital, Tier 1 Capital and Total Capital sheets, which also records the FY2015 restatement the same page exposes. FY2019 remains unreached: its media/2177 file was never captured by Wayback or by any of 74 Common Crawl crawls (2016-2023) of zenith-bank.co.uk/media/*, and the Azure origin zenithbank-uk.azurewebsites.net 301s to the same 404.</t>
        </is>
      </c>
    </row>
  </sheetData>
  <mergeCells count="4">
    <mergeCell ref="A13:R13"/>
    <mergeCell ref="A11:R11"/>
    <mergeCell ref="A7:R7"/>
    <mergeCell ref="A9:R9"/>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R11"/>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s>
  <sheetData>
    <row r="1">
      <c r="A1" s="1" t="inlineStr">
        <is>
          <t>Zenith Bank (UK) Limited — MREL Ratio</t>
        </is>
      </c>
    </row>
    <row r="2">
      <c r="A2" s="2" t="inlineStr"/>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c r="M3" s="4" t="inlineStr">
        <is>
          <t>FY2014</t>
        </is>
      </c>
      <c r="N3" s="4" t="inlineStr">
        <is>
          <t>FY2013</t>
        </is>
      </c>
      <c r="O3" s="4" t="inlineStr">
        <is>
          <t>FY2012</t>
        </is>
      </c>
      <c r="P3" s="4" t="inlineStr">
        <is>
          <t>FY2011</t>
        </is>
      </c>
      <c r="Q3" s="4" t="inlineStr">
        <is>
          <t>FY2010</t>
        </is>
      </c>
      <c r="R3" s="4" t="inlineStr">
        <is>
          <t>FY2009</t>
        </is>
      </c>
    </row>
    <row r="4">
      <c r="A4" s="6" t="inlineStr">
        <is>
          <t>MREL Ratio</t>
        </is>
      </c>
      <c r="B4" s="6" t="inlineStr">
        <is>
          <t>Not published – Zenith UK FY2025 Pillar 3 has no MREL/eligible-liabilities figure or KM2 (text probe 0 hits, 2026-09-19)</t>
        </is>
      </c>
      <c r="C4" s="6" t="inlineStr">
        <is>
          <t>Not published – Zenith UK FY2024 Pillar 3 has no MREL/eligible-liabilities figure or KM2 (text probe 0 hits, 2026-09-19)</t>
        </is>
      </c>
      <c r="D4" s="6" t="inlineStr">
        <is>
          <t>Not published – Zenith UK FY2023 Pillar 3 has no MREL/eligible-liabilities figure or KM2 (text probe 0 hits, 2026-09-19)</t>
        </is>
      </c>
      <c r="E4" s="6" t="inlineStr">
        <is>
          <t>Not published – Zenith UK FY2022 Pillar 3 has no MREL/eligible-liabilities figure or KM2 (text probe 0 hits, 2026-09-19)</t>
        </is>
      </c>
      <c r="F4" s="6" t="inlineStr">
        <is>
          <t>Not published – Zenith UK FY2021 Pillar 3 has no MREL/eligible-liabilities figure or KM2 (text probe 0 hits, 2026-09-19)</t>
        </is>
      </c>
      <c r="G4" s="6" t="inlineStr">
        <is>
          <t>Not published – no MREL in FY2021 Pillar 3 (carries FY2020 comparatives) or FY2020 Annual Report (text probe 0 hits, 2026-09-19)</t>
        </is>
      </c>
      <c r="H4" s="6" t="inlineStr">
        <is>
          <t>Unreached today – FY2019 Pillar 3 named on archived index page; PDF 404 live; no copy in Wayback, archive.ph, Common Crawl (74 crawls) or the Azure origin host (2026-09-19); FY2019/FY2020 ARs print none</t>
        </is>
      </c>
      <c r="I4" s="6" t="inlineStr">
        <is>
          <t>Not disclosed (no Pillar 3 located; Annual Report prints none)</t>
        </is>
      </c>
      <c r="J4" s="6" t="inlineStr">
        <is>
          <t>Not disclosed (no Pillar 3 located; Annual Report prints none)</t>
        </is>
      </c>
      <c r="K4" s="6" t="inlineStr">
        <is>
          <t>Not published – FY2016 Pillar 3 (recovered via Common Crawl, 17pp) has no MREL or eligible-liabilities figure</t>
        </is>
      </c>
      <c r="L4" s="6" t="inlineStr">
        <is>
          <t>Not published – Zenith UK FY2015 Pillar 3 has no MREL/eligible-liabilities figure or KM2 (text probe 0 hits, 2026-09-19)</t>
        </is>
      </c>
      <c r="M4" s="6" t="inlineStr">
        <is>
          <t>Not published – Zenith UK FY2014 Pillar 3 has no MREL/eligible-liabilities figure or KM2 (text probe 0 hits, 2026-09-19)</t>
        </is>
      </c>
      <c r="N4" s="6" t="inlineStr">
        <is>
          <t>Not applicable (pre-dates MREL regime)</t>
        </is>
      </c>
      <c r="O4" s="6" t="inlineStr">
        <is>
          <t>Not applicable (pre-dates MREL regime)</t>
        </is>
      </c>
      <c r="P4" s="6" t="inlineStr">
        <is>
          <t>Not applicable (pre-dates MREL regime)</t>
        </is>
      </c>
      <c r="Q4" s="6" t="inlineStr">
        <is>
          <t>Not applicable (pre-dates MREL regime)</t>
        </is>
      </c>
      <c r="R4" s="6" t="inlineStr">
        <is>
          <t>Not applicable (pre-dates MREL regime)</t>
        </is>
      </c>
    </row>
    <row r="5" ht="39" customHeight="1">
      <c r="A5" s="7" t="inlineStr">
        <is>
          <t>Note: No MREL disclosure (numeric or qualitative) or UK KM2 template found in any year's Pillar 3 report - not explicitly stated as an exemption, but consistent with the Bank's small size relative to typical MREL-in-scope thresholds. MREL did not exist as a UK regime for FY2014-FY2020 in any case.
FY2009-FY2013 changed from 'Not publicly disclosed' to 'Not applicable (pre-dates MREL regime)' 2026-09-15: MREL was introduced by the BRRD and had no UK existence in those years, so those cells are structurally inapplicable rather than a disclosure gap. The recovered FY2011 Basel II edition contains no occurrence of 'MREL'.</t>
        </is>
      </c>
    </row>
    <row r="7" ht="377" customHeight="1">
      <c r="A7" s="8" t="inlineStr">
        <is>
          <t>Sources - Zenith Bank (UK) Limited Pillar 3 Disclosures (UK KM1 - Key Metrics; pre-CRD IV Pillar 1/2 disclosures for FY2014-FY2015 - see methodology note below), converted from USD to £ where a $ amount (see FX conversion note on the Cash Flow Statement sheet; % ratios are unconverted):
FY2025: Pillar 3 Disclosures as at 31 Dec 2025, p.16 (Section 10, Key Metrics) - https://www.zenith-bank.co.uk/media/2290/pillar-3-zbuk-31dec25.pdf
FY2024: Pillar 3 Disclosures as at 31 Dec 2024, p.17 (Section 9, Key Metrics) - https://www.zenith-bank.co.uk/media/2274/31dec24-pillar-3-zbuk.pdf
FY2023: Pillar 3 Disclosures as at 31 Dec 2023, p.17 (Section 9, Key Metrics) - https://www.zenith-bank.co.uk/media/2260/pillar-3-31dec23-final.pdf
FY2022: Pillar 3 Disclosures as at 31 Dec 2022, p.24 (Section 10, Key Metrics) - https://www.zenith-bank.co.uk/media/2238/zbuk-31dec22-pillar-3-disclosures.pdf
FY2021: Pillar 3 Disclosures as at 31 Dec 2021, p.23 (Section 10, Key Metrics) - https://www.zenith-bank.co.uk/media/2228/31dec21-pillar-3.pdf
FY2015: Pillar 3 Disclosures 31 December 2015, p.8-9 (Section 4, Capital Adequacy Overview &amp; Resources) - http://web.archive.org/web/20161128044735id_/http://www.zenith-bank.co.uk/uploads/ZBL_Pillar_3_Disclosure_Document_2015.pdf
FY2014: Pillar 3 Disclosures 31 December 2014, p.8-9 (Section 4, Capital Adequacy Overview &amp; Resources) - http://web.archive.org/web/20160826052010id_/http://www.zenith-bank.co.uk/uploads/ZBL_Pillar_3_Disclosure_Document_2014.pdf
FY2017-FY2019 PILLAR 3 DOCUMENTS: unobtainable, and the full fetch ladder was re-run on 2026-09-18 with every rung failing, so this is a statement about ACCESS and is recorded as such. NARROWED FROM FY2016-FY2019 ON 2026-09-19 AND RE-CONFIRMED 2026-10-07: the FY2016 edition WAS recovered, from Common Crawl at the pre-2018 /uploads/ address, and its capital figure is now on the capital sheets (see the Z16 notes below). Everything in this paragraph about media/1013 remains true of that URL - the file really was deleted from the Bank's media store - and is kept because it is what sent the search to the older path. The two file names are known from archived captures of the Bank's own Pillar 3 index page - https://zenith-bank.co.uk/media/1013/zbl_pillar_3_disclosure_document_2016.pdf (named on the 2018-04-01 and 2019-02-15 captures, the older capture pointing at the pre-2018 path http://www.zenith-bank.co.uk/uploads/ZBL_Pillar_3_Disclosure_Document_2016.pdf) and https://zenith-bank.co.uk/media/2177/zenith-bank-uk-limited-pillar-3-disclosure-2019.pdf (named on the 2021-01-27 and 2021-09-19 captures). Rungs tried against each, all failing: plain curl (404 text/html), curl -L (404), curl --http1.1 -L (404), browser User-Agent with an Accept header (404); the old /uploads/ path 301-redirects to the same 404. A Wayback 'id_' raw fetch 404s for all three URLs, and a CDX enumeration of both zenith-bank.co.uk and www.zenith-bank.co.uk returns no capture of any Pillar 3 binary between the FY2015 and FY2021 editions. THIS IS NOT A STATEMENT THAT THE BANK PUBLISHED NOTHING - for FY2016 and FY2019 it demonstrably did. It is a statement that the archive failed. The capital data for these years was obtained from a completely different source family instead: see the ANNUAL-REPORT CAPITAL RECOVERY note on the capital sheets. FY2020's figures come from the FY2021 edition's own comparative column (see FY2020_COMPARATIVE_NOTE), so FY2020 needs no document of its own.
PRE-CRD IV METHODOLOGY NOTE (FY2014-FY2015 only): these two years pre-date the Bank's adoption of the modern UK KM1 template and CRD IV/Basel III concepts entirely - there is no 'CET1' concept, no Leverage Ratio, no LCR and no NSFR disclosed (LCR/NSFR minimums were not yet phased in for a firm this size; the Bank's own disclosure is a Pillar 1/Pillar 2 ICAAP-style capital adequacy summary). Because the Bank's entire capital base was ordinary share capital and audited reserves (no AT1 or Tier 2 instruments then either), its single 'Tier 1 capital' figure is shown here as CET1/Tier 1/Total Capital alike, consistent with the modern-era convention used elsewhere in this workbook - but note the figure used is the Bank's own 'Regulatory Available Capital' (post regulatory deductions, the figure actually used in its published solvency ratio), not its larger undeducted 'Total tier 1 capital per audited accounts' memo figure (FY2014: $185,197k memo vs $170,802k regulatory available; FY2015: $190,521k memo vs $188,483k regulatory available). Total RWAs for FY2014/FY2015 are derived (not directly disclosed) by dividing each disclosed Pillar 1 capital requirement by 8% (the standard Basel capital-to-RWA ratio), per component (Credit/Market/Operational Risk) and summed - FY2014's derived total ($765,350k) differs by $12.5k from an alternative derivation off the disclosed grand total capital requirement ($765,363k), a rounding artefact of the source's own component figures; the per-component sum is used throughout for internal consistency with the RWA Breakdown sheet. The resulting CET1/Tier1/Total Capital ratio (regulatory available capital / derived RWA) is NOT the same figure as the Bank's own headline 'Solvency Ratio against Pillar 1' (available capital / capital REQUIREMENT, i.e. roughly 12.5x this ratio) - both are shown in the RWA Breakdown sheet's source note for transparency.
HISTORICAL PILLAR 3 RECOVERY (2026-09-15) - FY2008 and FY2011 editions recovered from the Wayback Machine
FY2011: Zenith Bank (UK) Limited, "Pillar 3 Disclosures for the year ended 31 December 2011" (17pp, 'Reviewed May 2012'), section 4.2 Capital Resources and section 4.3 Capital Allocation, p.7-8 - https://web.archive.org/web/20130616222348id_/http://www.zenith-bank.co.uk:80/docs/ZBL_Pillar_3_Disclosure_Document_2011.pdf
FY2008: Zenith Bank (UK) Limited, "Pillar 3 Disclosures for the year ending 31 December 2008" (9pp, 'Reviewed December 2008'), section 1 Capital Adequacy Overview &amp; Resources, p.6 - https://web.archive.org/web/20090424153904id_/http://www.zenith-bank.co.uk:80/documents/ZBL_Pillar_3_Disclosure_Document.pdf
*** FY2008: RECOVERED, READ, AND DELIBERATELY NOT USED FOR ANY CELL ***
This document's cover is internally contradictory - it says 'FOR THE YEAR ENDING 31 DECEMBER 2008' but also 'Reviewed December 2008' and, on its last page, 'This Disclosure will be published in December 2008'. The contradiction was resolved from the FIGURES, not the cover, and the figures are decisive. The document's ONLY quantitative table is introduced verbatim as: "Tier 1 capital based on our 31 December 2007 audited accounts as adjusted for a GBP 15 million capital injection in May 2008 is as follows: Share capital 35,001 / Profit and loss reserve (1,473) / Total tier 1 capital 33,528" (GBP'000). Two further statements confirm it: "The disclosures should be read in conjunction with the ZBL Annual Report and Financial Statements for the corresponding financial year WHICH WILL BE PUBLISHED IN MARCH 2009", and "The disclosures herein are based on the ICAAP last approved in September 2008". So this is an in-year disclosure written before the 2008 year-end and before the 2008 accounts existed; 'for the year ending' means the year then in progress, not an as-at date. THE FIGURE IS THEREFORE NEITHER AN FY2008 NOR AN FY2007 POSITION - it is 31 December 2007 audited reserves combined with share capital that already includes a May 2008 injection. There is no year column in this workbook it can honestly occupy, and mapping it to FY2008 (or to FY2007) would misdate it. No cell was written from it. It is recorded here in full so the document is part of this workbook's record and is not re-chased as an open lead. The edition contains no RWA, no capital requirement and no ratio of any kind, so nothing further was available from it in any case.</t>
        </is>
      </c>
    </row>
    <row r="9" ht="390" customHeight="1">
      <c r="A9" s="8" t="inlineStr">
        <is>
          <t>(continued)
FY2011 - TRANSCRIBED. Cover date is unambiguous ('for the year ended 31 December 2011', reviewed May 2012) and the capital table is explicitly headed 'Tier 1 capital as at 31 December 2011 audited accounts'. Native GBP: this pre-dates the Bank's redenomination to USD, so NO FX conversion is applied to these figures (see NATIVE_GBP_YEARS on the statement sheets for the same treatment). Figures, GBP'000:
  Capital table - Share capital at 31 December 2011 35,001; Profit and loss reserve 8,630; TOTAL TIER 1 CAPITAL 43,631. The Bank states 'The Bank's entire capital base is Tier 1 capital which consists of fully issued ordinary shares satisfying all the criteria for a Tier 1 instrument (as outlined in GENPRU 2.2.83 R) and audited reserves' - so there is no AT1 and no Tier 2, by the Bank's own statement.
  Pillar 1 capital requirements - Credit Risk 18,156; Market Risk 27; Operational Risk 1,503; TOTAL 19,686. Regulatory Available Capital 40,002.
  Pillar 1 credit risk capital requirement by exposure class (each stated as 8% of the risk weighted exposure amount) - Financial Institutions 5,768; Corporates 7,461; Retail 25; Bonds 3,899; Sovereigns 896; Multilateral Development Banks 0; Fixed and other assets 107; total 18,156.
  Pillar 2 - Own Capital Assessment total 29,802 against Regulatory 19,686; capital resources at assessment date 40,002 on both bases.
NO RWA IS RECORDED FOR FY2011, AND THAT IS DELIBERATE. The edition discloses capital REQUIREMENTS, not risk-weighted amounts. Dividing each requirement by 8% would produce a total RWA of 246,075 - but that is a derivation, and this project's standing rule is to transcribe only what a document states directly. The requirement figures are preserved verbatim above instead. READ THIS ALONGSIDE THE PRE-CRD IV METHODOLOGY NOTE BELOW: the FY2014/FY2015 Total RWA figures already on these sheets WERE produced by exactly that division, in an earlier pass. That pre-existing derivation is left untouched here (removing populated data is not this pass's call) but it is flagged, and it was deliberately NOT propagated backwards to FY2011.
*** CAPITAL-COVER RATIO TRAP - WHY FY2011's RATIO CELLS ARE 'Not publicly disclosed' RATHER THAN 203% ***
The FY2011 edition prints 'Solvency Ratio against Pillar 1 203%' and, in its Pillar 2 table, 'Capital Adequacy Ratio 203% / 134%'. These are NOT CRR-style capital ratios. The source annotates the first one itself: '(capital divided by Total amount)', i.e. available capital divided by the capital REQUIREMENT - a capital-cover multiple of roughly 12.5x a true capital/RWA ratio. Writing 203% into the Total Capital Ratio sheet would overstate the Bank's capitalisation by an order of magnitude. This exact mistake has been caught three separate times elsewhere in this project. The ratio cells for FY2011 are therefore 'Not publicly disclosed', and the 203%/134% figures live here in the note where they cannot be mistaken for CRR ratios.
TWO FY2011 CAPITAL FIGURES, BOTH CARRIED, NEITHER PREFERRED SILENTLY. 'Total tier 1 capital' per the audited accounts is 43,631; 'Regulatory Available Capital' (post regulatory deductions) is 40,002. Both are on their own rows on the capital sheets. A DATING CAVEAT ON THE SECOND ONE, recorded because it could not be resolved from the document: the Pillar 2 table labels the same 40,002 'Capital resources (AT ASSESSMENT DATE)', not as at 31 December 2011, and 40,002 is also - to the GBP'000 - this workbook's FY2010 closing Total equity of GBP 40,002,338. That may be coincidence or it may mean the ICAAP assessment was run off the FY2010 year-end position. The document does not say, so no conclusion is asserted; the 43,631 figure is the one the document explicitly dates to 31 December 2011.
VALIDATION GATE - PASSED CLEANLY, ACROSS THREE YEARS. The FY2011 edition's operational-risk table (section 4.3.3) prints three full years of actual income in GBP, and every single line reproduces this workbook's Profit &amp; Loss sheet to the pound: 2011 interest receivable 11,927,839 / interest payable (3,564,624) / net interest income 8,363,215 / fees and commissions 2,827,687 / exchange profits 859,674 / OPERATING INCOME 12,050,576; 2010 8,243,082 / (1,269,122) / 6,973,960 / 2,106,201 / 288,424 / 9,368,585; 2009 8,943,064 / (3,027,983) / 5,915,081 / 2,050,411 / 681,633 / 8,647,125. That independently corroborates the FY2009-FY2011 P&amp;L figures recovered from Companies House under HD-073, from a completely separate document. ONE SMALL DIVERGENCE, documented not corrected: the Pillar 3's 'Profit and loss reserve 8,630' against this workbook's FY2011 retained earnings of 8,623,795 (a GBP 6.2k gap that simple rounding to GBP'000 does not explain - 8,623,795 rounds to 8,624), and correspondingly 'Total tier 1 capital 43,631' against Total equity 43,624,795. Share capital agrees exactly at 35,001. Neither figure was overwritten.
*** ARCHIVE STATUS OF THE REMAINING YEARS - three genuinely different statements, kept distinct ***
(a) FY2016 and FY2019 - PUBLISHED BUT LOST. These editions demonstrably existed: archived captures of the Bank's own Pillar 3 index page name the files. But the PDFs themselves 404 on the live site and were never captured by any crawler. This is a stronger and more useful statement than 'not found': the disclosure was made, and it is the archive that failed, so no amount of further searching of the Bank's own site will recover it. Second pass 2026-09-19 also tried archive.ph, Wayback CDX of every Zenith domain without the PDF mimetype filter, the following year's Annual Report for a comparative, the parent Zenith Bank Plc's Pillar 3 (no separate UK-entity disclosure in what is readable; live copies 403, archived copies truncated) and a web search - all negative.
(b) FY2017, FY2018 and FY2020 - APPARENTLY NEVER POSTED. The Bank's index page only ever displayed the single latest edition, and it still showed FY2016 as at February 2019 and still showed FY2019 as at September 2021 - which implies no FY2017, FY2018 or FY2020 edition was ever published to the site. THIS IS AN INFERENCE, NOT PROOF, AND THE CAVEAT IS RECORDED DELIBERATELY: there are no index-page captures at all between February 2019 and January 2021, so an edition could have been posted and replaced inside that window without leaving a trace. (FY2020's figures are nonetheless held on these sheets, recovered from the FY2021 edition's own comparative column - see FY2020_COMPARATIVE_NOTE - so for FY2020 the question is moot.)
(c) FY2009, FY2010, FY2012 and FY2013 - NO CAPTURE AT ALL. Neither the PDFs nor any index page naming them survives, so it is not known whether editions for these years were ever published.
These three states are recorded separately on purpose. 'Published but lost' closes a lead permanently; 'apparently never posted' is a rebuttable inference; 'no capture at all' is a genuine unknown.
*** UNIT-SCALE DEFECT FOUND AND FIXED 2026-09-15 - READ BEFORE COMPARING AGAINST ANY EARLIER COPY ***</t>
        </is>
      </c>
    </row>
    <row r="11" ht="234" customHeight="1">
      <c r="A11" s="8" t="inlineStr">
        <is>
          <t>(continued)
For a period earlier on 2026-09-15, every absolute-amount cell on the 11 Pillar 3 metric sheets and the RWA Breakdown sheet of this workbook was 1000x smaller than its "£'000" unit label claimed - the figures were effectively GBP MILLIONS. The symptom: FY2024 CET1 capital read 302.3 while the Balance Sheet sheet showed FY2024 Total equity as 305,356.2 under the same "£'000, conv. from USD" header - two figures that should be within a few percent of each other, three orders of magnitude apart.
CAUSE (a units-handling bug in this build script, NOT a transcription error - no source figure was ever wrong): the Annual Report statements print WHOLE DOLLARS and are transcribed that way, so stock()/flow() divide by 1,000 on top of the FX rate to reach £'000. The Pillar 3 disclosures print US$'000 and are transcribed that way, but were being passed through that same stock(), applying the divide-by-1,000 twice over to figures that were already in thousands. FIX: a separate stock_k() helper (FX conversion only, no divide by 1,000) now serves every Pillar 3 and RWA Breakdown call site; the transcribed source figures were not touched.
THE SOURCE SCALE IS EXPLICIT IN THE DOCUMENTS, not inferred. The FY2024 edition's UK KM1 and UK OV1 tables suffix every figure with a literal " k" ("Common Equity Tier 1 (CET1) capital 378,325 k"; "Total risk-weighted exposure amount 1,475,750 k") and its own footnote writes it out in prose: "the average ASF US$1,136,904k / the average RSF US$768,308k = 147.98%". The FY2015 edition heads its capital tables "US$000's". The decisive cross-check: the Bank's share capital is "136,701,620 ordinary shares of US$1", which the Annual Report carries as 136,701,620 and the Pillar 3 prints as "136,702 k" - the same money at two scales.
WHAT DID NOT CHANGE, AND WHY THE DEFECT SURVIVED SO LONG: every ratio on these sheets (CET1/Tier 1/Total Capital/Leverage/LCR/NSFR) is dimensionless, so numerator and denominator were scaled identically and every printed ratio reproduced both before and after the fix - there was no ratio symptom to catch. The statement sheets (Balance Sheet, Profit &amp; Loss, Statement of Changes in Equity, Cash Flow Statement, Asset Quality) were never affected: they are sourced from the Annual Reports in whole dollars and stock()/flow() were always correct for them. The Overview sheet carries no Pillar 3 absolute amount at all (only statement totals and ratios), so it needed no rescaling either.
FY2011 FOOTNOTE: the two Basel II capital figures on the Tier 1 Capital and Total Capital sheets were entered as 43.6 and 40.0 during the window in which the defect stood, deliberately matching the wrong scale so as not to create a mixed-unit defect inside a single sheet. They now read 43,631 and 40,002 - the figures the FY2011 edition actually prints, in GBP'000.
FY2016 PILLAR 3 RECOVERED (GA-020 cdn-sweep, 2026-09-19) - this supersedes the FY2016 half of the 'unobtainable' paragraph above. The Bank's pre-2018 site served files from /uploads/, and Common Crawl captured http://www.zenith-bank.co.uk/uploads/ZBL_Pillar_3_Disclosure_Document_2016.pdf on 2018-02-24 (crawl CC-MAIN-2018-09; WARC crawl-data/CC-MAIN-2018-09/segments/1518891815318.53/warc/CC-MAIN-20180224033332-20180224053332-00132.warc.gz, offset 592640953, length 648238; retrieve with an HTTP Range request against https://data.commoncrawl.org/). HTTP 200 application/pdf, Last-Modified 2018-01-02, 713,641 bytes = the stated Content-Length, %PDF ... %%EOF, 17 pages; title page 'ZENITH BANK (UK) LIMITED - PILLAR 3 DISCLOSURES FOR THE YEAR ENDED 31 DECEMBER 2016'. Read on the page images: p.8 s.3.3.1 names 'LCR, NSFR, Funding concentration' only as PRA standards the Bank maintains, with no figure; p.9 s.4.2 Total CET-1 capital US$192,990k (2015: 190,521) and s.4.3.1 Pillar 1 capital requirements Credit 47,135 / Market 633 / Operational 5,172 / Total 52,940 (US$000), Regulatory Available Capital 192,990; p.10 'Solvency Ratio against Pillar 1 (Available capital / Required capital)' 365% (2015: 258%) and the credit-risk capital requirement (8%) by exposure class; p.11 Pillar 2A allocation, total 94,675. It is the same pre-CRD IV Pillar 1/Pillar 2 format as FY2014/FY2015: no CET1/capital ratio, no risk-weighted amount, no leverage ratio, no LCR/NSFR figure and no MREL anywhere in its 17 pages (text layer on every page; the only image is the p.1 logo). So the FY2016 ratio, RWA, leverage, LCR and MREL cells read 'Not published' from the edition itself. The RWA is NOT derived from the requirements by dividing by 8%, following the FY2011 treatment (the FY2014/FY2015 derivation stays flagged, not extended). The 365% cover multiple is NOT a capital ratio (see the Tier 1 Ratio note). The capital AMOUNT (US$192,990k) WAS LEFT UNWRITTEN BY THAT PASS as outside its scope, which left the CRR-basis FY2016 cell blank while the Annual-Report rows beneath it carried figures. It was placed on 2026-10-07, after being re-read off a 300 dpi image of printed p.9 - see the FY2016 capital note on the CET1 Capital, Tier 1 Capital and Total Capital sheets, which also records the FY2015 restatement the same page exposes. FY2019 remains unreached: its media/2177 file was never captured by Wayback or by any of 74 Common Crawl crawls (2016-2023) of zenith-bank.co.uk/media/*, and the Azure origin zenithbank-uk.azurewebsites.net 301s to the same 404.</t>
        </is>
      </c>
    </row>
  </sheetData>
  <mergeCells count="4">
    <mergeCell ref="A11:R11"/>
    <mergeCell ref="A5:R5"/>
    <mergeCell ref="A7:R7"/>
    <mergeCell ref="A9:R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2026-10-26T09:36:20Z</dcterms:created>
  <dcterms:modified xmlns:dcterms="http://purl.org/dc/terms/" xmlns:xsi="http://www.w3.org/2001/XMLSchema-instance" xsi:type="dcterms:W3CDTF">2026-10-26T09:36:21Z</dcterms:modified>
</cp:coreProperties>
</file>