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CW6" t="inlineStr">
        <is>
          <t>CET1 Ratio</t>
        </is>
      </c>
      <c r="DC6" t="n">
        <v>22.32</v>
      </c>
      <c r="DD6" t="n">
        <v>20.38</v>
      </c>
      <c r="DJ6" t="n">
        <v>20.78</v>
      </c>
      <c r="DK6" t="n">
        <v>25.84</v>
      </c>
      <c r="DL6" t="n">
        <v>28.95</v>
      </c>
      <c r="DM6" t="n">
        <v>25.64</v>
      </c>
      <c r="DN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CW7" t="inlineStr">
        <is>
          <t>Tier 1 Ratio</t>
        </is>
      </c>
      <c r="DC7" t="n">
        <v>22.32</v>
      </c>
      <c r="DD7" t="n">
        <v>20.38</v>
      </c>
      <c r="DJ7" t="n">
        <v>20.78</v>
      </c>
      <c r="DK7" t="n">
        <v>25.84</v>
      </c>
      <c r="DL7" t="n">
        <v>28.95</v>
      </c>
      <c r="DM7" t="n">
        <v>25.64</v>
      </c>
      <c r="DN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CW8" t="inlineStr">
        <is>
          <t>Total Capital Ratio</t>
        </is>
      </c>
      <c r="DC8" t="n">
        <v>22.32</v>
      </c>
      <c r="DD8" t="n">
        <v>20.38</v>
      </c>
      <c r="DJ8" t="n">
        <v>20.78</v>
      </c>
      <c r="DK8" t="n">
        <v>25.84</v>
      </c>
      <c r="DL8" t="n">
        <v>28.95</v>
      </c>
      <c r="DM8" t="n">
        <v>25.64</v>
      </c>
      <c r="DN8" t="n">
        <v>23.4</v>
      </c>
    </row>
    <row r="9">
      <c r="CW9" t="inlineStr">
        <is>
          <t>Leverage Ratio</t>
        </is>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n"/>
      <c r="H30" s="6" t="n"/>
      <c r="I30" s="6" t="n"/>
      <c r="J30" s="6" t="n"/>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n"/>
      <c r="H31" s="6" t="n"/>
      <c r="I31" s="6" t="n"/>
      <c r="J31" s="6" t="n"/>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n"/>
      <c r="H32" s="6" t="n"/>
      <c r="I32" s="6" t="n"/>
      <c r="J32" s="6" t="n"/>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n"/>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FY2021 LCR (276%) is deliberately omitted from this at-a-glance row: it is a point-in-time year-end figure, whereas FY2022 onward are 12-month simple averages, and the two are not comparable on a single trend line. Both bases are shown, on separate rows, on the LCR sheet itself.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c r="N24" s="6" t="n"/>
      <c r="O24" s="6" t="n"/>
      <c r="P24" s="6" t="n"/>
      <c r="Q24" s="6" t="n"/>
      <c r="R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c r="N25" s="6" t="n"/>
      <c r="O25" s="6" t="n"/>
      <c r="P25" s="6" t="n"/>
      <c r="Q25" s="6" t="n"/>
      <c r="R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c r="N26" s="6" t="n"/>
      <c r="O26" s="6" t="n"/>
      <c r="P26" s="6" t="n"/>
      <c r="Q26" s="6" t="n"/>
      <c r="R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c r="N27" s="6" t="n">
        <v>3533</v>
      </c>
      <c r="O27" s="6" t="n">
        <v>2401</v>
      </c>
      <c r="P27" s="6" t="n">
        <v>2542.9</v>
      </c>
      <c r="Q27" s="6" t="n">
        <v>1589.8</v>
      </c>
      <c r="R27" s="6" t="n">
        <v>1598.7</v>
      </c>
    </row>
    <row r="28">
      <c r="A28" s="6" t="inlineStr">
        <is>
          <t>Provision</t>
        </is>
      </c>
      <c r="B28" s="6" t="n"/>
      <c r="C28" s="6" t="n">
        <v>135.4</v>
      </c>
      <c r="D28" s="6" t="n"/>
      <c r="E28" s="6" t="n"/>
      <c r="F28" s="6" t="n"/>
      <c r="G28" s="6" t="n"/>
      <c r="H28" s="6" t="n"/>
      <c r="I28" s="6" t="n"/>
      <c r="J28" s="6" t="n"/>
      <c r="K28" s="6" t="n"/>
      <c r="L28" s="6" t="n"/>
      <c r="M28" s="6" t="n"/>
      <c r="N28" s="6" t="n"/>
      <c r="O28" s="6" t="n"/>
      <c r="P28" s="6" t="n"/>
      <c r="Q28" s="6" t="n"/>
      <c r="R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c r="N29" s="5" t="n">
        <v>775487.5</v>
      </c>
      <c r="O29" s="5" t="n">
        <v>544227.6</v>
      </c>
      <c r="P29" s="5" t="n">
        <v>453417.1</v>
      </c>
      <c r="Q29" s="5" t="n">
        <v>369843.2</v>
      </c>
      <c r="R29" s="5" t="n">
        <v>393259.7</v>
      </c>
    </row>
    <row r="30">
      <c r="A30" s="5" t="inlineStr">
        <is>
          <t>Equity</t>
        </is>
      </c>
      <c r="B30" s="6" t="n"/>
      <c r="C30" s="6" t="n"/>
      <c r="D30" s="6" t="n"/>
      <c r="E30" s="6" t="n"/>
      <c r="F30" s="6" t="n"/>
      <c r="G30" s="6" t="n"/>
      <c r="H30" s="6" t="n"/>
      <c r="I30" s="6" t="n"/>
      <c r="J30" s="6" t="n"/>
      <c r="K30" s="6" t="n"/>
      <c r="L30" s="6" t="n"/>
      <c r="M30" s="6" t="n"/>
      <c r="N30" s="6" t="n"/>
      <c r="O30" s="6" t="n"/>
      <c r="P30" s="6" t="n"/>
      <c r="Q30" s="6" t="n"/>
      <c r="R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c r="N31" s="6" t="n">
        <v>53459.1</v>
      </c>
      <c r="O31" s="6" t="n">
        <v>53459.1</v>
      </c>
      <c r="P31" s="6" t="n">
        <v>35001</v>
      </c>
      <c r="Q31" s="6" t="n">
        <v>35001</v>
      </c>
      <c r="R31" s="6" t="n">
        <v>35001</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c r="N32" s="6" t="n"/>
      <c r="O32" s="6" t="n"/>
      <c r="P32" s="6" t="n"/>
      <c r="Q32" s="6" t="n"/>
      <c r="R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c r="N33" s="6" t="n">
        <v>21049.9</v>
      </c>
      <c r="O33" s="6" t="n">
        <v>13377</v>
      </c>
      <c r="P33" s="6" t="n">
        <v>8623.799999999999</v>
      </c>
      <c r="Q33" s="6" t="n">
        <v>5001.3</v>
      </c>
      <c r="R33" s="6" t="n">
        <v>2384.2</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c r="N34" s="5" t="n">
        <v>74509</v>
      </c>
      <c r="O34" s="5" t="n">
        <v>66836.10000000001</v>
      </c>
      <c r="P34" s="5" t="n">
        <v>43624.8</v>
      </c>
      <c r="Q34" s="5" t="n">
        <v>40002.3</v>
      </c>
      <c r="R34" s="5" t="n">
        <v>37385.2</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c r="N35" s="5" t="n">
        <v>849996.5</v>
      </c>
      <c r="O35" s="5" t="n">
        <v>611063.7</v>
      </c>
      <c r="P35" s="5" t="n">
        <v>497041.9</v>
      </c>
      <c r="Q35" s="5" t="n">
        <v>409845.5</v>
      </c>
      <c r="R35" s="5" t="n">
        <v>430644.9</v>
      </c>
    </row>
    <row r="37" ht="34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7:R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c r="N11" s="6" t="n"/>
      <c r="O11" s="6" t="n"/>
      <c r="P11" s="6" t="n"/>
      <c r="Q11" s="6" t="n"/>
      <c r="R11" s="6" t="n"/>
    </row>
    <row r="12">
      <c r="A12" s="6" t="inlineStr">
        <is>
          <t>Net loss on derecognition of financial instruments</t>
        </is>
      </c>
      <c r="B12" s="6" t="n"/>
      <c r="C12" s="6" t="n">
        <v>-5856.7</v>
      </c>
      <c r="D12" s="6" t="n"/>
      <c r="E12" s="6" t="n"/>
      <c r="F12" s="6" t="n"/>
      <c r="G12" s="6" t="n"/>
      <c r="H12" s="6" t="n"/>
      <c r="I12" s="6" t="n"/>
      <c r="J12" s="6" t="n"/>
      <c r="K12" s="6" t="n"/>
      <c r="L12" s="6" t="n"/>
      <c r="M12" s="6" t="n"/>
      <c r="N12" s="6" t="n"/>
      <c r="O12" s="6" t="n"/>
      <c r="P12" s="6" t="n"/>
      <c r="Q12" s="6" t="n"/>
      <c r="R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c r="N13" s="6" t="n"/>
      <c r="O13" s="6" t="n"/>
      <c r="P13" s="6" t="n"/>
      <c r="Q13" s="6" t="n"/>
      <c r="R13" s="6" t="n"/>
    </row>
    <row r="14">
      <c r="A14" s="6" t="inlineStr">
        <is>
          <t>Exchange differences</t>
        </is>
      </c>
      <c r="B14" s="6" t="n"/>
      <c r="C14" s="6" t="n">
        <v>1929.4</v>
      </c>
      <c r="D14" s="6" t="n">
        <v>-1138.2</v>
      </c>
      <c r="E14" s="6" t="n">
        <v>3526.4</v>
      </c>
      <c r="F14" s="6" t="n"/>
      <c r="G14" s="6" t="n"/>
      <c r="H14" s="6" t="n"/>
      <c r="I14" s="6" t="n"/>
      <c r="J14" s="6" t="n"/>
      <c r="K14" s="6" t="n"/>
      <c r="L14" s="6" t="n"/>
      <c r="M14" s="6" t="n"/>
      <c r="N14" s="6" t="n"/>
      <c r="O14" s="6" t="n"/>
      <c r="P14" s="6" t="n"/>
      <c r="Q14" s="6" t="n"/>
      <c r="R14" s="6" t="n"/>
    </row>
    <row r="15">
      <c r="A15" s="6" t="inlineStr">
        <is>
          <t>Revaluation loss</t>
        </is>
      </c>
      <c r="B15" s="6" t="n"/>
      <c r="C15" s="6" t="n"/>
      <c r="D15" s="6" t="n"/>
      <c r="E15" s="6" t="n"/>
      <c r="F15" s="6" t="n">
        <v>-3130.1</v>
      </c>
      <c r="G15" s="6" t="n">
        <v>-1698.3</v>
      </c>
      <c r="H15" s="6" t="n"/>
      <c r="I15" s="6" t="n"/>
      <c r="J15" s="6" t="n"/>
      <c r="K15" s="6" t="n"/>
      <c r="L15" s="6" t="n"/>
      <c r="M15" s="6" t="n"/>
      <c r="N15" s="6" t="n"/>
      <c r="O15" s="6" t="n"/>
      <c r="P15" s="6" t="n"/>
      <c r="Q15" s="6" t="n"/>
      <c r="R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c r="N16" s="5" t="n">
        <v>18433.1</v>
      </c>
      <c r="O16" s="5" t="n">
        <v>14445</v>
      </c>
      <c r="P16" s="5" t="n">
        <v>12050.6</v>
      </c>
      <c r="Q16" s="5" t="n">
        <v>9368.6</v>
      </c>
      <c r="R16" s="5" t="n">
        <v>8647.1</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c r="N17" s="6" t="n">
        <v>-5188.6</v>
      </c>
      <c r="O17" s="6" t="n">
        <v>-4630.8</v>
      </c>
      <c r="P17" s="6" t="n">
        <v>-4336.1</v>
      </c>
      <c r="Q17" s="6" t="n"/>
      <c r="R17" s="6" t="n"/>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c r="N18" s="6" t="n">
        <v>-761.4</v>
      </c>
      <c r="O18" s="6" t="n">
        <v>-584.1</v>
      </c>
      <c r="P18" s="6" t="n"/>
      <c r="Q18" s="6" t="n"/>
      <c r="R18" s="6" t="n"/>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c r="N19" s="6" t="n">
        <v>-2423.3</v>
      </c>
      <c r="O19" s="6" t="n">
        <v>-2302</v>
      </c>
      <c r="P19" s="6" t="n">
        <v>-2609.5</v>
      </c>
      <c r="Q19" s="6" t="n">
        <v>-5690.3</v>
      </c>
      <c r="R19" s="6" t="n">
        <v>-5394.8</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c r="N20" s="5" t="n">
        <v>-8373.299999999999</v>
      </c>
      <c r="O20" s="5" t="n">
        <v>-7516.9</v>
      </c>
      <c r="P20" s="5" t="n">
        <v>-6945.6</v>
      </c>
      <c r="Q20" s="5" t="n">
        <v>-5690.3</v>
      </c>
      <c r="R20" s="5" t="n">
        <v>-5394.8</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c r="N21" s="5" t="n">
        <v>10059.7</v>
      </c>
      <c r="O21" s="5" t="n">
        <v>6928.1</v>
      </c>
      <c r="P21" s="5" t="n">
        <v>5105</v>
      </c>
      <c r="Q21" s="5" t="n">
        <v>3678.2</v>
      </c>
      <c r="R21" s="5" t="n">
        <v>3252.3</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c r="N22" s="6" t="n"/>
      <c r="O22" s="6" t="n"/>
      <c r="P22" s="6" t="n"/>
      <c r="Q22" s="6" t="n"/>
      <c r="R22" s="6" t="n"/>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c r="N23" s="5" t="n">
        <v>10059.7</v>
      </c>
      <c r="O23" s="5" t="n">
        <v>6928.1</v>
      </c>
      <c r="P23" s="5" t="n">
        <v>5105</v>
      </c>
      <c r="Q23" s="5" t="n">
        <v>3678.2</v>
      </c>
      <c r="R23" s="5" t="n">
        <v>3252.3</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c r="N24" s="6" t="n">
        <v>-2386.8</v>
      </c>
      <c r="O24" s="6" t="n">
        <v>-1696.1</v>
      </c>
      <c r="P24" s="6" t="n">
        <v>-1482.5</v>
      </c>
      <c r="Q24" s="6" t="n">
        <v>-1061.1</v>
      </c>
      <c r="R24" s="6" t="n">
        <v>-910.7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c r="N25" s="5" t="n">
        <v>7672.9</v>
      </c>
      <c r="O25" s="5" t="n">
        <v>5232</v>
      </c>
      <c r="P25" s="5" t="n">
        <v>3622.5</v>
      </c>
      <c r="Q25" s="5" t="n">
        <v>2617.2</v>
      </c>
      <c r="R25" s="5" t="n">
        <v>2341.7</v>
      </c>
    </row>
    <row r="26">
      <c r="A26" s="5" t="inlineStr">
        <is>
          <t>Other comprehensive income</t>
        </is>
      </c>
      <c r="B26" s="6" t="n"/>
      <c r="C26" s="6" t="n"/>
      <c r="D26" s="6" t="n"/>
      <c r="E26" s="6" t="n"/>
      <c r="F26" s="6" t="n"/>
      <c r="G26" s="6" t="n"/>
      <c r="H26" s="6" t="n"/>
      <c r="I26" s="6" t="n"/>
      <c r="J26" s="6" t="n"/>
      <c r="K26" s="6" t="n"/>
      <c r="L26" s="6" t="n"/>
      <c r="M26" s="6" t="n"/>
      <c r="N26" s="6" t="n"/>
      <c r="O26" s="6" t="n"/>
      <c r="P26" s="6" t="n"/>
      <c r="Q26" s="6" t="n"/>
      <c r="R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c r="N27" s="6" t="n"/>
      <c r="O27" s="6" t="n"/>
      <c r="P27" s="6" t="n"/>
      <c r="Q27" s="6" t="n"/>
      <c r="R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c r="N28" s="6" t="n"/>
      <c r="O28" s="6" t="n"/>
      <c r="P28" s="6" t="n"/>
      <c r="Q28" s="6" t="n"/>
      <c r="R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c r="N29" s="6" t="n"/>
      <c r="O29" s="6" t="n"/>
      <c r="P29" s="6" t="n"/>
      <c r="Q29" s="6" t="n"/>
      <c r="R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c r="N30" s="6" t="n"/>
      <c r="O30" s="6" t="n"/>
      <c r="P30" s="6" t="n"/>
      <c r="Q30" s="6" t="n"/>
      <c r="R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c r="N31" s="6" t="n"/>
      <c r="O31" s="6" t="n"/>
      <c r="P31" s="6" t="n"/>
      <c r="Q31" s="6" t="n"/>
      <c r="R31" s="6" t="n"/>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c r="N32" s="5" t="n">
        <v>0</v>
      </c>
      <c r="O32" s="5" t="n">
        <v>0</v>
      </c>
      <c r="P32" s="5" t="n">
        <v>0</v>
      </c>
      <c r="Q32" s="5" t="n">
        <v>0</v>
      </c>
      <c r="R32" s="5" t="n">
        <v>0</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c r="N33" s="5" t="n">
        <v>7672.9</v>
      </c>
      <c r="O33" s="5" t="n">
        <v>5232</v>
      </c>
      <c r="P33" s="5" t="n">
        <v>3622.5</v>
      </c>
      <c r="Q33" s="5" t="n">
        <v>2617.2</v>
      </c>
      <c r="R33" s="5" t="n">
        <v>2341.7</v>
      </c>
    </row>
    <row r="35" ht="42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5:R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2024. No FY2009-FY2011 movement shown (no Statement of Changes in Equity disclosed those years - see HD-073 extension note).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50" ht="460" customHeight="1">
      <c r="A50"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0:F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c r="P5" s="6" t="n"/>
      <c r="Q5" s="6" t="n"/>
      <c r="R5" s="6" t="n"/>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c r="N6" s="6" t="n"/>
      <c r="O6" s="6" t="n"/>
      <c r="P6" s="6" t="n"/>
      <c r="Q6" s="6" t="n"/>
      <c r="R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c r="N7" s="6" t="n">
        <v>413.8</v>
      </c>
      <c r="O7" s="6" t="n">
        <v>255.3</v>
      </c>
      <c r="P7" s="6" t="n"/>
      <c r="Q7" s="6" t="n"/>
      <c r="R7" s="6" t="n"/>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c r="N8" s="6" t="n">
        <v>347.6</v>
      </c>
      <c r="O8" s="6" t="n">
        <v>328.7</v>
      </c>
      <c r="P8" s="6" t="n"/>
      <c r="Q8" s="6" t="n"/>
      <c r="R8" s="6" t="n"/>
    </row>
    <row r="9">
      <c r="A9" s="6" t="inlineStr">
        <is>
          <t>Interest expense on Right-of-use lease obligations</t>
        </is>
      </c>
      <c r="B9" s="6" t="n"/>
      <c r="C9" s="6" t="n">
        <v>271.3</v>
      </c>
      <c r="D9" s="6" t="n">
        <v>14.7</v>
      </c>
      <c r="E9" s="6" t="n"/>
      <c r="F9" s="6" t="n">
        <v>35.8</v>
      </c>
      <c r="G9" s="6" t="n">
        <v>31</v>
      </c>
      <c r="H9" s="6" t="n"/>
      <c r="I9" s="6" t="n"/>
      <c r="J9" s="6" t="n"/>
      <c r="K9" s="6" t="n"/>
      <c r="L9" s="6" t="n"/>
      <c r="M9" s="6" t="n"/>
      <c r="N9" s="6" t="n"/>
      <c r="O9" s="6" t="n"/>
      <c r="P9" s="6" t="n"/>
      <c r="Q9" s="6" t="n"/>
      <c r="R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c r="P10" s="6" t="n"/>
      <c r="Q10" s="6" t="n"/>
      <c r="R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c r="P11" s="6" t="n"/>
      <c r="Q11" s="6" t="n"/>
      <c r="R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c r="P12" s="6" t="n"/>
      <c r="Q12" s="6" t="n"/>
      <c r="R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c r="P13" s="6" t="n"/>
      <c r="Q13" s="6" t="n"/>
      <c r="R13" s="6" t="n"/>
    </row>
    <row r="14">
      <c r="A14" s="6" t="inlineStr">
        <is>
          <t>Recoveries of bad debts written off</t>
        </is>
      </c>
      <c r="B14" s="6" t="n"/>
      <c r="C14" s="6" t="n"/>
      <c r="D14" s="6" t="n"/>
      <c r="E14" s="6" t="n">
        <v>-55.9</v>
      </c>
      <c r="F14" s="6" t="n"/>
      <c r="G14" s="6" t="n"/>
      <c r="H14" s="6" t="n"/>
      <c r="I14" s="6" t="n"/>
      <c r="J14" s="6" t="n"/>
      <c r="K14" s="6" t="n"/>
      <c r="L14" s="6" t="n"/>
      <c r="M14" s="6" t="n"/>
      <c r="N14" s="6" t="n"/>
      <c r="O14" s="6" t="n"/>
      <c r="P14" s="6" t="n"/>
      <c r="Q14" s="6" t="n"/>
      <c r="R14" s="6" t="n"/>
    </row>
    <row r="15">
      <c r="A15" s="6" t="inlineStr">
        <is>
          <t>Current income tax expense</t>
        </is>
      </c>
      <c r="B15" s="6" t="n"/>
      <c r="C15" s="6" t="n">
        <v>10603.7</v>
      </c>
      <c r="D15" s="6" t="n">
        <v>14265.6</v>
      </c>
      <c r="E15" s="6" t="n">
        <v>7636.1</v>
      </c>
      <c r="F15" s="6" t="n">
        <v>1623.1</v>
      </c>
      <c r="G15" s="6" t="n"/>
      <c r="H15" s="6" t="n"/>
      <c r="I15" s="6" t="n"/>
      <c r="J15" s="6" t="n"/>
      <c r="K15" s="6" t="n"/>
      <c r="L15" s="6" t="n"/>
      <c r="M15" s="6" t="n"/>
      <c r="N15" s="6" t="n"/>
      <c r="O15" s="6" t="n"/>
      <c r="P15" s="6" t="n"/>
      <c r="Q15" s="6" t="n"/>
      <c r="R15" s="6" t="n"/>
    </row>
    <row r="16">
      <c r="A16" s="6" t="inlineStr">
        <is>
          <t>Deferred income tax expense</t>
        </is>
      </c>
      <c r="B16" s="6" t="n"/>
      <c r="C16" s="6" t="n">
        <v>373.9</v>
      </c>
      <c r="D16" s="6" t="n">
        <v>169.8</v>
      </c>
      <c r="E16" s="6" t="n">
        <v>194</v>
      </c>
      <c r="F16" s="6" t="n"/>
      <c r="G16" s="6" t="n"/>
      <c r="H16" s="6" t="n"/>
      <c r="I16" s="6" t="n"/>
      <c r="J16" s="6" t="n"/>
      <c r="K16" s="6" t="n"/>
      <c r="L16" s="6" t="n"/>
      <c r="M16" s="6" t="n"/>
      <c r="N16" s="6" t="n"/>
      <c r="O16" s="6" t="n"/>
      <c r="P16" s="6" t="n"/>
      <c r="Q16" s="6" t="n"/>
      <c r="R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c r="P17" s="6" t="n"/>
      <c r="Q17" s="6" t="n"/>
      <c r="R17" s="6" t="n"/>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c r="P18" s="6" t="n"/>
      <c r="Q18" s="6" t="n"/>
      <c r="R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c r="P19" s="6" t="n"/>
      <c r="Q19" s="6" t="n"/>
      <c r="R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c r="P20" s="6" t="n"/>
      <c r="Q20" s="6" t="n"/>
      <c r="R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c r="P21" s="6" t="n"/>
      <c r="Q21" s="6" t="n"/>
      <c r="R21" s="6" t="n"/>
    </row>
    <row r="22">
      <c r="A22" s="6" t="inlineStr">
        <is>
          <t>Deferred tax asset write-off (legacy)</t>
        </is>
      </c>
      <c r="B22" s="6" t="n"/>
      <c r="C22" s="6" t="n"/>
      <c r="D22" s="6" t="n">
        <v>1</v>
      </c>
      <c r="E22" s="6" t="n"/>
      <c r="F22" s="6" t="n"/>
      <c r="G22" s="6" t="n"/>
      <c r="H22" s="6" t="n"/>
      <c r="I22" s="6" t="n"/>
      <c r="J22" s="6" t="n"/>
      <c r="K22" s="6" t="n"/>
      <c r="L22" s="6" t="n"/>
      <c r="M22" s="6" t="n"/>
      <c r="N22" s="6" t="n"/>
      <c r="O22" s="6" t="n"/>
      <c r="P22" s="6" t="n"/>
      <c r="Q22" s="6" t="n"/>
      <c r="R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c r="P23" s="6" t="n"/>
      <c r="Q23" s="6" t="n"/>
      <c r="R23" s="6" t="n"/>
    </row>
    <row r="24">
      <c r="A24" s="6" t="inlineStr">
        <is>
          <t>Interest income</t>
        </is>
      </c>
      <c r="B24" s="6" t="n"/>
      <c r="C24" s="6" t="n">
        <v>-117726.2</v>
      </c>
      <c r="D24" s="6" t="n">
        <v>-118993.4</v>
      </c>
      <c r="E24" s="6" t="n">
        <v>-63895.8</v>
      </c>
      <c r="F24" s="6" t="n"/>
      <c r="G24" s="6" t="n"/>
      <c r="H24" s="6" t="n"/>
      <c r="I24" s="6" t="n"/>
      <c r="J24" s="6" t="n"/>
      <c r="K24" s="6" t="n"/>
      <c r="L24" s="6" t="n"/>
      <c r="M24" s="6" t="n"/>
      <c r="N24" s="6" t="n"/>
      <c r="O24" s="6" t="n"/>
      <c r="P24" s="6" t="n"/>
      <c r="Q24" s="6" t="n"/>
      <c r="R24" s="6" t="n"/>
    </row>
    <row r="25">
      <c r="A25" s="6" t="inlineStr">
        <is>
          <t>Interest expense</t>
        </is>
      </c>
      <c r="B25" s="6" t="n"/>
      <c r="C25" s="6" t="n">
        <v>54600</v>
      </c>
      <c r="D25" s="6" t="n">
        <v>41618.2</v>
      </c>
      <c r="E25" s="6" t="n">
        <v>12130.6</v>
      </c>
      <c r="F25" s="6" t="n"/>
      <c r="G25" s="6" t="n"/>
      <c r="H25" s="6" t="n"/>
      <c r="I25" s="6" t="n"/>
      <c r="J25" s="6" t="n"/>
      <c r="K25" s="6" t="n"/>
      <c r="L25" s="6" t="n"/>
      <c r="M25" s="6" t="n"/>
      <c r="N25" s="6" t="n"/>
      <c r="O25" s="6" t="n"/>
      <c r="P25" s="6" t="n"/>
      <c r="Q25" s="6" t="n"/>
      <c r="R25" s="6" t="n"/>
    </row>
    <row r="26">
      <c r="A26" s="6" t="inlineStr">
        <is>
          <t>Fair value movement on securities measured at FVTPL</t>
        </is>
      </c>
      <c r="B26" s="6" t="n"/>
      <c r="C26" s="6" t="n">
        <v>54.1</v>
      </c>
      <c r="D26" s="6" t="n"/>
      <c r="E26" s="6" t="n"/>
      <c r="F26" s="6" t="n"/>
      <c r="G26" s="6" t="n"/>
      <c r="H26" s="6" t="n"/>
      <c r="I26" s="6" t="n"/>
      <c r="J26" s="6" t="n"/>
      <c r="K26" s="6" t="n"/>
      <c r="L26" s="6" t="n"/>
      <c r="M26" s="6" t="n"/>
      <c r="N26" s="6" t="n"/>
      <c r="O26" s="6" t="n"/>
      <c r="P26" s="6" t="n"/>
      <c r="Q26" s="6" t="n"/>
      <c r="R26" s="6" t="n"/>
    </row>
    <row r="27">
      <c r="A27" s="6" t="inlineStr">
        <is>
          <t>Fair value movement on derivative contracts</t>
        </is>
      </c>
      <c r="B27" s="6" t="n"/>
      <c r="C27" s="6" t="n">
        <v>2705.2</v>
      </c>
      <c r="D27" s="6" t="n"/>
      <c r="E27" s="6" t="n"/>
      <c r="F27" s="6" t="n"/>
      <c r="G27" s="6" t="n"/>
      <c r="H27" s="6" t="n"/>
      <c r="I27" s="6" t="n"/>
      <c r="J27" s="6" t="n"/>
      <c r="K27" s="6" t="n"/>
      <c r="L27" s="6" t="n"/>
      <c r="M27" s="6" t="n"/>
      <c r="N27" s="6" t="n"/>
      <c r="O27" s="6" t="n"/>
      <c r="P27" s="6" t="n"/>
      <c r="Q27" s="6" t="n"/>
      <c r="R27" s="6" t="n"/>
    </row>
    <row r="28">
      <c r="A28" s="6" t="inlineStr">
        <is>
          <t>Unrealised foreign exchange (gains)/losses</t>
        </is>
      </c>
      <c r="B28" s="6" t="n"/>
      <c r="C28" s="6" t="n">
        <v>-1929.4</v>
      </c>
      <c r="D28" s="6" t="n"/>
      <c r="E28" s="6" t="n"/>
      <c r="F28" s="6" t="n"/>
      <c r="G28" s="6" t="n"/>
      <c r="H28" s="6" t="n"/>
      <c r="I28" s="6" t="n"/>
      <c r="J28" s="6" t="n"/>
      <c r="K28" s="6" t="n"/>
      <c r="L28" s="6" t="n"/>
      <c r="M28" s="6" t="n"/>
      <c r="N28" s="6" t="n"/>
      <c r="O28" s="6" t="n"/>
      <c r="P28" s="6" t="n"/>
      <c r="Q28" s="6" t="n"/>
      <c r="R28" s="6" t="n"/>
    </row>
    <row r="29">
      <c r="A29" s="6" t="inlineStr">
        <is>
          <t>Loss on derecognition of assets</t>
        </is>
      </c>
      <c r="B29" s="6" t="n"/>
      <c r="C29" s="6" t="n">
        <v>5856.7</v>
      </c>
      <c r="D29" s="6" t="n"/>
      <c r="E29" s="6" t="n"/>
      <c r="F29" s="6" t="n"/>
      <c r="G29" s="6" t="n"/>
      <c r="H29" s="6" t="n"/>
      <c r="I29" s="6" t="n"/>
      <c r="J29" s="6" t="n"/>
      <c r="K29" s="6" t="n"/>
      <c r="L29" s="6" t="n"/>
      <c r="M29" s="6" t="n"/>
      <c r="N29" s="6" t="n"/>
      <c r="O29" s="6" t="n"/>
      <c r="P29" s="6" t="n"/>
      <c r="Q29" s="6" t="n"/>
      <c r="R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c r="P30" s="6" t="n"/>
      <c r="Q30" s="6" t="n"/>
      <c r="R30" s="6" t="n"/>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c r="P31" s="6" t="n"/>
      <c r="Q31" s="6" t="n"/>
      <c r="R31" s="6" t="n"/>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c r="P32" s="6" t="n"/>
      <c r="Q32" s="6" t="n"/>
      <c r="R32" s="6" t="n"/>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c r="N33" s="6" t="n"/>
      <c r="O33" s="6" t="n"/>
      <c r="P33" s="6" t="n"/>
      <c r="Q33" s="6" t="n"/>
      <c r="R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c r="P34" s="6" t="n"/>
      <c r="Q34" s="6" t="n"/>
      <c r="R34" s="6" t="n"/>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c r="P35" s="6" t="n"/>
      <c r="Q35" s="6" t="n"/>
      <c r="R35" s="6" t="n"/>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c r="P36" s="6" t="n"/>
      <c r="Q36" s="6" t="n"/>
      <c r="R36" s="6" t="n"/>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c r="N37" s="6" t="n"/>
      <c r="O37" s="6" t="n"/>
      <c r="P37" s="6" t="n"/>
      <c r="Q37" s="6" t="n"/>
      <c r="R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c r="P38" s="6" t="n"/>
      <c r="Q38" s="6" t="n"/>
      <c r="R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c r="P39" s="6" t="n"/>
      <c r="Q39" s="6" t="n"/>
      <c r="R39" s="6" t="n"/>
    </row>
    <row r="40">
      <c r="A40" s="6" t="inlineStr">
        <is>
          <t>Interest income received</t>
        </is>
      </c>
      <c r="B40" s="6" t="n"/>
      <c r="C40" s="6" t="n">
        <v>81396.60000000001</v>
      </c>
      <c r="D40" s="6" t="n">
        <v>109627</v>
      </c>
      <c r="E40" s="6" t="n">
        <v>70337.7</v>
      </c>
      <c r="F40" s="6" t="n"/>
      <c r="G40" s="6" t="n"/>
      <c r="H40" s="6" t="n"/>
      <c r="I40" s="6" t="n"/>
      <c r="J40" s="6" t="n"/>
      <c r="K40" s="6" t="n"/>
      <c r="L40" s="6" t="n"/>
      <c r="M40" s="6" t="n"/>
      <c r="N40" s="6" t="n"/>
      <c r="O40" s="6" t="n"/>
      <c r="P40" s="6" t="n"/>
      <c r="Q40" s="6" t="n"/>
      <c r="R40" s="6" t="n"/>
    </row>
    <row r="41">
      <c r="A41" s="6" t="inlineStr">
        <is>
          <t>Interest expense paid</t>
        </is>
      </c>
      <c r="B41" s="6" t="n"/>
      <c r="C41" s="6" t="n">
        <v>-41972.7</v>
      </c>
      <c r="D41" s="6" t="n">
        <v>-35626.4</v>
      </c>
      <c r="E41" s="6" t="n">
        <v>-10111.2</v>
      </c>
      <c r="F41" s="6" t="n"/>
      <c r="G41" s="6" t="n"/>
      <c r="H41" s="6" t="n"/>
      <c r="I41" s="6" t="n"/>
      <c r="J41" s="6" t="n"/>
      <c r="K41" s="6" t="n"/>
      <c r="L41" s="6" t="n"/>
      <c r="M41" s="6" t="n"/>
      <c r="N41" s="6" t="n"/>
      <c r="O41" s="6" t="n"/>
      <c r="P41" s="6" t="n"/>
      <c r="Q41" s="6" t="n"/>
      <c r="R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c r="P42" s="6" t="n"/>
      <c r="Q42" s="6" t="n"/>
      <c r="R42" s="6" t="n"/>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c r="P43" s="5" t="n"/>
      <c r="Q43" s="5" t="n"/>
      <c r="R43" s="5" t="n"/>
    </row>
    <row r="44">
      <c r="A44" s="5" t="inlineStr">
        <is>
          <t>Investing activities</t>
        </is>
      </c>
      <c r="B44" s="6" t="n"/>
      <c r="C44" s="6" t="n"/>
      <c r="D44" s="6" t="n"/>
      <c r="E44" s="6" t="n"/>
      <c r="F44" s="6" t="n"/>
      <c r="G44" s="6" t="n"/>
      <c r="H44" s="6" t="n"/>
      <c r="I44" s="6" t="n"/>
      <c r="J44" s="6" t="n"/>
      <c r="K44" s="6" t="n"/>
      <c r="L44" s="6" t="n"/>
      <c r="M44" s="6" t="n"/>
      <c r="N44" s="6" t="n"/>
      <c r="O44" s="6" t="n"/>
      <c r="P44" s="6" t="n"/>
      <c r="Q44" s="6" t="n"/>
      <c r="R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c r="N45" s="6" t="n"/>
      <c r="O45" s="6" t="n"/>
      <c r="P45" s="6" t="n"/>
      <c r="Q45" s="6" t="n"/>
      <c r="R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c r="N46" s="6" t="n"/>
      <c r="O46" s="6" t="n"/>
      <c r="P46" s="6" t="n"/>
      <c r="Q46" s="6" t="n"/>
      <c r="R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c r="P47" s="6" t="n"/>
      <c r="Q47" s="6" t="n"/>
      <c r="R47" s="6" t="n"/>
    </row>
    <row r="48">
      <c r="A48" s="6" t="inlineStr">
        <is>
          <t>Interest income received (investing)</t>
        </is>
      </c>
      <c r="B48" s="6" t="n"/>
      <c r="C48" s="6" t="n">
        <v>10994.9</v>
      </c>
      <c r="D48" s="6" t="n">
        <v>12221.3</v>
      </c>
      <c r="E48" s="6" t="n">
        <v>14429</v>
      </c>
      <c r="F48" s="6" t="n"/>
      <c r="G48" s="6" t="n"/>
      <c r="H48" s="6" t="n"/>
      <c r="I48" s="6" t="n"/>
      <c r="J48" s="6" t="n"/>
      <c r="K48" s="6" t="n"/>
      <c r="L48" s="6" t="n"/>
      <c r="M48" s="6" t="n"/>
      <c r="N48" s="6" t="n"/>
      <c r="O48" s="6" t="n"/>
      <c r="P48" s="6" t="n"/>
      <c r="Q48" s="6" t="n"/>
      <c r="R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c r="N49" s="6" t="n">
        <v>-129.2</v>
      </c>
      <c r="O49" s="6" t="n">
        <v>-233.4</v>
      </c>
      <c r="P49" s="6" t="n"/>
      <c r="Q49" s="6" t="n"/>
      <c r="R49" s="6" t="n"/>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c r="P50" s="6" t="n"/>
      <c r="Q50" s="6" t="n"/>
      <c r="R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c r="P51" s="6" t="n"/>
      <c r="Q51" s="6" t="n"/>
      <c r="R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c r="P52" s="6" t="n"/>
      <c r="Q52" s="6" t="n"/>
      <c r="R52" s="6" t="n"/>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c r="P53" s="5" t="n"/>
      <c r="Q53" s="5" t="n"/>
      <c r="R53" s="5" t="n"/>
    </row>
    <row r="54">
      <c r="A54" s="5" t="inlineStr">
        <is>
          <t>Financing activities</t>
        </is>
      </c>
      <c r="B54" s="6" t="n"/>
      <c r="C54" s="6" t="n"/>
      <c r="D54" s="6" t="n"/>
      <c r="E54" s="6" t="n"/>
      <c r="F54" s="6" t="n"/>
      <c r="G54" s="6" t="n"/>
      <c r="H54" s="6" t="n"/>
      <c r="I54" s="6" t="n"/>
      <c r="J54" s="6" t="n"/>
      <c r="K54" s="6" t="n"/>
      <c r="L54" s="6" t="n"/>
      <c r="M54" s="6" t="n"/>
      <c r="N54" s="6" t="n"/>
      <c r="O54" s="6" t="n"/>
      <c r="P54" s="6" t="n"/>
      <c r="Q54" s="6" t="n"/>
      <c r="R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c r="N55" s="6" t="n"/>
      <c r="O55" s="6" t="n"/>
      <c r="P55" s="6" t="n"/>
      <c r="Q55" s="6" t="n"/>
      <c r="R55" s="6" t="n"/>
    </row>
    <row r="56">
      <c r="A56" s="6" t="inlineStr">
        <is>
          <t>Addition of new lease obligation</t>
        </is>
      </c>
      <c r="B56" s="6" t="n"/>
      <c r="C56" s="6" t="n"/>
      <c r="D56" s="6" t="n"/>
      <c r="E56" s="6" t="n"/>
      <c r="F56" s="6" t="n">
        <v>33.9</v>
      </c>
      <c r="G56" s="6" t="n">
        <v>416.1</v>
      </c>
      <c r="H56" s="6" t="n"/>
      <c r="I56" s="6" t="n"/>
      <c r="J56" s="6" t="n"/>
      <c r="K56" s="6" t="n"/>
      <c r="L56" s="6" t="n"/>
      <c r="M56" s="6" t="n"/>
      <c r="N56" s="6" t="n"/>
      <c r="O56" s="6" t="n"/>
      <c r="P56" s="6" t="n"/>
      <c r="Q56" s="6" t="n"/>
      <c r="R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c r="N57" s="6" t="n"/>
      <c r="O57" s="6" t="n"/>
      <c r="P57" s="6" t="n"/>
      <c r="Q57" s="6" t="n"/>
      <c r="R57" s="6" t="n"/>
    </row>
    <row r="58">
      <c r="A58" s="6" t="inlineStr">
        <is>
          <t>Proceeds from issue of share capital</t>
        </is>
      </c>
      <c r="B58" s="6" t="n"/>
      <c r="C58" s="6" t="n"/>
      <c r="D58" s="6" t="n"/>
      <c r="E58" s="6" t="n"/>
      <c r="F58" s="6" t="n"/>
      <c r="G58" s="6" t="n"/>
      <c r="H58" s="6" t="n"/>
      <c r="I58" s="6" t="n"/>
      <c r="J58" s="6" t="n"/>
      <c r="K58" s="6" t="n"/>
      <c r="L58" s="6" t="n"/>
      <c r="M58" s="6" t="n">
        <v>30367.4</v>
      </c>
      <c r="N58" s="6" t="n">
        <v>0</v>
      </c>
      <c r="O58" s="6" t="n">
        <v>18458.1</v>
      </c>
      <c r="P58" s="6" t="n"/>
      <c r="Q58" s="6" t="n"/>
      <c r="R58" s="6" t="n"/>
    </row>
    <row r="59">
      <c r="A59" s="6" t="inlineStr">
        <is>
          <t>Dividends paid to shareholders</t>
        </is>
      </c>
      <c r="B59" s="6" t="n"/>
      <c r="C59" s="6" t="n"/>
      <c r="D59" s="6" t="n">
        <v>-14149</v>
      </c>
      <c r="E59" s="6" t="n">
        <v>-4610.9</v>
      </c>
      <c r="F59" s="6" t="n">
        <v>-6512.3</v>
      </c>
      <c r="G59" s="6" t="n"/>
      <c r="H59" s="6" t="n"/>
      <c r="I59" s="6" t="n"/>
      <c r="J59" s="6" t="n"/>
      <c r="K59" s="6" t="n"/>
      <c r="L59" s="6" t="n"/>
      <c r="M59" s="6" t="n"/>
      <c r="N59" s="6" t="n"/>
      <c r="O59" s="6" t="n"/>
      <c r="P59" s="6" t="n"/>
      <c r="Q59" s="6" t="n"/>
      <c r="R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c r="N60" s="5" t="n">
        <v>0</v>
      </c>
      <c r="O60" s="5" t="n">
        <v>18458.1</v>
      </c>
      <c r="P60" s="5" t="n"/>
      <c r="Q60" s="5" t="n"/>
      <c r="R60" s="5" t="n"/>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c r="N61" s="5" t="n">
        <v>-6069.5</v>
      </c>
      <c r="O61" s="5" t="n">
        <v>20200.7</v>
      </c>
      <c r="P61" s="5" t="n"/>
      <c r="Q61" s="5" t="n"/>
      <c r="R61" s="5" t="n"/>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c r="N62" s="6" t="n">
        <v>125827.6</v>
      </c>
      <c r="O62" s="6" t="n">
        <v>105626.9</v>
      </c>
      <c r="P62" s="6" t="n"/>
      <c r="Q62" s="6" t="n"/>
      <c r="R62" s="6" t="n"/>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c r="N63" s="6" t="n"/>
      <c r="O63" s="6" t="n"/>
      <c r="P63" s="6" t="n"/>
      <c r="Q63" s="6" t="n"/>
      <c r="R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c r="N64" s="6" t="n">
        <v>0</v>
      </c>
      <c r="O64" s="6" t="n">
        <v>0</v>
      </c>
      <c r="P64" s="6" t="n"/>
      <c r="Q64" s="6" t="n"/>
      <c r="R64" s="6" t="n"/>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c r="N65" s="5" t="n">
        <v>119758.1</v>
      </c>
      <c r="O65" s="5" t="n">
        <v>125827.6</v>
      </c>
      <c r="P65" s="5" t="n"/>
      <c r="Q65" s="5" t="n"/>
      <c r="R65" s="5" t="n"/>
    </row>
    <row r="67" ht="52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7:R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320.8</v>
      </c>
      <c r="C4" s="6" t="n">
        <v>302.3</v>
      </c>
      <c r="D4" s="6" t="n">
        <v>265.5</v>
      </c>
      <c r="E4" s="6" t="n">
        <v>240.3</v>
      </c>
      <c r="F4" s="6" t="n">
        <v>207.9</v>
      </c>
      <c r="G4" s="6" t="n">
        <v>205.4</v>
      </c>
      <c r="H4" s="6" t="n"/>
      <c r="I4" s="6" t="n"/>
      <c r="J4" s="6" t="n"/>
      <c r="K4" s="6" t="n"/>
      <c r="L4" s="6" t="n">
        <v>127.2</v>
      </c>
      <c r="M4" s="6" t="n">
        <v>109.4</v>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320.8</v>
      </c>
      <c r="C4" s="6" t="n">
        <v>302.3</v>
      </c>
      <c r="D4" s="6" t="n">
        <v>265.5</v>
      </c>
      <c r="E4" s="6" t="n">
        <v>240.3</v>
      </c>
      <c r="F4" s="6" t="n">
        <v>207.9</v>
      </c>
      <c r="G4" s="6" t="n">
        <v>205.4</v>
      </c>
      <c r="H4" s="6" t="n"/>
      <c r="I4" s="6" t="n"/>
      <c r="J4" s="6" t="n"/>
      <c r="K4" s="6" t="n"/>
      <c r="L4" s="6" t="n">
        <v>127.2</v>
      </c>
      <c r="M4" s="6" t="n">
        <v>109.4</v>
      </c>
    </row>
    <row r="5" ht="60" customHeight="1">
      <c r="A5" s="7" t="inlineStr">
        <is>
          <t>Note: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320.8</v>
      </c>
      <c r="C4" s="6" t="n">
        <v>302.3</v>
      </c>
      <c r="D4" s="6" t="n">
        <v>265.5</v>
      </c>
      <c r="E4" s="6" t="n">
        <v>240.3</v>
      </c>
      <c r="F4" s="6" t="n">
        <v>207.9</v>
      </c>
      <c r="G4" s="6" t="n">
        <v>205.4</v>
      </c>
      <c r="H4" s="6" t="n"/>
      <c r="I4" s="6" t="n"/>
      <c r="J4" s="6" t="n"/>
      <c r="K4" s="6" t="n"/>
      <c r="L4" s="6" t="n">
        <v>127.2</v>
      </c>
      <c r="M4" s="6" t="n">
        <v>109.4</v>
      </c>
    </row>
    <row r="5" ht="60" customHeight="1">
      <c r="A5" s="7" t="inlineStr">
        <is>
          <t>Note: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1370.7</v>
      </c>
      <c r="C4" s="6" t="n">
        <v>1179.2</v>
      </c>
      <c r="D4" s="6" t="n">
        <v>917.3</v>
      </c>
      <c r="E4" s="6" t="n">
        <v>930.1</v>
      </c>
      <c r="F4" s="6" t="n">
        <v>1000.5</v>
      </c>
      <c r="G4" s="6" t="n">
        <v>726</v>
      </c>
      <c r="H4" s="6" t="n"/>
      <c r="I4" s="6" t="n"/>
      <c r="J4" s="6" t="n"/>
      <c r="K4" s="6" t="n"/>
      <c r="L4" s="6" t="n">
        <v>624</v>
      </c>
      <c r="M4" s="6" t="n">
        <v>490.4</v>
      </c>
    </row>
    <row r="5" ht="60" customHeight="1">
      <c r="A5" s="7" t="inlineStr">
        <is>
          <t>Note: FY2023's figure (own report, £m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6" t="inlineStr">
        <is>
          <t>Credit Risk (excluding CCR)</t>
        </is>
      </c>
      <c r="B4" s="6" t="n">
        <v>1224.3</v>
      </c>
      <c r="C4" s="6" t="n">
        <v>963.3</v>
      </c>
      <c r="D4" s="6" t="n">
        <v>788</v>
      </c>
      <c r="E4" s="6" t="n">
        <v>777</v>
      </c>
      <c r="F4" s="6" t="n">
        <v>919</v>
      </c>
      <c r="G4" s="6" t="n">
        <v>650.7</v>
      </c>
      <c r="H4" s="6" t="n"/>
      <c r="I4" s="6" t="n"/>
      <c r="J4" s="6" t="n"/>
      <c r="K4" s="6" t="n"/>
      <c r="L4" s="6" t="n">
        <v>580</v>
      </c>
      <c r="M4" s="6" t="n">
        <v>455</v>
      </c>
    </row>
    <row r="5">
      <c r="A5" s="6" t="inlineStr">
        <is>
          <t>Counterparty Credit Risk (CCR)</t>
        </is>
      </c>
      <c r="B5" s="6" t="n">
        <v>5.1</v>
      </c>
      <c r="C5" s="6" t="n">
        <v>78.40000000000001</v>
      </c>
      <c r="D5" s="6" t="n">
        <v>42.5</v>
      </c>
      <c r="E5" s="6" t="n">
        <v>65.59999999999999</v>
      </c>
      <c r="F5" s="6" t="n"/>
      <c r="G5" s="6" t="n"/>
      <c r="H5" s="6" t="n"/>
      <c r="I5" s="6" t="n"/>
      <c r="J5" s="6" t="n"/>
      <c r="K5" s="6" t="n"/>
      <c r="L5" s="6" t="n"/>
      <c r="M5" s="6" t="n"/>
    </row>
    <row r="6">
      <c r="A6" s="6" t="inlineStr">
        <is>
          <t>of which: Credit Valuation Adjustment (CVA)</t>
        </is>
      </c>
      <c r="B6" s="6" t="n">
        <v>0.8</v>
      </c>
      <c r="C6" s="6" t="n">
        <v>1.1</v>
      </c>
      <c r="D6" s="6" t="n">
        <v>1</v>
      </c>
      <c r="E6" s="6" t="n">
        <v>0.8</v>
      </c>
      <c r="F6" s="6" t="n">
        <v>3.3</v>
      </c>
      <c r="G6" s="6" t="n">
        <v>2.6</v>
      </c>
      <c r="H6" s="6" t="n"/>
      <c r="I6" s="6" t="n"/>
      <c r="J6" s="6" t="n"/>
      <c r="K6" s="6" t="n"/>
      <c r="L6" s="6" t="n"/>
      <c r="M6" s="6" t="n"/>
    </row>
    <row r="7">
      <c r="A7" s="6" t="inlineStr">
        <is>
          <t>Settlement Risk</t>
        </is>
      </c>
      <c r="B7" s="6" t="n">
        <v>0</v>
      </c>
      <c r="C7" s="6" t="n">
        <v>0</v>
      </c>
      <c r="D7" s="6" t="n">
        <v>0</v>
      </c>
      <c r="E7" s="6" t="n">
        <v>0</v>
      </c>
      <c r="F7" s="6" t="n">
        <v>0</v>
      </c>
      <c r="G7" s="6" t="n">
        <v>0</v>
      </c>
      <c r="H7" s="6" t="n"/>
      <c r="I7" s="6" t="n"/>
      <c r="J7" s="6" t="n"/>
      <c r="K7" s="6" t="n"/>
      <c r="L7" s="6" t="n"/>
      <c r="M7" s="6" t="n"/>
    </row>
    <row r="8">
      <c r="A8" s="6" t="inlineStr">
        <is>
          <t>Market Risk (FX and commodities)</t>
        </is>
      </c>
      <c r="B8" s="6" t="n">
        <v>3.8</v>
      </c>
      <c r="C8" s="6" t="n">
        <v>3.4</v>
      </c>
      <c r="D8" s="6" t="n">
        <v>3</v>
      </c>
      <c r="E8" s="6" t="n">
        <v>9.300000000000001</v>
      </c>
      <c r="F8" s="6" t="n">
        <v>5.5</v>
      </c>
      <c r="G8" s="6" t="n">
        <v>5.1</v>
      </c>
      <c r="H8" s="6" t="n"/>
      <c r="I8" s="6" t="n"/>
      <c r="J8" s="6" t="n"/>
      <c r="K8" s="6" t="n"/>
      <c r="L8" s="6" t="n">
        <v>3.8</v>
      </c>
      <c r="M8" s="6" t="n">
        <v>1</v>
      </c>
    </row>
    <row r="9">
      <c r="A9" s="6" t="inlineStr">
        <is>
          <t>Operational Risk</t>
        </is>
      </c>
      <c r="B9" s="6" t="n">
        <v>137.5</v>
      </c>
      <c r="C9" s="6" t="n">
        <v>134.2</v>
      </c>
      <c r="D9" s="6" t="n">
        <v>83.8</v>
      </c>
      <c r="E9" s="6" t="n">
        <v>78.2</v>
      </c>
      <c r="F9" s="6" t="n">
        <v>72.7</v>
      </c>
      <c r="G9" s="6" t="n">
        <v>67.59999999999999</v>
      </c>
      <c r="H9" s="6" t="n"/>
      <c r="I9" s="6" t="n"/>
      <c r="J9" s="6" t="n"/>
      <c r="K9" s="6" t="n"/>
      <c r="L9" s="6" t="n">
        <v>40.1</v>
      </c>
      <c r="M9" s="6" t="n">
        <v>34.3</v>
      </c>
    </row>
    <row r="10">
      <c r="A10" s="5" t="inlineStr">
        <is>
          <t>Total risk-weighted exposure amount</t>
        </is>
      </c>
      <c r="B10" s="5" t="n">
        <v>1370.7</v>
      </c>
      <c r="C10" s="5" t="n">
        <v>1179.2</v>
      </c>
      <c r="D10" s="5" t="n">
        <v>917.3</v>
      </c>
      <c r="E10" s="5" t="n">
        <v>930.1</v>
      </c>
      <c r="F10" s="5" t="n">
        <v>1000.5</v>
      </c>
      <c r="G10" s="5" t="n">
        <v>726</v>
      </c>
      <c r="H10" s="5" t="n"/>
      <c r="I10" s="5" t="n"/>
      <c r="J10" s="5" t="n"/>
      <c r="K10" s="5" t="n"/>
      <c r="L10" s="5" t="n">
        <v>624</v>
      </c>
      <c r="M10" s="5" t="n">
        <v>490.4</v>
      </c>
    </row>
    <row r="11">
      <c r="A11" s="6" t="inlineStr">
        <is>
          <t>Memo: amounts below thresholds for deduction (already included within Credit Risk above)</t>
        </is>
      </c>
      <c r="B11" s="6" t="n">
        <v>0</v>
      </c>
      <c r="C11" s="6" t="n">
        <v>0.8</v>
      </c>
      <c r="D11" s="6" t="n"/>
      <c r="E11" s="6" t="n"/>
      <c r="F11" s="6" t="n"/>
      <c r="G11" s="6" t="n"/>
      <c r="H11" s="6" t="n"/>
      <c r="I11" s="6" t="n"/>
      <c r="J11" s="6" t="n"/>
      <c r="K11" s="6" t="n"/>
      <c r="L11" s="6" t="n"/>
      <c r="M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2358.6</v>
      </c>
      <c r="C4" s="6" t="n">
        <v>2387.1</v>
      </c>
      <c r="D4" s="6" t="n">
        <v>2256.1</v>
      </c>
      <c r="E4" s="6" t="n">
        <v>2818.2</v>
      </c>
      <c r="F4" s="6" t="n">
        <v>2381.4</v>
      </c>
      <c r="G4" s="6" t="n">
        <v>1818.1</v>
      </c>
      <c r="H4" s="6" t="n"/>
      <c r="I4" s="6" t="n"/>
      <c r="J4" s="6" t="n"/>
      <c r="K4" s="6" t="n"/>
      <c r="L4" s="6" t="n"/>
      <c r="M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n"/>
      <c r="I5" s="6" t="n"/>
      <c r="J5" s="6" t="n"/>
      <c r="K5" s="6" t="n"/>
      <c r="L5" s="6" t="n"/>
      <c r="M5" s="6" t="n"/>
    </row>
    <row r="6" ht="60" customHeight="1">
      <c r="A6" s="7" t="inlineStr">
        <is>
          <t>Note: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remain blank: the CRD IV/UK leverage ratio framework did not apply to a firm this size in FY2014/FY2015 (their own surviving Pillar 3 disclosures mention no leverage ratio), and no Pillar 3 disclosure document has been recovered for FY2016-FY2019.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t>
        </is>
      </c>
      <c r="B4" s="6" t="n">
        <v>708.3</v>
      </c>
      <c r="C4" s="6" t="n">
        <v>810.1</v>
      </c>
      <c r="D4" s="6" t="n">
        <v>901.4</v>
      </c>
      <c r="E4" s="6" t="n">
        <v>1014.7</v>
      </c>
      <c r="F4" s="6" t="n">
        <v>689.9</v>
      </c>
      <c r="G4" s="6" t="n">
        <v>573</v>
      </c>
      <c r="H4" s="6" t="n"/>
      <c r="I4" s="6" t="n"/>
      <c r="J4" s="6" t="n"/>
      <c r="K4" s="6" t="n"/>
      <c r="L4" s="6" t="n"/>
      <c r="M4" s="6" t="n"/>
    </row>
    <row r="5">
      <c r="A5" s="6" t="inlineStr">
        <is>
          <t>Total net cash outflows, adjusted value</t>
        </is>
      </c>
      <c r="B5" s="6" t="n">
        <v>262.2</v>
      </c>
      <c r="C5" s="6" t="n">
        <v>245.2</v>
      </c>
      <c r="D5" s="6" t="n">
        <v>290.3</v>
      </c>
      <c r="E5" s="6" t="n">
        <v>309.8</v>
      </c>
      <c r="F5" s="6" t="n">
        <v>249.8</v>
      </c>
      <c r="G5" s="6" t="n">
        <v>131.7</v>
      </c>
      <c r="H5" s="6" t="n"/>
      <c r="I5" s="6" t="n"/>
      <c r="J5" s="6" t="n"/>
      <c r="K5" s="6" t="n"/>
      <c r="L5" s="6" t="n"/>
      <c r="M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row>
    <row r="7">
      <c r="A7" s="6" t="inlineStr">
        <is>
          <t>Liquidity Coverage Ratio (%) (point-in-time at year-end)</t>
        </is>
      </c>
      <c r="B7" s="6" t="n"/>
      <c r="C7" s="6" t="n"/>
      <c r="D7" s="6" t="n"/>
      <c r="E7" s="6" t="n"/>
      <c r="F7" s="6" t="inlineStr">
        <is>
          <t>276%</t>
        </is>
      </c>
      <c r="G7" s="6" t="inlineStr">
        <is>
          <t>435%</t>
        </is>
      </c>
      <c r="H7" s="6" t="n"/>
      <c r="I7" s="6" t="n"/>
      <c r="J7" s="6" t="n"/>
      <c r="K7" s="6" t="n"/>
      <c r="L7" s="6" t="n"/>
      <c r="M7" s="6" t="n"/>
    </row>
    <row r="8" ht="60" customHeight="1">
      <c r="A8" s="7" t="inlineStr">
        <is>
          <t>Note: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remain blank: LCR minimum requirements were phased in for UK firms from October 2015, and no Pillar 3 disclosure covering LCR has been recovered for FY2016-FY2019; FY2014/FY2015's own surviving Pillar 3 disclosures pre-date LCR reporting for this firm and mention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979.3</v>
      </c>
      <c r="C4" s="6" t="n">
        <v>908.4</v>
      </c>
      <c r="D4" s="6" t="n">
        <v>838</v>
      </c>
      <c r="E4" s="6" t="n">
        <v>754.6</v>
      </c>
      <c r="F4" s="6" t="n"/>
      <c r="G4" s="6" t="n"/>
      <c r="H4" s="6" t="n"/>
      <c r="I4" s="6" t="n"/>
      <c r="J4" s="6" t="n"/>
      <c r="K4" s="6" t="n"/>
      <c r="L4" s="6" t="n"/>
      <c r="M4" s="6" t="n"/>
    </row>
    <row r="5">
      <c r="A5" s="6" t="inlineStr">
        <is>
          <t>Total required stable funding</t>
        </is>
      </c>
      <c r="B5" s="6" t="n">
        <v>705.3</v>
      </c>
      <c r="C5" s="6" t="n">
        <v>613.9</v>
      </c>
      <c r="D5" s="6" t="n">
        <v>584.7</v>
      </c>
      <c r="E5" s="6" t="n">
        <v>608.2</v>
      </c>
      <c r="F5" s="6" t="n"/>
      <c r="G5" s="6" t="n"/>
      <c r="H5" s="6" t="n"/>
      <c r="I5" s="6" t="n"/>
      <c r="J5" s="6" t="n"/>
      <c r="K5" s="6" t="n"/>
      <c r="L5" s="6" t="n"/>
      <c r="M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row>
    <row r="7" ht="60" customHeight="1">
      <c r="A7" s="7" t="inlineStr">
        <is>
          <t>Note: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are blank for the same regulatory reason.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t>
        </is>
      </c>
    </row>
    <row r="7" ht="15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2026-09-15T15:42:19Z</dcterms:created>
  <dcterms:modified xmlns:dcterms="http://purl.org/dc/terms/" xmlns:xsi="http://www.w3.org/2001/XMLSchema-instance" xsi:type="dcterms:W3CDTF">2026-09-15T15:42:19Z</dcterms:modified>
</cp:coreProperties>
</file>