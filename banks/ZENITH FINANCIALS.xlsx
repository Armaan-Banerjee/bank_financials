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ser>
          <idx val="3"/>
          <order val="3"/>
          <tx>
            <strRef>
              <f>'Overview'!Q15</f>
            </strRef>
          </tx>
          <spPr>
            <a:ln xmlns:a="http://schemas.openxmlformats.org/drawingml/2006/main">
              <a:prstDash val="solid"/>
            </a:ln>
          </spPr>
          <cat>
            <numRef>
              <f>'Overview'!$R$11:$V$11</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c r="C6" s="5" t="n">
        <v>2116703.1</v>
      </c>
      <c r="D6" s="5" t="n">
        <v>2089290.6</v>
      </c>
      <c r="E6" s="5" t="n">
        <v>2591520.9</v>
      </c>
      <c r="F6" s="5" t="n">
        <v>2130359.2</v>
      </c>
      <c r="I6" t="inlineStr">
        <is>
          <t>Total assets</t>
        </is>
      </c>
      <c r="J6" t="n">
        <v>2130359.2</v>
      </c>
      <c r="K6" t="n">
        <v>2591520.9</v>
      </c>
      <c r="L6" t="n">
        <v>2089290.6</v>
      </c>
      <c r="M6" t="n">
        <v>2116703.1</v>
      </c>
      <c r="AO6" t="inlineStr">
        <is>
          <t>CET1 Ratio</t>
        </is>
      </c>
      <c r="AP6" t="n">
        <v>20.78</v>
      </c>
      <c r="AQ6" t="n">
        <v>25.84</v>
      </c>
      <c r="AR6" t="n">
        <v>28.95</v>
      </c>
      <c r="AS6" t="n">
        <v>25.64</v>
      </c>
      <c r="AT6" t="n">
        <v>23.4</v>
      </c>
    </row>
    <row r="7">
      <c r="A7" s="5" t="inlineStr">
        <is>
          <t>Total liabilities</t>
        </is>
      </c>
      <c r="B7" s="5" t="n"/>
      <c r="C7" s="5" t="n">
        <v>1811346.9</v>
      </c>
      <c r="D7" s="5" t="n">
        <v>1825371.8</v>
      </c>
      <c r="E7" s="5" t="n">
        <v>2353937.2</v>
      </c>
      <c r="F7" s="5" t="n">
        <v>1927464.8</v>
      </c>
      <c r="I7" t="inlineStr">
        <is>
          <t>Total liabilities</t>
        </is>
      </c>
      <c r="J7" t="n">
        <v>1927464.8</v>
      </c>
      <c r="K7" t="n">
        <v>2353937.2</v>
      </c>
      <c r="L7" t="n">
        <v>1825371.8</v>
      </c>
      <c r="M7" t="n">
        <v>1811346.9</v>
      </c>
      <c r="AO7" t="inlineStr">
        <is>
          <t>Tier 1 Ratio</t>
        </is>
      </c>
      <c r="AP7" t="n">
        <v>20.78</v>
      </c>
      <c r="AQ7" t="n">
        <v>25.84</v>
      </c>
      <c r="AR7" t="n">
        <v>28.95</v>
      </c>
      <c r="AS7" t="n">
        <v>25.64</v>
      </c>
      <c r="AT7" t="n">
        <v>23.4</v>
      </c>
    </row>
    <row r="8">
      <c r="A8" s="5" t="inlineStr">
        <is>
          <t>Total equity</t>
        </is>
      </c>
      <c r="B8" s="5" t="n"/>
      <c r="C8" s="5" t="n">
        <v>305356.2</v>
      </c>
      <c r="D8" s="5" t="n">
        <v>263918.8</v>
      </c>
      <c r="E8" s="5" t="n">
        <v>237583.7</v>
      </c>
      <c r="F8" s="5" t="n">
        <v>202894.4</v>
      </c>
      <c r="I8" t="inlineStr">
        <is>
          <t>Total equity</t>
        </is>
      </c>
      <c r="J8" t="n">
        <v>202894.4</v>
      </c>
      <c r="K8" t="n">
        <v>237583.7</v>
      </c>
      <c r="L8" t="n">
        <v>263918.8</v>
      </c>
      <c r="M8" t="n">
        <v>305356.2</v>
      </c>
      <c r="AO8" t="inlineStr">
        <is>
          <t>Total Capital Ratio</t>
        </is>
      </c>
      <c r="AP8" t="n">
        <v>20.78</v>
      </c>
      <c r="AQ8" t="n">
        <v>25.84</v>
      </c>
      <c r="AR8" t="n">
        <v>28.95</v>
      </c>
      <c r="AS8" t="n">
        <v>25.64</v>
      </c>
      <c r="AT8" t="n">
        <v>23.4</v>
      </c>
    </row>
    <row r="9">
      <c r="AO9" t="inlineStr">
        <is>
          <t>Leverage Ratio</t>
        </is>
      </c>
      <c r="AP9" t="n">
        <v>8.359999999999999</v>
      </c>
      <c r="AQ9" t="n">
        <v>7.32</v>
      </c>
      <c r="AR9" t="n">
        <v>9.76</v>
      </c>
      <c r="AS9" t="n">
        <v>11.25</v>
      </c>
      <c r="AT9" t="n">
        <v>12.08</v>
      </c>
    </row>
    <row r="10">
      <c r="A10" s="3" t="inlineStr">
        <is>
          <t>Profit &amp; Loss Summary (£'000)</t>
        </is>
      </c>
      <c r="AO10" t="inlineStr">
        <is>
          <t>LCR</t>
        </is>
      </c>
      <c r="AP10" t="n">
        <v>276</v>
      </c>
      <c r="AQ10" t="n">
        <v>343</v>
      </c>
      <c r="AR10" t="n">
        <v>310</v>
      </c>
      <c r="AS10" t="n">
        <v>330.42</v>
      </c>
      <c r="AT10" t="n">
        <v>270.19</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Q11" t="n">
        <v>124</v>
      </c>
      <c r="AR11" t="n">
        <v>143</v>
      </c>
      <c r="AS11" t="n">
        <v>147.98</v>
      </c>
      <c r="AT11" t="n">
        <v>138.85</v>
      </c>
    </row>
    <row r="12">
      <c r="A12" s="5" t="inlineStr">
        <is>
          <t>Net interest income</t>
        </is>
      </c>
      <c r="B12" s="5" t="n"/>
      <c r="C12" s="5" t="n">
        <v>62855</v>
      </c>
      <c r="D12" s="5" t="n">
        <v>77360.5</v>
      </c>
      <c r="E12" s="5" t="n">
        <v>51765.3</v>
      </c>
      <c r="F12" s="5" t="n">
        <v>27807.4</v>
      </c>
      <c r="Q12" t="inlineStr">
        <is>
          <t>Net interest income</t>
        </is>
      </c>
      <c r="R12" t="n">
        <v>27807.4</v>
      </c>
      <c r="S12" t="n">
        <v>51765.3</v>
      </c>
      <c r="T12" t="n">
        <v>77360.5</v>
      </c>
      <c r="U12" t="n">
        <v>62855</v>
      </c>
    </row>
    <row r="13">
      <c r="A13" s="5" t="inlineStr">
        <is>
          <t>Operating income</t>
        </is>
      </c>
      <c r="B13" s="5" t="n"/>
      <c r="C13" s="5" t="n">
        <v>66720.5</v>
      </c>
      <c r="D13" s="5" t="n">
        <v>85377.89999999999</v>
      </c>
      <c r="E13" s="5" t="n">
        <v>62492.6</v>
      </c>
      <c r="F13" s="5" t="n">
        <v>31947.1</v>
      </c>
      <c r="Q13" t="inlineStr">
        <is>
          <t>Operating income</t>
        </is>
      </c>
      <c r="R13" t="n">
        <v>31947.1</v>
      </c>
      <c r="S13" t="n">
        <v>62492.6</v>
      </c>
      <c r="T13" t="n">
        <v>85377.89999999999</v>
      </c>
      <c r="U13" t="n">
        <v>66720.5</v>
      </c>
    </row>
    <row r="14">
      <c r="A14" s="5" t="inlineStr">
        <is>
          <t>Profit before tax</t>
        </is>
      </c>
      <c r="B14" s="5" t="n"/>
      <c r="C14" s="5" t="n">
        <v>44011</v>
      </c>
      <c r="D14" s="5" t="n">
        <v>58520.5</v>
      </c>
      <c r="E14" s="5" t="n">
        <v>36615</v>
      </c>
      <c r="F14" s="5" t="n">
        <v>9915.799999999999</v>
      </c>
      <c r="Q14" t="inlineStr">
        <is>
          <t>Profit before tax</t>
        </is>
      </c>
      <c r="R14" t="n">
        <v>9915.799999999999</v>
      </c>
      <c r="S14" t="n">
        <v>36615</v>
      </c>
      <c r="T14" t="n">
        <v>58520.5</v>
      </c>
      <c r="U14" t="n">
        <v>44011</v>
      </c>
    </row>
    <row r="15">
      <c r="A15" s="5" t="inlineStr">
        <is>
          <t>Profit for the year</t>
        </is>
      </c>
      <c r="B15" s="5" t="n"/>
      <c r="C15" s="5" t="n">
        <v>33033.4</v>
      </c>
      <c r="D15" s="5" t="n">
        <v>44085.1</v>
      </c>
      <c r="E15" s="5" t="n">
        <v>28474.9</v>
      </c>
      <c r="F15" s="5" t="n">
        <v>8292.700000000001</v>
      </c>
      <c r="Q15" t="inlineStr">
        <is>
          <t>Profit for the year</t>
        </is>
      </c>
      <c r="R15" t="n">
        <v>8292.700000000001</v>
      </c>
      <c r="S15" t="n">
        <v>28474.9</v>
      </c>
      <c r="T15" t="n">
        <v>44085.1</v>
      </c>
      <c r="U15" t="n">
        <v>33033.4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(period end)</t>
        </is>
      </c>
      <c r="B19" s="5" t="n"/>
      <c r="C19" s="5" t="n">
        <v>305356.2</v>
      </c>
      <c r="D19" s="5" t="n">
        <v>263918.8</v>
      </c>
      <c r="E19" s="5" t="n">
        <v>237583.7</v>
      </c>
      <c r="F19" s="5" t="n">
        <v>202894.4</v>
      </c>
      <c r="Y19" t="inlineStr">
        <is>
          <t>Total equity (period end)</t>
        </is>
      </c>
      <c r="Z19" t="n">
        <v>202894.4</v>
      </c>
      <c r="AA19" t="n">
        <v>237583.7</v>
      </c>
      <c r="AB19" t="n">
        <v>263918.8</v>
      </c>
      <c r="AC19" t="n">
        <v>305356.2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generated from/(used in) operating activities</t>
        </is>
      </c>
      <c r="B23" s="5" t="n"/>
      <c r="C23" s="5" t="n">
        <v>162230.1</v>
      </c>
      <c r="D23" s="5" t="n">
        <v>-276726.4</v>
      </c>
      <c r="E23" s="5" t="n">
        <v>-197184.8</v>
      </c>
      <c r="F23" s="5" t="n">
        <v>84381.3</v>
      </c>
      <c r="AG23" t="inlineStr">
        <is>
          <t>Net cash generated from/(used in) operating activities</t>
        </is>
      </c>
      <c r="AH23" t="n">
        <v>84381.3</v>
      </c>
      <c r="AI23" t="n">
        <v>-197184.8</v>
      </c>
      <c r="AJ23" t="n">
        <v>-276726.4</v>
      </c>
      <c r="AK23" t="n">
        <v>162230.1</v>
      </c>
    </row>
    <row r="24">
      <c r="A24" s="5" t="inlineStr">
        <is>
          <t>Net cash generated from/(used in) investing activities</t>
        </is>
      </c>
      <c r="B24" s="5" t="n"/>
      <c r="C24" s="5" t="n">
        <v>429.6</v>
      </c>
      <c r="D24" s="5" t="n">
        <v>7360.1</v>
      </c>
      <c r="E24" s="5" t="n">
        <v>-2155.5</v>
      </c>
      <c r="F24" s="5" t="n">
        <v>-8018.4</v>
      </c>
      <c r="AG24" t="inlineStr">
        <is>
          <t>Net cash generated from/(used in) investing activities</t>
        </is>
      </c>
      <c r="AH24" t="n">
        <v>-8018.4</v>
      </c>
      <c r="AI24" t="n">
        <v>-2155.5</v>
      </c>
      <c r="AJ24" t="n">
        <v>7360.1</v>
      </c>
      <c r="AK24" t="n">
        <v>429.6</v>
      </c>
    </row>
    <row r="25">
      <c r="A25" s="5" t="inlineStr">
        <is>
          <t>Net cash generated from/(used in) financing activities</t>
        </is>
      </c>
      <c r="B25" s="5" t="n"/>
      <c r="C25" s="5" t="n">
        <v>-525.9</v>
      </c>
      <c r="D25" s="5" t="n">
        <v>-14893.7</v>
      </c>
      <c r="E25" s="5" t="n">
        <v>-5277.6</v>
      </c>
      <c r="F25" s="5" t="n">
        <v>-7266.8</v>
      </c>
      <c r="AG25" t="inlineStr">
        <is>
          <t>Net cash generated from/(used in) financing activities</t>
        </is>
      </c>
      <c r="AH25" t="n">
        <v>-7266.8</v>
      </c>
      <c r="AI25" t="n">
        <v>-5277.6</v>
      </c>
      <c r="AJ25" t="n">
        <v>-14893.7</v>
      </c>
      <c r="AK25" t="n">
        <v>-525.9</v>
      </c>
    </row>
    <row r="26">
      <c r="A26" s="5" t="inlineStr">
        <is>
          <t>Cash and cash equivalents at end of year</t>
        </is>
      </c>
      <c r="B26" s="5" t="n"/>
      <c r="C26" s="5" t="n">
        <v>383726.2</v>
      </c>
      <c r="D26" s="5" t="n">
        <v>216831.3</v>
      </c>
      <c r="E26" s="5" t="n">
        <v>520509.8</v>
      </c>
      <c r="F26" s="5" t="n">
        <v>652769.3</v>
      </c>
      <c r="AG26" t="inlineStr">
        <is>
          <t>Cash and cash equivalents at end of year</t>
        </is>
      </c>
      <c r="AH26" t="n">
        <v>652769.3</v>
      </c>
      <c r="AI26" t="n">
        <v>520509.8</v>
      </c>
      <c r="AJ26" t="n">
        <v>216831.3</v>
      </c>
      <c r="AK26" t="n">
        <v>383726.2</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row>
    <row r="30">
      <c r="A30" s="6" t="inlineStr">
        <is>
          <t>CET1 Ratio</t>
        </is>
      </c>
      <c r="B30" s="6" t="inlineStr">
        <is>
          <t>23.40%</t>
        </is>
      </c>
      <c r="C30" s="6" t="inlineStr">
        <is>
          <t>25.64%</t>
        </is>
      </c>
      <c r="D30" s="6" t="inlineStr">
        <is>
          <t>28.95%</t>
        </is>
      </c>
      <c r="E30" s="6" t="inlineStr">
        <is>
          <t>25.84%</t>
        </is>
      </c>
      <c r="F30" s="6" t="inlineStr">
        <is>
          <t>20.78%</t>
        </is>
      </c>
    </row>
    <row r="31">
      <c r="A31" s="6" t="inlineStr">
        <is>
          <t>Tier 1 Ratio</t>
        </is>
      </c>
      <c r="B31" s="6" t="inlineStr">
        <is>
          <t>23.40%</t>
        </is>
      </c>
      <c r="C31" s="6" t="inlineStr">
        <is>
          <t>25.64%</t>
        </is>
      </c>
      <c r="D31" s="6" t="inlineStr">
        <is>
          <t>28.95%</t>
        </is>
      </c>
      <c r="E31" s="6" t="inlineStr">
        <is>
          <t>25.84%</t>
        </is>
      </c>
      <c r="F31" s="6" t="inlineStr">
        <is>
          <t>20.78%</t>
        </is>
      </c>
    </row>
    <row r="32">
      <c r="A32" s="6" t="inlineStr">
        <is>
          <t>Total Capital Ratio</t>
        </is>
      </c>
      <c r="B32" s="6" t="inlineStr">
        <is>
          <t>23.40%</t>
        </is>
      </c>
      <c r="C32" s="6" t="inlineStr">
        <is>
          <t>25.64%</t>
        </is>
      </c>
      <c r="D32" s="6" t="inlineStr">
        <is>
          <t>28.95%</t>
        </is>
      </c>
      <c r="E32" s="6" t="inlineStr">
        <is>
          <t>25.84%</t>
        </is>
      </c>
      <c r="F32" s="6" t="inlineStr">
        <is>
          <t>20.78%</t>
        </is>
      </c>
    </row>
    <row r="33">
      <c r="A33" s="6" t="inlineStr">
        <is>
          <t>Leverage Ratio</t>
        </is>
      </c>
      <c r="B33" s="6" t="inlineStr">
        <is>
          <t>12.08%</t>
        </is>
      </c>
      <c r="C33" s="6" t="inlineStr">
        <is>
          <t>11.25%</t>
        </is>
      </c>
      <c r="D33" s="6" t="inlineStr">
        <is>
          <t>9.76%</t>
        </is>
      </c>
      <c r="E33" s="6" t="inlineStr">
        <is>
          <t>7.32%</t>
        </is>
      </c>
      <c r="F33" s="6" t="inlineStr">
        <is>
          <t>8.36%</t>
        </is>
      </c>
    </row>
    <row r="34">
      <c r="A34" s="6" t="inlineStr">
        <is>
          <t>LCR</t>
        </is>
      </c>
      <c r="B34" s="6" t="inlineStr">
        <is>
          <t>270.19%</t>
        </is>
      </c>
      <c r="C34" s="6" t="inlineStr">
        <is>
          <t>330.42%</t>
        </is>
      </c>
      <c r="D34" s="6" t="inlineStr">
        <is>
          <t>310%</t>
        </is>
      </c>
      <c r="E34" s="6" t="inlineStr">
        <is>
          <t>343%</t>
        </is>
      </c>
      <c r="F34" s="6" t="inlineStr">
        <is>
          <t>276%</t>
        </is>
      </c>
    </row>
    <row r="35">
      <c r="A35" s="6" t="inlineStr">
        <is>
          <t>NSFR</t>
        </is>
      </c>
      <c r="B35" s="6" t="inlineStr">
        <is>
          <t>138.85%</t>
        </is>
      </c>
      <c r="C35" s="6" t="inlineStr">
        <is>
          <t>147.98%</t>
        </is>
      </c>
      <c r="D35" s="6" t="inlineStr">
        <is>
          <t>143%</t>
        </is>
      </c>
      <c r="E35" s="6" t="inlineStr">
        <is>
          <t>124%</t>
        </is>
      </c>
      <c r="F35" s="6" t="n"/>
    </row>
    <row r="37" ht="45" customHeight="1">
      <c r="A37"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cash flow is blank (no FY2025 Annual Report published yet); Pillar 3 is fully populated for FY2025.</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Financial Position</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Assets</t>
        </is>
      </c>
      <c r="B4" s="6" t="n"/>
      <c r="C4" s="6" t="n"/>
      <c r="D4" s="6" t="n"/>
      <c r="E4" s="6" t="n"/>
      <c r="F4" s="6" t="n"/>
    </row>
    <row r="5">
      <c r="A5" s="6" t="inlineStr">
        <is>
          <t>Cash and cash equivalents</t>
        </is>
      </c>
      <c r="B5" s="6" t="n"/>
      <c r="C5" s="6" t="n">
        <v>383726.2</v>
      </c>
      <c r="D5" s="6" t="n">
        <v>216831.3</v>
      </c>
      <c r="E5" s="6" t="n">
        <v>520509.8</v>
      </c>
      <c r="F5" s="6" t="n">
        <v>652769.3</v>
      </c>
    </row>
    <row r="6">
      <c r="A6" s="6" t="inlineStr">
        <is>
          <t>Derivative financial assets</t>
        </is>
      </c>
      <c r="B6" s="6" t="n"/>
      <c r="C6" s="6" t="n">
        <v>1212.8</v>
      </c>
      <c r="D6" s="6" t="n">
        <v>1893.3</v>
      </c>
      <c r="E6" s="6" t="n">
        <v>1833.2</v>
      </c>
      <c r="F6" s="6" t="n">
        <v>3779.2</v>
      </c>
    </row>
    <row r="7">
      <c r="A7" s="6" t="inlineStr">
        <is>
          <t>Loans and advances to banks</t>
        </is>
      </c>
      <c r="B7" s="6" t="n"/>
      <c r="C7" s="6" t="n">
        <v>90006.89999999999</v>
      </c>
      <c r="D7" s="6" t="n">
        <v>120858.3</v>
      </c>
      <c r="E7" s="6" t="n">
        <v>140936.2</v>
      </c>
      <c r="F7" s="6" t="n">
        <v>113898.1</v>
      </c>
    </row>
    <row r="8">
      <c r="A8" s="6" t="inlineStr">
        <is>
          <t>Loans and advances to customers</t>
        </is>
      </c>
      <c r="B8" s="6" t="n"/>
      <c r="C8" s="6" t="n">
        <v>354457.3</v>
      </c>
      <c r="D8" s="6" t="n">
        <v>277613.5</v>
      </c>
      <c r="E8" s="6" t="n">
        <v>260562.8</v>
      </c>
      <c r="F8" s="6" t="n">
        <v>261455.9</v>
      </c>
    </row>
    <row r="9">
      <c r="A9" s="6" t="inlineStr">
        <is>
          <t>Securities measured at fair value through profit or loss</t>
        </is>
      </c>
      <c r="B9" s="6" t="n"/>
      <c r="C9" s="6" t="n">
        <v>3431.9</v>
      </c>
      <c r="D9" s="6" t="n">
        <v>4010.5</v>
      </c>
      <c r="E9" s="6" t="n">
        <v>2123.2</v>
      </c>
      <c r="F9" s="6" t="n">
        <v>7787.3</v>
      </c>
    </row>
    <row r="10">
      <c r="A10" s="6" t="inlineStr">
        <is>
          <t>Securities measured at fair value through OCI</t>
        </is>
      </c>
      <c r="B10" s="6" t="n"/>
      <c r="C10" s="6" t="n">
        <v>1097103.2</v>
      </c>
      <c r="D10" s="6" t="n">
        <v>1305775.6</v>
      </c>
      <c r="E10" s="6" t="n">
        <v>1494908.3</v>
      </c>
      <c r="F10" s="6" t="n">
        <v>947237.4</v>
      </c>
    </row>
    <row r="11">
      <c r="A11" s="6" t="inlineStr">
        <is>
          <t>Securities measured at amortised cost</t>
        </is>
      </c>
      <c r="B11" s="6" t="n"/>
      <c r="C11" s="6" t="n">
        <v>170624.3</v>
      </c>
      <c r="D11" s="6" t="n">
        <v>155387.6</v>
      </c>
      <c r="E11" s="6" t="n">
        <v>160493.8</v>
      </c>
      <c r="F11" s="6" t="n">
        <v>137749.9</v>
      </c>
    </row>
    <row r="12">
      <c r="A12" s="6" t="inlineStr">
        <is>
          <t>Right-of-use assets</t>
        </is>
      </c>
      <c r="B12" s="6" t="n"/>
      <c r="C12" s="6" t="n">
        <v>6946.1</v>
      </c>
      <c r="D12" s="6" t="n">
        <v>956.2</v>
      </c>
      <c r="E12" s="6" t="n"/>
      <c r="F12" s="6" t="n"/>
    </row>
    <row r="13">
      <c r="A13" s="6" t="inlineStr">
        <is>
          <t>Property and equipment</t>
        </is>
      </c>
      <c r="B13" s="6" t="n"/>
      <c r="C13" s="6" t="n">
        <v>134.6</v>
      </c>
      <c r="D13" s="6" t="n">
        <v>277.8</v>
      </c>
      <c r="E13" s="6" t="n">
        <v>2137.5</v>
      </c>
      <c r="F13" s="6" t="n">
        <v>2729.4</v>
      </c>
    </row>
    <row r="14">
      <c r="A14" s="6" t="inlineStr">
        <is>
          <t>Intangible assets</t>
        </is>
      </c>
      <c r="B14" s="6" t="n"/>
      <c r="C14" s="6" t="n">
        <v>1954.5</v>
      </c>
      <c r="D14" s="6" t="n">
        <v>606.3</v>
      </c>
      <c r="E14" s="6" t="n">
        <v>821.4</v>
      </c>
      <c r="F14" s="6" t="n">
        <v>773.5</v>
      </c>
    </row>
    <row r="15">
      <c r="A15" s="6" t="inlineStr">
        <is>
          <t>Current tax assets</t>
        </is>
      </c>
      <c r="B15" s="6" t="n"/>
      <c r="C15" s="6" t="n">
        <v>415.1</v>
      </c>
      <c r="D15" s="6" t="n">
        <v>447.2</v>
      </c>
      <c r="E15" s="6" t="n"/>
      <c r="F15" s="6" t="n"/>
    </row>
    <row r="16">
      <c r="A16" s="6" t="inlineStr">
        <is>
          <t>Deferred tax assets</t>
        </is>
      </c>
      <c r="B16" s="6" t="n"/>
      <c r="C16" s="6" t="n">
        <v>818.2</v>
      </c>
      <c r="D16" s="6" t="n">
        <v>2323.4</v>
      </c>
      <c r="E16" s="6" t="n">
        <v>5809.9</v>
      </c>
      <c r="F16" s="6" t="n">
        <v>839.7</v>
      </c>
    </row>
    <row r="17">
      <c r="A17" s="6" t="inlineStr">
        <is>
          <t>Other assets</t>
        </is>
      </c>
      <c r="B17" s="6" t="n"/>
      <c r="C17" s="6" t="n">
        <v>5872</v>
      </c>
      <c r="D17" s="6" t="n">
        <v>2309.6</v>
      </c>
      <c r="E17" s="6" t="n">
        <v>1384.8</v>
      </c>
      <c r="F17" s="6" t="n">
        <v>1339.5</v>
      </c>
    </row>
    <row r="18">
      <c r="A18" s="5" t="inlineStr">
        <is>
          <t>Total assets</t>
        </is>
      </c>
      <c r="B18" s="5" t="n"/>
      <c r="C18" s="5" t="n">
        <v>2116703.1</v>
      </c>
      <c r="D18" s="5" t="n">
        <v>2089290.6</v>
      </c>
      <c r="E18" s="5" t="n">
        <v>2591520.9</v>
      </c>
      <c r="F18" s="5" t="n">
        <v>2130359.2</v>
      </c>
    </row>
    <row r="19">
      <c r="A19" s="5" t="inlineStr">
        <is>
          <t>Liabilities</t>
        </is>
      </c>
      <c r="B19" s="6" t="n"/>
      <c r="C19" s="6" t="n"/>
      <c r="D19" s="6" t="n"/>
      <c r="E19" s="6" t="n"/>
      <c r="F19" s="6" t="n"/>
    </row>
    <row r="20">
      <c r="A20" s="6" t="inlineStr">
        <is>
          <t>Derivative financial liabilities</t>
        </is>
      </c>
      <c r="B20" s="6" t="n"/>
      <c r="C20" s="6" t="n">
        <v>2472.6</v>
      </c>
      <c r="D20" s="6" t="n">
        <v>415.8</v>
      </c>
      <c r="E20" s="6" t="n">
        <v>376.4</v>
      </c>
      <c r="F20" s="6" t="n">
        <v>2764</v>
      </c>
    </row>
    <row r="21">
      <c r="A21" s="6" t="inlineStr">
        <is>
          <t>Deposits from banks</t>
        </is>
      </c>
      <c r="B21" s="6" t="n"/>
      <c r="C21" s="6" t="n">
        <v>1027434</v>
      </c>
      <c r="D21" s="6" t="n">
        <v>1008262.7</v>
      </c>
      <c r="E21" s="6" t="n">
        <v>1629765.7</v>
      </c>
      <c r="F21" s="6" t="n">
        <v>1399280</v>
      </c>
    </row>
    <row r="22">
      <c r="A22" s="6" t="inlineStr">
        <is>
          <t>Deposits from customers</t>
        </is>
      </c>
      <c r="B22" s="6" t="n"/>
      <c r="C22" s="6" t="n">
        <v>696164</v>
      </c>
      <c r="D22" s="6" t="n">
        <v>774098</v>
      </c>
      <c r="E22" s="6" t="n">
        <v>643544.2</v>
      </c>
      <c r="F22" s="6" t="n">
        <v>482915.4</v>
      </c>
    </row>
    <row r="23">
      <c r="A23" s="6" t="inlineStr">
        <is>
          <t>Repurchase agreements and other similar secured borrowing</t>
        </is>
      </c>
      <c r="B23" s="6" t="n"/>
      <c r="C23" s="6" t="n">
        <v>71086.7</v>
      </c>
      <c r="D23" s="6" t="n">
        <v>36123.2</v>
      </c>
      <c r="E23" s="6" t="n">
        <v>63143.8</v>
      </c>
      <c r="F23" s="6" t="n">
        <v>33705.4</v>
      </c>
    </row>
    <row r="24">
      <c r="A24" s="6" t="inlineStr">
        <is>
          <t>Current tax liabilities</t>
        </is>
      </c>
      <c r="B24" s="6" t="n"/>
      <c r="C24" s="6" t="n">
        <v>1654.1</v>
      </c>
      <c r="D24" s="6" t="n">
        <v>0</v>
      </c>
      <c r="E24" s="6" t="n">
        <v>1011.4</v>
      </c>
      <c r="F24" s="6" t="n">
        <v>768</v>
      </c>
    </row>
    <row r="25">
      <c r="A25" s="6" t="inlineStr">
        <is>
          <t>Impairment allowance on committed/off-balance-sheet facilities</t>
        </is>
      </c>
      <c r="B25" s="6" t="n"/>
      <c r="C25" s="6" t="n">
        <v>499.7</v>
      </c>
      <c r="D25" s="6" t="n">
        <v>0</v>
      </c>
      <c r="E25" s="6" t="n">
        <v>588.8</v>
      </c>
      <c r="F25" s="6" t="n">
        <v>585.9</v>
      </c>
    </row>
    <row r="26">
      <c r="A26" s="6" t="inlineStr">
        <is>
          <t>Lease obligation</t>
        </is>
      </c>
      <c r="B26" s="6" t="n"/>
      <c r="C26" s="6" t="n">
        <v>7047.5</v>
      </c>
      <c r="D26" s="6" t="n">
        <v>829</v>
      </c>
      <c r="E26" s="6" t="n">
        <v>1531.7</v>
      </c>
      <c r="F26" s="6" t="n">
        <v>2187.4</v>
      </c>
    </row>
    <row r="27">
      <c r="A27" s="6" t="inlineStr">
        <is>
          <t>Other liabilities</t>
        </is>
      </c>
      <c r="B27" s="6" t="n"/>
      <c r="C27" s="6" t="n">
        <v>4852.9</v>
      </c>
      <c r="D27" s="6" t="n">
        <v>5643.1</v>
      </c>
      <c r="E27" s="6" t="n">
        <v>13975.2</v>
      </c>
      <c r="F27" s="6" t="n">
        <v>5258.6</v>
      </c>
    </row>
    <row r="28">
      <c r="A28" s="6" t="inlineStr">
        <is>
          <t>Provision</t>
        </is>
      </c>
      <c r="B28" s="6" t="n"/>
      <c r="C28" s="6" t="n">
        <v>135.4</v>
      </c>
      <c r="D28" s="6" t="n"/>
      <c r="E28" s="6" t="n"/>
      <c r="F28" s="6" t="n"/>
    </row>
    <row r="29">
      <c r="A29" s="5" t="inlineStr">
        <is>
          <t>Total liabilities</t>
        </is>
      </c>
      <c r="B29" s="5" t="n"/>
      <c r="C29" s="5" t="n">
        <v>1811346.9</v>
      </c>
      <c r="D29" s="5" t="n">
        <v>1825371.8</v>
      </c>
      <c r="E29" s="5" t="n">
        <v>2353937.2</v>
      </c>
      <c r="F29" s="5" t="n">
        <v>1927464.8</v>
      </c>
    </row>
    <row r="30">
      <c r="A30" s="5" t="inlineStr">
        <is>
          <t>Equity</t>
        </is>
      </c>
      <c r="B30" s="6" t="n"/>
      <c r="C30" s="6" t="n"/>
      <c r="D30" s="6" t="n"/>
      <c r="E30" s="6" t="n"/>
      <c r="F30" s="6" t="n"/>
    </row>
    <row r="31">
      <c r="A31" s="6" t="inlineStr">
        <is>
          <t>Share Capital</t>
        </is>
      </c>
      <c r="B31" s="6" t="n"/>
      <c r="C31" s="6" t="n">
        <v>109230.2</v>
      </c>
      <c r="D31" s="6" t="n">
        <v>107368.5</v>
      </c>
      <c r="E31" s="6" t="n">
        <v>113004.6</v>
      </c>
      <c r="F31" s="6" t="n">
        <v>101103.2</v>
      </c>
    </row>
    <row r="32">
      <c r="A32" s="6" t="inlineStr">
        <is>
          <t>FVOCI Reserves</t>
        </is>
      </c>
      <c r="B32" s="6" t="n"/>
      <c r="C32" s="6" t="n">
        <v>-477.8</v>
      </c>
      <c r="D32" s="6" t="n">
        <v>-3539.6</v>
      </c>
      <c r="E32" s="6" t="n">
        <v>-13131.8</v>
      </c>
      <c r="F32" s="6" t="n">
        <v>402.1</v>
      </c>
    </row>
    <row r="33">
      <c r="A33" s="6" t="inlineStr">
        <is>
          <t>Retained earnings</t>
        </is>
      </c>
      <c r="B33" s="6" t="n"/>
      <c r="C33" s="6" t="n">
        <v>196603.8</v>
      </c>
      <c r="D33" s="6" t="n">
        <v>160089.8</v>
      </c>
      <c r="E33" s="6" t="n">
        <v>137710.9</v>
      </c>
      <c r="F33" s="6" t="n">
        <v>101389.1</v>
      </c>
    </row>
    <row r="34">
      <c r="A34" s="5" t="inlineStr">
        <is>
          <t>Total equity</t>
        </is>
      </c>
      <c r="B34" s="5" t="n"/>
      <c r="C34" s="5" t="n">
        <v>305356.2</v>
      </c>
      <c r="D34" s="5" t="n">
        <v>263918.8</v>
      </c>
      <c r="E34" s="5" t="n">
        <v>237583.7</v>
      </c>
      <c r="F34" s="5" t="n">
        <v>202894.4</v>
      </c>
    </row>
    <row r="35">
      <c r="A35" s="5" t="inlineStr">
        <is>
          <t>Total liabilities and equity</t>
        </is>
      </c>
      <c r="B35" s="5" t="n"/>
      <c r="C35" s="5" t="n">
        <v>2116703.1</v>
      </c>
      <c r="D35" s="5" t="n">
        <v>2089290.6</v>
      </c>
      <c r="E35" s="5" t="n">
        <v>2591520.9</v>
      </c>
      <c r="F35" s="5" t="n">
        <v>2130359.2</v>
      </c>
    </row>
    <row r="37" ht="32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FY2025 is blank: no FY2025 Annual Report has been published yet (only the FY2025 Pillar 3 disclosure is out so far) - Pillar 3 sheets are fully populated for FY2025.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31 Dec 2020 spot 1.3661 (FY2021 opening cash only);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4 years tie exactly: Total assets = Total liabilities + Total equity, to the penny in USD before conversion - zero plug rows.</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Profit or Loss and Other Comprehensive Income</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Income</t>
        </is>
      </c>
      <c r="B4" s="6" t="n"/>
      <c r="C4" s="6" t="n"/>
      <c r="D4" s="6" t="n"/>
      <c r="E4" s="6" t="n"/>
      <c r="F4" s="6" t="n"/>
    </row>
    <row r="5">
      <c r="A5" s="6" t="inlineStr">
        <is>
          <t>Interest income</t>
        </is>
      </c>
      <c r="B5" s="6" t="n"/>
      <c r="C5" s="6" t="n">
        <v>117726.2</v>
      </c>
      <c r="D5" s="6" t="n">
        <v>118993.4</v>
      </c>
      <c r="E5" s="6" t="n">
        <v>63895.8</v>
      </c>
      <c r="F5" s="6" t="n">
        <v>31528.2</v>
      </c>
    </row>
    <row r="6">
      <c r="A6" s="6" t="inlineStr">
        <is>
          <t>Interest expense</t>
        </is>
      </c>
      <c r="B6" s="6" t="n"/>
      <c r="C6" s="6" t="n">
        <v>-54871.3</v>
      </c>
      <c r="D6" s="6" t="n">
        <v>-41632.9</v>
      </c>
      <c r="E6" s="6" t="n">
        <v>-12130.6</v>
      </c>
      <c r="F6" s="6" t="n">
        <v>-3720.8</v>
      </c>
    </row>
    <row r="7">
      <c r="A7" s="5" t="inlineStr">
        <is>
          <t>Net interest income</t>
        </is>
      </c>
      <c r="B7" s="5" t="n"/>
      <c r="C7" s="5" t="n">
        <v>62855</v>
      </c>
      <c r="D7" s="5" t="n">
        <v>77360.5</v>
      </c>
      <c r="E7" s="5" t="n">
        <v>51765.3</v>
      </c>
      <c r="F7" s="5" t="n">
        <v>27807.4</v>
      </c>
    </row>
    <row r="8">
      <c r="A8" s="6" t="inlineStr">
        <is>
          <t>Fee and commission income</t>
        </is>
      </c>
      <c r="B8" s="6" t="n"/>
      <c r="C8" s="6" t="n">
        <v>7567.8</v>
      </c>
      <c r="D8" s="6" t="n">
        <v>8364</v>
      </c>
      <c r="E8" s="6" t="n">
        <v>8529.299999999999</v>
      </c>
      <c r="F8" s="6" t="n">
        <v>6454.5</v>
      </c>
    </row>
    <row r="9">
      <c r="A9" s="6" t="inlineStr">
        <is>
          <t>Trading income</t>
        </is>
      </c>
      <c r="B9" s="6" t="n"/>
      <c r="C9" s="6" t="n">
        <v>3094.9</v>
      </c>
      <c r="D9" s="6" t="n"/>
      <c r="E9" s="6" t="n"/>
      <c r="F9" s="6" t="n"/>
    </row>
    <row r="10">
      <c r="A10" s="6" t="inlineStr">
        <is>
          <t>Trading and other income</t>
        </is>
      </c>
      <c r="B10" s="6" t="n"/>
      <c r="C10" s="6" t="n"/>
      <c r="D10" s="6" t="n">
        <v>2002.1</v>
      </c>
      <c r="E10" s="6" t="n">
        <v>4256.7</v>
      </c>
      <c r="F10" s="6" t="n">
        <v>815.4</v>
      </c>
    </row>
    <row r="11">
      <c r="A11" s="6" t="inlineStr">
        <is>
          <t>Net gains/(losses) on disposal of securities measured at FVOCI</t>
        </is>
      </c>
      <c r="B11" s="6" t="n"/>
      <c r="C11" s="6" t="n">
        <v>-164.8</v>
      </c>
      <c r="D11" s="6" t="n">
        <v>-1331.6</v>
      </c>
      <c r="E11" s="6" t="n"/>
      <c r="F11" s="6" t="n"/>
    </row>
    <row r="12">
      <c r="A12" s="6" t="inlineStr">
        <is>
          <t>Net loss on derecognition of financial instruments</t>
        </is>
      </c>
      <c r="B12" s="6" t="n"/>
      <c r="C12" s="6" t="n">
        <v>-5856.7</v>
      </c>
      <c r="D12" s="6" t="n"/>
      <c r="E12" s="6" t="n"/>
      <c r="F12" s="6" t="n"/>
    </row>
    <row r="13">
      <c r="A13" s="6" t="inlineStr">
        <is>
          <t>Fair value movement on financial derivatives (net)</t>
        </is>
      </c>
      <c r="B13" s="6" t="n"/>
      <c r="C13" s="6" t="n">
        <v>-2705.2</v>
      </c>
      <c r="D13" s="6" t="n">
        <v>121.2</v>
      </c>
      <c r="E13" s="6" t="n">
        <v>-5585.1</v>
      </c>
      <c r="F13" s="6" t="n"/>
    </row>
    <row r="14">
      <c r="A14" s="6" t="inlineStr">
        <is>
          <t>Exchange differences</t>
        </is>
      </c>
      <c r="B14" s="6" t="n"/>
      <c r="C14" s="6" t="n">
        <v>1929.4</v>
      </c>
      <c r="D14" s="6" t="n">
        <v>-1138.2</v>
      </c>
      <c r="E14" s="6" t="n">
        <v>3526.4</v>
      </c>
      <c r="F14" s="6" t="n"/>
    </row>
    <row r="15">
      <c r="A15" s="6" t="inlineStr">
        <is>
          <t>Revaluation loss</t>
        </is>
      </c>
      <c r="B15" s="6" t="n"/>
      <c r="C15" s="6" t="n"/>
      <c r="D15" s="6" t="n"/>
      <c r="E15" s="6" t="n"/>
      <c r="F15" s="6" t="n">
        <v>-3130.1</v>
      </c>
    </row>
    <row r="16">
      <c r="A16" s="5" t="inlineStr">
        <is>
          <t>Operating income</t>
        </is>
      </c>
      <c r="B16" s="5" t="n"/>
      <c r="C16" s="5" t="n">
        <v>66720.5</v>
      </c>
      <c r="D16" s="5" t="n">
        <v>85377.89999999999</v>
      </c>
      <c r="E16" s="5" t="n">
        <v>62492.6</v>
      </c>
      <c r="F16" s="5" t="n">
        <v>31947.1</v>
      </c>
    </row>
    <row r="17">
      <c r="A17" s="6" t="inlineStr">
        <is>
          <t>Personnel expenses</t>
        </is>
      </c>
      <c r="B17" s="6" t="n"/>
      <c r="C17" s="6" t="n">
        <v>-18578.4</v>
      </c>
      <c r="D17" s="6" t="n">
        <v>-18017.1</v>
      </c>
      <c r="E17" s="6" t="n">
        <v>-13822</v>
      </c>
      <c r="F17" s="6" t="n">
        <v>-12363.2</v>
      </c>
    </row>
    <row r="18">
      <c r="A18" s="6" t="inlineStr">
        <is>
          <t>Depreciation and amortisation</t>
        </is>
      </c>
      <c r="B18" s="6" t="n"/>
      <c r="C18" s="6" t="n">
        <v>-1317.6</v>
      </c>
      <c r="D18" s="6" t="n">
        <v>-1306.3</v>
      </c>
      <c r="E18" s="6" t="n">
        <v>-1354.8</v>
      </c>
      <c r="F18" s="6" t="n">
        <v>-1292.2</v>
      </c>
    </row>
    <row r="19">
      <c r="A19" s="6" t="inlineStr">
        <is>
          <t>Other expenses</t>
        </is>
      </c>
      <c r="B19" s="6" t="n"/>
      <c r="C19" s="6" t="n">
        <v>-9248.4</v>
      </c>
      <c r="D19" s="6" t="n">
        <v>-6914.1</v>
      </c>
      <c r="E19" s="6" t="n">
        <v>-6438.3</v>
      </c>
      <c r="F19" s="6" t="n">
        <v>-5691</v>
      </c>
    </row>
    <row r="20">
      <c r="A20" s="5" t="inlineStr">
        <is>
          <t>Operating expenses</t>
        </is>
      </c>
      <c r="B20" s="5" t="n"/>
      <c r="C20" s="5" t="n">
        <v>-29144.4</v>
      </c>
      <c r="D20" s="5" t="n">
        <v>-26237.5</v>
      </c>
      <c r="E20" s="5" t="n">
        <v>-21615.1</v>
      </c>
      <c r="F20" s="5" t="n">
        <v>-19346.4</v>
      </c>
    </row>
    <row r="21">
      <c r="A21" s="5" t="inlineStr">
        <is>
          <t>Operating profit before impairment provision and taxation</t>
        </is>
      </c>
      <c r="B21" s="5" t="n"/>
      <c r="C21" s="5" t="n">
        <v>37576.1</v>
      </c>
      <c r="D21" s="5" t="n">
        <v>59140.4</v>
      </c>
      <c r="E21" s="5" t="n">
        <v>40877.5</v>
      </c>
      <c r="F21" s="5" t="n">
        <v>12600.7</v>
      </c>
    </row>
    <row r="22">
      <c r="A22" s="6" t="inlineStr">
        <is>
          <t>Net impairment credit/(charge) on financial assets</t>
        </is>
      </c>
      <c r="B22" s="6" t="n"/>
      <c r="C22" s="6" t="n">
        <v>6434.9</v>
      </c>
      <c r="D22" s="6" t="n">
        <v>-619.9</v>
      </c>
      <c r="E22" s="6" t="n">
        <v>-4262.4</v>
      </c>
      <c r="F22" s="6" t="n">
        <v>-2684.9</v>
      </c>
    </row>
    <row r="23">
      <c r="A23" s="5" t="inlineStr">
        <is>
          <t>Profit before tax</t>
        </is>
      </c>
      <c r="B23" s="5" t="n"/>
      <c r="C23" s="5" t="n">
        <v>44011</v>
      </c>
      <c r="D23" s="5" t="n">
        <v>58520.5</v>
      </c>
      <c r="E23" s="5" t="n">
        <v>36615</v>
      </c>
      <c r="F23" s="5" t="n">
        <v>9915.799999999999</v>
      </c>
    </row>
    <row r="24">
      <c r="A24" s="6" t="inlineStr">
        <is>
          <t>Income tax expense</t>
        </is>
      </c>
      <c r="B24" s="6" t="n"/>
      <c r="C24" s="6" t="n">
        <v>-10977.6</v>
      </c>
      <c r="D24" s="6" t="n">
        <v>-14435.4</v>
      </c>
      <c r="E24" s="6" t="n">
        <v>-8140.1</v>
      </c>
      <c r="F24" s="6" t="n">
        <v>-1623.1</v>
      </c>
    </row>
    <row r="25">
      <c r="A25" s="5" t="inlineStr">
        <is>
          <t>Profit for the year</t>
        </is>
      </c>
      <c r="B25" s="5" t="n"/>
      <c r="C25" s="5" t="n">
        <v>33033.4</v>
      </c>
      <c r="D25" s="5" t="n">
        <v>44085.1</v>
      </c>
      <c r="E25" s="5" t="n">
        <v>28474.9</v>
      </c>
      <c r="F25" s="5" t="n">
        <v>8292.700000000001</v>
      </c>
    </row>
    <row r="26">
      <c r="A26" s="5" t="inlineStr">
        <is>
          <t>Other comprehensive income</t>
        </is>
      </c>
      <c r="B26" s="6" t="n"/>
      <c r="C26" s="6" t="n"/>
      <c r="D26" s="6" t="n"/>
      <c r="E26" s="6" t="n"/>
      <c r="F26" s="6" t="n"/>
    </row>
    <row r="27">
      <c r="A27" s="6" t="inlineStr">
        <is>
          <t>Net change in fair value of debt instruments at FVOCI</t>
        </is>
      </c>
      <c r="B27" s="6" t="n"/>
      <c r="C27" s="6" t="n">
        <v>4392.4</v>
      </c>
      <c r="D27" s="6" t="n">
        <v>11073.3</v>
      </c>
      <c r="E27" s="6" t="n">
        <v>-18210.2</v>
      </c>
      <c r="F27" s="6" t="n">
        <v>-2769.3</v>
      </c>
    </row>
    <row r="28">
      <c r="A28" s="6" t="inlineStr">
        <is>
          <t>Net change in fair value of debt instruments reclassified to profit or loss</t>
        </is>
      </c>
      <c r="B28" s="6" t="n"/>
      <c r="C28" s="6" t="n">
        <v>164.8</v>
      </c>
      <c r="D28" s="6" t="n">
        <v>1331.6</v>
      </c>
      <c r="E28" s="6" t="n">
        <v>-40.8</v>
      </c>
      <c r="F28" s="6" t="n">
        <v>-435.1</v>
      </c>
    </row>
    <row r="29">
      <c r="A29" s="6" t="inlineStr">
        <is>
          <t>Expected credit loss reversals/(gains) recognised in income statement</t>
        </is>
      </c>
      <c r="B29" s="6" t="n"/>
      <c r="C29" s="6" t="n">
        <v>-360</v>
      </c>
      <c r="D29" s="6" t="n">
        <v>-155.8</v>
      </c>
      <c r="E29" s="6" t="n"/>
      <c r="F29" s="6" t="n"/>
    </row>
    <row r="30">
      <c r="A30" s="6" t="inlineStr">
        <is>
          <t>Income tax on items reclassified subsequently to profit or loss</t>
        </is>
      </c>
      <c r="B30" s="6" t="n"/>
      <c r="C30" s="6" t="n">
        <v>-1139.3</v>
      </c>
      <c r="D30" s="6" t="n">
        <v>-3101.2</v>
      </c>
      <c r="E30" s="6" t="n">
        <v>4961</v>
      </c>
      <c r="F30" s="6" t="n">
        <v>522.5</v>
      </c>
    </row>
    <row r="31">
      <c r="A31" s="5" t="inlineStr">
        <is>
          <t>Other comprehensive income for the year (net of tax)</t>
        </is>
      </c>
      <c r="B31" s="5" t="n"/>
      <c r="C31" s="5" t="n">
        <v>3057.9</v>
      </c>
      <c r="D31" s="5" t="n">
        <v>9147.799999999999</v>
      </c>
      <c r="E31" s="5" t="n">
        <v>-13290.1</v>
      </c>
      <c r="F31" s="5" t="n">
        <v>-2681.9</v>
      </c>
    </row>
    <row r="32">
      <c r="A32" s="5" t="inlineStr">
        <is>
          <t>Total comprehensive income for the year</t>
        </is>
      </c>
      <c r="B32" s="5" t="n"/>
      <c r="C32" s="5" t="n">
        <v>36091.3</v>
      </c>
      <c r="D32" s="5" t="n">
        <v>53232.9</v>
      </c>
      <c r="E32" s="5" t="n">
        <v>15184.8</v>
      </c>
      <c r="F32" s="5" t="n">
        <v>5610.8</v>
      </c>
    </row>
    <row r="34" ht="380" customHeight="1">
      <c r="A34"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FY2025 is blank: no FY2025 Annual Report has been published yet (only the FY2025 Pillar 3 disclosure is out so far) - Pillar 3 sheets are fully populated for FY2025.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31 Dec 2020 spot 1.3661 (FY2021 opening cash only);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all 4 years shown - zero plug rows.</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Zenith Bank (UK) Limited — Statement of Changes in Equity</t>
        </is>
      </c>
    </row>
    <row r="2">
      <c r="A2" s="2" t="inlineStr">
        <is>
          <t>£'000, converted from USD - chronological 1 January 2021 through 31 December 2024. No FY2025 movement shown (no FY2025 Annual Report yet).</t>
        </is>
      </c>
    </row>
    <row r="3">
      <c r="A3" s="4" t="inlineStr">
        <is>
          <t>Movement</t>
        </is>
      </c>
      <c r="B3" s="4" t="inlineStr">
        <is>
          <t>Share Capital</t>
        </is>
      </c>
      <c r="C3" s="4" t="inlineStr">
        <is>
          <t>FVOCI Reserves</t>
        </is>
      </c>
      <c r="D3" s="4" t="inlineStr">
        <is>
          <t>Retained Earnings</t>
        </is>
      </c>
      <c r="E3" s="4" t="inlineStr">
        <is>
          <t>Total Equity</t>
        </is>
      </c>
    </row>
    <row r="4">
      <c r="A4" s="5" t="inlineStr">
        <is>
          <t>Balance as at 1 January 2021</t>
        </is>
      </c>
      <c r="B4" s="5" t="n">
        <v>100067.1</v>
      </c>
      <c r="C4" s="5" t="n">
        <v>3097.7</v>
      </c>
      <c r="D4" s="5" t="n">
        <v>98557.8</v>
      </c>
      <c r="E4" s="5" t="n">
        <v>201722.6</v>
      </c>
    </row>
    <row r="5">
      <c r="A5" s="6" t="inlineStr">
        <is>
          <t>Profit for the year (FY2021)</t>
        </is>
      </c>
      <c r="B5" s="6" t="n">
        <v>0</v>
      </c>
      <c r="C5" s="6" t="n">
        <v>0</v>
      </c>
      <c r="D5" s="6" t="n">
        <v>8292.700000000001</v>
      </c>
      <c r="E5" s="6" t="n">
        <v>8292.700000000001</v>
      </c>
    </row>
    <row r="6">
      <c r="A6" s="6" t="inlineStr">
        <is>
          <t>Other comprehensive income (FY2021)</t>
        </is>
      </c>
      <c r="B6" s="6" t="n">
        <v>0</v>
      </c>
      <c r="C6" s="6" t="n">
        <v>-2681.9</v>
      </c>
      <c r="D6" s="6" t="n">
        <v>0</v>
      </c>
      <c r="E6" s="6" t="n">
        <v>-2681.9</v>
      </c>
    </row>
    <row r="7">
      <c r="A7" s="6" t="inlineStr">
        <is>
          <t>Dividends paid to shareholders (FY2021)</t>
        </is>
      </c>
      <c r="B7" s="6" t="n">
        <v>0</v>
      </c>
      <c r="C7" s="6" t="n">
        <v>0</v>
      </c>
      <c r="D7" s="6" t="n">
        <v>-6512.3</v>
      </c>
      <c r="E7" s="6" t="n">
        <v>-6512.3</v>
      </c>
    </row>
    <row r="8">
      <c r="A8" s="5" t="inlineStr">
        <is>
          <t>Balance as at 31 December 2021</t>
        </is>
      </c>
      <c r="B8" s="5" t="n">
        <v>101103.2</v>
      </c>
      <c r="C8" s="5" t="n">
        <v>402.1</v>
      </c>
      <c r="D8" s="5" t="n">
        <v>101389.1</v>
      </c>
      <c r="E8" s="5" t="n">
        <v>202894.4</v>
      </c>
    </row>
    <row r="9">
      <c r="A9" s="6" t="inlineStr">
        <is>
          <t>Profit for the year (FY2022)</t>
        </is>
      </c>
      <c r="B9" s="6" t="n">
        <v>0</v>
      </c>
      <c r="C9" s="6" t="n">
        <v>0</v>
      </c>
      <c r="D9" s="6" t="n">
        <v>28474.9</v>
      </c>
      <c r="E9" s="6" t="n">
        <v>28474.9</v>
      </c>
    </row>
    <row r="10">
      <c r="A10" s="6" t="inlineStr">
        <is>
          <t>Other comprehensive income (FY2022)</t>
        </is>
      </c>
      <c r="B10" s="6" t="n">
        <v>0</v>
      </c>
      <c r="C10" s="6" t="n">
        <v>-13290.1</v>
      </c>
      <c r="D10" s="6" t="n">
        <v>0</v>
      </c>
      <c r="E10" s="6" t="n">
        <v>-13290.1</v>
      </c>
    </row>
    <row r="11">
      <c r="A11" s="6" t="inlineStr">
        <is>
          <t>Dividends paid to shareholders (FY2022)</t>
        </is>
      </c>
      <c r="B11" s="6" t="n">
        <v>0</v>
      </c>
      <c r="C11" s="6" t="n">
        <v>0</v>
      </c>
      <c r="D11" s="6" t="n">
        <v>-4610.9</v>
      </c>
      <c r="E11" s="6" t="n">
        <v>-4610.9</v>
      </c>
    </row>
    <row r="12">
      <c r="A12" s="5" t="inlineStr">
        <is>
          <t>Balance as at 31 December 2022</t>
        </is>
      </c>
      <c r="B12" s="5" t="n">
        <v>113004.6</v>
      </c>
      <c r="C12" s="5" t="n">
        <v>-13131.8</v>
      </c>
      <c r="D12" s="5" t="n">
        <v>137710.9</v>
      </c>
      <c r="E12" s="5" t="n">
        <v>237583.7</v>
      </c>
    </row>
    <row r="13">
      <c r="A13" s="6" t="inlineStr">
        <is>
          <t>Profit for the year (FY2023)</t>
        </is>
      </c>
      <c r="B13" s="6" t="n">
        <v>0</v>
      </c>
      <c r="C13" s="6" t="n">
        <v>0</v>
      </c>
      <c r="D13" s="6" t="n">
        <v>44085.1</v>
      </c>
      <c r="E13" s="6" t="n">
        <v>44085.1</v>
      </c>
    </row>
    <row r="14">
      <c r="A14" s="6" t="inlineStr">
        <is>
          <t>Other comprehensive income (FY2023)</t>
        </is>
      </c>
      <c r="B14" s="6" t="n">
        <v>0</v>
      </c>
      <c r="C14" s="6" t="n">
        <v>9147.799999999999</v>
      </c>
      <c r="D14" s="6" t="n">
        <v>0</v>
      </c>
      <c r="E14" s="6" t="n">
        <v>9147.799999999999</v>
      </c>
    </row>
    <row r="15">
      <c r="A15" s="6" t="inlineStr">
        <is>
          <t>Dividends paid to shareholders (FY2023)</t>
        </is>
      </c>
      <c r="B15" s="6" t="n">
        <v>0</v>
      </c>
      <c r="C15" s="6" t="n">
        <v>0</v>
      </c>
      <c r="D15" s="6" t="n">
        <v>-14149</v>
      </c>
      <c r="E15" s="6" t="n">
        <v>-14149</v>
      </c>
    </row>
    <row r="16">
      <c r="A16" s="5" t="inlineStr">
        <is>
          <t>Balance as at 31 December 2023</t>
        </is>
      </c>
      <c r="B16" s="5" t="n">
        <v>107368.5</v>
      </c>
      <c r="C16" s="5" t="n">
        <v>-3539.6</v>
      </c>
      <c r="D16" s="5" t="n">
        <v>160089.8</v>
      </c>
      <c r="E16" s="5" t="n">
        <v>263918.8</v>
      </c>
    </row>
    <row r="17">
      <c r="A17" s="6" t="inlineStr">
        <is>
          <t>Profit for the year (FY2024)</t>
        </is>
      </c>
      <c r="B17" s="6" t="n">
        <v>0</v>
      </c>
      <c r="C17" s="6" t="n">
        <v>0</v>
      </c>
      <c r="D17" s="6" t="n">
        <v>33033.4</v>
      </c>
      <c r="E17" s="6" t="n">
        <v>33033.4</v>
      </c>
    </row>
    <row r="18">
      <c r="A18" s="6" t="inlineStr">
        <is>
          <t>Other comprehensive income (FY2024)</t>
        </is>
      </c>
      <c r="B18" s="6" t="n">
        <v>0</v>
      </c>
      <c r="C18" s="6" t="n">
        <v>3057.9</v>
      </c>
      <c r="D18" s="6" t="n">
        <v>0</v>
      </c>
      <c r="E18" s="6" t="n">
        <v>3057.9</v>
      </c>
    </row>
    <row r="19">
      <c r="A19" s="6" t="inlineStr">
        <is>
          <t>Dividends paid to shareholders (FY2024)</t>
        </is>
      </c>
      <c r="B19" s="6" t="n">
        <v>0</v>
      </c>
      <c r="C19" s="6" t="n">
        <v>0</v>
      </c>
      <c r="D19" s="6" t="n">
        <v>0</v>
      </c>
      <c r="E19" s="6" t="n">
        <v>0</v>
      </c>
    </row>
    <row r="20">
      <c r="A20" s="5" t="inlineStr">
        <is>
          <t>Balance as at 31 December 2024</t>
        </is>
      </c>
      <c r="B20" s="5" t="n">
        <v>109230.2</v>
      </c>
      <c r="C20" s="5" t="n">
        <v>-477.8</v>
      </c>
      <c r="D20" s="5" t="n">
        <v>196603.8</v>
      </c>
      <c r="E20" s="5" t="n">
        <v>305356.2</v>
      </c>
    </row>
    <row r="22" ht="280" customHeight="1">
      <c r="A22" s="8" t="inlineStr">
        <is>
          <t>Sources - Zenith Bank (UK) Limited's own Statement of Changes in Equity (converted from USD to £, see FX conversion note below):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Opening balance (1 Jan 2021) is converted using the 31 Dec 2020 GBP/USD spot rate (1.3661) since it is the same balance as FY2020's closing position.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31 Dec 2020 spot 1.3661 (FY2021 opening cash only);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Cash Flows</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activities</t>
        </is>
      </c>
      <c r="B4" s="6" t="n"/>
      <c r="C4" s="6" t="n"/>
      <c r="D4" s="6" t="n"/>
      <c r="E4" s="6" t="n"/>
      <c r="F4" s="6" t="n"/>
    </row>
    <row r="5">
      <c r="A5" s="6" t="inlineStr">
        <is>
          <t>Profit for the year</t>
        </is>
      </c>
      <c r="B5" s="6" t="n"/>
      <c r="C5" s="6" t="n">
        <v>33033.4</v>
      </c>
      <c r="D5" s="6" t="n">
        <v>44085.1</v>
      </c>
      <c r="E5" s="6" t="n">
        <v>28474.9</v>
      </c>
      <c r="F5" s="6" t="n">
        <v>8292.700000000001</v>
      </c>
    </row>
    <row r="6">
      <c r="A6" s="6" t="inlineStr">
        <is>
          <t>Impairment provision charge/(reversal)</t>
        </is>
      </c>
      <c r="B6" s="6" t="n"/>
      <c r="C6" s="6" t="n">
        <v>-6434.9</v>
      </c>
      <c r="D6" s="6" t="n">
        <v>619.9</v>
      </c>
      <c r="E6" s="6" t="n">
        <v>4262.4</v>
      </c>
      <c r="F6" s="6" t="n">
        <v>2684.9</v>
      </c>
    </row>
    <row r="7">
      <c r="A7" s="6" t="inlineStr">
        <is>
          <t>Depreciation of property and equipment</t>
        </is>
      </c>
      <c r="B7" s="6" t="n"/>
      <c r="C7" s="6" t="n">
        <v>926.7</v>
      </c>
      <c r="D7" s="6" t="n">
        <v>864</v>
      </c>
      <c r="E7" s="6" t="n">
        <v>914.9</v>
      </c>
      <c r="F7" s="6" t="n">
        <v>810.8</v>
      </c>
    </row>
    <row r="8">
      <c r="A8" s="6" t="inlineStr">
        <is>
          <t>Amortisation of intangible assets</t>
        </is>
      </c>
      <c r="B8" s="6" t="n"/>
      <c r="C8" s="6" t="n">
        <v>390.8</v>
      </c>
      <c r="D8" s="6" t="n">
        <v>442.3</v>
      </c>
      <c r="E8" s="6" t="n">
        <v>439.9</v>
      </c>
      <c r="F8" s="6" t="n">
        <v>481.5</v>
      </c>
    </row>
    <row r="9">
      <c r="A9" s="6" t="inlineStr">
        <is>
          <t>Interest expense on Right-of-use lease obligations</t>
        </is>
      </c>
      <c r="B9" s="6" t="n"/>
      <c r="C9" s="6" t="n">
        <v>271.3</v>
      </c>
      <c r="D9" s="6" t="n">
        <v>14.7</v>
      </c>
      <c r="E9" s="6" t="n"/>
      <c r="F9" s="6" t="n">
        <v>35.8</v>
      </c>
    </row>
    <row r="10">
      <c r="A10" s="6" t="inlineStr">
        <is>
          <t>Recoveries of bad debts written off</t>
        </is>
      </c>
      <c r="B10" s="6" t="n"/>
      <c r="C10" s="6" t="n"/>
      <c r="D10" s="6" t="n"/>
      <c r="E10" s="6" t="n">
        <v>-55.9</v>
      </c>
      <c r="F10" s="6" t="n"/>
    </row>
    <row r="11">
      <c r="A11" s="6" t="inlineStr">
        <is>
          <t>Current income tax expense</t>
        </is>
      </c>
      <c r="B11" s="6" t="n"/>
      <c r="C11" s="6" t="n">
        <v>10603.7</v>
      </c>
      <c r="D11" s="6" t="n">
        <v>14265.6</v>
      </c>
      <c r="E11" s="6" t="n">
        <v>7636.1</v>
      </c>
      <c r="F11" s="6" t="n">
        <v>1623.1</v>
      </c>
    </row>
    <row r="12">
      <c r="A12" s="6" t="inlineStr">
        <is>
          <t>Deferred income tax expense</t>
        </is>
      </c>
      <c r="B12" s="6" t="n"/>
      <c r="C12" s="6" t="n">
        <v>373.9</v>
      </c>
      <c r="D12" s="6" t="n">
        <v>169.8</v>
      </c>
      <c r="E12" s="6" t="n">
        <v>194</v>
      </c>
      <c r="F12" s="6" t="n"/>
    </row>
    <row r="13">
      <c r="A13" s="6" t="inlineStr">
        <is>
          <t>Foreign currency translation gain - Right-of-use assets</t>
        </is>
      </c>
      <c r="B13" s="6" t="n"/>
      <c r="C13" s="6" t="n"/>
      <c r="D13" s="6" t="n"/>
      <c r="E13" s="6" t="n"/>
      <c r="F13" s="6" t="n">
        <v>-153.9</v>
      </c>
    </row>
    <row r="14">
      <c r="A14" s="6" t="inlineStr">
        <is>
          <t>Foreign currency translation gain/(loss) - Lease obligation</t>
        </is>
      </c>
      <c r="B14" s="6" t="n"/>
      <c r="C14" s="6" t="n"/>
      <c r="D14" s="6" t="n">
        <v>88.90000000000001</v>
      </c>
      <c r="E14" s="6" t="n">
        <v>-257.1</v>
      </c>
      <c r="F14" s="6" t="n">
        <v>-223.3</v>
      </c>
    </row>
    <row r="15">
      <c r="A15" s="6" t="inlineStr">
        <is>
          <t>Foreign currency translation gain - Deferred tax assets</t>
        </is>
      </c>
      <c r="B15" s="6" t="n"/>
      <c r="C15" s="6" t="n"/>
      <c r="D15" s="6" t="n"/>
      <c r="E15" s="6" t="n">
        <v>0</v>
      </c>
      <c r="F15" s="6" t="n"/>
    </row>
    <row r="16">
      <c r="A16" s="6" t="inlineStr">
        <is>
          <t>Foreign currency translation (gain)/loss - Corporation tax liability</t>
        </is>
      </c>
      <c r="B16" s="6" t="n"/>
      <c r="C16" s="6" t="n"/>
      <c r="D16" s="6" t="n">
        <v>-99.2</v>
      </c>
      <c r="E16" s="6" t="n">
        <v>-35.4</v>
      </c>
      <c r="F16" s="6" t="n">
        <v>-2</v>
      </c>
    </row>
    <row r="17">
      <c r="A17" s="6" t="inlineStr">
        <is>
          <t>Deferred tax asset write-off (legacy)</t>
        </is>
      </c>
      <c r="B17" s="6" t="n"/>
      <c r="C17" s="6" t="n"/>
      <c r="D17" s="6" t="n">
        <v>1</v>
      </c>
      <c r="E17" s="6" t="n"/>
      <c r="F17" s="6" t="n"/>
    </row>
    <row r="18">
      <c r="A18" s="6" t="inlineStr">
        <is>
          <t>Impairment on equity investments</t>
        </is>
      </c>
      <c r="B18" s="6" t="n"/>
      <c r="C18" s="6" t="n"/>
      <c r="D18" s="6" t="n"/>
      <c r="E18" s="6" t="n"/>
      <c r="F18" s="6" t="n">
        <v>48.5</v>
      </c>
    </row>
    <row r="19">
      <c r="A19" s="6" t="inlineStr">
        <is>
          <t>Interest income</t>
        </is>
      </c>
      <c r="B19" s="6" t="n"/>
      <c r="C19" s="6" t="n">
        <v>-117726.2</v>
      </c>
      <c r="D19" s="6" t="n">
        <v>-118993.4</v>
      </c>
      <c r="E19" s="6" t="n">
        <v>-63895.8</v>
      </c>
      <c r="F19" s="6" t="n"/>
    </row>
    <row r="20">
      <c r="A20" s="6" t="inlineStr">
        <is>
          <t>Interest expense</t>
        </is>
      </c>
      <c r="B20" s="6" t="n"/>
      <c r="C20" s="6" t="n">
        <v>54600</v>
      </c>
      <c r="D20" s="6" t="n">
        <v>41618.2</v>
      </c>
      <c r="E20" s="6" t="n">
        <v>12130.6</v>
      </c>
      <c r="F20" s="6" t="n"/>
    </row>
    <row r="21">
      <c r="A21" s="6" t="inlineStr">
        <is>
          <t>Fair value movement on securities measured at FVTPL</t>
        </is>
      </c>
      <c r="B21" s="6" t="n"/>
      <c r="C21" s="6" t="n">
        <v>54.1</v>
      </c>
      <c r="D21" s="6" t="n"/>
      <c r="E21" s="6" t="n"/>
      <c r="F21" s="6" t="n"/>
    </row>
    <row r="22">
      <c r="A22" s="6" t="inlineStr">
        <is>
          <t>Fair value movement on derivative contracts</t>
        </is>
      </c>
      <c r="B22" s="6" t="n"/>
      <c r="C22" s="6" t="n">
        <v>2705.2</v>
      </c>
      <c r="D22" s="6" t="n"/>
      <c r="E22" s="6" t="n"/>
      <c r="F22" s="6" t="n"/>
    </row>
    <row r="23">
      <c r="A23" s="6" t="inlineStr">
        <is>
          <t>Unrealised foreign exchange (gains)/losses</t>
        </is>
      </c>
      <c r="B23" s="6" t="n"/>
      <c r="C23" s="6" t="n">
        <v>-1929.4</v>
      </c>
      <c r="D23" s="6" t="n"/>
      <c r="E23" s="6" t="n"/>
      <c r="F23" s="6" t="n"/>
    </row>
    <row r="24">
      <c r="A24" s="6" t="inlineStr">
        <is>
          <t>Loss on derecognition of assets</t>
        </is>
      </c>
      <c r="B24" s="6" t="n"/>
      <c r="C24" s="6" t="n">
        <v>5856.7</v>
      </c>
      <c r="D24" s="6" t="n"/>
      <c r="E24" s="6" t="n"/>
      <c r="F24" s="6" t="n"/>
    </row>
    <row r="25">
      <c r="A25" s="6" t="inlineStr">
        <is>
          <t>Decrease/(Increase) in loans and advances to banks</t>
        </is>
      </c>
      <c r="B25" s="6" t="n"/>
      <c r="C25" s="6" t="n">
        <v>29135.6</v>
      </c>
      <c r="D25" s="6" t="n">
        <v>14246.2</v>
      </c>
      <c r="E25" s="6" t="n">
        <v>-13748.1</v>
      </c>
      <c r="F25" s="6" t="n">
        <v>21515.7</v>
      </c>
    </row>
    <row r="26">
      <c r="A26" s="6" t="inlineStr">
        <is>
          <t>(Increase)/Decrease in loans and advances to customers</t>
        </is>
      </c>
      <c r="B26" s="6" t="n"/>
      <c r="C26" s="6" t="n">
        <v>-72008.7</v>
      </c>
      <c r="D26" s="6" t="n">
        <v>-30523.7</v>
      </c>
      <c r="E26" s="6" t="n">
        <v>32301.5</v>
      </c>
      <c r="F26" s="6" t="n">
        <v>-142893.6</v>
      </c>
    </row>
    <row r="27">
      <c r="A27" s="6" t="inlineStr">
        <is>
          <t>(Increase)/Decrease in securities measured at fair value through profit or loss</t>
        </is>
      </c>
      <c r="B27" s="6" t="n"/>
      <c r="C27" s="6" t="n">
        <v>-94</v>
      </c>
      <c r="D27" s="6" t="n">
        <v>-1408.1</v>
      </c>
      <c r="E27" s="6" t="n">
        <v>5332.3</v>
      </c>
      <c r="F27" s="6" t="n">
        <v>382.3</v>
      </c>
    </row>
    <row r="28">
      <c r="A28" s="6" t="inlineStr">
        <is>
          <t>Decrease/(Increase) in securities measured at FVOCI</t>
        </is>
      </c>
      <c r="B28" s="6" t="n"/>
      <c r="C28" s="6" t="n">
        <v>246077.5</v>
      </c>
      <c r="D28" s="6" t="n">
        <v>125305.6</v>
      </c>
      <c r="E28" s="6" t="n">
        <v>-460226</v>
      </c>
      <c r="F28" s="6" t="n">
        <v>-228212</v>
      </c>
    </row>
    <row r="29">
      <c r="A29" s="6" t="inlineStr">
        <is>
          <t>(Increase)/Decrease in other assets</t>
        </is>
      </c>
      <c r="B29" s="6" t="n"/>
      <c r="C29" s="6" t="n">
        <v>-3448.8</v>
      </c>
      <c r="D29" s="6" t="n">
        <v>-1017.3</v>
      </c>
      <c r="E29" s="6" t="n">
        <v>110</v>
      </c>
      <c r="F29" s="6" t="n">
        <v>-420.1</v>
      </c>
    </row>
    <row r="30">
      <c r="A30" s="6" t="inlineStr">
        <is>
          <t>(Decrease)/Increase in deposits from banks</t>
        </is>
      </c>
      <c r="B30" s="6" t="n"/>
      <c r="C30" s="6" t="n">
        <v>-5927.9</v>
      </c>
      <c r="D30" s="6" t="n">
        <v>-553170.2</v>
      </c>
      <c r="E30" s="6" t="n">
        <v>64102.2</v>
      </c>
      <c r="F30" s="6" t="n">
        <v>436713.3</v>
      </c>
    </row>
    <row r="31">
      <c r="A31" s="6" t="inlineStr">
        <is>
          <t>(Decrease)/Increase in deposits from customers</t>
        </is>
      </c>
      <c r="B31" s="6" t="n"/>
      <c r="C31" s="6" t="n">
        <v>-82122.2</v>
      </c>
      <c r="D31" s="6" t="n">
        <v>160865.4</v>
      </c>
      <c r="E31" s="6" t="n">
        <v>100175.7</v>
      </c>
      <c r="F31" s="6" t="n">
        <v>-54463.8</v>
      </c>
    </row>
    <row r="32">
      <c r="A32" s="6" t="inlineStr">
        <is>
          <t>Increase/(Decrease) in repurchase agreements and other similar secured borrowing</t>
        </is>
      </c>
      <c r="B32" s="6" t="n"/>
      <c r="C32" s="6" t="n">
        <v>33642</v>
      </c>
      <c r="D32" s="6" t="n">
        <v>-24583.5</v>
      </c>
      <c r="E32" s="6" t="n">
        <v>24574.5</v>
      </c>
      <c r="F32" s="6" t="n">
        <v>33139.3</v>
      </c>
    </row>
    <row r="33">
      <c r="A33" s="6" t="inlineStr">
        <is>
          <t>(Increase)/Decrease in derivative financial instruments (net)</t>
        </is>
      </c>
      <c r="B33" s="6" t="n"/>
      <c r="C33" s="6" t="n"/>
      <c r="D33" s="6" t="n">
        <v>-95.59999999999999</v>
      </c>
      <c r="E33" s="6" t="n">
        <v>-315.2</v>
      </c>
      <c r="F33" s="6" t="n">
        <v>4246.1</v>
      </c>
    </row>
    <row r="34">
      <c r="A34" s="6" t="inlineStr">
        <is>
          <t>Increase/(Decrease) in other liabilities</t>
        </is>
      </c>
      <c r="B34" s="6" t="n"/>
      <c r="C34" s="6" t="n">
        <v>3811.4</v>
      </c>
      <c r="D34" s="6" t="n">
        <v>-7814.9</v>
      </c>
      <c r="E34" s="6" t="n">
        <v>7924</v>
      </c>
      <c r="F34" s="6" t="n">
        <v>2062.3</v>
      </c>
    </row>
    <row r="35">
      <c r="A35" s="6" t="inlineStr">
        <is>
          <t>Interest income received</t>
        </is>
      </c>
      <c r="B35" s="6" t="n"/>
      <c r="C35" s="6" t="n">
        <v>81396.60000000001</v>
      </c>
      <c r="D35" s="6" t="n">
        <v>109627</v>
      </c>
      <c r="E35" s="6" t="n">
        <v>70337.7</v>
      </c>
      <c r="F35" s="6" t="n"/>
    </row>
    <row r="36">
      <c r="A36" s="6" t="inlineStr">
        <is>
          <t>Interest expense paid</t>
        </is>
      </c>
      <c r="B36" s="6" t="n"/>
      <c r="C36" s="6" t="n">
        <v>-41972.7</v>
      </c>
      <c r="D36" s="6" t="n">
        <v>-35626.4</v>
      </c>
      <c r="E36" s="6" t="n">
        <v>-10111.2</v>
      </c>
      <c r="F36" s="6" t="n"/>
    </row>
    <row r="37">
      <c r="A37" s="6" t="inlineStr">
        <is>
          <t>Income tax paid</t>
        </is>
      </c>
      <c r="B37" s="6" t="n"/>
      <c r="C37" s="6" t="n">
        <v>-8984.1</v>
      </c>
      <c r="D37" s="6" t="n">
        <v>-15607.8</v>
      </c>
      <c r="E37" s="6" t="n">
        <v>-7451</v>
      </c>
      <c r="F37" s="6" t="n">
        <v>-1286.3</v>
      </c>
    </row>
    <row r="38">
      <c r="A38" s="5" t="inlineStr">
        <is>
          <t>Net cash generated from/(used in) operating activities</t>
        </is>
      </c>
      <c r="B38" s="5" t="n"/>
      <c r="C38" s="5" t="n">
        <v>162230.1</v>
      </c>
      <c r="D38" s="5" t="n">
        <v>-276726.4</v>
      </c>
      <c r="E38" s="5" t="n">
        <v>-197184.8</v>
      </c>
      <c r="F38" s="5" t="n">
        <v>84381.3</v>
      </c>
    </row>
    <row r="39">
      <c r="A39" s="5" t="inlineStr">
        <is>
          <t>Investing activities</t>
        </is>
      </c>
      <c r="B39" s="6" t="n"/>
      <c r="C39" s="6" t="n"/>
      <c r="D39" s="6" t="n"/>
      <c r="E39" s="6" t="n"/>
      <c r="F39" s="6" t="n"/>
    </row>
    <row r="40">
      <c r="A40" s="6" t="inlineStr">
        <is>
          <t>Acquisition of securities measured at amortised cost</t>
        </is>
      </c>
      <c r="B40" s="6" t="n"/>
      <c r="C40" s="6" t="n">
        <v>-63438.6</v>
      </c>
      <c r="D40" s="6" t="n">
        <v>-21488.7</v>
      </c>
      <c r="E40" s="6" t="n">
        <v>-38525.3</v>
      </c>
      <c r="F40" s="6" t="n">
        <v>-31205.1</v>
      </c>
    </row>
    <row r="41">
      <c r="A41" s="6" t="inlineStr">
        <is>
          <t>Proceeds from redemption of securities measured at amortised cost</t>
        </is>
      </c>
      <c r="B41" s="6" t="n"/>
      <c r="C41" s="6" t="n">
        <v>54622.5</v>
      </c>
      <c r="D41" s="6" t="n">
        <v>16939.9</v>
      </c>
      <c r="E41" s="6" t="n">
        <v>22359.8</v>
      </c>
      <c r="F41" s="6" t="n">
        <v>23472.9</v>
      </c>
    </row>
    <row r="42">
      <c r="A42" s="6" t="inlineStr">
        <is>
          <t>Interest income received (investing)</t>
        </is>
      </c>
      <c r="B42" s="6" t="n"/>
      <c r="C42" s="6" t="n">
        <v>10994.9</v>
      </c>
      <c r="D42" s="6" t="n">
        <v>12221.3</v>
      </c>
      <c r="E42" s="6" t="n">
        <v>14429</v>
      </c>
      <c r="F42" s="6" t="n"/>
    </row>
    <row r="43">
      <c r="A43" s="6" t="inlineStr">
        <is>
          <t>Acquisition of property and equipment</t>
        </is>
      </c>
      <c r="B43" s="6" t="n"/>
      <c r="C43" s="6" t="n">
        <v>-48.6</v>
      </c>
      <c r="D43" s="6" t="n">
        <v>-48.4</v>
      </c>
      <c r="E43" s="6" t="n">
        <v>-21.3</v>
      </c>
      <c r="F43" s="6" t="n">
        <v>-25</v>
      </c>
    </row>
    <row r="44">
      <c r="A44" s="6" t="inlineStr">
        <is>
          <t>Additions to Right-of-use assets</t>
        </is>
      </c>
      <c r="B44" s="6" t="n"/>
      <c r="C44" s="6" t="n"/>
      <c r="D44" s="6" t="n"/>
      <c r="E44" s="6" t="n"/>
      <c r="F44" s="6" t="n">
        <v>-33.9</v>
      </c>
    </row>
    <row r="45">
      <c r="A45" s="6" t="inlineStr">
        <is>
          <t>Acquisition of intangible assets</t>
        </is>
      </c>
      <c r="B45" s="6" t="n"/>
      <c r="C45" s="6" t="n">
        <v>-1700.5</v>
      </c>
      <c r="D45" s="6" t="n">
        <v>-264</v>
      </c>
      <c r="E45" s="6" t="n">
        <v>-397.7</v>
      </c>
      <c r="F45" s="6" t="n">
        <v>-227.3</v>
      </c>
    </row>
    <row r="46">
      <c r="A46" s="5" t="inlineStr">
        <is>
          <t>Net cash generated from/(used in) investing activities</t>
        </is>
      </c>
      <c r="B46" s="5" t="n"/>
      <c r="C46" s="5" t="n">
        <v>429.6</v>
      </c>
      <c r="D46" s="5" t="n">
        <v>7360.1</v>
      </c>
      <c r="E46" s="5" t="n">
        <v>-2155.5</v>
      </c>
      <c r="F46" s="5" t="n">
        <v>-8018.4</v>
      </c>
    </row>
    <row r="47">
      <c r="A47" s="5" t="inlineStr">
        <is>
          <t>Financing activities</t>
        </is>
      </c>
      <c r="B47" s="6" t="n"/>
      <c r="C47" s="6" t="n"/>
      <c r="D47" s="6" t="n"/>
      <c r="E47" s="6" t="n"/>
      <c r="F47" s="6" t="n"/>
    </row>
    <row r="48">
      <c r="A48" s="6" t="inlineStr">
        <is>
          <t>Repayment of lease liability/obligation</t>
        </is>
      </c>
      <c r="B48" s="6" t="n"/>
      <c r="C48" s="6" t="n">
        <v>-525.9</v>
      </c>
      <c r="D48" s="6" t="n">
        <v>-744.7</v>
      </c>
      <c r="E48" s="6" t="n">
        <v>-666.7</v>
      </c>
      <c r="F48" s="6" t="n">
        <v>-788.4</v>
      </c>
    </row>
    <row r="49">
      <c r="A49" s="6" t="inlineStr">
        <is>
          <t>Addition of new lease obligation</t>
        </is>
      </c>
      <c r="B49" s="6" t="n"/>
      <c r="C49" s="6" t="n"/>
      <c r="D49" s="6" t="n"/>
      <c r="E49" s="6" t="n"/>
      <c r="F49" s="6" t="n">
        <v>33.9</v>
      </c>
    </row>
    <row r="50">
      <c r="A50" s="6" t="inlineStr">
        <is>
          <t>Dividends paid to shareholders</t>
        </is>
      </c>
      <c r="B50" s="6" t="n"/>
      <c r="C50" s="6" t="n"/>
      <c r="D50" s="6" t="n">
        <v>-14149</v>
      </c>
      <c r="E50" s="6" t="n">
        <v>-4610.9</v>
      </c>
      <c r="F50" s="6" t="n">
        <v>-6512.3</v>
      </c>
    </row>
    <row r="51">
      <c r="A51" s="5" t="inlineStr">
        <is>
          <t>Net cash generated from/(used in) financing activities</t>
        </is>
      </c>
      <c r="B51" s="5" t="n"/>
      <c r="C51" s="5" t="n">
        <v>-525.9</v>
      </c>
      <c r="D51" s="5" t="n">
        <v>-14893.7</v>
      </c>
      <c r="E51" s="5" t="n">
        <v>-5277.6</v>
      </c>
      <c r="F51" s="5" t="n">
        <v>-7266.8</v>
      </c>
    </row>
    <row r="52">
      <c r="A52" s="5" t="inlineStr">
        <is>
          <t>Net (decrease)/increase of cash and cash equivalents</t>
        </is>
      </c>
      <c r="B52" s="5" t="n"/>
      <c r="C52" s="5" t="n">
        <v>162133.8</v>
      </c>
      <c r="D52" s="5" t="n">
        <v>-284260.1</v>
      </c>
      <c r="E52" s="5" t="n">
        <v>-204617.9</v>
      </c>
      <c r="F52" s="5" t="n">
        <v>69096.10000000001</v>
      </c>
    </row>
    <row r="53">
      <c r="A53" s="6" t="inlineStr">
        <is>
          <t>Cash and cash equivalents as at 1 January</t>
        </is>
      </c>
      <c r="B53" s="6" t="n"/>
      <c r="C53" s="6" t="n">
        <v>216831.3</v>
      </c>
      <c r="D53" s="6" t="n">
        <v>520509.8</v>
      </c>
      <c r="E53" s="6" t="n">
        <v>652769.3</v>
      </c>
      <c r="F53" s="6" t="n">
        <v>576523.2</v>
      </c>
    </row>
    <row r="54">
      <c r="A54" s="6" t="inlineStr">
        <is>
          <t>Effect of exchange rate changes on cash and cash equivalents (as reported, USD)</t>
        </is>
      </c>
      <c r="B54" s="6" t="n"/>
      <c r="C54" s="6" t="n">
        <v>-2406.2</v>
      </c>
      <c r="D54" s="6" t="n"/>
      <c r="E54" s="6" t="n"/>
      <c r="F54" s="6" t="n"/>
    </row>
    <row r="55">
      <c r="A55" s="6" t="inlineStr">
        <is>
          <t>Effect of GBP/USD translation (£ conversion artefact - see FX note)</t>
        </is>
      </c>
      <c r="B55" s="6" t="n"/>
      <c r="C55" s="6" t="n">
        <v>7167.3</v>
      </c>
      <c r="D55" s="6" t="n">
        <v>-19418.4</v>
      </c>
      <c r="E55" s="6" t="n">
        <v>72358.39999999999</v>
      </c>
      <c r="F55" s="6" t="n">
        <v>7150</v>
      </c>
    </row>
    <row r="56">
      <c r="A56" s="5" t="inlineStr">
        <is>
          <t>Cash and cash equivalents at 31 December</t>
        </is>
      </c>
      <c r="B56" s="5" t="n"/>
      <c r="C56" s="5" t="n">
        <v>383726.2</v>
      </c>
      <c r="D56" s="5" t="n">
        <v>216831.3</v>
      </c>
      <c r="E56" s="5" t="n">
        <v>520509.8</v>
      </c>
      <c r="F56" s="5" t="n">
        <v>652769.3</v>
      </c>
    </row>
    <row r="58" ht="320" customHeight="1">
      <c r="A58"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FY2025 cash flow is blank: no FY2025 Annual Report has been published yet (only the FY2025 Pillar 3 disclosure is out so far) - Pillar 3 sheets are fully populated for FY2025.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all 4 populated years).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31 Dec 2020 spot 1.3661 (FY2021 opening cash only);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t>
        </is>
      </c>
    </row>
  </sheetData>
  <mergeCells count="1">
    <mergeCell ref="A58:F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Zenith Bank (UK) Limited — Asset Quality</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Loans and advances to customers</t>
        </is>
      </c>
      <c r="B4" s="6" t="n"/>
      <c r="C4" s="6" t="n"/>
      <c r="D4" s="6" t="n"/>
      <c r="E4" s="6" t="n"/>
      <c r="F4" s="6" t="n"/>
    </row>
    <row r="5">
      <c r="A5" s="6" t="inlineStr">
        <is>
          <t>Gross exposure</t>
        </is>
      </c>
      <c r="B5" s="6" t="n"/>
      <c r="C5" s="6" t="n">
        <v>357098.8</v>
      </c>
      <c r="D5" s="6" t="n">
        <v>282475.4</v>
      </c>
      <c r="E5" s="6" t="n">
        <v>264759.8</v>
      </c>
      <c r="F5" s="6" t="n">
        <v>265839.1</v>
      </c>
    </row>
    <row r="6">
      <c r="A6" s="6" t="inlineStr">
        <is>
          <t>IFRS 9 impairment allowance</t>
        </is>
      </c>
      <c r="B6" s="6" t="n"/>
      <c r="C6" s="6" t="n">
        <v>-2641.6</v>
      </c>
      <c r="D6" s="6" t="n">
        <v>-4861.8</v>
      </c>
      <c r="E6" s="6" t="n">
        <v>-4197</v>
      </c>
      <c r="F6" s="6" t="n">
        <v>-4383.2</v>
      </c>
    </row>
    <row r="7">
      <c r="A7" s="5" t="inlineStr">
        <is>
          <t>Net loans and advances to customers</t>
        </is>
      </c>
      <c r="B7" s="5" t="n"/>
      <c r="C7" s="5" t="n">
        <v>354457.3</v>
      </c>
      <c r="D7" s="5" t="n">
        <v>277613.5</v>
      </c>
      <c r="E7" s="5" t="n">
        <v>260562.8</v>
      </c>
      <c r="F7" s="5" t="n">
        <v>261455.9</v>
      </c>
    </row>
    <row r="8">
      <c r="A8" s="6" t="inlineStr">
        <is>
          <t>Impairment as % of gross exposure</t>
        </is>
      </c>
      <c r="B8" s="6" t="n"/>
      <c r="C8" s="6" t="inlineStr">
        <is>
          <t>0.7%</t>
        </is>
      </c>
      <c r="D8" s="6" t="inlineStr">
        <is>
          <t>1.7%</t>
        </is>
      </c>
      <c r="E8" s="6" t="inlineStr">
        <is>
          <t>1.6%</t>
        </is>
      </c>
      <c r="F8" s="6" t="inlineStr">
        <is>
          <t>1.6%</t>
        </is>
      </c>
    </row>
    <row r="9">
      <c r="A9" s="5" t="inlineStr">
        <is>
          <t>IFRS 9 ECL allowance by stage (Loans and advances to customers)</t>
        </is>
      </c>
      <c r="B9" s="6" t="n"/>
      <c r="C9" s="6" t="n"/>
      <c r="D9" s="6" t="n"/>
      <c r="E9" s="6" t="n"/>
      <c r="F9" s="6" t="n"/>
    </row>
    <row r="10">
      <c r="A10" s="6" t="inlineStr">
        <is>
          <t>Stage 1 (12-month ECL)</t>
        </is>
      </c>
      <c r="B10" s="6" t="n"/>
      <c r="C10" s="6" t="n">
        <v>2294.6</v>
      </c>
      <c r="D10" s="6" t="n">
        <v>4562.2</v>
      </c>
      <c r="E10" s="6" t="n">
        <v>3557.3</v>
      </c>
      <c r="F10" s="6" t="n">
        <v>3873.1</v>
      </c>
    </row>
    <row r="11">
      <c r="A11" s="6" t="inlineStr">
        <is>
          <t>Stage 2 (lifetime ECL, not credit-impaired)</t>
        </is>
      </c>
      <c r="B11" s="6" t="n"/>
      <c r="C11" s="6" t="n">
        <v>347</v>
      </c>
      <c r="D11" s="6" t="n">
        <v>299.7</v>
      </c>
      <c r="E11" s="6" t="n">
        <v>639.7</v>
      </c>
      <c r="F11" s="6" t="n">
        <v>510.1</v>
      </c>
    </row>
    <row r="12">
      <c r="A12" s="6" t="inlineStr">
        <is>
          <t>Stage 3 (lifetime ECL, credit-impaired/default)</t>
        </is>
      </c>
      <c r="B12" s="6" t="n"/>
      <c r="C12" s="6" t="n">
        <v>0</v>
      </c>
      <c r="D12" s="6" t="n">
        <v>0</v>
      </c>
      <c r="E12" s="6" t="n">
        <v>0</v>
      </c>
      <c r="F12" s="6" t="n">
        <v>0</v>
      </c>
    </row>
    <row r="13">
      <c r="A13" s="5" t="inlineStr">
        <is>
          <t>Total ECL allowance</t>
        </is>
      </c>
      <c r="B13" s="5" t="n"/>
      <c r="C13" s="5" t="n">
        <v>2641.6</v>
      </c>
      <c r="D13" s="5" t="n">
        <v>4861.8</v>
      </c>
      <c r="E13" s="5" t="n">
        <v>4197</v>
      </c>
      <c r="F13" s="5" t="n">
        <v>4383.2</v>
      </c>
    </row>
    <row r="15" ht="280" customHeight="1">
      <c r="A15" s="8" t="inlineStr">
        <is>
          <t>Sources - Zenith Bank (UK) Limited's own IFRS 9 credit risk / ECL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FY2025 is blank: no FY2025 Annual Report has been published yet.
IFRS 9 STAGING NOTE: the Bank discloses the ECL ALLOWANCE by stage for loans and advances to customers in every year shown, but does NOT separately disclose the GROSS CARRYING AMOUNT by stage for this specific line (only the allowance split) - so a gross-exposure-based NPL ratio cannot be honestly derived from what's disclosed and is not shown here. Stage 3 (credit-impaired/default) ECL allowance is exactly nil for loans and advances to customers in every year FY2021-FY2024 - a genuine finding (no identified defaulted customer exposures in the disclosed period), not an omission.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31 Dec 2020 spot 1.3661 (FY2021 opening cash only);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320.8</v>
      </c>
      <c r="C4" s="6" t="n">
        <v>302.3</v>
      </c>
      <c r="D4" s="6" t="n">
        <v>265.5</v>
      </c>
      <c r="E4" s="6" t="n">
        <v>240.3</v>
      </c>
      <c r="F4" s="6" t="n">
        <v>207.9</v>
      </c>
    </row>
    <row r="6" ht="120" customHeight="1">
      <c r="A6"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23.40%</t>
        </is>
      </c>
      <c r="C4" s="6" t="inlineStr">
        <is>
          <t>25.64%</t>
        </is>
      </c>
      <c r="D4" s="6" t="inlineStr">
        <is>
          <t>28.95%</t>
        </is>
      </c>
      <c r="E4" s="6" t="inlineStr">
        <is>
          <t>25.84%</t>
        </is>
      </c>
      <c r="F4" s="6" t="inlineStr">
        <is>
          <t>20.78%</t>
        </is>
      </c>
    </row>
    <row r="6" ht="120" customHeight="1">
      <c r="A6"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320.8</v>
      </c>
      <c r="C4" s="6" t="n">
        <v>302.3</v>
      </c>
      <c r="D4" s="6" t="n">
        <v>265.5</v>
      </c>
      <c r="E4" s="6" t="n">
        <v>240.3</v>
      </c>
      <c r="F4" s="6" t="n">
        <v>207.9</v>
      </c>
    </row>
    <row r="5" ht="60" customHeight="1">
      <c r="A5" s="7" t="inlineStr">
        <is>
          <t>Note: Equal to CET1 capital in every year - the Bank holds no Additional Tier 1 (AT1) instruments.</t>
        </is>
      </c>
    </row>
    <row r="7" ht="120" customHeight="1">
      <c r="A7"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23.40%</t>
        </is>
      </c>
      <c r="C4" s="6" t="inlineStr">
        <is>
          <t>25.64%</t>
        </is>
      </c>
      <c r="D4" s="6" t="inlineStr">
        <is>
          <t>28.95%</t>
        </is>
      </c>
      <c r="E4" s="6" t="inlineStr">
        <is>
          <t>25.84%</t>
        </is>
      </c>
      <c r="F4" s="6" t="inlineStr">
        <is>
          <t>20.78%</t>
        </is>
      </c>
    </row>
    <row r="6" ht="120" customHeight="1">
      <c r="A6"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320.8</v>
      </c>
      <c r="C4" s="6" t="n">
        <v>302.3</v>
      </c>
      <c r="D4" s="6" t="n">
        <v>265.5</v>
      </c>
      <c r="E4" s="6" t="n">
        <v>240.3</v>
      </c>
      <c r="F4" s="6" t="n">
        <v>207.9</v>
      </c>
    </row>
    <row r="5" ht="60" customHeight="1">
      <c r="A5" s="7" t="inlineStr">
        <is>
          <t>Note: Equal to CET1/Tier 1 capital in every year - the Bank holds no AT1 or Tier 2 instruments.</t>
        </is>
      </c>
    </row>
    <row r="7" ht="120" customHeight="1">
      <c r="A7"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23.40%</t>
        </is>
      </c>
      <c r="C4" s="6" t="inlineStr">
        <is>
          <t>25.64%</t>
        </is>
      </c>
      <c r="D4" s="6" t="inlineStr">
        <is>
          <t>28.95%</t>
        </is>
      </c>
      <c r="E4" s="6" t="inlineStr">
        <is>
          <t>25.84%</t>
        </is>
      </c>
      <c r="F4" s="6" t="inlineStr">
        <is>
          <t>20.78%</t>
        </is>
      </c>
    </row>
    <row r="6" ht="120" customHeight="1">
      <c r="A6"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1370.7</v>
      </c>
      <c r="C4" s="6" t="n">
        <v>1179.2</v>
      </c>
      <c r="D4" s="6" t="n">
        <v>917.3</v>
      </c>
      <c r="E4" s="6" t="n">
        <v>930.1</v>
      </c>
      <c r="F4" s="6" t="n">
        <v>1000.5</v>
      </c>
    </row>
    <row r="5" ht="60" customHeight="1">
      <c r="A5" s="7" t="inlineStr">
        <is>
          <t>Note: FY2023's figure (own report, £m equivalent of $1,167,888k) differs from the FY2024 report's restated FY2023 comparative ($1,203,364k) - a Basic Indicator Approach operational-risk methodology update. FY2023's own report figure is used, consistent with this project's convention of preferring each year's own report.</t>
        </is>
      </c>
    </row>
    <row r="7" ht="120" customHeight="1">
      <c r="A7"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Credit Risk (excluding CCR)</t>
        </is>
      </c>
      <c r="B4" s="6" t="n">
        <v>1224.3</v>
      </c>
      <c r="C4" s="6" t="n">
        <v>963.3</v>
      </c>
      <c r="D4" s="6" t="n">
        <v>788</v>
      </c>
      <c r="E4" s="6" t="n">
        <v>777</v>
      </c>
      <c r="F4" s="6" t="n">
        <v>919</v>
      </c>
    </row>
    <row r="5">
      <c r="A5" s="6" t="inlineStr">
        <is>
          <t>Counterparty Credit Risk (CCR)</t>
        </is>
      </c>
      <c r="B5" s="6" t="n">
        <v>5.1</v>
      </c>
      <c r="C5" s="6" t="n">
        <v>78.40000000000001</v>
      </c>
      <c r="D5" s="6" t="n">
        <v>42.5</v>
      </c>
      <c r="E5" s="6" t="n">
        <v>65.59999999999999</v>
      </c>
      <c r="F5" s="6" t="n"/>
    </row>
    <row r="6">
      <c r="A6" s="6" t="inlineStr">
        <is>
          <t>of which: Credit Valuation Adjustment (CVA)</t>
        </is>
      </c>
      <c r="B6" s="6" t="n">
        <v>0.8</v>
      </c>
      <c r="C6" s="6" t="n">
        <v>1.1</v>
      </c>
      <c r="D6" s="6" t="n">
        <v>1</v>
      </c>
      <c r="E6" s="6" t="n">
        <v>0.8</v>
      </c>
      <c r="F6" s="6" t="n">
        <v>3.3</v>
      </c>
    </row>
    <row r="7">
      <c r="A7" s="6" t="inlineStr">
        <is>
          <t>Settlement Risk</t>
        </is>
      </c>
      <c r="B7" s="6" t="n">
        <v>0</v>
      </c>
      <c r="C7" s="6" t="n">
        <v>0</v>
      </c>
      <c r="D7" s="6" t="n">
        <v>0</v>
      </c>
      <c r="E7" s="6" t="n">
        <v>0</v>
      </c>
      <c r="F7" s="6" t="n">
        <v>0</v>
      </c>
    </row>
    <row r="8">
      <c r="A8" s="6" t="inlineStr">
        <is>
          <t>Market Risk (FX and commodities)</t>
        </is>
      </c>
      <c r="B8" s="6" t="n">
        <v>3.8</v>
      </c>
      <c r="C8" s="6" t="n">
        <v>3.4</v>
      </c>
      <c r="D8" s="6" t="n">
        <v>3</v>
      </c>
      <c r="E8" s="6" t="n">
        <v>9.300000000000001</v>
      </c>
      <c r="F8" s="6" t="n">
        <v>5.5</v>
      </c>
    </row>
    <row r="9">
      <c r="A9" s="6" t="inlineStr">
        <is>
          <t>Operational Risk</t>
        </is>
      </c>
      <c r="B9" s="6" t="n">
        <v>137.5</v>
      </c>
      <c r="C9" s="6" t="n">
        <v>134.2</v>
      </c>
      <c r="D9" s="6" t="n">
        <v>83.8</v>
      </c>
      <c r="E9" s="6" t="n">
        <v>78.2</v>
      </c>
      <c r="F9" s="6" t="n">
        <v>72.7</v>
      </c>
    </row>
    <row r="10">
      <c r="A10" s="5" t="inlineStr">
        <is>
          <t>Total risk-weighted exposure amount</t>
        </is>
      </c>
      <c r="B10" s="5" t="n">
        <v>1370.7</v>
      </c>
      <c r="C10" s="5" t="n">
        <v>1179.2</v>
      </c>
      <c r="D10" s="5" t="n">
        <v>917.3</v>
      </c>
      <c r="E10" s="5" t="n">
        <v>930.1</v>
      </c>
      <c r="F10" s="5" t="n">
        <v>1000.5</v>
      </c>
    </row>
    <row r="11">
      <c r="A11" s="6" t="inlineStr">
        <is>
          <t>Memo: amounts below thresholds for deduction (already included within Credit Risk above)</t>
        </is>
      </c>
      <c r="B11" s="6" t="n">
        <v>0</v>
      </c>
      <c r="C11" s="6" t="n">
        <v>0.8</v>
      </c>
      <c r="D11" s="6" t="n"/>
      <c r="E11" s="6" t="n"/>
      <c r="F11" s="6" t="n"/>
    </row>
    <row r="13" ht="320" customHeight="1">
      <c r="A13"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2358.6</v>
      </c>
      <c r="C4" s="6" t="n">
        <v>2387.1</v>
      </c>
      <c r="D4" s="6" t="n">
        <v>2256.1</v>
      </c>
      <c r="E4" s="6" t="n">
        <v>2818.2</v>
      </c>
      <c r="F4" s="6" t="n">
        <v>2381.4</v>
      </c>
    </row>
    <row r="5">
      <c r="A5" s="6" t="inlineStr">
        <is>
          <t>Leverage ratio excluding claims on central banks (%)</t>
        </is>
      </c>
      <c r="B5" s="6" t="inlineStr">
        <is>
          <t>12.08%</t>
        </is>
      </c>
      <c r="C5" s="6" t="inlineStr">
        <is>
          <t>11.25%</t>
        </is>
      </c>
      <c r="D5" s="6" t="inlineStr">
        <is>
          <t>9.76%</t>
        </is>
      </c>
      <c r="E5" s="6" t="inlineStr">
        <is>
          <t>7.32%</t>
        </is>
      </c>
      <c r="F5" s="6" t="inlineStr">
        <is>
          <t>8.36%</t>
        </is>
      </c>
    </row>
    <row r="7" ht="120" customHeight="1">
      <c r="A7"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v>708.3</v>
      </c>
      <c r="C4" s="6" t="n">
        <v>810.1</v>
      </c>
      <c r="D4" s="6" t="n">
        <v>901.4</v>
      </c>
      <c r="E4" s="6" t="n">
        <v>1014.7</v>
      </c>
      <c r="F4" s="6" t="n">
        <v>689.9</v>
      </c>
    </row>
    <row r="5">
      <c r="A5" s="6" t="inlineStr">
        <is>
          <t>Total net cash outflows, adjusted value</t>
        </is>
      </c>
      <c r="B5" s="6" t="n">
        <v>262.2</v>
      </c>
      <c r="C5" s="6" t="n">
        <v>245.2</v>
      </c>
      <c r="D5" s="6" t="n">
        <v>290.3</v>
      </c>
      <c r="E5" s="6" t="n">
        <v>309.8</v>
      </c>
      <c r="F5" s="6" t="n">
        <v>249.8</v>
      </c>
    </row>
    <row r="6">
      <c r="A6" s="6" t="inlineStr">
        <is>
          <t>Liquidity Coverage Ratio (%)</t>
        </is>
      </c>
      <c r="B6" s="6" t="inlineStr">
        <is>
          <t>270.19%</t>
        </is>
      </c>
      <c r="C6" s="6" t="inlineStr">
        <is>
          <t>330.42%</t>
        </is>
      </c>
      <c r="D6" s="6" t="inlineStr">
        <is>
          <t>310%</t>
        </is>
      </c>
      <c r="E6" s="6" t="inlineStr">
        <is>
          <t>343%</t>
        </is>
      </c>
      <c r="F6" s="6" t="inlineStr">
        <is>
          <t>276%</t>
        </is>
      </c>
    </row>
    <row r="7" ht="60" customHeight="1">
      <c r="A7" s="7" t="inlineStr">
        <is>
          <t>Note: LCR methodology changed across vintages: FY2021 is a point-in-time (year-end) figure as originally disclosed; FY2022 onward is a 12-month simple average, per each year's own report. FY2022's own report (374,822k/343%) differs from the FY2023 report's restated FY2022 comparative (348,210k/352%) - FY2022's own report figure is used, per this project's convention.</t>
        </is>
      </c>
    </row>
    <row r="9" ht="120" customHeight="1">
      <c r="A9"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979.3</v>
      </c>
      <c r="C4" s="6" t="n">
        <v>908.4</v>
      </c>
      <c r="D4" s="6" t="n">
        <v>838</v>
      </c>
      <c r="E4" s="6" t="n">
        <v>754.6</v>
      </c>
      <c r="F4" s="6" t="n"/>
    </row>
    <row r="5">
      <c r="A5" s="6" t="inlineStr">
        <is>
          <t>Total required stable funding</t>
        </is>
      </c>
      <c r="B5" s="6" t="n">
        <v>705.3</v>
      </c>
      <c r="C5" s="6" t="n">
        <v>613.9</v>
      </c>
      <c r="D5" s="6" t="n">
        <v>584.7</v>
      </c>
      <c r="E5" s="6" t="n">
        <v>608.2</v>
      </c>
      <c r="F5" s="6" t="n"/>
    </row>
    <row r="6">
      <c r="A6" s="6" t="inlineStr">
        <is>
          <t>Net Stable Funding Ratio (%)</t>
        </is>
      </c>
      <c r="B6" s="6" t="inlineStr">
        <is>
          <t>138.85%</t>
        </is>
      </c>
      <c r="C6" s="6" t="inlineStr">
        <is>
          <t>147.98%</t>
        </is>
      </c>
      <c r="D6" s="6" t="inlineStr">
        <is>
          <t>143%</t>
        </is>
      </c>
      <c r="E6" s="6" t="inlineStr">
        <is>
          <t>124%</t>
        </is>
      </c>
      <c r="F6" s="6" t="inlineStr">
        <is>
          <t>Not disclosed</t>
        </is>
      </c>
    </row>
    <row r="7" ht="60" customHeight="1">
      <c r="A7" s="7" t="inlineStr">
        <is>
          <t>Note: The UK NSFR was adopted from 1 January 2022 (per the FY2021 and FY2022 Pillar 3 reports), so no FY2021 figures exist.</t>
        </is>
      </c>
    </row>
    <row r="9" ht="120" customHeight="1">
      <c r="A9"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Zenith Bank (UK) Limited Pillar 3 Disclosures (UK KM1 - Key Metrics),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2026-09-03T23:43:32Z</dcterms:created>
  <dcterms:modified xmlns:dcterms="http://purl.org/dc/terms/" xmlns:xsi="http://www.w3.org/2001/XMLSchema-instance" xsi:type="dcterms:W3CDTF">2026-09-03T23:43:32Z</dcterms:modified>
</cp:coreProperties>
</file>