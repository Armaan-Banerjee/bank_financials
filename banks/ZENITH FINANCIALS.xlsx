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A3E5C"/>
        <bgColor rgb="002A3E5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Zenith 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'Overview'!U6</f>
            </strRef>
          </tx>
          <spPr>
            <a:ln xmlns:a="http://schemas.openxmlformats.org/drawingml/2006/main">
              <a:prstDash val="solid"/>
            </a:ln>
          </spPr>
          <cat>
            <numRef>
              <f>'Overview'!$V$5:$AL$5</f>
            </numRef>
          </cat>
          <val>
            <numRef>
              <f>'Overview'!$V$6:$AL$6</f>
            </numRef>
          </val>
        </ser>
        <ser>
          <idx val="1"/>
          <order val="1"/>
          <tx>
            <strRef>
              <f>'Overview'!U7</f>
            </strRef>
          </tx>
          <spPr>
            <a:ln xmlns:a="http://schemas.openxmlformats.org/drawingml/2006/main">
              <a:prstDash val="solid"/>
            </a:ln>
          </spPr>
          <cat>
            <numRef>
              <f>'Overview'!$V$5:$AL$5</f>
            </numRef>
          </cat>
          <val>
            <numRef>
              <f>'Overview'!$V$7:$AL$7</f>
            </numRef>
          </val>
        </ser>
        <ser>
          <idx val="2"/>
          <order val="2"/>
          <tx>
            <strRef>
              <f>'Overview'!U8</f>
            </strRef>
          </tx>
          <spPr>
            <a:ln xmlns:a="http://schemas.openxmlformats.org/drawingml/2006/main">
              <a:prstDash val="solid"/>
            </a:ln>
          </spPr>
          <cat>
            <numRef>
              <f>'Overview'!$V$5:$AL$5</f>
            </numRef>
          </cat>
          <val>
            <numRef>
              <f>'Overview'!$V$8:$AL$8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Zenith 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'Overview'!AO12</f>
            </strRef>
          </tx>
          <spPr>
            <a:ln xmlns:a="http://schemas.openxmlformats.org/drawingml/2006/main">
              <a:prstDash val="solid"/>
            </a:ln>
          </spPr>
          <cat>
            <numRef>
              <f>'Overview'!$AP$11:$BF$11</f>
            </numRef>
          </cat>
          <val>
            <numRef>
              <f>'Overview'!$AP$12:$BF$12</f>
            </numRef>
          </val>
        </ser>
        <ser>
          <idx val="1"/>
          <order val="1"/>
          <tx>
            <strRef>
              <f>'Overview'!AO13</f>
            </strRef>
          </tx>
          <spPr>
            <a:ln xmlns:a="http://schemas.openxmlformats.org/drawingml/2006/main">
              <a:prstDash val="solid"/>
            </a:ln>
          </spPr>
          <cat>
            <numRef>
              <f>'Overview'!$AP$11:$BF$11</f>
            </numRef>
          </cat>
          <val>
            <numRef>
              <f>'Overview'!$AP$13:$BF$13</f>
            </numRef>
          </val>
        </ser>
        <ser>
          <idx val="2"/>
          <order val="2"/>
          <tx>
            <strRef>
              <f>'Overview'!AO14</f>
            </strRef>
          </tx>
          <spPr>
            <a:ln xmlns:a="http://schemas.openxmlformats.org/drawingml/2006/main">
              <a:prstDash val="solid"/>
            </a:ln>
          </spPr>
          <cat>
            <numRef>
              <f>'Overview'!$AP$11:$BF$11</f>
            </numRef>
          </cat>
          <val>
            <numRef>
              <f>'Overview'!$AP$14:$BF$14</f>
            </numRef>
          </val>
        </ser>
        <ser>
          <idx val="3"/>
          <order val="3"/>
          <tx>
            <strRef>
              <f>'Overview'!AO15</f>
            </strRef>
          </tx>
          <spPr>
            <a:ln xmlns:a="http://schemas.openxmlformats.org/drawingml/2006/main">
              <a:prstDash val="solid"/>
            </a:ln>
          </spPr>
          <cat>
            <numRef>
              <f>'Overview'!$AP$11:$BF$11</f>
            </numRef>
          </cat>
          <val>
            <numRef>
              <f>'Overview'!$AP$15:$BF$15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Zenith 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'Overview'!BI19</f>
            </strRef>
          </tx>
          <spPr>
            <a:ln xmlns:a="http://schemas.openxmlformats.org/drawingml/2006/main">
              <a:prstDash val="solid"/>
            </a:ln>
          </spPr>
          <cat>
            <numRef>
              <f>'Overview'!$BJ$18:$BZ$18</f>
            </numRef>
          </cat>
          <val>
            <numRef>
              <f>'Overview'!$BJ$19:$BZ$19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Zenith 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'Overview'!CC23</f>
            </strRef>
          </tx>
          <spPr>
            <a:ln xmlns:a="http://schemas.openxmlformats.org/drawingml/2006/main">
              <a:prstDash val="solid"/>
            </a:ln>
          </spPr>
          <cat>
            <numRef>
              <f>'Overview'!$CD$22:$CT$22</f>
            </numRef>
          </cat>
          <val>
            <numRef>
              <f>'Overview'!$CD$23:$CT$23</f>
            </numRef>
          </val>
        </ser>
        <ser>
          <idx val="1"/>
          <order val="1"/>
          <tx>
            <strRef>
              <f>'Overview'!CC24</f>
            </strRef>
          </tx>
          <spPr>
            <a:ln xmlns:a="http://schemas.openxmlformats.org/drawingml/2006/main">
              <a:prstDash val="solid"/>
            </a:ln>
          </spPr>
          <cat>
            <numRef>
              <f>'Overview'!$CD$22:$CT$22</f>
            </numRef>
          </cat>
          <val>
            <numRef>
              <f>'Overview'!$CD$24:$CT$24</f>
            </numRef>
          </val>
        </ser>
        <ser>
          <idx val="2"/>
          <order val="2"/>
          <tx>
            <strRef>
              <f>'Overview'!CC25</f>
            </strRef>
          </tx>
          <spPr>
            <a:ln xmlns:a="http://schemas.openxmlformats.org/drawingml/2006/main">
              <a:prstDash val="solid"/>
            </a:ln>
          </spPr>
          <cat>
            <numRef>
              <f>'Overview'!$CD$22:$CT$22</f>
            </numRef>
          </cat>
          <val>
            <numRef>
              <f>'Overview'!$CD$25:$CT$25</f>
            </numRef>
          </val>
        </ser>
        <ser>
          <idx val="3"/>
          <order val="3"/>
          <tx>
            <strRef>
              <f>'Overview'!CC26</f>
            </strRef>
          </tx>
          <spPr>
            <a:ln xmlns:a="http://schemas.openxmlformats.org/drawingml/2006/main">
              <a:prstDash val="solid"/>
            </a:ln>
          </spPr>
          <cat>
            <numRef>
              <f>'Overview'!$CD$22:$CT$22</f>
            </numRef>
          </cat>
          <val>
            <numRef>
              <f>'Overview'!$CD$26:$CT$26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Zenith 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'Overview'!CW6</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'Overview'!$CX$6:$DN$6</f>
            </numRef>
          </val>
          <smooth val="0"/>
        </ser>
        <ser>
          <idx val="1"/>
          <order val="1"/>
          <tx>
            <strRef>
              <f>'Overview'!CW7</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'Overview'!$CX$7:$DN$7</f>
            </numRef>
          </val>
          <smooth val="0"/>
        </ser>
        <ser>
          <idx val="2"/>
          <order val="2"/>
          <tx>
            <strRef>
              <f>'Overview'!CW8</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'Overview'!$CX$8:$DN$8</f>
            </numRef>
          </val>
          <smooth val="0"/>
        </ser>
        <ser>
          <idx val="3"/>
          <order val="3"/>
          <tx>
            <strRef>
              <f>'Overview'!CW9</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'Overview'!$CX$9:$DN$9</f>
            </numRef>
          </val>
          <smooth val="0"/>
        </ser>
        <ser>
          <idx val="4"/>
          <order val="4"/>
          <tx>
            <strRef>
              <f>'Overview'!CW10</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'Overview'!$CX$10:$DN$10</f>
            </numRef>
          </val>
          <smooth val="0"/>
        </ser>
        <ser>
          <idx val="5"/>
          <order val="5"/>
          <tx>
            <strRef>
              <f>'Overview'!CW11</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'Overview'!$CX$11:$DN$11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39</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61</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83</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105</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127</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DN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 hidden="1" width="13" customWidth="1" min="95" max="95"/>
    <col hidden="1" width="13" customWidth="1" min="96" max="96"/>
    <col hidden="1" width="13" customWidth="1" min="97" max="97"/>
    <col hidden="1" width="13" customWidth="1" min="98" max="98"/>
    <col hidden="1" width="13" customWidth="1" min="99" max="99"/>
    <col hidden="1" width="13" customWidth="1" min="100" max="100"/>
    <col hidden="1" width="13" customWidth="1" min="101" max="101"/>
    <col hidden="1" width="13" customWidth="1" min="102" max="102"/>
    <col hidden="1" width="13" customWidth="1" min="103" max="103"/>
    <col hidden="1" width="13" customWidth="1" min="104" max="104"/>
    <col hidden="1" width="13" customWidth="1" min="105" max="105"/>
    <col hidden="1" width="13" customWidth="1" min="106" max="106"/>
    <col hidden="1" width="13" customWidth="1" min="107" max="107"/>
    <col hidden="1" width="13" customWidth="1" min="108" max="108"/>
    <col hidden="1" width="13" customWidth="1" min="109" max="109"/>
    <col hidden="1" width="13" customWidth="1" min="110" max="110"/>
    <col hidden="1" width="13" customWidth="1" min="111" max="111"/>
    <col hidden="1" width="13" customWidth="1" min="112" max="112"/>
    <col hidden="1" width="13" customWidth="1" min="113" max="113"/>
    <col hidden="1" width="13" customWidth="1" min="114" max="114"/>
    <col hidden="1" width="13" customWidth="1" min="115" max="115"/>
    <col hidden="1" width="13" customWidth="1" min="116" max="116"/>
    <col hidden="1" width="13" customWidth="1" min="117" max="117"/>
    <col hidden="1" width="13" customWidth="1" min="118" max="118"/>
  </cols>
  <sheetData>
    <row r="1">
      <c r="A1" s="1" t="inlineStr">
        <is>
          <t>Zenith Bank (UK)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N5" s="4" t="inlineStr">
        <is>
          <t>FY2013</t>
        </is>
      </c>
      <c r="O5" s="4" t="inlineStr">
        <is>
          <t>FY2012</t>
        </is>
      </c>
      <c r="P5" s="4" t="inlineStr">
        <is>
          <t>FY2011</t>
        </is>
      </c>
      <c r="Q5" s="4" t="inlineStr">
        <is>
          <t>FY2010</t>
        </is>
      </c>
      <c r="R5" s="4" t="inlineStr">
        <is>
          <t>FY2009</t>
        </is>
      </c>
      <c r="V5" t="inlineStr">
        <is>
          <t>FY2009</t>
        </is>
      </c>
      <c r="W5" t="inlineStr">
        <is>
          <t>FY2010</t>
        </is>
      </c>
      <c r="X5" t="inlineStr">
        <is>
          <t>FY2011</t>
        </is>
      </c>
      <c r="Y5" t="inlineStr">
        <is>
          <t>FY2012</t>
        </is>
      </c>
      <c r="Z5" t="inlineStr">
        <is>
          <t>FY2013</t>
        </is>
      </c>
      <c r="AA5" t="inlineStr">
        <is>
          <t>FY2014</t>
        </is>
      </c>
      <c r="AB5" t="inlineStr">
        <is>
          <t>FY2015</t>
        </is>
      </c>
      <c r="AC5" t="inlineStr">
        <is>
          <t>FY2016</t>
        </is>
      </c>
      <c r="AD5" t="inlineStr">
        <is>
          <t>FY2017</t>
        </is>
      </c>
      <c r="AE5" t="inlineStr">
        <is>
          <t>FY2018</t>
        </is>
      </c>
      <c r="AF5" t="inlineStr">
        <is>
          <t>FY2019</t>
        </is>
      </c>
      <c r="AG5" t="inlineStr">
        <is>
          <t>FY2020</t>
        </is>
      </c>
      <c r="AH5" t="inlineStr">
        <is>
          <t>FY2021</t>
        </is>
      </c>
      <c r="AI5" t="inlineStr">
        <is>
          <t>FY2022</t>
        </is>
      </c>
      <c r="AJ5" t="inlineStr">
        <is>
          <t>FY2023</t>
        </is>
      </c>
      <c r="AK5" t="inlineStr">
        <is>
          <t>FY2024</t>
        </is>
      </c>
      <c r="AL5" t="inlineStr">
        <is>
          <t>FY2025</t>
        </is>
      </c>
      <c r="CX5" t="inlineStr">
        <is>
          <t>FY2009</t>
        </is>
      </c>
      <c r="CY5" t="inlineStr">
        <is>
          <t>FY2010</t>
        </is>
      </c>
      <c r="CZ5" t="inlineStr">
        <is>
          <t>FY2011</t>
        </is>
      </c>
      <c r="DA5" t="inlineStr">
        <is>
          <t>FY2012</t>
        </is>
      </c>
      <c r="DB5" t="inlineStr">
        <is>
          <t>FY2013</t>
        </is>
      </c>
      <c r="DC5" t="inlineStr">
        <is>
          <t>FY2014</t>
        </is>
      </c>
      <c r="DD5" t="inlineStr">
        <is>
          <t>FY2015</t>
        </is>
      </c>
      <c r="DE5" t="inlineStr">
        <is>
          <t>FY2016</t>
        </is>
      </c>
      <c r="DF5" t="inlineStr">
        <is>
          <t>FY2017</t>
        </is>
      </c>
      <c r="DG5" t="inlineStr">
        <is>
          <t>FY2018</t>
        </is>
      </c>
      <c r="DH5" t="inlineStr">
        <is>
          <t>FY2019</t>
        </is>
      </c>
      <c r="DI5" t="inlineStr">
        <is>
          <t>FY2020</t>
        </is>
      </c>
      <c r="DJ5" t="inlineStr">
        <is>
          <t>FY2021</t>
        </is>
      </c>
      <c r="DK5" t="inlineStr">
        <is>
          <t>FY2022</t>
        </is>
      </c>
      <c r="DL5" t="inlineStr">
        <is>
          <t>FY2023</t>
        </is>
      </c>
      <c r="DM5" t="inlineStr">
        <is>
          <t>FY2024</t>
        </is>
      </c>
      <c r="DN5" t="inlineStr">
        <is>
          <t>FY2025</t>
        </is>
      </c>
    </row>
    <row r="6">
      <c r="A6" s="5" t="inlineStr">
        <is>
          <t>Total assets</t>
        </is>
      </c>
      <c r="B6" s="5" t="n"/>
      <c r="C6" s="5" t="n">
        <v>2116703.1</v>
      </c>
      <c r="D6" s="5" t="n">
        <v>2089290.6</v>
      </c>
      <c r="E6" s="5" t="n">
        <v>2591520.9</v>
      </c>
      <c r="F6" s="5" t="n">
        <v>2130359.2</v>
      </c>
      <c r="G6" s="5" t="n">
        <v>1688935.5</v>
      </c>
      <c r="H6" s="5" t="n">
        <v>1280524.6</v>
      </c>
      <c r="I6" s="5" t="n">
        <v>1491256.9</v>
      </c>
      <c r="J6" s="5" t="n">
        <v>1240386.5</v>
      </c>
      <c r="K6" s="5" t="n">
        <v>1072445.7</v>
      </c>
      <c r="L6" s="5" t="n">
        <v>778818.5</v>
      </c>
      <c r="M6" s="5" t="n">
        <v>1025768.3</v>
      </c>
      <c r="N6" s="5" t="n"/>
      <c r="O6" s="5" t="n"/>
      <c r="P6" s="5" t="n"/>
      <c r="Q6" s="5" t="n"/>
      <c r="R6" s="5" t="n"/>
      <c r="U6" t="inlineStr">
        <is>
          <t>Total assets</t>
        </is>
      </c>
      <c r="AA6" t="n">
        <v>1025768.3</v>
      </c>
      <c r="AB6" t="n">
        <v>778818.5</v>
      </c>
      <c r="AC6" t="n">
        <v>1072445.7</v>
      </c>
      <c r="AD6" t="n">
        <v>1240386.5</v>
      </c>
      <c r="AE6" t="n">
        <v>1491256.9</v>
      </c>
      <c r="AF6" t="n">
        <v>1280524.6</v>
      </c>
      <c r="AG6" t="n">
        <v>1688935.5</v>
      </c>
      <c r="AH6" t="n">
        <v>2130359.2</v>
      </c>
      <c r="AI6" t="n">
        <v>2591520.9</v>
      </c>
      <c r="AJ6" t="n">
        <v>2089290.6</v>
      </c>
      <c r="AK6" t="n">
        <v>2116703.1</v>
      </c>
      <c r="CW6" t="inlineStr">
        <is>
          <t>CET1 Ratio</t>
        </is>
      </c>
      <c r="DC6" t="n">
        <v>22.32</v>
      </c>
      <c r="DD6" t="n">
        <v>20.38</v>
      </c>
      <c r="DJ6" t="n">
        <v>20.78</v>
      </c>
      <c r="DK6" t="n">
        <v>25.84</v>
      </c>
      <c r="DL6" t="n">
        <v>28.95</v>
      </c>
      <c r="DM6" t="n">
        <v>25.64</v>
      </c>
      <c r="DN6" t="n">
        <v>23.4</v>
      </c>
    </row>
    <row r="7">
      <c r="A7" s="5" t="inlineStr">
        <is>
          <t>Total liabilities</t>
        </is>
      </c>
      <c r="B7" s="5" t="n"/>
      <c r="C7" s="5" t="n">
        <v>1811346.9</v>
      </c>
      <c r="D7" s="5" t="n">
        <v>1825371.8</v>
      </c>
      <c r="E7" s="5" t="n">
        <v>2353937.2</v>
      </c>
      <c r="F7" s="5" t="n">
        <v>1927464.8</v>
      </c>
      <c r="G7" s="5" t="n">
        <v>1487212.9</v>
      </c>
      <c r="H7" s="5" t="n">
        <v>1088116.9</v>
      </c>
      <c r="I7" s="5" t="n">
        <v>1314749.8</v>
      </c>
      <c r="J7" s="5" t="n">
        <v>1087324.1</v>
      </c>
      <c r="K7" s="5" t="n">
        <v>915444.6</v>
      </c>
      <c r="L7" s="5" t="n">
        <v>650253.4</v>
      </c>
      <c r="M7" s="5" t="n">
        <v>907113.5</v>
      </c>
      <c r="N7" s="5" t="n"/>
      <c r="O7" s="5" t="n"/>
      <c r="P7" s="5" t="n"/>
      <c r="Q7" s="5" t="n"/>
      <c r="R7" s="5" t="n"/>
      <c r="U7" t="inlineStr">
        <is>
          <t>Total liabilities</t>
        </is>
      </c>
      <c r="AA7" t="n">
        <v>907113.5</v>
      </c>
      <c r="AB7" t="n">
        <v>650253.4</v>
      </c>
      <c r="AC7" t="n">
        <v>915444.6</v>
      </c>
      <c r="AD7" t="n">
        <v>1087324.1</v>
      </c>
      <c r="AE7" t="n">
        <v>1314749.8</v>
      </c>
      <c r="AF7" t="n">
        <v>1088116.9</v>
      </c>
      <c r="AG7" t="n">
        <v>1487212.9</v>
      </c>
      <c r="AH7" t="n">
        <v>1927464.8</v>
      </c>
      <c r="AI7" t="n">
        <v>2353937.2</v>
      </c>
      <c r="AJ7" t="n">
        <v>1825371.8</v>
      </c>
      <c r="AK7" t="n">
        <v>1811346.9</v>
      </c>
      <c r="CW7" t="inlineStr">
        <is>
          <t>Tier 1 Ratio</t>
        </is>
      </c>
      <c r="DC7" t="n">
        <v>22.32</v>
      </c>
      <c r="DD7" t="n">
        <v>20.38</v>
      </c>
      <c r="DJ7" t="n">
        <v>20.78</v>
      </c>
      <c r="DK7" t="n">
        <v>25.84</v>
      </c>
      <c r="DL7" t="n">
        <v>28.95</v>
      </c>
      <c r="DM7" t="n">
        <v>25.64</v>
      </c>
      <c r="DN7" t="n">
        <v>23.4</v>
      </c>
    </row>
    <row r="8">
      <c r="A8" s="5" t="inlineStr">
        <is>
          <t>Total equity</t>
        </is>
      </c>
      <c r="B8" s="5" t="n"/>
      <c r="C8" s="5" t="n">
        <v>305356.2</v>
      </c>
      <c r="D8" s="5" t="n">
        <v>263918.8</v>
      </c>
      <c r="E8" s="5" t="n">
        <v>237583.7</v>
      </c>
      <c r="F8" s="5" t="n">
        <v>202894.4</v>
      </c>
      <c r="G8" s="5" t="n">
        <v>201722.6</v>
      </c>
      <c r="H8" s="5" t="n">
        <v>192407.7</v>
      </c>
      <c r="I8" s="5" t="n">
        <v>176507.1</v>
      </c>
      <c r="J8" s="5" t="n">
        <v>153062.4</v>
      </c>
      <c r="K8" s="5" t="n">
        <v>157001.1</v>
      </c>
      <c r="L8" s="5" t="n">
        <v>128565.1</v>
      </c>
      <c r="M8" s="5" t="n">
        <v>118654.9</v>
      </c>
      <c r="N8" s="5" t="n"/>
      <c r="O8" s="5" t="n"/>
      <c r="P8" s="5" t="n"/>
      <c r="Q8" s="5" t="n"/>
      <c r="R8" s="5" t="n"/>
      <c r="U8" t="inlineStr">
        <is>
          <t>Total equity</t>
        </is>
      </c>
      <c r="AA8" t="n">
        <v>118654.9</v>
      </c>
      <c r="AB8" t="n">
        <v>128565.1</v>
      </c>
      <c r="AC8" t="n">
        <v>157001.1</v>
      </c>
      <c r="AD8" t="n">
        <v>153062.4</v>
      </c>
      <c r="AE8" t="n">
        <v>176507.1</v>
      </c>
      <c r="AF8" t="n">
        <v>192407.7</v>
      </c>
      <c r="AG8" t="n">
        <v>201722.6</v>
      </c>
      <c r="AH8" t="n">
        <v>202894.4</v>
      </c>
      <c r="AI8" t="n">
        <v>237583.7</v>
      </c>
      <c r="AJ8" t="n">
        <v>263918.8</v>
      </c>
      <c r="AK8" t="n">
        <v>305356.2</v>
      </c>
      <c r="CW8" t="inlineStr">
        <is>
          <t>Total Capital Ratio</t>
        </is>
      </c>
      <c r="DC8" t="n">
        <v>22.32</v>
      </c>
      <c r="DD8" t="n">
        <v>20.38</v>
      </c>
      <c r="DJ8" t="n">
        <v>20.78</v>
      </c>
      <c r="DK8" t="n">
        <v>25.84</v>
      </c>
      <c r="DL8" t="n">
        <v>28.95</v>
      </c>
      <c r="DM8" t="n">
        <v>25.64</v>
      </c>
      <c r="DN8" t="n">
        <v>23.4</v>
      </c>
    </row>
    <row r="9">
      <c r="CW9" t="inlineStr">
        <is>
          <t>Leverage Ratio</t>
        </is>
      </c>
      <c r="DJ9" t="n">
        <v>8.359999999999999</v>
      </c>
      <c r="DK9" t="n">
        <v>7.32</v>
      </c>
      <c r="DL9" t="n">
        <v>9.76</v>
      </c>
      <c r="DM9" t="n">
        <v>11.25</v>
      </c>
      <c r="DN9" t="n">
        <v>12.08</v>
      </c>
    </row>
    <row r="10">
      <c r="A10" s="3" t="inlineStr">
        <is>
          <t>Profit &amp; Loss Summary (£'000)</t>
        </is>
      </c>
      <c r="CW10" t="inlineStr">
        <is>
          <t>LCR</t>
        </is>
      </c>
      <c r="DJ10" t="n">
        <v>276</v>
      </c>
      <c r="DK10" t="n">
        <v>343</v>
      </c>
      <c r="DL10" t="n">
        <v>310</v>
      </c>
      <c r="DM10" t="n">
        <v>330.42</v>
      </c>
      <c r="DN10" t="n">
        <v>270.19</v>
      </c>
    </row>
    <row r="11">
      <c r="A11" s="4" t="inlineStr">
        <is>
          <t>Line item</t>
        </is>
      </c>
      <c r="B11" s="4" t="inlineStr">
        <is>
          <t>FY2025</t>
        </is>
      </c>
      <c r="C11" s="4" t="inlineStr">
        <is>
          <t>FY2024</t>
        </is>
      </c>
      <c r="D11" s="4" t="inlineStr">
        <is>
          <t>FY2023</t>
        </is>
      </c>
      <c r="E11" s="4" t="inlineStr">
        <is>
          <t>FY2022</t>
        </is>
      </c>
      <c r="F11" s="4" t="inlineStr">
        <is>
          <t>FY2021</t>
        </is>
      </c>
      <c r="G11" s="4" t="inlineStr">
        <is>
          <t>FY2020</t>
        </is>
      </c>
      <c r="H11" s="4" t="inlineStr">
        <is>
          <t>FY2019</t>
        </is>
      </c>
      <c r="I11" s="4" t="inlineStr">
        <is>
          <t>FY2018</t>
        </is>
      </c>
      <c r="J11" s="4" t="inlineStr">
        <is>
          <t>FY2017</t>
        </is>
      </c>
      <c r="K11" s="4" t="inlineStr">
        <is>
          <t>FY2016</t>
        </is>
      </c>
      <c r="L11" s="4" t="inlineStr">
        <is>
          <t>FY2015</t>
        </is>
      </c>
      <c r="M11" s="4" t="inlineStr">
        <is>
          <t>FY2014</t>
        </is>
      </c>
      <c r="N11" s="4" t="inlineStr">
        <is>
          <t>FY2013</t>
        </is>
      </c>
      <c r="O11" s="4" t="inlineStr">
        <is>
          <t>FY2012</t>
        </is>
      </c>
      <c r="P11" s="4" t="inlineStr">
        <is>
          <t>FY2011</t>
        </is>
      </c>
      <c r="Q11" s="4" t="inlineStr">
        <is>
          <t>FY2010</t>
        </is>
      </c>
      <c r="R11" s="4" t="inlineStr">
        <is>
          <t>FY2009</t>
        </is>
      </c>
      <c r="AP11" t="inlineStr">
        <is>
          <t>FY2009</t>
        </is>
      </c>
      <c r="AQ11" t="inlineStr">
        <is>
          <t>FY2010</t>
        </is>
      </c>
      <c r="AR11" t="inlineStr">
        <is>
          <t>FY2011</t>
        </is>
      </c>
      <c r="AS11" t="inlineStr">
        <is>
          <t>FY2012</t>
        </is>
      </c>
      <c r="AT11" t="inlineStr">
        <is>
          <t>FY2013</t>
        </is>
      </c>
      <c r="AU11" t="inlineStr">
        <is>
          <t>FY2014</t>
        </is>
      </c>
      <c r="AV11" t="inlineStr">
        <is>
          <t>FY2015</t>
        </is>
      </c>
      <c r="AW11" t="inlineStr">
        <is>
          <t>FY2016</t>
        </is>
      </c>
      <c r="AX11" t="inlineStr">
        <is>
          <t>FY2017</t>
        </is>
      </c>
      <c r="AY11" t="inlineStr">
        <is>
          <t>FY2018</t>
        </is>
      </c>
      <c r="AZ11" t="inlineStr">
        <is>
          <t>FY2019</t>
        </is>
      </c>
      <c r="BA11" t="inlineStr">
        <is>
          <t>FY2020</t>
        </is>
      </c>
      <c r="BB11" t="inlineStr">
        <is>
          <t>FY2021</t>
        </is>
      </c>
      <c r="BC11" t="inlineStr">
        <is>
          <t>FY2022</t>
        </is>
      </c>
      <c r="BD11" t="inlineStr">
        <is>
          <t>FY2023</t>
        </is>
      </c>
      <c r="BE11" t="inlineStr">
        <is>
          <t>FY2024</t>
        </is>
      </c>
      <c r="BF11" t="inlineStr">
        <is>
          <t>FY2025</t>
        </is>
      </c>
      <c r="CW11" t="inlineStr">
        <is>
          <t>NSFR</t>
        </is>
      </c>
      <c r="DK11" t="n">
        <v>124</v>
      </c>
      <c r="DL11" t="n">
        <v>143</v>
      </c>
      <c r="DM11" t="n">
        <v>147.98</v>
      </c>
      <c r="DN11" t="n">
        <v>138.85</v>
      </c>
    </row>
    <row r="12">
      <c r="A12" s="5" t="inlineStr">
        <is>
          <t>Net interest income</t>
        </is>
      </c>
      <c r="B12" s="5" t="n"/>
      <c r="C12" s="5" t="n">
        <v>62855</v>
      </c>
      <c r="D12" s="5" t="n">
        <v>77360.5</v>
      </c>
      <c r="E12" s="5" t="n">
        <v>51765.3</v>
      </c>
      <c r="F12" s="5" t="n">
        <v>27807.4</v>
      </c>
      <c r="G12" s="5" t="n">
        <v>28077.3</v>
      </c>
      <c r="H12" s="5" t="n">
        <v>34628.4</v>
      </c>
      <c r="I12" s="5" t="n">
        <v>28962.3</v>
      </c>
      <c r="J12" s="5" t="n">
        <v>21978.3</v>
      </c>
      <c r="K12" s="5" t="n">
        <v>21277.5</v>
      </c>
      <c r="L12" s="5" t="n">
        <v>14592.1</v>
      </c>
      <c r="M12" s="5" t="n">
        <v>14209.2</v>
      </c>
      <c r="N12" s="5" t="n"/>
      <c r="O12" s="5" t="n"/>
      <c r="P12" s="5" t="n"/>
      <c r="Q12" s="5" t="n"/>
      <c r="R12" s="5" t="n"/>
      <c r="AO12" t="inlineStr">
        <is>
          <t>Net interest income</t>
        </is>
      </c>
      <c r="AU12" t="n">
        <v>14209.2</v>
      </c>
      <c r="AV12" t="n">
        <v>14592.1</v>
      </c>
      <c r="AW12" t="n">
        <v>21277.5</v>
      </c>
      <c r="AX12" t="n">
        <v>21978.3</v>
      </c>
      <c r="AY12" t="n">
        <v>28962.3</v>
      </c>
      <c r="AZ12" t="n">
        <v>34628.4</v>
      </c>
      <c r="BA12" t="n">
        <v>28077.3</v>
      </c>
      <c r="BB12" t="n">
        <v>27807.4</v>
      </c>
      <c r="BC12" t="n">
        <v>51765.3</v>
      </c>
      <c r="BD12" t="n">
        <v>77360.5</v>
      </c>
      <c r="BE12" t="n">
        <v>62855</v>
      </c>
    </row>
    <row r="13">
      <c r="A13" s="5" t="inlineStr">
        <is>
          <t>Operating income</t>
        </is>
      </c>
      <c r="B13" s="5" t="n"/>
      <c r="C13" s="5" t="n">
        <v>66720.5</v>
      </c>
      <c r="D13" s="5" t="n">
        <v>85377.89999999999</v>
      </c>
      <c r="E13" s="5" t="n">
        <v>62492.6</v>
      </c>
      <c r="F13" s="5" t="n">
        <v>31947.1</v>
      </c>
      <c r="G13" s="5" t="n">
        <v>38550</v>
      </c>
      <c r="H13" s="5" t="n">
        <v>45518.9</v>
      </c>
      <c r="I13" s="5" t="n">
        <v>37242.3</v>
      </c>
      <c r="J13" s="5" t="n">
        <v>31028.1</v>
      </c>
      <c r="K13" s="5" t="n">
        <v>27568.5</v>
      </c>
      <c r="L13" s="5" t="n">
        <v>21146.7</v>
      </c>
      <c r="M13" s="5" t="n">
        <v>20617.5</v>
      </c>
      <c r="N13" s="5" t="n"/>
      <c r="O13" s="5" t="n"/>
      <c r="P13" s="5" t="n"/>
      <c r="Q13" s="5" t="n"/>
      <c r="R13" s="5" t="n"/>
      <c r="AO13" t="inlineStr">
        <is>
          <t>Operating income</t>
        </is>
      </c>
      <c r="AU13" t="n">
        <v>20617.5</v>
      </c>
      <c r="AV13" t="n">
        <v>21146.7</v>
      </c>
      <c r="AW13" t="n">
        <v>27568.5</v>
      </c>
      <c r="AX13" t="n">
        <v>31028.1</v>
      </c>
      <c r="AY13" t="n">
        <v>37242.3</v>
      </c>
      <c r="AZ13" t="n">
        <v>45518.9</v>
      </c>
      <c r="BA13" t="n">
        <v>38550</v>
      </c>
      <c r="BB13" t="n">
        <v>31947.1</v>
      </c>
      <c r="BC13" t="n">
        <v>62492.6</v>
      </c>
      <c r="BD13" t="n">
        <v>85377.89999999999</v>
      </c>
      <c r="BE13" t="n">
        <v>66720.5</v>
      </c>
    </row>
    <row r="14">
      <c r="A14" s="5" t="inlineStr">
        <is>
          <t>Profit before tax</t>
        </is>
      </c>
      <c r="B14" s="5" t="n"/>
      <c r="C14" s="5" t="n">
        <v>44011</v>
      </c>
      <c r="D14" s="5" t="n">
        <v>58520.5</v>
      </c>
      <c r="E14" s="5" t="n">
        <v>36615</v>
      </c>
      <c r="F14" s="5" t="n">
        <v>9915.799999999999</v>
      </c>
      <c r="G14" s="5" t="n">
        <v>17062.6</v>
      </c>
      <c r="H14" s="5" t="n">
        <v>27217.8</v>
      </c>
      <c r="I14" s="5" t="n">
        <v>25376.1</v>
      </c>
      <c r="J14" s="5" t="n">
        <v>12431.7</v>
      </c>
      <c r="K14" s="5" t="n">
        <v>2539.8</v>
      </c>
      <c r="L14" s="5" t="n">
        <v>4645.5</v>
      </c>
      <c r="M14" s="5" t="n">
        <v>11540.9</v>
      </c>
      <c r="N14" s="5" t="n"/>
      <c r="O14" s="5" t="n"/>
      <c r="P14" s="5" t="n"/>
      <c r="Q14" s="5" t="n"/>
      <c r="R14" s="5" t="n"/>
      <c r="AO14" t="inlineStr">
        <is>
          <t>Profit before tax</t>
        </is>
      </c>
      <c r="AU14" t="n">
        <v>11540.9</v>
      </c>
      <c r="AV14" t="n">
        <v>4645.5</v>
      </c>
      <c r="AW14" t="n">
        <v>2539.8</v>
      </c>
      <c r="AX14" t="n">
        <v>12431.7</v>
      </c>
      <c r="AY14" t="n">
        <v>25376.1</v>
      </c>
      <c r="AZ14" t="n">
        <v>27217.8</v>
      </c>
      <c r="BA14" t="n">
        <v>17062.6</v>
      </c>
      <c r="BB14" t="n">
        <v>9915.799999999999</v>
      </c>
      <c r="BC14" t="n">
        <v>36615</v>
      </c>
      <c r="BD14" t="n">
        <v>58520.5</v>
      </c>
      <c r="BE14" t="n">
        <v>44011</v>
      </c>
    </row>
    <row r="15">
      <c r="A15" s="5" t="inlineStr">
        <is>
          <t>Profit for the year</t>
        </is>
      </c>
      <c r="B15" s="5" t="n"/>
      <c r="C15" s="5" t="n">
        <v>33033.4</v>
      </c>
      <c r="D15" s="5" t="n">
        <v>44085.1</v>
      </c>
      <c r="E15" s="5" t="n">
        <v>28474.9</v>
      </c>
      <c r="F15" s="5" t="n">
        <v>8292.700000000001</v>
      </c>
      <c r="G15" s="5" t="n">
        <v>13966</v>
      </c>
      <c r="H15" s="5" t="n">
        <v>21894.4</v>
      </c>
      <c r="I15" s="5" t="n">
        <v>20629.7</v>
      </c>
      <c r="J15" s="5" t="n">
        <v>10583.1</v>
      </c>
      <c r="K15" s="5" t="n">
        <v>1955.6</v>
      </c>
      <c r="L15" s="5" t="n">
        <v>3484.1</v>
      </c>
      <c r="M15" s="5" t="n">
        <v>8742.299999999999</v>
      </c>
      <c r="N15" s="5" t="n"/>
      <c r="O15" s="5" t="n"/>
      <c r="P15" s="5" t="n"/>
      <c r="Q15" s="5" t="n"/>
      <c r="R15" s="5" t="n"/>
      <c r="AO15" t="inlineStr">
        <is>
          <t>Profit for the year</t>
        </is>
      </c>
      <c r="AU15" t="n">
        <v>8742.299999999999</v>
      </c>
      <c r="AV15" t="n">
        <v>3484.1</v>
      </c>
      <c r="AW15" t="n">
        <v>1955.6</v>
      </c>
      <c r="AX15" t="n">
        <v>10583.1</v>
      </c>
      <c r="AY15" t="n">
        <v>20629.7</v>
      </c>
      <c r="AZ15" t="n">
        <v>21894.4</v>
      </c>
      <c r="BA15" t="n">
        <v>13966</v>
      </c>
      <c r="BB15" t="n">
        <v>8292.700000000001</v>
      </c>
      <c r="BC15" t="n">
        <v>28474.9</v>
      </c>
      <c r="BD15" t="n">
        <v>44085.1</v>
      </c>
      <c r="BE15" t="n">
        <v>33033.4</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N18" s="4" t="inlineStr">
        <is>
          <t>FY2013</t>
        </is>
      </c>
      <c r="O18" s="4" t="inlineStr">
        <is>
          <t>FY2012</t>
        </is>
      </c>
      <c r="P18" s="4" t="inlineStr">
        <is>
          <t>FY2011</t>
        </is>
      </c>
      <c r="Q18" s="4" t="inlineStr">
        <is>
          <t>FY2010</t>
        </is>
      </c>
      <c r="R18" s="4" t="inlineStr">
        <is>
          <t>FY2009</t>
        </is>
      </c>
      <c r="BJ18" t="inlineStr">
        <is>
          <t>FY2009</t>
        </is>
      </c>
      <c r="BK18" t="inlineStr">
        <is>
          <t>FY2010</t>
        </is>
      </c>
      <c r="BL18" t="inlineStr">
        <is>
          <t>FY2011</t>
        </is>
      </c>
      <c r="BM18" t="inlineStr">
        <is>
          <t>FY2012</t>
        </is>
      </c>
      <c r="BN18" t="inlineStr">
        <is>
          <t>FY2013</t>
        </is>
      </c>
      <c r="BO18" t="inlineStr">
        <is>
          <t>FY2014</t>
        </is>
      </c>
      <c r="BP18" t="inlineStr">
        <is>
          <t>FY2015</t>
        </is>
      </c>
      <c r="BQ18" t="inlineStr">
        <is>
          <t>FY2016</t>
        </is>
      </c>
      <c r="BR18" t="inlineStr">
        <is>
          <t>FY2017</t>
        </is>
      </c>
      <c r="BS18" t="inlineStr">
        <is>
          <t>FY2018</t>
        </is>
      </c>
      <c r="BT18" t="inlineStr">
        <is>
          <t>FY2019</t>
        </is>
      </c>
      <c r="BU18" t="inlineStr">
        <is>
          <t>FY2020</t>
        </is>
      </c>
      <c r="BV18" t="inlineStr">
        <is>
          <t>FY2021</t>
        </is>
      </c>
      <c r="BW18" t="inlineStr">
        <is>
          <t>FY2022</t>
        </is>
      </c>
      <c r="BX18" t="inlineStr">
        <is>
          <t>FY2023</t>
        </is>
      </c>
      <c r="BY18" t="inlineStr">
        <is>
          <t>FY2024</t>
        </is>
      </c>
      <c r="BZ18" t="inlineStr">
        <is>
          <t>FY2025</t>
        </is>
      </c>
    </row>
    <row r="19">
      <c r="A19" s="5" t="inlineStr">
        <is>
          <t>Total equity (period end)</t>
        </is>
      </c>
      <c r="B19" s="5" t="n"/>
      <c r="C19" s="5" t="n">
        <v>305356.2</v>
      </c>
      <c r="D19" s="5" t="n">
        <v>263918.8</v>
      </c>
      <c r="E19" s="5" t="n">
        <v>237583.7</v>
      </c>
      <c r="F19" s="5" t="n">
        <v>202894.4</v>
      </c>
      <c r="G19" s="5" t="n">
        <v>201722.6</v>
      </c>
      <c r="H19" s="5" t="n">
        <v>192407.7</v>
      </c>
      <c r="I19" s="5" t="n">
        <v>176507.1</v>
      </c>
      <c r="J19" s="5" t="n">
        <v>153062.4</v>
      </c>
      <c r="K19" s="5" t="n">
        <v>157001.1</v>
      </c>
      <c r="L19" s="5" t="n">
        <v>128565.1</v>
      </c>
      <c r="M19" s="5" t="n">
        <v>118654.9</v>
      </c>
      <c r="N19" s="5" t="n"/>
      <c r="O19" s="5" t="n"/>
      <c r="P19" s="5" t="n"/>
      <c r="Q19" s="5" t="n"/>
      <c r="R19" s="5" t="n"/>
      <c r="BI19" t="inlineStr">
        <is>
          <t>Total equity (period end)</t>
        </is>
      </c>
      <c r="BO19" t="n">
        <v>118654.9</v>
      </c>
      <c r="BP19" t="n">
        <v>128565.1</v>
      </c>
      <c r="BQ19" t="n">
        <v>157001.1</v>
      </c>
      <c r="BR19" t="n">
        <v>153062.4</v>
      </c>
      <c r="BS19" t="n">
        <v>176507.1</v>
      </c>
      <c r="BT19" t="n">
        <v>192407.7</v>
      </c>
      <c r="BU19" t="n">
        <v>201722.6</v>
      </c>
      <c r="BV19" t="n">
        <v>202894.4</v>
      </c>
      <c r="BW19" t="n">
        <v>237583.7</v>
      </c>
      <c r="BX19" t="n">
        <v>263918.8</v>
      </c>
      <c r="BY19" t="n">
        <v>305356.2</v>
      </c>
    </row>
    <row r="21">
      <c r="A21" s="3" t="inlineStr">
        <is>
          <t>Cash Flow Summary (£'000)</t>
        </is>
      </c>
    </row>
    <row r="22">
      <c r="A22" s="4" t="inlineStr">
        <is>
          <t>Line item</t>
        </is>
      </c>
      <c r="B22" s="4" t="inlineStr">
        <is>
          <t>FY2025</t>
        </is>
      </c>
      <c r="C22" s="4" t="inlineStr">
        <is>
          <t>FY2024</t>
        </is>
      </c>
      <c r="D22" s="4" t="inlineStr">
        <is>
          <t>FY2023</t>
        </is>
      </c>
      <c r="E22" s="4" t="inlineStr">
        <is>
          <t>FY2022</t>
        </is>
      </c>
      <c r="F22" s="4" t="inlineStr">
        <is>
          <t>FY2021</t>
        </is>
      </c>
      <c r="G22" s="4" t="inlineStr">
        <is>
          <t>FY2020</t>
        </is>
      </c>
      <c r="H22" s="4" t="inlineStr">
        <is>
          <t>FY2019</t>
        </is>
      </c>
      <c r="I22" s="4" t="inlineStr">
        <is>
          <t>FY2018</t>
        </is>
      </c>
      <c r="J22" s="4" t="inlineStr">
        <is>
          <t>FY2017</t>
        </is>
      </c>
      <c r="K22" s="4" t="inlineStr">
        <is>
          <t>FY2016</t>
        </is>
      </c>
      <c r="L22" s="4" t="inlineStr">
        <is>
          <t>FY2015</t>
        </is>
      </c>
      <c r="M22" s="4" t="inlineStr">
        <is>
          <t>FY2014</t>
        </is>
      </c>
      <c r="N22" s="4" t="inlineStr">
        <is>
          <t>FY2013</t>
        </is>
      </c>
      <c r="O22" s="4" t="inlineStr">
        <is>
          <t>FY2012</t>
        </is>
      </c>
      <c r="P22" s="4" t="inlineStr">
        <is>
          <t>FY2011</t>
        </is>
      </c>
      <c r="Q22" s="4" t="inlineStr">
        <is>
          <t>FY2010</t>
        </is>
      </c>
      <c r="R22" s="4" t="inlineStr">
        <is>
          <t>FY2009</t>
        </is>
      </c>
      <c r="CD22" t="inlineStr">
        <is>
          <t>FY2009</t>
        </is>
      </c>
      <c r="CE22" t="inlineStr">
        <is>
          <t>FY2010</t>
        </is>
      </c>
      <c r="CF22" t="inlineStr">
        <is>
          <t>FY2011</t>
        </is>
      </c>
      <c r="CG22" t="inlineStr">
        <is>
          <t>FY2012</t>
        </is>
      </c>
      <c r="CH22" t="inlineStr">
        <is>
          <t>FY2013</t>
        </is>
      </c>
      <c r="CI22" t="inlineStr">
        <is>
          <t>FY2014</t>
        </is>
      </c>
      <c r="CJ22" t="inlineStr">
        <is>
          <t>FY2015</t>
        </is>
      </c>
      <c r="CK22" t="inlineStr">
        <is>
          <t>FY2016</t>
        </is>
      </c>
      <c r="CL22" t="inlineStr">
        <is>
          <t>FY2017</t>
        </is>
      </c>
      <c r="CM22" t="inlineStr">
        <is>
          <t>FY2018</t>
        </is>
      </c>
      <c r="CN22" t="inlineStr">
        <is>
          <t>FY2019</t>
        </is>
      </c>
      <c r="CO22" t="inlineStr">
        <is>
          <t>FY2020</t>
        </is>
      </c>
      <c r="CP22" t="inlineStr">
        <is>
          <t>FY2021</t>
        </is>
      </c>
      <c r="CQ22" t="inlineStr">
        <is>
          <t>FY2022</t>
        </is>
      </c>
      <c r="CR22" t="inlineStr">
        <is>
          <t>FY2023</t>
        </is>
      </c>
      <c r="CS22" t="inlineStr">
        <is>
          <t>FY2024</t>
        </is>
      </c>
      <c r="CT22" t="inlineStr">
        <is>
          <t>FY2025</t>
        </is>
      </c>
    </row>
    <row r="23">
      <c r="A23" s="5" t="inlineStr">
        <is>
          <t>Net cash generated from/(used in) operating activities</t>
        </is>
      </c>
      <c r="B23" s="5" t="n"/>
      <c r="C23" s="5" t="n">
        <v>162230.1</v>
      </c>
      <c r="D23" s="5" t="n">
        <v>-276726.4</v>
      </c>
      <c r="E23" s="5" t="n">
        <v>-197184.8</v>
      </c>
      <c r="F23" s="5" t="n">
        <v>84381.3</v>
      </c>
      <c r="G23" s="5" t="n">
        <v>207192.8</v>
      </c>
      <c r="H23" s="5" t="n">
        <v>-76511.5</v>
      </c>
      <c r="I23" s="5" t="n">
        <v>-51112.4</v>
      </c>
      <c r="J23" s="5" t="n">
        <v>74286.2</v>
      </c>
      <c r="K23" s="5" t="n">
        <v>225723.4</v>
      </c>
      <c r="L23" s="5" t="n">
        <v>-74876.39999999999</v>
      </c>
      <c r="M23" s="5" t="n">
        <v>80335.5</v>
      </c>
      <c r="N23" s="5" t="n"/>
      <c r="O23" s="5" t="n"/>
      <c r="P23" s="5" t="n"/>
      <c r="Q23" s="5" t="n"/>
      <c r="R23" s="5" t="n"/>
      <c r="CC23" t="inlineStr">
        <is>
          <t>Net cash generated from/(used in) operating activities</t>
        </is>
      </c>
      <c r="CI23" t="n">
        <v>80335.5</v>
      </c>
      <c r="CJ23" t="n">
        <v>-74876.39999999999</v>
      </c>
      <c r="CK23" t="n">
        <v>225723.4</v>
      </c>
      <c r="CL23" t="n">
        <v>74286.2</v>
      </c>
      <c r="CM23" t="n">
        <v>-51112.4</v>
      </c>
      <c r="CN23" t="n">
        <v>-76511.5</v>
      </c>
      <c r="CO23" t="n">
        <v>207192.8</v>
      </c>
      <c r="CP23" t="n">
        <v>84381.3</v>
      </c>
      <c r="CQ23" t="n">
        <v>-197184.8</v>
      </c>
      <c r="CR23" t="n">
        <v>-276726.4</v>
      </c>
      <c r="CS23" t="n">
        <v>162230.1</v>
      </c>
    </row>
    <row r="24">
      <c r="A24" s="5" t="inlineStr">
        <is>
          <t>Net cash generated from/(used in) investing activities</t>
        </is>
      </c>
      <c r="B24" s="5" t="n"/>
      <c r="C24" s="5" t="n">
        <v>429.6</v>
      </c>
      <c r="D24" s="5" t="n">
        <v>7360.1</v>
      </c>
      <c r="E24" s="5" t="n">
        <v>-2155.5</v>
      </c>
      <c r="F24" s="5" t="n">
        <v>-8018.4</v>
      </c>
      <c r="G24" s="5" t="n">
        <v>-39565.5</v>
      </c>
      <c r="H24" s="5" t="n">
        <v>-31092.8</v>
      </c>
      <c r="I24" s="5" t="n">
        <v>11251.6</v>
      </c>
      <c r="J24" s="5" t="n">
        <v>21720.2</v>
      </c>
      <c r="K24" s="5" t="n">
        <v>32457.4</v>
      </c>
      <c r="L24" s="5" t="n">
        <v>-8569.799999999999</v>
      </c>
      <c r="M24" s="5" t="n">
        <v>23450.8</v>
      </c>
      <c r="N24" s="5" t="n"/>
      <c r="O24" s="5" t="n"/>
      <c r="P24" s="5" t="n"/>
      <c r="Q24" s="5" t="n"/>
      <c r="R24" s="5" t="n"/>
      <c r="CC24" t="inlineStr">
        <is>
          <t>Net cash generated from/(used in) investing activities</t>
        </is>
      </c>
      <c r="CI24" t="n">
        <v>23450.8</v>
      </c>
      <c r="CJ24" t="n">
        <v>-8569.799999999999</v>
      </c>
      <c r="CK24" t="n">
        <v>32457.4</v>
      </c>
      <c r="CL24" t="n">
        <v>21720.2</v>
      </c>
      <c r="CM24" t="n">
        <v>11251.6</v>
      </c>
      <c r="CN24" t="n">
        <v>-31092.8</v>
      </c>
      <c r="CO24" t="n">
        <v>-39565.5</v>
      </c>
      <c r="CP24" t="n">
        <v>-8018.4</v>
      </c>
      <c r="CQ24" t="n">
        <v>-2155.5</v>
      </c>
      <c r="CR24" t="n">
        <v>7360.1</v>
      </c>
      <c r="CS24" t="n">
        <v>429.6</v>
      </c>
    </row>
    <row r="25">
      <c r="A25" s="5" t="inlineStr">
        <is>
          <t>Net cash generated from/(used in) financing activities</t>
        </is>
      </c>
      <c r="B25" s="5" t="n"/>
      <c r="C25" s="5" t="n">
        <v>-525.9</v>
      </c>
      <c r="D25" s="5" t="n">
        <v>-14893.7</v>
      </c>
      <c r="E25" s="5" t="n">
        <v>-5277.6</v>
      </c>
      <c r="F25" s="5" t="n">
        <v>-7266.8</v>
      </c>
      <c r="G25" s="5" t="n">
        <v>274.2</v>
      </c>
      <c r="H25" s="5" t="n">
        <v>-474.5</v>
      </c>
      <c r="I25" s="5" t="n"/>
      <c r="J25" s="5" t="n"/>
      <c r="K25" s="5" t="n"/>
      <c r="L25" s="5" t="n"/>
      <c r="M25" s="5" t="n">
        <v>30367.4</v>
      </c>
      <c r="N25" s="5" t="n"/>
      <c r="O25" s="5" t="n"/>
      <c r="P25" s="5" t="n"/>
      <c r="Q25" s="5" t="n"/>
      <c r="R25" s="5" t="n"/>
      <c r="CC25" t="inlineStr">
        <is>
          <t>Net cash generated from/(used in) financing activities</t>
        </is>
      </c>
      <c r="CI25" t="n">
        <v>30367.4</v>
      </c>
      <c r="CN25" t="n">
        <v>-474.5</v>
      </c>
      <c r="CO25" t="n">
        <v>274.2</v>
      </c>
      <c r="CP25" t="n">
        <v>-7266.8</v>
      </c>
      <c r="CQ25" t="n">
        <v>-5277.6</v>
      </c>
      <c r="CR25" t="n">
        <v>-14893.7</v>
      </c>
      <c r="CS25" t="n">
        <v>-525.9</v>
      </c>
    </row>
    <row r="26">
      <c r="A26" s="5" t="inlineStr">
        <is>
          <t>Cash and cash equivalents at end of year</t>
        </is>
      </c>
      <c r="B26" s="5" t="n"/>
      <c r="C26" s="5" t="n">
        <v>383726.2</v>
      </c>
      <c r="D26" s="5" t="n">
        <v>216831.3</v>
      </c>
      <c r="E26" s="5" t="n">
        <v>520509.8</v>
      </c>
      <c r="F26" s="5" t="n">
        <v>652769.3</v>
      </c>
      <c r="G26" s="5" t="n">
        <v>576523.2</v>
      </c>
      <c r="H26" s="5" t="n">
        <v>433198</v>
      </c>
      <c r="I26" s="5" t="n">
        <v>556093</v>
      </c>
      <c r="J26" s="5" t="n">
        <v>564977.9</v>
      </c>
      <c r="K26" s="5" t="n">
        <v>519912.3</v>
      </c>
      <c r="L26" s="5" t="n">
        <v>196648.9</v>
      </c>
      <c r="M26" s="5" t="n">
        <v>268406</v>
      </c>
      <c r="N26" s="5" t="n"/>
      <c r="O26" s="5" t="n"/>
      <c r="P26" s="5" t="n"/>
      <c r="Q26" s="5" t="n"/>
      <c r="R26" s="5" t="n"/>
      <c r="CC26" t="inlineStr">
        <is>
          <t>Cash and cash equivalents at end of year</t>
        </is>
      </c>
      <c r="CI26" t="n">
        <v>268406</v>
      </c>
      <c r="CJ26" t="n">
        <v>196648.9</v>
      </c>
      <c r="CK26" t="n">
        <v>519912.3</v>
      </c>
      <c r="CL26" t="n">
        <v>564977.9</v>
      </c>
      <c r="CM26" t="n">
        <v>556093</v>
      </c>
      <c r="CN26" t="n">
        <v>433198</v>
      </c>
      <c r="CO26" t="n">
        <v>576523.2</v>
      </c>
      <c r="CP26" t="n">
        <v>652769.3</v>
      </c>
      <c r="CQ26" t="n">
        <v>520509.8</v>
      </c>
      <c r="CR26" t="n">
        <v>216831.3</v>
      </c>
      <c r="CS26" t="n">
        <v>383726.2</v>
      </c>
    </row>
    <row r="28">
      <c r="A28" s="3" t="inlineStr">
        <is>
          <t>Pillar 3 Key Metrics</t>
        </is>
      </c>
    </row>
    <row r="29">
      <c r="A29" s="4" t="inlineStr">
        <is>
          <t>Line item</t>
        </is>
      </c>
      <c r="B29" s="4" t="inlineStr">
        <is>
          <t>FY2025</t>
        </is>
      </c>
      <c r="C29" s="4" t="inlineStr">
        <is>
          <t>FY2024</t>
        </is>
      </c>
      <c r="D29" s="4" t="inlineStr">
        <is>
          <t>FY2023</t>
        </is>
      </c>
      <c r="E29" s="4" t="inlineStr">
        <is>
          <t>FY2022</t>
        </is>
      </c>
      <c r="F29" s="4" t="inlineStr">
        <is>
          <t>FY2021</t>
        </is>
      </c>
      <c r="G29" s="4" t="inlineStr">
        <is>
          <t>FY2020</t>
        </is>
      </c>
      <c r="H29" s="4" t="inlineStr">
        <is>
          <t>FY2019</t>
        </is>
      </c>
      <c r="I29" s="4" t="inlineStr">
        <is>
          <t>FY2018</t>
        </is>
      </c>
      <c r="J29" s="4" t="inlineStr">
        <is>
          <t>FY2017</t>
        </is>
      </c>
      <c r="K29" s="4" t="inlineStr">
        <is>
          <t>FY2016</t>
        </is>
      </c>
      <c r="L29" s="4" t="inlineStr">
        <is>
          <t>FY2015</t>
        </is>
      </c>
      <c r="M29" s="4" t="inlineStr">
        <is>
          <t>FY2014</t>
        </is>
      </c>
      <c r="N29" s="4" t="inlineStr">
        <is>
          <t>FY2013</t>
        </is>
      </c>
      <c r="O29" s="4" t="inlineStr">
        <is>
          <t>FY2012</t>
        </is>
      </c>
      <c r="P29" s="4" t="inlineStr">
        <is>
          <t>FY2011</t>
        </is>
      </c>
      <c r="Q29" s="4" t="inlineStr">
        <is>
          <t>FY2010</t>
        </is>
      </c>
      <c r="R29" s="4" t="inlineStr">
        <is>
          <t>FY2009</t>
        </is>
      </c>
    </row>
    <row r="30">
      <c r="A30" s="6" t="inlineStr">
        <is>
          <t>CET1 Ratio</t>
        </is>
      </c>
      <c r="B30" s="6" t="inlineStr">
        <is>
          <t>23.40%</t>
        </is>
      </c>
      <c r="C30" s="6" t="inlineStr">
        <is>
          <t>25.64%</t>
        </is>
      </c>
      <c r="D30" s="6" t="inlineStr">
        <is>
          <t>28.95%</t>
        </is>
      </c>
      <c r="E30" s="6" t="inlineStr">
        <is>
          <t>25.84%</t>
        </is>
      </c>
      <c r="F30" s="6" t="inlineStr">
        <is>
          <t>20.78%</t>
        </is>
      </c>
      <c r="G30" s="6" t="n"/>
      <c r="H30" s="6" t="n"/>
      <c r="I30" s="6" t="n"/>
      <c r="J30" s="6" t="n"/>
      <c r="K30" s="6" t="n"/>
      <c r="L30" s="6" t="inlineStr">
        <is>
          <t>20.38%</t>
        </is>
      </c>
      <c r="M30" s="6" t="inlineStr">
        <is>
          <t>22.32%</t>
        </is>
      </c>
      <c r="N30" s="6" t="n"/>
      <c r="O30" s="6" t="n"/>
      <c r="P30" s="6" t="n"/>
      <c r="Q30" s="6" t="n"/>
      <c r="R30" s="6" t="n"/>
    </row>
    <row r="31">
      <c r="A31" s="6" t="inlineStr">
        <is>
          <t>Tier 1 Ratio</t>
        </is>
      </c>
      <c r="B31" s="6" t="inlineStr">
        <is>
          <t>23.40%</t>
        </is>
      </c>
      <c r="C31" s="6" t="inlineStr">
        <is>
          <t>25.64%</t>
        </is>
      </c>
      <c r="D31" s="6" t="inlineStr">
        <is>
          <t>28.95%</t>
        </is>
      </c>
      <c r="E31" s="6" t="inlineStr">
        <is>
          <t>25.84%</t>
        </is>
      </c>
      <c r="F31" s="6" t="inlineStr">
        <is>
          <t>20.78%</t>
        </is>
      </c>
      <c r="G31" s="6" t="n"/>
      <c r="H31" s="6" t="n"/>
      <c r="I31" s="6" t="n"/>
      <c r="J31" s="6" t="n"/>
      <c r="K31" s="6" t="n"/>
      <c r="L31" s="6" t="inlineStr">
        <is>
          <t>20.38%</t>
        </is>
      </c>
      <c r="M31" s="6" t="inlineStr">
        <is>
          <t>22.32%</t>
        </is>
      </c>
      <c r="N31" s="6" t="n"/>
      <c r="O31" s="6" t="n"/>
      <c r="P31" s="6" t="n"/>
      <c r="Q31" s="6" t="n"/>
      <c r="R31" s="6" t="n"/>
    </row>
    <row r="32">
      <c r="A32" s="6" t="inlineStr">
        <is>
          <t>Total Capital Ratio</t>
        </is>
      </c>
      <c r="B32" s="6" t="inlineStr">
        <is>
          <t>23.40%</t>
        </is>
      </c>
      <c r="C32" s="6" t="inlineStr">
        <is>
          <t>25.64%</t>
        </is>
      </c>
      <c r="D32" s="6" t="inlineStr">
        <is>
          <t>28.95%</t>
        </is>
      </c>
      <c r="E32" s="6" t="inlineStr">
        <is>
          <t>25.84%</t>
        </is>
      </c>
      <c r="F32" s="6" t="inlineStr">
        <is>
          <t>20.78%</t>
        </is>
      </c>
      <c r="G32" s="6" t="n"/>
      <c r="H32" s="6" t="n"/>
      <c r="I32" s="6" t="n"/>
      <c r="J32" s="6" t="n"/>
      <c r="K32" s="6" t="n"/>
      <c r="L32" s="6" t="inlineStr">
        <is>
          <t>20.38%</t>
        </is>
      </c>
      <c r="M32" s="6" t="inlineStr">
        <is>
          <t>22.32%</t>
        </is>
      </c>
      <c r="N32" s="6" t="n"/>
      <c r="O32" s="6" t="n"/>
      <c r="P32" s="6" t="n"/>
      <c r="Q32" s="6" t="n"/>
      <c r="R32" s="6" t="n"/>
    </row>
    <row r="33">
      <c r="A33" s="6" t="inlineStr">
        <is>
          <t>Leverage Ratio</t>
        </is>
      </c>
      <c r="B33" s="6" t="inlineStr">
        <is>
          <t>12.08%</t>
        </is>
      </c>
      <c r="C33" s="6" t="inlineStr">
        <is>
          <t>11.25%</t>
        </is>
      </c>
      <c r="D33" s="6" t="inlineStr">
        <is>
          <t>9.76%</t>
        </is>
      </c>
      <c r="E33" s="6" t="inlineStr">
        <is>
          <t>7.32%</t>
        </is>
      </c>
      <c r="F33" s="6" t="inlineStr">
        <is>
          <t>8.36%</t>
        </is>
      </c>
      <c r="G33" s="6" t="n"/>
      <c r="H33" s="6" t="n"/>
      <c r="I33" s="6" t="n"/>
      <c r="J33" s="6" t="n"/>
      <c r="K33" s="6" t="n"/>
      <c r="L33" s="6" t="n"/>
      <c r="M33" s="6" t="n"/>
      <c r="N33" s="6" t="n"/>
      <c r="O33" s="6" t="n"/>
      <c r="P33" s="6" t="n"/>
      <c r="Q33" s="6" t="n"/>
      <c r="R33" s="6" t="n"/>
    </row>
    <row r="34">
      <c r="A34" s="6" t="inlineStr">
        <is>
          <t>LCR</t>
        </is>
      </c>
      <c r="B34" s="6" t="inlineStr">
        <is>
          <t>270.19%</t>
        </is>
      </c>
      <c r="C34" s="6" t="inlineStr">
        <is>
          <t>330.42%</t>
        </is>
      </c>
      <c r="D34" s="6" t="inlineStr">
        <is>
          <t>310%</t>
        </is>
      </c>
      <c r="E34" s="6" t="inlineStr">
        <is>
          <t>343%</t>
        </is>
      </c>
      <c r="F34" s="6" t="inlineStr">
        <is>
          <t>276%</t>
        </is>
      </c>
      <c r="G34" s="6" t="n"/>
      <c r="H34" s="6" t="n"/>
      <c r="I34" s="6" t="n"/>
      <c r="J34" s="6" t="n"/>
      <c r="K34" s="6" t="n"/>
      <c r="L34" s="6" t="n"/>
      <c r="M34" s="6" t="n"/>
      <c r="N34" s="6" t="n"/>
      <c r="O34" s="6" t="n"/>
      <c r="P34" s="6" t="n"/>
      <c r="Q34" s="6" t="n"/>
      <c r="R34" s="6" t="n"/>
    </row>
    <row r="35">
      <c r="A35" s="6" t="inlineStr">
        <is>
          <t>NSFR</t>
        </is>
      </c>
      <c r="B35" s="6" t="inlineStr">
        <is>
          <t>138.85%</t>
        </is>
      </c>
      <c r="C35" s="6" t="inlineStr">
        <is>
          <t>147.98%</t>
        </is>
      </c>
      <c r="D35" s="6" t="inlineStr">
        <is>
          <t>143%</t>
        </is>
      </c>
      <c r="E35" s="6" t="inlineStr">
        <is>
          <t>124%</t>
        </is>
      </c>
      <c r="F35" s="6" t="n"/>
      <c r="G35" s="6" t="n"/>
      <c r="H35" s="6" t="n"/>
      <c r="I35" s="6" t="n"/>
      <c r="J35" s="6" t="n"/>
      <c r="K35" s="6" t="n"/>
      <c r="L35" s="6" t="n"/>
      <c r="M35" s="6" t="n"/>
      <c r="N35" s="6" t="n"/>
      <c r="O35" s="6" t="n"/>
      <c r="P35" s="6" t="n"/>
      <c r="Q35" s="6" t="n"/>
      <c r="R35" s="6" t="n"/>
    </row>
    <row r="37" ht="45" customHeight="1">
      <c r="A37" s="7" t="inlineStr">
        <is>
          <t>Note: Figures are duplicated from the detail sheets for at-a-glance trend viewing; see each sheet's own source citation. All £ figures are converted from the Bank's native USD reporting (see Cash Flow Statement sheet's FX conversion note) - this conversion was not explicitly requested for this bank but applied for consistency with the rest of the series. FY2025 cash flow is blank (no FY2025 Annual Report published yet); Pillar 3 is fully populated for FY2025. Window extended back to FY2014 under HD-048 (capped by explicit user decision - see the HD-048 extension note on the Cash Flow Statement sheet); CET1/Tier 1/Total Capital Ratio for FY2014/FY2015 use a pre-CRD IV methodology (see Pillar 3 sources note on those sheets) and Leverage Ratio/LCR/NSFR are blank for all of FY2014-FY2020 (not yet in force, and/or no Pillar 3 document recoverable for FY2016-FY2020).</t>
        </is>
      </c>
    </row>
  </sheetData>
  <mergeCells count="1">
    <mergeCell ref="A37:R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Statement of Financial Position</t>
        </is>
      </c>
    </row>
    <row r="2">
      <c r="A2" s="2" t="inlineStr">
        <is>
          <t>£'000 (FY2009-FY2013 native GBP, FY2014 onward converted from USD) - see source note at bottom for FX methodology and rates used. FY2025 blank (no FY2025 Annual Report yet).</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c r="G3" s="4" t="inlineStr">
        <is>
          <t>FY2020 (£'000, conv. from USD)</t>
        </is>
      </c>
      <c r="H3" s="4" t="inlineStr">
        <is>
          <t>FY2019 (£'000, conv. from USD)</t>
        </is>
      </c>
      <c r="I3" s="4" t="inlineStr">
        <is>
          <t>FY2018 (£'000, conv. from USD)</t>
        </is>
      </c>
      <c r="J3" s="4" t="inlineStr">
        <is>
          <t>FY2017 (£'000, conv. from USD)</t>
        </is>
      </c>
      <c r="K3" s="4" t="inlineStr">
        <is>
          <t>FY2016 (£'000, conv. from USD)</t>
        </is>
      </c>
      <c r="L3" s="4" t="inlineStr">
        <is>
          <t>FY2015 (£'000, conv. from USD)</t>
        </is>
      </c>
      <c r="M3" s="4" t="inlineStr">
        <is>
          <t>FY2014 (£'000, conv. from USD)</t>
        </is>
      </c>
      <c r="N3" s="4" t="inlineStr">
        <is>
          <t>FY2013 (£'000, conv. from USD)</t>
        </is>
      </c>
      <c r="O3" s="4" t="inlineStr">
        <is>
          <t>FY2012 (£'000, conv. from USD)</t>
        </is>
      </c>
      <c r="P3" s="4" t="inlineStr">
        <is>
          <t>FY2011 (£'000, conv. from USD)</t>
        </is>
      </c>
      <c r="Q3" s="4" t="inlineStr">
        <is>
          <t>FY2010 (£'000, conv. from USD)</t>
        </is>
      </c>
      <c r="R3" s="4" t="inlineStr">
        <is>
          <t>FY2009 (£'000, conv. from USD)</t>
        </is>
      </c>
    </row>
    <row r="4">
      <c r="A4" s="5" t="inlineStr">
        <is>
          <t>Assets</t>
        </is>
      </c>
      <c r="B4" s="6" t="n"/>
      <c r="C4" s="6" t="n"/>
      <c r="D4" s="6" t="n"/>
      <c r="E4" s="6" t="n"/>
      <c r="F4" s="6" t="n"/>
      <c r="G4" s="6" t="n"/>
      <c r="H4" s="6" t="n"/>
      <c r="I4" s="6" t="n"/>
      <c r="J4" s="6" t="n"/>
      <c r="K4" s="6" t="n"/>
      <c r="L4" s="6" t="n"/>
      <c r="M4" s="6" t="n"/>
      <c r="N4" s="6" t="n"/>
      <c r="O4" s="6" t="n"/>
      <c r="P4" s="6" t="n"/>
      <c r="Q4" s="6" t="n"/>
      <c r="R4" s="6" t="n"/>
    </row>
    <row r="5">
      <c r="A5" s="6" t="inlineStr">
        <is>
          <t>Cash and cash equivalents</t>
        </is>
      </c>
      <c r="B5" s="6" t="n"/>
      <c r="C5" s="6" t="n">
        <v>383726.2</v>
      </c>
      <c r="D5" s="6" t="n">
        <v>216831.3</v>
      </c>
      <c r="E5" s="6" t="n">
        <v>520509.8</v>
      </c>
      <c r="F5" s="6" t="n">
        <v>652769.3</v>
      </c>
      <c r="G5" s="6" t="n">
        <v>576523.2</v>
      </c>
      <c r="H5" s="6" t="n">
        <v>433198</v>
      </c>
      <c r="I5" s="6" t="n">
        <v>556093</v>
      </c>
      <c r="J5" s="6" t="n">
        <v>564977.9</v>
      </c>
      <c r="K5" s="6" t="n">
        <v>519912.3</v>
      </c>
      <c r="L5" s="6" t="n">
        <v>196648.9</v>
      </c>
      <c r="M5" s="6" t="n">
        <v>268406</v>
      </c>
      <c r="N5" s="6" t="n">
        <v>119758.1</v>
      </c>
      <c r="O5" s="6" t="n">
        <v>125827.6</v>
      </c>
      <c r="P5" s="6" t="n">
        <v>82.7</v>
      </c>
      <c r="Q5" s="6" t="n">
        <v>82.59999999999999</v>
      </c>
      <c r="R5" s="6" t="n"/>
    </row>
    <row r="6">
      <c r="A6" s="6" t="inlineStr">
        <is>
          <t>Derivative financial assets</t>
        </is>
      </c>
      <c r="B6" s="6" t="n"/>
      <c r="C6" s="6" t="n">
        <v>1212.8</v>
      </c>
      <c r="D6" s="6" t="n">
        <v>1893.3</v>
      </c>
      <c r="E6" s="6" t="n">
        <v>1833.2</v>
      </c>
      <c r="F6" s="6" t="n">
        <v>3779.2</v>
      </c>
      <c r="G6" s="6" t="n">
        <v>7662.8</v>
      </c>
      <c r="H6" s="6" t="n">
        <v>2119.1</v>
      </c>
      <c r="I6" s="6" t="n"/>
      <c r="J6" s="6" t="n"/>
      <c r="K6" s="6" t="n"/>
      <c r="L6" s="6" t="n"/>
      <c r="M6" s="6" t="n"/>
      <c r="N6" s="6" t="n"/>
      <c r="O6" s="6" t="n"/>
      <c r="P6" s="6" t="n"/>
      <c r="Q6" s="6" t="n"/>
      <c r="R6" s="6" t="n"/>
    </row>
    <row r="7">
      <c r="A7" s="6" t="inlineStr">
        <is>
          <t>Loans and advances to banks</t>
        </is>
      </c>
      <c r="B7" s="6" t="n"/>
      <c r="C7" s="6" t="n">
        <v>90006.89999999999</v>
      </c>
      <c r="D7" s="6" t="n">
        <v>120858.3</v>
      </c>
      <c r="E7" s="6" t="n">
        <v>140936.2</v>
      </c>
      <c r="F7" s="6" t="n">
        <v>113898.1</v>
      </c>
      <c r="G7" s="6" t="n">
        <v>134139.9</v>
      </c>
      <c r="H7" s="6" t="n">
        <v>201129.9</v>
      </c>
      <c r="I7" s="6" t="n">
        <v>133969.6</v>
      </c>
      <c r="J7" s="6" t="n">
        <v>110004.5</v>
      </c>
      <c r="K7" s="6" t="n">
        <v>172871.7</v>
      </c>
      <c r="L7" s="6" t="n">
        <v>123851.3</v>
      </c>
      <c r="M7" s="6" t="n">
        <v>281606.2</v>
      </c>
      <c r="N7" s="6" t="n">
        <v>270069</v>
      </c>
      <c r="O7" s="6" t="n">
        <v>76078.2</v>
      </c>
      <c r="P7" s="6" t="n">
        <v>167144.9</v>
      </c>
      <c r="Q7" s="6" t="n">
        <v>163499.3</v>
      </c>
      <c r="R7" s="6" t="n">
        <v>275505.7</v>
      </c>
    </row>
    <row r="8">
      <c r="A8" s="6" t="inlineStr">
        <is>
          <t>Loans and advances to customers</t>
        </is>
      </c>
      <c r="B8" s="6" t="n"/>
      <c r="C8" s="6" t="n">
        <v>354457.3</v>
      </c>
      <c r="D8" s="6" t="n">
        <v>277613.5</v>
      </c>
      <c r="E8" s="6" t="n">
        <v>260562.8</v>
      </c>
      <c r="F8" s="6" t="n">
        <v>261455.9</v>
      </c>
      <c r="G8" s="6" t="n">
        <v>117712.9</v>
      </c>
      <c r="H8" s="6" t="n">
        <v>49422.1</v>
      </c>
      <c r="I8" s="6" t="n">
        <v>66518.5</v>
      </c>
      <c r="J8" s="6" t="n">
        <v>89880.89999999999</v>
      </c>
      <c r="K8" s="6" t="n">
        <v>162065.1</v>
      </c>
      <c r="L8" s="6" t="n">
        <v>248026.1</v>
      </c>
      <c r="M8" s="6" t="n">
        <v>252674.4</v>
      </c>
      <c r="N8" s="6" t="n">
        <v>265311.2</v>
      </c>
      <c r="O8" s="6" t="n">
        <v>237794.9</v>
      </c>
      <c r="P8" s="6" t="n">
        <v>165610.6</v>
      </c>
      <c r="Q8" s="6" t="n">
        <v>64048</v>
      </c>
      <c r="R8" s="6" t="n">
        <v>17711.6</v>
      </c>
    </row>
    <row r="9">
      <c r="A9" s="6" t="inlineStr">
        <is>
          <t>Securities measured at fair value through profit or loss</t>
        </is>
      </c>
      <c r="B9" s="6" t="n"/>
      <c r="C9" s="6" t="n">
        <v>3431.9</v>
      </c>
      <c r="D9" s="6" t="n">
        <v>4010.5</v>
      </c>
      <c r="E9" s="6" t="n">
        <v>2123.2</v>
      </c>
      <c r="F9" s="6" t="n">
        <v>7787.3</v>
      </c>
      <c r="G9" s="6" t="n">
        <v>8092.3</v>
      </c>
      <c r="H9" s="6" t="n">
        <v>6987.9</v>
      </c>
      <c r="I9" s="6" t="n">
        <v>39533.9</v>
      </c>
      <c r="J9" s="6" t="n">
        <v>384896.4</v>
      </c>
      <c r="K9" s="6" t="n">
        <v>101944</v>
      </c>
      <c r="L9" s="6" t="n">
        <v>83340.2</v>
      </c>
      <c r="M9" s="6" t="n">
        <v>109612.9</v>
      </c>
      <c r="N9" s="6" t="n">
        <v>62070</v>
      </c>
      <c r="O9" s="6" t="n">
        <v>58615.6</v>
      </c>
      <c r="P9" s="6" t="n"/>
      <c r="Q9" s="6" t="n"/>
      <c r="R9" s="6" t="n"/>
    </row>
    <row r="10">
      <c r="A10" s="6" t="inlineStr">
        <is>
          <t>Securities measured at fair value through OCI</t>
        </is>
      </c>
      <c r="B10" s="6" t="n"/>
      <c r="C10" s="6" t="n">
        <v>1097103.2</v>
      </c>
      <c r="D10" s="6" t="n">
        <v>1305775.6</v>
      </c>
      <c r="E10" s="6" t="n">
        <v>1494908.3</v>
      </c>
      <c r="F10" s="6" t="n">
        <v>947237.4</v>
      </c>
      <c r="G10" s="6" t="n">
        <v>711059.7</v>
      </c>
      <c r="H10" s="6" t="n">
        <v>482767.1</v>
      </c>
      <c r="I10" s="6" t="n">
        <v>619862.6</v>
      </c>
      <c r="J10" s="6" t="n">
        <v>5058.1</v>
      </c>
      <c r="K10" s="6" t="n"/>
      <c r="L10" s="6" t="n"/>
      <c r="M10" s="6" t="n"/>
      <c r="N10" s="6" t="n"/>
      <c r="O10" s="6" t="n"/>
      <c r="P10" s="6" t="n"/>
      <c r="Q10" s="6" t="n"/>
      <c r="R10" s="6" t="n"/>
    </row>
    <row r="11">
      <c r="A11" s="6" t="inlineStr">
        <is>
          <t>Securities measured at amortised cost</t>
        </is>
      </c>
      <c r="B11" s="6" t="n"/>
      <c r="C11" s="6" t="n">
        <v>170624.3</v>
      </c>
      <c r="D11" s="6" t="n">
        <v>155387.6</v>
      </c>
      <c r="E11" s="6" t="n">
        <v>160493.8</v>
      </c>
      <c r="F11" s="6" t="n">
        <v>137749.9</v>
      </c>
      <c r="G11" s="6" t="n">
        <v>128432.7</v>
      </c>
      <c r="H11" s="6" t="n">
        <v>98149.10000000001</v>
      </c>
      <c r="I11" s="6" t="n">
        <v>70635.3</v>
      </c>
      <c r="J11" s="6" t="n">
        <v>81833.8</v>
      </c>
      <c r="K11" s="6" t="n">
        <v>113321.2</v>
      </c>
      <c r="L11" s="6" t="n">
        <v>124008</v>
      </c>
      <c r="M11" s="6" t="n">
        <v>110539.2</v>
      </c>
      <c r="N11" s="6" t="n">
        <v>128290.3</v>
      </c>
      <c r="O11" s="6" t="n">
        <v>110703.5</v>
      </c>
      <c r="P11" s="6" t="n">
        <v>161808.7</v>
      </c>
      <c r="Q11" s="6" t="n">
        <v>179356.5</v>
      </c>
      <c r="R11" s="6" t="n">
        <v>134554.3</v>
      </c>
    </row>
    <row r="12">
      <c r="A12" s="6" t="inlineStr">
        <is>
          <t>Right-of-use assets</t>
        </is>
      </c>
      <c r="B12" s="6" t="n"/>
      <c r="C12" s="6" t="n">
        <v>6946.1</v>
      </c>
      <c r="D12" s="6" t="n">
        <v>956.2</v>
      </c>
      <c r="E12" s="6" t="n"/>
      <c r="F12" s="6" t="n"/>
      <c r="G12" s="6" t="n"/>
      <c r="H12" s="6" t="n"/>
      <c r="I12" s="6" t="n"/>
      <c r="J12" s="6" t="n"/>
      <c r="K12" s="6" t="n"/>
      <c r="L12" s="6" t="n"/>
      <c r="M12" s="6" t="n"/>
      <c r="N12" s="6" t="n"/>
      <c r="O12" s="6" t="n"/>
      <c r="P12" s="6" t="n"/>
      <c r="Q12" s="6" t="n"/>
      <c r="R12" s="6" t="n"/>
    </row>
    <row r="13">
      <c r="A13" s="6" t="inlineStr">
        <is>
          <t>Property and equipment</t>
        </is>
      </c>
      <c r="B13" s="6" t="n"/>
      <c r="C13" s="6" t="n">
        <v>134.6</v>
      </c>
      <c r="D13" s="6" t="n">
        <v>277.8</v>
      </c>
      <c r="E13" s="6" t="n">
        <v>2137.5</v>
      </c>
      <c r="F13" s="6" t="n">
        <v>2729.4</v>
      </c>
      <c r="G13" s="6" t="n">
        <v>3303.3</v>
      </c>
      <c r="H13" s="6" t="n">
        <v>3646.6</v>
      </c>
      <c r="I13" s="6" t="n">
        <v>953.7</v>
      </c>
      <c r="J13" s="6" t="n">
        <v>878</v>
      </c>
      <c r="K13" s="6" t="n">
        <v>988.9</v>
      </c>
      <c r="L13" s="6" t="n">
        <v>990.2</v>
      </c>
      <c r="M13" s="6" t="n">
        <v>343.5</v>
      </c>
      <c r="N13" s="6" t="n">
        <v>508.2</v>
      </c>
      <c r="O13" s="6" t="n">
        <v>792.7</v>
      </c>
      <c r="P13" s="6" t="n">
        <v>1343.6</v>
      </c>
      <c r="Q13" s="6" t="n">
        <v>1791.8</v>
      </c>
      <c r="R13" s="6" t="n">
        <v>1773.1</v>
      </c>
    </row>
    <row r="14">
      <c r="A14" s="6" t="inlineStr">
        <is>
          <t>Intangible assets</t>
        </is>
      </c>
      <c r="B14" s="6" t="n"/>
      <c r="C14" s="6" t="n">
        <v>1954.5</v>
      </c>
      <c r="D14" s="6" t="n">
        <v>606.3</v>
      </c>
      <c r="E14" s="6" t="n">
        <v>821.4</v>
      </c>
      <c r="F14" s="6" t="n">
        <v>773.5</v>
      </c>
      <c r="G14" s="6" t="n">
        <v>1021.4</v>
      </c>
      <c r="H14" s="6" t="n">
        <v>1528.3</v>
      </c>
      <c r="I14" s="6" t="n">
        <v>1470.5</v>
      </c>
      <c r="J14" s="6" t="n">
        <v>734.1</v>
      </c>
      <c r="K14" s="6" t="n">
        <v>450.8</v>
      </c>
      <c r="L14" s="6" t="n">
        <v>618.7</v>
      </c>
      <c r="M14" s="6" t="n">
        <v>679.6</v>
      </c>
      <c r="N14" s="6" t="n">
        <v>469.4</v>
      </c>
      <c r="O14" s="6" t="n">
        <v>520.5</v>
      </c>
      <c r="P14" s="6" t="n"/>
      <c r="Q14" s="6" t="n"/>
      <c r="R14" s="6" t="n"/>
    </row>
    <row r="15">
      <c r="A15" s="6" t="inlineStr">
        <is>
          <t>Current tax assets</t>
        </is>
      </c>
      <c r="B15" s="6" t="n"/>
      <c r="C15" s="6" t="n">
        <v>415.1</v>
      </c>
      <c r="D15" s="6" t="n">
        <v>447.2</v>
      </c>
      <c r="E15" s="6" t="n"/>
      <c r="F15" s="6" t="n"/>
      <c r="G15" s="6" t="n"/>
      <c r="H15" s="6" t="n"/>
      <c r="I15" s="6" t="n"/>
      <c r="J15" s="6" t="n"/>
      <c r="K15" s="6" t="n"/>
      <c r="L15" s="6" t="n"/>
      <c r="M15" s="6" t="n"/>
      <c r="N15" s="6" t="n"/>
      <c r="O15" s="6" t="n"/>
      <c r="P15" s="6" t="n"/>
      <c r="Q15" s="6" t="n"/>
      <c r="R15" s="6" t="n"/>
    </row>
    <row r="16">
      <c r="A16" s="6" t="inlineStr">
        <is>
          <t>Deferred tax assets</t>
        </is>
      </c>
      <c r="B16" s="6" t="n"/>
      <c r="C16" s="6" t="n">
        <v>818.2</v>
      </c>
      <c r="D16" s="6" t="n">
        <v>2323.4</v>
      </c>
      <c r="E16" s="6" t="n">
        <v>5809.9</v>
      </c>
      <c r="F16" s="6" t="n">
        <v>839.7</v>
      </c>
      <c r="G16" s="6" t="n">
        <v>148</v>
      </c>
      <c r="H16" s="6" t="n">
        <v>795.5</v>
      </c>
      <c r="I16" s="6" t="n">
        <v>1156.6</v>
      </c>
      <c r="J16" s="6" t="n">
        <v>1</v>
      </c>
      <c r="K16" s="6" t="n">
        <v>137</v>
      </c>
      <c r="L16" s="6" t="n">
        <v>137.1</v>
      </c>
      <c r="M16" s="6" t="n">
        <v>137</v>
      </c>
      <c r="N16" s="6" t="n">
        <v>137</v>
      </c>
      <c r="O16" s="6" t="n">
        <v>146.7</v>
      </c>
      <c r="P16" s="6" t="n">
        <v>96</v>
      </c>
      <c r="Q16" s="6" t="n">
        <v>152.1</v>
      </c>
      <c r="R16" s="6" t="n">
        <v>196.1</v>
      </c>
    </row>
    <row r="17">
      <c r="A17" s="6" t="inlineStr">
        <is>
          <t>Other assets</t>
        </is>
      </c>
      <c r="B17" s="6" t="n"/>
      <c r="C17" s="6" t="n">
        <v>5872</v>
      </c>
      <c r="D17" s="6" t="n">
        <v>2309.6</v>
      </c>
      <c r="E17" s="6" t="n">
        <v>1384.8</v>
      </c>
      <c r="F17" s="6" t="n">
        <v>1339.5</v>
      </c>
      <c r="G17" s="6" t="n">
        <v>839.2</v>
      </c>
      <c r="H17" s="6" t="n">
        <v>781.1</v>
      </c>
      <c r="I17" s="6" t="n">
        <v>1063.1</v>
      </c>
      <c r="J17" s="6" t="n">
        <v>2121.9</v>
      </c>
      <c r="K17" s="6" t="n">
        <v>754.6</v>
      </c>
      <c r="L17" s="6" t="n">
        <v>1198</v>
      </c>
      <c r="M17" s="6" t="n">
        <v>1769.5</v>
      </c>
      <c r="N17" s="6" t="n">
        <v>3383.2</v>
      </c>
      <c r="O17" s="6" t="n">
        <v>584</v>
      </c>
      <c r="P17" s="6" t="n">
        <v>955.3</v>
      </c>
      <c r="Q17" s="6" t="n">
        <v>915.3</v>
      </c>
      <c r="R17" s="6" t="n">
        <v>904.1</v>
      </c>
    </row>
    <row r="18">
      <c r="A18" s="5" t="inlineStr">
        <is>
          <t>Total assets</t>
        </is>
      </c>
      <c r="B18" s="5" t="n"/>
      <c r="C18" s="5" t="n">
        <v>2116703.1</v>
      </c>
      <c r="D18" s="5" t="n">
        <v>2089290.6</v>
      </c>
      <c r="E18" s="5" t="n">
        <v>2591520.9</v>
      </c>
      <c r="F18" s="5" t="n">
        <v>2130359.2</v>
      </c>
      <c r="G18" s="5" t="n">
        <v>1688935.5</v>
      </c>
      <c r="H18" s="5" t="n">
        <v>1280524.6</v>
      </c>
      <c r="I18" s="5" t="n">
        <v>1491256.9</v>
      </c>
      <c r="J18" s="5" t="n">
        <v>1240386.5</v>
      </c>
      <c r="K18" s="5" t="n">
        <v>1072445.7</v>
      </c>
      <c r="L18" s="5" t="n">
        <v>778818.5</v>
      </c>
      <c r="M18" s="5" t="n">
        <v>1025768.3</v>
      </c>
      <c r="N18" s="5" t="n">
        <v>849996.5</v>
      </c>
      <c r="O18" s="5" t="n">
        <v>611063.7</v>
      </c>
      <c r="P18" s="5" t="n">
        <v>497041.9</v>
      </c>
      <c r="Q18" s="5" t="n">
        <v>409845.5</v>
      </c>
      <c r="R18" s="5" t="n">
        <v>430644.9</v>
      </c>
    </row>
    <row r="19">
      <c r="A19" s="5" t="inlineStr">
        <is>
          <t>Liabilities</t>
        </is>
      </c>
      <c r="B19" s="6" t="n"/>
      <c r="C19" s="6" t="n"/>
      <c r="D19" s="6" t="n"/>
      <c r="E19" s="6" t="n"/>
      <c r="F19" s="6" t="n"/>
      <c r="G19" s="6" t="n"/>
      <c r="H19" s="6" t="n"/>
      <c r="I19" s="6" t="n"/>
      <c r="J19" s="6" t="n"/>
      <c r="K19" s="6" t="n"/>
      <c r="L19" s="6" t="n"/>
      <c r="M19" s="6" t="n"/>
      <c r="N19" s="6" t="n"/>
      <c r="O19" s="6" t="n"/>
      <c r="P19" s="6" t="n"/>
      <c r="Q19" s="6" t="n"/>
      <c r="R19" s="6" t="n"/>
    </row>
    <row r="20">
      <c r="A20" s="6" t="inlineStr">
        <is>
          <t>Derivative financial liabilities</t>
        </is>
      </c>
      <c r="B20" s="6" t="n"/>
      <c r="C20" s="6" t="n">
        <v>2472.6</v>
      </c>
      <c r="D20" s="6" t="n">
        <v>415.8</v>
      </c>
      <c r="E20" s="6" t="n">
        <v>376.4</v>
      </c>
      <c r="F20" s="6" t="n">
        <v>2764</v>
      </c>
      <c r="G20" s="6" t="n">
        <v>2383.7</v>
      </c>
      <c r="H20" s="6" t="n">
        <v>314.2</v>
      </c>
      <c r="I20" s="6" t="n"/>
      <c r="J20" s="6" t="n"/>
      <c r="K20" s="6" t="n"/>
      <c r="L20" s="6" t="n"/>
      <c r="M20" s="6" t="n"/>
      <c r="N20" s="6" t="n"/>
      <c r="O20" s="6" t="n"/>
      <c r="P20" s="6" t="n"/>
      <c r="Q20" s="6" t="n"/>
      <c r="R20" s="6" t="n"/>
    </row>
    <row r="21">
      <c r="A21" s="6" t="inlineStr">
        <is>
          <t>Deposits from banks</t>
        </is>
      </c>
      <c r="B21" s="6" t="n"/>
      <c r="C21" s="6" t="n">
        <v>1027434</v>
      </c>
      <c r="D21" s="6" t="n">
        <v>1008262.7</v>
      </c>
      <c r="E21" s="6" t="n">
        <v>1629765.7</v>
      </c>
      <c r="F21" s="6" t="n">
        <v>1399280</v>
      </c>
      <c r="G21" s="6" t="n">
        <v>945317.5</v>
      </c>
      <c r="H21" s="6" t="n">
        <v>772976.7</v>
      </c>
      <c r="I21" s="6" t="n">
        <v>1055794.7</v>
      </c>
      <c r="J21" s="6" t="n">
        <v>931104.5</v>
      </c>
      <c r="K21" s="6" t="n">
        <v>665651.9</v>
      </c>
      <c r="L21" s="6" t="n">
        <v>517602.9</v>
      </c>
      <c r="M21" s="6" t="n">
        <v>783026.9</v>
      </c>
      <c r="N21" s="6" t="n">
        <v>662795.4</v>
      </c>
      <c r="O21" s="6" t="n">
        <v>467665</v>
      </c>
      <c r="P21" s="6" t="n">
        <v>416570.6</v>
      </c>
      <c r="Q21" s="6" t="n">
        <v>341266.7</v>
      </c>
      <c r="R21" s="6" t="n">
        <v>387577.7</v>
      </c>
    </row>
    <row r="22">
      <c r="A22" s="6" t="inlineStr">
        <is>
          <t>Deposits from customers</t>
        </is>
      </c>
      <c r="B22" s="6" t="n"/>
      <c r="C22" s="6" t="n">
        <v>696164</v>
      </c>
      <c r="D22" s="6" t="n">
        <v>774098</v>
      </c>
      <c r="E22" s="6" t="n">
        <v>643544.2</v>
      </c>
      <c r="F22" s="6" t="n">
        <v>482915.4</v>
      </c>
      <c r="G22" s="6" t="n">
        <v>532793</v>
      </c>
      <c r="H22" s="6" t="n">
        <v>303588</v>
      </c>
      <c r="I22" s="6" t="n">
        <v>251310.8</v>
      </c>
      <c r="J22" s="6" t="n">
        <v>150888.3</v>
      </c>
      <c r="K22" s="6" t="n">
        <v>246338.9</v>
      </c>
      <c r="L22" s="6" t="n">
        <v>129273.8</v>
      </c>
      <c r="M22" s="6" t="n">
        <v>120215.9</v>
      </c>
      <c r="N22" s="6" t="n">
        <v>109159.1</v>
      </c>
      <c r="O22" s="6" t="n">
        <v>74161.60000000001</v>
      </c>
      <c r="P22" s="6" t="n">
        <v>34303.5</v>
      </c>
      <c r="Q22" s="6" t="n">
        <v>26986.7</v>
      </c>
      <c r="R22" s="6" t="n">
        <v>4083.3</v>
      </c>
    </row>
    <row r="23">
      <c r="A23" s="6" t="inlineStr">
        <is>
          <t>Repurchase agreements and other similar secured borrowing</t>
        </is>
      </c>
      <c r="B23" s="6" t="n"/>
      <c r="C23" s="6" t="n">
        <v>71086.7</v>
      </c>
      <c r="D23" s="6" t="n">
        <v>36123.2</v>
      </c>
      <c r="E23" s="6" t="n">
        <v>63143.8</v>
      </c>
      <c r="F23" s="6" t="n">
        <v>33705.4</v>
      </c>
      <c r="G23" s="6" t="n"/>
      <c r="H23" s="6" t="n"/>
      <c r="I23" s="6" t="n"/>
      <c r="J23" s="6" t="n"/>
      <c r="K23" s="6" t="n"/>
      <c r="L23" s="6" t="n"/>
      <c r="M23" s="6" t="n"/>
      <c r="N23" s="6" t="n"/>
      <c r="O23" s="6" t="n"/>
      <c r="P23" s="6" t="n"/>
      <c r="Q23" s="6" t="n"/>
      <c r="R23" s="6" t="n"/>
    </row>
    <row r="24">
      <c r="A24" s="6" t="inlineStr">
        <is>
          <t>Current tax liabilities</t>
        </is>
      </c>
      <c r="B24" s="6" t="n"/>
      <c r="C24" s="6" t="n">
        <v>1654.1</v>
      </c>
      <c r="D24" s="6" t="n">
        <v>0</v>
      </c>
      <c r="E24" s="6" t="n">
        <v>1011.4</v>
      </c>
      <c r="F24" s="6" t="n">
        <v>768</v>
      </c>
      <c r="G24" s="6" t="n">
        <v>266.1</v>
      </c>
      <c r="H24" s="6" t="n">
        <v>3435.7</v>
      </c>
      <c r="I24" s="6" t="n"/>
      <c r="J24" s="6" t="n"/>
      <c r="K24" s="6" t="n"/>
      <c r="L24" s="6" t="n"/>
      <c r="M24" s="6" t="n"/>
      <c r="N24" s="6" t="n"/>
      <c r="O24" s="6" t="n"/>
      <c r="P24" s="6" t="n"/>
      <c r="Q24" s="6" t="n"/>
      <c r="R24" s="6" t="n"/>
    </row>
    <row r="25">
      <c r="A25" s="6" t="inlineStr">
        <is>
          <t>Impairment allowance on committed/off-balance-sheet facilities</t>
        </is>
      </c>
      <c r="B25" s="6" t="n"/>
      <c r="C25" s="6" t="n">
        <v>499.7</v>
      </c>
      <c r="D25" s="6" t="n">
        <v>0</v>
      </c>
      <c r="E25" s="6" t="n">
        <v>588.8</v>
      </c>
      <c r="F25" s="6" t="n">
        <v>585.9</v>
      </c>
      <c r="G25" s="6" t="n">
        <v>210.7</v>
      </c>
      <c r="H25" s="6" t="n">
        <v>1090.6</v>
      </c>
      <c r="I25" s="6" t="n"/>
      <c r="J25" s="6" t="n"/>
      <c r="K25" s="6" t="n"/>
      <c r="L25" s="6" t="n"/>
      <c r="M25" s="6" t="n"/>
      <c r="N25" s="6" t="n"/>
      <c r="O25" s="6" t="n"/>
      <c r="P25" s="6" t="n"/>
      <c r="Q25" s="6" t="n"/>
      <c r="R25" s="6" t="n"/>
    </row>
    <row r="26">
      <c r="A26" s="6" t="inlineStr">
        <is>
          <t>Lease obligation</t>
        </is>
      </c>
      <c r="B26" s="6" t="n"/>
      <c r="C26" s="6" t="n">
        <v>7047.5</v>
      </c>
      <c r="D26" s="6" t="n">
        <v>829</v>
      </c>
      <c r="E26" s="6" t="n">
        <v>1531.7</v>
      </c>
      <c r="F26" s="6" t="n">
        <v>2187.4</v>
      </c>
      <c r="G26" s="6" t="n">
        <v>3113.2</v>
      </c>
      <c r="H26" s="6" t="n">
        <v>2846.9</v>
      </c>
      <c r="I26" s="6" t="n"/>
      <c r="J26" s="6" t="n"/>
      <c r="K26" s="6" t="n"/>
      <c r="L26" s="6" t="n"/>
      <c r="M26" s="6" t="n"/>
      <c r="N26" s="6" t="n"/>
      <c r="O26" s="6" t="n"/>
      <c r="P26" s="6" t="n"/>
      <c r="Q26" s="6" t="n"/>
      <c r="R26" s="6" t="n"/>
    </row>
    <row r="27">
      <c r="A27" s="6" t="inlineStr">
        <is>
          <t>Other liabilities</t>
        </is>
      </c>
      <c r="B27" s="6" t="n"/>
      <c r="C27" s="6" t="n">
        <v>4852.9</v>
      </c>
      <c r="D27" s="6" t="n">
        <v>5643.1</v>
      </c>
      <c r="E27" s="6" t="n">
        <v>13975.2</v>
      </c>
      <c r="F27" s="6" t="n">
        <v>5258.6</v>
      </c>
      <c r="G27" s="6" t="n">
        <v>3128.6</v>
      </c>
      <c r="H27" s="6" t="n">
        <v>3864.8</v>
      </c>
      <c r="I27" s="6" t="n">
        <v>7644.3</v>
      </c>
      <c r="J27" s="6" t="n">
        <v>5331.3</v>
      </c>
      <c r="K27" s="6" t="n">
        <v>3453.8</v>
      </c>
      <c r="L27" s="6" t="n">
        <v>3376.7</v>
      </c>
      <c r="M27" s="6" t="n">
        <v>3870.6</v>
      </c>
      <c r="N27" s="6" t="n">
        <v>3533</v>
      </c>
      <c r="O27" s="6" t="n">
        <v>2401</v>
      </c>
      <c r="P27" s="6" t="n">
        <v>2542.9</v>
      </c>
      <c r="Q27" s="6" t="n">
        <v>1589.8</v>
      </c>
      <c r="R27" s="6" t="n">
        <v>1598.7</v>
      </c>
    </row>
    <row r="28">
      <c r="A28" s="6" t="inlineStr">
        <is>
          <t>Provision</t>
        </is>
      </c>
      <c r="B28" s="6" t="n"/>
      <c r="C28" s="6" t="n">
        <v>135.4</v>
      </c>
      <c r="D28" s="6" t="n"/>
      <c r="E28" s="6" t="n"/>
      <c r="F28" s="6" t="n"/>
      <c r="G28" s="6" t="n"/>
      <c r="H28" s="6" t="n"/>
      <c r="I28" s="6" t="n"/>
      <c r="J28" s="6" t="n"/>
      <c r="K28" s="6" t="n"/>
      <c r="L28" s="6" t="n"/>
      <c r="M28" s="6" t="n"/>
      <c r="N28" s="6" t="n"/>
      <c r="O28" s="6" t="n"/>
      <c r="P28" s="6" t="n"/>
      <c r="Q28" s="6" t="n"/>
      <c r="R28" s="6" t="n"/>
    </row>
    <row r="29">
      <c r="A29" s="5" t="inlineStr">
        <is>
          <t>Total liabilities</t>
        </is>
      </c>
      <c r="B29" s="5" t="n"/>
      <c r="C29" s="5" t="n">
        <v>1811346.9</v>
      </c>
      <c r="D29" s="5" t="n">
        <v>1825371.8</v>
      </c>
      <c r="E29" s="5" t="n">
        <v>2353937.2</v>
      </c>
      <c r="F29" s="5" t="n">
        <v>1927464.8</v>
      </c>
      <c r="G29" s="5" t="n">
        <v>1487212.9</v>
      </c>
      <c r="H29" s="5" t="n">
        <v>1088116.9</v>
      </c>
      <c r="I29" s="5" t="n">
        <v>1314749.8</v>
      </c>
      <c r="J29" s="5" t="n">
        <v>1087324.1</v>
      </c>
      <c r="K29" s="5" t="n">
        <v>915444.6</v>
      </c>
      <c r="L29" s="5" t="n">
        <v>650253.4</v>
      </c>
      <c r="M29" s="5" t="n">
        <v>907113.5</v>
      </c>
      <c r="N29" s="5" t="n">
        <v>775487.5</v>
      </c>
      <c r="O29" s="5" t="n">
        <v>544227.6</v>
      </c>
      <c r="P29" s="5" t="n">
        <v>453417.1</v>
      </c>
      <c r="Q29" s="5" t="n">
        <v>369843.2</v>
      </c>
      <c r="R29" s="5" t="n">
        <v>393259.7</v>
      </c>
    </row>
    <row r="30">
      <c r="A30" s="5" t="inlineStr">
        <is>
          <t>Equity</t>
        </is>
      </c>
      <c r="B30" s="6" t="n"/>
      <c r="C30" s="6" t="n"/>
      <c r="D30" s="6" t="n"/>
      <c r="E30" s="6" t="n"/>
      <c r="F30" s="6" t="n"/>
      <c r="G30" s="6" t="n"/>
      <c r="H30" s="6" t="n"/>
      <c r="I30" s="6" t="n"/>
      <c r="J30" s="6" t="n"/>
      <c r="K30" s="6" t="n"/>
      <c r="L30" s="6" t="n"/>
      <c r="M30" s="6" t="n"/>
      <c r="N30" s="6" t="n"/>
      <c r="O30" s="6" t="n"/>
      <c r="P30" s="6" t="n"/>
      <c r="Q30" s="6" t="n"/>
      <c r="R30" s="6" t="n"/>
    </row>
    <row r="31">
      <c r="A31" s="6" t="inlineStr">
        <is>
          <t>Share Capital</t>
        </is>
      </c>
      <c r="B31" s="6" t="n"/>
      <c r="C31" s="6" t="n">
        <v>109230.2</v>
      </c>
      <c r="D31" s="6" t="n">
        <v>107368.5</v>
      </c>
      <c r="E31" s="6" t="n">
        <v>113004.6</v>
      </c>
      <c r="F31" s="6" t="n">
        <v>101103.2</v>
      </c>
      <c r="G31" s="6" t="n">
        <v>100067.1</v>
      </c>
      <c r="H31" s="6" t="n">
        <v>103483.4</v>
      </c>
      <c r="I31" s="6" t="n">
        <v>107049</v>
      </c>
      <c r="J31" s="6" t="n">
        <v>101185.5</v>
      </c>
      <c r="K31" s="6" t="n">
        <v>111112.4</v>
      </c>
      <c r="L31" s="6" t="n">
        <v>92247.5</v>
      </c>
      <c r="M31" s="6" t="n">
        <v>87584.3</v>
      </c>
      <c r="N31" s="6" t="n">
        <v>53459.1</v>
      </c>
      <c r="O31" s="6" t="n">
        <v>53459.1</v>
      </c>
      <c r="P31" s="6" t="n">
        <v>35001</v>
      </c>
      <c r="Q31" s="6" t="n">
        <v>35001</v>
      </c>
      <c r="R31" s="6" t="n">
        <v>35001</v>
      </c>
    </row>
    <row r="32">
      <c r="A32" s="6" t="inlineStr">
        <is>
          <t>FVOCI Reserves</t>
        </is>
      </c>
      <c r="B32" s="6" t="n"/>
      <c r="C32" s="6" t="n">
        <v>-477.8</v>
      </c>
      <c r="D32" s="6" t="n">
        <v>-3539.6</v>
      </c>
      <c r="E32" s="6" t="n">
        <v>-13131.8</v>
      </c>
      <c r="F32" s="6" t="n">
        <v>402.1</v>
      </c>
      <c r="G32" s="6" t="n">
        <v>3097.7</v>
      </c>
      <c r="H32" s="6" t="n">
        <v>560.6</v>
      </c>
      <c r="I32" s="6" t="n">
        <v>-78.2</v>
      </c>
      <c r="J32" s="6" t="n">
        <v>0</v>
      </c>
      <c r="K32" s="6" t="n"/>
      <c r="L32" s="6" t="n"/>
      <c r="M32" s="6" t="n"/>
      <c r="N32" s="6" t="n"/>
      <c r="O32" s="6" t="n"/>
      <c r="P32" s="6" t="n"/>
      <c r="Q32" s="6" t="n"/>
      <c r="R32" s="6" t="n"/>
    </row>
    <row r="33">
      <c r="A33" s="6" t="inlineStr">
        <is>
          <t>Retained earnings</t>
        </is>
      </c>
      <c r="B33" s="6" t="n"/>
      <c r="C33" s="6" t="n">
        <v>196603.8</v>
      </c>
      <c r="D33" s="6" t="n">
        <v>160089.8</v>
      </c>
      <c r="E33" s="6" t="n">
        <v>137710.9</v>
      </c>
      <c r="F33" s="6" t="n">
        <v>101389.1</v>
      </c>
      <c r="G33" s="6" t="n">
        <v>98557.8</v>
      </c>
      <c r="H33" s="6" t="n">
        <v>88363.7</v>
      </c>
      <c r="I33" s="6" t="n">
        <v>69536.2</v>
      </c>
      <c r="J33" s="6" t="n">
        <v>51876.9</v>
      </c>
      <c r="K33" s="6" t="n">
        <v>45888.6</v>
      </c>
      <c r="L33" s="6" t="n">
        <v>36317.6</v>
      </c>
      <c r="M33" s="6" t="n">
        <v>31070.6</v>
      </c>
      <c r="N33" s="6" t="n">
        <v>21049.9</v>
      </c>
      <c r="O33" s="6" t="n">
        <v>13377</v>
      </c>
      <c r="P33" s="6" t="n">
        <v>8623.799999999999</v>
      </c>
      <c r="Q33" s="6" t="n">
        <v>5001.3</v>
      </c>
      <c r="R33" s="6" t="n">
        <v>2384.2</v>
      </c>
    </row>
    <row r="34">
      <c r="A34" s="5" t="inlineStr">
        <is>
          <t>Total equity</t>
        </is>
      </c>
      <c r="B34" s="5" t="n"/>
      <c r="C34" s="5" t="n">
        <v>305356.2</v>
      </c>
      <c r="D34" s="5" t="n">
        <v>263918.8</v>
      </c>
      <c r="E34" s="5" t="n">
        <v>237583.7</v>
      </c>
      <c r="F34" s="5" t="n">
        <v>202894.4</v>
      </c>
      <c r="G34" s="5" t="n">
        <v>201722.6</v>
      </c>
      <c r="H34" s="5" t="n">
        <v>192407.7</v>
      </c>
      <c r="I34" s="5" t="n">
        <v>176507.1</v>
      </c>
      <c r="J34" s="5" t="n">
        <v>153062.4</v>
      </c>
      <c r="K34" s="5" t="n">
        <v>157001.1</v>
      </c>
      <c r="L34" s="5" t="n">
        <v>128565.1</v>
      </c>
      <c r="M34" s="5" t="n">
        <v>118654.9</v>
      </c>
      <c r="N34" s="5" t="n">
        <v>74509</v>
      </c>
      <c r="O34" s="5" t="n">
        <v>66836.10000000001</v>
      </c>
      <c r="P34" s="5" t="n">
        <v>43624.8</v>
      </c>
      <c r="Q34" s="5" t="n">
        <v>40002.3</v>
      </c>
      <c r="R34" s="5" t="n">
        <v>37385.2</v>
      </c>
    </row>
    <row r="35">
      <c r="A35" s="5" t="inlineStr">
        <is>
          <t>Total liabilities and equity</t>
        </is>
      </c>
      <c r="B35" s="5" t="n"/>
      <c r="C35" s="5" t="n">
        <v>2116703.1</v>
      </c>
      <c r="D35" s="5" t="n">
        <v>2089290.6</v>
      </c>
      <c r="E35" s="5" t="n">
        <v>2591520.9</v>
      </c>
      <c r="F35" s="5" t="n">
        <v>2130359.2</v>
      </c>
      <c r="G35" s="5" t="n">
        <v>1688935.5</v>
      </c>
      <c r="H35" s="5" t="n">
        <v>1280524.6</v>
      </c>
      <c r="I35" s="5" t="n">
        <v>1491256.9</v>
      </c>
      <c r="J35" s="5" t="n">
        <v>1240386.5</v>
      </c>
      <c r="K35" s="5" t="n">
        <v>1072445.7</v>
      </c>
      <c r="L35" s="5" t="n">
        <v>778818.5</v>
      </c>
      <c r="M35" s="5" t="n">
        <v>1025768.3</v>
      </c>
      <c r="N35" s="5" t="n">
        <v>849996.5</v>
      </c>
      <c r="O35" s="5" t="n">
        <v>611063.7</v>
      </c>
      <c r="P35" s="5" t="n">
        <v>497041.9</v>
      </c>
      <c r="Q35" s="5" t="n">
        <v>409845.5</v>
      </c>
      <c r="R35" s="5" t="n">
        <v>430644.9</v>
      </c>
    </row>
    <row r="37" ht="340" customHeight="1">
      <c r="A37" s="8" t="inlineStr">
        <is>
          <t>Sources - all figures are Zenith Bank (UK) Limited's own primary statements (converted from USD to £, see FX conversion note below):
FY2024: Annual Report and Financial Statements 2024, p.42-43 (Statement of Profit or Loss and OCI), p.41 (Statement of Financial Position) - https://www.zenith-bank.co.uk/media/2273/2024-annual-report-and-financial-statements.pdf
FY2023: Annual Report and Financial Statements 2023, p.35 (Statement of Profit or Loss and OCI), p.34 (Statement of Financial Position) - https://www.zenith-bank.co.uk/media/2253/2023-annual-report-and-financial-statements.pdf
FY2022: Annual Report and Financial Statements 2022, p.33 (Statement of Profit or Loss and OCI), p.32 (Statement of Financial Position) - https://www.zenith-bank.co.uk/media/2237/2022-annual-report-and-financial-statements.pdf
FY2021: Annual Report and Financial Statements 2021, p.31 (Statement of Profit or Loss and OCI), p.30 (Statement of Financial Position) - https://www.zenith-bank.co.uk/media/2205/2021-annual-report-and-financial-statements.pdf
FY2020: Annual Report 2020, p.31 (Statement of Comprehensive Income), p.32 (Statement of Financial Position) - https://www.zenith-bank.co.uk/media/2199/zenith-bank-uk-limited-annual-report-2020.pdf
FY2019: Annual Report 2019, p.20 (Statement of Profit or Loss and OCI), p.21 (Statement of Financial Position) - https://www.zenith-bank.co.uk/media/2169/258558-zenith-web.pdf
FY2018: Annual Report and Financial Statements 2018, p.18 (Statement of Profit or Loss), p.19 (Statement of Financial Position) - https://www.zenith-bank.co.uk/media/2151/2018-annual-report.pdf
FY2017: Annual Report and Financial Statements 2017, p.17 (Statement of Profit and Loss), p.18 (Statement of Financial Position) - https://www.zenith-bank.co.uk/media/2142/2017-annual-report-and-financial-statements.pdf
FY2016: Annual Report and Accounts 2016, p.9 (Statement of Profit and Loss), p.10 (Statement of Financial Position) - https://www.zenith-bank.co.uk/media/1009/statutory_accounts_year_ended_31st_december_2016.pdf
FY2015: Annual Report and Financial Statements 2015, p.9 (Statement of Profit and Loss), p.10 (Statement of Other Comprehensive Income), p.11 (Statement of Financial Position) - https://www.zenith-bank.co.uk/media/1011/zenith_bank_-uk-_ltd_-_annual_report_and_financial_statements_2015.pdf
FY2014: Annual Report and Financial Statements 2014, p.9 (Statement of Profit and Loss), p.10 (Statement of Other Comprehensive Income), p.11 (Statement of Financial Position) - https://www.zenith-bank.co.uk/media/1010/zenith_bank_-uk-_ltd_-_annual_report_and_accounts_2014.pdf
FY2025 is blank: no FY2025 Annual Report has been published yet (only the FY2025 Pillar 3 disclosure is out so far) - Pillar 3 sheets are fully populated for FY2025.
FY2013: Financial Statements for the year ended 31 December 2013, p.9 (Statement of Comprehensive Income), p.10 (Statement of Financial Position) - https://find-and-update.company-information.service.gov.uk/company/05713749/filing-history/MzEwNDk3MzAyNmFkaXF6a2N4/document?format=pdf&amp;download=0
FY2012: Financial Statements as at 31 December 2012, p.8 (Statement of Comprehensive Income), p.9 (Statement of Financial Position) - https://find-and-update.company-information.service.gov.uk/company/05713749/filing-history/MzA4MDQyODAzOGFkaXF6a2N4/document?format=pdf&amp;download=0
FY2011: Annual report and financial statements for the year ended 31 December 2011, p.8 (Profit and loss account), p.9 (Balance sheet) - https://find-and-update.company-information.service.gov.uk/company/05713749/filing-history/MzA1NjQzNDY0OWFkaXF6a2N4/document?format=pdf&amp;download=0
FY2010: Annual report and financial statements for the year ended 31 December 2010, p.7 (Profit and loss account), p.8 (Balance sheet) - https://find-and-update.company-information.service.gov.uk/company/05713749/filing-history/MzAzNjAzNzkzN2FkaXF6a2N4/document?format=pdf&amp;download=0
FY2009: Annual report and financial statement for the year ended 31 December 2009, p.7 (Profit and loss account), p.8 (Balance sheet) - https://find-and-update.company-information.service.gov.uk/company/05713749/filing-history/MzAxMzk0ODA3MmFkaXF6a2N4/document?format=pdf&amp;download=0
ENTITY NOTE: Zenith Bank (UK) Limited (FRN 451720) is a UK subsidiary of Zenith Bank Plc (Nigeria). Unlike several other foreign-subsidiary banks in this workbook series (ICICI Bank UK, Philippine National Bank Europe, Citibank UK, State Bank of India UK), it prepares full financial statements under UK-adopted International Accounting Standards (not FRS 101/102 reduced disclosure), including a genuine Statement of Cash Flows every year - no cash-flow exemption applies. The Bank's own capital structure is CET1-only (no AT1 or Tier 2 instruments), so CET1 capital = Tier 1 capital = Total capital in every year shown.
FX CONVERSION NOTE: Zenith Bank (UK) Limited reports in US Dollars. This workbook converts every $ amount to £ for consistency with the rest of this series, following the same methodology established for SMBC Bank International plc: point-in-time/balance figures (capital, RWA, leverage exposure, HQLA, cash balances) use the Bank of England GBP/USD SPOT rate as at that fiscal year-end (31 December); flow figures (every cash flow statement line item) use the AVERAGE of Bank of England rates over that calendar year. FY2020-FY2025 rates are via poundsterlinglive.com's published Bank of England archive; FY2014-FY2019 rates (added under HD-048) were pulled directly from the Bank of England's own Interactive Statistical Database (series XUDLGBD, spot exchange rate US dollar into Sterling), inverted and rounded to 4dp - the same underlying BoE series poundsterlinglive republishes. Rates used (£1 = $X): 31 Dec 2013 spot 1.6529 (FY2014 opening cash only); FY2014 spot 1.5608 / average 1.6465; FY2015 spot 1.4819 / average 1.5281; FY2016 spot 1.2303 / average 1.3488; FY2017 spot 1.3510 / average 1.2878; FY2018 spot 1.2770 / average 1.3335; FY2019 spot 1.3210 / average 1.2757; FY2020 spot 1.3661 / average 1.2825 (FY2020 spot pre-dates HD-048 and is kept unchanged from the original build for continuity - a fresh BoE query for the same date gives 1.3648, a ~0.1% difference attributable to archive rounding, immaterial at 1dp in £'000 terms); FY2021 spot 1.3521 / average 1.3752; FY2022 spot 1.2097 / average 1.2362; FY2023 spot 1.2732 / average 1.2439; FY2024 spot 1.2515 / average 1.2782; FY2025 spot 1.3448 / average 1.3193.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so opening + all flows + this line = closing exactly in £ terms - this line is purely an artefact of £ translation and has no bearing on the Bank's underlying USD results. This conversion was not explicitly requested for this bank (unlike SMBC) - applied for consistency with the rest of the series; flag if £'000 rather than the Bank's native US$'000 presentation is not what's wanted here.
HD-048 EXTENSION NOTE (2026-09-06): this workbook was extended from its original FY2021-FY2025 window back to FY2014 under wayfinder ticket HD-048, capped at FY2014 by explicit project-wide user decision even though Zenith Bank (UK) Limited's own disclosure archive genuinely extends to FY2009 (Pillar 3 pre-CRD IV/Basel III isn't considered comparable to later years, and this project caps historical depth at FY2014 across all extended banks). FY2014-FY2020 Annual Report and Financial Statements were re-sourced directly from the Bank's own live website (zenith-bank.co.uk/why-us/statutory-accounts-tax-strategy/), each verified by opening the actual PDF and checking its cover/contents page states the claimed year - this caught the site's own '2015' link actually serving a byte-identical copy of the FY2018 report (same file, two URLs); the genuine FY2015 Annual Report was recovered from Internet Archive Wayback Machine crawl data instead (media/1011). FY2014-FY2015 Pillar 3 disclosures were similarly recovered from Wayback Machine captures of the Bank's pre-2018 site (see Pillar 3 sources note). No Pillar 3 disclosure document for FY2016-FY2020 could be found on the live site or in the Wayback Machine despite a thorough search (CDX API queries against every plausible URL pattern, including two specific leads from an earlier interrupted session that both proved to be unarchived 404s on further verification) - the Bank's Pillar 3 page itself was archived several times across those years and confirms the underlying PDF links existed at the time, but the PDF binaries themselves were never crawled by the Wayback Machine. All 11 Pillar 3 metric sheets and the RWA Breakdown sheet are therefore genuinely blank for FY2016-FY2020 (a real gap in the recoverable public record, not an oversight) - Annual Report-sourced sheets (Balance Sheet, P&amp;L, Statement of Changes in Equity, Cash Flow Statement, Asset Quality) are fully populated for all of FY2014-FY2020.
HD-073 EXTENSION NOTE (2026-09-06/07): this workbook was extended from its FY2014 floor back to FY2009 under wayfinder ticket HD-073, using the Bank's own statutory accounts recovered from Companies House (company 05713749) - the Bank's own website archive does not go back this far. CURRENCY: FY2009-FY2013 are reported by the Bank natively in GBP (its redenomination to USD, see the FX conversion note above, happened during 2013/2014) - these 5 years require NO FX conversion at all and are shown as £'000 directly (see stock2()/flow2()/opening_cash2() in this script). STATEMENT AVAILABILITY: FY2012 and FY2013 have full IFRS-style statements (Statement of Comprehensive Income, Statement of Financial Position, Statement of Changes in Equity, Statement of Cash Flows), all populated here. FY2009-FY2011 pre-date the Bank's IFRS adoption entirely - each year's own report contains only a 'Profit and loss account' and 'Balance sheet' under old UK GAAP, and each explicitly states 'There are no recognised gains or losses for the year other than as stated above. Accordingly no Statement of Total Recognised Gains and Losses has been prepared' and contains no Statement of Cash Flows at all - a genuine, disclosed absence (not a small-company cash-flow exemption assumption), so the Statement of Changes in Equity and Cash Flow Statement sheets are genuinely blank for FY2009-FY2011. PRESENTATION BRIDGE (Balance Sheet, FY2009-FY2011): these years predate the Trading/Investment securities split (a single 'Securities' line is shown here as 'Securities measured at amortised cost') and the Deposits by banks/corporates split shown from FY2012 ('Deposits by corporates' maps to 'Deposits from customers', consistent with later years' convention); 'Other assets' combines the Bank's own separate 'Other assets' and 'Prepayments' lines (no dedicated Prepayments row exists in this sheet's modern label set); 'Other liabilities' holds the Bank's own 'Accrued expenses' line. FY2009's own report does not separately disclose a 'Cash' line at all (folded into 'Loans and advances to banks', £275,505,662) - FY2010's own report later reclassifies out a £35,421 'Cash' balance for its FY2009 comparative; FY2009's own as-originally-reported combined figure is used here, per this project's convention of preferring each year's own report. PRESENTATION BRIDGE (P&amp;L, FY2009-FY2010): neither year separately discloses Personnel expenses/Depreciation and amortisation - a single 'Administrative expenses' line is shown here as 'Other expenses' (Personnel expenses/Depreciation and amortisation blank, not zero, for these two years only). RESTATEMENT NOTE: FY2011's own report (profit before tax £5,104,963, profit for the year £3,622,457) differs from the FY2012 Annual Report's own restated FY2011 IFRS comparative (profit before tax £4,973,686, profit for the year £3,491,180) - a reclassification between interest/fee/expense lines under the Bank's FY2012 IFRS conversion, not a change to the audited FY2011 result. FY2011's own report figures are used throughout, consistent with this project's convention of preferring each year's own report over a later restated comparative. Similarly, FY2009's own report labels ('Interest receivable', 'Fees &amp; commissions receivable', 'Exchange profits') differ from FY2010's own report's FY2009 comparative labels ('Interest earned', 'Fees &amp; commission earned', 'Trading profits (Net)') with a like-for-like £518,750 shift between the interest and fee/trading lines - Operating income and Profit for the year are identical either way; FY2009's own report figures are used. BRIDGE GAP (FY2013/FY2014 boundary): FY2013's own report shows closing Total equity of £74,509,003 and closing cash of £119,758,144; the Bank's own FY2014 Annual Report separately expresses its 1 January 2014 opening position in USD (used, unchanged, by the pre-existing FY2014 opening rows in this workbook) which back-converts via the 31 Dec 2013 spot rate to approximately £74,543,010 total equity and £119,819,001 opening cash - a small (~0.05%) gap attributable to the Bank's own USD-conversion/rounding at the point of redenomination, not reconciled further; both figures are shown exactly as each source discloses them.
PRESENTATION NOTE: 'Right-of-use assets' and 'Current tax assets' are shown as separate balance sheet lines only from FY2023 onward - FY2021/FY2022's own balance sheets do not present a right-of-use asset line at all (embedded within 'Property and equipment') and show no current tax asset line (the Bank held a current tax LIABILITY, not asset, in those years). FY2023 explicitly discloses both 'Current tax liabilities' and 'Impairment allowance on committed but undrawn facilities' as nil (US$0), shown as 0 here (a confirmed disclosed nil, not a gap). All years FY2021-FY2024 tie exactly: Total assets = Total liabilities + Total equity, to the penny in USD before conversion - zero plug rows.
HD-048 HISTORICAL STRUCTURE NOTE (FY2014-FY2020): the Bank's balance sheet classification changed materially over this period and rows are mapped onto the modern (FY2021+) labels above for comparability, per this project's convention of holding row labels constant across relabelling. FY2014-FY2017 pre-date IFRS 9 (adopted 1 January 2018): 'Securities measured at fair value through profit or loss' represents the Bank's own 'Securities Trading'/'Securities designated at fair value' line (IAS 39 FVTPL); 'Securities measured at amortised cost' represents the Bank's own 'Securities Investment (HTM: Amortised Cost)' held-to-maturity line; 'Securities measured at fair value through OCI' is blank (not zero) for FY2014-FY2016 since the Bank held no available-for-sale securities in those years, and holds the Bank's own 'Securities available for sale' figure for FY2017 (an AFS reserve of exactly $0 was disclosed alongside it that year). 'Derivative financial assets/ liabilities', 'Current tax liabilities', 'Impairment allowance on committed/off-balance-sheet facilities' and 'Lease obligation' are blank (not zero) for FY2014-FY2018 - genuinely not disclosed as separate line items until the Bank's IFRS 9 (FY2018) and IFRS 16 (FY2019) transitions respectively. 'FVOCI Reserves' holds the Bank's own 'AFS Reserve' for FY2017 (both a fair-value-through-OCI type reserve on securities, renamed at the FY2018 IFRS 9 transition) - shown as a disclosed nil (0) for FY2017. All years FY2014-FY2020 individually tie exactly: Total assets = Total liabilities + Total equity, to the penny in USD before conversion - zero plug rows in any year.
See the HD-073 extension note below for the FY2009-FY2013 presentation bridge (native GBP, no split Trading/Investment securities or banks/customers deposits categories, combined Other assets/Prepayments). All years FY2009-FY2013 individually tie exactly: Total assets = Total liabilities + Total equity, to the penny in £ - zero plug rows.</t>
        </is>
      </c>
    </row>
  </sheetData>
  <mergeCells count="1">
    <mergeCell ref="A37:R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Statement of Profit or Loss and Other Comprehensive Income</t>
        </is>
      </c>
    </row>
    <row r="2">
      <c r="A2" s="2" t="inlineStr">
        <is>
          <t>£'000 (FY2009-FY2013 native GBP, FY2014 onward converted from USD) - see source note at bottom for FX methodology and rates used. FY2025 blank (no FY2025 Annual Report yet).</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c r="G3" s="4" t="inlineStr">
        <is>
          <t>FY2020 (£'000, conv. from USD)</t>
        </is>
      </c>
      <c r="H3" s="4" t="inlineStr">
        <is>
          <t>FY2019 (£'000, conv. from USD)</t>
        </is>
      </c>
      <c r="I3" s="4" t="inlineStr">
        <is>
          <t>FY2018 (£'000, conv. from USD)</t>
        </is>
      </c>
      <c r="J3" s="4" t="inlineStr">
        <is>
          <t>FY2017 (£'000, conv. from USD)</t>
        </is>
      </c>
      <c r="K3" s="4" t="inlineStr">
        <is>
          <t>FY2016 (£'000, conv. from USD)</t>
        </is>
      </c>
      <c r="L3" s="4" t="inlineStr">
        <is>
          <t>FY2015 (£'000, conv. from USD)</t>
        </is>
      </c>
      <c r="M3" s="4" t="inlineStr">
        <is>
          <t>FY2014 (£'000, conv. from USD)</t>
        </is>
      </c>
      <c r="N3" s="4" t="inlineStr">
        <is>
          <t>FY2013 (£'000, conv. from USD)</t>
        </is>
      </c>
      <c r="O3" s="4" t="inlineStr">
        <is>
          <t>FY2012 (£'000, conv. from USD)</t>
        </is>
      </c>
      <c r="P3" s="4" t="inlineStr">
        <is>
          <t>FY2011 (£'000, conv. from USD)</t>
        </is>
      </c>
      <c r="Q3" s="4" t="inlineStr">
        <is>
          <t>FY2010 (£'000, conv. from USD)</t>
        </is>
      </c>
      <c r="R3" s="4" t="inlineStr">
        <is>
          <t>FY2009 (£'000, conv. from USD)</t>
        </is>
      </c>
    </row>
    <row r="4">
      <c r="A4" s="5" t="inlineStr">
        <is>
          <t>Income</t>
        </is>
      </c>
      <c r="B4" s="6" t="n"/>
      <c r="C4" s="6" t="n"/>
      <c r="D4" s="6" t="n"/>
      <c r="E4" s="6" t="n"/>
      <c r="F4" s="6" t="n"/>
      <c r="G4" s="6" t="n"/>
      <c r="H4" s="6" t="n"/>
      <c r="I4" s="6" t="n"/>
      <c r="J4" s="6" t="n"/>
      <c r="K4" s="6" t="n"/>
      <c r="L4" s="6" t="n"/>
      <c r="M4" s="6" t="n"/>
      <c r="N4" s="6" t="n"/>
      <c r="O4" s="6" t="n"/>
      <c r="P4" s="6" t="n"/>
      <c r="Q4" s="6" t="n"/>
      <c r="R4" s="6" t="n"/>
    </row>
    <row r="5">
      <c r="A5" s="6" t="inlineStr">
        <is>
          <t>Interest income</t>
        </is>
      </c>
      <c r="B5" s="6" t="n"/>
      <c r="C5" s="6" t="n">
        <v>117726.2</v>
      </c>
      <c r="D5" s="6" t="n">
        <v>118993.4</v>
      </c>
      <c r="E5" s="6" t="n">
        <v>63895.8</v>
      </c>
      <c r="F5" s="6" t="n">
        <v>31528.2</v>
      </c>
      <c r="G5" s="6" t="n">
        <v>35631.2</v>
      </c>
      <c r="H5" s="6" t="n">
        <v>43599.7</v>
      </c>
      <c r="I5" s="6" t="n">
        <v>33003.8</v>
      </c>
      <c r="J5" s="6" t="n">
        <v>25309.2</v>
      </c>
      <c r="K5" s="6" t="n">
        <v>27970.2</v>
      </c>
      <c r="L5" s="6" t="n">
        <v>28727.1</v>
      </c>
      <c r="M5" s="6" t="n">
        <v>32288.9</v>
      </c>
      <c r="N5" s="6" t="n">
        <v>28518</v>
      </c>
      <c r="O5" s="6" t="n">
        <v>15116.7</v>
      </c>
      <c r="P5" s="6" t="n">
        <v>11927.8</v>
      </c>
      <c r="Q5" s="6" t="n">
        <v>8243.1</v>
      </c>
      <c r="R5" s="6" t="n">
        <v>8943.1</v>
      </c>
    </row>
    <row r="6">
      <c r="A6" s="6" t="inlineStr">
        <is>
          <t>Interest expense</t>
        </is>
      </c>
      <c r="B6" s="6" t="n"/>
      <c r="C6" s="6" t="n">
        <v>-54871.3</v>
      </c>
      <c r="D6" s="6" t="n">
        <v>-41632.9</v>
      </c>
      <c r="E6" s="6" t="n">
        <v>-12130.6</v>
      </c>
      <c r="F6" s="6" t="n">
        <v>-3720.8</v>
      </c>
      <c r="G6" s="6" t="n">
        <v>-7553.9</v>
      </c>
      <c r="H6" s="6" t="n">
        <v>-8971.299999999999</v>
      </c>
      <c r="I6" s="6" t="n">
        <v>-4041.5</v>
      </c>
      <c r="J6" s="6" t="n">
        <v>-3330.9</v>
      </c>
      <c r="K6" s="6" t="n">
        <v>-6692.7</v>
      </c>
      <c r="L6" s="6" t="n">
        <v>-14135</v>
      </c>
      <c r="M6" s="6" t="n">
        <v>-18079.7</v>
      </c>
      <c r="N6" s="6" t="n">
        <v>-15179</v>
      </c>
      <c r="O6" s="6" t="n">
        <v>-7289.6</v>
      </c>
      <c r="P6" s="6" t="n">
        <v>-3564.6</v>
      </c>
      <c r="Q6" s="6" t="n">
        <v>-1269.1</v>
      </c>
      <c r="R6" s="6" t="n">
        <v>-3028</v>
      </c>
    </row>
    <row r="7">
      <c r="A7" s="5" t="inlineStr">
        <is>
          <t>Net interest income</t>
        </is>
      </c>
      <c r="B7" s="5" t="n"/>
      <c r="C7" s="5" t="n">
        <v>62855</v>
      </c>
      <c r="D7" s="5" t="n">
        <v>77360.5</v>
      </c>
      <c r="E7" s="5" t="n">
        <v>51765.3</v>
      </c>
      <c r="F7" s="5" t="n">
        <v>27807.4</v>
      </c>
      <c r="G7" s="5" t="n">
        <v>28077.3</v>
      </c>
      <c r="H7" s="5" t="n">
        <v>34628.4</v>
      </c>
      <c r="I7" s="5" t="n">
        <v>28962.3</v>
      </c>
      <c r="J7" s="5" t="n">
        <v>21978.3</v>
      </c>
      <c r="K7" s="5" t="n">
        <v>21277.5</v>
      </c>
      <c r="L7" s="5" t="n">
        <v>14592.1</v>
      </c>
      <c r="M7" s="5" t="n">
        <v>14209.2</v>
      </c>
      <c r="N7" s="5" t="n">
        <v>13339</v>
      </c>
      <c r="O7" s="5" t="n">
        <v>7827.1</v>
      </c>
      <c r="P7" s="5" t="n">
        <v>8363.200000000001</v>
      </c>
      <c r="Q7" s="5" t="n">
        <v>6974</v>
      </c>
      <c r="R7" s="5" t="n">
        <v>5915.1</v>
      </c>
    </row>
    <row r="8">
      <c r="A8" s="6" t="inlineStr">
        <is>
          <t>Fee and commission income</t>
        </is>
      </c>
      <c r="B8" s="6" t="n"/>
      <c r="C8" s="6" t="n">
        <v>7567.8</v>
      </c>
      <c r="D8" s="6" t="n">
        <v>8364</v>
      </c>
      <c r="E8" s="6" t="n">
        <v>8529.299999999999</v>
      </c>
      <c r="F8" s="6" t="n">
        <v>6454.5</v>
      </c>
      <c r="G8" s="6" t="n">
        <v>5877.2</v>
      </c>
      <c r="H8" s="6" t="n">
        <v>4871.4</v>
      </c>
      <c r="I8" s="6" t="n">
        <v>4673.2</v>
      </c>
      <c r="J8" s="6" t="n">
        <v>4438.5</v>
      </c>
      <c r="K8" s="6" t="n">
        <v>3962.5</v>
      </c>
      <c r="L8" s="6" t="n">
        <v>4924.6</v>
      </c>
      <c r="M8" s="6" t="n">
        <v>4725.1</v>
      </c>
      <c r="N8" s="6" t="n">
        <v>4366.4</v>
      </c>
      <c r="O8" s="6" t="n">
        <v>4044.9</v>
      </c>
      <c r="P8" s="6" t="n">
        <v>2827.7</v>
      </c>
      <c r="Q8" s="6" t="n">
        <v>2106.2</v>
      </c>
      <c r="R8" s="6" t="n">
        <v>2050.4</v>
      </c>
    </row>
    <row r="9">
      <c r="A9" s="6" t="inlineStr">
        <is>
          <t>Trading income</t>
        </is>
      </c>
      <c r="B9" s="6" t="n"/>
      <c r="C9" s="6" t="n">
        <v>3094.9</v>
      </c>
      <c r="D9" s="6" t="n"/>
      <c r="E9" s="6" t="n"/>
      <c r="F9" s="6" t="n"/>
      <c r="G9" s="6" t="n"/>
      <c r="H9" s="6" t="n"/>
      <c r="I9" s="6" t="n"/>
      <c r="J9" s="6" t="n"/>
      <c r="K9" s="6" t="n"/>
      <c r="L9" s="6" t="n"/>
      <c r="M9" s="6" t="n"/>
      <c r="N9" s="6" t="n"/>
      <c r="O9" s="6" t="n"/>
      <c r="P9" s="6" t="n"/>
      <c r="Q9" s="6" t="n"/>
      <c r="R9" s="6" t="n"/>
    </row>
    <row r="10">
      <c r="A10" s="6" t="inlineStr">
        <is>
          <t>Trading and other income</t>
        </is>
      </c>
      <c r="B10" s="6" t="n"/>
      <c r="C10" s="6" t="n"/>
      <c r="D10" s="6" t="n">
        <v>2002.1</v>
      </c>
      <c r="E10" s="6" t="n">
        <v>4256.7</v>
      </c>
      <c r="F10" s="6" t="n">
        <v>815.4</v>
      </c>
      <c r="G10" s="6" t="n">
        <v>6293.8</v>
      </c>
      <c r="H10" s="6" t="n">
        <v>6019.1</v>
      </c>
      <c r="I10" s="6" t="n">
        <v>3606.7</v>
      </c>
      <c r="J10" s="6" t="n">
        <v>4611.4</v>
      </c>
      <c r="K10" s="6" t="n">
        <v>2328.6</v>
      </c>
      <c r="L10" s="6" t="n">
        <v>1630.1</v>
      </c>
      <c r="M10" s="6" t="n">
        <v>1683.2</v>
      </c>
      <c r="N10" s="6" t="n">
        <v>727.7</v>
      </c>
      <c r="O10" s="6" t="n">
        <v>2573.1</v>
      </c>
      <c r="P10" s="6" t="n">
        <v>859.7</v>
      </c>
      <c r="Q10" s="6" t="n">
        <v>288.4</v>
      </c>
      <c r="R10" s="6" t="n">
        <v>681.6</v>
      </c>
    </row>
    <row r="11">
      <c r="A11" s="6" t="inlineStr">
        <is>
          <t>Net gains/(losses) on disposal of securities measured at FVOCI</t>
        </is>
      </c>
      <c r="B11" s="6" t="n"/>
      <c r="C11" s="6" t="n">
        <v>-164.8</v>
      </c>
      <c r="D11" s="6" t="n">
        <v>-1331.6</v>
      </c>
      <c r="E11" s="6" t="n"/>
      <c r="F11" s="6" t="n"/>
      <c r="G11" s="6" t="n"/>
      <c r="H11" s="6" t="n"/>
      <c r="I11" s="6" t="n"/>
      <c r="J11" s="6" t="n"/>
      <c r="K11" s="6" t="n"/>
      <c r="L11" s="6" t="n"/>
      <c r="M11" s="6" t="n"/>
      <c r="N11" s="6" t="n"/>
      <c r="O11" s="6" t="n"/>
      <c r="P11" s="6" t="n"/>
      <c r="Q11" s="6" t="n"/>
      <c r="R11" s="6" t="n"/>
    </row>
    <row r="12">
      <c r="A12" s="6" t="inlineStr">
        <is>
          <t>Net loss on derecognition of financial instruments</t>
        </is>
      </c>
      <c r="B12" s="6" t="n"/>
      <c r="C12" s="6" t="n">
        <v>-5856.7</v>
      </c>
      <c r="D12" s="6" t="n"/>
      <c r="E12" s="6" t="n"/>
      <c r="F12" s="6" t="n"/>
      <c r="G12" s="6" t="n"/>
      <c r="H12" s="6" t="n"/>
      <c r="I12" s="6" t="n"/>
      <c r="J12" s="6" t="n"/>
      <c r="K12" s="6" t="n"/>
      <c r="L12" s="6" t="n"/>
      <c r="M12" s="6" t="n"/>
      <c r="N12" s="6" t="n"/>
      <c r="O12" s="6" t="n"/>
      <c r="P12" s="6" t="n"/>
      <c r="Q12" s="6" t="n"/>
      <c r="R12" s="6" t="n"/>
    </row>
    <row r="13">
      <c r="A13" s="6" t="inlineStr">
        <is>
          <t>Fair value movement on financial derivatives (net)</t>
        </is>
      </c>
      <c r="B13" s="6" t="n"/>
      <c r="C13" s="6" t="n">
        <v>-2705.2</v>
      </c>
      <c r="D13" s="6" t="n">
        <v>121.2</v>
      </c>
      <c r="E13" s="6" t="n">
        <v>-5585.1</v>
      </c>
      <c r="F13" s="6" t="n"/>
      <c r="G13" s="6" t="n"/>
      <c r="H13" s="6" t="n"/>
      <c r="I13" s="6" t="n"/>
      <c r="J13" s="6" t="n"/>
      <c r="K13" s="6" t="n"/>
      <c r="L13" s="6" t="n"/>
      <c r="M13" s="6" t="n"/>
      <c r="N13" s="6" t="n"/>
      <c r="O13" s="6" t="n"/>
      <c r="P13" s="6" t="n"/>
      <c r="Q13" s="6" t="n"/>
      <c r="R13" s="6" t="n"/>
    </row>
    <row r="14">
      <c r="A14" s="6" t="inlineStr">
        <is>
          <t>Exchange differences</t>
        </is>
      </c>
      <c r="B14" s="6" t="n"/>
      <c r="C14" s="6" t="n">
        <v>1929.4</v>
      </c>
      <c r="D14" s="6" t="n">
        <v>-1138.2</v>
      </c>
      <c r="E14" s="6" t="n">
        <v>3526.4</v>
      </c>
      <c r="F14" s="6" t="n"/>
      <c r="G14" s="6" t="n"/>
      <c r="H14" s="6" t="n"/>
      <c r="I14" s="6" t="n"/>
      <c r="J14" s="6" t="n"/>
      <c r="K14" s="6" t="n"/>
      <c r="L14" s="6" t="n"/>
      <c r="M14" s="6" t="n"/>
      <c r="N14" s="6" t="n"/>
      <c r="O14" s="6" t="n"/>
      <c r="P14" s="6" t="n"/>
      <c r="Q14" s="6" t="n"/>
      <c r="R14" s="6" t="n"/>
    </row>
    <row r="15">
      <c r="A15" s="6" t="inlineStr">
        <is>
          <t>Revaluation loss</t>
        </is>
      </c>
      <c r="B15" s="6" t="n"/>
      <c r="C15" s="6" t="n"/>
      <c r="D15" s="6" t="n"/>
      <c r="E15" s="6" t="n"/>
      <c r="F15" s="6" t="n">
        <v>-3130.1</v>
      </c>
      <c r="G15" s="6" t="n">
        <v>-1698.3</v>
      </c>
      <c r="H15" s="6" t="n"/>
      <c r="I15" s="6" t="n"/>
      <c r="J15" s="6" t="n"/>
      <c r="K15" s="6" t="n"/>
      <c r="L15" s="6" t="n"/>
      <c r="M15" s="6" t="n"/>
      <c r="N15" s="6" t="n"/>
      <c r="O15" s="6" t="n"/>
      <c r="P15" s="6" t="n"/>
      <c r="Q15" s="6" t="n"/>
      <c r="R15" s="6" t="n"/>
    </row>
    <row r="16">
      <c r="A16" s="5" t="inlineStr">
        <is>
          <t>Operating income</t>
        </is>
      </c>
      <c r="B16" s="5" t="n"/>
      <c r="C16" s="5" t="n">
        <v>66720.5</v>
      </c>
      <c r="D16" s="5" t="n">
        <v>85377.89999999999</v>
      </c>
      <c r="E16" s="5" t="n">
        <v>62492.6</v>
      </c>
      <c r="F16" s="5" t="n">
        <v>31947.1</v>
      </c>
      <c r="G16" s="5" t="n">
        <v>38550</v>
      </c>
      <c r="H16" s="5" t="n">
        <v>45518.9</v>
      </c>
      <c r="I16" s="5" t="n">
        <v>37242.3</v>
      </c>
      <c r="J16" s="5" t="n">
        <v>31028.1</v>
      </c>
      <c r="K16" s="5" t="n">
        <v>27568.5</v>
      </c>
      <c r="L16" s="5" t="n">
        <v>21146.7</v>
      </c>
      <c r="M16" s="5" t="n">
        <v>20617.5</v>
      </c>
      <c r="N16" s="5" t="n">
        <v>18433.1</v>
      </c>
      <c r="O16" s="5" t="n">
        <v>14445</v>
      </c>
      <c r="P16" s="5" t="n">
        <v>12050.6</v>
      </c>
      <c r="Q16" s="5" t="n">
        <v>9368.6</v>
      </c>
      <c r="R16" s="5" t="n">
        <v>8647.1</v>
      </c>
    </row>
    <row r="17">
      <c r="A17" s="6" t="inlineStr">
        <is>
          <t>Personnel expenses</t>
        </is>
      </c>
      <c r="B17" s="6" t="n"/>
      <c r="C17" s="6" t="n">
        <v>-18578.4</v>
      </c>
      <c r="D17" s="6" t="n">
        <v>-18017.1</v>
      </c>
      <c r="E17" s="6" t="n">
        <v>-13822</v>
      </c>
      <c r="F17" s="6" t="n">
        <v>-12363.2</v>
      </c>
      <c r="G17" s="6" t="n">
        <v>-12869.5</v>
      </c>
      <c r="H17" s="6" t="n">
        <v>-11965.3</v>
      </c>
      <c r="I17" s="6" t="n">
        <v>-10163.3</v>
      </c>
      <c r="J17" s="6" t="n">
        <v>-8615.1</v>
      </c>
      <c r="K17" s="6" t="n">
        <v>-7104.1</v>
      </c>
      <c r="L17" s="6" t="n">
        <v>-7135.6</v>
      </c>
      <c r="M17" s="6" t="n">
        <v>-6205.2</v>
      </c>
      <c r="N17" s="6" t="n">
        <v>-5188.6</v>
      </c>
      <c r="O17" s="6" t="n">
        <v>-4630.8</v>
      </c>
      <c r="P17" s="6" t="n">
        <v>-4336.1</v>
      </c>
      <c r="Q17" s="6" t="n"/>
      <c r="R17" s="6" t="n"/>
    </row>
    <row r="18">
      <c r="A18" s="6" t="inlineStr">
        <is>
          <t>Depreciation and amortisation</t>
        </is>
      </c>
      <c r="B18" s="6" t="n"/>
      <c r="C18" s="6" t="n">
        <v>-1317.6</v>
      </c>
      <c r="D18" s="6" t="n">
        <v>-1306.3</v>
      </c>
      <c r="E18" s="6" t="n">
        <v>-1354.8</v>
      </c>
      <c r="F18" s="6" t="n">
        <v>-1292.2</v>
      </c>
      <c r="G18" s="6" t="n">
        <v>-1662.3</v>
      </c>
      <c r="H18" s="6" t="n">
        <v>-1471.2</v>
      </c>
      <c r="I18" s="6" t="n">
        <v>-781.4</v>
      </c>
      <c r="J18" s="6" t="n">
        <v>-525.7</v>
      </c>
      <c r="K18" s="6" t="n">
        <v>-580.1</v>
      </c>
      <c r="L18" s="6" t="n">
        <v>-705.8</v>
      </c>
      <c r="M18" s="6" t="n">
        <v>-585.2</v>
      </c>
      <c r="N18" s="6" t="n">
        <v>-761.4</v>
      </c>
      <c r="O18" s="6" t="n">
        <v>-584.1</v>
      </c>
      <c r="P18" s="6" t="n"/>
      <c r="Q18" s="6" t="n"/>
      <c r="R18" s="6" t="n"/>
    </row>
    <row r="19">
      <c r="A19" s="6" t="inlineStr">
        <is>
          <t>Other expenses</t>
        </is>
      </c>
      <c r="B19" s="6" t="n"/>
      <c r="C19" s="6" t="n">
        <v>-9248.4</v>
      </c>
      <c r="D19" s="6" t="n">
        <v>-6914.1</v>
      </c>
      <c r="E19" s="6" t="n">
        <v>-6438.3</v>
      </c>
      <c r="F19" s="6" t="n">
        <v>-5691</v>
      </c>
      <c r="G19" s="6" t="n">
        <v>-5866.9</v>
      </c>
      <c r="H19" s="6" t="n">
        <v>-4883.1</v>
      </c>
      <c r="I19" s="6" t="n">
        <v>-4313</v>
      </c>
      <c r="J19" s="6" t="n">
        <v>-4176.6</v>
      </c>
      <c r="K19" s="6" t="n">
        <v>-3998.7</v>
      </c>
      <c r="L19" s="6" t="n">
        <v>-3203.4</v>
      </c>
      <c r="M19" s="6" t="n">
        <v>-2286.2</v>
      </c>
      <c r="N19" s="6" t="n">
        <v>-2423.3</v>
      </c>
      <c r="O19" s="6" t="n">
        <v>-2302</v>
      </c>
      <c r="P19" s="6" t="n">
        <v>-2609.5</v>
      </c>
      <c r="Q19" s="6" t="n">
        <v>-5690.3</v>
      </c>
      <c r="R19" s="6" t="n">
        <v>-5394.8</v>
      </c>
    </row>
    <row r="20">
      <c r="A20" s="5" t="inlineStr">
        <is>
          <t>Operating expenses</t>
        </is>
      </c>
      <c r="B20" s="5" t="n"/>
      <c r="C20" s="5" t="n">
        <v>-29144.4</v>
      </c>
      <c r="D20" s="5" t="n">
        <v>-26237.5</v>
      </c>
      <c r="E20" s="5" t="n">
        <v>-21615.1</v>
      </c>
      <c r="F20" s="5" t="n">
        <v>-19346.4</v>
      </c>
      <c r="G20" s="5" t="n">
        <v>-20398.7</v>
      </c>
      <c r="H20" s="5" t="n">
        <v>-18319.5</v>
      </c>
      <c r="I20" s="5" t="n">
        <v>-15257.7</v>
      </c>
      <c r="J20" s="5" t="n">
        <v>-13317.5</v>
      </c>
      <c r="K20" s="5" t="n">
        <v>-11683</v>
      </c>
      <c r="L20" s="5" t="n">
        <v>-11044.7</v>
      </c>
      <c r="M20" s="5" t="n">
        <v>-9076.6</v>
      </c>
      <c r="N20" s="5" t="n">
        <v>-8373.299999999999</v>
      </c>
      <c r="O20" s="5" t="n">
        <v>-7516.9</v>
      </c>
      <c r="P20" s="5" t="n">
        <v>-6945.6</v>
      </c>
      <c r="Q20" s="5" t="n">
        <v>-5690.3</v>
      </c>
      <c r="R20" s="5" t="n">
        <v>-5394.8</v>
      </c>
    </row>
    <row r="21">
      <c r="A21" s="5" t="inlineStr">
        <is>
          <t>Operating profit before impairment provision and taxation</t>
        </is>
      </c>
      <c r="B21" s="5" t="n"/>
      <c r="C21" s="5" t="n">
        <v>37576.1</v>
      </c>
      <c r="D21" s="5" t="n">
        <v>59140.4</v>
      </c>
      <c r="E21" s="5" t="n">
        <v>40877.5</v>
      </c>
      <c r="F21" s="5" t="n">
        <v>12600.7</v>
      </c>
      <c r="G21" s="5" t="n">
        <v>18151.3</v>
      </c>
      <c r="H21" s="5" t="n">
        <v>27199.3</v>
      </c>
      <c r="I21" s="5" t="n">
        <v>21984.6</v>
      </c>
      <c r="J21" s="5" t="n">
        <v>17710.6</v>
      </c>
      <c r="K21" s="5" t="n">
        <v>15885.6</v>
      </c>
      <c r="L21" s="5" t="n">
        <v>10102</v>
      </c>
      <c r="M21" s="5" t="n">
        <v>11540.9</v>
      </c>
      <c r="N21" s="5" t="n">
        <v>10059.7</v>
      </c>
      <c r="O21" s="5" t="n">
        <v>6928.1</v>
      </c>
      <c r="P21" s="5" t="n">
        <v>5105</v>
      </c>
      <c r="Q21" s="5" t="n">
        <v>3678.2</v>
      </c>
      <c r="R21" s="5" t="n">
        <v>3252.3</v>
      </c>
    </row>
    <row r="22">
      <c r="A22" s="6" t="inlineStr">
        <is>
          <t>Net impairment credit/(charge) on financial assets</t>
        </is>
      </c>
      <c r="B22" s="6" t="n"/>
      <c r="C22" s="6" t="n">
        <v>6434.9</v>
      </c>
      <c r="D22" s="6" t="n">
        <v>-619.9</v>
      </c>
      <c r="E22" s="6" t="n">
        <v>-4262.4</v>
      </c>
      <c r="F22" s="6" t="n">
        <v>-2684.9</v>
      </c>
      <c r="G22" s="6" t="n">
        <v>-1088.6</v>
      </c>
      <c r="H22" s="6" t="n">
        <v>18.4</v>
      </c>
      <c r="I22" s="6" t="n">
        <v>3391.4</v>
      </c>
      <c r="J22" s="6" t="n">
        <v>-5279</v>
      </c>
      <c r="K22" s="6" t="n">
        <v>-13345.8</v>
      </c>
      <c r="L22" s="6" t="n">
        <v>-5456.5</v>
      </c>
      <c r="M22" s="6" t="n">
        <v>0</v>
      </c>
      <c r="N22" s="6" t="n"/>
      <c r="O22" s="6" t="n"/>
      <c r="P22" s="6" t="n"/>
      <c r="Q22" s="6" t="n"/>
      <c r="R22" s="6" t="n"/>
    </row>
    <row r="23">
      <c r="A23" s="5" t="inlineStr">
        <is>
          <t>Profit before tax</t>
        </is>
      </c>
      <c r="B23" s="5" t="n"/>
      <c r="C23" s="5" t="n">
        <v>44011</v>
      </c>
      <c r="D23" s="5" t="n">
        <v>58520.5</v>
      </c>
      <c r="E23" s="5" t="n">
        <v>36615</v>
      </c>
      <c r="F23" s="5" t="n">
        <v>9915.799999999999</v>
      </c>
      <c r="G23" s="5" t="n">
        <v>17062.6</v>
      </c>
      <c r="H23" s="5" t="n">
        <v>27217.8</v>
      </c>
      <c r="I23" s="5" t="n">
        <v>25376.1</v>
      </c>
      <c r="J23" s="5" t="n">
        <v>12431.7</v>
      </c>
      <c r="K23" s="5" t="n">
        <v>2539.8</v>
      </c>
      <c r="L23" s="5" t="n">
        <v>4645.5</v>
      </c>
      <c r="M23" s="5" t="n">
        <v>11540.9</v>
      </c>
      <c r="N23" s="5" t="n">
        <v>10059.7</v>
      </c>
      <c r="O23" s="5" t="n">
        <v>6928.1</v>
      </c>
      <c r="P23" s="5" t="n">
        <v>5105</v>
      </c>
      <c r="Q23" s="5" t="n">
        <v>3678.2</v>
      </c>
      <c r="R23" s="5" t="n">
        <v>3252.3</v>
      </c>
    </row>
    <row r="24">
      <c r="A24" s="6" t="inlineStr">
        <is>
          <t>Income tax expense</t>
        </is>
      </c>
      <c r="B24" s="6" t="n"/>
      <c r="C24" s="6" t="n">
        <v>-10977.6</v>
      </c>
      <c r="D24" s="6" t="n">
        <v>-14435.4</v>
      </c>
      <c r="E24" s="6" t="n">
        <v>-8140.1</v>
      </c>
      <c r="F24" s="6" t="n">
        <v>-1623.1</v>
      </c>
      <c r="G24" s="6" t="n">
        <v>-3096.7</v>
      </c>
      <c r="H24" s="6" t="n">
        <v>-5323.4</v>
      </c>
      <c r="I24" s="6" t="n">
        <v>-4746.3</v>
      </c>
      <c r="J24" s="6" t="n">
        <v>-1848.6</v>
      </c>
      <c r="K24" s="6" t="n">
        <v>-584.1</v>
      </c>
      <c r="L24" s="6" t="n">
        <v>-1161.4</v>
      </c>
      <c r="M24" s="6" t="n">
        <v>-2798.7</v>
      </c>
      <c r="N24" s="6" t="n">
        <v>-2386.8</v>
      </c>
      <c r="O24" s="6" t="n">
        <v>-1696.1</v>
      </c>
      <c r="P24" s="6" t="n">
        <v>-1482.5</v>
      </c>
      <c r="Q24" s="6" t="n">
        <v>-1061.1</v>
      </c>
      <c r="R24" s="6" t="n">
        <v>-910.7</v>
      </c>
    </row>
    <row r="25">
      <c r="A25" s="5" t="inlineStr">
        <is>
          <t>Profit for the year</t>
        </is>
      </c>
      <c r="B25" s="5" t="n"/>
      <c r="C25" s="5" t="n">
        <v>33033.4</v>
      </c>
      <c r="D25" s="5" t="n">
        <v>44085.1</v>
      </c>
      <c r="E25" s="5" t="n">
        <v>28474.9</v>
      </c>
      <c r="F25" s="5" t="n">
        <v>8292.700000000001</v>
      </c>
      <c r="G25" s="5" t="n">
        <v>13966</v>
      </c>
      <c r="H25" s="5" t="n">
        <v>21894.4</v>
      </c>
      <c r="I25" s="5" t="n">
        <v>20629.7</v>
      </c>
      <c r="J25" s="5" t="n">
        <v>10583.1</v>
      </c>
      <c r="K25" s="5" t="n">
        <v>1955.6</v>
      </c>
      <c r="L25" s="5" t="n">
        <v>3484.1</v>
      </c>
      <c r="M25" s="5" t="n">
        <v>8742.299999999999</v>
      </c>
      <c r="N25" s="5" t="n">
        <v>7672.9</v>
      </c>
      <c r="O25" s="5" t="n">
        <v>5232</v>
      </c>
      <c r="P25" s="5" t="n">
        <v>3622.5</v>
      </c>
      <c r="Q25" s="5" t="n">
        <v>2617.2</v>
      </c>
      <c r="R25" s="5" t="n">
        <v>2341.7</v>
      </c>
    </row>
    <row r="26">
      <c r="A26" s="5" t="inlineStr">
        <is>
          <t>Other comprehensive income</t>
        </is>
      </c>
      <c r="B26" s="6" t="n"/>
      <c r="C26" s="6" t="n"/>
      <c r="D26" s="6" t="n"/>
      <c r="E26" s="6" t="n"/>
      <c r="F26" s="6" t="n"/>
      <c r="G26" s="6" t="n"/>
      <c r="H26" s="6" t="n"/>
      <c r="I26" s="6" t="n"/>
      <c r="J26" s="6" t="n"/>
      <c r="K26" s="6" t="n"/>
      <c r="L26" s="6" t="n"/>
      <c r="M26" s="6" t="n"/>
      <c r="N26" s="6" t="n"/>
      <c r="O26" s="6" t="n"/>
      <c r="P26" s="6" t="n"/>
      <c r="Q26" s="6" t="n"/>
      <c r="R26" s="6" t="n"/>
    </row>
    <row r="27">
      <c r="A27" s="6" t="inlineStr">
        <is>
          <t>Net change in fair value of debt instruments at FVOCI</t>
        </is>
      </c>
      <c r="B27" s="6" t="n"/>
      <c r="C27" s="6" t="n">
        <v>4392.4</v>
      </c>
      <c r="D27" s="6" t="n">
        <v>11073.3</v>
      </c>
      <c r="E27" s="6" t="n">
        <v>-18210.2</v>
      </c>
      <c r="F27" s="6" t="n">
        <v>-2769.3</v>
      </c>
      <c r="G27" s="6" t="n">
        <v>4207.8</v>
      </c>
      <c r="H27" s="6" t="n">
        <v>1067.8</v>
      </c>
      <c r="I27" s="6" t="n">
        <v>-90.2</v>
      </c>
      <c r="J27" s="6" t="n"/>
      <c r="K27" s="6" t="n"/>
      <c r="L27" s="6" t="n"/>
      <c r="M27" s="6" t="n"/>
      <c r="N27" s="6" t="n"/>
      <c r="O27" s="6" t="n"/>
      <c r="P27" s="6" t="n"/>
      <c r="Q27" s="6" t="n"/>
      <c r="R27" s="6" t="n"/>
    </row>
    <row r="28">
      <c r="A28" s="6" t="inlineStr">
        <is>
          <t>Net change in fair value of debt instruments reclassified to profit or loss</t>
        </is>
      </c>
      <c r="B28" s="6" t="n"/>
      <c r="C28" s="6" t="n">
        <v>164.8</v>
      </c>
      <c r="D28" s="6" t="n">
        <v>1331.6</v>
      </c>
      <c r="E28" s="6" t="n">
        <v>-40.8</v>
      </c>
      <c r="F28" s="6" t="n">
        <v>-435.1</v>
      </c>
      <c r="G28" s="6" t="n">
        <v>-828.9</v>
      </c>
      <c r="H28" s="6" t="n">
        <v>-274.2</v>
      </c>
      <c r="I28" s="6" t="n"/>
      <c r="J28" s="6" t="n"/>
      <c r="K28" s="6" t="n"/>
      <c r="L28" s="6" t="n"/>
      <c r="M28" s="6" t="n"/>
      <c r="N28" s="6" t="n"/>
      <c r="O28" s="6" t="n"/>
      <c r="P28" s="6" t="n"/>
      <c r="Q28" s="6" t="n"/>
      <c r="R28" s="6" t="n"/>
    </row>
    <row r="29">
      <c r="A29" s="6" t="inlineStr">
        <is>
          <t>Expected credit loss reversals/(gains) recognised in income statement</t>
        </is>
      </c>
      <c r="B29" s="6" t="n"/>
      <c r="C29" s="6" t="n">
        <v>-360</v>
      </c>
      <c r="D29" s="6" t="n">
        <v>-155.8</v>
      </c>
      <c r="E29" s="6" t="n"/>
      <c r="F29" s="6" t="n"/>
      <c r="G29" s="6" t="n"/>
      <c r="H29" s="6" t="n"/>
      <c r="I29" s="6" t="n"/>
      <c r="J29" s="6" t="n"/>
      <c r="K29" s="6" t="n"/>
      <c r="L29" s="6" t="n"/>
      <c r="M29" s="6" t="n"/>
      <c r="N29" s="6" t="n"/>
      <c r="O29" s="6" t="n"/>
      <c r="P29" s="6" t="n"/>
      <c r="Q29" s="6" t="n"/>
      <c r="R29" s="6" t="n"/>
    </row>
    <row r="30">
      <c r="A30" s="6" t="inlineStr">
        <is>
          <t>Income tax on items reclassified subsequently to profit or loss</t>
        </is>
      </c>
      <c r="B30" s="6" t="n"/>
      <c r="C30" s="6" t="n">
        <v>-1139.3</v>
      </c>
      <c r="D30" s="6" t="n">
        <v>-3101.2</v>
      </c>
      <c r="E30" s="6" t="n">
        <v>4961</v>
      </c>
      <c r="F30" s="6" t="n">
        <v>522.5</v>
      </c>
      <c r="G30" s="6" t="n">
        <v>-656.6</v>
      </c>
      <c r="H30" s="6" t="n">
        <v>-134.9</v>
      </c>
      <c r="I30" s="6" t="n">
        <v>15.3</v>
      </c>
      <c r="J30" s="6" t="n"/>
      <c r="K30" s="6" t="n"/>
      <c r="L30" s="6" t="n"/>
      <c r="M30" s="6" t="n"/>
      <c r="N30" s="6" t="n"/>
      <c r="O30" s="6" t="n"/>
      <c r="P30" s="6" t="n"/>
      <c r="Q30" s="6" t="n"/>
      <c r="R30" s="6" t="n"/>
    </row>
    <row r="31">
      <c r="A31" s="6" t="inlineStr">
        <is>
          <t>Currency translation reserve arising from change of functional and presentation currency</t>
        </is>
      </c>
      <c r="B31" s="6" t="n"/>
      <c r="C31" s="6" t="n"/>
      <c r="D31" s="6" t="n"/>
      <c r="E31" s="6" t="n"/>
      <c r="F31" s="6" t="n"/>
      <c r="G31" s="6" t="n"/>
      <c r="H31" s="6" t="n"/>
      <c r="I31" s="6" t="n"/>
      <c r="J31" s="6" t="n"/>
      <c r="K31" s="6" t="n"/>
      <c r="L31" s="6" t="n"/>
      <c r="M31" s="6" t="n">
        <v>-1352.9</v>
      </c>
      <c r="N31" s="6" t="n"/>
      <c r="O31" s="6" t="n"/>
      <c r="P31" s="6" t="n"/>
      <c r="Q31" s="6" t="n"/>
      <c r="R31" s="6" t="n"/>
    </row>
    <row r="32">
      <c r="A32" s="5" t="inlineStr">
        <is>
          <t>Other comprehensive income for the year (net of tax)</t>
        </is>
      </c>
      <c r="B32" s="5" t="n"/>
      <c r="C32" s="5" t="n">
        <v>3057.9</v>
      </c>
      <c r="D32" s="5" t="n">
        <v>9147.799999999999</v>
      </c>
      <c r="E32" s="5" t="n">
        <v>-13290.1</v>
      </c>
      <c r="F32" s="5" t="n">
        <v>-2681.9</v>
      </c>
      <c r="G32" s="5" t="n">
        <v>2722.3</v>
      </c>
      <c r="H32" s="5" t="n">
        <v>658.7</v>
      </c>
      <c r="I32" s="5" t="n">
        <v>-74.8</v>
      </c>
      <c r="J32" s="5" t="n">
        <v>0</v>
      </c>
      <c r="K32" s="5" t="n">
        <v>0</v>
      </c>
      <c r="L32" s="5" t="n">
        <v>0</v>
      </c>
      <c r="M32" s="5" t="n">
        <v>-1352.9</v>
      </c>
      <c r="N32" s="5" t="n">
        <v>0</v>
      </c>
      <c r="O32" s="5" t="n">
        <v>0</v>
      </c>
      <c r="P32" s="5" t="n">
        <v>0</v>
      </c>
      <c r="Q32" s="5" t="n">
        <v>0</v>
      </c>
      <c r="R32" s="5" t="n">
        <v>0</v>
      </c>
    </row>
    <row r="33">
      <c r="A33" s="5" t="inlineStr">
        <is>
          <t>Total comprehensive income for the year</t>
        </is>
      </c>
      <c r="B33" s="5" t="n"/>
      <c r="C33" s="5" t="n">
        <v>36091.3</v>
      </c>
      <c r="D33" s="5" t="n">
        <v>53232.9</v>
      </c>
      <c r="E33" s="5" t="n">
        <v>15184.8</v>
      </c>
      <c r="F33" s="5" t="n">
        <v>5610.8</v>
      </c>
      <c r="G33" s="5" t="n">
        <v>16688.2</v>
      </c>
      <c r="H33" s="5" t="n">
        <v>22553.1</v>
      </c>
      <c r="I33" s="5" t="n">
        <v>20554.9</v>
      </c>
      <c r="J33" s="5" t="n">
        <v>10583.1</v>
      </c>
      <c r="K33" s="5" t="n">
        <v>1955.6</v>
      </c>
      <c r="L33" s="5" t="n">
        <v>3484.1</v>
      </c>
      <c r="M33" s="5" t="n">
        <v>7389.3</v>
      </c>
      <c r="N33" s="5" t="n">
        <v>7672.9</v>
      </c>
      <c r="O33" s="5" t="n">
        <v>5232</v>
      </c>
      <c r="P33" s="5" t="n">
        <v>3622.5</v>
      </c>
      <c r="Q33" s="5" t="n">
        <v>2617.2</v>
      </c>
      <c r="R33" s="5" t="n">
        <v>2341.7</v>
      </c>
    </row>
    <row r="35" ht="420" customHeight="1">
      <c r="A35" s="8" t="inlineStr">
        <is>
          <t>Sources - all figures are Zenith Bank (UK) Limited's own primary statements (converted from USD to £, see FX conversion note below):
FY2024: Annual Report and Financial Statements 2024, p.42-43 (Statement of Profit or Loss and OCI), p.41 (Statement of Financial Position) - https://www.zenith-bank.co.uk/media/2273/2024-annual-report-and-financial-statements.pdf
FY2023: Annual Report and Financial Statements 2023, p.35 (Statement of Profit or Loss and OCI), p.34 (Statement of Financial Position) - https://www.zenith-bank.co.uk/media/2253/2023-annual-report-and-financial-statements.pdf
FY2022: Annual Report and Financial Statements 2022, p.33 (Statement of Profit or Loss and OCI), p.32 (Statement of Financial Position) - https://www.zenith-bank.co.uk/media/2237/2022-annual-report-and-financial-statements.pdf
FY2021: Annual Report and Financial Statements 2021, p.31 (Statement of Profit or Loss and OCI), p.30 (Statement of Financial Position) - https://www.zenith-bank.co.uk/media/2205/2021-annual-report-and-financial-statements.pdf
FY2020: Annual Report 2020, p.31 (Statement of Comprehensive Income), p.32 (Statement of Financial Position) - https://www.zenith-bank.co.uk/media/2199/zenith-bank-uk-limited-annual-report-2020.pdf
FY2019: Annual Report 2019, p.20 (Statement of Profit or Loss and OCI), p.21 (Statement of Financial Position) - https://www.zenith-bank.co.uk/media/2169/258558-zenith-web.pdf
FY2018: Annual Report and Financial Statements 2018, p.18 (Statement of Profit or Loss), p.19 (Statement of Financial Position) - https://www.zenith-bank.co.uk/media/2151/2018-annual-report.pdf
FY2017: Annual Report and Financial Statements 2017, p.17 (Statement of Profit and Loss), p.18 (Statement of Financial Position) - https://www.zenith-bank.co.uk/media/2142/2017-annual-report-and-financial-statements.pdf
FY2016: Annual Report and Accounts 2016, p.9 (Statement of Profit and Loss), p.10 (Statement of Financial Position) - https://www.zenith-bank.co.uk/media/1009/statutory_accounts_year_ended_31st_december_2016.pdf
FY2015: Annual Report and Financial Statements 2015, p.9 (Statement of Profit and Loss), p.10 (Statement of Other Comprehensive Income), p.11 (Statement of Financial Position) - https://www.zenith-bank.co.uk/media/1011/zenith_bank_-uk-_ltd_-_annual_report_and_financial_statements_2015.pdf
FY2014: Annual Report and Financial Statements 2014, p.9 (Statement of Profit and Loss), p.10 (Statement of Other Comprehensive Income), p.11 (Statement of Financial Position) - https://www.zenith-bank.co.uk/media/1010/zenith_bank_-uk-_ltd_-_annual_report_and_accounts_2014.pdf
FY2025 is blank: no FY2025 Annual Report has been published yet (only the FY2025 Pillar 3 disclosure is out so far) - Pillar 3 sheets are fully populated for FY2025.
FY2013: Financial Statements for the year ended 31 December 2013, p.9 (Statement of Comprehensive Income), p.10 (Statement of Financial Position) - https://find-and-update.company-information.service.gov.uk/company/05713749/filing-history/MzEwNDk3MzAyNmFkaXF6a2N4/document?format=pdf&amp;download=0
FY2012: Financial Statements as at 31 December 2012, p.8 (Statement of Comprehensive Income), p.9 (Statement of Financial Position) - https://find-and-update.company-information.service.gov.uk/company/05713749/filing-history/MzA4MDQyODAzOGFkaXF6a2N4/document?format=pdf&amp;download=0
FY2011: Annual report and financial statements for the year ended 31 December 2011, p.8 (Profit and loss account), p.9 (Balance sheet) - https://find-and-update.company-information.service.gov.uk/company/05713749/filing-history/MzA1NjQzNDY0OWFkaXF6a2N4/document?format=pdf&amp;download=0
FY2010: Annual report and financial statements for the year ended 31 December 2010, p.7 (Profit and loss account), p.8 (Balance sheet) - https://find-and-update.company-information.service.gov.uk/company/05713749/filing-history/MzAzNjAzNzkzN2FkaXF6a2N4/document?format=pdf&amp;download=0
FY2009: Annual report and financial statement for the year ended 31 December 2009, p.7 (Profit and loss account), p.8 (Balance sheet) - https://find-and-update.company-information.service.gov.uk/company/05713749/filing-history/MzAxMzk0ODA3MmFkaXF6a2N4/document?format=pdf&amp;download=0
ENTITY NOTE: Zenith Bank (UK) Limited (FRN 451720) is a UK subsidiary of Zenith Bank Plc (Nigeria). Unlike several other foreign-subsidiary banks in this workbook series (ICICI Bank UK, Philippine National Bank Europe, Citibank UK, State Bank of India UK), it prepares full financial statements under UK-adopted International Accounting Standards (not FRS 101/102 reduced disclosure), including a genuine Statement of Cash Flows every year - no cash-flow exemption applies. The Bank's own capital structure is CET1-only (no AT1 or Tier 2 instruments), so CET1 capital = Tier 1 capital = Total capital in every year shown.
FX CONVERSION NOTE: Zenith Bank (UK) Limited reports in US Dollars. This workbook converts every $ amount to £ for consistency with the rest of this series, following the same methodology established for SMBC Bank International plc: point-in-time/balance figures (capital, RWA, leverage exposure, HQLA, cash balances) use the Bank of England GBP/USD SPOT rate as at that fiscal year-end (31 December); flow figures (every cash flow statement line item) use the AVERAGE of Bank of England rates over that calendar year. FY2020-FY2025 rates are via poundsterlinglive.com's published Bank of England archive; FY2014-FY2019 rates (added under HD-048) were pulled directly from the Bank of England's own Interactive Statistical Database (series XUDLGBD, spot exchange rate US dollar into Sterling), inverted and rounded to 4dp - the same underlying BoE series poundsterlinglive republishes. Rates used (£1 = $X): 31 Dec 2013 spot 1.6529 (FY2014 opening cash only); FY2014 spot 1.5608 / average 1.6465; FY2015 spot 1.4819 / average 1.5281; FY2016 spot 1.2303 / average 1.3488; FY2017 spot 1.3510 / average 1.2878; FY2018 spot 1.2770 / average 1.3335; FY2019 spot 1.3210 / average 1.2757; FY2020 spot 1.3661 / average 1.2825 (FY2020 spot pre-dates HD-048 and is kept unchanged from the original build for continuity - a fresh BoE query for the same date gives 1.3648, a ~0.1% difference attributable to archive rounding, immaterial at 1dp in £'000 terms); FY2021 spot 1.3521 / average 1.3752; FY2022 spot 1.2097 / average 1.2362; FY2023 spot 1.2732 / average 1.2439; FY2024 spot 1.2515 / average 1.2782; FY2025 spot 1.3448 / average 1.3193.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so opening + all flows + this line = closing exactly in £ terms - this line is purely an artefact of £ translation and has no bearing on the Bank's underlying USD results. This conversion was not explicitly requested for this bank (unlike SMBC) - applied for consistency with the rest of the series; flag if £'000 rather than the Bank's native US$'000 presentation is not what's wanted here.
HD-048 EXTENSION NOTE (2026-09-06): this workbook was extended from its original FY2021-FY2025 window back to FY2014 under wayfinder ticket HD-048, capped at FY2014 by explicit project-wide user decision even though Zenith Bank (UK) Limited's own disclosure archive genuinely extends to FY2009 (Pillar 3 pre-CRD IV/Basel III isn't considered comparable to later years, and this project caps historical depth at FY2014 across all extended banks). FY2014-FY2020 Annual Report and Financial Statements were re-sourced directly from the Bank's own live website (zenith-bank.co.uk/why-us/statutory-accounts-tax-strategy/), each verified by opening the actual PDF and checking its cover/contents page states the claimed year - this caught the site's own '2015' link actually serving a byte-identical copy of the FY2018 report (same file, two URLs); the genuine FY2015 Annual Report was recovered from Internet Archive Wayback Machine crawl data instead (media/1011). FY2014-FY2015 Pillar 3 disclosures were similarly recovered from Wayback Machine captures of the Bank's pre-2018 site (see Pillar 3 sources note). No Pillar 3 disclosure document for FY2016-FY2020 could be found on the live site or in the Wayback Machine despite a thorough search (CDX API queries against every plausible URL pattern, including two specific leads from an earlier interrupted session that both proved to be unarchived 404s on further verification) - the Bank's Pillar 3 page itself was archived several times across those years and confirms the underlying PDF links existed at the time, but the PDF binaries themselves were never crawled by the Wayback Machine. All 11 Pillar 3 metric sheets and the RWA Breakdown sheet are therefore genuinely blank for FY2016-FY2020 (a real gap in the recoverable public record, not an oversight) - Annual Report-sourced sheets (Balance Sheet, P&amp;L, Statement of Changes in Equity, Cash Flow Statement, Asset Quality) are fully populated for all of FY2014-FY2020.
HD-073 EXTENSION NOTE (2026-09-06/07): this workbook was extended from its FY2014 floor back to FY2009 under wayfinder ticket HD-073, using the Bank's own statutory accounts recovered from Companies House (company 05713749) - the Bank's own website archive does not go back this far. CURRENCY: FY2009-FY2013 are reported by the Bank natively in GBP (its redenomination to USD, see the FX conversion note above, happened during 2013/2014) - these 5 years require NO FX conversion at all and are shown as £'000 directly (see stock2()/flow2()/opening_cash2() in this script). STATEMENT AVAILABILITY: FY2012 and FY2013 have full IFRS-style statements (Statement of Comprehensive Income, Statement of Financial Position, Statement of Changes in Equity, Statement of Cash Flows), all populated here. FY2009-FY2011 pre-date the Bank's IFRS adoption entirely - each year's own report contains only a 'Profit and loss account' and 'Balance sheet' under old UK GAAP, and each explicitly states 'There are no recognised gains or losses for the year other than as stated above. Accordingly no Statement of Total Recognised Gains and Losses has been prepared' and contains no Statement of Cash Flows at all - a genuine, disclosed absence (not a small-company cash-flow exemption assumption), so the Statement of Changes in Equity and Cash Flow Statement sheets are genuinely blank for FY2009-FY2011. PRESENTATION BRIDGE (Balance Sheet, FY2009-FY2011): these years predate the Trading/Investment securities split (a single 'Securities' line is shown here as 'Securities measured at amortised cost') and the Deposits by banks/corporates split shown from FY2012 ('Deposits by corporates' maps to 'Deposits from customers', consistent with later years' convention); 'Other assets' combines the Bank's own separate 'Other assets' and 'Prepayments' lines (no dedicated Prepayments row exists in this sheet's modern label set); 'Other liabilities' holds the Bank's own 'Accrued expenses' line. FY2009's own report does not separately disclose a 'Cash' line at all (folded into 'Loans and advances to banks', £275,505,662) - FY2010's own report later reclassifies out a £35,421 'Cash' balance for its FY2009 comparative; FY2009's own as-originally-reported combined figure is used here, per this project's convention of preferring each year's own report. PRESENTATION BRIDGE (P&amp;L, FY2009-FY2010): neither year separately discloses Personnel expenses/Depreciation and amortisation - a single 'Administrative expenses' line is shown here as 'Other expenses' (Personnel expenses/Depreciation and amortisation blank, not zero, for these two years only). RESTATEMENT NOTE: FY2011's own report (profit before tax £5,104,963, profit for the year £3,622,457) differs from the FY2012 Annual Report's own restated FY2011 IFRS comparative (profit before tax £4,973,686, profit for the year £3,491,180) - a reclassification between interest/fee/expense lines under the Bank's FY2012 IFRS conversion, not a change to the audited FY2011 result. FY2011's own report figures are used throughout, consistent with this project's convention of preferring each year's own report over a later restated comparative. Similarly, FY2009's own report labels ('Interest receivable', 'Fees &amp; commissions receivable', 'Exchange profits') differ from FY2010's own report's FY2009 comparative labels ('Interest earned', 'Fees &amp; commission earned', 'Trading profits (Net)') with a like-for-like £518,750 shift between the interest and fee/trading lines - Operating income and Profit for the year are identical either way; FY2009's own report figures are used. BRIDGE GAP (FY2013/FY2014 boundary): FY2013's own report shows closing Total equity of £74,509,003 and closing cash of £119,758,144; the Bank's own FY2014 Annual Report separately expresses its 1 January 2014 opening position in USD (used, unchanged, by the pre-existing FY2014 opening rows in this workbook) which back-converts via the 31 Dec 2013 spot rate to approximately £74,543,010 total equity and £119,819,001 opening cash - a small (~0.05%) gap attributable to the Bank's own USD-conversion/rounding at the point of redenomination, not reconciled further; both figures are shown exactly as each source discloses them.
PRESENTATION NOTE: row labels are held constant across years for comparability where the underlying concept is the same, even though the Bank's own report relabels/regroups some lines year to year - e.g. FY2022/FY2023's own reports label the pre-impairment subtotal 'Net operating income' rather than 'Operating profit before impairment provision and taxation' (FY2021/FY2024's label, used here throughout); 'Trading income' (FY2024) replaces 'Trading and other income' (FY2021-FY2023) as a relabelling, not a scope change; FY2021's FV-movement/exchange-difference/FVOCI-disposal lines are combined into a single 'Revaluation loss' line in that year's report (not split as in later years, and NOT split to match AR2022's restated FY2021 comparative - FY2021's own report figure is used). 'Net gains/(losses) on disposal of securities measured at FVOCI' and 'Expected credit loss reversals/(gains) recognised in income statement' are new lines first disclosed in FY2023's own report (present for FY2023 and FY2024 only; blank, not zero, for FY2021/FY2022 since those years' own reports genuinely do not disclose them as separate items - each is a carve-out of a few tens of thousands of dollars from a pre-existing broader line, with zero effect on any subtotal). RESTATEMENT NOTE: FY2023's own P&amp;L (used for FY2023's column here, net interest income $96,228,685) differs from the FY2024 Annual Report's restated FY2023 comparative (interest income revised down to $147,456,638, net interest income $95,669,439) - FY2023's own report figure is used, consistent with this project's convention and the same restatement already documented on the Cash Flow Statement sheet. All totals tie exactly to the penny in USD before conversion for FY2021-FY2024 - zero plug rows.
HD-048 HISTORICAL NOTE (FY2014-FY2020): FY2014-FY2017 (pre-IFRS 9) show a single 'Net impairment credit/(charge)' figure that was always a charge (never a credit) under the IAS 39 incurred-loss model then in force - FY2014 discloses this as an explicit nil ($0, per the comparative column in its own FY2015 Annual Report), not a genuine gap. 'Trading and other income' holds the Bank's own 'Other Income' (FY2014-FY2015) and 'Trading and other income' (FY2016-FY2019) lines - the same broad non-interest, non-fee income category (including FX gains) under differing labels each year. FY2014's Other Comprehensive Income is a one-off 'Currency translation reserve arising from change of functional and presentation currency' movement (-$2,227,602, fully unwound by year-end), per the Bank's own note 2(b) - a genuine historical accounting event (the Bank changed its functional and presentation currency from GBP to USD during 2013/2014), not a fair-value item, and unrelated to this workbook's own USD-to-£ conversion overlay. DISCREPANCY NOTE: FY2018's own P&amp;L states Other Comprehensive Income for the year as $(99,803) (shown here, tying to Total Comprehensive Income $27,409,954), but the Statement of Changes in Equity's own FVOCI Reserve column moves by only $(35,856) that year (from $(63,947) post-IFRS 9 transition to $(99,803) closing) - the $63,947 gap exactly equals the FY2018 opening IFRS 9 transition adjustment, suggesting the Bank's own P&amp;L 'OCI for the year' line may have inadvertently included that opening adjustment rather than showing only the year's movement. Both figures are shown exactly as each statement discloses them (P&amp;L here; Statement of Changes in Equity on its own sheet) rather than forcing an artificial reconciliation - flagged as a genuine apparent inconsistency in the Bank's own FY2018 Annual Report, not a data-entry error in this workbook. All other years FY2014-FY2020 tie exactly to the penny in USD before conversion - zero plug rows.
HD-073 EXTENSION NOTE (FY2009-FY2013): 'Net impairment credit/(charge)' is blank (not zero) for all five years - none of these years' own P&amp;L accounts separately disclose an impairment charge, so it cannot be honestly distinguished from 'Other expenses' below. 'Personnel expenses' and 'Depreciation and amortisation' are blank (not zero) for FY2009/FY2010 - both years' own reports show a single combined 'Administrative expenses' line (shown here under 'Other expenses'); FY2011 splits out 'Employee costs' (shown as 'Personnel expenses') but still combines depreciation within its own 'Administrative expenses' line (shown here under 'Other expenses'). Each year FY2009-FY2013 ties exactly: Operating income - Operating expenses = Operating profit before tax = Profit before tax (no separate impairment line in any of these years' own reports), and Profit before tax - tax = Profit for the year, to the penny in £ - zero plug rows. Other Comprehensive Income is shown as an explicit disclosed nil (0) for FY2009-FY2013: each year's own report states 'There are no recognised gains or losses for the year other than as stated above' (FY2009-FY2011) or explicitly discloses 'Other Comprehensive Income for the year: -' (FY2012-FY2013). See the HD-073 extension note on the Cash Flow Statement sheet for the restatement/relabelling discrepancies between each year's own report and later years' comparative columns.</t>
        </is>
      </c>
    </row>
  </sheetData>
  <mergeCells count="1">
    <mergeCell ref="A35:R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0"/>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Zenith Bank (UK) Limited — Statement of Changes in Equity</t>
        </is>
      </c>
    </row>
    <row r="2">
      <c r="A2" s="2" t="inlineStr">
        <is>
          <t>£'000 (FY2012-FY2013 native GBP, FY2014 onward converted from USD) - chronological 1 January 2012 through 31 December 2024. No FY2009-FY2011 movement shown (no Statement of Changes in Equity disclosed those years - see HD-073 extension note). No FY2025 movement shown (no FY2025 Annual Report yet).</t>
        </is>
      </c>
    </row>
    <row r="3">
      <c r="A3" s="4" t="inlineStr">
        <is>
          <t>Movement</t>
        </is>
      </c>
      <c r="B3" s="4" t="inlineStr">
        <is>
          <t>Share Capital</t>
        </is>
      </c>
      <c r="C3" s="4" t="inlineStr">
        <is>
          <t>Currency Translation Reserve</t>
        </is>
      </c>
      <c r="D3" s="4" t="inlineStr">
        <is>
          <t>FVOCI Reserves</t>
        </is>
      </c>
      <c r="E3" s="4" t="inlineStr">
        <is>
          <t>Retained Earnings</t>
        </is>
      </c>
      <c r="F3" s="4" t="inlineStr">
        <is>
          <t>Total Equity</t>
        </is>
      </c>
    </row>
    <row r="4">
      <c r="A4" s="5" t="inlineStr">
        <is>
          <t>Balance as at 1 January 2012</t>
        </is>
      </c>
      <c r="B4" s="5" t="n">
        <v>35001</v>
      </c>
      <c r="C4" s="5" t="n">
        <v>0</v>
      </c>
      <c r="D4" s="5" t="n">
        <v>0</v>
      </c>
      <c r="E4" s="5" t="n">
        <v>8108.5</v>
      </c>
      <c r="F4" s="5" t="n">
        <v>43109.5</v>
      </c>
    </row>
    <row r="5">
      <c r="A5" s="6" t="inlineStr">
        <is>
          <t>Profit for the year (FY2012)</t>
        </is>
      </c>
      <c r="B5" s="6" t="n">
        <v>0</v>
      </c>
      <c r="C5" s="6" t="n">
        <v>0</v>
      </c>
      <c r="D5" s="6" t="n">
        <v>0</v>
      </c>
      <c r="E5" s="6" t="n">
        <v>5232</v>
      </c>
      <c r="F5" s="6" t="n">
        <v>5232</v>
      </c>
    </row>
    <row r="6">
      <c r="A6" s="6" t="inlineStr">
        <is>
          <t>Transfer from reserves (FY2012)</t>
        </is>
      </c>
      <c r="B6" s="6" t="n">
        <v>0</v>
      </c>
      <c r="C6" s="6" t="n">
        <v>0</v>
      </c>
      <c r="D6" s="6" t="n">
        <v>0</v>
      </c>
      <c r="E6" s="6" t="n">
        <v>36.5</v>
      </c>
      <c r="F6" s="6" t="n">
        <v>36.5</v>
      </c>
    </row>
    <row r="7">
      <c r="A7" s="6" t="inlineStr">
        <is>
          <t>Shares issued (FY2012)</t>
        </is>
      </c>
      <c r="B7" s="6" t="n">
        <v>18458.1</v>
      </c>
      <c r="C7" s="6" t="n">
        <v>0</v>
      </c>
      <c r="D7" s="6" t="n">
        <v>0</v>
      </c>
      <c r="E7" s="6" t="n">
        <v>0</v>
      </c>
      <c r="F7" s="6" t="n">
        <v>18458.1</v>
      </c>
    </row>
    <row r="8">
      <c r="A8" s="5" t="inlineStr">
        <is>
          <t>Balance as at 31 December 2012 / 1 January 2013</t>
        </is>
      </c>
      <c r="B8" s="5" t="n">
        <v>53459.1</v>
      </c>
      <c r="C8" s="5" t="n">
        <v>0</v>
      </c>
      <c r="D8" s="5" t="n">
        <v>0</v>
      </c>
      <c r="E8" s="5" t="n">
        <v>13377</v>
      </c>
      <c r="F8" s="5" t="n">
        <v>66836.10000000001</v>
      </c>
    </row>
    <row r="9">
      <c r="A9" s="6" t="inlineStr">
        <is>
          <t>Profit for the year (FY2013)</t>
        </is>
      </c>
      <c r="B9" s="6" t="n">
        <v>0</v>
      </c>
      <c r="C9" s="6" t="n">
        <v>0</v>
      </c>
      <c r="D9" s="6" t="n">
        <v>0</v>
      </c>
      <c r="E9" s="6" t="n">
        <v>7672.9</v>
      </c>
      <c r="F9" s="6" t="n">
        <v>7672.9</v>
      </c>
    </row>
    <row r="10">
      <c r="A10" s="5" t="inlineStr">
        <is>
          <t>Balance as at 31 December 2013 (per FY2013's own Annual Report)</t>
        </is>
      </c>
      <c r="B10" s="5" t="n">
        <v>53459.1</v>
      </c>
      <c r="C10" s="5" t="n">
        <v>0</v>
      </c>
      <c r="D10" s="5" t="n">
        <v>0</v>
      </c>
      <c r="E10" s="5" t="n">
        <v>21049.9</v>
      </c>
      <c r="F10" s="5" t="n">
        <v>74509</v>
      </c>
    </row>
    <row r="11">
      <c r="A11" s="5" t="inlineStr">
        <is>
          <t>Balance as at 1 January 2014</t>
        </is>
      </c>
      <c r="B11" s="5" t="n">
        <v>52566.5</v>
      </c>
      <c r="C11" s="5" t="n">
        <v>1347.7</v>
      </c>
      <c r="D11" s="5" t="n">
        <v>0</v>
      </c>
      <c r="E11" s="5" t="n">
        <v>20630.9</v>
      </c>
      <c r="F11" s="5" t="n">
        <v>74545.10000000001</v>
      </c>
    </row>
    <row r="12">
      <c r="A12" s="6" t="inlineStr">
        <is>
          <t>Profit for the year (FY2014)</t>
        </is>
      </c>
      <c r="B12" s="6" t="n">
        <v>0</v>
      </c>
      <c r="C12" s="6" t="n">
        <v>0</v>
      </c>
      <c r="D12" s="6" t="n">
        <v>0</v>
      </c>
      <c r="E12" s="6" t="n">
        <v>8742.299999999999</v>
      </c>
      <c r="F12" s="6" t="n">
        <v>8742.299999999999</v>
      </c>
    </row>
    <row r="13">
      <c r="A13" s="6" t="inlineStr">
        <is>
          <t>Adjustment resulting from redenomination (FY2014)</t>
        </is>
      </c>
      <c r="B13" s="6" t="n">
        <v>-112.7</v>
      </c>
      <c r="C13" s="6" t="n">
        <v>0</v>
      </c>
      <c r="D13" s="6" t="n">
        <v>0</v>
      </c>
      <c r="E13" s="6" t="n">
        <v>0</v>
      </c>
      <c r="F13" s="6" t="n">
        <v>-112.7</v>
      </c>
    </row>
    <row r="14">
      <c r="A14" s="6" t="inlineStr">
        <is>
          <t>Issuance of new shares (FY2014)</t>
        </is>
      </c>
      <c r="B14" s="6" t="n">
        <v>30367.4</v>
      </c>
      <c r="C14" s="6" t="n">
        <v>0</v>
      </c>
      <c r="D14" s="6" t="n">
        <v>0</v>
      </c>
      <c r="E14" s="6" t="n">
        <v>0</v>
      </c>
      <c r="F14" s="6" t="n">
        <v>30367.4</v>
      </c>
    </row>
    <row r="15">
      <c r="A15" s="6" t="inlineStr">
        <is>
          <t>Currency translation reserve movement (FY2014)</t>
        </is>
      </c>
      <c r="B15" s="6" t="n">
        <v>0</v>
      </c>
      <c r="C15" s="6" t="n">
        <v>-1352.9</v>
      </c>
      <c r="D15" s="6" t="n">
        <v>0</v>
      </c>
      <c r="E15" s="6" t="n">
        <v>0</v>
      </c>
      <c r="F15" s="6" t="n">
        <v>-1352.9</v>
      </c>
    </row>
    <row r="16">
      <c r="A16" s="5" t="inlineStr">
        <is>
          <t>Balance as at 31 December 2014</t>
        </is>
      </c>
      <c r="B16" s="5" t="n">
        <v>87584.3</v>
      </c>
      <c r="C16" s="5" t="n">
        <v>0</v>
      </c>
      <c r="D16" s="5" t="n">
        <v>0</v>
      </c>
      <c r="E16" s="5" t="n">
        <v>31070.6</v>
      </c>
      <c r="F16" s="5" t="n">
        <v>118654.9</v>
      </c>
    </row>
    <row r="17">
      <c r="A17" s="6" t="inlineStr">
        <is>
          <t>Profit for the year (FY2015)</t>
        </is>
      </c>
      <c r="B17" s="6" t="n">
        <v>0</v>
      </c>
      <c r="C17" s="6" t="n">
        <v>0</v>
      </c>
      <c r="D17" s="6" t="n">
        <v>0</v>
      </c>
      <c r="E17" s="6" t="n">
        <v>3484.1</v>
      </c>
      <c r="F17" s="6" t="n">
        <v>3484.1</v>
      </c>
    </row>
    <row r="18">
      <c r="A18" s="5" t="inlineStr">
        <is>
          <t>Balance as at 31 December 2015</t>
        </is>
      </c>
      <c r="B18" s="5" t="n">
        <v>92247.5</v>
      </c>
      <c r="C18" s="5" t="n">
        <v>0</v>
      </c>
      <c r="D18" s="5" t="n">
        <v>0</v>
      </c>
      <c r="E18" s="5" t="n">
        <v>36317.6</v>
      </c>
      <c r="F18" s="5" t="n">
        <v>128565.1</v>
      </c>
    </row>
    <row r="19">
      <c r="A19" s="6" t="inlineStr">
        <is>
          <t>Profit for the year (FY2016)</t>
        </is>
      </c>
      <c r="B19" s="6" t="n">
        <v>0</v>
      </c>
      <c r="C19" s="6" t="n">
        <v>0</v>
      </c>
      <c r="D19" s="6" t="n">
        <v>0</v>
      </c>
      <c r="E19" s="6" t="n">
        <v>1955.6</v>
      </c>
      <c r="F19" s="6" t="n">
        <v>1955.6</v>
      </c>
    </row>
    <row r="20">
      <c r="A20" s="5" t="inlineStr">
        <is>
          <t>Balance as at 31 December 2016</t>
        </is>
      </c>
      <c r="B20" s="5" t="n">
        <v>111112.4</v>
      </c>
      <c r="C20" s="5" t="n">
        <v>0</v>
      </c>
      <c r="D20" s="5" t="n">
        <v>0</v>
      </c>
      <c r="E20" s="5" t="n">
        <v>45888.6</v>
      </c>
      <c r="F20" s="5" t="n">
        <v>157001.1</v>
      </c>
    </row>
    <row r="21">
      <c r="A21" s="6" t="inlineStr">
        <is>
          <t>Profit for the year (FY2017)</t>
        </is>
      </c>
      <c r="B21" s="6" t="n">
        <v>0</v>
      </c>
      <c r="C21" s="6" t="n">
        <v>0</v>
      </c>
      <c r="D21" s="6" t="n">
        <v>0</v>
      </c>
      <c r="E21" s="6" t="n">
        <v>10583.1</v>
      </c>
      <c r="F21" s="6" t="n">
        <v>10583.1</v>
      </c>
    </row>
    <row r="22">
      <c r="A22" s="5" t="inlineStr">
        <is>
          <t>Balance as at 31 December 2017</t>
        </is>
      </c>
      <c r="B22" s="5" t="n">
        <v>101185.5</v>
      </c>
      <c r="C22" s="5" t="n">
        <v>0</v>
      </c>
      <c r="D22" s="5" t="n">
        <v>0</v>
      </c>
      <c r="E22" s="5" t="n">
        <v>51876.9</v>
      </c>
      <c r="F22" s="5" t="n">
        <v>153062.4</v>
      </c>
    </row>
    <row r="23">
      <c r="A23" s="6" t="inlineStr">
        <is>
          <t>Impact of adopting IFRS 9 at 1 January 2018</t>
        </is>
      </c>
      <c r="B23" s="6" t="n">
        <v>0</v>
      </c>
      <c r="C23" s="6" t="n">
        <v>0</v>
      </c>
      <c r="D23" s="6" t="n">
        <v>-48</v>
      </c>
      <c r="E23" s="6" t="n">
        <v>-6597.4</v>
      </c>
      <c r="F23" s="6" t="n">
        <v>-6645.4</v>
      </c>
    </row>
    <row r="24">
      <c r="A24" s="6" t="inlineStr">
        <is>
          <t>Profit for the year (FY2018)</t>
        </is>
      </c>
      <c r="B24" s="6" t="n">
        <v>0</v>
      </c>
      <c r="C24" s="6" t="n">
        <v>0</v>
      </c>
      <c r="D24" s="6" t="n">
        <v>0</v>
      </c>
      <c r="E24" s="6" t="n">
        <v>20629.7</v>
      </c>
      <c r="F24" s="6" t="n">
        <v>20629.7</v>
      </c>
    </row>
    <row r="25">
      <c r="A25" s="6" t="inlineStr">
        <is>
          <t>Fair value reserve movement, debt instruments (FY2018)</t>
        </is>
      </c>
      <c r="B25" s="6" t="n">
        <v>0</v>
      </c>
      <c r="C25" s="6" t="n">
        <v>0</v>
      </c>
      <c r="D25" s="6" t="n">
        <v>-26.9</v>
      </c>
      <c r="E25" s="6" t="n">
        <v>0</v>
      </c>
      <c r="F25" s="6" t="n">
        <v>-26.9</v>
      </c>
    </row>
    <row r="26">
      <c r="A26" s="5" t="inlineStr">
        <is>
          <t>Balance as at 31 December 2018</t>
        </is>
      </c>
      <c r="B26" s="5" t="n">
        <v>107049</v>
      </c>
      <c r="C26" s="5" t="n">
        <v>0</v>
      </c>
      <c r="D26" s="5" t="n">
        <v>-78.2</v>
      </c>
      <c r="E26" s="5" t="n">
        <v>69536.2</v>
      </c>
      <c r="F26" s="5" t="n">
        <v>176507.1</v>
      </c>
    </row>
    <row r="27">
      <c r="A27" s="6" t="inlineStr">
        <is>
          <t>Profit for the year (FY2019)</t>
        </is>
      </c>
      <c r="B27" s="6" t="n">
        <v>0</v>
      </c>
      <c r="C27" s="6" t="n">
        <v>0</v>
      </c>
      <c r="D27" s="6" t="n">
        <v>0</v>
      </c>
      <c r="E27" s="6" t="n">
        <v>21894.4</v>
      </c>
      <c r="F27" s="6" t="n">
        <v>21894.4</v>
      </c>
    </row>
    <row r="28">
      <c r="A28" s="6" t="inlineStr">
        <is>
          <t>Fair value reserve movement, net of tax (FY2019)</t>
        </is>
      </c>
      <c r="B28" s="6" t="n">
        <v>0</v>
      </c>
      <c r="C28" s="6" t="n">
        <v>0</v>
      </c>
      <c r="D28" s="6" t="n">
        <v>658.7</v>
      </c>
      <c r="E28" s="6" t="n">
        <v>0</v>
      </c>
      <c r="F28" s="6" t="n">
        <v>658.7</v>
      </c>
    </row>
    <row r="29">
      <c r="A29" s="5" t="inlineStr">
        <is>
          <t>Balance as at 31 December 2019</t>
        </is>
      </c>
      <c r="B29" s="5" t="n">
        <v>103483.4</v>
      </c>
      <c r="C29" s="5" t="n">
        <v>0</v>
      </c>
      <c r="D29" s="5" t="n">
        <v>560.6</v>
      </c>
      <c r="E29" s="5" t="n">
        <v>88363.7</v>
      </c>
      <c r="F29" s="5" t="n">
        <v>192407.7</v>
      </c>
    </row>
    <row r="30">
      <c r="A30" s="6" t="inlineStr">
        <is>
          <t>Profit for the year (FY2020)</t>
        </is>
      </c>
      <c r="B30" s="6" t="n">
        <v>0</v>
      </c>
      <c r="C30" s="6" t="n">
        <v>0</v>
      </c>
      <c r="D30" s="6" t="n">
        <v>0</v>
      </c>
      <c r="E30" s="6" t="n">
        <v>13966</v>
      </c>
      <c r="F30" s="6" t="n">
        <v>13966</v>
      </c>
    </row>
    <row r="31">
      <c r="A31" s="6" t="inlineStr">
        <is>
          <t>Fair value reserve movement, net of tax (FY2020)</t>
        </is>
      </c>
      <c r="B31" s="6" t="n">
        <v>0</v>
      </c>
      <c r="C31" s="6" t="n">
        <v>0</v>
      </c>
      <c r="D31" s="6" t="n">
        <v>2722.3</v>
      </c>
      <c r="E31" s="6" t="n">
        <v>0</v>
      </c>
      <c r="F31" s="6" t="n">
        <v>2722.3</v>
      </c>
    </row>
    <row r="32">
      <c r="A32" s="5" t="inlineStr">
        <is>
          <t>Balance as at 31 December 2020</t>
        </is>
      </c>
      <c r="B32" s="5" t="n">
        <v>100067.1</v>
      </c>
      <c r="C32" s="5" t="n">
        <v>0</v>
      </c>
      <c r="D32" s="5" t="n">
        <v>3097.7</v>
      </c>
      <c r="E32" s="5" t="n">
        <v>98557.8</v>
      </c>
      <c r="F32" s="5" t="n">
        <v>201722.6</v>
      </c>
    </row>
    <row r="33">
      <c r="A33" s="6" t="inlineStr">
        <is>
          <t>Profit for the year (FY2021)</t>
        </is>
      </c>
      <c r="B33" s="6" t="n">
        <v>0</v>
      </c>
      <c r="C33" s="6" t="n">
        <v>0</v>
      </c>
      <c r="D33" s="6" t="n">
        <v>0</v>
      </c>
      <c r="E33" s="6" t="n">
        <v>8292.700000000001</v>
      </c>
      <c r="F33" s="6" t="n">
        <v>8292.700000000001</v>
      </c>
    </row>
    <row r="34">
      <c r="A34" s="6" t="inlineStr">
        <is>
          <t>Other comprehensive income (FY2021)</t>
        </is>
      </c>
      <c r="B34" s="6" t="n">
        <v>0</v>
      </c>
      <c r="C34" s="6" t="n">
        <v>0</v>
      </c>
      <c r="D34" s="6" t="n">
        <v>-2681.9</v>
      </c>
      <c r="E34" s="6" t="n">
        <v>0</v>
      </c>
      <c r="F34" s="6" t="n">
        <v>-2681.9</v>
      </c>
    </row>
    <row r="35">
      <c r="A35" s="6" t="inlineStr">
        <is>
          <t>Dividends paid to shareholders (FY2021)</t>
        </is>
      </c>
      <c r="B35" s="6" t="n">
        <v>0</v>
      </c>
      <c r="C35" s="6" t="n">
        <v>0</v>
      </c>
      <c r="D35" s="6" t="n">
        <v>0</v>
      </c>
      <c r="E35" s="6" t="n">
        <v>-6512.3</v>
      </c>
      <c r="F35" s="6" t="n">
        <v>-6512.3</v>
      </c>
    </row>
    <row r="36">
      <c r="A36" s="5" t="inlineStr">
        <is>
          <t>Balance as at 31 December 2021</t>
        </is>
      </c>
      <c r="B36" s="5" t="n">
        <v>101103.2</v>
      </c>
      <c r="C36" s="5" t="n">
        <v>0</v>
      </c>
      <c r="D36" s="5" t="n">
        <v>402.1</v>
      </c>
      <c r="E36" s="5" t="n">
        <v>101389.1</v>
      </c>
      <c r="F36" s="5" t="n">
        <v>202894.4</v>
      </c>
    </row>
    <row r="37">
      <c r="A37" s="6" t="inlineStr">
        <is>
          <t>Profit for the year (FY2022)</t>
        </is>
      </c>
      <c r="B37" s="6" t="n">
        <v>0</v>
      </c>
      <c r="C37" s="6" t="n">
        <v>0</v>
      </c>
      <c r="D37" s="6" t="n">
        <v>0</v>
      </c>
      <c r="E37" s="6" t="n">
        <v>28474.9</v>
      </c>
      <c r="F37" s="6" t="n">
        <v>28474.9</v>
      </c>
    </row>
    <row r="38">
      <c r="A38" s="6" t="inlineStr">
        <is>
          <t>Other comprehensive income (FY2022)</t>
        </is>
      </c>
      <c r="B38" s="6" t="n">
        <v>0</v>
      </c>
      <c r="C38" s="6" t="n">
        <v>0</v>
      </c>
      <c r="D38" s="6" t="n">
        <v>-13290.1</v>
      </c>
      <c r="E38" s="6" t="n">
        <v>0</v>
      </c>
      <c r="F38" s="6" t="n">
        <v>-13290.1</v>
      </c>
    </row>
    <row r="39">
      <c r="A39" s="6" t="inlineStr">
        <is>
          <t>Dividends paid to shareholders (FY2022)</t>
        </is>
      </c>
      <c r="B39" s="6" t="n">
        <v>0</v>
      </c>
      <c r="C39" s="6" t="n">
        <v>0</v>
      </c>
      <c r="D39" s="6" t="n">
        <v>0</v>
      </c>
      <c r="E39" s="6" t="n">
        <v>-4610.9</v>
      </c>
      <c r="F39" s="6" t="n">
        <v>-4610.9</v>
      </c>
    </row>
    <row r="40">
      <c r="A40" s="5" t="inlineStr">
        <is>
          <t>Balance as at 31 December 2022</t>
        </is>
      </c>
      <c r="B40" s="5" t="n">
        <v>113004.6</v>
      </c>
      <c r="C40" s="5" t="n">
        <v>0</v>
      </c>
      <c r="D40" s="5" t="n">
        <v>-13131.8</v>
      </c>
      <c r="E40" s="5" t="n">
        <v>137710.9</v>
      </c>
      <c r="F40" s="5" t="n">
        <v>237583.7</v>
      </c>
    </row>
    <row r="41">
      <c r="A41" s="6" t="inlineStr">
        <is>
          <t>Profit for the year (FY2023)</t>
        </is>
      </c>
      <c r="B41" s="6" t="n">
        <v>0</v>
      </c>
      <c r="C41" s="6" t="n">
        <v>0</v>
      </c>
      <c r="D41" s="6" t="n">
        <v>0</v>
      </c>
      <c r="E41" s="6" t="n">
        <v>44085.1</v>
      </c>
      <c r="F41" s="6" t="n">
        <v>44085.1</v>
      </c>
    </row>
    <row r="42">
      <c r="A42" s="6" t="inlineStr">
        <is>
          <t>Other comprehensive income (FY2023)</t>
        </is>
      </c>
      <c r="B42" s="6" t="n">
        <v>0</v>
      </c>
      <c r="C42" s="6" t="n">
        <v>0</v>
      </c>
      <c r="D42" s="6" t="n">
        <v>9147.799999999999</v>
      </c>
      <c r="E42" s="6" t="n">
        <v>0</v>
      </c>
      <c r="F42" s="6" t="n">
        <v>9147.799999999999</v>
      </c>
    </row>
    <row r="43">
      <c r="A43" s="6" t="inlineStr">
        <is>
          <t>Dividends paid to shareholders (FY2023)</t>
        </is>
      </c>
      <c r="B43" s="6" t="n">
        <v>0</v>
      </c>
      <c r="C43" s="6" t="n">
        <v>0</v>
      </c>
      <c r="D43" s="6" t="n">
        <v>0</v>
      </c>
      <c r="E43" s="6" t="n">
        <v>-14149</v>
      </c>
      <c r="F43" s="6" t="n">
        <v>-14149</v>
      </c>
    </row>
    <row r="44">
      <c r="A44" s="5" t="inlineStr">
        <is>
          <t>Balance as at 31 December 2023</t>
        </is>
      </c>
      <c r="B44" s="5" t="n">
        <v>107368.5</v>
      </c>
      <c r="C44" s="5" t="n">
        <v>0</v>
      </c>
      <c r="D44" s="5" t="n">
        <v>-3539.6</v>
      </c>
      <c r="E44" s="5" t="n">
        <v>160089.8</v>
      </c>
      <c r="F44" s="5" t="n">
        <v>263918.8</v>
      </c>
    </row>
    <row r="45">
      <c r="A45" s="6" t="inlineStr">
        <is>
          <t>Profit for the year (FY2024)</t>
        </is>
      </c>
      <c r="B45" s="6" t="n">
        <v>0</v>
      </c>
      <c r="C45" s="6" t="n">
        <v>0</v>
      </c>
      <c r="D45" s="6" t="n">
        <v>0</v>
      </c>
      <c r="E45" s="6" t="n">
        <v>33033.4</v>
      </c>
      <c r="F45" s="6" t="n">
        <v>33033.4</v>
      </c>
    </row>
    <row r="46">
      <c r="A46" s="6" t="inlineStr">
        <is>
          <t>Other comprehensive income (FY2024)</t>
        </is>
      </c>
      <c r="B46" s="6" t="n">
        <v>0</v>
      </c>
      <c r="C46" s="6" t="n">
        <v>0</v>
      </c>
      <c r="D46" s="6" t="n">
        <v>3057.9</v>
      </c>
      <c r="E46" s="6" t="n">
        <v>0</v>
      </c>
      <c r="F46" s="6" t="n">
        <v>3057.9</v>
      </c>
    </row>
    <row r="47">
      <c r="A47" s="6" t="inlineStr">
        <is>
          <t>Dividends paid to shareholders (FY2024)</t>
        </is>
      </c>
      <c r="B47" s="6" t="n">
        <v>0</v>
      </c>
      <c r="C47" s="6" t="n">
        <v>0</v>
      </c>
      <c r="D47" s="6" t="n">
        <v>0</v>
      </c>
      <c r="E47" s="6" t="n">
        <v>0</v>
      </c>
      <c r="F47" s="6" t="n">
        <v>0</v>
      </c>
    </row>
    <row r="48">
      <c r="A48" s="5" t="inlineStr">
        <is>
          <t>Balance as at 31 December 2024</t>
        </is>
      </c>
      <c r="B48" s="5" t="n">
        <v>109230.2</v>
      </c>
      <c r="C48" s="5" t="n">
        <v>0</v>
      </c>
      <c r="D48" s="5" t="n">
        <v>-477.8</v>
      </c>
      <c r="E48" s="5" t="n">
        <v>196603.8</v>
      </c>
      <c r="F48" s="5" t="n">
        <v>305356.2</v>
      </c>
    </row>
    <row r="50" ht="460" customHeight="1">
      <c r="A50" s="8" t="inlineStr">
        <is>
          <t>Sources - Zenith Bank (UK) Limited's own Statement of Changes in Equity (converted from USD to £, see FX conversion note below):
FY2024: Annual Report and Financial Statements 2024, p.45 - https://www.zenith-bank.co.uk/media/2273/2024-annual-report-and-financial-statements.pdf
FY2023: Annual Report and Financial Statements 2023, p.37 - https://www.zenith-bank.co.uk/media/2253/2023-annual-report-and-financial-statements.pdf
FY2022: Annual Report and Financial Statements 2022, p.35 - https://www.zenith-bank.co.uk/media/2237/2022-annual-report-and-financial-statements.pdf
FY2021: Annual Report and Financial Statements 2021, p.33 - https://www.zenith-bank.co.uk/media/2205/2021-annual-report-and-financial-statements.pdf
FY2020: Annual Report 2020, p.33 - https://www.zenith-bank.co.uk/media/2199/zenith-bank-uk-limited-annual-report-2020.pdf
FY2019: Annual Report 2019, p.22 - https://www.zenith-bank.co.uk/media/2169/258558-zenith-web.pdf
FY2018: Annual Report and Financial Statements 2018, p.20 - https://www.zenith-bank.co.uk/media/2151/2018-annual-report.pdf
FY2017: Annual Report and Financial Statements 2017, p.19 - https://www.zenith-bank.co.uk/media/2142/2017-annual-report-and-financial-statements.pdf
FY2016: Annual Report and Accounts 2016, p.11 - https://www.zenith-bank.co.uk/media/1009/statutory_accounts_year_ended_31st_december_2016.pdf
FY2015: Annual Report and Financial Statements 2015, p.12 - https://www.zenith-bank.co.uk/media/1011/zenith_bank_-uk-_ltd_-_annual_report_and_financial_statements_2015.pdf
FY2014: Annual Report and Financial Statements 2014, p.12 - https://www.zenith-bank.co.uk/media/1010/zenith_bank_-uk-_ltd_-_annual_report_and_accounts_2014.pdf
FY2013: Financial Statements for the year ended 31 December 2013, p.11 - https://find-and-update.company-information.service.gov.uk/company/05713749/filing-history/MzEwNDk3MzAyNmFkaXF6a2N4/document?format=pdf&amp;download=0
FY2012: Financial Statements as at 31 December 2012, p.11 (also giving the FY2013 report's own FY2012 comparative column, cross-checked) - https://find-and-update.company-information.service.gov.uk/company/05713749/filing-history/MzA4MDQyODAzOGFkaXF6a2N4/document?format=pdf&amp;download=0
FY2009-FY2011 equity roll-forward is blank: these years' own Annual Reports contain no Statement of Changes in Equity or Statement of Total Recognised Gains and Losses at all (see HD-073 extension note below) - a genuine, disclosed absence.
Opening balance (1 January 2014, the earliest year shown before this HD-073 extension) is converted using the 31 Dec 2013 GBP/USD spot rate (1.6529) since it is the same balance as FY2013's closing position (outside this workbook's window). Every other opening balance is converted using that prior year's own 31 December spot rate for the same reason (e.g. 1 Jan 2021 uses the 31 Dec 2020 rate, 1.3661). Profit/OCI/dividend movements use each year's average rate; balances (opening/closing) use that date's spot rate - consistent with the rest of this workbook's FX methodology (see FX conversion note). Every year ties exactly: each closing balance matches both the next year's opening balance and that year's own Balance Sheet Total equity figure, to the penny in USD before conversion. Zero plug rows. FY2014 includes a one-off 'Currency Translation Reserve' movement (-$2,227,602, fully unwound to nil by 31 December 2014) arising from the Bank's own change of functional and presentation currency (GBP to USD) during 2013/2014, per the Bank's own report note 2(b) - a genuine historical accounting event unrelated to this workbook's own USD-to-£ conversion overlay, kept as its own distinct column rather than merged into the 'FVOCI Reserves' column (a different underlying reserve concept that wasn't introduced until FY2017 (AFS Reserve)/FY2018 (renamed FVOCI Reserve)). See the Profit &amp; Loss sheet's own source note for a flagged discrepancy between FY2018's P&amp;L-stated Other Comprehensive Income and this sheet's own FY2018 FVOCI Reserve movement ($(35,856) shown here, per the Bank's own Statement of Changes in Equity).
ENTITY NOTE: Zenith Bank (UK) Limited (FRN 451720) is a UK subsidiary of Zenith Bank Plc (Nigeria). Unlike several other foreign-subsidiary banks in this workbook series (ICICI Bank UK, Philippine National Bank Europe, Citibank UK, State Bank of India UK), it prepares full financial statements under UK-adopted International Accounting Standards (not FRS 101/102 reduced disclosure), including a genuine Statement of Cash Flows every year - no cash-flow exemption applies. The Bank's own capital structure is CET1-only (no AT1 or Tier 2 instruments), so CET1 capital = Tier 1 capital = Total capital in every year shown.
FX CONVERSION NOTE: Zenith Bank (UK) Limited reports in US Dollars. This workbook converts every $ amount to £ for consistency with the rest of this series, following the same methodology established for SMBC Bank International plc: point-in-time/balance figures (capital, RWA, leverage exposure, HQLA, cash balances) use the Bank of England GBP/USD SPOT rate as at that fiscal year-end (31 December); flow figures (every cash flow statement line item) use the AVERAGE of Bank of England rates over that calendar year. FY2020-FY2025 rates are via poundsterlinglive.com's published Bank of England archive; FY2014-FY2019 rates (added under HD-048) were pulled directly from the Bank of England's own Interactive Statistical Database (series XUDLGBD, spot exchange rate US dollar into Sterling), inverted and rounded to 4dp - the same underlying BoE series poundsterlinglive republishes. Rates used (£1 = $X): 31 Dec 2013 spot 1.6529 (FY2014 opening cash only); FY2014 spot 1.5608 / average 1.6465; FY2015 spot 1.4819 / average 1.5281; FY2016 spot 1.2303 / average 1.3488; FY2017 spot 1.3510 / average 1.2878; FY2018 spot 1.2770 / average 1.3335; FY2019 spot 1.3210 / average 1.2757; FY2020 spot 1.3661 / average 1.2825 (FY2020 spot pre-dates HD-048 and is kept unchanged from the original build for continuity - a fresh BoE query for the same date gives 1.3648, a ~0.1% difference attributable to archive rounding, immaterial at 1dp in £'000 terms); FY2021 spot 1.3521 / average 1.3752; FY2022 spot 1.2097 / average 1.2362; FY2023 spot 1.2732 / average 1.2439; FY2024 spot 1.2515 / average 1.2782; FY2025 spot 1.3448 / average 1.3193.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so opening + all flows + this line = closing exactly in £ terms - this line is purely an artefact of £ translation and has no bearing on the Bank's underlying USD results. This conversion was not explicitly requested for this bank (unlike SMBC) - applied for consistency with the rest of the series; flag if £'000 rather than the Bank's native US$'000 presentation is not what's wanted here.
HD-048 EXTENSION NOTE (2026-09-06): this workbook was extended from its original FY2021-FY2025 window back to FY2014 under wayfinder ticket HD-048, capped at FY2014 by explicit project-wide user decision even though Zenith Bank (UK) Limited's own disclosure archive genuinely extends to FY2009 (Pillar 3 pre-CRD IV/Basel III isn't considered comparable to later years, and this project caps historical depth at FY2014 across all extended banks). FY2014-FY2020 Annual Report and Financial Statements were re-sourced directly from the Bank's own live website (zenith-bank.co.uk/why-us/statutory-accounts-tax-strategy/), each verified by opening the actual PDF and checking its cover/contents page states the claimed year - this caught the site's own '2015' link actually serving a byte-identical copy of the FY2018 report (same file, two URLs); the genuine FY2015 Annual Report was recovered from Internet Archive Wayback Machine crawl data instead (media/1011). FY2014-FY2015 Pillar 3 disclosures were similarly recovered from Wayback Machine captures of the Bank's pre-2018 site (see Pillar 3 sources note). No Pillar 3 disclosure document for FY2016-FY2020 could be found on the live site or in the Wayback Machine despite a thorough search (CDX API queries against every plausible URL pattern, including two specific leads from an earlier interrupted session that both proved to be unarchived 404s on further verification) - the Bank's Pillar 3 page itself was archived several times across those years and confirms the underlying PDF links existed at the time, but the PDF binaries themselves were never crawled by the Wayback Machine. All 11 Pillar 3 metric sheets and the RWA Breakdown sheet are therefore genuinely blank for FY2016-FY2020 (a real gap in the recoverable public record, not an oversight) - Annual Report-sourced sheets (Balance Sheet, P&amp;L, Statement of Changes in Equity, Cash Flow Statement, Asset Quality) are fully populated for all of FY2014-FY2020.
HD-073 EXTENSION NOTE (2026-09-06/07): this workbook was extended from its FY2014 floor back to FY2009 under wayfinder ticket HD-073, using the Bank's own statutory accounts recovered from Companies House (company 05713749) - the Bank's own website archive does not go back this far. CURRENCY: FY2009-FY2013 are reported by the Bank natively in GBP (its redenomination to USD, see the FX conversion note above, happened during 2013/2014) - these 5 years require NO FX conversion at all and are shown as £'000 directly (see stock2()/flow2()/opening_cash2() in this script). STATEMENT AVAILABILITY: FY2012 and FY2013 have full IFRS-style statements (Statement of Comprehensive Income, Statement of Financial Position, Statement of Changes in Equity, Statement of Cash Flows), all populated here. FY2009-FY2011 pre-date the Bank's IFRS adoption entirely - each year's own report contains only a 'Profit and loss account' and 'Balance sheet' under old UK GAAP, and each explicitly states 'There are no recognised gains or losses for the year other than as stated above. Accordingly no Statement of Total Recognised Gains and Losses has been prepared' and contains no Statement of Cash Flows at all - a genuine, disclosed absence (not a small-company cash-flow exemption assumption), so the Statement of Changes in Equity and Cash Flow Statement sheets are genuinely blank for FY2009-FY2011. PRESENTATION BRIDGE (Balance Sheet, FY2009-FY2011): these years predate the Trading/Investment securities split (a single 'Securities' line is shown here as 'Securities measured at amortised cost') and the Deposits by banks/corporates split shown from FY2012 ('Deposits by corporates' maps to 'Deposits from customers', consistent with later years' convention); 'Other assets' combines the Bank's own separate 'Other assets' and 'Prepayments' lines (no dedicated Prepayments row exists in this sheet's modern label set); 'Other liabilities' holds the Bank's own 'Accrued expenses' line. FY2009's own report does not separately disclose a 'Cash' line at all (folded into 'Loans and advances to banks', £275,505,662) - FY2010's own report later reclassifies out a £35,421 'Cash' balance for its FY2009 comparative; FY2009's own as-originally-reported combined figure is used here, per this project's convention of preferring each year's own report. PRESENTATION BRIDGE (P&amp;L, FY2009-FY2010): neither year separately discloses Personnel expenses/Depreciation and amortisation - a single 'Administrative expenses' line is shown here as 'Other expenses' (Personnel expenses/Depreciation and amortisation blank, not zero, for these two years only). RESTATEMENT NOTE: FY2011's own report (profit before tax £5,104,963, profit for the year £3,622,457) differs from the FY2012 Annual Report's own restated FY2011 IFRS comparative (profit before tax £4,973,686, profit for the year £3,491,180) - a reclassification between interest/fee/expense lines under the Bank's FY2012 IFRS conversion, not a change to the audited FY2011 result. FY2011's own report figures are used throughout, consistent with this project's convention of preferring each year's own report over a later restated comparative. Similarly, FY2009's own report labels ('Interest receivable', 'Fees &amp; commissions receivable', 'Exchange profits') differ from FY2010's own report's FY2009 comparative labels ('Interest earned', 'Fees &amp; commission earned', 'Trading profits (Net)') with a like-for-like £518,750 shift between the interest and fee/trading lines - Operating income and Profit for the year are identical either way; FY2009's own report figures are used. BRIDGE GAP (FY2013/FY2014 boundary): FY2013's own report shows closing Total equity of £74,509,003 and closing cash of £119,758,144; the Bank's own FY2014 Annual Report separately expresses its 1 January 2014 opening position in USD (used, unchanged, by the pre-existing FY2014 opening rows in this workbook) which back-converts via the 31 Dec 2013 spot rate to approximately £74,543,010 total equity and £119,819,001 opening cash - a small (~0.05%) gap attributable to the Bank's own USD-conversion/rounding at the point of redenomination, not reconciled further; both figures are shown exactly as each source discloses them.</t>
        </is>
      </c>
    </row>
  </sheetData>
  <mergeCells count="1">
    <mergeCell ref="A50:F5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6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Statement of Cash Flows</t>
        </is>
      </c>
    </row>
    <row r="2">
      <c r="A2" s="2" t="inlineStr">
        <is>
          <t>£'000 (FY2012-FY2013 native GBP, FY2014 onward converted from USD) - see source note at bottom for FX methodology and rates used. No FY2009-FY2011 column shown (no Statement of Cash Flows disclosed those years - see HD-073 extension note). FY2025 blank (no FY2025 Annual Report yet).</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c r="G3" s="4" t="inlineStr">
        <is>
          <t>FY2020 (£'000, conv. from USD)</t>
        </is>
      </c>
      <c r="H3" s="4" t="inlineStr">
        <is>
          <t>FY2019 (£'000, conv. from USD)</t>
        </is>
      </c>
      <c r="I3" s="4" t="inlineStr">
        <is>
          <t>FY2018 (£'000, conv. from USD)</t>
        </is>
      </c>
      <c r="J3" s="4" t="inlineStr">
        <is>
          <t>FY2017 (£'000, conv. from USD)</t>
        </is>
      </c>
      <c r="K3" s="4" t="inlineStr">
        <is>
          <t>FY2016 (£'000, conv. from USD)</t>
        </is>
      </c>
      <c r="L3" s="4" t="inlineStr">
        <is>
          <t>FY2015 (£'000, conv. from USD)</t>
        </is>
      </c>
      <c r="M3" s="4" t="inlineStr">
        <is>
          <t>FY2014 (£'000, conv. from USD)</t>
        </is>
      </c>
      <c r="N3" s="4" t="inlineStr">
        <is>
          <t>FY2013 (£'000, conv. from USD)</t>
        </is>
      </c>
      <c r="O3" s="4" t="inlineStr">
        <is>
          <t>FY2012 (£'000, conv. from USD)</t>
        </is>
      </c>
      <c r="P3" s="4" t="inlineStr">
        <is>
          <t>FY2011 (£'000, conv. from USD)</t>
        </is>
      </c>
      <c r="Q3" s="4" t="inlineStr">
        <is>
          <t>FY2010 (£'000, conv. from USD)</t>
        </is>
      </c>
      <c r="R3" s="4" t="inlineStr">
        <is>
          <t>FY2009 (£'000, conv. from USD)</t>
        </is>
      </c>
    </row>
    <row r="4">
      <c r="A4" s="5" t="inlineStr">
        <is>
          <t>Operating activities</t>
        </is>
      </c>
      <c r="B4" s="6" t="n"/>
      <c r="C4" s="6" t="n"/>
      <c r="D4" s="6" t="n"/>
      <c r="E4" s="6" t="n"/>
      <c r="F4" s="6" t="n"/>
      <c r="G4" s="6" t="n"/>
      <c r="H4" s="6" t="n"/>
      <c r="I4" s="6" t="n"/>
      <c r="J4" s="6" t="n"/>
      <c r="K4" s="6" t="n"/>
      <c r="L4" s="6" t="n"/>
      <c r="M4" s="6" t="n"/>
      <c r="N4" s="6" t="n"/>
      <c r="O4" s="6" t="n"/>
      <c r="P4" s="6" t="n"/>
      <c r="Q4" s="6" t="n"/>
      <c r="R4" s="6" t="n"/>
    </row>
    <row r="5">
      <c r="A5" s="6" t="inlineStr">
        <is>
          <t>Profit for the year</t>
        </is>
      </c>
      <c r="B5" s="6" t="n"/>
      <c r="C5" s="6" t="n">
        <v>33033.4</v>
      </c>
      <c r="D5" s="6" t="n">
        <v>44085.1</v>
      </c>
      <c r="E5" s="6" t="n">
        <v>28474.9</v>
      </c>
      <c r="F5" s="6" t="n">
        <v>8292.700000000001</v>
      </c>
      <c r="G5" s="6" t="n">
        <v>13966</v>
      </c>
      <c r="H5" s="6" t="n">
        <v>21894.4</v>
      </c>
      <c r="I5" s="6" t="n">
        <v>20629.7</v>
      </c>
      <c r="J5" s="6" t="n">
        <v>10583.1</v>
      </c>
      <c r="K5" s="6" t="n">
        <v>1955.6</v>
      </c>
      <c r="L5" s="6" t="n">
        <v>3484.1</v>
      </c>
      <c r="M5" s="6" t="n">
        <v>8742.299999999999</v>
      </c>
      <c r="N5" s="6" t="n">
        <v>7672.9</v>
      </c>
      <c r="O5" s="6" t="n">
        <v>5232</v>
      </c>
      <c r="P5" s="6" t="n"/>
      <c r="Q5" s="6" t="n"/>
      <c r="R5" s="6" t="n"/>
    </row>
    <row r="6">
      <c r="A6" s="6" t="inlineStr">
        <is>
          <t>Impairment provision charge/(reversal)</t>
        </is>
      </c>
      <c r="B6" s="6" t="n"/>
      <c r="C6" s="6" t="n">
        <v>-6434.9</v>
      </c>
      <c r="D6" s="6" t="n">
        <v>619.9</v>
      </c>
      <c r="E6" s="6" t="n">
        <v>4262.4</v>
      </c>
      <c r="F6" s="6" t="n">
        <v>2684.9</v>
      </c>
      <c r="G6" s="6" t="n">
        <v>1088.6</v>
      </c>
      <c r="H6" s="6" t="n">
        <v>-18.4</v>
      </c>
      <c r="I6" s="6" t="n">
        <v>-3391.4</v>
      </c>
      <c r="J6" s="6" t="n">
        <v>5279</v>
      </c>
      <c r="K6" s="6" t="n">
        <v>13345.8</v>
      </c>
      <c r="L6" s="6" t="n">
        <v>5456.5</v>
      </c>
      <c r="M6" s="6" t="n"/>
      <c r="N6" s="6" t="n"/>
      <c r="O6" s="6" t="n"/>
      <c r="P6" s="6" t="n"/>
      <c r="Q6" s="6" t="n"/>
      <c r="R6" s="6" t="n"/>
    </row>
    <row r="7">
      <c r="A7" s="6" t="inlineStr">
        <is>
          <t>Depreciation of property and equipment</t>
        </is>
      </c>
      <c r="B7" s="6" t="n"/>
      <c r="C7" s="6" t="n">
        <v>926.7</v>
      </c>
      <c r="D7" s="6" t="n">
        <v>864</v>
      </c>
      <c r="E7" s="6" t="n">
        <v>914.9</v>
      </c>
      <c r="F7" s="6" t="n">
        <v>810.8</v>
      </c>
      <c r="G7" s="6" t="n">
        <v>876.4</v>
      </c>
      <c r="H7" s="6" t="n">
        <v>724.7</v>
      </c>
      <c r="I7" s="6" t="n">
        <v>169.6</v>
      </c>
      <c r="J7" s="6" t="n">
        <v>154.4</v>
      </c>
      <c r="K7" s="6" t="n">
        <v>191.8</v>
      </c>
      <c r="L7" s="6" t="n">
        <v>291.7</v>
      </c>
      <c r="M7" s="6" t="n">
        <v>239.1</v>
      </c>
      <c r="N7" s="6" t="n">
        <v>413.8</v>
      </c>
      <c r="O7" s="6" t="n">
        <v>255.3</v>
      </c>
      <c r="P7" s="6" t="n"/>
      <c r="Q7" s="6" t="n"/>
      <c r="R7" s="6" t="n"/>
    </row>
    <row r="8">
      <c r="A8" s="6" t="inlineStr">
        <is>
          <t>Amortisation of intangible assets</t>
        </is>
      </c>
      <c r="B8" s="6" t="n"/>
      <c r="C8" s="6" t="n">
        <v>390.8</v>
      </c>
      <c r="D8" s="6" t="n">
        <v>442.3</v>
      </c>
      <c r="E8" s="6" t="n">
        <v>439.9</v>
      </c>
      <c r="F8" s="6" t="n">
        <v>481.5</v>
      </c>
      <c r="G8" s="6" t="n">
        <v>785.9</v>
      </c>
      <c r="H8" s="6" t="n">
        <v>746.4</v>
      </c>
      <c r="I8" s="6" t="n">
        <v>611.8</v>
      </c>
      <c r="J8" s="6" t="n">
        <v>371.3</v>
      </c>
      <c r="K8" s="6" t="n">
        <v>388.3</v>
      </c>
      <c r="L8" s="6" t="n">
        <v>414.1</v>
      </c>
      <c r="M8" s="6" t="n">
        <v>346.1</v>
      </c>
      <c r="N8" s="6" t="n">
        <v>347.6</v>
      </c>
      <c r="O8" s="6" t="n">
        <v>328.7</v>
      </c>
      <c r="P8" s="6" t="n"/>
      <c r="Q8" s="6" t="n"/>
      <c r="R8" s="6" t="n"/>
    </row>
    <row r="9">
      <c r="A9" s="6" t="inlineStr">
        <is>
          <t>Interest expense on Right-of-use lease obligations</t>
        </is>
      </c>
      <c r="B9" s="6" t="n"/>
      <c r="C9" s="6" t="n">
        <v>271.3</v>
      </c>
      <c r="D9" s="6" t="n">
        <v>14.7</v>
      </c>
      <c r="E9" s="6" t="n"/>
      <c r="F9" s="6" t="n">
        <v>35.8</v>
      </c>
      <c r="G9" s="6" t="n">
        <v>31</v>
      </c>
      <c r="H9" s="6" t="n"/>
      <c r="I9" s="6" t="n"/>
      <c r="J9" s="6" t="n"/>
      <c r="K9" s="6" t="n"/>
      <c r="L9" s="6" t="n"/>
      <c r="M9" s="6" t="n"/>
      <c r="N9" s="6" t="n"/>
      <c r="O9" s="6" t="n"/>
      <c r="P9" s="6" t="n"/>
      <c r="Q9" s="6" t="n"/>
      <c r="R9" s="6" t="n"/>
    </row>
    <row r="10">
      <c r="A10" s="6" t="inlineStr">
        <is>
          <t>Interest expense (transition to IFRS 16)</t>
        </is>
      </c>
      <c r="B10" s="6" t="n"/>
      <c r="C10" s="6" t="n"/>
      <c r="D10" s="6" t="n"/>
      <c r="E10" s="6" t="n"/>
      <c r="F10" s="6" t="n"/>
      <c r="G10" s="6" t="n"/>
      <c r="H10" s="6" t="n">
        <v>26.3</v>
      </c>
      <c r="I10" s="6" t="n"/>
      <c r="J10" s="6" t="n"/>
      <c r="K10" s="6" t="n"/>
      <c r="L10" s="6" t="n"/>
      <c r="M10" s="6" t="n"/>
      <c r="N10" s="6" t="n"/>
      <c r="O10" s="6" t="n"/>
      <c r="P10" s="6" t="n"/>
      <c r="Q10" s="6" t="n"/>
      <c r="R10" s="6" t="n"/>
    </row>
    <row r="11">
      <c r="A11" s="6" t="inlineStr">
        <is>
          <t>Exchange difference on property and equipment</t>
        </is>
      </c>
      <c r="B11" s="6" t="n"/>
      <c r="C11" s="6" t="n"/>
      <c r="D11" s="6" t="n"/>
      <c r="E11" s="6" t="n"/>
      <c r="F11" s="6" t="n"/>
      <c r="G11" s="6" t="n"/>
      <c r="H11" s="6" t="n"/>
      <c r="I11" s="6" t="n">
        <v>-82</v>
      </c>
      <c r="J11" s="6" t="n"/>
      <c r="K11" s="6" t="n"/>
      <c r="L11" s="6" t="n"/>
      <c r="M11" s="6" t="n"/>
      <c r="N11" s="6" t="n"/>
      <c r="O11" s="6" t="n"/>
      <c r="P11" s="6" t="n"/>
      <c r="Q11" s="6" t="n"/>
      <c r="R11" s="6" t="n"/>
    </row>
    <row r="12">
      <c r="A12" s="6" t="inlineStr">
        <is>
          <t>Exchange difference on intangible assets</t>
        </is>
      </c>
      <c r="B12" s="6" t="n"/>
      <c r="C12" s="6" t="n"/>
      <c r="D12" s="6" t="n"/>
      <c r="E12" s="6" t="n"/>
      <c r="F12" s="6" t="n"/>
      <c r="G12" s="6" t="n"/>
      <c r="H12" s="6" t="n"/>
      <c r="I12" s="6" t="n">
        <v>-271.5</v>
      </c>
      <c r="J12" s="6" t="n"/>
      <c r="K12" s="6" t="n"/>
      <c r="L12" s="6" t="n"/>
      <c r="M12" s="6" t="n"/>
      <c r="N12" s="6" t="n"/>
      <c r="O12" s="6" t="n"/>
      <c r="P12" s="6" t="n"/>
      <c r="Q12" s="6" t="n"/>
      <c r="R12" s="6" t="n"/>
    </row>
    <row r="13">
      <c r="A13" s="6" t="inlineStr">
        <is>
          <t>Gain on disposal of property and equipment</t>
        </is>
      </c>
      <c r="B13" s="6" t="n"/>
      <c r="C13" s="6" t="n"/>
      <c r="D13" s="6" t="n"/>
      <c r="E13" s="6" t="n"/>
      <c r="F13" s="6" t="n"/>
      <c r="G13" s="6" t="n"/>
      <c r="H13" s="6" t="n"/>
      <c r="I13" s="6" t="n"/>
      <c r="J13" s="6" t="n"/>
      <c r="K13" s="6" t="n">
        <v>0</v>
      </c>
      <c r="L13" s="6" t="n">
        <v>-5.5</v>
      </c>
      <c r="M13" s="6" t="n"/>
      <c r="N13" s="6" t="n"/>
      <c r="O13" s="6" t="n"/>
      <c r="P13" s="6" t="n"/>
      <c r="Q13" s="6" t="n"/>
      <c r="R13" s="6" t="n"/>
    </row>
    <row r="14">
      <c r="A14" s="6" t="inlineStr">
        <is>
          <t>Recoveries of bad debts written off</t>
        </is>
      </c>
      <c r="B14" s="6" t="n"/>
      <c r="C14" s="6" t="n"/>
      <c r="D14" s="6" t="n"/>
      <c r="E14" s="6" t="n">
        <v>-55.9</v>
      </c>
      <c r="F14" s="6" t="n"/>
      <c r="G14" s="6" t="n"/>
      <c r="H14" s="6" t="n"/>
      <c r="I14" s="6" t="n"/>
      <c r="J14" s="6" t="n"/>
      <c r="K14" s="6" t="n"/>
      <c r="L14" s="6" t="n"/>
      <c r="M14" s="6" t="n"/>
      <c r="N14" s="6" t="n"/>
      <c r="O14" s="6" t="n"/>
      <c r="P14" s="6" t="n"/>
      <c r="Q14" s="6" t="n"/>
      <c r="R14" s="6" t="n"/>
    </row>
    <row r="15">
      <c r="A15" s="6" t="inlineStr">
        <is>
          <t>Current income tax expense</t>
        </is>
      </c>
      <c r="B15" s="6" t="n"/>
      <c r="C15" s="6" t="n">
        <v>10603.7</v>
      </c>
      <c r="D15" s="6" t="n">
        <v>14265.6</v>
      </c>
      <c r="E15" s="6" t="n">
        <v>7636.1</v>
      </c>
      <c r="F15" s="6" t="n">
        <v>1623.1</v>
      </c>
      <c r="G15" s="6" t="n"/>
      <c r="H15" s="6" t="n"/>
      <c r="I15" s="6" t="n"/>
      <c r="J15" s="6" t="n"/>
      <c r="K15" s="6" t="n"/>
      <c r="L15" s="6" t="n"/>
      <c r="M15" s="6" t="n"/>
      <c r="N15" s="6" t="n"/>
      <c r="O15" s="6" t="n"/>
      <c r="P15" s="6" t="n"/>
      <c r="Q15" s="6" t="n"/>
      <c r="R15" s="6" t="n"/>
    </row>
    <row r="16">
      <c r="A16" s="6" t="inlineStr">
        <is>
          <t>Deferred income tax expense</t>
        </is>
      </c>
      <c r="B16" s="6" t="n"/>
      <c r="C16" s="6" t="n">
        <v>373.9</v>
      </c>
      <c r="D16" s="6" t="n">
        <v>169.8</v>
      </c>
      <c r="E16" s="6" t="n">
        <v>194</v>
      </c>
      <c r="F16" s="6" t="n"/>
      <c r="G16" s="6" t="n"/>
      <c r="H16" s="6" t="n"/>
      <c r="I16" s="6" t="n"/>
      <c r="J16" s="6" t="n"/>
      <c r="K16" s="6" t="n"/>
      <c r="L16" s="6" t="n"/>
      <c r="M16" s="6" t="n"/>
      <c r="N16" s="6" t="n"/>
      <c r="O16" s="6" t="n"/>
      <c r="P16" s="6" t="n"/>
      <c r="Q16" s="6" t="n"/>
      <c r="R16" s="6" t="n"/>
    </row>
    <row r="17">
      <c r="A17" s="6" t="inlineStr">
        <is>
          <t>Income tax expense (not split current/deferred - pre-FY2021 presentation)</t>
        </is>
      </c>
      <c r="B17" s="6" t="n"/>
      <c r="C17" s="6" t="n"/>
      <c r="D17" s="6" t="n"/>
      <c r="E17" s="6" t="n"/>
      <c r="F17" s="6" t="n"/>
      <c r="G17" s="6" t="n">
        <v>3096.7</v>
      </c>
      <c r="H17" s="6" t="n">
        <v>5323.4</v>
      </c>
      <c r="I17" s="6" t="n">
        <v>4731</v>
      </c>
      <c r="J17" s="6" t="n">
        <v>1848.6</v>
      </c>
      <c r="K17" s="6" t="n">
        <v>584.1</v>
      </c>
      <c r="L17" s="6" t="n">
        <v>1161.4</v>
      </c>
      <c r="M17" s="6" t="n">
        <v>2798.7</v>
      </c>
      <c r="N17" s="6" t="n">
        <v>2386.8</v>
      </c>
      <c r="O17" s="6" t="n">
        <v>1696.1</v>
      </c>
      <c r="P17" s="6" t="n"/>
      <c r="Q17" s="6" t="n"/>
      <c r="R17" s="6" t="n"/>
    </row>
    <row r="18">
      <c r="A18" s="6" t="inlineStr">
        <is>
          <t>Foreign currency translation gain - Right-of-use assets</t>
        </is>
      </c>
      <c r="B18" s="6" t="n"/>
      <c r="C18" s="6" t="n"/>
      <c r="D18" s="6" t="n"/>
      <c r="E18" s="6" t="n"/>
      <c r="F18" s="6" t="n">
        <v>-153.9</v>
      </c>
      <c r="G18" s="6" t="n"/>
      <c r="H18" s="6" t="n"/>
      <c r="I18" s="6" t="n"/>
      <c r="J18" s="6" t="n"/>
      <c r="K18" s="6" t="n"/>
      <c r="L18" s="6" t="n"/>
      <c r="M18" s="6" t="n"/>
      <c r="N18" s="6" t="n"/>
      <c r="O18" s="6" t="n"/>
      <c r="P18" s="6" t="n"/>
      <c r="Q18" s="6" t="n"/>
      <c r="R18" s="6" t="n"/>
    </row>
    <row r="19">
      <c r="A19" s="6" t="inlineStr">
        <is>
          <t>Foreign currency translation gain/(loss) - Lease obligation</t>
        </is>
      </c>
      <c r="B19" s="6" t="n"/>
      <c r="C19" s="6" t="n"/>
      <c r="D19" s="6" t="n">
        <v>88.90000000000001</v>
      </c>
      <c r="E19" s="6" t="n">
        <v>-257.1</v>
      </c>
      <c r="F19" s="6" t="n">
        <v>-223.3</v>
      </c>
      <c r="G19" s="6" t="n">
        <v>78.59999999999999</v>
      </c>
      <c r="H19" s="6" t="n"/>
      <c r="I19" s="6" t="n"/>
      <c r="J19" s="6" t="n"/>
      <c r="K19" s="6" t="n"/>
      <c r="L19" s="6" t="n"/>
      <c r="M19" s="6" t="n"/>
      <c r="N19" s="6" t="n"/>
      <c r="O19" s="6" t="n"/>
      <c r="P19" s="6" t="n"/>
      <c r="Q19" s="6" t="n"/>
      <c r="R19" s="6" t="n"/>
    </row>
    <row r="20">
      <c r="A20" s="6" t="inlineStr">
        <is>
          <t>Foreign currency translation gain - Deferred tax assets</t>
        </is>
      </c>
      <c r="B20" s="6" t="n"/>
      <c r="C20" s="6" t="n"/>
      <c r="D20" s="6" t="n"/>
      <c r="E20" s="6" t="n">
        <v>0</v>
      </c>
      <c r="F20" s="6" t="n"/>
      <c r="G20" s="6" t="n"/>
      <c r="H20" s="6" t="n"/>
      <c r="I20" s="6" t="n"/>
      <c r="J20" s="6" t="n"/>
      <c r="K20" s="6" t="n"/>
      <c r="L20" s="6" t="n"/>
      <c r="M20" s="6" t="n"/>
      <c r="N20" s="6" t="n"/>
      <c r="O20" s="6" t="n"/>
      <c r="P20" s="6" t="n"/>
      <c r="Q20" s="6" t="n"/>
      <c r="R20" s="6" t="n"/>
    </row>
    <row r="21">
      <c r="A21" s="6" t="inlineStr">
        <is>
          <t>Foreign currency translation (gain)/loss - Corporation tax liability</t>
        </is>
      </c>
      <c r="B21" s="6" t="n"/>
      <c r="C21" s="6" t="n"/>
      <c r="D21" s="6" t="n">
        <v>-99.2</v>
      </c>
      <c r="E21" s="6" t="n">
        <v>-35.4</v>
      </c>
      <c r="F21" s="6" t="n">
        <v>-2</v>
      </c>
      <c r="G21" s="6" t="n">
        <v>200.3</v>
      </c>
      <c r="H21" s="6" t="n"/>
      <c r="I21" s="6" t="n"/>
      <c r="J21" s="6" t="n"/>
      <c r="K21" s="6" t="n"/>
      <c r="L21" s="6" t="n"/>
      <c r="M21" s="6" t="n"/>
      <c r="N21" s="6" t="n"/>
      <c r="O21" s="6" t="n"/>
      <c r="P21" s="6" t="n"/>
      <c r="Q21" s="6" t="n"/>
      <c r="R21" s="6" t="n"/>
    </row>
    <row r="22">
      <c r="A22" s="6" t="inlineStr">
        <is>
          <t>Deferred tax asset write-off (legacy)</t>
        </is>
      </c>
      <c r="B22" s="6" t="n"/>
      <c r="C22" s="6" t="n"/>
      <c r="D22" s="6" t="n">
        <v>1</v>
      </c>
      <c r="E22" s="6" t="n"/>
      <c r="F22" s="6" t="n"/>
      <c r="G22" s="6" t="n"/>
      <c r="H22" s="6" t="n"/>
      <c r="I22" s="6" t="n"/>
      <c r="J22" s="6" t="n"/>
      <c r="K22" s="6" t="n"/>
      <c r="L22" s="6" t="n"/>
      <c r="M22" s="6" t="n"/>
      <c r="N22" s="6" t="n"/>
      <c r="O22" s="6" t="n"/>
      <c r="P22" s="6" t="n"/>
      <c r="Q22" s="6" t="n"/>
      <c r="R22" s="6" t="n"/>
    </row>
    <row r="23">
      <c r="A23" s="6" t="inlineStr">
        <is>
          <t>Impairment on equity investments</t>
        </is>
      </c>
      <c r="B23" s="6" t="n"/>
      <c r="C23" s="6" t="n"/>
      <c r="D23" s="6" t="n"/>
      <c r="E23" s="6" t="n"/>
      <c r="F23" s="6" t="n">
        <v>48.5</v>
      </c>
      <c r="G23" s="6" t="n">
        <v>557.5</v>
      </c>
      <c r="H23" s="6" t="n"/>
      <c r="I23" s="6" t="n"/>
      <c r="J23" s="6" t="n"/>
      <c r="K23" s="6" t="n"/>
      <c r="L23" s="6" t="n"/>
      <c r="M23" s="6" t="n"/>
      <c r="N23" s="6" t="n"/>
      <c r="O23" s="6" t="n"/>
      <c r="P23" s="6" t="n"/>
      <c r="Q23" s="6" t="n"/>
      <c r="R23" s="6" t="n"/>
    </row>
    <row r="24">
      <c r="A24" s="6" t="inlineStr">
        <is>
          <t>Interest income</t>
        </is>
      </c>
      <c r="B24" s="6" t="n"/>
      <c r="C24" s="6" t="n">
        <v>-117726.2</v>
      </c>
      <c r="D24" s="6" t="n">
        <v>-118993.4</v>
      </c>
      <c r="E24" s="6" t="n">
        <v>-63895.8</v>
      </c>
      <c r="F24" s="6" t="n"/>
      <c r="G24" s="6" t="n"/>
      <c r="H24" s="6" t="n"/>
      <c r="I24" s="6" t="n"/>
      <c r="J24" s="6" t="n"/>
      <c r="K24" s="6" t="n"/>
      <c r="L24" s="6" t="n"/>
      <c r="M24" s="6" t="n"/>
      <c r="N24" s="6" t="n"/>
      <c r="O24" s="6" t="n"/>
      <c r="P24" s="6" t="n"/>
      <c r="Q24" s="6" t="n"/>
      <c r="R24" s="6" t="n"/>
    </row>
    <row r="25">
      <c r="A25" s="6" t="inlineStr">
        <is>
          <t>Interest expense</t>
        </is>
      </c>
      <c r="B25" s="6" t="n"/>
      <c r="C25" s="6" t="n">
        <v>54600</v>
      </c>
      <c r="D25" s="6" t="n">
        <v>41618.2</v>
      </c>
      <c r="E25" s="6" t="n">
        <v>12130.6</v>
      </c>
      <c r="F25" s="6" t="n"/>
      <c r="G25" s="6" t="n"/>
      <c r="H25" s="6" t="n"/>
      <c r="I25" s="6" t="n"/>
      <c r="J25" s="6" t="n"/>
      <c r="K25" s="6" t="n"/>
      <c r="L25" s="6" t="n"/>
      <c r="M25" s="6" t="n"/>
      <c r="N25" s="6" t="n"/>
      <c r="O25" s="6" t="n"/>
      <c r="P25" s="6" t="n"/>
      <c r="Q25" s="6" t="n"/>
      <c r="R25" s="6" t="n"/>
    </row>
    <row r="26">
      <c r="A26" s="6" t="inlineStr">
        <is>
          <t>Fair value movement on securities measured at FVTPL</t>
        </is>
      </c>
      <c r="B26" s="6" t="n"/>
      <c r="C26" s="6" t="n">
        <v>54.1</v>
      </c>
      <c r="D26" s="6" t="n"/>
      <c r="E26" s="6" t="n"/>
      <c r="F26" s="6" t="n"/>
      <c r="G26" s="6" t="n"/>
      <c r="H26" s="6" t="n"/>
      <c r="I26" s="6" t="n"/>
      <c r="J26" s="6" t="n"/>
      <c r="K26" s="6" t="n"/>
      <c r="L26" s="6" t="n"/>
      <c r="M26" s="6" t="n"/>
      <c r="N26" s="6" t="n"/>
      <c r="O26" s="6" t="n"/>
      <c r="P26" s="6" t="n"/>
      <c r="Q26" s="6" t="n"/>
      <c r="R26" s="6" t="n"/>
    </row>
    <row r="27">
      <c r="A27" s="6" t="inlineStr">
        <is>
          <t>Fair value movement on derivative contracts</t>
        </is>
      </c>
      <c r="B27" s="6" t="n"/>
      <c r="C27" s="6" t="n">
        <v>2705.2</v>
      </c>
      <c r="D27" s="6" t="n"/>
      <c r="E27" s="6" t="n"/>
      <c r="F27" s="6" t="n"/>
      <c r="G27" s="6" t="n"/>
      <c r="H27" s="6" t="n"/>
      <c r="I27" s="6" t="n"/>
      <c r="J27" s="6" t="n"/>
      <c r="K27" s="6" t="n"/>
      <c r="L27" s="6" t="n"/>
      <c r="M27" s="6" t="n"/>
      <c r="N27" s="6" t="n"/>
      <c r="O27" s="6" t="n"/>
      <c r="P27" s="6" t="n"/>
      <c r="Q27" s="6" t="n"/>
      <c r="R27" s="6" t="n"/>
    </row>
    <row r="28">
      <c r="A28" s="6" t="inlineStr">
        <is>
          <t>Unrealised foreign exchange (gains)/losses</t>
        </is>
      </c>
      <c r="B28" s="6" t="n"/>
      <c r="C28" s="6" t="n">
        <v>-1929.4</v>
      </c>
      <c r="D28" s="6" t="n"/>
      <c r="E28" s="6" t="n"/>
      <c r="F28" s="6" t="n"/>
      <c r="G28" s="6" t="n"/>
      <c r="H28" s="6" t="n"/>
      <c r="I28" s="6" t="n"/>
      <c r="J28" s="6" t="n"/>
      <c r="K28" s="6" t="n"/>
      <c r="L28" s="6" t="n"/>
      <c r="M28" s="6" t="n"/>
      <c r="N28" s="6" t="n"/>
      <c r="O28" s="6" t="n"/>
      <c r="P28" s="6" t="n"/>
      <c r="Q28" s="6" t="n"/>
      <c r="R28" s="6" t="n"/>
    </row>
    <row r="29">
      <c r="A29" s="6" t="inlineStr">
        <is>
          <t>Loss on derecognition of assets</t>
        </is>
      </c>
      <c r="B29" s="6" t="n"/>
      <c r="C29" s="6" t="n">
        <v>5856.7</v>
      </c>
      <c r="D29" s="6" t="n"/>
      <c r="E29" s="6" t="n"/>
      <c r="F29" s="6" t="n"/>
      <c r="G29" s="6" t="n"/>
      <c r="H29" s="6" t="n"/>
      <c r="I29" s="6" t="n"/>
      <c r="J29" s="6" t="n"/>
      <c r="K29" s="6" t="n"/>
      <c r="L29" s="6" t="n"/>
      <c r="M29" s="6" t="n"/>
      <c r="N29" s="6" t="n"/>
      <c r="O29" s="6" t="n"/>
      <c r="P29" s="6" t="n"/>
      <c r="Q29" s="6" t="n"/>
      <c r="R29" s="6" t="n"/>
    </row>
    <row r="30">
      <c r="A30" s="6" t="inlineStr">
        <is>
          <t>Decrease/(Increase) in loans and advances to banks</t>
        </is>
      </c>
      <c r="B30" s="6" t="n"/>
      <c r="C30" s="6" t="n">
        <v>29135.6</v>
      </c>
      <c r="D30" s="6" t="n">
        <v>14246.2</v>
      </c>
      <c r="E30" s="6" t="n">
        <v>-13748.1</v>
      </c>
      <c r="F30" s="6" t="n">
        <v>21515.7</v>
      </c>
      <c r="G30" s="6" t="n">
        <v>65919.3</v>
      </c>
      <c r="H30" s="6" t="n">
        <v>-75357.8</v>
      </c>
      <c r="I30" s="6" t="n">
        <v>-18530.8</v>
      </c>
      <c r="J30" s="6" t="n">
        <v>49749.9</v>
      </c>
      <c r="K30" s="6" t="n">
        <v>-21610.9</v>
      </c>
      <c r="L30" s="6" t="n">
        <v>162069</v>
      </c>
      <c r="M30" s="6" t="n">
        <v>4301.4</v>
      </c>
      <c r="N30" s="6" t="n">
        <v>-193990.8</v>
      </c>
      <c r="O30" s="6" t="n">
        <v>-14659.2</v>
      </c>
      <c r="P30" s="6" t="n"/>
      <c r="Q30" s="6" t="n"/>
      <c r="R30" s="6" t="n"/>
    </row>
    <row r="31">
      <c r="A31" s="6" t="inlineStr">
        <is>
          <t>(Increase)/Decrease in loans and advances to customers</t>
        </is>
      </c>
      <c r="B31" s="6" t="n"/>
      <c r="C31" s="6" t="n">
        <v>-72008.7</v>
      </c>
      <c r="D31" s="6" t="n">
        <v>-30523.7</v>
      </c>
      <c r="E31" s="6" t="n">
        <v>32301.5</v>
      </c>
      <c r="F31" s="6" t="n">
        <v>-142893.6</v>
      </c>
      <c r="G31" s="6" t="n">
        <v>-74890.3</v>
      </c>
      <c r="H31" s="6" t="n">
        <v>17558.5</v>
      </c>
      <c r="I31" s="6" t="n">
        <v>27513.9</v>
      </c>
      <c r="J31" s="6" t="n">
        <v>55258.1</v>
      </c>
      <c r="K31" s="6" t="n">
        <v>111328.8</v>
      </c>
      <c r="L31" s="6" t="n">
        <v>17554</v>
      </c>
      <c r="M31" s="6" t="n">
        <v>26948.6</v>
      </c>
      <c r="N31" s="6" t="n">
        <v>-27516.3</v>
      </c>
      <c r="O31" s="6" t="n">
        <v>-72540.60000000001</v>
      </c>
      <c r="P31" s="6" t="n"/>
      <c r="Q31" s="6" t="n"/>
      <c r="R31" s="6" t="n"/>
    </row>
    <row r="32">
      <c r="A32" s="6" t="inlineStr">
        <is>
          <t>(Increase)/Decrease in securities measured at fair value through profit or loss</t>
        </is>
      </c>
      <c r="B32" s="6" t="n"/>
      <c r="C32" s="6" t="n">
        <v>-94</v>
      </c>
      <c r="D32" s="6" t="n">
        <v>-1408.1</v>
      </c>
      <c r="E32" s="6" t="n">
        <v>5332.3</v>
      </c>
      <c r="F32" s="6" t="n">
        <v>382.3</v>
      </c>
      <c r="G32" s="6" t="n">
        <v>-1422.2</v>
      </c>
      <c r="H32" s="6" t="n">
        <v>32338.2</v>
      </c>
      <c r="I32" s="6" t="n">
        <v>352088.7</v>
      </c>
      <c r="J32" s="6" t="n">
        <v>-306393.3</v>
      </c>
      <c r="K32" s="6" t="n">
        <v>-1423.3</v>
      </c>
      <c r="L32" s="6" t="n">
        <v>31138</v>
      </c>
      <c r="M32" s="6" t="n">
        <v>-41566.2</v>
      </c>
      <c r="N32" s="6" t="n">
        <v>-3454.3</v>
      </c>
      <c r="O32" s="6" t="n">
        <v>1004.8</v>
      </c>
      <c r="P32" s="6" t="n"/>
      <c r="Q32" s="6" t="n"/>
      <c r="R32" s="6" t="n"/>
    </row>
    <row r="33">
      <c r="A33" s="6" t="inlineStr">
        <is>
          <t>Decrease/(Increase) in securities measured at FVOCI</t>
        </is>
      </c>
      <c r="B33" s="6" t="n"/>
      <c r="C33" s="6" t="n">
        <v>246077.5</v>
      </c>
      <c r="D33" s="6" t="n">
        <v>125305.6</v>
      </c>
      <c r="E33" s="6" t="n">
        <v>-460226</v>
      </c>
      <c r="F33" s="6" t="n">
        <v>-228212</v>
      </c>
      <c r="G33" s="6" t="n">
        <v>-257556.7</v>
      </c>
      <c r="H33" s="6" t="n">
        <v>120592.1</v>
      </c>
      <c r="I33" s="6" t="n">
        <v>-588526.7</v>
      </c>
      <c r="J33" s="6" t="n">
        <v>-5306.3</v>
      </c>
      <c r="K33" s="6" t="n"/>
      <c r="L33" s="6" t="n"/>
      <c r="M33" s="6" t="n"/>
      <c r="N33" s="6" t="n"/>
      <c r="O33" s="6" t="n"/>
      <c r="P33" s="6" t="n"/>
      <c r="Q33" s="6" t="n"/>
      <c r="R33" s="6" t="n"/>
    </row>
    <row r="34">
      <c r="A34" s="6" t="inlineStr">
        <is>
          <t>(Increase)/Decrease in other assets</t>
        </is>
      </c>
      <c r="B34" s="6" t="n"/>
      <c r="C34" s="6" t="n">
        <v>-3448.8</v>
      </c>
      <c r="D34" s="6" t="n">
        <v>-1017.3</v>
      </c>
      <c r="E34" s="6" t="n">
        <v>110</v>
      </c>
      <c r="F34" s="6" t="n">
        <v>-420.1</v>
      </c>
      <c r="G34" s="6" t="n">
        <v>-157.3</v>
      </c>
      <c r="H34" s="6" t="n">
        <v>255.4</v>
      </c>
      <c r="I34" s="6" t="n">
        <v>1131.6</v>
      </c>
      <c r="J34" s="6" t="n">
        <v>-1525.3</v>
      </c>
      <c r="K34" s="6" t="n">
        <v>950.4</v>
      </c>
      <c r="L34" s="6" t="n">
        <v>652.7</v>
      </c>
      <c r="M34" s="6" t="n">
        <v>102.1</v>
      </c>
      <c r="N34" s="6" t="n">
        <v>-2799.2</v>
      </c>
      <c r="O34" s="6" t="n">
        <v>183.3</v>
      </c>
      <c r="P34" s="6" t="n"/>
      <c r="Q34" s="6" t="n"/>
      <c r="R34" s="6" t="n"/>
    </row>
    <row r="35">
      <c r="A35" s="6" t="inlineStr">
        <is>
          <t>(Decrease)/Increase in deposits from banks</t>
        </is>
      </c>
      <c r="B35" s="6" t="n"/>
      <c r="C35" s="6" t="n">
        <v>-5927.9</v>
      </c>
      <c r="D35" s="6" t="n">
        <v>-553170.2</v>
      </c>
      <c r="E35" s="6" t="n">
        <v>64102.2</v>
      </c>
      <c r="F35" s="6" t="n">
        <v>436713.3</v>
      </c>
      <c r="G35" s="6" t="n">
        <v>210757.2</v>
      </c>
      <c r="H35" s="6" t="n">
        <v>-256445.6</v>
      </c>
      <c r="I35" s="6" t="n">
        <v>67737.3</v>
      </c>
      <c r="J35" s="6" t="n">
        <v>340868.6</v>
      </c>
      <c r="K35" s="6" t="n">
        <v>38490.4</v>
      </c>
      <c r="L35" s="6" t="n">
        <v>-297829.2</v>
      </c>
      <c r="M35" s="6" t="n">
        <v>76576.8</v>
      </c>
      <c r="N35" s="6" t="n">
        <v>195130.4</v>
      </c>
      <c r="O35" s="6" t="n">
        <v>51198.9</v>
      </c>
      <c r="P35" s="6" t="n"/>
      <c r="Q35" s="6" t="n"/>
      <c r="R35" s="6" t="n"/>
    </row>
    <row r="36">
      <c r="A36" s="6" t="inlineStr">
        <is>
          <t>(Decrease)/Increase in deposits from customers</t>
        </is>
      </c>
      <c r="B36" s="6" t="n"/>
      <c r="C36" s="6" t="n">
        <v>-82122.2</v>
      </c>
      <c r="D36" s="6" t="n">
        <v>160865.4</v>
      </c>
      <c r="E36" s="6" t="n">
        <v>100175.7</v>
      </c>
      <c r="F36" s="6" t="n">
        <v>-54463.8</v>
      </c>
      <c r="G36" s="6" t="n">
        <v>254821.7</v>
      </c>
      <c r="H36" s="6" t="n">
        <v>62801.5</v>
      </c>
      <c r="I36" s="6" t="n">
        <v>87794.39999999999</v>
      </c>
      <c r="J36" s="6" t="n">
        <v>-77046.7</v>
      </c>
      <c r="K36" s="6" t="n">
        <v>82666</v>
      </c>
      <c r="L36" s="6" t="n">
        <v>2577</v>
      </c>
      <c r="M36" s="6" t="n">
        <v>4322.3</v>
      </c>
      <c r="N36" s="6" t="n">
        <v>34997.5</v>
      </c>
      <c r="O36" s="6" t="n">
        <v>39858.1</v>
      </c>
      <c r="P36" s="6" t="n"/>
      <c r="Q36" s="6" t="n"/>
      <c r="R36" s="6" t="n"/>
    </row>
    <row r="37">
      <c r="A37" s="6" t="inlineStr">
        <is>
          <t>Increase/(Decrease) in repurchase agreements and other similar secured borrowing</t>
        </is>
      </c>
      <c r="B37" s="6" t="n"/>
      <c r="C37" s="6" t="n">
        <v>33642</v>
      </c>
      <c r="D37" s="6" t="n">
        <v>-24583.5</v>
      </c>
      <c r="E37" s="6" t="n">
        <v>24574.5</v>
      </c>
      <c r="F37" s="6" t="n">
        <v>33139.3</v>
      </c>
      <c r="G37" s="6" t="n"/>
      <c r="H37" s="6" t="n"/>
      <c r="I37" s="6" t="n"/>
      <c r="J37" s="6" t="n"/>
      <c r="K37" s="6" t="n"/>
      <c r="L37" s="6" t="n"/>
      <c r="M37" s="6" t="n"/>
      <c r="N37" s="6" t="n"/>
      <c r="O37" s="6" t="n"/>
      <c r="P37" s="6" t="n"/>
      <c r="Q37" s="6" t="n"/>
      <c r="R37" s="6" t="n"/>
    </row>
    <row r="38">
      <c r="A38" s="6" t="inlineStr">
        <is>
          <t>(Increase)/Decrease in derivative financial instruments (net)</t>
        </is>
      </c>
      <c r="B38" s="6" t="n"/>
      <c r="C38" s="6" t="n"/>
      <c r="D38" s="6" t="n">
        <v>-95.59999999999999</v>
      </c>
      <c r="E38" s="6" t="n">
        <v>-315.2</v>
      </c>
      <c r="F38" s="6" t="n">
        <v>4246.1</v>
      </c>
      <c r="G38" s="6" t="n">
        <v>-3764.2</v>
      </c>
      <c r="H38" s="6" t="n">
        <v>-3243.5</v>
      </c>
      <c r="I38" s="6" t="n"/>
      <c r="J38" s="6" t="n"/>
      <c r="K38" s="6" t="n"/>
      <c r="L38" s="6" t="n"/>
      <c r="M38" s="6" t="n"/>
      <c r="N38" s="6" t="n"/>
      <c r="O38" s="6" t="n"/>
      <c r="P38" s="6" t="n"/>
      <c r="Q38" s="6" t="n"/>
      <c r="R38" s="6" t="n"/>
    </row>
    <row r="39">
      <c r="A39" s="6" t="inlineStr">
        <is>
          <t>Increase/(Decrease) in other liabilities</t>
        </is>
      </c>
      <c r="B39" s="6" t="n"/>
      <c r="C39" s="6" t="n">
        <v>3811.4</v>
      </c>
      <c r="D39" s="6" t="n">
        <v>-7814.9</v>
      </c>
      <c r="E39" s="6" t="n">
        <v>7924</v>
      </c>
      <c r="F39" s="6" t="n">
        <v>2062.3</v>
      </c>
      <c r="G39" s="6" t="n">
        <v>-648.2</v>
      </c>
      <c r="H39" s="6" t="n">
        <v>688.2</v>
      </c>
      <c r="I39" s="6" t="n">
        <v>1581.2</v>
      </c>
      <c r="J39" s="6" t="n">
        <v>444.8</v>
      </c>
      <c r="K39" s="6" t="n">
        <v>-660.5</v>
      </c>
      <c r="L39" s="6" t="n">
        <v>123.3</v>
      </c>
      <c r="M39" s="6" t="n">
        <v>120.7</v>
      </c>
      <c r="N39" s="6" t="n">
        <v>930.9</v>
      </c>
      <c r="O39" s="6" t="n">
        <v>274.7</v>
      </c>
      <c r="P39" s="6" t="n"/>
      <c r="Q39" s="6" t="n"/>
      <c r="R39" s="6" t="n"/>
    </row>
    <row r="40">
      <c r="A40" s="6" t="inlineStr">
        <is>
          <t>Interest income received</t>
        </is>
      </c>
      <c r="B40" s="6" t="n"/>
      <c r="C40" s="6" t="n">
        <v>81396.60000000001</v>
      </c>
      <c r="D40" s="6" t="n">
        <v>109627</v>
      </c>
      <c r="E40" s="6" t="n">
        <v>70337.7</v>
      </c>
      <c r="F40" s="6" t="n"/>
      <c r="G40" s="6" t="n"/>
      <c r="H40" s="6" t="n"/>
      <c r="I40" s="6" t="n"/>
      <c r="J40" s="6" t="n"/>
      <c r="K40" s="6" t="n"/>
      <c r="L40" s="6" t="n"/>
      <c r="M40" s="6" t="n"/>
      <c r="N40" s="6" t="n"/>
      <c r="O40" s="6" t="n"/>
      <c r="P40" s="6" t="n"/>
      <c r="Q40" s="6" t="n"/>
      <c r="R40" s="6" t="n"/>
    </row>
    <row r="41">
      <c r="A41" s="6" t="inlineStr">
        <is>
          <t>Interest expense paid</t>
        </is>
      </c>
      <c r="B41" s="6" t="n"/>
      <c r="C41" s="6" t="n">
        <v>-41972.7</v>
      </c>
      <c r="D41" s="6" t="n">
        <v>-35626.4</v>
      </c>
      <c r="E41" s="6" t="n">
        <v>-10111.2</v>
      </c>
      <c r="F41" s="6" t="n"/>
      <c r="G41" s="6" t="n"/>
      <c r="H41" s="6" t="n"/>
      <c r="I41" s="6" t="n"/>
      <c r="J41" s="6" t="n"/>
      <c r="K41" s="6" t="n"/>
      <c r="L41" s="6" t="n"/>
      <c r="M41" s="6" t="n"/>
      <c r="N41" s="6" t="n"/>
      <c r="O41" s="6" t="n"/>
      <c r="P41" s="6" t="n"/>
      <c r="Q41" s="6" t="n"/>
      <c r="R41" s="6" t="n"/>
    </row>
    <row r="42">
      <c r="A42" s="6" t="inlineStr">
        <is>
          <t>Income tax paid</t>
        </is>
      </c>
      <c r="B42" s="6" t="n"/>
      <c r="C42" s="6" t="n">
        <v>-8984.1</v>
      </c>
      <c r="D42" s="6" t="n">
        <v>-15607.8</v>
      </c>
      <c r="E42" s="6" t="n">
        <v>-7451</v>
      </c>
      <c r="F42" s="6" t="n">
        <v>-1286.3</v>
      </c>
      <c r="G42" s="6" t="n">
        <v>-6547.3</v>
      </c>
      <c r="H42" s="6" t="n">
        <v>-4395.4</v>
      </c>
      <c r="I42" s="6" t="n">
        <v>-4299.3</v>
      </c>
      <c r="J42" s="6" t="n">
        <v>0</v>
      </c>
      <c r="K42" s="6" t="n">
        <v>-483.2</v>
      </c>
      <c r="L42" s="6" t="n">
        <v>-1963.6</v>
      </c>
      <c r="M42" s="6" t="n">
        <v>-2596.4</v>
      </c>
      <c r="N42" s="6" t="n">
        <v>-2194.6</v>
      </c>
      <c r="O42" s="6" t="n">
        <v>-1674.3</v>
      </c>
      <c r="P42" s="6" t="n"/>
      <c r="Q42" s="6" t="n"/>
      <c r="R42" s="6" t="n"/>
    </row>
    <row r="43">
      <c r="A43" s="5" t="inlineStr">
        <is>
          <t>Net cash generated from/(used in) operating activities</t>
        </is>
      </c>
      <c r="B43" s="5" t="n"/>
      <c r="C43" s="5" t="n">
        <v>162230.1</v>
      </c>
      <c r="D43" s="5" t="n">
        <v>-276726.4</v>
      </c>
      <c r="E43" s="5" t="n">
        <v>-197184.8</v>
      </c>
      <c r="F43" s="5" t="n">
        <v>84381.3</v>
      </c>
      <c r="G43" s="5" t="n">
        <v>207192.8</v>
      </c>
      <c r="H43" s="5" t="n">
        <v>-76511.5</v>
      </c>
      <c r="I43" s="5" t="n">
        <v>-51112.4</v>
      </c>
      <c r="J43" s="5" t="n">
        <v>74286.2</v>
      </c>
      <c r="K43" s="5" t="n">
        <v>225723.4</v>
      </c>
      <c r="L43" s="5" t="n">
        <v>-74876.39999999999</v>
      </c>
      <c r="M43" s="5" t="n">
        <v>80335.5</v>
      </c>
      <c r="N43" s="5" t="n">
        <v>11924.7</v>
      </c>
      <c r="O43" s="5" t="n">
        <v>11157.9</v>
      </c>
      <c r="P43" s="5" t="n"/>
      <c r="Q43" s="5" t="n"/>
      <c r="R43" s="5" t="n"/>
    </row>
    <row r="44">
      <c r="A44" s="5" t="inlineStr">
        <is>
          <t>Investing activities</t>
        </is>
      </c>
      <c r="B44" s="6" t="n"/>
      <c r="C44" s="6" t="n"/>
      <c r="D44" s="6" t="n"/>
      <c r="E44" s="6" t="n"/>
      <c r="F44" s="6" t="n"/>
      <c r="G44" s="6" t="n"/>
      <c r="H44" s="6" t="n"/>
      <c r="I44" s="6" t="n"/>
      <c r="J44" s="6" t="n"/>
      <c r="K44" s="6" t="n"/>
      <c r="L44" s="6" t="n"/>
      <c r="M44" s="6" t="n"/>
      <c r="N44" s="6" t="n"/>
      <c r="O44" s="6" t="n"/>
      <c r="P44" s="6" t="n"/>
      <c r="Q44" s="6" t="n"/>
      <c r="R44" s="6" t="n"/>
    </row>
    <row r="45">
      <c r="A45" s="6" t="inlineStr">
        <is>
          <t>Acquisition of securities measured at amortised cost</t>
        </is>
      </c>
      <c r="B45" s="6" t="n"/>
      <c r="C45" s="6" t="n">
        <v>-63438.6</v>
      </c>
      <c r="D45" s="6" t="n">
        <v>-21488.7</v>
      </c>
      <c r="E45" s="6" t="n">
        <v>-38525.3</v>
      </c>
      <c r="F45" s="6" t="n">
        <v>-31205.1</v>
      </c>
      <c r="G45" s="6" t="n">
        <v>-42925.8</v>
      </c>
      <c r="H45" s="6" t="n">
        <v>-43241.9</v>
      </c>
      <c r="I45" s="6" t="n">
        <v>-36902.9</v>
      </c>
      <c r="J45" s="6" t="n"/>
      <c r="K45" s="6" t="n"/>
      <c r="L45" s="6" t="n"/>
      <c r="M45" s="6" t="n"/>
      <c r="N45" s="6" t="n"/>
      <c r="O45" s="6" t="n"/>
      <c r="P45" s="6" t="n"/>
      <c r="Q45" s="6" t="n"/>
      <c r="R45" s="6" t="n"/>
    </row>
    <row r="46">
      <c r="A46" s="6" t="inlineStr">
        <is>
          <t>Proceeds from redemption of securities measured at amortised cost</t>
        </is>
      </c>
      <c r="B46" s="6" t="n"/>
      <c r="C46" s="6" t="n">
        <v>54622.5</v>
      </c>
      <c r="D46" s="6" t="n">
        <v>16939.9</v>
      </c>
      <c r="E46" s="6" t="n">
        <v>22359.8</v>
      </c>
      <c r="F46" s="6" t="n">
        <v>23472.9</v>
      </c>
      <c r="G46" s="6" t="n">
        <v>4299</v>
      </c>
      <c r="H46" s="6" t="n">
        <v>13156</v>
      </c>
      <c r="I46" s="6" t="n">
        <v>49270.7</v>
      </c>
      <c r="J46" s="6" t="n"/>
      <c r="K46" s="6" t="n"/>
      <c r="L46" s="6" t="n"/>
      <c r="M46" s="6" t="n"/>
      <c r="N46" s="6" t="n"/>
      <c r="O46" s="6" t="n"/>
      <c r="P46" s="6" t="n"/>
      <c r="Q46" s="6" t="n"/>
      <c r="R46" s="6" t="n"/>
    </row>
    <row r="47">
      <c r="A47" s="6" t="inlineStr">
        <is>
          <t>Net change in securities measured at amortised cost (pre-FY2018 combined presentation)</t>
        </is>
      </c>
      <c r="B47" s="6" t="n"/>
      <c r="C47" s="6" t="n"/>
      <c r="D47" s="6" t="n"/>
      <c r="E47" s="6" t="n"/>
      <c r="F47" s="6" t="n"/>
      <c r="G47" s="6" t="n"/>
      <c r="H47" s="6" t="n"/>
      <c r="I47" s="6" t="n"/>
      <c r="J47" s="6" t="n">
        <v>22411.6</v>
      </c>
      <c r="K47" s="6" t="n">
        <v>32879.9</v>
      </c>
      <c r="L47" s="6" t="n">
        <v>-7354.2</v>
      </c>
      <c r="M47" s="6" t="n">
        <v>24065.6</v>
      </c>
      <c r="N47" s="6" t="n">
        <v>-17586.8</v>
      </c>
      <c r="O47" s="6" t="n">
        <v>-8861.700000000001</v>
      </c>
      <c r="P47" s="6" t="n"/>
      <c r="Q47" s="6" t="n"/>
      <c r="R47" s="6" t="n"/>
    </row>
    <row r="48">
      <c r="A48" s="6" t="inlineStr">
        <is>
          <t>Interest income received (investing)</t>
        </is>
      </c>
      <c r="B48" s="6" t="n"/>
      <c r="C48" s="6" t="n">
        <v>10994.9</v>
      </c>
      <c r="D48" s="6" t="n">
        <v>12221.3</v>
      </c>
      <c r="E48" s="6" t="n">
        <v>14429</v>
      </c>
      <c r="F48" s="6" t="n"/>
      <c r="G48" s="6" t="n"/>
      <c r="H48" s="6" t="n"/>
      <c r="I48" s="6" t="n"/>
      <c r="J48" s="6" t="n"/>
      <c r="K48" s="6" t="n"/>
      <c r="L48" s="6" t="n"/>
      <c r="M48" s="6" t="n"/>
      <c r="N48" s="6" t="n"/>
      <c r="O48" s="6" t="n"/>
      <c r="P48" s="6" t="n"/>
      <c r="Q48" s="6" t="n"/>
      <c r="R48" s="6" t="n"/>
    </row>
    <row r="49">
      <c r="A49" s="6" t="inlineStr">
        <is>
          <t>Acquisition of property and equipment</t>
        </is>
      </c>
      <c r="B49" s="6" t="n"/>
      <c r="C49" s="6" t="n">
        <v>-48.6</v>
      </c>
      <c r="D49" s="6" t="n">
        <v>-48.4</v>
      </c>
      <c r="E49" s="6" t="n">
        <v>-21.3</v>
      </c>
      <c r="F49" s="6" t="n">
        <v>-25</v>
      </c>
      <c r="G49" s="6" t="n">
        <v>-223</v>
      </c>
      <c r="H49" s="6" t="n">
        <v>-149.8</v>
      </c>
      <c r="I49" s="6" t="n">
        <v>-111.4</v>
      </c>
      <c r="J49" s="6" t="n">
        <v>-39.2</v>
      </c>
      <c r="K49" s="6" t="n">
        <v>-199.9</v>
      </c>
      <c r="L49" s="6" t="n">
        <v>-937</v>
      </c>
      <c r="M49" s="6" t="n">
        <v>-77.5</v>
      </c>
      <c r="N49" s="6" t="n">
        <v>-129.2</v>
      </c>
      <c r="O49" s="6" t="n">
        <v>-233.4</v>
      </c>
      <c r="P49" s="6" t="n"/>
      <c r="Q49" s="6" t="n"/>
      <c r="R49" s="6" t="n"/>
    </row>
    <row r="50">
      <c r="A50" s="6" t="inlineStr">
        <is>
          <t>Proceeds from sale of property and equipment</t>
        </is>
      </c>
      <c r="B50" s="6" t="n"/>
      <c r="C50" s="6" t="n"/>
      <c r="D50" s="6" t="n"/>
      <c r="E50" s="6" t="n"/>
      <c r="F50" s="6" t="n"/>
      <c r="G50" s="6" t="n"/>
      <c r="H50" s="6" t="n"/>
      <c r="I50" s="6" t="n"/>
      <c r="J50" s="6" t="n"/>
      <c r="K50" s="6" t="n">
        <v>0</v>
      </c>
      <c r="L50" s="6" t="n">
        <v>34.3</v>
      </c>
      <c r="M50" s="6" t="n">
        <v>0</v>
      </c>
      <c r="N50" s="6" t="n">
        <v>18.5</v>
      </c>
      <c r="O50" s="6" t="n"/>
      <c r="P50" s="6" t="n"/>
      <c r="Q50" s="6" t="n"/>
      <c r="R50" s="6" t="n"/>
    </row>
    <row r="51">
      <c r="A51" s="6" t="inlineStr">
        <is>
          <t>Additions to Right-of-use assets</t>
        </is>
      </c>
      <c r="B51" s="6" t="n"/>
      <c r="C51" s="6" t="n"/>
      <c r="D51" s="6" t="n"/>
      <c r="E51" s="6" t="n"/>
      <c r="F51" s="6" t="n">
        <v>-33.9</v>
      </c>
      <c r="G51" s="6" t="n">
        <v>-416.1</v>
      </c>
      <c r="H51" s="6" t="n"/>
      <c r="I51" s="6" t="n"/>
      <c r="J51" s="6" t="n"/>
      <c r="K51" s="6" t="n"/>
      <c r="L51" s="6" t="n"/>
      <c r="M51" s="6" t="n"/>
      <c r="N51" s="6" t="n"/>
      <c r="O51" s="6" t="n"/>
      <c r="P51" s="6" t="n"/>
      <c r="Q51" s="6" t="n"/>
      <c r="R51" s="6" t="n"/>
    </row>
    <row r="52">
      <c r="A52" s="6" t="inlineStr">
        <is>
          <t>Acquisition of intangible assets</t>
        </is>
      </c>
      <c r="B52" s="6" t="n"/>
      <c r="C52" s="6" t="n">
        <v>-1700.5</v>
      </c>
      <c r="D52" s="6" t="n">
        <v>-264</v>
      </c>
      <c r="E52" s="6" t="n">
        <v>-397.7</v>
      </c>
      <c r="F52" s="6" t="n">
        <v>-227.3</v>
      </c>
      <c r="G52" s="6" t="n">
        <v>-299.7</v>
      </c>
      <c r="H52" s="6" t="n">
        <v>-857</v>
      </c>
      <c r="I52" s="6" t="n">
        <v>-1004.8</v>
      </c>
      <c r="J52" s="6" t="n">
        <v>-652.2</v>
      </c>
      <c r="K52" s="6" t="n">
        <v>-222.6</v>
      </c>
      <c r="L52" s="6" t="n">
        <v>-312.9</v>
      </c>
      <c r="M52" s="6" t="n">
        <v>-537.4</v>
      </c>
      <c r="N52" s="6" t="n">
        <v>-296.6</v>
      </c>
      <c r="O52" s="6" t="n">
        <v>-320.2</v>
      </c>
      <c r="P52" s="6" t="n"/>
      <c r="Q52" s="6" t="n"/>
      <c r="R52" s="6" t="n"/>
    </row>
    <row r="53">
      <c r="A53" s="5" t="inlineStr">
        <is>
          <t>Net cash generated from/(used in) investing activities</t>
        </is>
      </c>
      <c r="B53" s="5" t="n"/>
      <c r="C53" s="5" t="n">
        <v>429.6</v>
      </c>
      <c r="D53" s="5" t="n">
        <v>7360.1</v>
      </c>
      <c r="E53" s="5" t="n">
        <v>-2155.5</v>
      </c>
      <c r="F53" s="5" t="n">
        <v>-8018.4</v>
      </c>
      <c r="G53" s="5" t="n">
        <v>-39565.5</v>
      </c>
      <c r="H53" s="5" t="n">
        <v>-31092.8</v>
      </c>
      <c r="I53" s="5" t="n">
        <v>11251.6</v>
      </c>
      <c r="J53" s="5" t="n">
        <v>21720.2</v>
      </c>
      <c r="K53" s="5" t="n">
        <v>32457.4</v>
      </c>
      <c r="L53" s="5" t="n">
        <v>-8569.799999999999</v>
      </c>
      <c r="M53" s="5" t="n">
        <v>23450.8</v>
      </c>
      <c r="N53" s="5" t="n">
        <v>-17994.2</v>
      </c>
      <c r="O53" s="5" t="n">
        <v>-9415.299999999999</v>
      </c>
      <c r="P53" s="5" t="n"/>
      <c r="Q53" s="5" t="n"/>
      <c r="R53" s="5" t="n"/>
    </row>
    <row r="54">
      <c r="A54" s="5" t="inlineStr">
        <is>
          <t>Financing activities</t>
        </is>
      </c>
      <c r="B54" s="6" t="n"/>
      <c r="C54" s="6" t="n"/>
      <c r="D54" s="6" t="n"/>
      <c r="E54" s="6" t="n"/>
      <c r="F54" s="6" t="n"/>
      <c r="G54" s="6" t="n"/>
      <c r="H54" s="6" t="n"/>
      <c r="I54" s="6" t="n"/>
      <c r="J54" s="6" t="n"/>
      <c r="K54" s="6" t="n"/>
      <c r="L54" s="6" t="n"/>
      <c r="M54" s="6" t="n"/>
      <c r="N54" s="6" t="n"/>
      <c r="O54" s="6" t="n"/>
      <c r="P54" s="6" t="n"/>
      <c r="Q54" s="6" t="n"/>
      <c r="R54" s="6" t="n"/>
    </row>
    <row r="55">
      <c r="A55" s="6" t="inlineStr">
        <is>
          <t>Repayment of lease liability/obligation</t>
        </is>
      </c>
      <c r="B55" s="6" t="n"/>
      <c r="C55" s="6" t="n">
        <v>-525.9</v>
      </c>
      <c r="D55" s="6" t="n">
        <v>-744.7</v>
      </c>
      <c r="E55" s="6" t="n">
        <v>-666.7</v>
      </c>
      <c r="F55" s="6" t="n">
        <v>-788.4</v>
      </c>
      <c r="G55" s="6" t="n">
        <v>-141.8</v>
      </c>
      <c r="H55" s="6" t="n">
        <v>-448.2</v>
      </c>
      <c r="I55" s="6" t="n"/>
      <c r="J55" s="6" t="n"/>
      <c r="K55" s="6" t="n"/>
      <c r="L55" s="6" t="n"/>
      <c r="M55" s="6" t="n"/>
      <c r="N55" s="6" t="n"/>
      <c r="O55" s="6" t="n"/>
      <c r="P55" s="6" t="n"/>
      <c r="Q55" s="6" t="n"/>
      <c r="R55" s="6" t="n"/>
    </row>
    <row r="56">
      <c r="A56" s="6" t="inlineStr">
        <is>
          <t>Addition of new lease obligation</t>
        </is>
      </c>
      <c r="B56" s="6" t="n"/>
      <c r="C56" s="6" t="n"/>
      <c r="D56" s="6" t="n"/>
      <c r="E56" s="6" t="n"/>
      <c r="F56" s="6" t="n">
        <v>33.9</v>
      </c>
      <c r="G56" s="6" t="n">
        <v>416.1</v>
      </c>
      <c r="H56" s="6" t="n"/>
      <c r="I56" s="6" t="n"/>
      <c r="J56" s="6" t="n"/>
      <c r="K56" s="6" t="n"/>
      <c r="L56" s="6" t="n"/>
      <c r="M56" s="6" t="n"/>
      <c r="N56" s="6" t="n"/>
      <c r="O56" s="6" t="n"/>
      <c r="P56" s="6" t="n"/>
      <c r="Q56" s="6" t="n"/>
      <c r="R56" s="6" t="n"/>
    </row>
    <row r="57">
      <c r="A57" s="6" t="inlineStr">
        <is>
          <t>Interest payment on lease obligation (transition to IFRS 16)</t>
        </is>
      </c>
      <c r="B57" s="6" t="n"/>
      <c r="C57" s="6" t="n"/>
      <c r="D57" s="6" t="n"/>
      <c r="E57" s="6" t="n"/>
      <c r="F57" s="6" t="n"/>
      <c r="G57" s="6" t="n">
        <v>0</v>
      </c>
      <c r="H57" s="6" t="n">
        <v>-26.3</v>
      </c>
      <c r="I57" s="6" t="n"/>
      <c r="J57" s="6" t="n"/>
      <c r="K57" s="6" t="n"/>
      <c r="L57" s="6" t="n"/>
      <c r="M57" s="6" t="n"/>
      <c r="N57" s="6" t="n"/>
      <c r="O57" s="6" t="n"/>
      <c r="P57" s="6" t="n"/>
      <c r="Q57" s="6" t="n"/>
      <c r="R57" s="6" t="n"/>
    </row>
    <row r="58">
      <c r="A58" s="6" t="inlineStr">
        <is>
          <t>Proceeds from issue of share capital</t>
        </is>
      </c>
      <c r="B58" s="6" t="n"/>
      <c r="C58" s="6" t="n"/>
      <c r="D58" s="6" t="n"/>
      <c r="E58" s="6" t="n"/>
      <c r="F58" s="6" t="n"/>
      <c r="G58" s="6" t="n"/>
      <c r="H58" s="6" t="n"/>
      <c r="I58" s="6" t="n"/>
      <c r="J58" s="6" t="n"/>
      <c r="K58" s="6" t="n"/>
      <c r="L58" s="6" t="n"/>
      <c r="M58" s="6" t="n">
        <v>30367.4</v>
      </c>
      <c r="N58" s="6" t="n">
        <v>0</v>
      </c>
      <c r="O58" s="6" t="n">
        <v>18458.1</v>
      </c>
      <c r="P58" s="6" t="n"/>
      <c r="Q58" s="6" t="n"/>
      <c r="R58" s="6" t="n"/>
    </row>
    <row r="59">
      <c r="A59" s="6" t="inlineStr">
        <is>
          <t>Dividends paid to shareholders</t>
        </is>
      </c>
      <c r="B59" s="6" t="n"/>
      <c r="C59" s="6" t="n"/>
      <c r="D59" s="6" t="n">
        <v>-14149</v>
      </c>
      <c r="E59" s="6" t="n">
        <v>-4610.9</v>
      </c>
      <c r="F59" s="6" t="n">
        <v>-6512.3</v>
      </c>
      <c r="G59" s="6" t="n"/>
      <c r="H59" s="6" t="n"/>
      <c r="I59" s="6" t="n"/>
      <c r="J59" s="6" t="n"/>
      <c r="K59" s="6" t="n"/>
      <c r="L59" s="6" t="n"/>
      <c r="M59" s="6" t="n"/>
      <c r="N59" s="6" t="n"/>
      <c r="O59" s="6" t="n"/>
      <c r="P59" s="6" t="n"/>
      <c r="Q59" s="6" t="n"/>
      <c r="R59" s="6" t="n"/>
    </row>
    <row r="60">
      <c r="A60" s="5" t="inlineStr">
        <is>
          <t>Net cash generated from/(used in) financing activities</t>
        </is>
      </c>
      <c r="B60" s="5" t="n"/>
      <c r="C60" s="5" t="n">
        <v>-525.9</v>
      </c>
      <c r="D60" s="5" t="n">
        <v>-14893.7</v>
      </c>
      <c r="E60" s="5" t="n">
        <v>-5277.6</v>
      </c>
      <c r="F60" s="5" t="n">
        <v>-7266.8</v>
      </c>
      <c r="G60" s="5" t="n">
        <v>274.2</v>
      </c>
      <c r="H60" s="5" t="n">
        <v>-474.5</v>
      </c>
      <c r="I60" s="5" t="n"/>
      <c r="J60" s="5" t="n"/>
      <c r="K60" s="5" t="n"/>
      <c r="L60" s="5" t="n"/>
      <c r="M60" s="5" t="n">
        <v>30367.4</v>
      </c>
      <c r="N60" s="5" t="n">
        <v>0</v>
      </c>
      <c r="O60" s="5" t="n">
        <v>18458.1</v>
      </c>
      <c r="P60" s="5" t="n"/>
      <c r="Q60" s="5" t="n"/>
      <c r="R60" s="5" t="n"/>
    </row>
    <row r="61">
      <c r="A61" s="5" t="inlineStr">
        <is>
          <t>Net (decrease)/increase of cash and cash equivalents</t>
        </is>
      </c>
      <c r="B61" s="5" t="n"/>
      <c r="C61" s="5" t="n">
        <v>162133.8</v>
      </c>
      <c r="D61" s="5" t="n">
        <v>-284260.1</v>
      </c>
      <c r="E61" s="5" t="n">
        <v>-204617.9</v>
      </c>
      <c r="F61" s="5" t="n">
        <v>69096.10000000001</v>
      </c>
      <c r="G61" s="5" t="n">
        <v>167901.6</v>
      </c>
      <c r="H61" s="5" t="n">
        <v>-108078.8</v>
      </c>
      <c r="I61" s="5" t="n">
        <v>-39860.8</v>
      </c>
      <c r="J61" s="5" t="n">
        <v>96006.3</v>
      </c>
      <c r="K61" s="5" t="n">
        <v>258180.8</v>
      </c>
      <c r="L61" s="5" t="n">
        <v>-83446.2</v>
      </c>
      <c r="M61" s="5" t="n">
        <v>134153.7</v>
      </c>
      <c r="N61" s="5" t="n">
        <v>-6069.5</v>
      </c>
      <c r="O61" s="5" t="n">
        <v>20200.7</v>
      </c>
      <c r="P61" s="5" t="n"/>
      <c r="Q61" s="5" t="n"/>
      <c r="R61" s="5" t="n"/>
    </row>
    <row r="62">
      <c r="A62" s="6" t="inlineStr">
        <is>
          <t>Cash and cash equivalents as at 1 January</t>
        </is>
      </c>
      <c r="B62" s="6" t="n"/>
      <c r="C62" s="6" t="n">
        <v>216831.3</v>
      </c>
      <c r="D62" s="6" t="n">
        <v>520509.8</v>
      </c>
      <c r="E62" s="6" t="n">
        <v>652769.3</v>
      </c>
      <c r="F62" s="6" t="n">
        <v>576523.2</v>
      </c>
      <c r="G62" s="6" t="n">
        <v>433198</v>
      </c>
      <c r="H62" s="6" t="n">
        <v>556093</v>
      </c>
      <c r="I62" s="6" t="n">
        <v>564977.9</v>
      </c>
      <c r="J62" s="6" t="n">
        <v>519912.3</v>
      </c>
      <c r="K62" s="6" t="n">
        <v>196648.9</v>
      </c>
      <c r="L62" s="6" t="n">
        <v>268406</v>
      </c>
      <c r="M62" s="6" t="n">
        <v>119816.1</v>
      </c>
      <c r="N62" s="6" t="n">
        <v>125827.6</v>
      </c>
      <c r="O62" s="6" t="n">
        <v>105626.9</v>
      </c>
      <c r="P62" s="6" t="n"/>
      <c r="Q62" s="6" t="n"/>
      <c r="R62" s="6" t="n"/>
    </row>
    <row r="63">
      <c r="A63" s="6" t="inlineStr">
        <is>
          <t>Effect of exchange rate changes on cash and cash equivalents (as reported, USD)</t>
        </is>
      </c>
      <c r="B63" s="6" t="n"/>
      <c r="C63" s="6" t="n">
        <v>-2406.2</v>
      </c>
      <c r="D63" s="6" t="n"/>
      <c r="E63" s="6" t="n"/>
      <c r="F63" s="6" t="n"/>
      <c r="G63" s="6" t="n"/>
      <c r="H63" s="6" t="n"/>
      <c r="I63" s="6" t="n"/>
      <c r="J63" s="6" t="n"/>
      <c r="K63" s="6" t="n"/>
      <c r="L63" s="6" t="n"/>
      <c r="M63" s="6" t="n"/>
      <c r="N63" s="6" t="n"/>
      <c r="O63" s="6" t="n"/>
      <c r="P63" s="6" t="n"/>
      <c r="Q63" s="6" t="n"/>
      <c r="R63" s="6" t="n"/>
    </row>
    <row r="64">
      <c r="A64" s="6" t="inlineStr">
        <is>
          <t>Effect of GBP/USD translation (£ conversion artefact - see FX note)</t>
        </is>
      </c>
      <c r="B64" s="6" t="n"/>
      <c r="C64" s="6" t="n">
        <v>7167.3</v>
      </c>
      <c r="D64" s="6" t="n">
        <v>-19418.4</v>
      </c>
      <c r="E64" s="6" t="n">
        <v>72358.39999999999</v>
      </c>
      <c r="F64" s="6" t="n">
        <v>7150</v>
      </c>
      <c r="G64" s="6" t="n">
        <v>-24576.4</v>
      </c>
      <c r="H64" s="6" t="n">
        <v>-14816.2</v>
      </c>
      <c r="I64" s="6" t="n">
        <v>30975.9</v>
      </c>
      <c r="J64" s="6" t="n">
        <v>-50940.7</v>
      </c>
      <c r="K64" s="6" t="n">
        <v>65082.6</v>
      </c>
      <c r="L64" s="6" t="n">
        <v>11689.1</v>
      </c>
      <c r="M64" s="6" t="n">
        <v>14436.2</v>
      </c>
      <c r="N64" s="6" t="n">
        <v>0</v>
      </c>
      <c r="O64" s="6" t="n">
        <v>0</v>
      </c>
      <c r="P64" s="6" t="n"/>
      <c r="Q64" s="6" t="n"/>
      <c r="R64" s="6" t="n"/>
    </row>
    <row r="65">
      <c r="A65" s="5" t="inlineStr">
        <is>
          <t>Cash and cash equivalents at 31 December</t>
        </is>
      </c>
      <c r="B65" s="5" t="n"/>
      <c r="C65" s="5" t="n">
        <v>383726.2</v>
      </c>
      <c r="D65" s="5" t="n">
        <v>216831.3</v>
      </c>
      <c r="E65" s="5" t="n">
        <v>520509.8</v>
      </c>
      <c r="F65" s="5" t="n">
        <v>652769.3</v>
      </c>
      <c r="G65" s="5" t="n">
        <v>576523.2</v>
      </c>
      <c r="H65" s="5" t="n">
        <v>433198</v>
      </c>
      <c r="I65" s="5" t="n">
        <v>556093</v>
      </c>
      <c r="J65" s="5" t="n">
        <v>564977.9</v>
      </c>
      <c r="K65" s="5" t="n">
        <v>519912.3</v>
      </c>
      <c r="L65" s="5" t="n">
        <v>196648.9</v>
      </c>
      <c r="M65" s="5" t="n">
        <v>268406</v>
      </c>
      <c r="N65" s="5" t="n">
        <v>119758.1</v>
      </c>
      <c r="O65" s="5" t="n">
        <v>125827.6</v>
      </c>
      <c r="P65" s="5" t="n"/>
      <c r="Q65" s="5" t="n"/>
      <c r="R65" s="5" t="n"/>
    </row>
    <row r="67" ht="520" customHeight="1">
      <c r="A67" s="8" t="inlineStr">
        <is>
          <t>Sources - all figures are Zenith Bank (UK) Limited's own Statement of Cash Flows (converted from USD to £, see FX conversion note below):
FY2024: Annual Report and Financial Statements 2024, p.44-45 (Statement of Cash Flows) - https://www.zenith-bank.co.uk/media/2273/2024-annual-report-and-financial-statements.pdf
FY2023: Annual Report and Financial Statements 2023, p.36 (Statement of Cash Flows) - https://www.zenith-bank.co.uk/media/2253/2023-annual-report-and-financial-statements.pdf
FY2022: Annual Report and Financial Statements 2022, p.34 (Statement of Cash Flows) - https://www.zenith-bank.co.uk/media/2237/2022-annual-report-and-financial-statements.pdf
FY2021: Annual Report and Financial Statements 2021, p.32 (Statement of Cash Flows) - https://www.zenith-bank.co.uk/media/2205/2021-annual-report-and-financial-statements.pdf
FY2020: Annual Report 2020, p.34 (Statement of Cash Flows) - https://www.zenith-bank.co.uk/media/2199/zenith-bank-uk-limited-annual-report-2020.pdf
FY2019: Annual Report 2019, p.23 (Statement of Cash Flows) - https://www.zenith-bank.co.uk/media/2169/258558-zenith-web.pdf
FY2018: Annual Report and Financial Statements 2018, p.21 (Statement of Cash Flows) - https://www.zenith-bank.co.uk/media/2151/2018-annual-report.pdf
FY2017: Annual Report and Financial Statements 2017, p.20 (Statement of Cash Flows) - https://www.zenith-bank.co.uk/media/2142/2017-annual-report-and-financial-statements.pdf
FY2016: Annual Report and Accounts 2016, p.12 (Statement of Cash Flows) - https://www.zenith-bank.co.uk/media/1009/statutory_accounts_year_ended_31st_december_2016.pdf
FY2015: Annual Report and Financial Statements 2015, p.13 (Statement of cash flows) - https://www.zenith-bank.co.uk/media/1011/zenith_bank_-uk-_ltd_-_annual_report_and_financial_statements_2015.pdf
FY2014: Annual Report and Financial Statements 2014, p.13 (Statement of cash flows) - https://www.zenith-bank.co.uk/media/1010/zenith_bank_-uk-_ltd_-_annual_report_and_accounts_2014.pdf
FY2025 cash flow is blank: no FY2025 Annual Report has been published yet (only the FY2025 Pillar 3 disclosure is out so far) - Pillar 3 sheets are fully populated for FY2025.
Note: FY2021's own report presents operating cash flow more simply than later years - net interest is not separately reversed out of profit and re-added on a cash basis (no 'Interest income'/'Interest expense' adjustment lines, no 'Interest income received'/'Interest expense paid' cash lines); FY2022 onward introduced this more granular presentation. Blank cells for FY2021 on those rows reflect this, not missing data. FY2014-FY2020's own reports present operating cash flow even more simply than FY2021 - none of them separately reverse out net interest on a cash basis at all (that level of granularity was only introduced FY2022 onward); blank cells for FY2014-FY2020 on those specific reconciliation rows reflect this, not missing data. FY2014-FY2017 (pre-IFRS 9) show a single 'Impairment provision charge' line rather than the IFRS 9-era split used from FY2018; FY2014 shows none at all (the Bank recognised zero impairment charge that year, per its own report). FY2019-FY2020 add 'Interest expense (transition to IFRS 16)'/lease-related lines not present in earlier years, reflecting the Bank's genuine IFRS 16 adoption (1 January 2019) - blank, not zero, for years before that transition.
Activity-total rows may be off by up to £0.2k from summing the visible line items above them, since each £ line is independently rounded to 1 decimal place before summing; the full statement ties exactly end-to-end via the net change, opening balance, exchange-rate-effect and translation-effect lines (verified to the penny in £'000 terms for every populated year).
FY2013: Financial Statements for the year ended 31 December 2013, p.12 (Consolidated statement of cash flows) - https://find-and-update.company-information.service.gov.uk/company/05713749/filing-history/MzEwNDk3MzAyNmFkaXF6a2N4/document?format=pdf&amp;download=0
FY2012: Financial Statements as at 31 December 2012, p.11 (Statement of cash flows, FY2013's own FY2012 comparative column) - https://find-and-update.company-information.service.gov.uk/company/05713749/filing-history/MzEwNDk3MzAyNmFkaXF6a2N4/document?format=pdf&amp;download=0 (cross-checked against FY2012's own Annual Report, same document as the FY2012 sources row above)
FY2009-FY2011 cash flow is blank: these years' own Annual Reports contain no Statement of Cash Flows at all (see HD-073 extension note below) - a genuine, disclosed absence.
ENTITY NOTE: Zenith Bank (UK) Limited (FRN 451720) is a UK subsidiary of Zenith Bank Plc (Nigeria). Unlike several other foreign-subsidiary banks in this workbook series (ICICI Bank UK, Philippine National Bank Europe, Citibank UK, State Bank of India UK), it prepares full financial statements under UK-adopted International Accounting Standards (not FRS 101/102 reduced disclosure), including a genuine Statement of Cash Flows every year - no cash-flow exemption applies. The Bank's own capital structure is CET1-only (no AT1 or Tier 2 instruments), so CET1 capital = Tier 1 capital = Total capital in every year shown.
FX CONVERSION NOTE: Zenith Bank (UK) Limited reports in US Dollars. This workbook converts every $ amount to £ for consistency with the rest of this series, following the same methodology established for SMBC Bank International plc: point-in-time/balance figures (capital, RWA, leverage exposure, HQLA, cash balances) use the Bank of England GBP/USD SPOT rate as at that fiscal year-end (31 December); flow figures (every cash flow statement line item) use the AVERAGE of Bank of England rates over that calendar year. FY2020-FY2025 rates are via poundsterlinglive.com's published Bank of England archive; FY2014-FY2019 rates (added under HD-048) were pulled directly from the Bank of England's own Interactive Statistical Database (series XUDLGBD, spot exchange rate US dollar into Sterling), inverted and rounded to 4dp - the same underlying BoE series poundsterlinglive republishes. Rates used (£1 = $X): 31 Dec 2013 spot 1.6529 (FY2014 opening cash only); FY2014 spot 1.5608 / average 1.6465; FY2015 spot 1.4819 / average 1.5281; FY2016 spot 1.2303 / average 1.3488; FY2017 spot 1.3510 / average 1.2878; FY2018 spot 1.2770 / average 1.3335; FY2019 spot 1.3210 / average 1.2757; FY2020 spot 1.3661 / average 1.2825 (FY2020 spot pre-dates HD-048 and is kept unchanged from the original build for continuity - a fresh BoE query for the same date gives 1.3648, a ~0.1% difference attributable to archive rounding, immaterial at 1dp in £'000 terms); FY2021 spot 1.3521 / average 1.3752; FY2022 spot 1.2097 / average 1.2362; FY2023 spot 1.2732 / average 1.2439; FY2024 spot 1.2515 / average 1.2782; FY2025 spot 1.3448 / average 1.3193.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so opening + all flows + this line = closing exactly in £ terms - this line is purely an artefact of £ translation and has no bearing on the Bank's underlying USD results. This conversion was not explicitly requested for this bank (unlike SMBC) - applied for consistency with the rest of the series; flag if £'000 rather than the Bank's native US$'000 presentation is not what's wanted here.
RESTATEMENT NOTE: FY2023's own Annual Report cash flow figures (used for FY2023's column here) differ slightly from the 'restated' FY2023 comparative shown in the FY2024 Annual Report (e.g. operating activities $(344,220,013) as originally reported vs $(346,336,139) restated) - both report the same $276,069,567 closing balance, so the restatement is a reclassification between line items, not a change to overall cash movement. FY2023's own as-originally-reported figures are used throughout, consistent with this project's convention of preferring each year's own report over a later restated comparative.
HD-048 EXTENSION NOTE (2026-09-06): this workbook was extended from its original FY2021-FY2025 window back to FY2014 under wayfinder ticket HD-048, capped at FY2014 by explicit project-wide user decision even though Zenith Bank (UK) Limited's own disclosure archive genuinely extends to FY2009 (Pillar 3 pre-CRD IV/Basel III isn't considered comparable to later years, and this project caps historical depth at FY2014 across all extended banks). FY2014-FY2020 Annual Report and Financial Statements were re-sourced directly from the Bank's own live website (zenith-bank.co.uk/why-us/statutory-accounts-tax-strategy/), each verified by opening the actual PDF and checking its cover/contents page states the claimed year - this caught the site's own '2015' link actually serving a byte-identical copy of the FY2018 report (same file, two URLs); the genuine FY2015 Annual Report was recovered from Internet Archive Wayback Machine crawl data instead (media/1011). FY2014-FY2015 Pillar 3 disclosures were similarly recovered from Wayback Machine captures of the Bank's pre-2018 site (see Pillar 3 sources note). No Pillar 3 disclosure document for FY2016-FY2020 could be found on the live site or in the Wayback Machine despite a thorough search (CDX API queries against every plausible URL pattern, including two specific leads from an earlier interrupted session that both proved to be unarchived 404s on further verification) - the Bank's Pillar 3 page itself was archived several times across those years and confirms the underlying PDF links existed at the time, but the PDF binaries themselves were never crawled by the Wayback Machine. All 11 Pillar 3 metric sheets and the RWA Breakdown sheet are therefore genuinely blank for FY2016-FY2020 (a real gap in the recoverable public record, not an oversight) - Annual Report-sourced sheets (Balance Sheet, P&amp;L, Statement of Changes in Equity, Cash Flow Statement, Asset Quality) are fully populated for all of FY2014-FY2020.
HD-073 EXTENSION NOTE (2026-09-06/07): this workbook was extended from its FY2014 floor back to FY2009 under wayfinder ticket HD-073, using the Bank's own statutory accounts recovered from Companies House (company 05713749) - the Bank's own website archive does not go back this far. CURRENCY: FY2009-FY2013 are reported by the Bank natively in GBP (its redenomination to USD, see the FX conversion note above, happened during 2013/2014) - these 5 years require NO FX conversion at all and are shown as £'000 directly (see stock2()/flow2()/opening_cash2() in this script). STATEMENT AVAILABILITY: FY2012 and FY2013 have full IFRS-style statements (Statement of Comprehensive Income, Statement of Financial Position, Statement of Changes in Equity, Statement of Cash Flows), all populated here. FY2009-FY2011 pre-date the Bank's IFRS adoption entirely - each year's own report contains only a 'Profit and loss account' and 'Balance sheet' under old UK GAAP, and each explicitly states 'There are no recognised gains or losses for the year other than as stated above. Accordingly no Statement of Total Recognised Gains and Losses has been prepared' and contains no Statement of Cash Flows at all - a genuine, disclosed absence (not a small-company cash-flow exemption assumption), so the Statement of Changes in Equity and Cash Flow Statement sheets are genuinely blank for FY2009-FY2011. PRESENTATION BRIDGE (Balance Sheet, FY2009-FY2011): these years predate the Trading/Investment securities split (a single 'Securities' line is shown here as 'Securities measured at amortised cost') and the Deposits by banks/corporates split shown from FY2012 ('Deposits by corporates' maps to 'Deposits from customers', consistent with later years' convention); 'Other assets' combines the Bank's own separate 'Other assets' and 'Prepayments' lines (no dedicated Prepayments row exists in this sheet's modern label set); 'Other liabilities' holds the Bank's own 'Accrued expenses' line. FY2009's own report does not separately disclose a 'Cash' line at all (folded into 'Loans and advances to banks', £275,505,662) - FY2010's own report later reclassifies out a £35,421 'Cash' balance for its FY2009 comparative; FY2009's own as-originally-reported combined figure is used here, per this project's convention of preferring each year's own report. PRESENTATION BRIDGE (P&amp;L, FY2009-FY2010): neither year separately discloses Personnel expenses/Depreciation and amortisation - a single 'Administrative expenses' line is shown here as 'Other expenses' (Personnel expenses/Depreciation and amortisation blank, not zero, for these two years only). RESTATEMENT NOTE: FY2011's own report (profit before tax £5,104,963, profit for the year £3,622,457) differs from the FY2012 Annual Report's own restated FY2011 IFRS comparative (profit before tax £4,973,686, profit for the year £3,491,180) - a reclassification between interest/fee/expense lines under the Bank's FY2012 IFRS conversion, not a change to the audited FY2011 result. FY2011's own report figures are used throughout, consistent with this project's convention of preferring each year's own report over a later restated comparative. Similarly, FY2009's own report labels ('Interest receivable', 'Fees &amp; commissions receivable', 'Exchange profits') differ from FY2010's own report's FY2009 comparative labels ('Interest earned', 'Fees &amp; commission earned', 'Trading profits (Net)') with a like-for-like £518,750 shift between the interest and fee/trading lines - Operating income and Profit for the year are identical either way; FY2009's own report figures are used. BRIDGE GAP (FY2013/FY2014 boundary): FY2013's own report shows closing Total equity of £74,509,003 and closing cash of £119,758,144; the Bank's own FY2014 Annual Report separately expresses its 1 January 2014 opening position in USD (used, unchanged, by the pre-existing FY2014 opening rows in this workbook) which back-converts via the 31 Dec 2013 spot rate to approximately £74,543,010 total equity and £119,819,001 opening cash - a small (~0.05%) gap attributable to the Bank's own USD-conversion/rounding at the point of redenomination, not reconciled further; both figures are shown exactly as each source discloses them.</t>
        </is>
      </c>
    </row>
  </sheetData>
  <mergeCells count="1">
    <mergeCell ref="A67:R6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Zenith Bank (UK) Limited — Asset Quality</t>
        </is>
      </c>
    </row>
    <row r="2">
      <c r="A2" s="2" t="inlineStr">
        <is>
          <t>£'000, converted from USD - see source note at bottom for FX methodology and rates used. FY2025 blank (no FY2025 Annual Report yet).</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c r="G3" s="4" t="inlineStr">
        <is>
          <t>FY2020 (£'000, conv. from USD)</t>
        </is>
      </c>
      <c r="H3" s="4" t="inlineStr">
        <is>
          <t>FY2019 (£'000, conv. from USD)</t>
        </is>
      </c>
      <c r="I3" s="4" t="inlineStr">
        <is>
          <t>FY2018 (£'000, conv. from USD)</t>
        </is>
      </c>
      <c r="J3" s="4" t="inlineStr">
        <is>
          <t>FY2017 (£'000, conv. from USD)</t>
        </is>
      </c>
      <c r="K3" s="4" t="inlineStr">
        <is>
          <t>FY2016 (£'000, conv. from USD)</t>
        </is>
      </c>
      <c r="L3" s="4" t="inlineStr">
        <is>
          <t>FY2015 (£'000, conv. from USD)</t>
        </is>
      </c>
      <c r="M3" s="4" t="inlineStr">
        <is>
          <t>FY2014 (£'000, conv. from USD)</t>
        </is>
      </c>
    </row>
    <row r="4">
      <c r="A4" s="5" t="inlineStr">
        <is>
          <t>Loans and advances to customers</t>
        </is>
      </c>
      <c r="B4" s="6" t="n"/>
      <c r="C4" s="6" t="n"/>
      <c r="D4" s="6" t="n"/>
      <c r="E4" s="6" t="n"/>
      <c r="F4" s="6" t="n"/>
      <c r="G4" s="6" t="n"/>
      <c r="H4" s="6" t="n"/>
      <c r="I4" s="6" t="n"/>
      <c r="J4" s="6" t="n"/>
      <c r="K4" s="6" t="n"/>
      <c r="L4" s="6" t="n"/>
      <c r="M4" s="6" t="n"/>
    </row>
    <row r="5">
      <c r="A5" s="6" t="inlineStr">
        <is>
          <t>Gross exposure</t>
        </is>
      </c>
      <c r="B5" s="6" t="n"/>
      <c r="C5" s="6" t="n">
        <v>357098.8</v>
      </c>
      <c r="D5" s="6" t="n">
        <v>282475.4</v>
      </c>
      <c r="E5" s="6" t="n">
        <v>264759.8</v>
      </c>
      <c r="F5" s="6" t="n">
        <v>265839.1</v>
      </c>
      <c r="G5" s="6" t="n">
        <v>119318.1</v>
      </c>
      <c r="H5" s="6" t="n">
        <v>51225.3</v>
      </c>
      <c r="I5" s="6" t="n">
        <v>70531</v>
      </c>
      <c r="J5" s="6" t="n">
        <v>114605</v>
      </c>
      <c r="K5" s="6" t="n">
        <v>183473.6</v>
      </c>
      <c r="L5" s="6" t="n">
        <v>253652.7</v>
      </c>
      <c r="M5" s="6" t="n">
        <v>252674.4</v>
      </c>
    </row>
    <row r="6">
      <c r="A6" s="6" t="inlineStr">
        <is>
          <t>IFRS 9 impairment allowance</t>
        </is>
      </c>
      <c r="B6" s="6" t="n"/>
      <c r="C6" s="6" t="n">
        <v>-2641.6</v>
      </c>
      <c r="D6" s="6" t="n">
        <v>-4861.8</v>
      </c>
      <c r="E6" s="6" t="n">
        <v>-4197</v>
      </c>
      <c r="F6" s="6" t="n">
        <v>-4383.2</v>
      </c>
      <c r="G6" s="6" t="n">
        <v>-1605.2</v>
      </c>
      <c r="H6" s="6" t="n">
        <v>-1803.2</v>
      </c>
      <c r="I6" s="6" t="n">
        <v>-4012.4</v>
      </c>
      <c r="J6" s="6" t="n"/>
      <c r="K6" s="6" t="n"/>
      <c r="L6" s="6" t="n"/>
      <c r="M6" s="6" t="n"/>
    </row>
    <row r="7">
      <c r="A7" s="6" t="inlineStr">
        <is>
          <t>IAS 39 impairment allowance (pre-IFRS 9)</t>
        </is>
      </c>
      <c r="B7" s="6" t="n"/>
      <c r="C7" s="6" t="n"/>
      <c r="D7" s="6" t="n"/>
      <c r="E7" s="6" t="n"/>
      <c r="F7" s="6" t="n"/>
      <c r="G7" s="6" t="n"/>
      <c r="H7" s="6" t="n"/>
      <c r="I7" s="6" t="n"/>
      <c r="J7" s="6" t="n">
        <v>-24724.1</v>
      </c>
      <c r="K7" s="6" t="n">
        <v>-21408.5</v>
      </c>
      <c r="L7" s="6" t="n">
        <v>-5626.6</v>
      </c>
      <c r="M7" s="6" t="n">
        <v>0</v>
      </c>
    </row>
    <row r="8">
      <c r="A8" s="5" t="inlineStr">
        <is>
          <t>Net loans and advances to customers</t>
        </is>
      </c>
      <c r="B8" s="5" t="n"/>
      <c r="C8" s="5" t="n">
        <v>354457.3</v>
      </c>
      <c r="D8" s="5" t="n">
        <v>277613.5</v>
      </c>
      <c r="E8" s="5" t="n">
        <v>260562.8</v>
      </c>
      <c r="F8" s="5" t="n">
        <v>261455.9</v>
      </c>
      <c r="G8" s="5" t="n">
        <v>117712.9</v>
      </c>
      <c r="H8" s="5" t="n">
        <v>49422.1</v>
      </c>
      <c r="I8" s="5" t="n">
        <v>66518.5</v>
      </c>
      <c r="J8" s="5" t="n">
        <v>89880.89999999999</v>
      </c>
      <c r="K8" s="5" t="n">
        <v>162065.1</v>
      </c>
      <c r="L8" s="5" t="n">
        <v>248026.1</v>
      </c>
      <c r="M8" s="5" t="n">
        <v>252674.4</v>
      </c>
    </row>
    <row r="9">
      <c r="A9" s="6" t="inlineStr">
        <is>
          <t>Impairment as % of gross exposure</t>
        </is>
      </c>
      <c r="B9" s="6" t="n"/>
      <c r="C9" s="6" t="inlineStr">
        <is>
          <t>0.7%</t>
        </is>
      </c>
      <c r="D9" s="6" t="inlineStr">
        <is>
          <t>1.7%</t>
        </is>
      </c>
      <c r="E9" s="6" t="inlineStr">
        <is>
          <t>1.6%</t>
        </is>
      </c>
      <c r="F9" s="6" t="inlineStr">
        <is>
          <t>1.6%</t>
        </is>
      </c>
      <c r="G9" s="6" t="inlineStr">
        <is>
          <t>1.3%</t>
        </is>
      </c>
      <c r="H9" s="6" t="inlineStr">
        <is>
          <t>3.5%</t>
        </is>
      </c>
      <c r="I9" s="6" t="inlineStr">
        <is>
          <t>5.7%</t>
        </is>
      </c>
      <c r="J9" s="6" t="inlineStr">
        <is>
          <t>21.6%</t>
        </is>
      </c>
      <c r="K9" s="6" t="inlineStr">
        <is>
          <t>11.7%</t>
        </is>
      </c>
      <c r="L9" s="6" t="inlineStr">
        <is>
          <t>2.2%</t>
        </is>
      </c>
      <c r="M9" s="6" t="inlineStr">
        <is>
          <t>0.0%</t>
        </is>
      </c>
    </row>
    <row r="10">
      <c r="A10" s="5" t="inlineStr">
        <is>
          <t>IAS 39 individual/collective allowance split (pre-IFRS 9, FY2016-FY2017 only)</t>
        </is>
      </c>
      <c r="B10" s="6" t="n"/>
      <c r="C10" s="6" t="n"/>
      <c r="D10" s="6" t="n"/>
      <c r="E10" s="6" t="n"/>
      <c r="F10" s="6" t="n"/>
      <c r="G10" s="6" t="n"/>
      <c r="H10" s="6" t="n"/>
      <c r="I10" s="6" t="n"/>
      <c r="J10" s="6" t="n"/>
      <c r="K10" s="6" t="n"/>
      <c r="L10" s="6" t="n"/>
      <c r="M10" s="6" t="n"/>
    </row>
    <row r="11">
      <c r="A11" s="6" t="inlineStr">
        <is>
          <t>Individual impairment allowance</t>
        </is>
      </c>
      <c r="B11" s="6" t="n"/>
      <c r="C11" s="6" t="n"/>
      <c r="D11" s="6" t="n"/>
      <c r="E11" s="6" t="n"/>
      <c r="F11" s="6" t="n"/>
      <c r="G11" s="6" t="n"/>
      <c r="H11" s="6" t="n"/>
      <c r="I11" s="6" t="n"/>
      <c r="J11" s="6" t="n">
        <v>-21138.3</v>
      </c>
      <c r="K11" s="6" t="n">
        <v>-20612.5</v>
      </c>
      <c r="L11" s="6" t="n"/>
      <c r="M11" s="6" t="n"/>
    </row>
    <row r="12">
      <c r="A12" s="6" t="inlineStr">
        <is>
          <t>Collective impairment allowance</t>
        </is>
      </c>
      <c r="B12" s="6" t="n"/>
      <c r="C12" s="6" t="n"/>
      <c r="D12" s="6" t="n"/>
      <c r="E12" s="6" t="n"/>
      <c r="F12" s="6" t="n"/>
      <c r="G12" s="6" t="n"/>
      <c r="H12" s="6" t="n"/>
      <c r="I12" s="6" t="n"/>
      <c r="J12" s="6" t="n">
        <v>-3585.8</v>
      </c>
      <c r="K12" s="6" t="n">
        <v>-796</v>
      </c>
      <c r="L12" s="6" t="n"/>
      <c r="M12" s="6" t="n"/>
    </row>
    <row r="13">
      <c r="A13" s="5" t="inlineStr">
        <is>
          <t>IFRS 9 ECL allowance by stage (Loans and advances to customers)</t>
        </is>
      </c>
      <c r="B13" s="6" t="n"/>
      <c r="C13" s="6" t="n"/>
      <c r="D13" s="6" t="n"/>
      <c r="E13" s="6" t="n"/>
      <c r="F13" s="6" t="n"/>
      <c r="G13" s="6" t="n"/>
      <c r="H13" s="6" t="n"/>
      <c r="I13" s="6" t="n"/>
      <c r="J13" s="6" t="n"/>
      <c r="K13" s="6" t="n"/>
      <c r="L13" s="6" t="n"/>
      <c r="M13" s="6" t="n"/>
    </row>
    <row r="14">
      <c r="A14" s="6" t="inlineStr">
        <is>
          <t>Stage 1 (12-month ECL)</t>
        </is>
      </c>
      <c r="B14" s="6" t="n"/>
      <c r="C14" s="6" t="n">
        <v>2294.6</v>
      </c>
      <c r="D14" s="6" t="n">
        <v>4562.2</v>
      </c>
      <c r="E14" s="6" t="n">
        <v>3557.3</v>
      </c>
      <c r="F14" s="6" t="n">
        <v>3873.1</v>
      </c>
      <c r="G14" s="6" t="n">
        <v>1579.6</v>
      </c>
      <c r="H14" s="6" t="n">
        <v>1060.8</v>
      </c>
      <c r="I14" s="6" t="n">
        <v>67.40000000000001</v>
      </c>
      <c r="J14" s="6" t="n"/>
      <c r="K14" s="6" t="n"/>
      <c r="L14" s="6" t="n"/>
      <c r="M14" s="6" t="n"/>
    </row>
    <row r="15">
      <c r="A15" s="6" t="inlineStr">
        <is>
          <t>Stage 2 (lifetime ECL, not credit-impaired)</t>
        </is>
      </c>
      <c r="B15" s="6" t="n"/>
      <c r="C15" s="6" t="n">
        <v>347</v>
      </c>
      <c r="D15" s="6" t="n">
        <v>299.7</v>
      </c>
      <c r="E15" s="6" t="n">
        <v>639.7</v>
      </c>
      <c r="F15" s="6" t="n">
        <v>510.1</v>
      </c>
      <c r="G15" s="6" t="n">
        <v>25.6</v>
      </c>
      <c r="H15" s="6" t="n">
        <v>742.4</v>
      </c>
      <c r="I15" s="6" t="n">
        <v>3945</v>
      </c>
      <c r="J15" s="6" t="n"/>
      <c r="K15" s="6" t="n"/>
      <c r="L15" s="6" t="n"/>
      <c r="M15" s="6" t="n"/>
    </row>
    <row r="16">
      <c r="A16" s="6" t="inlineStr">
        <is>
          <t>Stage 3 (lifetime ECL, credit-impaired/default)</t>
        </is>
      </c>
      <c r="B16" s="6" t="n"/>
      <c r="C16" s="6" t="n">
        <v>0</v>
      </c>
      <c r="D16" s="6" t="n">
        <v>0</v>
      </c>
      <c r="E16" s="6" t="n">
        <v>0</v>
      </c>
      <c r="F16" s="6" t="n">
        <v>0</v>
      </c>
      <c r="G16" s="6" t="n">
        <v>0</v>
      </c>
      <c r="H16" s="6" t="n">
        <v>0</v>
      </c>
      <c r="I16" s="6" t="n">
        <v>0</v>
      </c>
      <c r="J16" s="6" t="n"/>
      <c r="K16" s="6" t="n"/>
      <c r="L16" s="6" t="n"/>
      <c r="M16" s="6" t="n"/>
    </row>
    <row r="17">
      <c r="A17" s="5" t="inlineStr">
        <is>
          <t>Total ECL allowance</t>
        </is>
      </c>
      <c r="B17" s="5" t="n"/>
      <c r="C17" s="5" t="n">
        <v>2641.6</v>
      </c>
      <c r="D17" s="5" t="n">
        <v>4861.8</v>
      </c>
      <c r="E17" s="5" t="n">
        <v>4197</v>
      </c>
      <c r="F17" s="5" t="n">
        <v>4383.2</v>
      </c>
      <c r="G17" s="5" t="n">
        <v>1605.2</v>
      </c>
      <c r="H17" s="5" t="n">
        <v>1803.2</v>
      </c>
      <c r="I17" s="5" t="n">
        <v>4012.4</v>
      </c>
      <c r="J17" s="5" t="n"/>
      <c r="K17" s="5" t="n"/>
      <c r="L17" s="5" t="n"/>
      <c r="M17" s="5" t="n"/>
    </row>
    <row r="19" ht="460" customHeight="1">
      <c r="A19" s="8" t="inlineStr">
        <is>
          <t>Sources - Zenith Bank (UK) Limited's own credit risk / loan impairment notes (converted from USD to £, see FX conversion note below):
FY2024: Annual Report and Financial Statements 2024, p.66-68 (Credit risk note, ECL by stage) - https://www.zenith-bank.co.uk/media/2273/2024-annual-report-and-financial-statements.pdf
FY2023: Annual Report and Financial Statements 2023, p.58-60 (Credit risk note, ECL by stage) - https://www.zenith-bank.co.uk/media/2253/2023-annual-report-and-financial-statements.pdf
FY2022: Annual Report and Financial Statements 2022, p.56-58 (Credit risk note, ECL by stage) - https://www.zenith-bank.co.uk/media/2237/2022-annual-report-and-financial-statements.pdf
FY2021: Annual Report and Financial Statements 2021, p.54-56 (Credit risk note, ECL by stage) - https://www.zenith-bank.co.uk/media/2205/2021-annual-report-and-financial-statements.pdf
FY2020: Annual Report 2020, note 14 (Loans and advances to customers) and note 25 (Financial risk management, IFRS 9 ECL Staging Analysis and sectoral gross exposure/impairment table) - https://www.zenith-bank.co.uk/media/2199/zenith-bank-uk-limited-annual-report-2020.pdf
FY2019: Annual Report 2019, note 14 and note 25 (same structure as FY2020) - https://www.zenith-bank.co.uk/media/2169/258558-zenith-web.pdf
FY2018: Annual Report and Financial Statements 2018, note 14 (Loans and advances to customers) and note 25 (Financial risk management, IFRS 9 ECL Staging Analysis) - https://www.zenith-bank.co.uk/media/2151/2018-annual-report.pdf
FY2017: Annual Report and Financial Statements 2017, note 14 (Loans and advances to customers) - https://www.zenith-bank.co.uk/media/2142/2017-annual-report-and-financial-statements.pdf
FY2016: Annual Report and Accounts 2016, note 12 (Loans and advances to customers) - https://www.zenith-bank.co.uk/media/1009/statutory_accounts_year_ended_31st_december_2016.pdf
FY2015: Annual Report and Financial Statements 2015, note 12 (Loans and advances to customers) - https://www.zenith-bank.co.uk/media/1011/zenith_bank_-uk-_ltd_-_annual_report_and_financial_statements_2015.pdf
FY2014: Annual Report and Financial Statements 2014, note 12 (Loans and advances to customers) - https://www.zenith-bank.co.uk/media/1010/zenith_bank_-uk-_ltd_-_annual_report_and_accounts_2014.pdf
FY2025 is blank: no FY2025 Annual Report has been published yet.
IFRS 9 STAGING NOTE: the Bank discloses the ECL ALLOWANCE by stage for loans and advances to customers in every year shown FY2018-FY2024 (IFRS 9 was adopted 1 January 2018), but does NOT separately disclose the GROSS CARRYING AMOUNT by stage for this specific line in FY2021-FY2024 (only the allowance split) - so a gross-exposure-based NPL ratio cannot be honestly derived from what's disclosed for those years and is not shown there. FY2019 and FY2020 uniquely DO disclose a gross-exposure/impairment sectoral breakdown (shown in the 'Impairment as % of gross exposure' row for those two years, sourced from that breakdown rather than the ECL staging table). Stage 3 (credit-impaired/default) ECL allowance is exactly nil for loans and advances to customers in every IFRS 9-era year shown (FY2018-FY2024) - a genuine finding (no identified defaulted customer exposures in the disclosed period), not an omission.
HD-048 PRE-IFRS 9 NOTE (FY2014-FY2017): these four years pre-date IFRS 9 entirely and use the IAS 39 incurred-loss impairment model, which has no 'stage' concept - the IFRS 9 ECL stage rows above are genuinely blank (not zero) for FY2014-FY2017. FY2016 and FY2017 do disclose an individual/collective impairment split (a different, IAS 39-specific distinction, shown in its own section above) but not staged ECL. FY2015 discloses a single undifferentiated 'Impairment provision' with no individual/collective split at all. FY2014 discloses zero impairment provision on loans and advances to customers - an explicit disclosed nil (confirmed by the FY2015 Annual Report's own FY2014 comparative column showing '-'), not a gap. 'Gross exposure' for FY2014-FY2017 is computed as the sum of the Bank's own disclosed 'Loans to individuals' and 'Loans and advances to corporates' lines (both components of the same note); each year's own report figures are used throughout (not a later year's restated comparative) - e.g. FY2017's own report restates FY2016's corporates/individual-impairment comparatives, but FY2016's own report figures are used for the FY2016 column here, consistent with this project's convention.
ENTITY NOTE: Zenith Bank (UK) Limited (FRN 451720) is a UK subsidiary of Zenith Bank Plc (Nigeria). Unlike several other foreign-subsidiary banks in this workbook series (ICICI Bank UK, Philippine National Bank Europe, Citibank UK, State Bank of India UK), it prepares full financial statements under UK-adopted International Accounting Standards (not FRS 101/102 reduced disclosure), including a genuine Statement of Cash Flows every year - no cash-flow exemption applies. The Bank's own capital structure is CET1-only (no AT1 or Tier 2 instruments), so CET1 capital = Tier 1 capital = Total capital in every year shown.
FX CONVERSION NOTE: Zenith Bank (UK) Limited reports in US Dollars. This workbook converts every $ amount to £ for consistency with the rest of this series, following the same methodology established for SMBC Bank International plc: point-in-time/balance figures (capital, RWA, leverage exposure, HQLA, cash balances) use the Bank of England GBP/USD SPOT rate as at that fiscal year-end (31 December); flow figures (every cash flow statement line item) use the AVERAGE of Bank of England rates over that calendar year. FY2020-FY2025 rates are via poundsterlinglive.com's published Bank of England archive; FY2014-FY2019 rates (added under HD-048) were pulled directly from the Bank of England's own Interactive Statistical Database (series XUDLGBD, spot exchange rate US dollar into Sterling), inverted and rounded to 4dp - the same underlying BoE series poundsterlinglive republishes. Rates used (£1 = $X): 31 Dec 2013 spot 1.6529 (FY2014 opening cash only); FY2014 spot 1.5608 / average 1.6465; FY2015 spot 1.4819 / average 1.5281; FY2016 spot 1.2303 / average 1.3488; FY2017 spot 1.3510 / average 1.2878; FY2018 spot 1.2770 / average 1.3335; FY2019 spot 1.3210 / average 1.2757; FY2020 spot 1.3661 / average 1.2825 (FY2020 spot pre-dates HD-048 and is kept unchanged from the original build for continuity - a fresh BoE query for the same date gives 1.3648, a ~0.1% difference attributable to archive rounding, immaterial at 1dp in £'000 terms); FY2021 spot 1.3521 / average 1.3752; FY2022 spot 1.2097 / average 1.2362; FY2023 spot 1.2732 / average 1.2439; FY2024 spot 1.2515 / average 1.2782; FY2025 spot 1.3448 / average 1.3193.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so opening + all flows + this line = closing exactly in £ terms - this line is purely an artefact of £ translation and has no bearing on the Bank's underlying USD results. This conversion was not explicitly requested for this bank (unlike SMBC) - applied for consistency with the rest of the series; flag if £'000 rather than the Bank's native US$'000 presentation is not what's wanted here.</t>
        </is>
      </c>
    </row>
  </sheetData>
  <mergeCells count="1">
    <mergeCell ref="A19:M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Zenith Bank (UK) Limited — CET1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320.8</v>
      </c>
      <c r="C4" s="6" t="n">
        <v>302.3</v>
      </c>
      <c r="D4" s="6" t="n">
        <v>265.5</v>
      </c>
      <c r="E4" s="6" t="n">
        <v>240.3</v>
      </c>
      <c r="F4" s="6" t="n">
        <v>207.9</v>
      </c>
      <c r="G4" s="6" t="n"/>
      <c r="H4" s="6" t="n"/>
      <c r="I4" s="6" t="n"/>
      <c r="J4" s="6" t="n"/>
      <c r="K4" s="6" t="n"/>
      <c r="L4" s="6" t="n">
        <v>127.2</v>
      </c>
      <c r="M4" s="6" t="n">
        <v>109.4</v>
      </c>
    </row>
    <row r="5" ht="60" customHeight="1">
      <c r="A5" s="7" t="inlineStr">
        <is>
          <t>Note: PRE-CRD IV NOTE (FY2014/FY2015): see the PRE-CRD IV METHODOLOGY NOTE in the Pillar 3 sources above for full detail - these two figures are the Bank's own 'Regulatory Available Capital' (not its larger undeducted 'Total tier 1 capital per audited accounts' memo figure) divided by a derived Total RWA (each Pillar 1 capital requirement component divided by 8%, summed). FY2016-FY2020 are blank - no Pillar 3 disclosure document recoverable for those years (see Pillar 3 sources note).</t>
        </is>
      </c>
    </row>
    <row r="7" ht="120" customHeight="1">
      <c r="A7"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http://web.archive.org/web/20161128044735/http://www.zenith-bank.co.uk/uploads/ZBL_Pillar_3_Disclosure_Document_2015.pdf
FY2014: Pillar 3 Disclosures 31 December 2014, p.8-9 (Section 4, Capital Adequacy Overview &amp; Resources) - http://web.archive.org/web/20160826052010/http://www.zenith-bank.co.uk/uploads/ZBL_Pillar_3_Disclosure_Document_2014.pdf
FY2016-FY2020: genuinely unobtainable - no Pillar 3 disclosure PDF for these 5 years could be found on the live zenith-bank.co.uk site or in the Internet Archive Wayback Machine despite a thorough search (the Bank's Pillar 3 page itself was archived multiple times across FY2016-FY2020 and confirms the underlying PDF links existed at the time, but the PDF binaries themselves were never crawled). All 11 Pillar 3 metric sheets and the RWA Breakdown sheet are blank for FY2016-FY2020 - see the HD-048 extension note on the Cash Flow Statement sheet for the full self-skip rationale.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t>
        </is>
      </c>
    </row>
  </sheetData>
  <mergeCells count="2">
    <mergeCell ref="A5:M5"/>
    <mergeCell ref="A7:M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Zenith Bank (UK)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ratio</t>
        </is>
      </c>
      <c r="B4" s="6" t="inlineStr">
        <is>
          <t>23.40%</t>
        </is>
      </c>
      <c r="C4" s="6" t="inlineStr">
        <is>
          <t>25.64%</t>
        </is>
      </c>
      <c r="D4" s="6" t="inlineStr">
        <is>
          <t>28.95%</t>
        </is>
      </c>
      <c r="E4" s="6" t="inlineStr">
        <is>
          <t>25.84%</t>
        </is>
      </c>
      <c r="F4" s="6" t="inlineStr">
        <is>
          <t>20.78%</t>
        </is>
      </c>
      <c r="G4" s="6" t="n"/>
      <c r="H4" s="6" t="n"/>
      <c r="I4" s="6" t="n"/>
      <c r="J4" s="6" t="n"/>
      <c r="K4" s="6" t="n"/>
      <c r="L4" s="6" t="inlineStr">
        <is>
          <t>20.38%</t>
        </is>
      </c>
      <c r="M4" s="6" t="inlineStr">
        <is>
          <t>22.32%</t>
        </is>
      </c>
    </row>
    <row r="5" ht="60" customHeight="1">
      <c r="A5" s="7" t="inlineStr">
        <is>
          <t>Note: PRE-CRD IV NOTE (FY2014/FY2015): see the PRE-CRD IV METHODOLOGY NOTE in the Pillar 3 sources above for full detail - these two figures are the Bank's own 'Regulatory Available Capital' (not its larger undeducted 'Total tier 1 capital per audited accounts' memo figure) divided by a derived Total RWA (each Pillar 1 capital requirement component divided by 8%, summed). FY2016-FY2020 are blank - no Pillar 3 disclosure document recoverable for those years (see Pillar 3 sources note).</t>
        </is>
      </c>
    </row>
    <row r="7" ht="120" customHeight="1">
      <c r="A7"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http://web.archive.org/web/20161128044735/http://www.zenith-bank.co.uk/uploads/ZBL_Pillar_3_Disclosure_Document_2015.pdf
FY2014: Pillar 3 Disclosures 31 December 2014, p.8-9 (Section 4, Capital Adequacy Overview &amp; Resources) - http://web.archive.org/web/20160826052010/http://www.zenith-bank.co.uk/uploads/ZBL_Pillar_3_Disclosure_Document_2014.pdf
FY2016-FY2020: genuinely unobtainable - no Pillar 3 disclosure PDF for these 5 years could be found on the live zenith-bank.co.uk site or in the Internet Archive Wayback Machine despite a thorough search (the Bank's Pillar 3 page itself was archived multiple times across FY2016-FY2020 and confirms the underlying PDF links existed at the time, but the PDF binaries themselves were never crawled). All 11 Pillar 3 metric sheets and the RWA Breakdown sheet are blank for FY2016-FY2020 - see the HD-048 extension note on the Cash Flow Statement sheet for the full self-skip rationale.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Zenith Bank (UK) Limited — Tier 1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320.8</v>
      </c>
      <c r="C4" s="6" t="n">
        <v>302.3</v>
      </c>
      <c r="D4" s="6" t="n">
        <v>265.5</v>
      </c>
      <c r="E4" s="6" t="n">
        <v>240.3</v>
      </c>
      <c r="F4" s="6" t="n">
        <v>207.9</v>
      </c>
      <c r="G4" s="6" t="n"/>
      <c r="H4" s="6" t="n"/>
      <c r="I4" s="6" t="n"/>
      <c r="J4" s="6" t="n"/>
      <c r="K4" s="6" t="n"/>
      <c r="L4" s="6" t="n">
        <v>127.2</v>
      </c>
      <c r="M4" s="6" t="n">
        <v>109.4</v>
      </c>
    </row>
    <row r="5" ht="60" customHeight="1">
      <c r="A5" s="7" t="inlineStr">
        <is>
          <t>Note: Equal to CET1 capital in every year - the Bank holds no Additional Tier 1 (AT1) instruments.
PRE-CRD IV NOTE (FY2014/FY2015): see the PRE-CRD IV METHODOLOGY NOTE in the Pillar 3 sources above for full detail - these two figures are the Bank's own 'Regulatory Available Capital' (not its larger undeducted 'Total tier 1 capital per audited accounts' memo figure) divided by a derived Total RWA (each Pillar 1 capital requirement component divided by 8%, summed). FY2016-FY2020 are blank - no Pillar 3 disclosure document recoverable for those years (see Pillar 3 sources note).</t>
        </is>
      </c>
    </row>
    <row r="7" ht="120" customHeight="1">
      <c r="A7"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http://web.archive.org/web/20161128044735/http://www.zenith-bank.co.uk/uploads/ZBL_Pillar_3_Disclosure_Document_2015.pdf
FY2014: Pillar 3 Disclosures 31 December 2014, p.8-9 (Section 4, Capital Adequacy Overview &amp; Resources) - http://web.archive.org/web/20160826052010/http://www.zenith-bank.co.uk/uploads/ZBL_Pillar_3_Disclosure_Document_2014.pdf
FY2016-FY2020: genuinely unobtainable - no Pillar 3 disclosure PDF for these 5 years could be found on the live zenith-bank.co.uk site or in the Internet Archive Wayback Machine despite a thorough search (the Bank's Pillar 3 page itself was archived multiple times across FY2016-FY2020 and confirms the underlying PDF links existed at the time, but the PDF binaries themselves were never crawled). All 11 Pillar 3 metric sheets and the RWA Breakdown sheet are blank for FY2016-FY2020 - see the HD-048 extension note on the Cash Flow Statement sheet for the full self-skip rationale.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Zenith Bank (UK)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23.40%</t>
        </is>
      </c>
      <c r="C4" s="6" t="inlineStr">
        <is>
          <t>25.64%</t>
        </is>
      </c>
      <c r="D4" s="6" t="inlineStr">
        <is>
          <t>28.95%</t>
        </is>
      </c>
      <c r="E4" s="6" t="inlineStr">
        <is>
          <t>25.84%</t>
        </is>
      </c>
      <c r="F4" s="6" t="inlineStr">
        <is>
          <t>20.78%</t>
        </is>
      </c>
      <c r="G4" s="6" t="n"/>
      <c r="H4" s="6" t="n"/>
      <c r="I4" s="6" t="n"/>
      <c r="J4" s="6" t="n"/>
      <c r="K4" s="6" t="n"/>
      <c r="L4" s="6" t="inlineStr">
        <is>
          <t>20.38%</t>
        </is>
      </c>
      <c r="M4" s="6" t="inlineStr">
        <is>
          <t>22.32%</t>
        </is>
      </c>
    </row>
    <row r="5" ht="60" customHeight="1">
      <c r="A5" s="7" t="inlineStr">
        <is>
          <t>Note: PRE-CRD IV NOTE (FY2014/FY2015): see the PRE-CRD IV METHODOLOGY NOTE in the Pillar 3 sources above for full detail - these two figures are the Bank's own 'Regulatory Available Capital' (not its larger undeducted 'Total tier 1 capital per audited accounts' memo figure) divided by a derived Total RWA (each Pillar 1 capital requirement component divided by 8%, summed). FY2016-FY2020 are blank - no Pillar 3 disclosure document recoverable for those years (see Pillar 3 sources note).</t>
        </is>
      </c>
    </row>
    <row r="7" ht="120" customHeight="1">
      <c r="A7"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http://web.archive.org/web/20161128044735/http://www.zenith-bank.co.uk/uploads/ZBL_Pillar_3_Disclosure_Document_2015.pdf
FY2014: Pillar 3 Disclosures 31 December 2014, p.8-9 (Section 4, Capital Adequacy Overview &amp; Resources) - http://web.archive.org/web/20160826052010/http://www.zenith-bank.co.uk/uploads/ZBL_Pillar_3_Disclosure_Document_2014.pdf
FY2016-FY2020: genuinely unobtainable - no Pillar 3 disclosure PDF for these 5 years could be found on the live zenith-bank.co.uk site or in the Internet Archive Wayback Machine despite a thorough search (the Bank's Pillar 3 page itself was archived multiple times across FY2016-FY2020 and confirms the underlying PDF links existed at the time, but the PDF binaries themselves were never crawled). All 11 Pillar 3 metric sheets and the RWA Breakdown sheet are blank for FY2016-FY2020 - see the HD-048 extension note on the Cash Flow Statement sheet for the full self-skip rationale.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Zenith Bank (UK) Limited — Total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320.8</v>
      </c>
      <c r="C4" s="6" t="n">
        <v>302.3</v>
      </c>
      <c r="D4" s="6" t="n">
        <v>265.5</v>
      </c>
      <c r="E4" s="6" t="n">
        <v>240.3</v>
      </c>
      <c r="F4" s="6" t="n">
        <v>207.9</v>
      </c>
      <c r="G4" s="6" t="n"/>
      <c r="H4" s="6" t="n"/>
      <c r="I4" s="6" t="n"/>
      <c r="J4" s="6" t="n"/>
      <c r="K4" s="6" t="n"/>
      <c r="L4" s="6" t="n">
        <v>127.2</v>
      </c>
      <c r="M4" s="6" t="n">
        <v>109.4</v>
      </c>
    </row>
    <row r="5" ht="60" customHeight="1">
      <c r="A5" s="7" t="inlineStr">
        <is>
          <t>Note: Equal to CET1/Tier 1 capital in every year - the Bank holds no AT1 or Tier 2 instruments.
PRE-CRD IV NOTE (FY2014/FY2015): see the PRE-CRD IV METHODOLOGY NOTE in the Pillar 3 sources above for full detail - these two figures are the Bank's own 'Regulatory Available Capital' (not its larger undeducted 'Total tier 1 capital per audited accounts' memo figure) divided by a derived Total RWA (each Pillar 1 capital requirement component divided by 8%, summed). FY2016-FY2020 are blank - no Pillar 3 disclosure document recoverable for those years (see Pillar 3 sources note).</t>
        </is>
      </c>
    </row>
    <row r="7" ht="120" customHeight="1">
      <c r="A7"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http://web.archive.org/web/20161128044735/http://www.zenith-bank.co.uk/uploads/ZBL_Pillar_3_Disclosure_Document_2015.pdf
FY2014: Pillar 3 Disclosures 31 December 2014, p.8-9 (Section 4, Capital Adequacy Overview &amp; Resources) - http://web.archive.org/web/20160826052010/http://www.zenith-bank.co.uk/uploads/ZBL_Pillar_3_Disclosure_Document_2014.pdf
FY2016-FY2020: genuinely unobtainable - no Pillar 3 disclosure PDF for these 5 years could be found on the live zenith-bank.co.uk site or in the Internet Archive Wayback Machine despite a thorough search (the Bank's Pillar 3 page itself was archived multiple times across FY2016-FY2020 and confirms the underlying PDF links existed at the time, but the PDF binaries themselves were never crawled). All 11 Pillar 3 metric sheets and the RWA Breakdown sheet are blank for FY2016-FY2020 - see the HD-048 extension note on the Cash Flow Statement sheet for the full self-skip rationale.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Zenith Bank (UK)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23.40%</t>
        </is>
      </c>
      <c r="C4" s="6" t="inlineStr">
        <is>
          <t>25.64%</t>
        </is>
      </c>
      <c r="D4" s="6" t="inlineStr">
        <is>
          <t>28.95%</t>
        </is>
      </c>
      <c r="E4" s="6" t="inlineStr">
        <is>
          <t>25.84%</t>
        </is>
      </c>
      <c r="F4" s="6" t="inlineStr">
        <is>
          <t>20.78%</t>
        </is>
      </c>
      <c r="G4" s="6" t="n"/>
      <c r="H4" s="6" t="n"/>
      <c r="I4" s="6" t="n"/>
      <c r="J4" s="6" t="n"/>
      <c r="K4" s="6" t="n"/>
      <c r="L4" s="6" t="inlineStr">
        <is>
          <t>20.38%</t>
        </is>
      </c>
      <c r="M4" s="6" t="inlineStr">
        <is>
          <t>22.32%</t>
        </is>
      </c>
    </row>
    <row r="5" ht="60" customHeight="1">
      <c r="A5" s="7" t="inlineStr">
        <is>
          <t>Note: PRE-CRD IV NOTE (FY2014/FY2015): see the PRE-CRD IV METHODOLOGY NOTE in the Pillar 3 sources above for full detail - these two figures are the Bank's own 'Regulatory Available Capital' (not its larger undeducted 'Total tier 1 capital per audited accounts' memo figure) divided by a derived Total RWA (each Pillar 1 capital requirement component divided by 8%, summed). FY2016-FY2020 are blank - no Pillar 3 disclosure document recoverable for those years (see Pillar 3 sources note).</t>
        </is>
      </c>
    </row>
    <row r="7" ht="120" customHeight="1">
      <c r="A7"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http://web.archive.org/web/20161128044735/http://www.zenith-bank.co.uk/uploads/ZBL_Pillar_3_Disclosure_Document_2015.pdf
FY2014: Pillar 3 Disclosures 31 December 2014, p.8-9 (Section 4, Capital Adequacy Overview &amp; Resources) - http://web.archive.org/web/20160826052010/http://www.zenith-bank.co.uk/uploads/ZBL_Pillar_3_Disclosure_Document_2014.pdf
FY2016-FY2020: genuinely unobtainable - no Pillar 3 disclosure PDF for these 5 years could be found on the live zenith-bank.co.uk site or in the Internet Archive Wayback Machine despite a thorough search (the Bank's Pillar 3 page itself was archived multiple times across FY2016-FY2020 and confirms the underlying PDF links existed at the time, but the PDF binaries themselves were never crawled). All 11 Pillar 3 metric sheets and the RWA Breakdown sheet are blank for FY2016-FY2020 - see the HD-048 extension note on the Cash Flow Statement sheet for the full self-skip rationale.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Zenith Bank (UK) Limited — Total RWAs</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t>
        </is>
      </c>
      <c r="B4" s="6" t="n">
        <v>1370.7</v>
      </c>
      <c r="C4" s="6" t="n">
        <v>1179.2</v>
      </c>
      <c r="D4" s="6" t="n">
        <v>917.3</v>
      </c>
      <c r="E4" s="6" t="n">
        <v>930.1</v>
      </c>
      <c r="F4" s="6" t="n">
        <v>1000.5</v>
      </c>
      <c r="G4" s="6" t="n"/>
      <c r="H4" s="6" t="n"/>
      <c r="I4" s="6" t="n"/>
      <c r="J4" s="6" t="n"/>
      <c r="K4" s="6" t="n"/>
      <c r="L4" s="6" t="n">
        <v>624</v>
      </c>
      <c r="M4" s="6" t="n">
        <v>490.4</v>
      </c>
    </row>
    <row r="5" ht="60" customHeight="1">
      <c r="A5" s="7" t="inlineStr">
        <is>
          <t>Note: FY2023's figure (own report, £m equivalent of $1,167,888k) differs from the FY2024 report's restated FY2023 comparative ($1,203,364k) - a Basic Indicator Approach operational-risk methodology update. FY2023's own report figure is used, consistent with this project's convention of preferring each year's own report.
PRE-CRD IV NOTE (FY2014/FY2015): see the PRE-CRD IV METHODOLOGY NOTE in the Pillar 3 sources above for full detail - these two figures are the Bank's own 'Regulatory Available Capital' (not its larger undeducted 'Total tier 1 capital per audited accounts' memo figure) divided by a derived Total RWA (each Pillar 1 capital requirement component divided by 8%, summed). FY2016-FY2020 are blank - no Pillar 3 disclosure document recoverable for those years (see Pillar 3 sources note).</t>
        </is>
      </c>
    </row>
    <row r="7" ht="120" customHeight="1">
      <c r="A7"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http://web.archive.org/web/20161128044735/http://www.zenith-bank.co.uk/uploads/ZBL_Pillar_3_Disclosure_Document_2015.pdf
FY2014: Pillar 3 Disclosures 31 December 2014, p.8-9 (Section 4, Capital Adequacy Overview &amp; Resources) - http://web.archive.org/web/20160826052010/http://www.zenith-bank.co.uk/uploads/ZBL_Pillar_3_Disclosure_Document_2014.pdf
FY2016-FY2020: genuinely unobtainable - no Pillar 3 disclosure PDF for these 5 years could be found on the live zenith-bank.co.uk site or in the Internet Archive Wayback Machine despite a thorough search (the Bank's Pillar 3 page itself was archived multiple times across FY2016-FY2020 and confirms the underlying PDF links existed at the time, but the PDF binaries themselves were never crawled). All 11 Pillar 3 metric sheets and the RWA Breakdown sheet are blank for FY2016-FY2020 - see the HD-048 extension note on the Cash Flow Statement sheet for the full self-skip rationale.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Zenith Bank (UK) Limited — RWA Breakdown (UK OV1)</t>
        </is>
      </c>
    </row>
    <row r="2">
      <c r="A2" s="2" t="inlineStr">
        <is>
          <t>£'000, converted from USD - see source note at bottom for FX methodology and rates used.</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c r="G3" s="4" t="inlineStr">
        <is>
          <t>FY2020 (£'000, conv. from USD)</t>
        </is>
      </c>
      <c r="H3" s="4" t="inlineStr">
        <is>
          <t>FY2019 (£'000, conv. from USD)</t>
        </is>
      </c>
      <c r="I3" s="4" t="inlineStr">
        <is>
          <t>FY2018 (£'000, conv. from USD)</t>
        </is>
      </c>
      <c r="J3" s="4" t="inlineStr">
        <is>
          <t>FY2017 (£'000, conv. from USD)</t>
        </is>
      </c>
      <c r="K3" s="4" t="inlineStr">
        <is>
          <t>FY2016 (£'000, conv. from USD)</t>
        </is>
      </c>
      <c r="L3" s="4" t="inlineStr">
        <is>
          <t>FY2015 (£'000, conv. from USD)</t>
        </is>
      </c>
      <c r="M3" s="4" t="inlineStr">
        <is>
          <t>FY2014 (£'000, conv. from USD)</t>
        </is>
      </c>
    </row>
    <row r="4">
      <c r="A4" s="6" t="inlineStr">
        <is>
          <t>Credit Risk (excluding CCR)</t>
        </is>
      </c>
      <c r="B4" s="6" t="n">
        <v>1224.3</v>
      </c>
      <c r="C4" s="6" t="n">
        <v>963.3</v>
      </c>
      <c r="D4" s="6" t="n">
        <v>788</v>
      </c>
      <c r="E4" s="6" t="n">
        <v>777</v>
      </c>
      <c r="F4" s="6" t="n">
        <v>919</v>
      </c>
      <c r="G4" s="6" t="n"/>
      <c r="H4" s="6" t="n"/>
      <c r="I4" s="6" t="n"/>
      <c r="J4" s="6" t="n"/>
      <c r="K4" s="6" t="n"/>
      <c r="L4" s="6" t="n">
        <v>580</v>
      </c>
      <c r="M4" s="6" t="n">
        <v>455</v>
      </c>
    </row>
    <row r="5">
      <c r="A5" s="6" t="inlineStr">
        <is>
          <t>Counterparty Credit Risk (CCR)</t>
        </is>
      </c>
      <c r="B5" s="6" t="n">
        <v>5.1</v>
      </c>
      <c r="C5" s="6" t="n">
        <v>78.40000000000001</v>
      </c>
      <c r="D5" s="6" t="n">
        <v>42.5</v>
      </c>
      <c r="E5" s="6" t="n">
        <v>65.59999999999999</v>
      </c>
      <c r="F5" s="6" t="n"/>
      <c r="G5" s="6" t="n"/>
      <c r="H5" s="6" t="n"/>
      <c r="I5" s="6" t="n"/>
      <c r="J5" s="6" t="n"/>
      <c r="K5" s="6" t="n"/>
      <c r="L5" s="6" t="n"/>
      <c r="M5" s="6" t="n"/>
    </row>
    <row r="6">
      <c r="A6" s="6" t="inlineStr">
        <is>
          <t>of which: Credit Valuation Adjustment (CVA)</t>
        </is>
      </c>
      <c r="B6" s="6" t="n">
        <v>0.8</v>
      </c>
      <c r="C6" s="6" t="n">
        <v>1.1</v>
      </c>
      <c r="D6" s="6" t="n">
        <v>1</v>
      </c>
      <c r="E6" s="6" t="n">
        <v>0.8</v>
      </c>
      <c r="F6" s="6" t="n">
        <v>3.3</v>
      </c>
      <c r="G6" s="6" t="n"/>
      <c r="H6" s="6" t="n"/>
      <c r="I6" s="6" t="n"/>
      <c r="J6" s="6" t="n"/>
      <c r="K6" s="6" t="n"/>
      <c r="L6" s="6" t="n"/>
      <c r="M6" s="6" t="n"/>
    </row>
    <row r="7">
      <c r="A7" s="6" t="inlineStr">
        <is>
          <t>Settlement Risk</t>
        </is>
      </c>
      <c r="B7" s="6" t="n">
        <v>0</v>
      </c>
      <c r="C7" s="6" t="n">
        <v>0</v>
      </c>
      <c r="D7" s="6" t="n">
        <v>0</v>
      </c>
      <c r="E7" s="6" t="n">
        <v>0</v>
      </c>
      <c r="F7" s="6" t="n">
        <v>0</v>
      </c>
      <c r="G7" s="6" t="n"/>
      <c r="H7" s="6" t="n"/>
      <c r="I7" s="6" t="n"/>
      <c r="J7" s="6" t="n"/>
      <c r="K7" s="6" t="n"/>
      <c r="L7" s="6" t="n"/>
      <c r="M7" s="6" t="n"/>
    </row>
    <row r="8">
      <c r="A8" s="6" t="inlineStr">
        <is>
          <t>Market Risk (FX and commodities)</t>
        </is>
      </c>
      <c r="B8" s="6" t="n">
        <v>3.8</v>
      </c>
      <c r="C8" s="6" t="n">
        <v>3.4</v>
      </c>
      <c r="D8" s="6" t="n">
        <v>3</v>
      </c>
      <c r="E8" s="6" t="n">
        <v>9.300000000000001</v>
      </c>
      <c r="F8" s="6" t="n">
        <v>5.5</v>
      </c>
      <c r="G8" s="6" t="n"/>
      <c r="H8" s="6" t="n"/>
      <c r="I8" s="6" t="n"/>
      <c r="J8" s="6" t="n"/>
      <c r="K8" s="6" t="n"/>
      <c r="L8" s="6" t="n">
        <v>3.8</v>
      </c>
      <c r="M8" s="6" t="n">
        <v>1</v>
      </c>
    </row>
    <row r="9">
      <c r="A9" s="6" t="inlineStr">
        <is>
          <t>Operational Risk</t>
        </is>
      </c>
      <c r="B9" s="6" t="n">
        <v>137.5</v>
      </c>
      <c r="C9" s="6" t="n">
        <v>134.2</v>
      </c>
      <c r="D9" s="6" t="n">
        <v>83.8</v>
      </c>
      <c r="E9" s="6" t="n">
        <v>78.2</v>
      </c>
      <c r="F9" s="6" t="n">
        <v>72.7</v>
      </c>
      <c r="G9" s="6" t="n"/>
      <c r="H9" s="6" t="n"/>
      <c r="I9" s="6" t="n"/>
      <c r="J9" s="6" t="n"/>
      <c r="K9" s="6" t="n"/>
      <c r="L9" s="6" t="n">
        <v>40.1</v>
      </c>
      <c r="M9" s="6" t="n">
        <v>34.3</v>
      </c>
    </row>
    <row r="10">
      <c r="A10" s="5" t="inlineStr">
        <is>
          <t>Total risk-weighted exposure amount</t>
        </is>
      </c>
      <c r="B10" s="5" t="n">
        <v>1370.7</v>
      </c>
      <c r="C10" s="5" t="n">
        <v>1179.2</v>
      </c>
      <c r="D10" s="5" t="n">
        <v>917.3</v>
      </c>
      <c r="E10" s="5" t="n">
        <v>930.1</v>
      </c>
      <c r="F10" s="5" t="n">
        <v>1000.5</v>
      </c>
      <c r="G10" s="5" t="n"/>
      <c r="H10" s="5" t="n"/>
      <c r="I10" s="5" t="n"/>
      <c r="J10" s="5" t="n"/>
      <c r="K10" s="5" t="n"/>
      <c r="L10" s="5" t="n">
        <v>624</v>
      </c>
      <c r="M10" s="5" t="n">
        <v>490.4</v>
      </c>
    </row>
    <row r="11">
      <c r="A11" s="6" t="inlineStr">
        <is>
          <t>Memo: amounts below thresholds for deduction (already included within Credit Risk above)</t>
        </is>
      </c>
      <c r="B11" s="6" t="n">
        <v>0</v>
      </c>
      <c r="C11" s="6" t="n">
        <v>0.8</v>
      </c>
      <c r="D11" s="6" t="n"/>
      <c r="E11" s="6" t="n"/>
      <c r="F11" s="6" t="n"/>
      <c r="G11" s="6" t="n"/>
      <c r="H11" s="6" t="n"/>
      <c r="I11" s="6" t="n"/>
      <c r="J11" s="6" t="n"/>
      <c r="K11" s="6" t="n"/>
      <c r="L11" s="6" t="n"/>
      <c r="M11" s="6" t="n"/>
    </row>
    <row r="13" ht="440" customHeight="1">
      <c r="A13"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http://web.archive.org/web/20161128044735/http://www.zenith-bank.co.uk/uploads/ZBL_Pillar_3_Disclosure_Document_2015.pdf
FY2014: Pillar 3 Disclosures 31 December 2014, p.8-9 (Section 4, Capital Adequacy Overview &amp; Resources) - http://web.archive.org/web/20160826052010/http://www.zenith-bank.co.uk/uploads/ZBL_Pillar_3_Disclosure_Document_2014.pdf
FY2016-FY2020: genuinely unobtainable - no Pillar 3 disclosure PDF for these 5 years could be found on the live zenith-bank.co.uk site or in the Internet Archive Wayback Machine despite a thorough search (the Bank's Pillar 3 page itself was archived multiple times across FY2016-FY2020 and confirms the underlying PDF links existed at the time, but the PDF binaries themselves were never crawled). All 11 Pillar 3 metric sheets and the RWA Breakdown sheet are blank for FY2016-FY2020 - see the HD-048 extension note on the Cash Flow Statement sheet for the full self-skip rationale.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
UK OV1 template (Overview of risk weighted exposure amounts). Each year's own Pillar 3 report is used. FY2024's own report splits Credit Risk (excl. CCR) $1,205,520k / CCR $98,068k, while the FY2025 report's restated FY2024 comparative shows a different split ($1,280,947k / $22,641k) - same total ($1,475,750k) either way; a reclassification between the two lines, not a change to overall RWAs. FY2021's own report pre-dates the UK OV1 template's current form: it combines most Counterparty Credit Risk into the 'Credit Risk' line (footnoted in the source as immaterial, &lt;1% of Credit Risk) while still separately disclosing CVA - so FY2021's CCR row is blank (not zero) and its Credit Risk row includes that CCR. FY2023's total ($1,167,888k) is $1k off the sum of its own visible rows due to source-side rounding of each row to the nearest $1k - not a plug. Settlement Risk is nil (explicitly disclosed, immaterial) in every year. The 'amounts below thresholds for deduction' memo line (FY2024 only, $1,024k) is explicitly excluded from the Total per the source's own footnote (already counted within Credit Risk) - not additive.
FY2014/FY2015 pre-date the UK OV1 template entirely (see PRE-CRD IV METHODOLOGY NOTE above) - rows are DERIVED by dividing each year's own disclosed Pillar 1 capital requirement per risk category by 8% (the standard Basel capital-to-RWA ratio), not directly disclosed as risk-weighted amounts. No CCR/CVA breakout or Settlement Risk line exists in the source for these two years (blank, not zero - the source's Credit Risk capital requirement may include an immaterial counterparty risk component not separately identifiable). FY2016-FY2020 are blank - no Pillar 3 disclosure document recoverable for those years (see Pillar 3 sources note above for the search performed).</t>
        </is>
      </c>
    </row>
  </sheetData>
  <mergeCells count="1">
    <mergeCell ref="A13:M13"/>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Zenith Bank (UK) Limited — Leverage Ratio</t>
        </is>
      </c>
    </row>
    <row r="2">
      <c r="A2" s="2" t="inlineStr">
        <is>
          <t>£'000 / %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exposure measure excluding claims on central banks</t>
        </is>
      </c>
      <c r="B4" s="6" t="n">
        <v>2358.6</v>
      </c>
      <c r="C4" s="6" t="n">
        <v>2387.1</v>
      </c>
      <c r="D4" s="6" t="n">
        <v>2256.1</v>
      </c>
      <c r="E4" s="6" t="n">
        <v>2818.2</v>
      </c>
      <c r="F4" s="6" t="n">
        <v>2381.4</v>
      </c>
      <c r="G4" s="6" t="n"/>
      <c r="H4" s="6" t="n"/>
      <c r="I4" s="6" t="n"/>
      <c r="J4" s="6" t="n"/>
      <c r="K4" s="6" t="n"/>
      <c r="L4" s="6" t="n"/>
      <c r="M4" s="6" t="n"/>
    </row>
    <row r="5">
      <c r="A5" s="6" t="inlineStr">
        <is>
          <t>Leverage ratio excluding claims on central banks (%)</t>
        </is>
      </c>
      <c r="B5" s="6" t="inlineStr">
        <is>
          <t>12.08%</t>
        </is>
      </c>
      <c r="C5" s="6" t="inlineStr">
        <is>
          <t>11.25%</t>
        </is>
      </c>
      <c r="D5" s="6" t="inlineStr">
        <is>
          <t>9.76%</t>
        </is>
      </c>
      <c r="E5" s="6" t="inlineStr">
        <is>
          <t>7.32%</t>
        </is>
      </c>
      <c r="F5" s="6" t="inlineStr">
        <is>
          <t>8.36%</t>
        </is>
      </c>
      <c r="G5" s="6" t="n"/>
      <c r="H5" s="6" t="n"/>
      <c r="I5" s="6" t="n"/>
      <c r="J5" s="6" t="n"/>
      <c r="K5" s="6" t="n"/>
      <c r="L5" s="6" t="n"/>
      <c r="M5" s="6" t="n"/>
    </row>
    <row r="6" ht="60" customHeight="1">
      <c r="A6" s="7" t="inlineStr">
        <is>
          <t>Note: FY2014-FY2020 are blank: the CRD IV/UK leverage ratio framework did not apply to a firm this size in FY2014/FY2015 (their own surviving Pillar 3 disclosures mention no leverage ratio), and no Pillar 3 disclosure document could be recovered for FY2016-FY2020 in any case (see Pillar 3 sources note).</t>
        </is>
      </c>
    </row>
    <row r="8" ht="120" customHeight="1">
      <c r="A8"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http://web.archive.org/web/20161128044735/http://www.zenith-bank.co.uk/uploads/ZBL_Pillar_3_Disclosure_Document_2015.pdf
FY2014: Pillar 3 Disclosures 31 December 2014, p.8-9 (Section 4, Capital Adequacy Overview &amp; Resources) - http://web.archive.org/web/20160826052010/http://www.zenith-bank.co.uk/uploads/ZBL_Pillar_3_Disclosure_Document_2014.pdf
FY2016-FY2020: genuinely unobtainable - no Pillar 3 disclosure PDF for these 5 years could be found on the live zenith-bank.co.uk site or in the Internet Archive Wayback Machine despite a thorough search (the Bank's Pillar 3 page itself was archived multiple times across FY2016-FY2020 and confirms the underlying PDF links existed at the time, but the PDF binaries themselves were never crawled). All 11 Pillar 3 metric sheets and the RWA Breakdown sheet are blank for FY2016-FY2020 - see the HD-048 extension note on the Cash Flow Statement sheet for the full self-skip rationale.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t>
        </is>
      </c>
    </row>
  </sheetData>
  <mergeCells count="2">
    <mergeCell ref="A8:M8"/>
    <mergeCell ref="A6:M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Zenith Bank (UK) Limited — LCR</t>
        </is>
      </c>
    </row>
    <row r="2">
      <c r="A2" s="2" t="inlineStr">
        <is>
          <t>£'000 / %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high-quality liquid assets (HQLA), weighted value</t>
        </is>
      </c>
      <c r="B4" s="6" t="n">
        <v>708.3</v>
      </c>
      <c r="C4" s="6" t="n">
        <v>810.1</v>
      </c>
      <c r="D4" s="6" t="n">
        <v>901.4</v>
      </c>
      <c r="E4" s="6" t="n">
        <v>1014.7</v>
      </c>
      <c r="F4" s="6" t="n">
        <v>689.9</v>
      </c>
      <c r="G4" s="6" t="n"/>
      <c r="H4" s="6" t="n"/>
      <c r="I4" s="6" t="n"/>
      <c r="J4" s="6" t="n"/>
      <c r="K4" s="6" t="n"/>
      <c r="L4" s="6" t="n"/>
      <c r="M4" s="6" t="n"/>
    </row>
    <row r="5">
      <c r="A5" s="6" t="inlineStr">
        <is>
          <t>Total net cash outflows, adjusted value</t>
        </is>
      </c>
      <c r="B5" s="6" t="n">
        <v>262.2</v>
      </c>
      <c r="C5" s="6" t="n">
        <v>245.2</v>
      </c>
      <c r="D5" s="6" t="n">
        <v>290.3</v>
      </c>
      <c r="E5" s="6" t="n">
        <v>309.8</v>
      </c>
      <c r="F5" s="6" t="n">
        <v>249.8</v>
      </c>
      <c r="G5" s="6" t="n"/>
      <c r="H5" s="6" t="n"/>
      <c r="I5" s="6" t="n"/>
      <c r="J5" s="6" t="n"/>
      <c r="K5" s="6" t="n"/>
      <c r="L5" s="6" t="n"/>
      <c r="M5" s="6" t="n"/>
    </row>
    <row r="6">
      <c r="A6" s="6" t="inlineStr">
        <is>
          <t>Liquidity Coverage Ratio (%)</t>
        </is>
      </c>
      <c r="B6" s="6" t="inlineStr">
        <is>
          <t>270.19%</t>
        </is>
      </c>
      <c r="C6" s="6" t="inlineStr">
        <is>
          <t>330.42%</t>
        </is>
      </c>
      <c r="D6" s="6" t="inlineStr">
        <is>
          <t>310%</t>
        </is>
      </c>
      <c r="E6" s="6" t="inlineStr">
        <is>
          <t>343%</t>
        </is>
      </c>
      <c r="F6" s="6" t="inlineStr">
        <is>
          <t>276%</t>
        </is>
      </c>
      <c r="G6" s="6" t="n"/>
      <c r="H6" s="6" t="n"/>
      <c r="I6" s="6" t="n"/>
      <c r="J6" s="6" t="n"/>
      <c r="K6" s="6" t="n"/>
      <c r="L6" s="6" t="n"/>
      <c r="M6" s="6" t="n"/>
    </row>
    <row r="7" ht="60" customHeight="1">
      <c r="A7" s="7" t="inlineStr">
        <is>
          <t>Note: LCR methodology changed across vintages: FY2021 is a point-in-time (year-end) figure as originally disclosed; FY2022 onward is a 12-month simple average, per each year's own report. FY2022's own report (374,822k/343%) differs from the FY2023 report's restated FY2022 comparative (348,210k/352%) - FY2022's own report figure is used, per this project's convention. FY2014-FY2020 are blank: LCR minimum requirements were phased in for UK firms from October 2015, and no Pillar 3 disclosure covering LCR could be recovered for FY2016-FY2020 in any case (see Pillar 3 sources note); FY2014/FY2015's own surviving Pillar 3 disclosures pre-date LCR reporting for this firm and mention no LCR figure.</t>
        </is>
      </c>
    </row>
    <row r="9" ht="120" customHeight="1">
      <c r="A9"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http://web.archive.org/web/20161128044735/http://www.zenith-bank.co.uk/uploads/ZBL_Pillar_3_Disclosure_Document_2015.pdf
FY2014: Pillar 3 Disclosures 31 December 2014, p.8-9 (Section 4, Capital Adequacy Overview &amp; Resources) - http://web.archive.org/web/20160826052010/http://www.zenith-bank.co.uk/uploads/ZBL_Pillar_3_Disclosure_Document_2014.pdf
FY2016-FY2020: genuinely unobtainable - no Pillar 3 disclosure PDF for these 5 years could be found on the live zenith-bank.co.uk site or in the Internet Archive Wayback Machine despite a thorough search (the Bank's Pillar 3 page itself was archived multiple times across FY2016-FY2020 and confirms the underlying PDF links existed at the time, but the PDF binaries themselves were never crawled). All 11 Pillar 3 metric sheets and the RWA Breakdown sheet are blank for FY2016-FY2020 - see the HD-048 extension note on the Cash Flow Statement sheet for the full self-skip rationale.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t>
        </is>
      </c>
    </row>
  </sheetData>
  <mergeCells count="2">
    <mergeCell ref="A9:M9"/>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Zenith Bank (UK) Limited — NSFR</t>
        </is>
      </c>
    </row>
    <row r="2">
      <c r="A2" s="2" t="inlineStr">
        <is>
          <t>£'000 / %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available stable funding</t>
        </is>
      </c>
      <c r="B4" s="6" t="n">
        <v>979.3</v>
      </c>
      <c r="C4" s="6" t="n">
        <v>908.4</v>
      </c>
      <c r="D4" s="6" t="n">
        <v>838</v>
      </c>
      <c r="E4" s="6" t="n">
        <v>754.6</v>
      </c>
      <c r="F4" s="6" t="n"/>
      <c r="G4" s="6" t="n"/>
      <c r="H4" s="6" t="n"/>
      <c r="I4" s="6" t="n"/>
      <c r="J4" s="6" t="n"/>
      <c r="K4" s="6" t="n"/>
      <c r="L4" s="6" t="n"/>
      <c r="M4" s="6" t="n"/>
    </row>
    <row r="5">
      <c r="A5" s="6" t="inlineStr">
        <is>
          <t>Total required stable funding</t>
        </is>
      </c>
      <c r="B5" s="6" t="n">
        <v>705.3</v>
      </c>
      <c r="C5" s="6" t="n">
        <v>613.9</v>
      </c>
      <c r="D5" s="6" t="n">
        <v>584.7</v>
      </c>
      <c r="E5" s="6" t="n">
        <v>608.2</v>
      </c>
      <c r="F5" s="6" t="n"/>
      <c r="G5" s="6" t="n"/>
      <c r="H5" s="6" t="n"/>
      <c r="I5" s="6" t="n"/>
      <c r="J5" s="6" t="n"/>
      <c r="K5" s="6" t="n"/>
      <c r="L5" s="6" t="n"/>
      <c r="M5" s="6" t="n"/>
    </row>
    <row r="6">
      <c r="A6" s="6" t="inlineStr">
        <is>
          <t>Net Stable Funding Ratio (%)</t>
        </is>
      </c>
      <c r="B6" s="6" t="inlineStr">
        <is>
          <t>138.85%</t>
        </is>
      </c>
      <c r="C6" s="6" t="inlineStr">
        <is>
          <t>147.98%</t>
        </is>
      </c>
      <c r="D6" s="6" t="inlineStr">
        <is>
          <t>143%</t>
        </is>
      </c>
      <c r="E6" s="6" t="inlineStr">
        <is>
          <t>124%</t>
        </is>
      </c>
      <c r="F6" s="6" t="inlineStr">
        <is>
          <t>Not disclosed</t>
        </is>
      </c>
      <c r="G6" s="6" t="n"/>
      <c r="H6" s="6" t="n"/>
      <c r="I6" s="6" t="n"/>
      <c r="J6" s="6" t="n"/>
      <c r="K6" s="6" t="n"/>
      <c r="L6" s="6" t="n"/>
      <c r="M6" s="6" t="n"/>
    </row>
    <row r="7" ht="60" customHeight="1">
      <c r="A7" s="7" t="inlineStr">
        <is>
          <t>Note: The UK NSFR was adopted from 1 January 2022 (per the FY2021 and FY2022 Pillar 3 reports), so no FY2021 figures exist. FY2014-FY2020 are blank for the same reason (NSFR did not exist as a UK requirement) and, for FY2016-FY2020 additionally, no Pillar 3 disclosure document could be recovered at all (see Pillar 3 sources note).</t>
        </is>
      </c>
    </row>
    <row r="9" ht="120" customHeight="1">
      <c r="A9"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http://web.archive.org/web/20161128044735/http://www.zenith-bank.co.uk/uploads/ZBL_Pillar_3_Disclosure_Document_2015.pdf
FY2014: Pillar 3 Disclosures 31 December 2014, p.8-9 (Section 4, Capital Adequacy Overview &amp; Resources) - http://web.archive.org/web/20160826052010/http://www.zenith-bank.co.uk/uploads/ZBL_Pillar_3_Disclosure_Document_2014.pdf
FY2016-FY2020: genuinely unobtainable - no Pillar 3 disclosure PDF for these 5 years could be found on the live zenith-bank.co.uk site or in the Internet Archive Wayback Machine despite a thorough search (the Bank's Pillar 3 page itself was archived multiple times across FY2016-FY2020 and confirms the underlying PDF links existed at the time, but the PDF binaries themselves were never crawled). All 11 Pillar 3 metric sheets and the RWA Breakdown sheet are blank for FY2016-FY2020 - see the HD-048 extension note on the Cash Flow Statement sheet for the full self-skip rationale.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t>
        </is>
      </c>
    </row>
  </sheetData>
  <mergeCells count="2">
    <mergeCell ref="A9:M9"/>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Zenith 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 MREL disclosure (numeric or qualitative) or UK KM2 template found in any year's Pillar 3 report - not explicitly stated as an exemption, but consistent with the Bank's small size relative to typical MREL-in-scope thresholds. MREL did not exist as a UK regime for FY2014-FY2020 in any case.</t>
        </is>
      </c>
    </row>
    <row r="7" ht="150" customHeight="1">
      <c r="A7"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http://web.archive.org/web/20161128044735/http://www.zenith-bank.co.uk/uploads/ZBL_Pillar_3_Disclosure_Document_2015.pdf
FY2014: Pillar 3 Disclosures 31 December 2014, p.8-9 (Section 4, Capital Adequacy Overview &amp; Resources) - http://web.archive.org/web/20160826052010/http://www.zenith-bank.co.uk/uploads/ZBL_Pillar_3_Disclosure_Document_2014.pdf
FY2016-FY2020: genuinely unobtainable - no Pillar 3 disclosure PDF for these 5 years could be found on the live zenith-bank.co.uk site or in the Internet Archive Wayback Machine despite a thorough search (the Bank's Pillar 3 page itself was archived multiple times across FY2016-FY2020 and confirms the underlying PDF links existed at the time, but the PDF binaries themselves were never crawled). All 11 Pillar 3 metric sheets and the RWA Breakdown sheet are blank for FY2016-FY2020 - see the HD-048 extension note on the Cash Flow Statement sheet for the full self-skip rationale.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2026-09-07T01:44:33Z</dcterms:created>
  <dcterms:modified xmlns:dcterms="http://purl.org/dc/terms/" xmlns:xsi="http://www.w3.org/2001/XMLSchema-instance" xsi:type="dcterms:W3CDTF">2026-09-07T01:44:33Z</dcterms:modified>
</cp:coreProperties>
</file>