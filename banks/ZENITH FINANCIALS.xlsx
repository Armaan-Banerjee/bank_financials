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c r="O6" s="5" t="n"/>
      <c r="P6" s="5" t="n"/>
      <c r="Q6" s="5" t="n"/>
      <c r="R6" s="5" t="n"/>
      <c r="U6" t="inlineStr">
        <is>
          <t>Total assets</t>
        </is>
      </c>
      <c r="AA6" t="n">
        <v>1025768.3</v>
      </c>
      <c r="AB6" t="n">
        <v>778818.5</v>
      </c>
      <c r="AC6" t="n">
        <v>1072445.7</v>
      </c>
      <c r="AD6" t="n">
        <v>1240386.5</v>
      </c>
      <c r="AE6" t="n">
        <v>1491256.9</v>
      </c>
      <c r="AF6" t="n">
        <v>1280524.6</v>
      </c>
      <c r="AG6" t="n">
        <v>1688935.5</v>
      </c>
      <c r="AH6" t="n">
        <v>2130359.2</v>
      </c>
      <c r="AI6" t="n">
        <v>2591520.9</v>
      </c>
      <c r="AJ6" t="n">
        <v>2089290.6</v>
      </c>
      <c r="AK6" t="n">
        <v>2116703.1</v>
      </c>
      <c r="CW6" t="inlineStr">
        <is>
          <t>CET1 Ratio</t>
        </is>
      </c>
      <c r="DC6" t="n">
        <v>22.32</v>
      </c>
      <c r="DD6" t="n">
        <v>20.38</v>
      </c>
      <c r="DI6" t="n">
        <v>28.29</v>
      </c>
      <c r="DJ6" t="n">
        <v>20.78</v>
      </c>
      <c r="DK6" t="n">
        <v>25.84</v>
      </c>
      <c r="DL6" t="n">
        <v>28.95</v>
      </c>
      <c r="DM6" t="n">
        <v>25.64</v>
      </c>
      <c r="DN6" t="n">
        <v>23.4</v>
      </c>
    </row>
    <row r="7">
      <c r="A7" s="5" t="inlineStr">
        <is>
          <t>Total liabilities</t>
        </is>
      </c>
      <c r="B7" s="5" t="n"/>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c r="O7" s="5" t="n"/>
      <c r="P7" s="5" t="n"/>
      <c r="Q7" s="5" t="n"/>
      <c r="R7" s="5" t="n"/>
      <c r="U7" t="inlineStr">
        <is>
          <t>Total liabilities</t>
        </is>
      </c>
      <c r="AA7" t="n">
        <v>907113.5</v>
      </c>
      <c r="AB7" t="n">
        <v>650253.4</v>
      </c>
      <c r="AC7" t="n">
        <v>915444.6</v>
      </c>
      <c r="AD7" t="n">
        <v>1087324.1</v>
      </c>
      <c r="AE7" t="n">
        <v>1314749.8</v>
      </c>
      <c r="AF7" t="n">
        <v>1088116.9</v>
      </c>
      <c r="AG7" t="n">
        <v>1487212.9</v>
      </c>
      <c r="AH7" t="n">
        <v>1927464.8</v>
      </c>
      <c r="AI7" t="n">
        <v>2353937.2</v>
      </c>
      <c r="AJ7" t="n">
        <v>1825371.8</v>
      </c>
      <c r="AK7" t="n">
        <v>1811346.9</v>
      </c>
      <c r="CW7" t="inlineStr">
        <is>
          <t>Tier 1 Ratio</t>
        </is>
      </c>
      <c r="DC7" t="n">
        <v>22.32</v>
      </c>
      <c r="DD7" t="n">
        <v>20.38</v>
      </c>
      <c r="DI7" t="n">
        <v>28.29</v>
      </c>
      <c r="DJ7" t="n">
        <v>20.78</v>
      </c>
      <c r="DK7" t="n">
        <v>25.84</v>
      </c>
      <c r="DL7" t="n">
        <v>28.95</v>
      </c>
      <c r="DM7" t="n">
        <v>25.64</v>
      </c>
      <c r="DN7" t="n">
        <v>23.4</v>
      </c>
    </row>
    <row r="8">
      <c r="A8" s="5" t="inlineStr">
        <is>
          <t>Total equity</t>
        </is>
      </c>
      <c r="B8" s="5" t="n"/>
      <c r="C8" s="5" t="n">
        <v>305356.2</v>
      </c>
      <c r="D8" s="5" t="n">
        <v>263918.8</v>
      </c>
      <c r="E8" s="5" t="n">
        <v>237583.7</v>
      </c>
      <c r="F8" s="5" t="n">
        <v>202894.4</v>
      </c>
      <c r="G8" s="5" t="n">
        <v>201722.6</v>
      </c>
      <c r="H8" s="5" t="n">
        <v>192407.7</v>
      </c>
      <c r="I8" s="5" t="n">
        <v>176507.1</v>
      </c>
      <c r="J8" s="5" t="n">
        <v>153062.4</v>
      </c>
      <c r="K8" s="5" t="n">
        <v>157001.1</v>
      </c>
      <c r="L8" s="5" t="n">
        <v>128565.1</v>
      </c>
      <c r="M8" s="5" t="n">
        <v>118654.9</v>
      </c>
      <c r="N8" s="5" t="n"/>
      <c r="O8" s="5" t="n"/>
      <c r="P8" s="5" t="n"/>
      <c r="Q8" s="5" t="n"/>
      <c r="R8" s="5" t="n"/>
      <c r="U8" t="inlineStr">
        <is>
          <t>Total equity</t>
        </is>
      </c>
      <c r="AA8" t="n">
        <v>118654.9</v>
      </c>
      <c r="AB8" t="n">
        <v>128565.1</v>
      </c>
      <c r="AC8" t="n">
        <v>157001.1</v>
      </c>
      <c r="AD8" t="n">
        <v>153062.4</v>
      </c>
      <c r="AE8" t="n">
        <v>176507.1</v>
      </c>
      <c r="AF8" t="n">
        <v>192407.7</v>
      </c>
      <c r="AG8" t="n">
        <v>201722.6</v>
      </c>
      <c r="AH8" t="n">
        <v>202894.4</v>
      </c>
      <c r="AI8" t="n">
        <v>237583.7</v>
      </c>
      <c r="AJ8" t="n">
        <v>263918.8</v>
      </c>
      <c r="AK8" t="n">
        <v>305356.2</v>
      </c>
      <c r="CW8" t="inlineStr">
        <is>
          <t>Total Capital Ratio</t>
        </is>
      </c>
      <c r="DC8" t="n">
        <v>22.32</v>
      </c>
      <c r="DD8" t="n">
        <v>20.38</v>
      </c>
      <c r="DI8" t="n">
        <v>28.29</v>
      </c>
      <c r="DJ8" t="n">
        <v>20.78</v>
      </c>
      <c r="DK8" t="n">
        <v>25.84</v>
      </c>
      <c r="DL8" t="n">
        <v>28.95</v>
      </c>
      <c r="DM8" t="n">
        <v>25.64</v>
      </c>
      <c r="DN8" t="n">
        <v>23.4</v>
      </c>
    </row>
    <row r="9">
      <c r="CW9" t="inlineStr">
        <is>
          <t>Leverage Ratio</t>
        </is>
      </c>
      <c r="DI9" t="n">
        <v>10.68</v>
      </c>
      <c r="DJ9" t="n">
        <v>8.359999999999999</v>
      </c>
      <c r="DK9" t="n">
        <v>7.32</v>
      </c>
      <c r="DL9" t="n">
        <v>9.76</v>
      </c>
      <c r="DM9" t="n">
        <v>11.25</v>
      </c>
      <c r="DN9" t="n">
        <v>12.08</v>
      </c>
    </row>
    <row r="10">
      <c r="A10" s="3" t="inlineStr">
        <is>
          <t>Profit &amp; Loss Summary (£'000)</t>
        </is>
      </c>
      <c r="CW10" t="inlineStr">
        <is>
          <t>LCR</t>
        </is>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c r="C12" s="5" t="n">
        <v>62855</v>
      </c>
      <c r="D12" s="5" t="n">
        <v>77360.5</v>
      </c>
      <c r="E12" s="5" t="n">
        <v>51765.3</v>
      </c>
      <c r="F12" s="5" t="n">
        <v>27807.4</v>
      </c>
      <c r="G12" s="5" t="n">
        <v>28077.3</v>
      </c>
      <c r="H12" s="5" t="n">
        <v>34628.4</v>
      </c>
      <c r="I12" s="5" t="n">
        <v>28962.3</v>
      </c>
      <c r="J12" s="5" t="n">
        <v>21978.3</v>
      </c>
      <c r="K12" s="5" t="n">
        <v>21277.5</v>
      </c>
      <c r="L12" s="5" t="n">
        <v>14592.1</v>
      </c>
      <c r="M12" s="5" t="n">
        <v>14209.2</v>
      </c>
      <c r="N12" s="5" t="n"/>
      <c r="O12" s="5" t="n"/>
      <c r="P12" s="5" t="n"/>
      <c r="Q12" s="5" t="n"/>
      <c r="R12" s="5" t="n"/>
      <c r="AO12" t="inlineStr">
        <is>
          <t>Net interest income</t>
        </is>
      </c>
      <c r="AU12" t="n">
        <v>14209.2</v>
      </c>
      <c r="AV12" t="n">
        <v>14592.1</v>
      </c>
      <c r="AW12" t="n">
        <v>21277.5</v>
      </c>
      <c r="AX12" t="n">
        <v>21978.3</v>
      </c>
      <c r="AY12" t="n">
        <v>28962.3</v>
      </c>
      <c r="AZ12" t="n">
        <v>34628.4</v>
      </c>
      <c r="BA12" t="n">
        <v>28077.3</v>
      </c>
      <c r="BB12" t="n">
        <v>27807.4</v>
      </c>
      <c r="BC12" t="n">
        <v>51765.3</v>
      </c>
      <c r="BD12" t="n">
        <v>77360.5</v>
      </c>
      <c r="BE12" t="n">
        <v>62855</v>
      </c>
    </row>
    <row r="13">
      <c r="A13" s="5" t="inlineStr">
        <is>
          <t>Operating income</t>
        </is>
      </c>
      <c r="B13" s="5" t="n"/>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c r="O13" s="5" t="n"/>
      <c r="P13" s="5" t="n"/>
      <c r="Q13" s="5" t="n"/>
      <c r="R13" s="5" t="n"/>
      <c r="AO13" t="inlineStr">
        <is>
          <t>Operating income</t>
        </is>
      </c>
      <c r="AU13" t="n">
        <v>20617.5</v>
      </c>
      <c r="AV13" t="n">
        <v>21146.7</v>
      </c>
      <c r="AW13" t="n">
        <v>27568.5</v>
      </c>
      <c r="AX13" t="n">
        <v>31028.1</v>
      </c>
      <c r="AY13" t="n">
        <v>37242.3</v>
      </c>
      <c r="AZ13" t="n">
        <v>45518.9</v>
      </c>
      <c r="BA13" t="n">
        <v>38550</v>
      </c>
      <c r="BB13" t="n">
        <v>31947.1</v>
      </c>
      <c r="BC13" t="n">
        <v>62492.6</v>
      </c>
      <c r="BD13" t="n">
        <v>85377.89999999999</v>
      </c>
      <c r="BE13" t="n">
        <v>66720.5</v>
      </c>
    </row>
    <row r="14">
      <c r="A14" s="5" t="inlineStr">
        <is>
          <t>Profit before tax</t>
        </is>
      </c>
      <c r="B14" s="5" t="n"/>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c r="O14" s="5" t="n"/>
      <c r="P14" s="5" t="n"/>
      <c r="Q14" s="5" t="n"/>
      <c r="R14" s="5" t="n"/>
      <c r="AO14" t="inlineStr">
        <is>
          <t>Profit before tax</t>
        </is>
      </c>
      <c r="AU14" t="n">
        <v>11540.9</v>
      </c>
      <c r="AV14" t="n">
        <v>4645.5</v>
      </c>
      <c r="AW14" t="n">
        <v>2539.8</v>
      </c>
      <c r="AX14" t="n">
        <v>12431.7</v>
      </c>
      <c r="AY14" t="n">
        <v>25376.1</v>
      </c>
      <c r="AZ14" t="n">
        <v>27217.8</v>
      </c>
      <c r="BA14" t="n">
        <v>17062.6</v>
      </c>
      <c r="BB14" t="n">
        <v>9915.799999999999</v>
      </c>
      <c r="BC14" t="n">
        <v>36615</v>
      </c>
      <c r="BD14" t="n">
        <v>58520.5</v>
      </c>
      <c r="BE14" t="n">
        <v>44011</v>
      </c>
    </row>
    <row r="15">
      <c r="A15" s="5" t="inlineStr">
        <is>
          <t>Profit for the year</t>
        </is>
      </c>
      <c r="B15" s="5" t="n"/>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c r="O15" s="5" t="n"/>
      <c r="P15" s="5" t="n"/>
      <c r="Q15" s="5" t="n"/>
      <c r="R15" s="5" t="n"/>
      <c r="AO15" t="inlineStr">
        <is>
          <t>Profit for the year</t>
        </is>
      </c>
      <c r="AU15" t="n">
        <v>8742.299999999999</v>
      </c>
      <c r="AV15" t="n">
        <v>3484.1</v>
      </c>
      <c r="AW15" t="n">
        <v>1955.6</v>
      </c>
      <c r="AX15" t="n">
        <v>10583.1</v>
      </c>
      <c r="AY15" t="n">
        <v>20629.7</v>
      </c>
      <c r="AZ15" t="n">
        <v>21894.4</v>
      </c>
      <c r="BA15" t="n">
        <v>13966</v>
      </c>
      <c r="BB15" t="n">
        <v>8292.700000000001</v>
      </c>
      <c r="BC15" t="n">
        <v>28474.9</v>
      </c>
      <c r="BD15" t="n">
        <v>44085.1</v>
      </c>
      <c r="BE15" t="n">
        <v>33033.4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c r="O23" s="5" t="n"/>
      <c r="P23" s="5" t="n"/>
      <c r="Q23" s="5" t="n"/>
      <c r="R23" s="5" t="n"/>
      <c r="CC23" t="inlineStr">
        <is>
          <t>Net cash generated from/(used in) operating activities</t>
        </is>
      </c>
      <c r="CI23" t="n">
        <v>80335.5</v>
      </c>
      <c r="CJ23" t="n">
        <v>-74876.39999999999</v>
      </c>
      <c r="CK23" t="n">
        <v>225723.4</v>
      </c>
      <c r="CL23" t="n">
        <v>74286.2</v>
      </c>
      <c r="CM23" t="n">
        <v>-51112.4</v>
      </c>
      <c r="CN23" t="n">
        <v>-76511.5</v>
      </c>
      <c r="CO23" t="n">
        <v>207192.8</v>
      </c>
      <c r="CP23" t="n">
        <v>84381.3</v>
      </c>
      <c r="CQ23" t="n">
        <v>-197184.8</v>
      </c>
      <c r="CR23" t="n">
        <v>-276726.4</v>
      </c>
      <c r="CS23" t="n">
        <v>162230.1</v>
      </c>
    </row>
    <row r="24">
      <c r="A24" s="5" t="inlineStr">
        <is>
          <t>Net cash generated from/(used in) investing activities</t>
        </is>
      </c>
      <c r="B24" s="5" t="n"/>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c r="O24" s="5" t="n"/>
      <c r="P24" s="5" t="n"/>
      <c r="Q24" s="5" t="n"/>
      <c r="R24" s="5" t="n"/>
      <c r="CC24" t="inlineStr">
        <is>
          <t>Net cash generated from/(used in) investing activities</t>
        </is>
      </c>
      <c r="CI24" t="n">
        <v>23450.8</v>
      </c>
      <c r="CJ24" t="n">
        <v>-8569.799999999999</v>
      </c>
      <c r="CK24" t="n">
        <v>32457.4</v>
      </c>
      <c r="CL24" t="n">
        <v>21720.2</v>
      </c>
      <c r="CM24" t="n">
        <v>11251.6</v>
      </c>
      <c r="CN24" t="n">
        <v>-31092.8</v>
      </c>
      <c r="CO24" t="n">
        <v>-39565.5</v>
      </c>
      <c r="CP24" t="n">
        <v>-8018.4</v>
      </c>
      <c r="CQ24" t="n">
        <v>-2155.5</v>
      </c>
      <c r="CR24" t="n">
        <v>7360.1</v>
      </c>
      <c r="CS24" t="n">
        <v>429.6</v>
      </c>
    </row>
    <row r="25">
      <c r="A25" s="5" t="inlineStr">
        <is>
          <t>Net cash generated from/(used in) financing activities</t>
        </is>
      </c>
      <c r="B25" s="5" t="n"/>
      <c r="C25" s="5" t="n">
        <v>-525.9</v>
      </c>
      <c r="D25" s="5" t="n">
        <v>-14893.7</v>
      </c>
      <c r="E25" s="5" t="n">
        <v>-5277.6</v>
      </c>
      <c r="F25" s="5" t="n">
        <v>-7266.8</v>
      </c>
      <c r="G25" s="5" t="n">
        <v>274.2</v>
      </c>
      <c r="H25" s="5" t="n">
        <v>-474.5</v>
      </c>
      <c r="I25" s="5" t="n"/>
      <c r="J25" s="5" t="n"/>
      <c r="K25" s="5" t="n"/>
      <c r="L25" s="5" t="n"/>
      <c r="M25" s="5" t="n">
        <v>30367.4</v>
      </c>
      <c r="N25" s="5" t="n"/>
      <c r="O25" s="5" t="n"/>
      <c r="P25" s="5" t="n"/>
      <c r="Q25" s="5" t="n"/>
      <c r="R25" s="5" t="n"/>
      <c r="CC25" t="inlineStr">
        <is>
          <t>Net cash generated from/(used in) financing activities</t>
        </is>
      </c>
      <c r="CI25" t="n">
        <v>30367.4</v>
      </c>
      <c r="CN25" t="n">
        <v>-474.5</v>
      </c>
      <c r="CO25" t="n">
        <v>274.2</v>
      </c>
      <c r="CP25" t="n">
        <v>-7266.8</v>
      </c>
      <c r="CQ25" t="n">
        <v>-5277.6</v>
      </c>
      <c r="CR25" t="n">
        <v>-14893.7</v>
      </c>
      <c r="CS25" t="n">
        <v>-525.9</v>
      </c>
    </row>
    <row r="26">
      <c r="A26" s="5" t="inlineStr">
        <is>
          <t>Cash and cash equivalents at end of year</t>
        </is>
      </c>
      <c r="B26" s="5" t="n"/>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c r="O26" s="5" t="n"/>
      <c r="P26" s="5" t="n"/>
      <c r="Q26" s="5" t="n"/>
      <c r="R26" s="5" t="n"/>
      <c r="CC26" t="inlineStr">
        <is>
          <t>Cash and cash equivalents at end of year</t>
        </is>
      </c>
      <c r="CI26" t="n">
        <v>268406</v>
      </c>
      <c r="CJ26" t="n">
        <v>196648.9</v>
      </c>
      <c r="CK26" t="n">
        <v>519912.3</v>
      </c>
      <c r="CL26" t="n">
        <v>564977.9</v>
      </c>
      <c r="CM26" t="n">
        <v>556093</v>
      </c>
      <c r="CN26" t="n">
        <v>433198</v>
      </c>
      <c r="CO26" t="n">
        <v>576523.2</v>
      </c>
      <c r="CP26" t="n">
        <v>652769.3</v>
      </c>
      <c r="CQ26" t="n">
        <v>520509.8</v>
      </c>
      <c r="CR26" t="n">
        <v>216831.3</v>
      </c>
      <c r="CS26" t="n">
        <v>383726.2</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inlineStr">
        <is>
          <t>28.29%</t>
        </is>
      </c>
      <c r="H30" s="6" t="n"/>
      <c r="I30" s="6" t="n"/>
      <c r="J30" s="6" t="n"/>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inlineStr">
        <is>
          <t>28.29%</t>
        </is>
      </c>
      <c r="H31" s="6" t="n"/>
      <c r="I31" s="6" t="n"/>
      <c r="J31" s="6" t="n"/>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inlineStr">
        <is>
          <t>28.29%</t>
        </is>
      </c>
      <c r="H32" s="6" t="n"/>
      <c r="I32" s="6" t="n"/>
      <c r="J32" s="6" t="n"/>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inlineStr">
        <is>
          <t>10.68%</t>
        </is>
      </c>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FY2020 LCR (435%) and FY2021 LCR (276%) are deliberately omitted from this at-a-glance row: both are point-in-time year-end figures, whereas FY2022 onward are 12-month simple averages, and the two bases are not comparable on a single trend line. Both bases are shown, on separate rows, on the LCR sheet itself. The FY2020 capital ratios (28.29%) and leverage ratio (10.68%) ARE shown above: those are single-basis metrics with no such split, and they were missing from this Overview only because the pass that recovered FY2020 from the FY2021 report's comparative column populated the detail sheets without copying the values up here. Corrected 2026-09-15; the figures are a straight duplication of the CET1/Tier 1/Total Capital Ratio and Leverage Ratio sheets, nothing recomputed.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cash flow is blank (no FY2025 Annual Report published yet); Pillar 3 is fully populated for FY2025.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n"/>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Current tax liabilities</t>
        </is>
      </c>
      <c r="B24" s="6" t="n"/>
      <c r="C24" s="6" t="n">
        <v>1654.1</v>
      </c>
      <c r="D24" s="6" t="n">
        <v>0</v>
      </c>
      <c r="E24" s="6" t="n">
        <v>1011.4</v>
      </c>
      <c r="F24" s="6" t="n">
        <v>768</v>
      </c>
      <c r="G24" s="6" t="n">
        <v>266.1</v>
      </c>
      <c r="H24" s="6" t="n">
        <v>3435.7</v>
      </c>
      <c r="I24" s="6" t="n"/>
      <c r="J24" s="6" t="n"/>
      <c r="K24" s="6" t="n"/>
      <c r="L24" s="6" t="n"/>
      <c r="M24" s="6" t="n"/>
      <c r="N24" s="6" t="n"/>
      <c r="O24" s="6" t="n"/>
      <c r="P24" s="6" t="n"/>
      <c r="Q24" s="6" t="n"/>
      <c r="R24" s="6" t="n"/>
    </row>
    <row r="25">
      <c r="A25" s="6" t="inlineStr">
        <is>
          <t>Impairment allowance on committed/off-balance-sheet facilities</t>
        </is>
      </c>
      <c r="B25" s="6" t="n"/>
      <c r="C25" s="6" t="n">
        <v>499.7</v>
      </c>
      <c r="D25" s="6" t="n">
        <v>0</v>
      </c>
      <c r="E25" s="6" t="n">
        <v>588.8</v>
      </c>
      <c r="F25" s="6" t="n">
        <v>585.9</v>
      </c>
      <c r="G25" s="6" t="n">
        <v>210.7</v>
      </c>
      <c r="H25" s="6" t="n">
        <v>1090.6</v>
      </c>
      <c r="I25" s="6" t="n"/>
      <c r="J25" s="6" t="n"/>
      <c r="K25" s="6" t="n"/>
      <c r="L25" s="6" t="n"/>
      <c r="M25" s="6" t="n"/>
      <c r="N25" s="6" t="n"/>
      <c r="O25" s="6" t="n"/>
      <c r="P25" s="6" t="n"/>
      <c r="Q25" s="6" t="n"/>
      <c r="R25" s="6" t="n"/>
    </row>
    <row r="26">
      <c r="A26" s="6" t="inlineStr">
        <is>
          <t>Lease obligation</t>
        </is>
      </c>
      <c r="B26" s="6" t="n"/>
      <c r="C26" s="6" t="n">
        <v>7047.5</v>
      </c>
      <c r="D26" s="6" t="n">
        <v>829</v>
      </c>
      <c r="E26" s="6" t="n">
        <v>1531.7</v>
      </c>
      <c r="F26" s="6" t="n">
        <v>2187.4</v>
      </c>
      <c r="G26" s="6" t="n">
        <v>3113.2</v>
      </c>
      <c r="H26" s="6" t="n">
        <v>2846.9</v>
      </c>
      <c r="I26" s="6" t="n"/>
      <c r="J26" s="6" t="n"/>
      <c r="K26" s="6" t="n"/>
      <c r="L26" s="6" t="n"/>
      <c r="M26" s="6" t="n"/>
      <c r="N26" s="6" t="n"/>
      <c r="O26" s="6" t="n"/>
      <c r="P26" s="6" t="n"/>
      <c r="Q26" s="6" t="n"/>
      <c r="R26" s="6" t="n"/>
    </row>
    <row r="27">
      <c r="A27" s="6" t="inlineStr">
        <is>
          <t>Other liabilities</t>
        </is>
      </c>
      <c r="B27" s="6" t="n"/>
      <c r="C27" s="6" t="n">
        <v>4852.9</v>
      </c>
      <c r="D27" s="6" t="n">
        <v>5643.1</v>
      </c>
      <c r="E27" s="6" t="n">
        <v>13975.2</v>
      </c>
      <c r="F27" s="6" t="n">
        <v>5258.6</v>
      </c>
      <c r="G27" s="6" t="n">
        <v>3128.6</v>
      </c>
      <c r="H27" s="6" t="n">
        <v>3864.8</v>
      </c>
      <c r="I27" s="6" t="n">
        <v>7644.3</v>
      </c>
      <c r="J27" s="6" t="n">
        <v>5331.3</v>
      </c>
      <c r="K27" s="6" t="n">
        <v>3453.8</v>
      </c>
      <c r="L27" s="6" t="n">
        <v>3376.7</v>
      </c>
      <c r="M27" s="6" t="n">
        <v>3870.6</v>
      </c>
      <c r="N27" s="6" t="n">
        <v>3533</v>
      </c>
      <c r="O27" s="6" t="n">
        <v>2401</v>
      </c>
      <c r="P27" s="6" t="n">
        <v>2542.9</v>
      </c>
      <c r="Q27" s="6" t="n">
        <v>1589.8</v>
      </c>
      <c r="R27" s="6" t="n">
        <v>1598.7</v>
      </c>
    </row>
    <row r="28">
      <c r="A28" s="6" t="inlineStr">
        <is>
          <t>Provision</t>
        </is>
      </c>
      <c r="B28" s="6" t="n"/>
      <c r="C28" s="6" t="n">
        <v>135.4</v>
      </c>
      <c r="D28" s="6" t="n"/>
      <c r="E28" s="6" t="n"/>
      <c r="F28" s="6" t="n"/>
      <c r="G28" s="6" t="n"/>
      <c r="H28" s="6" t="n"/>
      <c r="I28" s="6" t="n"/>
      <c r="J28" s="6" t="n"/>
      <c r="K28" s="6" t="n"/>
      <c r="L28" s="6" t="n"/>
      <c r="M28" s="6" t="n"/>
      <c r="N28" s="6" t="n"/>
      <c r="O28" s="6" t="n"/>
      <c r="P28" s="6" t="n"/>
      <c r="Q28" s="6" t="n"/>
      <c r="R28" s="6" t="n"/>
    </row>
    <row r="29">
      <c r="A29" s="5" t="inlineStr">
        <is>
          <t>Total liabilities</t>
        </is>
      </c>
      <c r="B29" s="5" t="n"/>
      <c r="C29" s="5" t="n">
        <v>1811346.9</v>
      </c>
      <c r="D29" s="5" t="n">
        <v>1825371.8</v>
      </c>
      <c r="E29" s="5" t="n">
        <v>2353937.2</v>
      </c>
      <c r="F29" s="5" t="n">
        <v>1927464.8</v>
      </c>
      <c r="G29" s="5" t="n">
        <v>1487212.9</v>
      </c>
      <c r="H29" s="5" t="n">
        <v>1088116.9</v>
      </c>
      <c r="I29" s="5" t="n">
        <v>1314749.8</v>
      </c>
      <c r="J29" s="5" t="n">
        <v>1087324.1</v>
      </c>
      <c r="K29" s="5" t="n">
        <v>915444.6</v>
      </c>
      <c r="L29" s="5" t="n">
        <v>650253.4</v>
      </c>
      <c r="M29" s="5" t="n">
        <v>907113.5</v>
      </c>
      <c r="N29" s="5" t="n">
        <v>775487.5</v>
      </c>
      <c r="O29" s="5" t="n">
        <v>544227.6</v>
      </c>
      <c r="P29" s="5" t="n">
        <v>453417.1</v>
      </c>
      <c r="Q29" s="5" t="n">
        <v>369843.2</v>
      </c>
      <c r="R29" s="5" t="n">
        <v>393259.7</v>
      </c>
    </row>
    <row r="30">
      <c r="A30" s="5" t="inlineStr">
        <is>
          <t>Equity</t>
        </is>
      </c>
      <c r="B30" s="6" t="n"/>
      <c r="C30" s="6" t="n"/>
      <c r="D30" s="6" t="n"/>
      <c r="E30" s="6" t="n"/>
      <c r="F30" s="6" t="n"/>
      <c r="G30" s="6" t="n"/>
      <c r="H30" s="6" t="n"/>
      <c r="I30" s="6" t="n"/>
      <c r="J30" s="6" t="n"/>
      <c r="K30" s="6" t="n"/>
      <c r="L30" s="6" t="n"/>
      <c r="M30" s="6" t="n"/>
      <c r="N30" s="6" t="n"/>
      <c r="O30" s="6" t="n"/>
      <c r="P30" s="6" t="n"/>
      <c r="Q30" s="6" t="n"/>
      <c r="R30" s="6" t="n"/>
    </row>
    <row r="31">
      <c r="A31" s="6" t="inlineStr">
        <is>
          <t>Share Capital</t>
        </is>
      </c>
      <c r="B31" s="6" t="n"/>
      <c r="C31" s="6" t="n">
        <v>109230.2</v>
      </c>
      <c r="D31" s="6" t="n">
        <v>107368.5</v>
      </c>
      <c r="E31" s="6" t="n">
        <v>113004.6</v>
      </c>
      <c r="F31" s="6" t="n">
        <v>101103.2</v>
      </c>
      <c r="G31" s="6" t="n">
        <v>100067.1</v>
      </c>
      <c r="H31" s="6" t="n">
        <v>103483.4</v>
      </c>
      <c r="I31" s="6" t="n">
        <v>107049</v>
      </c>
      <c r="J31" s="6" t="n">
        <v>101185.5</v>
      </c>
      <c r="K31" s="6" t="n">
        <v>111112.4</v>
      </c>
      <c r="L31" s="6" t="n">
        <v>92247.5</v>
      </c>
      <c r="M31" s="6" t="n">
        <v>87584.3</v>
      </c>
      <c r="N31" s="6" t="n">
        <v>53459.1</v>
      </c>
      <c r="O31" s="6" t="n">
        <v>53459.1</v>
      </c>
      <c r="P31" s="6" t="n">
        <v>35001</v>
      </c>
      <c r="Q31" s="6" t="n">
        <v>35001</v>
      </c>
      <c r="R31" s="6" t="n">
        <v>35001</v>
      </c>
    </row>
    <row r="32">
      <c r="A32" s="6" t="inlineStr">
        <is>
          <t>FVOCI Reserves</t>
        </is>
      </c>
      <c r="B32" s="6" t="n"/>
      <c r="C32" s="6" t="n">
        <v>-477.8</v>
      </c>
      <c r="D32" s="6" t="n">
        <v>-3539.6</v>
      </c>
      <c r="E32" s="6" t="n">
        <v>-13131.8</v>
      </c>
      <c r="F32" s="6" t="n">
        <v>402.1</v>
      </c>
      <c r="G32" s="6" t="n">
        <v>3097.7</v>
      </c>
      <c r="H32" s="6" t="n">
        <v>560.6</v>
      </c>
      <c r="I32" s="6" t="n">
        <v>-78.2</v>
      </c>
      <c r="J32" s="6" t="n">
        <v>0</v>
      </c>
      <c r="K32" s="6" t="n"/>
      <c r="L32" s="6" t="n"/>
      <c r="M32" s="6" t="n"/>
      <c r="N32" s="6" t="n"/>
      <c r="O32" s="6" t="n"/>
      <c r="P32" s="6" t="n"/>
      <c r="Q32" s="6" t="n"/>
      <c r="R32" s="6" t="n"/>
    </row>
    <row r="33">
      <c r="A33" s="6" t="inlineStr">
        <is>
          <t>Retained earnings</t>
        </is>
      </c>
      <c r="B33" s="6" t="n"/>
      <c r="C33" s="6" t="n">
        <v>196603.8</v>
      </c>
      <c r="D33" s="6" t="n">
        <v>160089.8</v>
      </c>
      <c r="E33" s="6" t="n">
        <v>137710.9</v>
      </c>
      <c r="F33" s="6" t="n">
        <v>101389.1</v>
      </c>
      <c r="G33" s="6" t="n">
        <v>98557.8</v>
      </c>
      <c r="H33" s="6" t="n">
        <v>88363.7</v>
      </c>
      <c r="I33" s="6" t="n">
        <v>69536.2</v>
      </c>
      <c r="J33" s="6" t="n">
        <v>51876.9</v>
      </c>
      <c r="K33" s="6" t="n">
        <v>45888.6</v>
      </c>
      <c r="L33" s="6" t="n">
        <v>36317.6</v>
      </c>
      <c r="M33" s="6" t="n">
        <v>31070.6</v>
      </c>
      <c r="N33" s="6" t="n">
        <v>21049.9</v>
      </c>
      <c r="O33" s="6" t="n">
        <v>13377</v>
      </c>
      <c r="P33" s="6" t="n">
        <v>8623.799999999999</v>
      </c>
      <c r="Q33" s="6" t="n">
        <v>5001.3</v>
      </c>
      <c r="R33" s="6" t="n">
        <v>2384.2</v>
      </c>
    </row>
    <row r="34">
      <c r="A34" s="5" t="inlineStr">
        <is>
          <t>Total equity</t>
        </is>
      </c>
      <c r="B34" s="5" t="n"/>
      <c r="C34" s="5" t="n">
        <v>305356.2</v>
      </c>
      <c r="D34" s="5" t="n">
        <v>263918.8</v>
      </c>
      <c r="E34" s="5" t="n">
        <v>237583.7</v>
      </c>
      <c r="F34" s="5" t="n">
        <v>202894.4</v>
      </c>
      <c r="G34" s="5" t="n">
        <v>201722.6</v>
      </c>
      <c r="H34" s="5" t="n">
        <v>192407.7</v>
      </c>
      <c r="I34" s="5" t="n">
        <v>176507.1</v>
      </c>
      <c r="J34" s="5" t="n">
        <v>153062.4</v>
      </c>
      <c r="K34" s="5" t="n">
        <v>157001.1</v>
      </c>
      <c r="L34" s="5" t="n">
        <v>128565.1</v>
      </c>
      <c r="M34" s="5" t="n">
        <v>118654.9</v>
      </c>
      <c r="N34" s="5" t="n">
        <v>74509</v>
      </c>
      <c r="O34" s="5" t="n">
        <v>66836.10000000001</v>
      </c>
      <c r="P34" s="5" t="n">
        <v>43624.8</v>
      </c>
      <c r="Q34" s="5" t="n">
        <v>40002.3</v>
      </c>
      <c r="R34" s="5" t="n">
        <v>37385.2</v>
      </c>
    </row>
    <row r="35">
      <c r="A35" s="5" t="inlineStr">
        <is>
          <t>Total liabilities and equity</t>
        </is>
      </c>
      <c r="B35" s="5" t="n"/>
      <c r="C35" s="5" t="n">
        <v>2116703.1</v>
      </c>
      <c r="D35" s="5" t="n">
        <v>2089290.6</v>
      </c>
      <c r="E35" s="5" t="n">
        <v>2591520.9</v>
      </c>
      <c r="F35" s="5" t="n">
        <v>2130359.2</v>
      </c>
      <c r="G35" s="5" t="n">
        <v>1688935.5</v>
      </c>
      <c r="H35" s="5" t="n">
        <v>1280524.6</v>
      </c>
      <c r="I35" s="5" t="n">
        <v>1491256.9</v>
      </c>
      <c r="J35" s="5" t="n">
        <v>1240386.5</v>
      </c>
      <c r="K35" s="5" t="n">
        <v>1072445.7</v>
      </c>
      <c r="L35" s="5" t="n">
        <v>778818.5</v>
      </c>
      <c r="M35" s="5" t="n">
        <v>1025768.3</v>
      </c>
      <c r="N35" s="5" t="n">
        <v>849996.5</v>
      </c>
      <c r="O35" s="5" t="n">
        <v>611063.7</v>
      </c>
      <c r="P35" s="5" t="n">
        <v>497041.9</v>
      </c>
      <c r="Q35" s="5" t="n">
        <v>409845.5</v>
      </c>
      <c r="R35" s="5" t="n">
        <v>430644.9</v>
      </c>
    </row>
    <row r="37" ht="34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7:R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c r="C11" s="6" t="n">
        <v>-164.8</v>
      </c>
      <c r="D11" s="6" t="n">
        <v>-1331.6</v>
      </c>
      <c r="E11" s="6" t="n"/>
      <c r="F11" s="6" t="n"/>
      <c r="G11" s="6" t="n"/>
      <c r="H11" s="6" t="n"/>
      <c r="I11" s="6" t="n"/>
      <c r="J11" s="6" t="n"/>
      <c r="K11" s="6" t="n"/>
      <c r="L11" s="6" t="n"/>
      <c r="M11" s="6" t="n"/>
      <c r="N11" s="6" t="n"/>
      <c r="O11" s="6" t="n"/>
      <c r="P11" s="6" t="n"/>
      <c r="Q11" s="6" t="n"/>
      <c r="R11" s="6" t="n"/>
    </row>
    <row r="12">
      <c r="A12" s="6" t="inlineStr">
        <is>
          <t>Net loss on derecognition of financial instruments</t>
        </is>
      </c>
      <c r="B12" s="6" t="n"/>
      <c r="C12" s="6" t="n">
        <v>-5856.7</v>
      </c>
      <c r="D12" s="6" t="n"/>
      <c r="E12" s="6" t="n"/>
      <c r="F12" s="6" t="n"/>
      <c r="G12" s="6" t="n"/>
      <c r="H12" s="6" t="n"/>
      <c r="I12" s="6" t="n"/>
      <c r="J12" s="6" t="n"/>
      <c r="K12" s="6" t="n"/>
      <c r="L12" s="6" t="n"/>
      <c r="M12" s="6" t="n"/>
      <c r="N12" s="6" t="n"/>
      <c r="O12" s="6" t="n"/>
      <c r="P12" s="6" t="n"/>
      <c r="Q12" s="6" t="n"/>
      <c r="R12" s="6" t="n"/>
    </row>
    <row r="13">
      <c r="A13" s="6" t="inlineStr">
        <is>
          <t>Fair value movement on financial derivatives (net)</t>
        </is>
      </c>
      <c r="B13" s="6" t="n"/>
      <c r="C13" s="6" t="n">
        <v>-2705.2</v>
      </c>
      <c r="D13" s="6" t="n">
        <v>121.2</v>
      </c>
      <c r="E13" s="6" t="n">
        <v>-5585.1</v>
      </c>
      <c r="F13" s="6" t="n"/>
      <c r="G13" s="6" t="n"/>
      <c r="H13" s="6" t="n"/>
      <c r="I13" s="6" t="n"/>
      <c r="J13" s="6" t="n"/>
      <c r="K13" s="6" t="n"/>
      <c r="L13" s="6" t="n"/>
      <c r="M13" s="6" t="n"/>
      <c r="N13" s="6" t="n"/>
      <c r="O13" s="6" t="n"/>
      <c r="P13" s="6" t="n"/>
      <c r="Q13" s="6" t="n"/>
      <c r="R13" s="6" t="n"/>
    </row>
    <row r="14">
      <c r="A14" s="6" t="inlineStr">
        <is>
          <t>Exchange differences</t>
        </is>
      </c>
      <c r="B14" s="6" t="n"/>
      <c r="C14" s="6" t="n">
        <v>1929.4</v>
      </c>
      <c r="D14" s="6" t="n">
        <v>-1138.2</v>
      </c>
      <c r="E14" s="6" t="n">
        <v>3526.4</v>
      </c>
      <c r="F14" s="6" t="n"/>
      <c r="G14" s="6" t="n"/>
      <c r="H14" s="6" t="n"/>
      <c r="I14" s="6" t="n"/>
      <c r="J14" s="6" t="n"/>
      <c r="K14" s="6" t="n"/>
      <c r="L14" s="6" t="n"/>
      <c r="M14" s="6" t="n"/>
      <c r="N14" s="6" t="n"/>
      <c r="O14" s="6" t="n"/>
      <c r="P14" s="6" t="n"/>
      <c r="Q14" s="6" t="n"/>
      <c r="R14" s="6" t="n"/>
    </row>
    <row r="15">
      <c r="A15" s="6" t="inlineStr">
        <is>
          <t>Revaluation loss</t>
        </is>
      </c>
      <c r="B15" s="6" t="n"/>
      <c r="C15" s="6" t="n"/>
      <c r="D15" s="6" t="n"/>
      <c r="E15" s="6" t="n"/>
      <c r="F15" s="6" t="n">
        <v>-3130.1</v>
      </c>
      <c r="G15" s="6" t="n">
        <v>-1698.3</v>
      </c>
      <c r="H15" s="6" t="n"/>
      <c r="I15" s="6" t="n"/>
      <c r="J15" s="6" t="n"/>
      <c r="K15" s="6" t="n"/>
      <c r="L15" s="6" t="n"/>
      <c r="M15" s="6" t="n"/>
      <c r="N15" s="6" t="n"/>
      <c r="O15" s="6" t="n"/>
      <c r="P15" s="6" t="n"/>
      <c r="Q15" s="6" t="n"/>
      <c r="R15" s="6" t="n"/>
    </row>
    <row r="16">
      <c r="A16" s="5" t="inlineStr">
        <is>
          <t>Operating income</t>
        </is>
      </c>
      <c r="B16" s="5" t="n"/>
      <c r="C16" s="5" t="n">
        <v>66720.5</v>
      </c>
      <c r="D16" s="5" t="n">
        <v>85377.89999999999</v>
      </c>
      <c r="E16" s="5" t="n">
        <v>62492.6</v>
      </c>
      <c r="F16" s="5" t="n">
        <v>31947.1</v>
      </c>
      <c r="G16" s="5" t="n">
        <v>38550</v>
      </c>
      <c r="H16" s="5" t="n">
        <v>45518.9</v>
      </c>
      <c r="I16" s="5" t="n">
        <v>37242.3</v>
      </c>
      <c r="J16" s="5" t="n">
        <v>31028.1</v>
      </c>
      <c r="K16" s="5" t="n">
        <v>27568.5</v>
      </c>
      <c r="L16" s="5" t="n">
        <v>21146.7</v>
      </c>
      <c r="M16" s="5" t="n">
        <v>20617.5</v>
      </c>
      <c r="N16" s="5" t="n">
        <v>18433.1</v>
      </c>
      <c r="O16" s="5" t="n">
        <v>14445</v>
      </c>
      <c r="P16" s="5" t="n">
        <v>12050.6</v>
      </c>
      <c r="Q16" s="5" t="n">
        <v>9368.6</v>
      </c>
      <c r="R16" s="5" t="n">
        <v>8647.1</v>
      </c>
    </row>
    <row r="17">
      <c r="A17" s="6" t="inlineStr">
        <is>
          <t>Personnel expenses</t>
        </is>
      </c>
      <c r="B17" s="6" t="n"/>
      <c r="C17" s="6" t="n">
        <v>-18578.4</v>
      </c>
      <c r="D17" s="6" t="n">
        <v>-18017.1</v>
      </c>
      <c r="E17" s="6" t="n">
        <v>-13822</v>
      </c>
      <c r="F17" s="6" t="n">
        <v>-12363.2</v>
      </c>
      <c r="G17" s="6" t="n">
        <v>-12869.5</v>
      </c>
      <c r="H17" s="6" t="n">
        <v>-11965.3</v>
      </c>
      <c r="I17" s="6" t="n">
        <v>-10163.3</v>
      </c>
      <c r="J17" s="6" t="n">
        <v>-8615.1</v>
      </c>
      <c r="K17" s="6" t="n">
        <v>-7104.1</v>
      </c>
      <c r="L17" s="6" t="n">
        <v>-7135.6</v>
      </c>
      <c r="M17" s="6" t="n">
        <v>-6205.2</v>
      </c>
      <c r="N17" s="6" t="n">
        <v>-5188.6</v>
      </c>
      <c r="O17" s="6" t="n">
        <v>-4630.8</v>
      </c>
      <c r="P17" s="6" t="n">
        <v>-4336.1</v>
      </c>
      <c r="Q17" s="6" t="n"/>
      <c r="R17" s="6" t="n"/>
    </row>
    <row r="18">
      <c r="A18" s="6" t="inlineStr">
        <is>
          <t>Depreciation and amortisation</t>
        </is>
      </c>
      <c r="B18" s="6" t="n"/>
      <c r="C18" s="6" t="n">
        <v>-1317.6</v>
      </c>
      <c r="D18" s="6" t="n">
        <v>-1306.3</v>
      </c>
      <c r="E18" s="6" t="n">
        <v>-1354.8</v>
      </c>
      <c r="F18" s="6" t="n">
        <v>-1292.2</v>
      </c>
      <c r="G18" s="6" t="n">
        <v>-1662.3</v>
      </c>
      <c r="H18" s="6" t="n">
        <v>-1471.2</v>
      </c>
      <c r="I18" s="6" t="n">
        <v>-781.4</v>
      </c>
      <c r="J18" s="6" t="n">
        <v>-525.7</v>
      </c>
      <c r="K18" s="6" t="n">
        <v>-580.1</v>
      </c>
      <c r="L18" s="6" t="n">
        <v>-705.8</v>
      </c>
      <c r="M18" s="6" t="n">
        <v>-585.2</v>
      </c>
      <c r="N18" s="6" t="n">
        <v>-761.4</v>
      </c>
      <c r="O18" s="6" t="n">
        <v>-584.1</v>
      </c>
      <c r="P18" s="6" t="n"/>
      <c r="Q18" s="6" t="n"/>
      <c r="R18" s="6" t="n"/>
    </row>
    <row r="19">
      <c r="A19" s="6" t="inlineStr">
        <is>
          <t>Other expenses</t>
        </is>
      </c>
      <c r="B19" s="6" t="n"/>
      <c r="C19" s="6" t="n">
        <v>-9248.4</v>
      </c>
      <c r="D19" s="6" t="n">
        <v>-6914.1</v>
      </c>
      <c r="E19" s="6" t="n">
        <v>-6438.3</v>
      </c>
      <c r="F19" s="6" t="n">
        <v>-5691</v>
      </c>
      <c r="G19" s="6" t="n">
        <v>-5866.9</v>
      </c>
      <c r="H19" s="6" t="n">
        <v>-4883.1</v>
      </c>
      <c r="I19" s="6" t="n">
        <v>-4313</v>
      </c>
      <c r="J19" s="6" t="n">
        <v>-4176.6</v>
      </c>
      <c r="K19" s="6" t="n">
        <v>-3998.7</v>
      </c>
      <c r="L19" s="6" t="n">
        <v>-3203.4</v>
      </c>
      <c r="M19" s="6" t="n">
        <v>-2286.2</v>
      </c>
      <c r="N19" s="6" t="n">
        <v>-2423.3</v>
      </c>
      <c r="O19" s="6" t="n">
        <v>-2302</v>
      </c>
      <c r="P19" s="6" t="n">
        <v>-2609.5</v>
      </c>
      <c r="Q19" s="6" t="n">
        <v>-5690.3</v>
      </c>
      <c r="R19" s="6" t="n">
        <v>-5394.8</v>
      </c>
    </row>
    <row r="20">
      <c r="A20" s="5" t="inlineStr">
        <is>
          <t>Operating expenses</t>
        </is>
      </c>
      <c r="B20" s="5" t="n"/>
      <c r="C20" s="5" t="n">
        <v>-29144.4</v>
      </c>
      <c r="D20" s="5" t="n">
        <v>-26237.5</v>
      </c>
      <c r="E20" s="5" t="n">
        <v>-21615.1</v>
      </c>
      <c r="F20" s="5" t="n">
        <v>-19346.4</v>
      </c>
      <c r="G20" s="5" t="n">
        <v>-20398.7</v>
      </c>
      <c r="H20" s="5" t="n">
        <v>-18319.5</v>
      </c>
      <c r="I20" s="5" t="n">
        <v>-15257.7</v>
      </c>
      <c r="J20" s="5" t="n">
        <v>-13317.5</v>
      </c>
      <c r="K20" s="5" t="n">
        <v>-11683</v>
      </c>
      <c r="L20" s="5" t="n">
        <v>-11044.7</v>
      </c>
      <c r="M20" s="5" t="n">
        <v>-9076.6</v>
      </c>
      <c r="N20" s="5" t="n">
        <v>-8373.299999999999</v>
      </c>
      <c r="O20" s="5" t="n">
        <v>-7516.9</v>
      </c>
      <c r="P20" s="5" t="n">
        <v>-6945.6</v>
      </c>
      <c r="Q20" s="5" t="n">
        <v>-5690.3</v>
      </c>
      <c r="R20" s="5" t="n">
        <v>-5394.8</v>
      </c>
    </row>
    <row r="21">
      <c r="A21" s="5" t="inlineStr">
        <is>
          <t>Operating profit before impairment provision and taxation</t>
        </is>
      </c>
      <c r="B21" s="5" t="n"/>
      <c r="C21" s="5" t="n">
        <v>37576.1</v>
      </c>
      <c r="D21" s="5" t="n">
        <v>59140.4</v>
      </c>
      <c r="E21" s="5" t="n">
        <v>40877.5</v>
      </c>
      <c r="F21" s="5" t="n">
        <v>12600.7</v>
      </c>
      <c r="G21" s="5" t="n">
        <v>18151.3</v>
      </c>
      <c r="H21" s="5" t="n">
        <v>27199.3</v>
      </c>
      <c r="I21" s="5" t="n">
        <v>21984.6</v>
      </c>
      <c r="J21" s="5" t="n">
        <v>17710.6</v>
      </c>
      <c r="K21" s="5" t="n">
        <v>15885.6</v>
      </c>
      <c r="L21" s="5" t="n">
        <v>10102</v>
      </c>
      <c r="M21" s="5" t="n">
        <v>11540.9</v>
      </c>
      <c r="N21" s="5" t="n">
        <v>10059.7</v>
      </c>
      <c r="O21" s="5" t="n">
        <v>6928.1</v>
      </c>
      <c r="P21" s="5" t="n">
        <v>5105</v>
      </c>
      <c r="Q21" s="5" t="n">
        <v>3678.2</v>
      </c>
      <c r="R21" s="5" t="n">
        <v>3252.3</v>
      </c>
    </row>
    <row r="22">
      <c r="A22" s="6" t="inlineStr">
        <is>
          <t>Net impairment credit/(charge) on financial assets</t>
        </is>
      </c>
      <c r="B22" s="6" t="n"/>
      <c r="C22" s="6" t="n">
        <v>6434.9</v>
      </c>
      <c r="D22" s="6" t="n">
        <v>-619.9</v>
      </c>
      <c r="E22" s="6" t="n">
        <v>-4262.4</v>
      </c>
      <c r="F22" s="6" t="n">
        <v>-2684.9</v>
      </c>
      <c r="G22" s="6" t="n">
        <v>-1088.6</v>
      </c>
      <c r="H22" s="6" t="n">
        <v>18.4</v>
      </c>
      <c r="I22" s="6" t="n">
        <v>3391.4</v>
      </c>
      <c r="J22" s="6" t="n">
        <v>-5279</v>
      </c>
      <c r="K22" s="6" t="n">
        <v>-13345.8</v>
      </c>
      <c r="L22" s="6" t="n">
        <v>-5456.5</v>
      </c>
      <c r="M22" s="6" t="n">
        <v>0</v>
      </c>
      <c r="N22" s="6" t="n"/>
      <c r="O22" s="6" t="n"/>
      <c r="P22" s="6" t="n"/>
      <c r="Q22" s="6" t="n"/>
      <c r="R22" s="6" t="n"/>
    </row>
    <row r="23">
      <c r="A23" s="5" t="inlineStr">
        <is>
          <t>Profit before tax</t>
        </is>
      </c>
      <c r="B23" s="5" t="n"/>
      <c r="C23" s="5" t="n">
        <v>44011</v>
      </c>
      <c r="D23" s="5" t="n">
        <v>58520.5</v>
      </c>
      <c r="E23" s="5" t="n">
        <v>36615</v>
      </c>
      <c r="F23" s="5" t="n">
        <v>9915.799999999999</v>
      </c>
      <c r="G23" s="5" t="n">
        <v>17062.6</v>
      </c>
      <c r="H23" s="5" t="n">
        <v>27217.8</v>
      </c>
      <c r="I23" s="5" t="n">
        <v>25376.1</v>
      </c>
      <c r="J23" s="5" t="n">
        <v>12431.7</v>
      </c>
      <c r="K23" s="5" t="n">
        <v>2539.8</v>
      </c>
      <c r="L23" s="5" t="n">
        <v>4645.5</v>
      </c>
      <c r="M23" s="5" t="n">
        <v>11540.9</v>
      </c>
      <c r="N23" s="5" t="n">
        <v>10059.7</v>
      </c>
      <c r="O23" s="5" t="n">
        <v>6928.1</v>
      </c>
      <c r="P23" s="5" t="n">
        <v>5105</v>
      </c>
      <c r="Q23" s="5" t="n">
        <v>3678.2</v>
      </c>
      <c r="R23" s="5" t="n">
        <v>3252.3</v>
      </c>
    </row>
    <row r="24">
      <c r="A24" s="6" t="inlineStr">
        <is>
          <t>Income tax expense</t>
        </is>
      </c>
      <c r="B24" s="6" t="n"/>
      <c r="C24" s="6" t="n">
        <v>-10977.6</v>
      </c>
      <c r="D24" s="6" t="n">
        <v>-14435.4</v>
      </c>
      <c r="E24" s="6" t="n">
        <v>-8140.1</v>
      </c>
      <c r="F24" s="6" t="n">
        <v>-1623.1</v>
      </c>
      <c r="G24" s="6" t="n">
        <v>-3096.7</v>
      </c>
      <c r="H24" s="6" t="n">
        <v>-5323.4</v>
      </c>
      <c r="I24" s="6" t="n">
        <v>-4746.3</v>
      </c>
      <c r="J24" s="6" t="n">
        <v>-1848.6</v>
      </c>
      <c r="K24" s="6" t="n">
        <v>-584.1</v>
      </c>
      <c r="L24" s="6" t="n">
        <v>-1161.4</v>
      </c>
      <c r="M24" s="6" t="n">
        <v>-2798.7</v>
      </c>
      <c r="N24" s="6" t="n">
        <v>-2386.8</v>
      </c>
      <c r="O24" s="6" t="n">
        <v>-1696.1</v>
      </c>
      <c r="P24" s="6" t="n">
        <v>-1482.5</v>
      </c>
      <c r="Q24" s="6" t="n">
        <v>-1061.1</v>
      </c>
      <c r="R24" s="6" t="n">
        <v>-910.7</v>
      </c>
    </row>
    <row r="25">
      <c r="A25" s="5" t="inlineStr">
        <is>
          <t>Profit for the year</t>
        </is>
      </c>
      <c r="B25" s="5" t="n"/>
      <c r="C25" s="5" t="n">
        <v>33033.4</v>
      </c>
      <c r="D25" s="5" t="n">
        <v>44085.1</v>
      </c>
      <c r="E25" s="5" t="n">
        <v>28474.9</v>
      </c>
      <c r="F25" s="5" t="n">
        <v>8292.700000000001</v>
      </c>
      <c r="G25" s="5" t="n">
        <v>13966</v>
      </c>
      <c r="H25" s="5" t="n">
        <v>21894.4</v>
      </c>
      <c r="I25" s="5" t="n">
        <v>20629.7</v>
      </c>
      <c r="J25" s="5" t="n">
        <v>10583.1</v>
      </c>
      <c r="K25" s="5" t="n">
        <v>1955.6</v>
      </c>
      <c r="L25" s="5" t="n">
        <v>3484.1</v>
      </c>
      <c r="M25" s="5" t="n">
        <v>8742.299999999999</v>
      </c>
      <c r="N25" s="5" t="n">
        <v>7672.9</v>
      </c>
      <c r="O25" s="5" t="n">
        <v>5232</v>
      </c>
      <c r="P25" s="5" t="n">
        <v>3622.5</v>
      </c>
      <c r="Q25" s="5" t="n">
        <v>2617.2</v>
      </c>
      <c r="R25" s="5" t="n">
        <v>2341.7</v>
      </c>
    </row>
    <row r="26">
      <c r="A26" s="5" t="inlineStr">
        <is>
          <t>Other comprehensive income</t>
        </is>
      </c>
      <c r="B26" s="6" t="n"/>
      <c r="C26" s="6" t="n"/>
      <c r="D26" s="6" t="n"/>
      <c r="E26" s="6" t="n"/>
      <c r="F26" s="6" t="n"/>
      <c r="G26" s="6" t="n"/>
      <c r="H26" s="6" t="n"/>
      <c r="I26" s="6" t="n"/>
      <c r="J26" s="6" t="n"/>
      <c r="K26" s="6" t="n"/>
      <c r="L26" s="6" t="n"/>
      <c r="M26" s="6" t="n"/>
      <c r="N26" s="6" t="n"/>
      <c r="O26" s="6" t="n"/>
      <c r="P26" s="6" t="n"/>
      <c r="Q26" s="6" t="n"/>
      <c r="R26" s="6" t="n"/>
    </row>
    <row r="27">
      <c r="A27" s="6" t="inlineStr">
        <is>
          <t>Net change in fair value of debt instruments at FVOCI</t>
        </is>
      </c>
      <c r="B27" s="6" t="n"/>
      <c r="C27" s="6" t="n">
        <v>4392.4</v>
      </c>
      <c r="D27" s="6" t="n">
        <v>11073.3</v>
      </c>
      <c r="E27" s="6" t="n">
        <v>-18210.2</v>
      </c>
      <c r="F27" s="6" t="n">
        <v>-2769.3</v>
      </c>
      <c r="G27" s="6" t="n">
        <v>4207.8</v>
      </c>
      <c r="H27" s="6" t="n">
        <v>1067.8</v>
      </c>
      <c r="I27" s="6" t="n">
        <v>-90.2</v>
      </c>
      <c r="J27" s="6" t="n"/>
      <c r="K27" s="6" t="n"/>
      <c r="L27" s="6" t="n"/>
      <c r="M27" s="6" t="n"/>
      <c r="N27" s="6" t="n"/>
      <c r="O27" s="6" t="n"/>
      <c r="P27" s="6" t="n"/>
      <c r="Q27" s="6" t="n"/>
      <c r="R27" s="6" t="n"/>
    </row>
    <row r="28">
      <c r="A28" s="6" t="inlineStr">
        <is>
          <t>Net change in fair value of debt instruments reclassified to profit or loss</t>
        </is>
      </c>
      <c r="B28" s="6" t="n"/>
      <c r="C28" s="6" t="n">
        <v>164.8</v>
      </c>
      <c r="D28" s="6" t="n">
        <v>1331.6</v>
      </c>
      <c r="E28" s="6" t="n">
        <v>-40.8</v>
      </c>
      <c r="F28" s="6" t="n">
        <v>-435.1</v>
      </c>
      <c r="G28" s="6" t="n">
        <v>-828.9</v>
      </c>
      <c r="H28" s="6" t="n">
        <v>-274.2</v>
      </c>
      <c r="I28" s="6" t="n"/>
      <c r="J28" s="6" t="n"/>
      <c r="K28" s="6" t="n"/>
      <c r="L28" s="6" t="n"/>
      <c r="M28" s="6" t="n"/>
      <c r="N28" s="6" t="n"/>
      <c r="O28" s="6" t="n"/>
      <c r="P28" s="6" t="n"/>
      <c r="Q28" s="6" t="n"/>
      <c r="R28" s="6" t="n"/>
    </row>
    <row r="29">
      <c r="A29" s="6" t="inlineStr">
        <is>
          <t>Expected credit loss reversals/(gains) recognised in income statement</t>
        </is>
      </c>
      <c r="B29" s="6" t="n"/>
      <c r="C29" s="6" t="n">
        <v>-360</v>
      </c>
      <c r="D29" s="6" t="n">
        <v>-155.8</v>
      </c>
      <c r="E29" s="6" t="n"/>
      <c r="F29" s="6" t="n"/>
      <c r="G29" s="6" t="n"/>
      <c r="H29" s="6" t="n"/>
      <c r="I29" s="6" t="n"/>
      <c r="J29" s="6" t="n"/>
      <c r="K29" s="6" t="n"/>
      <c r="L29" s="6" t="n"/>
      <c r="M29" s="6" t="n"/>
      <c r="N29" s="6" t="n"/>
      <c r="O29" s="6" t="n"/>
      <c r="P29" s="6" t="n"/>
      <c r="Q29" s="6" t="n"/>
      <c r="R29" s="6" t="n"/>
    </row>
    <row r="30">
      <c r="A30" s="6" t="inlineStr">
        <is>
          <t>Income tax on items reclassified subsequently to profit or loss</t>
        </is>
      </c>
      <c r="B30" s="6" t="n"/>
      <c r="C30" s="6" t="n">
        <v>-1139.3</v>
      </c>
      <c r="D30" s="6" t="n">
        <v>-3101.2</v>
      </c>
      <c r="E30" s="6" t="n">
        <v>4961</v>
      </c>
      <c r="F30" s="6" t="n">
        <v>522.5</v>
      </c>
      <c r="G30" s="6" t="n">
        <v>-656.6</v>
      </c>
      <c r="H30" s="6" t="n">
        <v>-134.9</v>
      </c>
      <c r="I30" s="6" t="n">
        <v>15.3</v>
      </c>
      <c r="J30" s="6" t="n"/>
      <c r="K30" s="6" t="n"/>
      <c r="L30" s="6" t="n"/>
      <c r="M30" s="6" t="n"/>
      <c r="N30" s="6" t="n"/>
      <c r="O30" s="6" t="n"/>
      <c r="P30" s="6" t="n"/>
      <c r="Q30" s="6" t="n"/>
      <c r="R30" s="6" t="n"/>
    </row>
    <row r="31">
      <c r="A31" s="6" t="inlineStr">
        <is>
          <t>Currency translation reserve arising from change of functional and presentation currency</t>
        </is>
      </c>
      <c r="B31" s="6" t="n"/>
      <c r="C31" s="6" t="n"/>
      <c r="D31" s="6" t="n"/>
      <c r="E31" s="6" t="n"/>
      <c r="F31" s="6" t="n"/>
      <c r="G31" s="6" t="n"/>
      <c r="H31" s="6" t="n"/>
      <c r="I31" s="6" t="n"/>
      <c r="J31" s="6" t="n"/>
      <c r="K31" s="6" t="n"/>
      <c r="L31" s="6" t="n"/>
      <c r="M31" s="6" t="n">
        <v>-1352.9</v>
      </c>
      <c r="N31" s="6" t="n"/>
      <c r="O31" s="6" t="n"/>
      <c r="P31" s="6" t="n"/>
      <c r="Q31" s="6" t="n"/>
      <c r="R31" s="6" t="n"/>
    </row>
    <row r="32">
      <c r="A32" s="5" t="inlineStr">
        <is>
          <t>Other comprehensive income for the year (net of tax)</t>
        </is>
      </c>
      <c r="B32" s="5" t="n"/>
      <c r="C32" s="5" t="n">
        <v>3057.9</v>
      </c>
      <c r="D32" s="5" t="n">
        <v>9147.799999999999</v>
      </c>
      <c r="E32" s="5" t="n">
        <v>-13290.1</v>
      </c>
      <c r="F32" s="5" t="n">
        <v>-2681.9</v>
      </c>
      <c r="G32" s="5" t="n">
        <v>2722.3</v>
      </c>
      <c r="H32" s="5" t="n">
        <v>658.7</v>
      </c>
      <c r="I32" s="5" t="n">
        <v>-74.8</v>
      </c>
      <c r="J32" s="5" t="n">
        <v>0</v>
      </c>
      <c r="K32" s="5" t="n">
        <v>0</v>
      </c>
      <c r="L32" s="5" t="n">
        <v>0</v>
      </c>
      <c r="M32" s="5" t="n">
        <v>-1352.9</v>
      </c>
      <c r="N32" s="5" t="n">
        <v>0</v>
      </c>
      <c r="O32" s="5" t="n">
        <v>0</v>
      </c>
      <c r="P32" s="5" t="n">
        <v>0</v>
      </c>
      <c r="Q32" s="5" t="n">
        <v>0</v>
      </c>
      <c r="R32" s="5" t="n">
        <v>0</v>
      </c>
    </row>
    <row r="33">
      <c r="A33" s="5" t="inlineStr">
        <is>
          <t>Total comprehensive income for the year</t>
        </is>
      </c>
      <c r="B33" s="5" t="n"/>
      <c r="C33" s="5" t="n">
        <v>36091.3</v>
      </c>
      <c r="D33" s="5" t="n">
        <v>53232.9</v>
      </c>
      <c r="E33" s="5" t="n">
        <v>15184.8</v>
      </c>
      <c r="F33" s="5" t="n">
        <v>5610.8</v>
      </c>
      <c r="G33" s="5" t="n">
        <v>16688.2</v>
      </c>
      <c r="H33" s="5" t="n">
        <v>22553.1</v>
      </c>
      <c r="I33" s="5" t="n">
        <v>20554.9</v>
      </c>
      <c r="J33" s="5" t="n">
        <v>10583.1</v>
      </c>
      <c r="K33" s="5" t="n">
        <v>1955.6</v>
      </c>
      <c r="L33" s="5" t="n">
        <v>3484.1</v>
      </c>
      <c r="M33" s="5" t="n">
        <v>7389.3</v>
      </c>
      <c r="N33" s="5" t="n">
        <v>7672.9</v>
      </c>
      <c r="O33" s="5" t="n">
        <v>5232</v>
      </c>
      <c r="P33" s="5" t="n">
        <v>3622.5</v>
      </c>
      <c r="Q33" s="5" t="n">
        <v>2617.2</v>
      </c>
      <c r="R33" s="5" t="n">
        <v>2341.7</v>
      </c>
    </row>
    <row r="35" ht="420" customHeight="1">
      <c r="A35"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5:R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2024. No FY2009-FY2011 movement shown (no Statement of Changes in Equity disclosed those years - see HD-073 extension note). No FY2025 movement shown (no FY2025 Annual Report yet).</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50" ht="460" customHeight="1">
      <c r="A50" s="8" t="inlineStr">
        <is>
          <t>Sources - Zenith Bank (UK) Limited's own Statement of Changes in Equity (converted from USD to £, see FX conversion note below):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0:F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for the year</t>
        </is>
      </c>
      <c r="B5" s="6" t="n"/>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c r="P5" s="6" t="n"/>
      <c r="Q5" s="6" t="n"/>
      <c r="R5" s="6" t="n"/>
    </row>
    <row r="6">
      <c r="A6" s="6" t="inlineStr">
        <is>
          <t>Impairment provision charge/(reversal)</t>
        </is>
      </c>
      <c r="B6" s="6" t="n"/>
      <c r="C6" s="6" t="n">
        <v>-6434.9</v>
      </c>
      <c r="D6" s="6" t="n">
        <v>619.9</v>
      </c>
      <c r="E6" s="6" t="n">
        <v>4262.4</v>
      </c>
      <c r="F6" s="6" t="n">
        <v>2684.9</v>
      </c>
      <c r="G6" s="6" t="n">
        <v>1088.6</v>
      </c>
      <c r="H6" s="6" t="n">
        <v>-18.4</v>
      </c>
      <c r="I6" s="6" t="n">
        <v>-3391.4</v>
      </c>
      <c r="J6" s="6" t="n">
        <v>5279</v>
      </c>
      <c r="K6" s="6" t="n">
        <v>13345.8</v>
      </c>
      <c r="L6" s="6" t="n">
        <v>5456.5</v>
      </c>
      <c r="M6" s="6" t="n"/>
      <c r="N6" s="6" t="n"/>
      <c r="O6" s="6" t="n"/>
      <c r="P6" s="6" t="n"/>
      <c r="Q6" s="6" t="n"/>
      <c r="R6" s="6" t="n"/>
    </row>
    <row r="7">
      <c r="A7" s="6" t="inlineStr">
        <is>
          <t>Depreciation of property and equipment</t>
        </is>
      </c>
      <c r="B7" s="6" t="n"/>
      <c r="C7" s="6" t="n">
        <v>926.7</v>
      </c>
      <c r="D7" s="6" t="n">
        <v>864</v>
      </c>
      <c r="E7" s="6" t="n">
        <v>914.9</v>
      </c>
      <c r="F7" s="6" t="n">
        <v>810.8</v>
      </c>
      <c r="G7" s="6" t="n">
        <v>876.4</v>
      </c>
      <c r="H7" s="6" t="n">
        <v>724.7</v>
      </c>
      <c r="I7" s="6" t="n">
        <v>169.6</v>
      </c>
      <c r="J7" s="6" t="n">
        <v>154.4</v>
      </c>
      <c r="K7" s="6" t="n">
        <v>191.8</v>
      </c>
      <c r="L7" s="6" t="n">
        <v>291.7</v>
      </c>
      <c r="M7" s="6" t="n">
        <v>239.1</v>
      </c>
      <c r="N7" s="6" t="n">
        <v>413.8</v>
      </c>
      <c r="O7" s="6" t="n">
        <v>255.3</v>
      </c>
      <c r="P7" s="6" t="n"/>
      <c r="Q7" s="6" t="n"/>
      <c r="R7" s="6" t="n"/>
    </row>
    <row r="8">
      <c r="A8" s="6" t="inlineStr">
        <is>
          <t>Amortisation of intangible assets</t>
        </is>
      </c>
      <c r="B8" s="6" t="n"/>
      <c r="C8" s="6" t="n">
        <v>390.8</v>
      </c>
      <c r="D8" s="6" t="n">
        <v>442.3</v>
      </c>
      <c r="E8" s="6" t="n">
        <v>439.9</v>
      </c>
      <c r="F8" s="6" t="n">
        <v>481.5</v>
      </c>
      <c r="G8" s="6" t="n">
        <v>785.9</v>
      </c>
      <c r="H8" s="6" t="n">
        <v>746.4</v>
      </c>
      <c r="I8" s="6" t="n">
        <v>611.8</v>
      </c>
      <c r="J8" s="6" t="n">
        <v>371.3</v>
      </c>
      <c r="K8" s="6" t="n">
        <v>388.3</v>
      </c>
      <c r="L8" s="6" t="n">
        <v>414.1</v>
      </c>
      <c r="M8" s="6" t="n">
        <v>346.1</v>
      </c>
      <c r="N8" s="6" t="n">
        <v>347.6</v>
      </c>
      <c r="O8" s="6" t="n">
        <v>328.7</v>
      </c>
      <c r="P8" s="6" t="n"/>
      <c r="Q8" s="6" t="n"/>
      <c r="R8" s="6" t="n"/>
    </row>
    <row r="9">
      <c r="A9" s="6" t="inlineStr">
        <is>
          <t>Interest expense on Right-of-use lease obligations</t>
        </is>
      </c>
      <c r="B9" s="6" t="n"/>
      <c r="C9" s="6" t="n">
        <v>271.3</v>
      </c>
      <c r="D9" s="6" t="n">
        <v>14.7</v>
      </c>
      <c r="E9" s="6" t="n"/>
      <c r="F9" s="6" t="n">
        <v>35.8</v>
      </c>
      <c r="G9" s="6" t="n">
        <v>31</v>
      </c>
      <c r="H9" s="6" t="n"/>
      <c r="I9" s="6" t="n"/>
      <c r="J9" s="6" t="n"/>
      <c r="K9" s="6" t="n"/>
      <c r="L9" s="6" t="n"/>
      <c r="M9" s="6" t="n"/>
      <c r="N9" s="6" t="n"/>
      <c r="O9" s="6" t="n"/>
      <c r="P9" s="6" t="n"/>
      <c r="Q9" s="6" t="n"/>
      <c r="R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c r="P10" s="6" t="n"/>
      <c r="Q10" s="6" t="n"/>
      <c r="R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c r="P11" s="6" t="n"/>
      <c r="Q11" s="6" t="n"/>
      <c r="R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c r="P12" s="6" t="n"/>
      <c r="Q12" s="6" t="n"/>
      <c r="R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c r="P13" s="6" t="n"/>
      <c r="Q13" s="6" t="n"/>
      <c r="R13" s="6" t="n"/>
    </row>
    <row r="14">
      <c r="A14" s="6" t="inlineStr">
        <is>
          <t>Recoveries of bad debts written off</t>
        </is>
      </c>
      <c r="B14" s="6" t="n"/>
      <c r="C14" s="6" t="n"/>
      <c r="D14" s="6" t="n"/>
      <c r="E14" s="6" t="n">
        <v>-55.9</v>
      </c>
      <c r="F14" s="6" t="n"/>
      <c r="G14" s="6" t="n"/>
      <c r="H14" s="6" t="n"/>
      <c r="I14" s="6" t="n"/>
      <c r="J14" s="6" t="n"/>
      <c r="K14" s="6" t="n"/>
      <c r="L14" s="6" t="n"/>
      <c r="M14" s="6" t="n"/>
      <c r="N14" s="6" t="n"/>
      <c r="O14" s="6" t="n"/>
      <c r="P14" s="6" t="n"/>
      <c r="Q14" s="6" t="n"/>
      <c r="R14" s="6" t="n"/>
    </row>
    <row r="15">
      <c r="A15" s="6" t="inlineStr">
        <is>
          <t>Current income tax expense</t>
        </is>
      </c>
      <c r="B15" s="6" t="n"/>
      <c r="C15" s="6" t="n">
        <v>10603.7</v>
      </c>
      <c r="D15" s="6" t="n">
        <v>14265.6</v>
      </c>
      <c r="E15" s="6" t="n">
        <v>7636.1</v>
      </c>
      <c r="F15" s="6" t="n">
        <v>1623.1</v>
      </c>
      <c r="G15" s="6" t="n"/>
      <c r="H15" s="6" t="n"/>
      <c r="I15" s="6" t="n"/>
      <c r="J15" s="6" t="n"/>
      <c r="K15" s="6" t="n"/>
      <c r="L15" s="6" t="n"/>
      <c r="M15" s="6" t="n"/>
      <c r="N15" s="6" t="n"/>
      <c r="O15" s="6" t="n"/>
      <c r="P15" s="6" t="n"/>
      <c r="Q15" s="6" t="n"/>
      <c r="R15" s="6" t="n"/>
    </row>
    <row r="16">
      <c r="A16" s="6" t="inlineStr">
        <is>
          <t>Deferred income tax expense</t>
        </is>
      </c>
      <c r="B16" s="6" t="n"/>
      <c r="C16" s="6" t="n">
        <v>373.9</v>
      </c>
      <c r="D16" s="6" t="n">
        <v>169.8</v>
      </c>
      <c r="E16" s="6" t="n">
        <v>194</v>
      </c>
      <c r="F16" s="6" t="n"/>
      <c r="G16" s="6" t="n"/>
      <c r="H16" s="6" t="n"/>
      <c r="I16" s="6" t="n"/>
      <c r="J16" s="6" t="n"/>
      <c r="K16" s="6" t="n"/>
      <c r="L16" s="6" t="n"/>
      <c r="M16" s="6" t="n"/>
      <c r="N16" s="6" t="n"/>
      <c r="O16" s="6" t="n"/>
      <c r="P16" s="6" t="n"/>
      <c r="Q16" s="6" t="n"/>
      <c r="R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c r="P17" s="6" t="n"/>
      <c r="Q17" s="6" t="n"/>
      <c r="R17" s="6" t="n"/>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c r="P18" s="6" t="n"/>
      <c r="Q18" s="6" t="n"/>
      <c r="R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c r="P19" s="6" t="n"/>
      <c r="Q19" s="6" t="n"/>
      <c r="R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c r="P20" s="6" t="n"/>
      <c r="Q20" s="6" t="n"/>
      <c r="R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c r="P21" s="6" t="n"/>
      <c r="Q21" s="6" t="n"/>
      <c r="R21" s="6" t="n"/>
    </row>
    <row r="22">
      <c r="A22" s="6" t="inlineStr">
        <is>
          <t>Deferred tax asset write-off (legacy)</t>
        </is>
      </c>
      <c r="B22" s="6" t="n"/>
      <c r="C22" s="6" t="n"/>
      <c r="D22" s="6" t="n">
        <v>1</v>
      </c>
      <c r="E22" s="6" t="n"/>
      <c r="F22" s="6" t="n"/>
      <c r="G22" s="6" t="n"/>
      <c r="H22" s="6" t="n"/>
      <c r="I22" s="6" t="n"/>
      <c r="J22" s="6" t="n"/>
      <c r="K22" s="6" t="n"/>
      <c r="L22" s="6" t="n"/>
      <c r="M22" s="6" t="n"/>
      <c r="N22" s="6" t="n"/>
      <c r="O22" s="6" t="n"/>
      <c r="P22" s="6" t="n"/>
      <c r="Q22" s="6" t="n"/>
      <c r="R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c r="P23" s="6" t="n"/>
      <c r="Q23" s="6" t="n"/>
      <c r="R23" s="6" t="n"/>
    </row>
    <row r="24">
      <c r="A24" s="6" t="inlineStr">
        <is>
          <t>Interest income</t>
        </is>
      </c>
      <c r="B24" s="6" t="n"/>
      <c r="C24" s="6" t="n">
        <v>-117726.2</v>
      </c>
      <c r="D24" s="6" t="n">
        <v>-118993.4</v>
      </c>
      <c r="E24" s="6" t="n">
        <v>-63895.8</v>
      </c>
      <c r="F24" s="6" t="n"/>
      <c r="G24" s="6" t="n"/>
      <c r="H24" s="6" t="n"/>
      <c r="I24" s="6" t="n"/>
      <c r="J24" s="6" t="n"/>
      <c r="K24" s="6" t="n"/>
      <c r="L24" s="6" t="n"/>
      <c r="M24" s="6" t="n"/>
      <c r="N24" s="6" t="n"/>
      <c r="O24" s="6" t="n"/>
      <c r="P24" s="6" t="n"/>
      <c r="Q24" s="6" t="n"/>
      <c r="R24" s="6" t="n"/>
    </row>
    <row r="25">
      <c r="A25" s="6" t="inlineStr">
        <is>
          <t>Interest expense</t>
        </is>
      </c>
      <c r="B25" s="6" t="n"/>
      <c r="C25" s="6" t="n">
        <v>54600</v>
      </c>
      <c r="D25" s="6" t="n">
        <v>41618.2</v>
      </c>
      <c r="E25" s="6" t="n">
        <v>12130.6</v>
      </c>
      <c r="F25" s="6" t="n"/>
      <c r="G25" s="6" t="n"/>
      <c r="H25" s="6" t="n"/>
      <c r="I25" s="6" t="n"/>
      <c r="J25" s="6" t="n"/>
      <c r="K25" s="6" t="n"/>
      <c r="L25" s="6" t="n"/>
      <c r="M25" s="6" t="n"/>
      <c r="N25" s="6" t="n"/>
      <c r="O25" s="6" t="n"/>
      <c r="P25" s="6" t="n"/>
      <c r="Q25" s="6" t="n"/>
      <c r="R25" s="6" t="n"/>
    </row>
    <row r="26">
      <c r="A26" s="6" t="inlineStr">
        <is>
          <t>Fair value movement on securities measured at FVTPL</t>
        </is>
      </c>
      <c r="B26" s="6" t="n"/>
      <c r="C26" s="6" t="n">
        <v>54.1</v>
      </c>
      <c r="D26" s="6" t="n"/>
      <c r="E26" s="6" t="n"/>
      <c r="F26" s="6" t="n"/>
      <c r="G26" s="6" t="n"/>
      <c r="H26" s="6" t="n"/>
      <c r="I26" s="6" t="n"/>
      <c r="J26" s="6" t="n"/>
      <c r="K26" s="6" t="n"/>
      <c r="L26" s="6" t="n"/>
      <c r="M26" s="6" t="n"/>
      <c r="N26" s="6" t="n"/>
      <c r="O26" s="6" t="n"/>
      <c r="P26" s="6" t="n"/>
      <c r="Q26" s="6" t="n"/>
      <c r="R26" s="6" t="n"/>
    </row>
    <row r="27">
      <c r="A27" s="6" t="inlineStr">
        <is>
          <t>Fair value movement on derivative contracts</t>
        </is>
      </c>
      <c r="B27" s="6" t="n"/>
      <c r="C27" s="6" t="n">
        <v>2705.2</v>
      </c>
      <c r="D27" s="6" t="n"/>
      <c r="E27" s="6" t="n"/>
      <c r="F27" s="6" t="n"/>
      <c r="G27" s="6" t="n"/>
      <c r="H27" s="6" t="n"/>
      <c r="I27" s="6" t="n"/>
      <c r="J27" s="6" t="n"/>
      <c r="K27" s="6" t="n"/>
      <c r="L27" s="6" t="n"/>
      <c r="M27" s="6" t="n"/>
      <c r="N27" s="6" t="n"/>
      <c r="O27" s="6" t="n"/>
      <c r="P27" s="6" t="n"/>
      <c r="Q27" s="6" t="n"/>
      <c r="R27" s="6" t="n"/>
    </row>
    <row r="28">
      <c r="A28" s="6" t="inlineStr">
        <is>
          <t>Unrealised foreign exchange (gains)/losses</t>
        </is>
      </c>
      <c r="B28" s="6" t="n"/>
      <c r="C28" s="6" t="n">
        <v>-1929.4</v>
      </c>
      <c r="D28" s="6" t="n"/>
      <c r="E28" s="6" t="n"/>
      <c r="F28" s="6" t="n"/>
      <c r="G28" s="6" t="n"/>
      <c r="H28" s="6" t="n"/>
      <c r="I28" s="6" t="n"/>
      <c r="J28" s="6" t="n"/>
      <c r="K28" s="6" t="n"/>
      <c r="L28" s="6" t="n"/>
      <c r="M28" s="6" t="n"/>
      <c r="N28" s="6" t="n"/>
      <c r="O28" s="6" t="n"/>
      <c r="P28" s="6" t="n"/>
      <c r="Q28" s="6" t="n"/>
      <c r="R28" s="6" t="n"/>
    </row>
    <row r="29">
      <c r="A29" s="6" t="inlineStr">
        <is>
          <t>Loss on derecognition of assets</t>
        </is>
      </c>
      <c r="B29" s="6" t="n"/>
      <c r="C29" s="6" t="n">
        <v>5856.7</v>
      </c>
      <c r="D29" s="6" t="n"/>
      <c r="E29" s="6" t="n"/>
      <c r="F29" s="6" t="n"/>
      <c r="G29" s="6" t="n"/>
      <c r="H29" s="6" t="n"/>
      <c r="I29" s="6" t="n"/>
      <c r="J29" s="6" t="n"/>
      <c r="K29" s="6" t="n"/>
      <c r="L29" s="6" t="n"/>
      <c r="M29" s="6" t="n"/>
      <c r="N29" s="6" t="n"/>
      <c r="O29" s="6" t="n"/>
      <c r="P29" s="6" t="n"/>
      <c r="Q29" s="6" t="n"/>
      <c r="R29" s="6" t="n"/>
    </row>
    <row r="30">
      <c r="A30" s="6" t="inlineStr">
        <is>
          <t>Decrease/(Increase) in loans and advances to banks</t>
        </is>
      </c>
      <c r="B30" s="6" t="n"/>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c r="P30" s="6" t="n"/>
      <c r="Q30" s="6" t="n"/>
      <c r="R30" s="6" t="n"/>
    </row>
    <row r="31">
      <c r="A31" s="6" t="inlineStr">
        <is>
          <t>(Increase)/Decrease in loans and advances to customers</t>
        </is>
      </c>
      <c r="B31" s="6" t="n"/>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c r="P31" s="6" t="n"/>
      <c r="Q31" s="6" t="n"/>
      <c r="R31" s="6" t="n"/>
    </row>
    <row r="32">
      <c r="A32" s="6" t="inlineStr">
        <is>
          <t>(Increase)/Decrease in securities measured at fair value through profit or loss</t>
        </is>
      </c>
      <c r="B32" s="6" t="n"/>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c r="P32" s="6" t="n"/>
      <c r="Q32" s="6" t="n"/>
      <c r="R32" s="6" t="n"/>
    </row>
    <row r="33">
      <c r="A33" s="6" t="inlineStr">
        <is>
          <t>Decrease/(Increase) in securities measured at FVOCI</t>
        </is>
      </c>
      <c r="B33" s="6" t="n"/>
      <c r="C33" s="6" t="n">
        <v>246077.5</v>
      </c>
      <c r="D33" s="6" t="n">
        <v>125305.6</v>
      </c>
      <c r="E33" s="6" t="n">
        <v>-460226</v>
      </c>
      <c r="F33" s="6" t="n">
        <v>-228212</v>
      </c>
      <c r="G33" s="6" t="n">
        <v>-257556.7</v>
      </c>
      <c r="H33" s="6" t="n">
        <v>120592.1</v>
      </c>
      <c r="I33" s="6" t="n">
        <v>-588526.7</v>
      </c>
      <c r="J33" s="6" t="n">
        <v>-5306.3</v>
      </c>
      <c r="K33" s="6" t="n"/>
      <c r="L33" s="6" t="n"/>
      <c r="M33" s="6" t="n"/>
      <c r="N33" s="6" t="n"/>
      <c r="O33" s="6" t="n"/>
      <c r="P33" s="6" t="n"/>
      <c r="Q33" s="6" t="n"/>
      <c r="R33" s="6" t="n"/>
    </row>
    <row r="34">
      <c r="A34" s="6" t="inlineStr">
        <is>
          <t>(Increase)/Decrease in other assets</t>
        </is>
      </c>
      <c r="B34" s="6" t="n"/>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c r="P34" s="6" t="n"/>
      <c r="Q34" s="6" t="n"/>
      <c r="R34" s="6" t="n"/>
    </row>
    <row r="35">
      <c r="A35" s="6" t="inlineStr">
        <is>
          <t>(Decrease)/Increase in deposits from banks</t>
        </is>
      </c>
      <c r="B35" s="6" t="n"/>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c r="P35" s="6" t="n"/>
      <c r="Q35" s="6" t="n"/>
      <c r="R35" s="6" t="n"/>
    </row>
    <row r="36">
      <c r="A36" s="6" t="inlineStr">
        <is>
          <t>(Decrease)/Increase in deposits from customers</t>
        </is>
      </c>
      <c r="B36" s="6" t="n"/>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c r="P36" s="6" t="n"/>
      <c r="Q36" s="6" t="n"/>
      <c r="R36" s="6" t="n"/>
    </row>
    <row r="37">
      <c r="A37" s="6" t="inlineStr">
        <is>
          <t>Increase/(Decrease) in repurchase agreements and other similar secured borrowing</t>
        </is>
      </c>
      <c r="B37" s="6" t="n"/>
      <c r="C37" s="6" t="n">
        <v>33642</v>
      </c>
      <c r="D37" s="6" t="n">
        <v>-24583.5</v>
      </c>
      <c r="E37" s="6" t="n">
        <v>24574.5</v>
      </c>
      <c r="F37" s="6" t="n">
        <v>33139.3</v>
      </c>
      <c r="G37" s="6" t="n"/>
      <c r="H37" s="6" t="n"/>
      <c r="I37" s="6" t="n"/>
      <c r="J37" s="6" t="n"/>
      <c r="K37" s="6" t="n"/>
      <c r="L37" s="6" t="n"/>
      <c r="M37" s="6" t="n"/>
      <c r="N37" s="6" t="n"/>
      <c r="O37" s="6" t="n"/>
      <c r="P37" s="6" t="n"/>
      <c r="Q37" s="6" t="n"/>
      <c r="R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c r="P38" s="6" t="n"/>
      <c r="Q38" s="6" t="n"/>
      <c r="R38" s="6" t="n"/>
    </row>
    <row r="39">
      <c r="A39" s="6" t="inlineStr">
        <is>
          <t>Increase/(Decrease) in other liabilities</t>
        </is>
      </c>
      <c r="B39" s="6" t="n"/>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c r="P39" s="6" t="n"/>
      <c r="Q39" s="6" t="n"/>
      <c r="R39" s="6" t="n"/>
    </row>
    <row r="40">
      <c r="A40" s="6" t="inlineStr">
        <is>
          <t>Interest income received</t>
        </is>
      </c>
      <c r="B40" s="6" t="n"/>
      <c r="C40" s="6" t="n">
        <v>81396.60000000001</v>
      </c>
      <c r="D40" s="6" t="n">
        <v>109627</v>
      </c>
      <c r="E40" s="6" t="n">
        <v>70337.7</v>
      </c>
      <c r="F40" s="6" t="n"/>
      <c r="G40" s="6" t="n"/>
      <c r="H40" s="6" t="n"/>
      <c r="I40" s="6" t="n"/>
      <c r="J40" s="6" t="n"/>
      <c r="K40" s="6" t="n"/>
      <c r="L40" s="6" t="n"/>
      <c r="M40" s="6" t="n"/>
      <c r="N40" s="6" t="n"/>
      <c r="O40" s="6" t="n"/>
      <c r="P40" s="6" t="n"/>
      <c r="Q40" s="6" t="n"/>
      <c r="R40" s="6" t="n"/>
    </row>
    <row r="41">
      <c r="A41" s="6" t="inlineStr">
        <is>
          <t>Interest expense paid</t>
        </is>
      </c>
      <c r="B41" s="6" t="n"/>
      <c r="C41" s="6" t="n">
        <v>-41972.7</v>
      </c>
      <c r="D41" s="6" t="n">
        <v>-35626.4</v>
      </c>
      <c r="E41" s="6" t="n">
        <v>-10111.2</v>
      </c>
      <c r="F41" s="6" t="n"/>
      <c r="G41" s="6" t="n"/>
      <c r="H41" s="6" t="n"/>
      <c r="I41" s="6" t="n"/>
      <c r="J41" s="6" t="n"/>
      <c r="K41" s="6" t="n"/>
      <c r="L41" s="6" t="n"/>
      <c r="M41" s="6" t="n"/>
      <c r="N41" s="6" t="n"/>
      <c r="O41" s="6" t="n"/>
      <c r="P41" s="6" t="n"/>
      <c r="Q41" s="6" t="n"/>
      <c r="R41" s="6" t="n"/>
    </row>
    <row r="42">
      <c r="A42" s="6" t="inlineStr">
        <is>
          <t>Income tax paid</t>
        </is>
      </c>
      <c r="B42" s="6" t="n"/>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c r="P42" s="6" t="n"/>
      <c r="Q42" s="6" t="n"/>
      <c r="R42" s="6" t="n"/>
    </row>
    <row r="43">
      <c r="A43" s="5" t="inlineStr">
        <is>
          <t>Net cash generated from/(used in) operating activities</t>
        </is>
      </c>
      <c r="B43" s="5" t="n"/>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c r="P43" s="5" t="n"/>
      <c r="Q43" s="5" t="n"/>
      <c r="R43" s="5" t="n"/>
    </row>
    <row r="44">
      <c r="A44" s="5" t="inlineStr">
        <is>
          <t>Investing activities</t>
        </is>
      </c>
      <c r="B44" s="6" t="n"/>
      <c r="C44" s="6" t="n"/>
      <c r="D44" s="6" t="n"/>
      <c r="E44" s="6" t="n"/>
      <c r="F44" s="6" t="n"/>
      <c r="G44" s="6" t="n"/>
      <c r="H44" s="6" t="n"/>
      <c r="I44" s="6" t="n"/>
      <c r="J44" s="6" t="n"/>
      <c r="K44" s="6" t="n"/>
      <c r="L44" s="6" t="n"/>
      <c r="M44" s="6" t="n"/>
      <c r="N44" s="6" t="n"/>
      <c r="O44" s="6" t="n"/>
      <c r="P44" s="6" t="n"/>
      <c r="Q44" s="6" t="n"/>
      <c r="R44" s="6" t="n"/>
    </row>
    <row r="45">
      <c r="A45" s="6" t="inlineStr">
        <is>
          <t>Acquisition of securities measured at amortised cost</t>
        </is>
      </c>
      <c r="B45" s="6" t="n"/>
      <c r="C45" s="6" t="n">
        <v>-63438.6</v>
      </c>
      <c r="D45" s="6" t="n">
        <v>-21488.7</v>
      </c>
      <c r="E45" s="6" t="n">
        <v>-38525.3</v>
      </c>
      <c r="F45" s="6" t="n">
        <v>-31205.1</v>
      </c>
      <c r="G45" s="6" t="n">
        <v>-42925.8</v>
      </c>
      <c r="H45" s="6" t="n">
        <v>-43241.9</v>
      </c>
      <c r="I45" s="6" t="n">
        <v>-36902.9</v>
      </c>
      <c r="J45" s="6" t="n"/>
      <c r="K45" s="6" t="n"/>
      <c r="L45" s="6" t="n"/>
      <c r="M45" s="6" t="n"/>
      <c r="N45" s="6" t="n"/>
      <c r="O45" s="6" t="n"/>
      <c r="P45" s="6" t="n"/>
      <c r="Q45" s="6" t="n"/>
      <c r="R45" s="6" t="n"/>
    </row>
    <row r="46">
      <c r="A46" s="6" t="inlineStr">
        <is>
          <t>Proceeds from redemption of securities measured at amortised cost</t>
        </is>
      </c>
      <c r="B46" s="6" t="n"/>
      <c r="C46" s="6" t="n">
        <v>54622.5</v>
      </c>
      <c r="D46" s="6" t="n">
        <v>16939.9</v>
      </c>
      <c r="E46" s="6" t="n">
        <v>22359.8</v>
      </c>
      <c r="F46" s="6" t="n">
        <v>23472.9</v>
      </c>
      <c r="G46" s="6" t="n">
        <v>4299</v>
      </c>
      <c r="H46" s="6" t="n">
        <v>13156</v>
      </c>
      <c r="I46" s="6" t="n">
        <v>49270.7</v>
      </c>
      <c r="J46" s="6" t="n"/>
      <c r="K46" s="6" t="n"/>
      <c r="L46" s="6" t="n"/>
      <c r="M46" s="6" t="n"/>
      <c r="N46" s="6" t="n"/>
      <c r="O46" s="6" t="n"/>
      <c r="P46" s="6" t="n"/>
      <c r="Q46" s="6" t="n"/>
      <c r="R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c r="P47" s="6" t="n"/>
      <c r="Q47" s="6" t="n"/>
      <c r="R47" s="6" t="n"/>
    </row>
    <row r="48">
      <c r="A48" s="6" t="inlineStr">
        <is>
          <t>Interest income received (investing)</t>
        </is>
      </c>
      <c r="B48" s="6" t="n"/>
      <c r="C48" s="6" t="n">
        <v>10994.9</v>
      </c>
      <c r="D48" s="6" t="n">
        <v>12221.3</v>
      </c>
      <c r="E48" s="6" t="n">
        <v>14429</v>
      </c>
      <c r="F48" s="6" t="n"/>
      <c r="G48" s="6" t="n"/>
      <c r="H48" s="6" t="n"/>
      <c r="I48" s="6" t="n"/>
      <c r="J48" s="6" t="n"/>
      <c r="K48" s="6" t="n"/>
      <c r="L48" s="6" t="n"/>
      <c r="M48" s="6" t="n"/>
      <c r="N48" s="6" t="n"/>
      <c r="O48" s="6" t="n"/>
      <c r="P48" s="6" t="n"/>
      <c r="Q48" s="6" t="n"/>
      <c r="R48" s="6" t="n"/>
    </row>
    <row r="49">
      <c r="A49" s="6" t="inlineStr">
        <is>
          <t>Acquisition of property and equipment</t>
        </is>
      </c>
      <c r="B49" s="6" t="n"/>
      <c r="C49" s="6" t="n">
        <v>-48.6</v>
      </c>
      <c r="D49" s="6" t="n">
        <v>-48.4</v>
      </c>
      <c r="E49" s="6" t="n">
        <v>-21.3</v>
      </c>
      <c r="F49" s="6" t="n">
        <v>-25</v>
      </c>
      <c r="G49" s="6" t="n">
        <v>-223</v>
      </c>
      <c r="H49" s="6" t="n">
        <v>-149.8</v>
      </c>
      <c r="I49" s="6" t="n">
        <v>-111.4</v>
      </c>
      <c r="J49" s="6" t="n">
        <v>-39.2</v>
      </c>
      <c r="K49" s="6" t="n">
        <v>-199.9</v>
      </c>
      <c r="L49" s="6" t="n">
        <v>-937</v>
      </c>
      <c r="M49" s="6" t="n">
        <v>-77.5</v>
      </c>
      <c r="N49" s="6" t="n">
        <v>-129.2</v>
      </c>
      <c r="O49" s="6" t="n">
        <v>-233.4</v>
      </c>
      <c r="P49" s="6" t="n"/>
      <c r="Q49" s="6" t="n"/>
      <c r="R49" s="6" t="n"/>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c r="P50" s="6" t="n"/>
      <c r="Q50" s="6" t="n"/>
      <c r="R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c r="P51" s="6" t="n"/>
      <c r="Q51" s="6" t="n"/>
      <c r="R51" s="6" t="n"/>
    </row>
    <row r="52">
      <c r="A52" s="6" t="inlineStr">
        <is>
          <t>Acquisition of intangible assets</t>
        </is>
      </c>
      <c r="B52" s="6" t="n"/>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c r="P52" s="6" t="n"/>
      <c r="Q52" s="6" t="n"/>
      <c r="R52" s="6" t="n"/>
    </row>
    <row r="53">
      <c r="A53" s="5" t="inlineStr">
        <is>
          <t>Net cash generated from/(used in) investing activities</t>
        </is>
      </c>
      <c r="B53" s="5" t="n"/>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c r="P53" s="5" t="n"/>
      <c r="Q53" s="5" t="n"/>
      <c r="R53" s="5" t="n"/>
    </row>
    <row r="54">
      <c r="A54" s="5" t="inlineStr">
        <is>
          <t>Financing activities</t>
        </is>
      </c>
      <c r="B54" s="6" t="n"/>
      <c r="C54" s="6" t="n"/>
      <c r="D54" s="6" t="n"/>
      <c r="E54" s="6" t="n"/>
      <c r="F54" s="6" t="n"/>
      <c r="G54" s="6" t="n"/>
      <c r="H54" s="6" t="n"/>
      <c r="I54" s="6" t="n"/>
      <c r="J54" s="6" t="n"/>
      <c r="K54" s="6" t="n"/>
      <c r="L54" s="6" t="n"/>
      <c r="M54" s="6" t="n"/>
      <c r="N54" s="6" t="n"/>
      <c r="O54" s="6" t="n"/>
      <c r="P54" s="6" t="n"/>
      <c r="Q54" s="6" t="n"/>
      <c r="R54" s="6" t="n"/>
    </row>
    <row r="55">
      <c r="A55" s="6" t="inlineStr">
        <is>
          <t>Repayment of lease liability/obligation</t>
        </is>
      </c>
      <c r="B55" s="6" t="n"/>
      <c r="C55" s="6" t="n">
        <v>-525.9</v>
      </c>
      <c r="D55" s="6" t="n">
        <v>-744.7</v>
      </c>
      <c r="E55" s="6" t="n">
        <v>-666.7</v>
      </c>
      <c r="F55" s="6" t="n">
        <v>-788.4</v>
      </c>
      <c r="G55" s="6" t="n">
        <v>-141.8</v>
      </c>
      <c r="H55" s="6" t="n">
        <v>-448.2</v>
      </c>
      <c r="I55" s="6" t="n"/>
      <c r="J55" s="6" t="n"/>
      <c r="K55" s="6" t="n"/>
      <c r="L55" s="6" t="n"/>
      <c r="M55" s="6" t="n"/>
      <c r="N55" s="6" t="n"/>
      <c r="O55" s="6" t="n"/>
      <c r="P55" s="6" t="n"/>
      <c r="Q55" s="6" t="n"/>
      <c r="R55" s="6" t="n"/>
    </row>
    <row r="56">
      <c r="A56" s="6" t="inlineStr">
        <is>
          <t>Addition of new lease obligation</t>
        </is>
      </c>
      <c r="B56" s="6" t="n"/>
      <c r="C56" s="6" t="n"/>
      <c r="D56" s="6" t="n"/>
      <c r="E56" s="6" t="n"/>
      <c r="F56" s="6" t="n">
        <v>33.9</v>
      </c>
      <c r="G56" s="6" t="n">
        <v>416.1</v>
      </c>
      <c r="H56" s="6" t="n"/>
      <c r="I56" s="6" t="n"/>
      <c r="J56" s="6" t="n"/>
      <c r="K56" s="6" t="n"/>
      <c r="L56" s="6" t="n"/>
      <c r="M56" s="6" t="n"/>
      <c r="N56" s="6" t="n"/>
      <c r="O56" s="6" t="n"/>
      <c r="P56" s="6" t="n"/>
      <c r="Q56" s="6" t="n"/>
      <c r="R56" s="6" t="n"/>
    </row>
    <row r="57">
      <c r="A57" s="6" t="inlineStr">
        <is>
          <t>Interest payment on lease obligation (transition to IFRS 16)</t>
        </is>
      </c>
      <c r="B57" s="6" t="n"/>
      <c r="C57" s="6" t="n"/>
      <c r="D57" s="6" t="n"/>
      <c r="E57" s="6" t="n"/>
      <c r="F57" s="6" t="n"/>
      <c r="G57" s="6" t="n">
        <v>0</v>
      </c>
      <c r="H57" s="6" t="n">
        <v>-26.3</v>
      </c>
      <c r="I57" s="6" t="n"/>
      <c r="J57" s="6" t="n"/>
      <c r="K57" s="6" t="n"/>
      <c r="L57" s="6" t="n"/>
      <c r="M57" s="6" t="n"/>
      <c r="N57" s="6" t="n"/>
      <c r="O57" s="6" t="n"/>
      <c r="P57" s="6" t="n"/>
      <c r="Q57" s="6" t="n"/>
      <c r="R57" s="6" t="n"/>
    </row>
    <row r="58">
      <c r="A58" s="6" t="inlineStr">
        <is>
          <t>Proceeds from issue of share capital</t>
        </is>
      </c>
      <c r="B58" s="6" t="n"/>
      <c r="C58" s="6" t="n"/>
      <c r="D58" s="6" t="n"/>
      <c r="E58" s="6" t="n"/>
      <c r="F58" s="6" t="n"/>
      <c r="G58" s="6" t="n"/>
      <c r="H58" s="6" t="n"/>
      <c r="I58" s="6" t="n"/>
      <c r="J58" s="6" t="n"/>
      <c r="K58" s="6" t="n"/>
      <c r="L58" s="6" t="n"/>
      <c r="M58" s="6" t="n">
        <v>30367.4</v>
      </c>
      <c r="N58" s="6" t="n">
        <v>0</v>
      </c>
      <c r="O58" s="6" t="n">
        <v>18458.1</v>
      </c>
      <c r="P58" s="6" t="n"/>
      <c r="Q58" s="6" t="n"/>
      <c r="R58" s="6" t="n"/>
    </row>
    <row r="59">
      <c r="A59" s="6" t="inlineStr">
        <is>
          <t>Dividends paid to shareholders</t>
        </is>
      </c>
      <c r="B59" s="6" t="n"/>
      <c r="C59" s="6" t="n"/>
      <c r="D59" s="6" t="n">
        <v>-14149</v>
      </c>
      <c r="E59" s="6" t="n">
        <v>-4610.9</v>
      </c>
      <c r="F59" s="6" t="n">
        <v>-6512.3</v>
      </c>
      <c r="G59" s="6" t="n"/>
      <c r="H59" s="6" t="n"/>
      <c r="I59" s="6" t="n"/>
      <c r="J59" s="6" t="n"/>
      <c r="K59" s="6" t="n"/>
      <c r="L59" s="6" t="n"/>
      <c r="M59" s="6" t="n"/>
      <c r="N59" s="6" t="n"/>
      <c r="O59" s="6" t="n"/>
      <c r="P59" s="6" t="n"/>
      <c r="Q59" s="6" t="n"/>
      <c r="R59" s="6" t="n"/>
    </row>
    <row r="60">
      <c r="A60" s="5" t="inlineStr">
        <is>
          <t>Net cash generated from/(used in) financing activities</t>
        </is>
      </c>
      <c r="B60" s="5" t="n"/>
      <c r="C60" s="5" t="n">
        <v>-525.9</v>
      </c>
      <c r="D60" s="5" t="n">
        <v>-14893.7</v>
      </c>
      <c r="E60" s="5" t="n">
        <v>-5277.6</v>
      </c>
      <c r="F60" s="5" t="n">
        <v>-7266.8</v>
      </c>
      <c r="G60" s="5" t="n">
        <v>274.2</v>
      </c>
      <c r="H60" s="5" t="n">
        <v>-474.5</v>
      </c>
      <c r="I60" s="5" t="n"/>
      <c r="J60" s="5" t="n"/>
      <c r="K60" s="5" t="n"/>
      <c r="L60" s="5" t="n"/>
      <c r="M60" s="5" t="n">
        <v>30367.4</v>
      </c>
      <c r="N60" s="5" t="n">
        <v>0</v>
      </c>
      <c r="O60" s="5" t="n">
        <v>18458.1</v>
      </c>
      <c r="P60" s="5" t="n"/>
      <c r="Q60" s="5" t="n"/>
      <c r="R60" s="5" t="n"/>
    </row>
    <row r="61">
      <c r="A61" s="5" t="inlineStr">
        <is>
          <t>Net (decrease)/increase of cash and cash equivalents</t>
        </is>
      </c>
      <c r="B61" s="5" t="n"/>
      <c r="C61" s="5" t="n">
        <v>162133.8</v>
      </c>
      <c r="D61" s="5" t="n">
        <v>-284260.1</v>
      </c>
      <c r="E61" s="5" t="n">
        <v>-204617.9</v>
      </c>
      <c r="F61" s="5" t="n">
        <v>69096.10000000001</v>
      </c>
      <c r="G61" s="5" t="n">
        <v>167901.6</v>
      </c>
      <c r="H61" s="5" t="n">
        <v>-108078.8</v>
      </c>
      <c r="I61" s="5" t="n">
        <v>-39860.8</v>
      </c>
      <c r="J61" s="5" t="n">
        <v>96006.3</v>
      </c>
      <c r="K61" s="5" t="n">
        <v>258180.8</v>
      </c>
      <c r="L61" s="5" t="n">
        <v>-83446.2</v>
      </c>
      <c r="M61" s="5" t="n">
        <v>134153.7</v>
      </c>
      <c r="N61" s="5" t="n">
        <v>-6069.5</v>
      </c>
      <c r="O61" s="5" t="n">
        <v>20200.7</v>
      </c>
      <c r="P61" s="5" t="n"/>
      <c r="Q61" s="5" t="n"/>
      <c r="R61" s="5" t="n"/>
    </row>
    <row r="62">
      <c r="A62" s="6" t="inlineStr">
        <is>
          <t>Cash and cash equivalents as at 1 January</t>
        </is>
      </c>
      <c r="B62" s="6" t="n"/>
      <c r="C62" s="6" t="n">
        <v>216831.3</v>
      </c>
      <c r="D62" s="6" t="n">
        <v>520509.8</v>
      </c>
      <c r="E62" s="6" t="n">
        <v>652769.3</v>
      </c>
      <c r="F62" s="6" t="n">
        <v>576523.2</v>
      </c>
      <c r="G62" s="6" t="n">
        <v>433198</v>
      </c>
      <c r="H62" s="6" t="n">
        <v>556093</v>
      </c>
      <c r="I62" s="6" t="n">
        <v>564977.9</v>
      </c>
      <c r="J62" s="6" t="n">
        <v>519912.3</v>
      </c>
      <c r="K62" s="6" t="n">
        <v>196648.9</v>
      </c>
      <c r="L62" s="6" t="n">
        <v>268406</v>
      </c>
      <c r="M62" s="6" t="n">
        <v>119816.1</v>
      </c>
      <c r="N62" s="6" t="n">
        <v>125827.6</v>
      </c>
      <c r="O62" s="6" t="n">
        <v>105626.9</v>
      </c>
      <c r="P62" s="6" t="n"/>
      <c r="Q62" s="6" t="n"/>
      <c r="R62" s="6" t="n"/>
    </row>
    <row r="63">
      <c r="A63" s="6" t="inlineStr">
        <is>
          <t>Effect of exchange rate changes on cash and cash equivalents (as reported, USD)</t>
        </is>
      </c>
      <c r="B63" s="6" t="n"/>
      <c r="C63" s="6" t="n">
        <v>-2406.2</v>
      </c>
      <c r="D63" s="6" t="n"/>
      <c r="E63" s="6" t="n"/>
      <c r="F63" s="6" t="n"/>
      <c r="G63" s="6" t="n"/>
      <c r="H63" s="6" t="n"/>
      <c r="I63" s="6" t="n"/>
      <c r="J63" s="6" t="n"/>
      <c r="K63" s="6" t="n"/>
      <c r="L63" s="6" t="n"/>
      <c r="M63" s="6" t="n"/>
      <c r="N63" s="6" t="n"/>
      <c r="O63" s="6" t="n"/>
      <c r="P63" s="6" t="n"/>
      <c r="Q63" s="6" t="n"/>
      <c r="R63" s="6" t="n"/>
    </row>
    <row r="64">
      <c r="A64" s="6" t="inlineStr">
        <is>
          <t>Effect of GBP/USD translation (£ conversion artefact - see FX note)</t>
        </is>
      </c>
      <c r="B64" s="6" t="n"/>
      <c r="C64" s="6" t="n">
        <v>7167.3</v>
      </c>
      <c r="D64" s="6" t="n">
        <v>-19418.4</v>
      </c>
      <c r="E64" s="6" t="n">
        <v>72358.39999999999</v>
      </c>
      <c r="F64" s="6" t="n">
        <v>7150</v>
      </c>
      <c r="G64" s="6" t="n">
        <v>-24576.4</v>
      </c>
      <c r="H64" s="6" t="n">
        <v>-14816.2</v>
      </c>
      <c r="I64" s="6" t="n">
        <v>30975.9</v>
      </c>
      <c r="J64" s="6" t="n">
        <v>-50940.7</v>
      </c>
      <c r="K64" s="6" t="n">
        <v>65082.6</v>
      </c>
      <c r="L64" s="6" t="n">
        <v>11689.1</v>
      </c>
      <c r="M64" s="6" t="n">
        <v>14436.2</v>
      </c>
      <c r="N64" s="6" t="n">
        <v>0</v>
      </c>
      <c r="O64" s="6" t="n">
        <v>0</v>
      </c>
      <c r="P64" s="6" t="n"/>
      <c r="Q64" s="6" t="n"/>
      <c r="R64" s="6" t="n"/>
    </row>
    <row r="65">
      <c r="A65" s="5" t="inlineStr">
        <is>
          <t>Cash and cash equivalents at 31 December</t>
        </is>
      </c>
      <c r="B65" s="5" t="n"/>
      <c r="C65" s="5" t="n">
        <v>383726.2</v>
      </c>
      <c r="D65" s="5" t="n">
        <v>216831.3</v>
      </c>
      <c r="E65" s="5" t="n">
        <v>520509.8</v>
      </c>
      <c r="F65" s="5" t="n">
        <v>652769.3</v>
      </c>
      <c r="G65" s="5" t="n">
        <v>576523.2</v>
      </c>
      <c r="H65" s="5" t="n">
        <v>433198</v>
      </c>
      <c r="I65" s="5" t="n">
        <v>556093</v>
      </c>
      <c r="J65" s="5" t="n">
        <v>564977.9</v>
      </c>
      <c r="K65" s="5" t="n">
        <v>519912.3</v>
      </c>
      <c r="L65" s="5" t="n">
        <v>196648.9</v>
      </c>
      <c r="M65" s="5" t="n">
        <v>268406</v>
      </c>
      <c r="N65" s="5" t="n">
        <v>119758.1</v>
      </c>
      <c r="O65" s="5" t="n">
        <v>125827.6</v>
      </c>
      <c r="P65" s="5" t="n"/>
      <c r="Q65" s="5" t="n"/>
      <c r="R65" s="5" t="n"/>
    </row>
    <row r="67" ht="520" customHeight="1">
      <c r="A67"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cash flow is blank: no FY2025 Annual Report has been published yet (only the FY2025 Pillar 3 disclosure is out so far) - Pillar 3 sheets are fully populated for FY2025.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7:R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Asset Quality</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Loans and advances to customers</t>
        </is>
      </c>
      <c r="B4" s="6" t="n"/>
      <c r="C4" s="6" t="n"/>
      <c r="D4" s="6" t="n"/>
      <c r="E4" s="6" t="n"/>
      <c r="F4" s="6" t="n"/>
      <c r="G4" s="6" t="n"/>
      <c r="H4" s="6" t="n"/>
      <c r="I4" s="6" t="n"/>
      <c r="J4" s="6" t="n"/>
      <c r="K4" s="6" t="n"/>
      <c r="L4" s="6" t="n"/>
      <c r="M4" s="6" t="n"/>
      <c r="N4" s="6" t="n"/>
      <c r="O4" s="6" t="n"/>
      <c r="P4" s="6" t="n"/>
      <c r="Q4" s="6" t="n"/>
      <c r="R4" s="6" t="n"/>
    </row>
    <row r="5">
      <c r="A5" s="6" t="inlineStr">
        <is>
          <t>Gross exposure</t>
        </is>
      </c>
      <c r="B5" s="6" t="n"/>
      <c r="C5" s="6" t="n">
        <v>357098.8</v>
      </c>
      <c r="D5" s="6" t="n">
        <v>282475.4</v>
      </c>
      <c r="E5" s="6" t="n">
        <v>264759.8</v>
      </c>
      <c r="F5" s="6" t="n">
        <v>265839.1</v>
      </c>
      <c r="G5" s="6" t="n">
        <v>119318.1</v>
      </c>
      <c r="H5" s="6" t="n">
        <v>51225.3</v>
      </c>
      <c r="I5" s="6" t="n">
        <v>70531</v>
      </c>
      <c r="J5" s="6" t="n">
        <v>114605</v>
      </c>
      <c r="K5" s="6" t="n">
        <v>183473.6</v>
      </c>
      <c r="L5" s="6" t="n">
        <v>253652.7</v>
      </c>
      <c r="M5" s="6" t="n">
        <v>252674.4</v>
      </c>
      <c r="N5" s="6" t="n"/>
      <c r="O5" s="6" t="n"/>
      <c r="P5" s="6" t="n"/>
      <c r="Q5" s="6" t="n"/>
      <c r="R5" s="6" t="n"/>
    </row>
    <row r="6">
      <c r="A6" s="6" t="inlineStr">
        <is>
          <t>IFRS 9 impairment allowance</t>
        </is>
      </c>
      <c r="B6" s="6" t="n"/>
      <c r="C6" s="6" t="n">
        <v>-2641.6</v>
      </c>
      <c r="D6" s="6" t="n">
        <v>-4861.8</v>
      </c>
      <c r="E6" s="6" t="n">
        <v>-4197</v>
      </c>
      <c r="F6" s="6" t="n">
        <v>-4383.2</v>
      </c>
      <c r="G6" s="6" t="n">
        <v>-1605.2</v>
      </c>
      <c r="H6" s="6" t="n">
        <v>-1803.2</v>
      </c>
      <c r="I6" s="6" t="n">
        <v>-4012.4</v>
      </c>
      <c r="J6" s="6" t="n"/>
      <c r="K6" s="6" t="n"/>
      <c r="L6" s="6" t="n"/>
      <c r="M6" s="6" t="n"/>
      <c r="N6" s="6" t="n"/>
      <c r="O6" s="6" t="n"/>
      <c r="P6" s="6" t="n"/>
      <c r="Q6" s="6" t="n"/>
      <c r="R6" s="6" t="n"/>
    </row>
    <row r="7">
      <c r="A7" s="6" t="inlineStr">
        <is>
          <t>IAS 39 impairment allowance (pre-IFRS 9)</t>
        </is>
      </c>
      <c r="B7" s="6" t="n"/>
      <c r="C7" s="6" t="n"/>
      <c r="D7" s="6" t="n"/>
      <c r="E7" s="6" t="n"/>
      <c r="F7" s="6" t="n"/>
      <c r="G7" s="6" t="n"/>
      <c r="H7" s="6" t="n"/>
      <c r="I7" s="6" t="n"/>
      <c r="J7" s="6" t="n">
        <v>-24724.1</v>
      </c>
      <c r="K7" s="6" t="n">
        <v>-21408.5</v>
      </c>
      <c r="L7" s="6" t="n">
        <v>-5626.6</v>
      </c>
      <c r="M7" s="6" t="n">
        <v>0</v>
      </c>
      <c r="N7" s="6" t="n"/>
      <c r="O7" s="6" t="n"/>
      <c r="P7" s="6" t="n"/>
      <c r="Q7" s="6" t="n"/>
      <c r="R7" s="6" t="n"/>
    </row>
    <row r="8">
      <c r="A8" s="5" t="inlineStr">
        <is>
          <t>Net loans and advances to customers</t>
        </is>
      </c>
      <c r="B8" s="5" t="n"/>
      <c r="C8" s="5" t="n">
        <v>354457.3</v>
      </c>
      <c r="D8" s="5" t="n">
        <v>277613.5</v>
      </c>
      <c r="E8" s="5" t="n">
        <v>260562.8</v>
      </c>
      <c r="F8" s="5" t="n">
        <v>261455.9</v>
      </c>
      <c r="G8" s="5" t="n">
        <v>117712.9</v>
      </c>
      <c r="H8" s="5" t="n">
        <v>49422.1</v>
      </c>
      <c r="I8" s="5" t="n">
        <v>66518.5</v>
      </c>
      <c r="J8" s="5" t="n">
        <v>89880.89999999999</v>
      </c>
      <c r="K8" s="5" t="n">
        <v>162065.1</v>
      </c>
      <c r="L8" s="5" t="n">
        <v>248026.1</v>
      </c>
      <c r="M8" s="5" t="n">
        <v>252674.4</v>
      </c>
      <c r="N8" s="5" t="n"/>
      <c r="O8" s="5" t="n"/>
      <c r="P8" s="5" t="n"/>
      <c r="Q8" s="5" t="n"/>
      <c r="R8" s="5" t="n"/>
    </row>
    <row r="9">
      <c r="A9" s="6" t="inlineStr">
        <is>
          <t>Impairment as % of gross exposure</t>
        </is>
      </c>
      <c r="B9" s="6" t="n"/>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c r="N9" s="6" t="n"/>
      <c r="O9" s="6" t="n"/>
      <c r="P9" s="6" t="n"/>
      <c r="Q9" s="6" t="n"/>
      <c r="R9" s="6" t="n"/>
    </row>
    <row r="10">
      <c r="A10" s="5" t="inlineStr">
        <is>
          <t>IAS 39 individual/collective allowance split (pre-IFRS 9, FY2016-FY2017 only)</t>
        </is>
      </c>
      <c r="B10" s="6" t="n"/>
      <c r="C10" s="6" t="n"/>
      <c r="D10" s="6" t="n"/>
      <c r="E10" s="6" t="n"/>
      <c r="F10" s="6" t="n"/>
      <c r="G10" s="6" t="n"/>
      <c r="H10" s="6" t="n"/>
      <c r="I10" s="6" t="n"/>
      <c r="J10" s="6" t="n"/>
      <c r="K10" s="6" t="n"/>
      <c r="L10" s="6" t="n"/>
      <c r="M10" s="6" t="n"/>
      <c r="N10" s="6" t="n"/>
      <c r="O10" s="6" t="n"/>
      <c r="P10" s="6" t="n"/>
      <c r="Q10" s="6" t="n"/>
      <c r="R10" s="6" t="n"/>
    </row>
    <row r="11">
      <c r="A11" s="6" t="inlineStr">
        <is>
          <t>Individual impairment allowance</t>
        </is>
      </c>
      <c r="B11" s="6" t="n"/>
      <c r="C11" s="6" t="n"/>
      <c r="D11" s="6" t="n"/>
      <c r="E11" s="6" t="n"/>
      <c r="F11" s="6" t="n"/>
      <c r="G11" s="6" t="n"/>
      <c r="H11" s="6" t="n"/>
      <c r="I11" s="6" t="n"/>
      <c r="J11" s="6" t="n">
        <v>-21138.3</v>
      </c>
      <c r="K11" s="6" t="n">
        <v>-20612.5</v>
      </c>
      <c r="L11" s="6" t="n"/>
      <c r="M11" s="6" t="n"/>
      <c r="N11" s="6" t="n"/>
      <c r="O11" s="6" t="n"/>
      <c r="P11" s="6" t="n"/>
      <c r="Q11" s="6" t="n"/>
      <c r="R11" s="6" t="n"/>
    </row>
    <row r="12">
      <c r="A12" s="6" t="inlineStr">
        <is>
          <t>Collective impairment allowance</t>
        </is>
      </c>
      <c r="B12" s="6" t="n"/>
      <c r="C12" s="6" t="n"/>
      <c r="D12" s="6" t="n"/>
      <c r="E12" s="6" t="n"/>
      <c r="F12" s="6" t="n"/>
      <c r="G12" s="6" t="n"/>
      <c r="H12" s="6" t="n"/>
      <c r="I12" s="6" t="n"/>
      <c r="J12" s="6" t="n">
        <v>-3585.8</v>
      </c>
      <c r="K12" s="6" t="n">
        <v>-796</v>
      </c>
      <c r="L12" s="6" t="n"/>
      <c r="M12" s="6" t="n"/>
      <c r="N12" s="6" t="n"/>
      <c r="O12" s="6" t="n"/>
      <c r="P12" s="6" t="n"/>
      <c r="Q12" s="6" t="n"/>
      <c r="R12" s="6" t="n"/>
    </row>
    <row r="13">
      <c r="A13" s="5" t="inlineStr">
        <is>
          <t>IFRS 9 ECL allowance by stage (Loans and advances to customers)</t>
        </is>
      </c>
      <c r="B13" s="6" t="n"/>
      <c r="C13" s="6" t="n"/>
      <c r="D13" s="6" t="n"/>
      <c r="E13" s="6" t="n"/>
      <c r="F13" s="6" t="n"/>
      <c r="G13" s="6" t="n"/>
      <c r="H13" s="6" t="n"/>
      <c r="I13" s="6" t="n"/>
      <c r="J13" s="6" t="n"/>
      <c r="K13" s="6" t="n"/>
      <c r="L13" s="6" t="n"/>
      <c r="M13" s="6" t="n"/>
      <c r="N13" s="6" t="n"/>
      <c r="O13" s="6" t="n"/>
      <c r="P13" s="6" t="n"/>
      <c r="Q13" s="6" t="n"/>
      <c r="R13" s="6" t="n"/>
    </row>
    <row r="14">
      <c r="A14" s="6" t="inlineStr">
        <is>
          <t>Stage 1 (12-month ECL)</t>
        </is>
      </c>
      <c r="B14" s="6" t="n"/>
      <c r="C14" s="6" t="n">
        <v>2294.6</v>
      </c>
      <c r="D14" s="6" t="n">
        <v>4562.2</v>
      </c>
      <c r="E14" s="6" t="n">
        <v>3557.3</v>
      </c>
      <c r="F14" s="6" t="n">
        <v>3873.1</v>
      </c>
      <c r="G14" s="6" t="n">
        <v>1579.6</v>
      </c>
      <c r="H14" s="6" t="n">
        <v>1060.8</v>
      </c>
      <c r="I14" s="6" t="n">
        <v>67.40000000000001</v>
      </c>
      <c r="J14" s="6" t="n"/>
      <c r="K14" s="6" t="n"/>
      <c r="L14" s="6" t="n"/>
      <c r="M14" s="6" t="n"/>
      <c r="N14" s="6" t="n"/>
      <c r="O14" s="6" t="n"/>
      <c r="P14" s="6" t="n"/>
      <c r="Q14" s="6" t="n"/>
      <c r="R14" s="6" t="n"/>
    </row>
    <row r="15">
      <c r="A15" s="6" t="inlineStr">
        <is>
          <t>Stage 2 (lifetime ECL, not credit-impaired)</t>
        </is>
      </c>
      <c r="B15" s="6" t="n"/>
      <c r="C15" s="6" t="n">
        <v>347</v>
      </c>
      <c r="D15" s="6" t="n">
        <v>299.7</v>
      </c>
      <c r="E15" s="6" t="n">
        <v>639.7</v>
      </c>
      <c r="F15" s="6" t="n">
        <v>510.1</v>
      </c>
      <c r="G15" s="6" t="n">
        <v>25.6</v>
      </c>
      <c r="H15" s="6" t="n">
        <v>742.4</v>
      </c>
      <c r="I15" s="6" t="n">
        <v>3945</v>
      </c>
      <c r="J15" s="6" t="n"/>
      <c r="K15" s="6" t="n"/>
      <c r="L15" s="6" t="n"/>
      <c r="M15" s="6" t="n"/>
      <c r="N15" s="6" t="n"/>
      <c r="O15" s="6" t="n"/>
      <c r="P15" s="6" t="n"/>
      <c r="Q15" s="6" t="n"/>
      <c r="R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c r="N16" s="6" t="n"/>
      <c r="O16" s="6" t="n"/>
      <c r="P16" s="6" t="n"/>
      <c r="Q16" s="6" t="n"/>
      <c r="R16" s="6" t="n"/>
    </row>
    <row r="17">
      <c r="A17" s="5" t="inlineStr">
        <is>
          <t>Total ECL allowance</t>
        </is>
      </c>
      <c r="B17" s="5" t="n"/>
      <c r="C17" s="5" t="n">
        <v>2641.6</v>
      </c>
      <c r="D17" s="5" t="n">
        <v>4861.8</v>
      </c>
      <c r="E17" s="5" t="n">
        <v>4197</v>
      </c>
      <c r="F17" s="5" t="n">
        <v>4383.2</v>
      </c>
      <c r="G17" s="5" t="n">
        <v>1605.2</v>
      </c>
      <c r="H17" s="5" t="n">
        <v>1803.2</v>
      </c>
      <c r="I17" s="5" t="n">
        <v>4012.4</v>
      </c>
      <c r="J17" s="5" t="n"/>
      <c r="K17" s="5" t="n"/>
      <c r="L17" s="5" t="n"/>
      <c r="M17" s="5" t="n"/>
      <c r="N17" s="5" t="n"/>
      <c r="O17" s="5" t="n"/>
      <c r="P17" s="5" t="n"/>
      <c r="Q17" s="5" t="n"/>
      <c r="R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is blank: no FY2025 Annual Report has been published yet.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R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320773.3</v>
      </c>
      <c r="C4" s="6" t="n">
        <v>302297.2</v>
      </c>
      <c r="D4" s="6" t="n">
        <v>265540.4</v>
      </c>
      <c r="E4" s="6" t="n">
        <v>240324.9</v>
      </c>
      <c r="F4" s="6" t="n">
        <v>207889.9</v>
      </c>
      <c r="G4" s="6" t="n">
        <v>205416.1</v>
      </c>
      <c r="H4" s="6" t="n"/>
      <c r="I4" s="6" t="n"/>
      <c r="J4" s="6" t="n"/>
      <c r="K4" s="6" t="n"/>
      <c r="L4" s="6" t="n">
        <v>127190.1</v>
      </c>
      <c r="M4" s="6" t="n">
        <v>109432.3</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ht="60" customHeight="1">
      <c r="A5" s="7" t="inlineStr">
        <is>
          <t>Note: FY2009-FY2013 'Not applicable (Basel II)': the CET1 concept is a CRD IV construct and does not exist in the recovered FY2011 Basel II edition, which discloses a single undifferentiated Tier 1 capital figure (carried on the Tier 1 Capital and Total Capital sheets).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ht="60" customHeight="1">
      <c r="A5" s="7" t="inlineStr">
        <is>
          <t>Note: FY2009-FY2013 'Not applicable (Basel II)' - no CET1 concept existed (see CET1 Capital sheet).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c r="Q4" s="6" t="n"/>
      <c r="R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c r="Q5" s="6" t="n"/>
      <c r="R5" s="6" t="n"/>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c r="Q6" s="6" t="n"/>
      <c r="R6" s="6" t="n"/>
    </row>
    <row r="7" ht="60" customHeight="1">
      <c r="A7"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7:R7"/>
    <mergeCell ref="A9:R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c r="Q4" s="6" t="n"/>
      <c r="R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c r="Q5" s="6" t="n"/>
      <c r="R5" s="6" t="n"/>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c r="Q6" s="6" t="n"/>
      <c r="R6" s="6" t="n"/>
    </row>
    <row r="7" ht="60" customHeight="1">
      <c r="A7"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7:R7"/>
    <mergeCell ref="A9:R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 see the Tier 1 Ratio sheet's note on the 203% capital-cover trap.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1370696</v>
      </c>
      <c r="C4" s="6" t="n">
        <v>1179185</v>
      </c>
      <c r="D4" s="6" t="n">
        <v>917285.6</v>
      </c>
      <c r="E4" s="6" t="n">
        <v>930103.3</v>
      </c>
      <c r="F4" s="6" t="n">
        <v>1000519.9</v>
      </c>
      <c r="G4" s="6" t="n">
        <v>725993</v>
      </c>
      <c r="H4" s="6" t="n"/>
      <c r="I4" s="6" t="n"/>
      <c r="J4" s="6" t="n"/>
      <c r="K4" s="6" t="n"/>
      <c r="L4" s="6" t="n">
        <v>623962.5</v>
      </c>
      <c r="M4" s="6" t="n">
        <v>490357.5</v>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the £'000 equivalent of $1,167,888k) differs from the FY2024 report's restated FY2023 comparative ($1,203,364k) - a Basic Indicator Approach operational-risk methodology update. FY2023's own report figure is used, consistent with this project's convention of preferring each year's own report.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6" t="inlineStr">
        <is>
          <t>Credit Risk (excluding CCR)</t>
        </is>
      </c>
      <c r="B4" s="6" t="n">
        <v>1224324.1</v>
      </c>
      <c r="C4" s="6" t="n">
        <v>963260.1</v>
      </c>
      <c r="D4" s="6" t="n">
        <v>787991.7</v>
      </c>
      <c r="E4" s="6" t="n">
        <v>776986.9</v>
      </c>
      <c r="F4" s="6" t="n">
        <v>919004.5</v>
      </c>
      <c r="G4" s="6" t="n">
        <v>650689.6</v>
      </c>
      <c r="H4" s="6" t="n"/>
      <c r="I4" s="6" t="n"/>
      <c r="J4" s="6" t="n"/>
      <c r="K4" s="6" t="n"/>
      <c r="L4" s="6" t="n">
        <v>580049.3</v>
      </c>
      <c r="M4" s="6" t="n">
        <v>455023.1</v>
      </c>
      <c r="N4" s="6" t="n"/>
      <c r="O4" s="6" t="n"/>
      <c r="P4" s="6" t="n"/>
      <c r="Q4" s="6" t="n"/>
      <c r="R4" s="6" t="n"/>
    </row>
    <row r="5">
      <c r="A5" s="6" t="inlineStr">
        <is>
          <t>Counterparty Credit Risk (CCR)</t>
        </is>
      </c>
      <c r="B5" s="6" t="n">
        <v>5120.5</v>
      </c>
      <c r="C5" s="6" t="n">
        <v>78360.39999999999</v>
      </c>
      <c r="D5" s="6" t="n">
        <v>42496.1</v>
      </c>
      <c r="E5" s="6" t="n">
        <v>65573.3</v>
      </c>
      <c r="F5" s="6" t="n"/>
      <c r="G5" s="6" t="n"/>
      <c r="H5" s="6" t="n"/>
      <c r="I5" s="6" t="n"/>
      <c r="J5" s="6" t="n"/>
      <c r="K5" s="6" t="n"/>
      <c r="L5" s="6" t="n"/>
      <c r="M5" s="6" t="n"/>
      <c r="N5" s="6" t="n"/>
      <c r="O5" s="6" t="n"/>
      <c r="P5" s="6" t="n"/>
      <c r="Q5" s="6" t="n"/>
      <c r="R5" s="6" t="n"/>
    </row>
    <row r="6">
      <c r="A6" s="6" t="inlineStr">
        <is>
          <t>of which: Credit Valuation Adjustment (CVA)</t>
        </is>
      </c>
      <c r="B6" s="6" t="n">
        <v>806.8</v>
      </c>
      <c r="C6" s="6" t="n">
        <v>1112.3</v>
      </c>
      <c r="D6" s="6" t="n">
        <v>1021.8</v>
      </c>
      <c r="E6" s="6" t="n">
        <v>847.3</v>
      </c>
      <c r="F6" s="6" t="n">
        <v>3328.2</v>
      </c>
      <c r="G6" s="6" t="n">
        <v>2647.7</v>
      </c>
      <c r="H6" s="6" t="n"/>
      <c r="I6" s="6" t="n"/>
      <c r="J6" s="6" t="n"/>
      <c r="K6" s="6" t="n"/>
      <c r="L6" s="6" t="n"/>
      <c r="M6" s="6" t="n"/>
      <c r="N6" s="6" t="n"/>
      <c r="O6" s="6" t="n"/>
      <c r="P6" s="6" t="n"/>
      <c r="Q6" s="6" t="n"/>
      <c r="R6" s="6" t="n"/>
    </row>
    <row r="7">
      <c r="A7" s="6" t="inlineStr">
        <is>
          <t>Settlement Risk</t>
        </is>
      </c>
      <c r="B7" s="6" t="n">
        <v>0</v>
      </c>
      <c r="C7" s="6" t="n">
        <v>0</v>
      </c>
      <c r="D7" s="6" t="n">
        <v>0</v>
      </c>
      <c r="E7" s="6" t="n">
        <v>0</v>
      </c>
      <c r="F7" s="6" t="n">
        <v>0</v>
      </c>
      <c r="G7" s="6" t="n">
        <v>0</v>
      </c>
      <c r="H7" s="6" t="n"/>
      <c r="I7" s="6" t="n"/>
      <c r="J7" s="6" t="n"/>
      <c r="K7" s="6" t="n"/>
      <c r="L7" s="6" t="n"/>
      <c r="M7" s="6" t="n"/>
      <c r="N7" s="6" t="n"/>
      <c r="O7" s="6" t="n"/>
      <c r="P7" s="6" t="n"/>
      <c r="Q7" s="6" t="n"/>
      <c r="R7" s="6" t="n"/>
    </row>
    <row r="8">
      <c r="A8" s="6" t="inlineStr">
        <is>
          <t>Market Risk (FX and commodities)</t>
        </is>
      </c>
      <c r="B8" s="6" t="n">
        <v>3772.3</v>
      </c>
      <c r="C8" s="6" t="n">
        <v>3357.6</v>
      </c>
      <c r="D8" s="6" t="n">
        <v>3038.8</v>
      </c>
      <c r="E8" s="6" t="n">
        <v>9299.799999999999</v>
      </c>
      <c r="F8" s="6" t="n">
        <v>5535.8</v>
      </c>
      <c r="G8" s="6" t="n">
        <v>5091.1</v>
      </c>
      <c r="H8" s="6" t="n"/>
      <c r="I8" s="6" t="n"/>
      <c r="J8" s="6" t="n"/>
      <c r="K8" s="6" t="n"/>
      <c r="L8" s="6" t="n">
        <v>3804.6</v>
      </c>
      <c r="M8" s="6" t="n">
        <v>1033.4</v>
      </c>
      <c r="N8" s="6" t="n"/>
      <c r="O8" s="6" t="n"/>
      <c r="P8" s="6" t="n"/>
      <c r="Q8" s="6" t="n"/>
      <c r="R8" s="6" t="n"/>
    </row>
    <row r="9">
      <c r="A9" s="6" t="inlineStr">
        <is>
          <t>Operational Risk</t>
        </is>
      </c>
      <c r="B9" s="6" t="n">
        <v>137478.4</v>
      </c>
      <c r="C9" s="6" t="n">
        <v>134207</v>
      </c>
      <c r="D9" s="6" t="n">
        <v>83758.2</v>
      </c>
      <c r="E9" s="6" t="n">
        <v>78243.39999999999</v>
      </c>
      <c r="F9" s="6" t="n">
        <v>72651.39999999999</v>
      </c>
      <c r="G9" s="6" t="n">
        <v>67564.60000000001</v>
      </c>
      <c r="H9" s="6" t="n"/>
      <c r="I9" s="6" t="n"/>
      <c r="J9" s="6" t="n"/>
      <c r="K9" s="6" t="n"/>
      <c r="L9" s="6" t="n">
        <v>40109.3</v>
      </c>
      <c r="M9" s="6" t="n">
        <v>34301.6</v>
      </c>
      <c r="N9" s="6" t="n"/>
      <c r="O9" s="6" t="n"/>
      <c r="P9" s="6" t="n"/>
      <c r="Q9" s="6" t="n"/>
      <c r="R9" s="6" t="n"/>
    </row>
    <row r="10">
      <c r="A10" s="5" t="inlineStr">
        <is>
          <t>Total risk-weighted exposure amount</t>
        </is>
      </c>
      <c r="B10" s="5" t="n">
        <v>1370696</v>
      </c>
      <c r="C10" s="5" t="n">
        <v>1179185</v>
      </c>
      <c r="D10" s="5" t="n">
        <v>917285.6</v>
      </c>
      <c r="E10" s="5" t="n">
        <v>930103.3</v>
      </c>
      <c r="F10" s="5" t="n">
        <v>1000519.9</v>
      </c>
      <c r="G10" s="5" t="n">
        <v>725993</v>
      </c>
      <c r="H10" s="5" t="n"/>
      <c r="I10" s="5" t="n"/>
      <c r="J10" s="5" t="n"/>
      <c r="K10" s="5" t="n"/>
      <c r="L10" s="5" t="n">
        <v>623962.5</v>
      </c>
      <c r="M10" s="5" t="n">
        <v>490357.5</v>
      </c>
      <c r="N10" s="5" t="n"/>
      <c r="O10" s="5" t="n"/>
      <c r="P10" s="5" t="n"/>
      <c r="Q10" s="5" t="n"/>
      <c r="R10" s="5" t="n"/>
    </row>
    <row r="11">
      <c r="A11" s="6" t="inlineStr">
        <is>
          <t>Memo: amounts below thresholds for deduction (already included within Credit Risk above)</t>
        </is>
      </c>
      <c r="B11" s="6" t="n">
        <v>0</v>
      </c>
      <c r="C11" s="6" t="n">
        <v>818.2</v>
      </c>
      <c r="D11" s="6" t="n"/>
      <c r="E11" s="6" t="n"/>
      <c r="F11" s="6" t="n"/>
      <c r="G11" s="6" t="n"/>
      <c r="H11" s="6" t="n"/>
      <c r="I11" s="6" t="n"/>
      <c r="J11" s="6" t="n"/>
      <c r="K11" s="6" t="n"/>
      <c r="L11" s="6" t="n"/>
      <c r="M11" s="6" t="n"/>
      <c r="N11" s="6" t="n"/>
      <c r="O11" s="6" t="n"/>
      <c r="P11" s="6" t="n"/>
      <c r="Q11" s="6" t="n"/>
      <c r="R11" s="6" t="n"/>
    </row>
    <row r="13" ht="440" customHeight="1">
      <c r="A13"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 no Pillar 3 disclosure document is recoverable for those years, and no surviving document's comparative column reaches them (the FY2021 report is the earliest modern edition, and its comparative reaches only FY2020; see Pillar 3 sources note above for the search performed).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1">
    <mergeCell ref="A13:R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2358564.8</v>
      </c>
      <c r="C4" s="6" t="n">
        <v>2387121.9</v>
      </c>
      <c r="D4" s="6" t="n">
        <v>2256065</v>
      </c>
      <c r="E4" s="6" t="n">
        <v>2818198.7</v>
      </c>
      <c r="F4" s="6" t="n">
        <v>2381446.6</v>
      </c>
      <c r="G4" s="6" t="n">
        <v>1818093.1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n"/>
      <c r="I5" s="6" t="n"/>
      <c r="J5" s="6" t="n"/>
      <c r="K5" s="6" t="n"/>
      <c r="L5" s="6" t="n"/>
      <c r="M5" s="6" t="n"/>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6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remain blank: the CRD IV/UK leverage ratio framework did not apply to a firm this size in FY2014/FY2015 (their own surviving Pillar 3 disclosures mention no leverage ratio), and no Pillar 3 disclosure document has been recovered for FY2016-FY2019.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6:R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708312</v>
      </c>
      <c r="C4" s="6" t="n">
        <v>810059.1</v>
      </c>
      <c r="D4" s="6" t="n">
        <v>901392.6</v>
      </c>
      <c r="E4" s="6" t="n">
        <v>1014739.2</v>
      </c>
      <c r="F4" s="6" t="n">
        <v>689905.3</v>
      </c>
      <c r="G4" s="6" t="n">
        <v>573018.8</v>
      </c>
      <c r="H4" s="6" t="n"/>
      <c r="I4" s="6" t="n"/>
      <c r="J4" s="6" t="n"/>
      <c r="K4" s="6" t="n"/>
      <c r="L4" s="6" t="n"/>
      <c r="M4" s="6" t="n"/>
      <c r="N4" s="6" t="n"/>
      <c r="O4" s="6" t="n"/>
      <c r="P4" s="6" t="n"/>
      <c r="Q4" s="6" t="n"/>
      <c r="R4" s="6" t="n"/>
    </row>
    <row r="5">
      <c r="A5" s="6" t="inlineStr">
        <is>
          <t>Total net cash outflows, adjusted value</t>
        </is>
      </c>
      <c r="B5" s="6" t="n">
        <v>262152.7</v>
      </c>
      <c r="C5" s="6" t="n">
        <v>245161.8</v>
      </c>
      <c r="D5" s="6" t="n">
        <v>290329.9</v>
      </c>
      <c r="E5" s="6" t="n">
        <v>309847.1</v>
      </c>
      <c r="F5" s="6" t="n">
        <v>249781.8</v>
      </c>
      <c r="G5" s="6" t="n">
        <v>131685.8</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n"/>
      <c r="I7" s="6" t="n"/>
      <c r="J7" s="6" t="n"/>
      <c r="K7" s="6" t="n"/>
      <c r="L7" s="6" t="n"/>
      <c r="M7" s="6" t="n"/>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60"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remain blank: LCR minimum requirements were phased in for UK firms from October 2015, and no Pillar 3 disclosure covering LCR has been recovered for FY2016-FY2019; FY2014/FY2015's own surviving Pillar 3 disclosures pre-date LCR reporting for this firm and mention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10:R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979280.2</v>
      </c>
      <c r="C4" s="6" t="n">
        <v>908433.1</v>
      </c>
      <c r="D4" s="6" t="n">
        <v>837951.6</v>
      </c>
      <c r="E4" s="6" t="n">
        <v>754580.5</v>
      </c>
      <c r="F4" s="6" t="n"/>
      <c r="G4" s="6" t="n"/>
      <c r="H4" s="6" t="n"/>
      <c r="I4" s="6" t="n"/>
      <c r="J4" s="6" t="n"/>
      <c r="K4" s="6" t="n"/>
      <c r="L4" s="6" t="n"/>
      <c r="M4" s="6" t="n"/>
      <c r="N4" s="6" t="n"/>
      <c r="O4" s="6" t="n"/>
      <c r="P4" s="6" t="n"/>
      <c r="Q4" s="6" t="n"/>
      <c r="R4" s="6" t="n"/>
    </row>
    <row r="5">
      <c r="A5" s="6" t="inlineStr">
        <is>
          <t>Total required stable funding</t>
        </is>
      </c>
      <c r="B5" s="6" t="n">
        <v>705265.5</v>
      </c>
      <c r="C5" s="6" t="n">
        <v>613909.7</v>
      </c>
      <c r="D5" s="6" t="n">
        <v>584650.5</v>
      </c>
      <c r="E5" s="6" t="n">
        <v>608219.4</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disclosed</t>
        </is>
      </c>
      <c r="G6" s="6" t="n"/>
      <c r="H6" s="6" t="n"/>
      <c r="I6" s="6" t="n"/>
      <c r="J6" s="6" t="n"/>
      <c r="K6" s="6" t="n"/>
      <c r="L6" s="6" t="n"/>
      <c r="M6" s="6" t="n"/>
      <c r="N6" s="6" t="inlineStr">
        <is>
          <t>Not applicable</t>
        </is>
      </c>
      <c r="O6" s="6" t="inlineStr">
        <is>
          <t>Not applicable</t>
        </is>
      </c>
      <c r="P6" s="6" t="inlineStr">
        <is>
          <t>Not applicable</t>
        </is>
      </c>
      <c r="Q6" s="6" t="inlineStr">
        <is>
          <t>Not applicable</t>
        </is>
      </c>
      <c r="R6" s="6" t="inlineStr">
        <is>
          <t>Not applicable</t>
        </is>
      </c>
    </row>
    <row r="7" ht="60"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are blank for the same regulatory reason.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is now narrowed to FY2016-FY2019.</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7:R7"/>
    <mergeCell ref="A9:R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2026-09-16T00:24:28Z</dcterms:created>
  <dcterms:modified xmlns:dcterms="http://purl.org/dc/terms/" xmlns:xsi="http://www.w3.org/2001/XMLSchema-instance" xsi:type="dcterms:W3CDTF">2026-09-16T00:24:28Z</dcterms:modified>
</cp:coreProperties>
</file>