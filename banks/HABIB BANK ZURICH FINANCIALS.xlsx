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CF0DF5"/>
        <bgColor rgb="00CF0DF5"/>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Habib Bank Zurich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Habib Bank Zurich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Habib Bank Zurich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Habib Bank Zurich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'Overview'!AG26</f>
            </strRef>
          </tx>
          <spPr>
            <a:ln xmlns:a="http://schemas.openxmlformats.org/drawingml/2006/main">
              <a:prstDash val="solid"/>
            </a:ln>
          </spPr>
          <cat>
            <numRef>
              <f>'Overview'!$AH$25:$AL$25</f>
            </numRef>
          </cat>
          <val>
            <numRef>
              <f>'Overview'!$AH$26:$AL$26</f>
            </numRef>
          </val>
        </ser>
        <ser>
          <idx val="1"/>
          <order val="1"/>
          <tx>
            <strRef>
              <f>'Overview'!AG27</f>
            </strRef>
          </tx>
          <spPr>
            <a:ln xmlns:a="http://schemas.openxmlformats.org/drawingml/2006/main">
              <a:prstDash val="solid"/>
            </a:ln>
          </spPr>
          <cat>
            <numRef>
              <f>'Overview'!$AH$25:$AL$25</f>
            </numRef>
          </cat>
          <val>
            <numRef>
              <f>'Overview'!$AH$27:$AL$27</f>
            </numRef>
          </val>
        </ser>
        <ser>
          <idx val="2"/>
          <order val="2"/>
          <tx>
            <strRef>
              <f>'Overview'!AG28</f>
            </strRef>
          </tx>
          <spPr>
            <a:ln xmlns:a="http://schemas.openxmlformats.org/drawingml/2006/main">
              <a:prstDash val="solid"/>
            </a:ln>
          </spPr>
          <cat>
            <numRef>
              <f>'Overview'!$AH$25:$AL$25</f>
            </numRef>
          </cat>
          <val>
            <numRef>
              <f>'Overview'!$AH$28:$AL$28</f>
            </numRef>
          </val>
        </ser>
        <ser>
          <idx val="3"/>
          <order val="3"/>
          <tx>
            <strRef>
              <f>'Overview'!AG29</f>
            </strRef>
          </tx>
          <spPr>
            <a:ln xmlns:a="http://schemas.openxmlformats.org/drawingml/2006/main">
              <a:prstDash val="solid"/>
            </a:ln>
          </spPr>
          <cat>
            <numRef>
              <f>'Overview'!$AH$25:$AL$25</f>
            </numRef>
          </cat>
          <val>
            <numRef>
              <f>'Overview'!$AH$29:$AL$29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Habib Bank Zurich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37</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59</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81</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103</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125</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35"/>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Habib Bank Zurich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1483269</v>
      </c>
      <c r="C6" s="5" t="n">
        <v>1284398</v>
      </c>
      <c r="D6" s="5" t="n">
        <v>1145027</v>
      </c>
      <c r="E6" s="5" t="n">
        <v>1019038</v>
      </c>
      <c r="F6" s="5" t="n">
        <v>892077</v>
      </c>
      <c r="I6" t="inlineStr">
        <is>
          <t>Total assets</t>
        </is>
      </c>
      <c r="J6" t="n">
        <v>892077</v>
      </c>
      <c r="K6" t="n">
        <v>1019038</v>
      </c>
      <c r="L6" t="n">
        <v>1145027</v>
      </c>
      <c r="M6" t="n">
        <v>1284398</v>
      </c>
      <c r="N6" t="n">
        <v>1483269</v>
      </c>
      <c r="AO6" t="inlineStr">
        <is>
          <t>LCR (average, %)</t>
        </is>
      </c>
      <c r="AP6" t="n">
        <v>159</v>
      </c>
      <c r="AQ6" t="n">
        <v>205</v>
      </c>
      <c r="AR6" t="n">
        <v>196</v>
      </c>
      <c r="AS6" t="n">
        <v>287</v>
      </c>
      <c r="AT6" t="n">
        <v>232</v>
      </c>
    </row>
    <row r="7">
      <c r="A7" s="5" t="inlineStr">
        <is>
          <t>Loans and advances to customers at amortised cost</t>
        </is>
      </c>
      <c r="B7" s="5" t="n">
        <v>800598</v>
      </c>
      <c r="C7" s="5" t="n">
        <v>682470</v>
      </c>
      <c r="D7" s="5" t="n">
        <v>632149</v>
      </c>
      <c r="E7" s="5" t="n">
        <v>601062</v>
      </c>
      <c r="F7" s="5" t="n">
        <v>514061</v>
      </c>
      <c r="I7" t="inlineStr">
        <is>
          <t>Loans and advances to customers at amortised cost</t>
        </is>
      </c>
      <c r="J7" t="n">
        <v>514061</v>
      </c>
      <c r="K7" t="n">
        <v>601062</v>
      </c>
      <c r="L7" t="n">
        <v>632149</v>
      </c>
      <c r="M7" t="n">
        <v>682470</v>
      </c>
      <c r="N7" t="n">
        <v>800598</v>
      </c>
    </row>
    <row r="8">
      <c r="A8" s="5" t="inlineStr">
        <is>
          <t>Due to customers at amortised cost</t>
        </is>
      </c>
      <c r="B8" s="5" t="n">
        <v>1142802</v>
      </c>
      <c r="C8" s="5" t="n">
        <v>1023002</v>
      </c>
      <c r="D8" s="5" t="n">
        <v>885890</v>
      </c>
      <c r="E8" s="5" t="n">
        <v>769556</v>
      </c>
      <c r="F8" s="5" t="n">
        <v>672008</v>
      </c>
      <c r="I8" t="inlineStr">
        <is>
          <t>Due to customers at amortised cost</t>
        </is>
      </c>
      <c r="J8" t="n">
        <v>672008</v>
      </c>
      <c r="K8" t="n">
        <v>769556</v>
      </c>
      <c r="L8" t="n">
        <v>885890</v>
      </c>
      <c r="M8" t="n">
        <v>1023002</v>
      </c>
      <c r="N8" t="n">
        <v>1142802</v>
      </c>
    </row>
    <row r="9">
      <c r="A9" s="5" t="inlineStr">
        <is>
          <t>Total equity</t>
        </is>
      </c>
      <c r="B9" s="5" t="n">
        <v>124587</v>
      </c>
      <c r="C9" s="5" t="n">
        <v>119896</v>
      </c>
      <c r="D9" s="5" t="n">
        <v>102879</v>
      </c>
      <c r="E9" s="5" t="n">
        <v>89508</v>
      </c>
      <c r="F9" s="5" t="n">
        <v>86203</v>
      </c>
      <c r="I9" t="inlineStr">
        <is>
          <t>Total equity</t>
        </is>
      </c>
      <c r="J9" t="n">
        <v>86203</v>
      </c>
      <c r="K9" t="n">
        <v>89508</v>
      </c>
      <c r="L9" t="n">
        <v>102879</v>
      </c>
      <c r="M9" t="n">
        <v>119896</v>
      </c>
      <c r="N9" t="n">
        <v>124587</v>
      </c>
    </row>
    <row r="11">
      <c r="A11" s="3" t="inlineStr">
        <is>
          <t>Profit &amp; Loss Summary (£'000)</t>
        </is>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Net interest income</t>
        </is>
      </c>
      <c r="B13" s="5" t="n">
        <v>37734</v>
      </c>
      <c r="C13" s="5" t="n">
        <v>37997</v>
      </c>
      <c r="D13" s="5" t="n">
        <v>34164</v>
      </c>
      <c r="E13" s="5" t="n">
        <v>23911</v>
      </c>
      <c r="F13" s="5" t="n">
        <v>17755</v>
      </c>
      <c r="Q13" t="inlineStr">
        <is>
          <t>Net interest income</t>
        </is>
      </c>
      <c r="R13" t="n">
        <v>17755</v>
      </c>
      <c r="S13" t="n">
        <v>23911</v>
      </c>
      <c r="T13" t="n">
        <v>34164</v>
      </c>
      <c r="U13" t="n">
        <v>37997</v>
      </c>
      <c r="V13" t="n">
        <v>37734</v>
      </c>
    </row>
    <row r="14">
      <c r="A14" s="5" t="inlineStr">
        <is>
          <t>Operating expenses</t>
        </is>
      </c>
      <c r="B14" s="5" t="n">
        <v>-28419</v>
      </c>
      <c r="C14" s="5" t="n">
        <v>-26502</v>
      </c>
      <c r="D14" s="5" t="n">
        <v>-23424</v>
      </c>
      <c r="E14" s="5" t="n">
        <v>-19076</v>
      </c>
      <c r="F14" s="5" t="n">
        <v>-16263</v>
      </c>
      <c r="Q14" t="inlineStr">
        <is>
          <t>Operating expenses</t>
        </is>
      </c>
      <c r="R14" t="n">
        <v>-16263</v>
      </c>
      <c r="S14" t="n">
        <v>-19076</v>
      </c>
      <c r="T14" t="n">
        <v>-23424</v>
      </c>
      <c r="U14" t="n">
        <v>-26502</v>
      </c>
      <c r="V14" t="n">
        <v>-28419</v>
      </c>
    </row>
    <row r="15">
      <c r="A15" s="5" t="inlineStr">
        <is>
          <t>Profit after tax</t>
        </is>
      </c>
      <c r="B15" s="5" t="n">
        <v>10023</v>
      </c>
      <c r="C15" s="5" t="n">
        <v>11087</v>
      </c>
      <c r="D15" s="5" t="n">
        <v>12552</v>
      </c>
      <c r="E15" s="5" t="n">
        <v>5700</v>
      </c>
      <c r="F15" s="5" t="n">
        <v>4475</v>
      </c>
      <c r="Q15" t="inlineStr">
        <is>
          <t>Profit after tax</t>
        </is>
      </c>
      <c r="R15" t="n">
        <v>4475</v>
      </c>
      <c r="S15" t="n">
        <v>5700</v>
      </c>
      <c r="T15" t="n">
        <v>12552</v>
      </c>
      <c r="U15" t="n">
        <v>11087</v>
      </c>
      <c r="V15" t="n">
        <v>10023</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119896</v>
      </c>
      <c r="C19" s="5" t="n">
        <v>102879</v>
      </c>
      <c r="D19" s="5" t="n">
        <v>89508</v>
      </c>
      <c r="E19" s="5" t="n">
        <v>86203</v>
      </c>
      <c r="F19" s="5" t="n">
        <v>72182</v>
      </c>
      <c r="Y19" t="inlineStr">
        <is>
          <t>Opening equity</t>
        </is>
      </c>
      <c r="Z19" t="n">
        <v>72182</v>
      </c>
      <c r="AA19" t="n">
        <v>86203</v>
      </c>
      <c r="AB19" t="n">
        <v>89508</v>
      </c>
      <c r="AC19" t="n">
        <v>102879</v>
      </c>
      <c r="AD19" t="n">
        <v>119896</v>
      </c>
    </row>
    <row r="20">
      <c r="A20" s="5" t="inlineStr">
        <is>
          <t>Total comprehensive income for the year, net of tax</t>
        </is>
      </c>
      <c r="B20" s="5" t="n">
        <v>10235</v>
      </c>
      <c r="C20" s="5" t="n">
        <v>11159</v>
      </c>
      <c r="D20" s="5" t="n">
        <v>13371</v>
      </c>
      <c r="E20" s="5" t="n">
        <v>4781</v>
      </c>
      <c r="F20" s="5" t="n">
        <v>4021</v>
      </c>
      <c r="Y20" t="inlineStr">
        <is>
          <t>Total comprehensive income for the year, net of tax</t>
        </is>
      </c>
      <c r="Z20" t="n">
        <v>4021</v>
      </c>
      <c r="AA20" t="n">
        <v>4781</v>
      </c>
      <c r="AB20" t="n">
        <v>13371</v>
      </c>
      <c r="AC20" t="n">
        <v>11159</v>
      </c>
      <c r="AD20" t="n">
        <v>10235</v>
      </c>
    </row>
    <row r="21">
      <c r="A21" s="5" t="inlineStr">
        <is>
          <t>Other equity movements, net</t>
        </is>
      </c>
      <c r="B21" s="5" t="n">
        <v>-5544</v>
      </c>
      <c r="C21" s="5" t="n">
        <v>5858</v>
      </c>
      <c r="D21" s="5" t="n">
        <v>0</v>
      </c>
      <c r="E21" s="5" t="n">
        <v>-1476</v>
      </c>
      <c r="F21" s="5" t="n">
        <v>10000</v>
      </c>
      <c r="Y21" t="inlineStr">
        <is>
          <t>Other equity movements, net</t>
        </is>
      </c>
      <c r="Z21" t="n">
        <v>10000</v>
      </c>
      <c r="AA21" t="n">
        <v>-1476</v>
      </c>
      <c r="AB21" t="n">
        <v>0</v>
      </c>
      <c r="AC21" t="n">
        <v>5858</v>
      </c>
      <c r="AD21" t="n">
        <v>-5544</v>
      </c>
    </row>
    <row r="22">
      <c r="A22" s="5" t="inlineStr">
        <is>
          <t>Closing equity</t>
        </is>
      </c>
      <c r="B22" s="5" t="n">
        <v>124587</v>
      </c>
      <c r="C22" s="5" t="n">
        <v>119896</v>
      </c>
      <c r="D22" s="5" t="n">
        <v>102879</v>
      </c>
      <c r="E22" s="5" t="n">
        <v>89508</v>
      </c>
      <c r="F22" s="5" t="n">
        <v>86203</v>
      </c>
      <c r="Y22" t="inlineStr">
        <is>
          <t>Closing equity</t>
        </is>
      </c>
      <c r="Z22" t="n">
        <v>86203</v>
      </c>
      <c r="AA22" t="n">
        <v>89508</v>
      </c>
      <c r="AB22" t="n">
        <v>102879</v>
      </c>
      <c r="AC22" t="n">
        <v>119896</v>
      </c>
      <c r="AD22" t="n">
        <v>124587</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AH25" t="inlineStr">
        <is>
          <t>FY2021</t>
        </is>
      </c>
      <c r="AI25" t="inlineStr">
        <is>
          <t>FY2022</t>
        </is>
      </c>
      <c r="AJ25" t="inlineStr">
        <is>
          <t>FY2023</t>
        </is>
      </c>
      <c r="AK25" t="inlineStr">
        <is>
          <t>FY2024</t>
        </is>
      </c>
      <c r="AL25" t="inlineStr">
        <is>
          <t>FY2025</t>
        </is>
      </c>
    </row>
    <row r="26">
      <c r="A26" s="5" t="inlineStr">
        <is>
          <t>Net cash from/(used in) operating activities</t>
        </is>
      </c>
      <c r="B26" s="5" t="n">
        <v>56144</v>
      </c>
      <c r="C26" s="5" t="n">
        <v>77571</v>
      </c>
      <c r="D26" s="5" t="n">
        <v>125301</v>
      </c>
      <c r="E26" s="5" t="n">
        <v>-11083</v>
      </c>
      <c r="F26" s="5" t="n">
        <v>72035</v>
      </c>
      <c r="AG26" t="inlineStr">
        <is>
          <t>Net cash from/(used in) operating activities</t>
        </is>
      </c>
      <c r="AH26" t="n">
        <v>72035</v>
      </c>
      <c r="AI26" t="n">
        <v>-11083</v>
      </c>
      <c r="AJ26" t="n">
        <v>125301</v>
      </c>
      <c r="AK26" t="n">
        <v>77571</v>
      </c>
      <c r="AL26" t="n">
        <v>56144</v>
      </c>
    </row>
    <row r="27">
      <c r="A27" s="5" t="inlineStr">
        <is>
          <t>Net cash from/(used in) investing activities</t>
        </is>
      </c>
      <c r="B27" s="5" t="n">
        <v>8897</v>
      </c>
      <c r="C27" s="5" t="n">
        <v>-64522</v>
      </c>
      <c r="D27" s="5" t="n">
        <v>-19648</v>
      </c>
      <c r="E27" s="5" t="n">
        <v>21301</v>
      </c>
      <c r="F27" s="5" t="n">
        <v>-72353</v>
      </c>
      <c r="AG27" t="inlineStr">
        <is>
          <t>Net cash from/(used in) investing activities</t>
        </is>
      </c>
      <c r="AH27" t="n">
        <v>-72353</v>
      </c>
      <c r="AI27" t="n">
        <v>21301</v>
      </c>
      <c r="AJ27" t="n">
        <v>-19648</v>
      </c>
      <c r="AK27" t="n">
        <v>-64522</v>
      </c>
      <c r="AL27" t="n">
        <v>8897</v>
      </c>
    </row>
    <row r="28">
      <c r="A28" s="5" t="inlineStr">
        <is>
          <t>Net cash from/(used in) financing activities</t>
        </is>
      </c>
      <c r="B28" s="5" t="n">
        <v>-6204</v>
      </c>
      <c r="C28" s="5" t="n">
        <v>3989</v>
      </c>
      <c r="D28" s="5" t="n">
        <v>-1623</v>
      </c>
      <c r="E28" s="5" t="n">
        <v>-2401</v>
      </c>
      <c r="F28" s="5" t="n">
        <v>9597</v>
      </c>
      <c r="AG28" t="inlineStr">
        <is>
          <t>Net cash from/(used in) financing activities</t>
        </is>
      </c>
      <c r="AH28" t="n">
        <v>9597</v>
      </c>
      <c r="AI28" t="n">
        <v>-2401</v>
      </c>
      <c r="AJ28" t="n">
        <v>-1623</v>
      </c>
      <c r="AK28" t="n">
        <v>3989</v>
      </c>
      <c r="AL28" t="n">
        <v>-6204</v>
      </c>
    </row>
    <row r="29">
      <c r="A29" s="5" t="inlineStr">
        <is>
          <t>Cash and cash equivalents at end of year</t>
        </is>
      </c>
      <c r="B29" s="5" t="n">
        <v>291217</v>
      </c>
      <c r="C29" s="5" t="n">
        <v>232380</v>
      </c>
      <c r="D29" s="5" t="n">
        <v>215342</v>
      </c>
      <c r="E29" s="5" t="n">
        <v>96506</v>
      </c>
      <c r="F29" s="5" t="n">
        <v>88689</v>
      </c>
      <c r="AG29" t="inlineStr">
        <is>
          <t>Cash and cash equivalents at end of year</t>
        </is>
      </c>
      <c r="AH29" t="n">
        <v>88689</v>
      </c>
      <c r="AI29" t="n">
        <v>96506</v>
      </c>
      <c r="AJ29" t="n">
        <v>215342</v>
      </c>
      <c r="AK29" t="n">
        <v>232380</v>
      </c>
      <c r="AL29" t="n">
        <v>291217</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row>
    <row r="33">
      <c r="A33" s="6" t="inlineStr">
        <is>
          <t>LCR (average, %)</t>
        </is>
      </c>
      <c r="B33" s="6" t="n">
        <v>232</v>
      </c>
      <c r="C33" s="6" t="n">
        <v>287</v>
      </c>
      <c r="D33" s="6" t="n">
        <v>196</v>
      </c>
      <c r="E33" s="6" t="n">
        <v>205</v>
      </c>
      <c r="F33" s="6" t="n">
        <v>159</v>
      </c>
    </row>
    <row r="35" ht="45" customHeight="1">
      <c r="A35" s="7" t="inlineStr">
        <is>
          <t>Note: Only LCR is charted here - CET1/Tier 1/Total Capital Ratio, Leverage Ratio, NSFR and MREL Ratio are not disclosed in this entity's statutory accounts (no standalone Pillar 3 document exists and no RWA figure is published); see the individual Pillar 3 metric sheets. Figures are duplicated from the detail sheets for at-a-glance trend viewing; see each sheet's own source citation for the underlying document/page.</t>
        </is>
      </c>
    </row>
  </sheetData>
  <mergeCells count="1">
    <mergeCell ref="A35:F35"/>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3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Habib Bank Zurich Plc — Balance Sheet</t>
        </is>
      </c>
    </row>
    <row r="2">
      <c r="A2" s="2" t="inlineStr">
        <is>
          <t>Statement of Financial Position, figures as reported in each year's own Annual Report</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Assets</t>
        </is>
      </c>
      <c r="B4" s="6" t="n"/>
      <c r="C4" s="6" t="n"/>
      <c r="D4" s="6" t="n"/>
      <c r="E4" s="6" t="n"/>
      <c r="F4" s="6" t="n"/>
    </row>
    <row r="5">
      <c r="A5" s="6" t="inlineStr">
        <is>
          <t>Cash and cash equivalents</t>
        </is>
      </c>
      <c r="B5" s="6" t="n">
        <v>291217</v>
      </c>
      <c r="C5" s="6" t="n">
        <v>232380</v>
      </c>
      <c r="D5" s="6" t="n">
        <v>215342</v>
      </c>
      <c r="E5" s="6" t="n">
        <v>96506</v>
      </c>
      <c r="F5" s="6" t="n">
        <v>88689</v>
      </c>
    </row>
    <row r="6">
      <c r="A6" s="6" t="inlineStr">
        <is>
          <t>Due from banks</t>
        </is>
      </c>
      <c r="B6" s="6" t="n">
        <v>153760</v>
      </c>
      <c r="C6" s="6" t="n">
        <v>122152</v>
      </c>
      <c r="D6" s="6" t="n">
        <v>112789</v>
      </c>
      <c r="E6" s="6" t="n">
        <v>157240</v>
      </c>
      <c r="F6" s="6" t="n">
        <v>101317</v>
      </c>
    </row>
    <row r="7">
      <c r="A7" s="6" t="inlineStr">
        <is>
          <t>Loans and advances to customers at amortised cost</t>
        </is>
      </c>
      <c r="B7" s="6" t="n">
        <v>800598</v>
      </c>
      <c r="C7" s="6" t="n">
        <v>682470</v>
      </c>
      <c r="D7" s="6" t="n">
        <v>632149</v>
      </c>
      <c r="E7" s="6" t="n">
        <v>601062</v>
      </c>
      <c r="F7" s="6" t="n">
        <v>514061</v>
      </c>
    </row>
    <row r="8">
      <c r="A8" s="6" t="inlineStr">
        <is>
          <t>Financial investments - Amortised cost</t>
        </is>
      </c>
      <c r="B8" s="6" t="n">
        <v>163281</v>
      </c>
      <c r="C8" s="6" t="n">
        <v>192040</v>
      </c>
      <c r="D8" s="6" t="n">
        <v>130678</v>
      </c>
      <c r="E8" s="6" t="n"/>
      <c r="F8" s="6" t="n"/>
    </row>
    <row r="9">
      <c r="A9" s="6" t="inlineStr">
        <is>
          <t>Financial investments - FVOCI</t>
        </is>
      </c>
      <c r="B9" s="6" t="n">
        <v>55222</v>
      </c>
      <c r="C9" s="6" t="n">
        <v>35761</v>
      </c>
      <c r="D9" s="6" t="n">
        <v>32704</v>
      </c>
      <c r="E9" s="6" t="n"/>
      <c r="F9" s="6" t="n"/>
    </row>
    <row r="10">
      <c r="A10" s="6" t="inlineStr">
        <is>
          <t>Financial investments (total)</t>
        </is>
      </c>
      <c r="B10" s="6" t="n"/>
      <c r="C10" s="6" t="n"/>
      <c r="D10" s="6" t="n"/>
      <c r="E10" s="6" t="n">
        <v>144352</v>
      </c>
      <c r="F10" s="6" t="n">
        <v>175654</v>
      </c>
    </row>
    <row r="11">
      <c r="A11" s="6" t="inlineStr">
        <is>
          <t>Derivative assets held for risk management</t>
        </is>
      </c>
      <c r="B11" s="6" t="n">
        <v>742</v>
      </c>
      <c r="C11" s="6" t="n">
        <v>226</v>
      </c>
      <c r="D11" s="6" t="n">
        <v>101</v>
      </c>
      <c r="E11" s="6" t="n">
        <v>192</v>
      </c>
      <c r="F11" s="6" t="n">
        <v>304</v>
      </c>
    </row>
    <row r="12">
      <c r="A12" s="6" t="inlineStr">
        <is>
          <t>Property and equipment</t>
        </is>
      </c>
      <c r="B12" s="6" t="n">
        <v>10805</v>
      </c>
      <c r="C12" s="6" t="n">
        <v>11664</v>
      </c>
      <c r="D12" s="6" t="n">
        <v>12545</v>
      </c>
      <c r="E12" s="6" t="n">
        <v>15369</v>
      </c>
      <c r="F12" s="6" t="n">
        <v>7498</v>
      </c>
    </row>
    <row r="13">
      <c r="A13" s="6" t="inlineStr">
        <is>
          <t>Right of use lease assets</t>
        </is>
      </c>
      <c r="B13" s="6" t="n">
        <v>2455</v>
      </c>
      <c r="C13" s="6" t="n">
        <v>2758</v>
      </c>
      <c r="D13" s="6" t="n">
        <v>2751</v>
      </c>
      <c r="E13" s="6" t="n"/>
      <c r="F13" s="6" t="n"/>
    </row>
    <row r="14">
      <c r="A14" s="6" t="inlineStr">
        <is>
          <t>Intangible assets under development</t>
        </is>
      </c>
      <c r="B14" s="6" t="n">
        <v>808</v>
      </c>
      <c r="C14" s="6" t="n">
        <v>0</v>
      </c>
      <c r="D14" s="6" t="n"/>
      <c r="E14" s="6" t="n"/>
      <c r="F14" s="6" t="n"/>
    </row>
    <row r="15">
      <c r="A15" s="6" t="inlineStr">
        <is>
          <t>Other assets</t>
        </is>
      </c>
      <c r="B15" s="6" t="n">
        <v>2061</v>
      </c>
      <c r="C15" s="6" t="n">
        <v>2294</v>
      </c>
      <c r="D15" s="6" t="n">
        <v>1283</v>
      </c>
      <c r="E15" s="6" t="n">
        <v>1496</v>
      </c>
      <c r="F15" s="6" t="n">
        <v>2048</v>
      </c>
    </row>
    <row r="16">
      <c r="A16" s="6" t="inlineStr">
        <is>
          <t>Advance tax</t>
        </is>
      </c>
      <c r="B16" s="6" t="n">
        <v>471</v>
      </c>
      <c r="C16" s="6" t="n">
        <v>0</v>
      </c>
      <c r="D16" s="6" t="n">
        <v>931</v>
      </c>
      <c r="E16" s="6" t="n">
        <v>422</v>
      </c>
      <c r="F16" s="6" t="n"/>
    </row>
    <row r="17">
      <c r="A17" s="6" t="inlineStr">
        <is>
          <t>Deferred tax assets</t>
        </is>
      </c>
      <c r="B17" s="6" t="n">
        <v>1849</v>
      </c>
      <c r="C17" s="6" t="n">
        <v>2653</v>
      </c>
      <c r="D17" s="6" t="n">
        <v>3754</v>
      </c>
      <c r="E17" s="6" t="n">
        <v>2399</v>
      </c>
      <c r="F17" s="6" t="n">
        <v>2506</v>
      </c>
    </row>
    <row r="18">
      <c r="A18" s="5" t="inlineStr">
        <is>
          <t>Total assets</t>
        </is>
      </c>
      <c r="B18" s="5" t="n">
        <v>1483269</v>
      </c>
      <c r="C18" s="5" t="n">
        <v>1284398</v>
      </c>
      <c r="D18" s="5" t="n">
        <v>1145027</v>
      </c>
      <c r="E18" s="5" t="n">
        <v>1019038</v>
      </c>
      <c r="F18" s="5" t="n">
        <v>892077</v>
      </c>
    </row>
    <row r="19">
      <c r="A19" s="5" t="inlineStr">
        <is>
          <t>Liabilities</t>
        </is>
      </c>
      <c r="B19" s="6" t="n"/>
      <c r="C19" s="6" t="n"/>
      <c r="D19" s="6" t="n"/>
      <c r="E19" s="6" t="n"/>
      <c r="F19" s="6" t="n"/>
    </row>
    <row r="20">
      <c r="A20" s="6" t="inlineStr">
        <is>
          <t>Due to banks at amortised cost</t>
        </is>
      </c>
      <c r="B20" s="6" t="n">
        <v>186139</v>
      </c>
      <c r="C20" s="6" t="n">
        <v>108224</v>
      </c>
      <c r="D20" s="6" t="n">
        <v>123581</v>
      </c>
      <c r="E20" s="6" t="n">
        <v>129266</v>
      </c>
      <c r="F20" s="6" t="n">
        <v>107147</v>
      </c>
    </row>
    <row r="21">
      <c r="A21" s="6" t="inlineStr">
        <is>
          <t>Due to customers at amortised cost</t>
        </is>
      </c>
      <c r="B21" s="6" t="n">
        <v>1142802</v>
      </c>
      <c r="C21" s="6" t="n">
        <v>1023002</v>
      </c>
      <c r="D21" s="6" t="n">
        <v>885890</v>
      </c>
      <c r="E21" s="6" t="n">
        <v>769556</v>
      </c>
      <c r="F21" s="6" t="n">
        <v>672008</v>
      </c>
    </row>
    <row r="22">
      <c r="A22" s="6" t="inlineStr">
        <is>
          <t>Derivative liabilities held for risk management</t>
        </is>
      </c>
      <c r="B22" s="6" t="n">
        <v>164</v>
      </c>
      <c r="C22" s="6" t="n">
        <v>187</v>
      </c>
      <c r="D22" s="6" t="n">
        <v>42</v>
      </c>
      <c r="E22" s="6" t="n">
        <v>229</v>
      </c>
      <c r="F22" s="6" t="n">
        <v>514</v>
      </c>
    </row>
    <row r="23">
      <c r="A23" s="6" t="inlineStr">
        <is>
          <t>Accruals, deferred income and other liabilities</t>
        </is>
      </c>
      <c r="B23" s="6" t="n">
        <v>6750</v>
      </c>
      <c r="C23" s="6" t="n">
        <v>8815</v>
      </c>
      <c r="D23" s="6" t="n">
        <v>7075</v>
      </c>
      <c r="E23" s="6" t="n">
        <v>9860</v>
      </c>
      <c r="F23" s="6" t="n">
        <v>5540</v>
      </c>
    </row>
    <row r="24">
      <c r="A24" s="6" t="inlineStr">
        <is>
          <t>Lease liability</t>
        </is>
      </c>
      <c r="B24" s="6" t="n">
        <v>2562</v>
      </c>
      <c r="C24" s="6" t="n">
        <v>2833</v>
      </c>
      <c r="D24" s="6" t="n">
        <v>2920</v>
      </c>
      <c r="E24" s="6" t="n"/>
      <c r="F24" s="6" t="n"/>
    </row>
    <row r="25">
      <c r="A25" s="6" t="inlineStr">
        <is>
          <t>Current tax liabilities</t>
        </is>
      </c>
      <c r="B25" s="6" t="n">
        <v>0</v>
      </c>
      <c r="C25" s="6" t="n">
        <v>1145</v>
      </c>
      <c r="D25" s="6" t="n">
        <v>2300</v>
      </c>
      <c r="E25" s="6" t="n">
        <v>346</v>
      </c>
      <c r="F25" s="6" t="n">
        <v>573</v>
      </c>
    </row>
    <row r="26">
      <c r="A26" s="6" t="inlineStr">
        <is>
          <t>Deferred tax liabilities</t>
        </is>
      </c>
      <c r="B26" s="6" t="n"/>
      <c r="C26" s="6" t="n"/>
      <c r="D26" s="6" t="n"/>
      <c r="E26" s="6" t="n"/>
      <c r="F26" s="6" t="n">
        <v>0</v>
      </c>
    </row>
    <row r="27">
      <c r="A27" s="6" t="inlineStr">
        <is>
          <t>Subordinated liabilities</t>
        </is>
      </c>
      <c r="B27" s="6" t="n">
        <v>20265</v>
      </c>
      <c r="C27" s="6" t="n">
        <v>20296</v>
      </c>
      <c r="D27" s="6" t="n">
        <v>20340</v>
      </c>
      <c r="E27" s="6" t="n">
        <v>20273</v>
      </c>
      <c r="F27" s="6" t="n">
        <v>20092</v>
      </c>
    </row>
    <row r="28">
      <c r="A28" s="5" t="inlineStr">
        <is>
          <t>Total liabilities</t>
        </is>
      </c>
      <c r="B28" s="5" t="n">
        <v>1358682</v>
      </c>
      <c r="C28" s="5" t="n">
        <v>1164502</v>
      </c>
      <c r="D28" s="5" t="n">
        <v>1042148</v>
      </c>
      <c r="E28" s="5" t="n">
        <v>929530</v>
      </c>
      <c r="F28" s="5" t="n">
        <v>805874</v>
      </c>
    </row>
    <row r="29">
      <c r="A29" s="5" t="inlineStr">
        <is>
          <t>Equity</t>
        </is>
      </c>
      <c r="B29" s="6" t="n"/>
      <c r="C29" s="6" t="n"/>
      <c r="D29" s="6" t="n"/>
      <c r="E29" s="6" t="n"/>
      <c r="F29" s="6" t="n"/>
    </row>
    <row r="30">
      <c r="A30" s="6" t="inlineStr">
        <is>
          <t>Called up share capital</t>
        </is>
      </c>
      <c r="B30" s="6" t="n">
        <v>80000</v>
      </c>
      <c r="C30" s="6" t="n">
        <v>80000</v>
      </c>
      <c r="D30" s="6" t="n">
        <v>70000</v>
      </c>
      <c r="E30" s="6" t="n">
        <v>70000</v>
      </c>
      <c r="F30" s="6" t="n">
        <v>70000</v>
      </c>
    </row>
    <row r="31">
      <c r="A31" s="6" t="inlineStr">
        <is>
          <t>Retained earnings</t>
        </is>
      </c>
      <c r="B31" s="6" t="n">
        <v>44501</v>
      </c>
      <c r="C31" s="6" t="n">
        <v>40022</v>
      </c>
      <c r="D31" s="6" t="n">
        <v>33077</v>
      </c>
      <c r="E31" s="6" t="n">
        <v>20525</v>
      </c>
      <c r="F31" s="6" t="n">
        <v>16301</v>
      </c>
    </row>
    <row r="32">
      <c r="A32" s="6" t="inlineStr">
        <is>
          <t>Fair value through other comprehensive income reserve</t>
        </is>
      </c>
      <c r="B32" s="6" t="n">
        <v>86</v>
      </c>
      <c r="C32" s="6" t="n">
        <v>-126</v>
      </c>
      <c r="D32" s="6" t="n">
        <v>-198</v>
      </c>
      <c r="E32" s="6" t="n">
        <v>-1017</v>
      </c>
      <c r="F32" s="6" t="n">
        <v>-98</v>
      </c>
    </row>
    <row r="33">
      <c r="A33" s="5" t="inlineStr">
        <is>
          <t>Total equity</t>
        </is>
      </c>
      <c r="B33" s="5" t="n">
        <v>124587</v>
      </c>
      <c r="C33" s="5" t="n">
        <v>119896</v>
      </c>
      <c r="D33" s="5" t="n">
        <v>102879</v>
      </c>
      <c r="E33" s="5" t="n">
        <v>89508</v>
      </c>
      <c r="F33" s="5" t="n">
        <v>86203</v>
      </c>
    </row>
    <row r="34">
      <c r="A34" s="5" t="inlineStr">
        <is>
          <t>Total liabilities and equity</t>
        </is>
      </c>
      <c r="B34" s="5" t="n">
        <v>1483269</v>
      </c>
      <c r="C34" s="5" t="n">
        <v>1284398</v>
      </c>
      <c r="D34" s="5" t="n">
        <v>1145027</v>
      </c>
      <c r="E34" s="5" t="n">
        <v>1019038</v>
      </c>
      <c r="F34" s="5" t="n">
        <v>892077</v>
      </c>
    </row>
    <row r="36" ht="260" customHeight="1">
      <c r="A36" s="8" t="inlineStr">
        <is>
          <t>Sources - Habib Bank Zurich Plc's own Statement of Financial Position, from each year's Companies House-filed Annual Report and Financial Statements (company 08864609):
FY2025 &amp; FY2024: Annual Report and Financial Statements for the year ended 31 December 2025, Statement of Financial Position, p.57 - https://find-and-update.company-information.service.gov.uk/company/08864609/filing-history/MzUyNTkxNzE0NGFkaXF6a2N4/document?format=pdf&amp;download=0
FY2023: Annual Report and Financial Statements for the year ended 31 December 2023, Statement of Financial Position, p.56 (FY2023's own originally-published figures used, not the later restated FY2022 comparative shown here - see note below) - https://find-and-update.company-information.service.gov.uk/company/08864609/filing-history/MzQxOTMzMTc3MGFkaXF6a2N4/document?format=pdf&amp;download=0
FY2022: Annual Report and Financial Statements for the year ended 31 December 2022, Statement of Financial Position, p.52 (FY2022's own originally-published figures used) - https://find-and-update.company-information.service.gov.uk/company/08864609/filing-history/MzM4MjUzMDg5N2FkaXF6a2N4/document?format=pdf&amp;download=0
FY2021: Annual Report and Financial Statements for the year ended 31 December 2021, Statement of Financial Position, p.50 - https://find-and-update.company-information.service.gov.uk/company/08864609/filing-history/MzM0MjYxMTQxOWFkaXF6a2N4/document?format=pdf&amp;download=0
Habib Bank Zurich Plc (company 08864609) is a UK-incorporated public limited company, a wholly-owned subsidiary of Habib Bank AG Zurich (Switzerland). Figures throughout are Company-level (the Bank has no subsidiaries of its own, so Company and Group are the same entity). Each year uses that year's own originally-published Annual Report figures, not later restated comparatives (see the FY2022 note below).
DATA NOTE - line-item structure genuinely changed across years, not a transcription gap: 'Financial investments' was reported as a single line through FY2022, split into 'Amortised cost' and 'FVOCI' sub-lines from FY2023 onward (blank cells below reflect this - see the combined 'Financial investments (total)' row for FY2021/FY2022). 'Right of use lease assets' and 'Lease liability' only appear as their own lines from FY2023 onward (folded into other lines before then, per each year's own disclosure). 'Intangible assets under development' and 'Advance tax' first appear as their own lines from FY2022 (Advance tax) and FY2024 (Intangible assets, nil that year, £808k FY2025) respectively. 'Deferred tax liabilities' appears only in FY2021 (nil that year). FY2022's Balance Sheet comparatives were later restated in the FY2023 Annual Report (a loan-fee reclassification reducing Loans and advances to customers and Other liabilities by £1.024m, and a Due from banks/Cash reclassification of £14.8m, per that report's Note 2) - per this project's convention, FY2022's own originally-published figures are used throughout, so this Balance Sheet does not tie exactly to the FY2023 report's own FY2022 comparative column.</t>
        </is>
      </c>
    </row>
  </sheetData>
  <mergeCells count="1">
    <mergeCell ref="A36:F3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s>
  <sheetData>
    <row r="1">
      <c r="A1" s="1" t="inlineStr">
        <is>
          <t>Habib Bank Zurich Plc — Profit &amp; Loss</t>
        </is>
      </c>
    </row>
    <row r="2">
      <c r="A2" s="2" t="inlineStr">
        <is>
          <t>Income Statement and Statement of Comprehensive Income, figures as reported in each year's own Annual Report</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Income</t>
        </is>
      </c>
      <c r="B4" s="6" t="n"/>
      <c r="C4" s="6" t="n"/>
      <c r="D4" s="6" t="n"/>
      <c r="E4" s="6" t="n"/>
      <c r="F4" s="6" t="n"/>
    </row>
    <row r="5">
      <c r="A5" s="6" t="inlineStr">
        <is>
          <t>Interest income</t>
        </is>
      </c>
      <c r="B5" s="6" t="n">
        <v>77936</v>
      </c>
      <c r="C5" s="6" t="n">
        <v>80264</v>
      </c>
      <c r="D5" s="6" t="n">
        <v>61056</v>
      </c>
      <c r="E5" s="6" t="n">
        <v>32352</v>
      </c>
      <c r="F5" s="6" t="n">
        <v>21888</v>
      </c>
    </row>
    <row r="6">
      <c r="A6" s="6" t="inlineStr">
        <is>
          <t>Interest expense</t>
        </is>
      </c>
      <c r="B6" s="6" t="n">
        <v>-40202</v>
      </c>
      <c r="C6" s="6" t="n">
        <v>-42267</v>
      </c>
      <c r="D6" s="6" t="n">
        <v>-26892</v>
      </c>
      <c r="E6" s="6" t="n">
        <v>-8441</v>
      </c>
      <c r="F6" s="6" t="n">
        <v>-4133</v>
      </c>
    </row>
    <row r="7">
      <c r="A7" s="5" t="inlineStr">
        <is>
          <t>Net interest income</t>
        </is>
      </c>
      <c r="B7" s="5" t="n">
        <v>37734</v>
      </c>
      <c r="C7" s="5" t="n">
        <v>37997</v>
      </c>
      <c r="D7" s="5" t="n">
        <v>34164</v>
      </c>
      <c r="E7" s="5" t="n">
        <v>23911</v>
      </c>
      <c r="F7" s="5" t="n">
        <v>17755</v>
      </c>
    </row>
    <row r="8">
      <c r="A8" s="6" t="inlineStr">
        <is>
          <t>Fee and commission income</t>
        </is>
      </c>
      <c r="B8" s="6" t="n">
        <v>2143</v>
      </c>
      <c r="C8" s="6" t="n">
        <v>2082</v>
      </c>
      <c r="D8" s="6" t="n">
        <v>1888</v>
      </c>
      <c r="E8" s="6" t="n">
        <v>2296</v>
      </c>
      <c r="F8" s="6" t="n">
        <v>2325</v>
      </c>
    </row>
    <row r="9">
      <c r="A9" s="6" t="inlineStr">
        <is>
          <t>Fee and commission expense</t>
        </is>
      </c>
      <c r="B9" s="6" t="n">
        <v>-343</v>
      </c>
      <c r="C9" s="6" t="n">
        <v>-367</v>
      </c>
      <c r="D9" s="6" t="n">
        <v>-405</v>
      </c>
      <c r="E9" s="6" t="n">
        <v>-533</v>
      </c>
      <c r="F9" s="6" t="n">
        <v>-434</v>
      </c>
    </row>
    <row r="10">
      <c r="A10" s="5" t="inlineStr">
        <is>
          <t>Net fee and commission income</t>
        </is>
      </c>
      <c r="B10" s="5" t="n">
        <v>1800</v>
      </c>
      <c r="C10" s="5" t="n">
        <v>1715</v>
      </c>
      <c r="D10" s="5" t="n">
        <v>1483</v>
      </c>
      <c r="E10" s="5" t="n">
        <v>1763</v>
      </c>
      <c r="F10" s="5" t="n">
        <v>1891</v>
      </c>
    </row>
    <row r="11">
      <c r="A11" s="6" t="inlineStr">
        <is>
          <t>Net foreign exchange income</t>
        </is>
      </c>
      <c r="B11" s="6" t="n">
        <v>319</v>
      </c>
      <c r="C11" s="6" t="n">
        <v>551</v>
      </c>
      <c r="D11" s="6" t="n">
        <v>311</v>
      </c>
      <c r="E11" s="6" t="n">
        <v>597</v>
      </c>
      <c r="F11" s="6" t="n">
        <v>484</v>
      </c>
    </row>
    <row r="12">
      <c r="A12" s="6" t="inlineStr">
        <is>
          <t>Fair value gain/(loss) on derivative financial instruments</t>
        </is>
      </c>
      <c r="B12" s="6" t="n">
        <v>538</v>
      </c>
      <c r="C12" s="6" t="n">
        <v>40</v>
      </c>
      <c r="D12" s="6" t="n">
        <v>-101</v>
      </c>
      <c r="E12" s="6" t="n">
        <v>-38</v>
      </c>
      <c r="F12" s="6" t="n">
        <v>-210</v>
      </c>
    </row>
    <row r="13">
      <c r="A13" s="6" t="inlineStr">
        <is>
          <t>Gain/(loss) on sale of financial investments</t>
        </is>
      </c>
      <c r="B13" s="6" t="n">
        <v>508</v>
      </c>
      <c r="C13" s="6" t="n"/>
      <c r="D13" s="6" t="n"/>
      <c r="E13" s="6" t="n">
        <v>-92</v>
      </c>
      <c r="F13" s="6" t="n">
        <v>114</v>
      </c>
    </row>
    <row r="14">
      <c r="A14" s="6" t="inlineStr">
        <is>
          <t>Other costs/income</t>
        </is>
      </c>
      <c r="B14" s="6" t="n">
        <v>-27</v>
      </c>
      <c r="C14" s="6" t="n">
        <v>-9</v>
      </c>
      <c r="D14" s="6" t="n">
        <v>-12</v>
      </c>
      <c r="E14" s="6" t="n">
        <v>-2</v>
      </c>
      <c r="F14" s="6" t="n">
        <v>10</v>
      </c>
    </row>
    <row r="15">
      <c r="A15" s="5" t="inlineStr">
        <is>
          <t>Net other income</t>
        </is>
      </c>
      <c r="B15" s="5" t="n">
        <v>1338</v>
      </c>
      <c r="C15" s="5" t="n">
        <v>582</v>
      </c>
      <c r="D15" s="5" t="n">
        <v>198</v>
      </c>
      <c r="E15" s="5" t="n">
        <v>465</v>
      </c>
      <c r="F15" s="5" t="n">
        <v>398</v>
      </c>
    </row>
    <row r="16">
      <c r="A16" s="5" t="inlineStr">
        <is>
          <t>Operating expenses</t>
        </is>
      </c>
      <c r="B16" s="6" t="n"/>
      <c r="C16" s="6" t="n"/>
      <c r="D16" s="6" t="n"/>
      <c r="E16" s="6" t="n"/>
      <c r="F16" s="6" t="n"/>
    </row>
    <row r="17">
      <c r="A17" s="6" t="inlineStr">
        <is>
          <t>Staff costs</t>
        </is>
      </c>
      <c r="B17" s="6" t="n">
        <v>-16456</v>
      </c>
      <c r="C17" s="6" t="n">
        <v>-15738</v>
      </c>
      <c r="D17" s="6" t="n">
        <v>-13348</v>
      </c>
      <c r="E17" s="6" t="n">
        <v>-11214</v>
      </c>
      <c r="F17" s="6" t="n">
        <v>-10151</v>
      </c>
    </row>
    <row r="18">
      <c r="A18" s="6" t="inlineStr">
        <is>
          <t>Depreciation</t>
        </is>
      </c>
      <c r="B18" s="6" t="n">
        <v>-1475</v>
      </c>
      <c r="C18" s="6" t="n">
        <v>-1341</v>
      </c>
      <c r="D18" s="6" t="n">
        <v>-1510</v>
      </c>
      <c r="E18" s="6" t="n">
        <v>-1119</v>
      </c>
      <c r="F18" s="6" t="n">
        <v>-933</v>
      </c>
    </row>
    <row r="19">
      <c r="A19" s="6" t="inlineStr">
        <is>
          <t>Administrative and general expenses</t>
        </is>
      </c>
      <c r="B19" s="6" t="n">
        <v>-10488</v>
      </c>
      <c r="C19" s="6" t="n">
        <v>-9423</v>
      </c>
      <c r="D19" s="6" t="n">
        <v>-8566</v>
      </c>
      <c r="E19" s="6" t="n">
        <v>-6743</v>
      </c>
      <c r="F19" s="6" t="n">
        <v>-5179</v>
      </c>
    </row>
    <row r="20">
      <c r="A20" s="5" t="inlineStr">
        <is>
          <t>Operating expenses</t>
        </is>
      </c>
      <c r="B20" s="5" t="n">
        <v>-28419</v>
      </c>
      <c r="C20" s="5" t="n">
        <v>-26502</v>
      </c>
      <c r="D20" s="5" t="n">
        <v>-23424</v>
      </c>
      <c r="E20" s="5" t="n">
        <v>-19076</v>
      </c>
      <c r="F20" s="5" t="n">
        <v>-16263</v>
      </c>
    </row>
    <row r="21">
      <c r="A21" s="5" t="inlineStr">
        <is>
          <t>Operating profit before credit impairment losses</t>
        </is>
      </c>
      <c r="B21" s="5" t="n">
        <v>12453</v>
      </c>
      <c r="C21" s="5" t="n">
        <v>13792</v>
      </c>
      <c r="D21" s="5" t="n">
        <v>12421</v>
      </c>
      <c r="E21" s="5" t="n">
        <v>7063</v>
      </c>
      <c r="F21" s="5" t="n">
        <v>3781</v>
      </c>
    </row>
    <row r="22">
      <c r="A22" s="6" t="inlineStr">
        <is>
          <t>Credit impairment reversals/(charges)</t>
        </is>
      </c>
      <c r="B22" s="6" t="n">
        <v>937</v>
      </c>
      <c r="C22" s="6" t="n">
        <v>1183</v>
      </c>
      <c r="D22" s="6" t="n">
        <v>866</v>
      </c>
      <c r="E22" s="6" t="n">
        <v>-684</v>
      </c>
      <c r="F22" s="6" t="n">
        <v>68</v>
      </c>
    </row>
    <row r="23">
      <c r="A23" s="5" t="inlineStr">
        <is>
          <t>Profit before tax</t>
        </is>
      </c>
      <c r="B23" s="5" t="n">
        <v>13390</v>
      </c>
      <c r="C23" s="5" t="n">
        <v>14975</v>
      </c>
      <c r="D23" s="5" t="n">
        <v>13287</v>
      </c>
      <c r="E23" s="5" t="n">
        <v>6379</v>
      </c>
      <c r="F23" s="5" t="n">
        <v>3849</v>
      </c>
    </row>
    <row r="24">
      <c r="A24" s="6" t="inlineStr">
        <is>
          <t>Tax charge/(credit)</t>
        </is>
      </c>
      <c r="B24" s="6" t="n">
        <v>-3367</v>
      </c>
      <c r="C24" s="6" t="n">
        <v>-3888</v>
      </c>
      <c r="D24" s="6" t="n">
        <v>-735</v>
      </c>
      <c r="E24" s="6" t="n">
        <v>-679</v>
      </c>
      <c r="F24" s="6" t="n">
        <v>626</v>
      </c>
    </row>
    <row r="25">
      <c r="A25" s="5" t="inlineStr">
        <is>
          <t>Profit after tax</t>
        </is>
      </c>
      <c r="B25" s="5" t="n">
        <v>10023</v>
      </c>
      <c r="C25" s="5" t="n">
        <v>11087</v>
      </c>
      <c r="D25" s="5" t="n">
        <v>12552</v>
      </c>
      <c r="E25" s="5" t="n">
        <v>5700</v>
      </c>
      <c r="F25" s="5" t="n">
        <v>4475</v>
      </c>
    </row>
    <row r="26">
      <c r="A26" s="5" t="inlineStr">
        <is>
          <t>Other comprehensive income</t>
        </is>
      </c>
      <c r="B26" s="6" t="n"/>
      <c r="C26" s="6" t="n"/>
      <c r="D26" s="6" t="n"/>
      <c r="E26" s="6" t="n"/>
      <c r="F26" s="6" t="n"/>
    </row>
    <row r="27">
      <c r="A27" s="6" t="inlineStr">
        <is>
          <t>Fair value through OCI reserve - net gains/(losses) from changes in fair value</t>
        </is>
      </c>
      <c r="B27" s="6" t="n">
        <v>283</v>
      </c>
      <c r="C27" s="6" t="n">
        <v>90</v>
      </c>
      <c r="D27" s="6" t="n">
        <v>997</v>
      </c>
      <c r="E27" s="6" t="n">
        <v>-1210</v>
      </c>
      <c r="F27" s="6" t="n">
        <v>-486</v>
      </c>
    </row>
    <row r="28">
      <c r="A28" s="6" t="inlineStr">
        <is>
          <t>Fair value through OCI reserve - reversal due to sale of investment</t>
        </is>
      </c>
      <c r="B28" s="6" t="n"/>
      <c r="C28" s="6" t="n"/>
      <c r="D28" s="6" t="n"/>
      <c r="E28" s="6" t="n">
        <v>92</v>
      </c>
      <c r="F28" s="6" t="n">
        <v>-20</v>
      </c>
    </row>
    <row r="29">
      <c r="A29" s="6" t="inlineStr">
        <is>
          <t>Fair value through OCI reserve - deferred tax</t>
        </is>
      </c>
      <c r="B29" s="6" t="n">
        <v>-71</v>
      </c>
      <c r="C29" s="6" t="n">
        <v>-18</v>
      </c>
      <c r="D29" s="6" t="n">
        <v>-178</v>
      </c>
      <c r="E29" s="6" t="n">
        <v>212</v>
      </c>
      <c r="F29" s="6" t="n">
        <v>96</v>
      </c>
    </row>
    <row r="30">
      <c r="A30" s="6" t="inlineStr">
        <is>
          <t>Net reversals/(losses) transferred to income statement due to impairment</t>
        </is>
      </c>
      <c r="B30" s="6" t="n"/>
      <c r="C30" s="6" t="n"/>
      <c r="D30" s="6" t="n"/>
      <c r="E30" s="6" t="n">
        <v>-13</v>
      </c>
      <c r="F30" s="6" t="n">
        <v>-44</v>
      </c>
    </row>
    <row r="31">
      <c r="A31" s="5" t="inlineStr">
        <is>
          <t>Other comprehensive income for the year, net of tax</t>
        </is>
      </c>
      <c r="B31" s="5" t="n">
        <v>212</v>
      </c>
      <c r="C31" s="5" t="n">
        <v>72</v>
      </c>
      <c r="D31" s="5" t="n">
        <v>819</v>
      </c>
      <c r="E31" s="5" t="n">
        <v>-919</v>
      </c>
      <c r="F31" s="5" t="n">
        <v>-454</v>
      </c>
    </row>
    <row r="32">
      <c r="A32" s="5" t="inlineStr">
        <is>
          <t>Total comprehensive income for the year, net of tax</t>
        </is>
      </c>
      <c r="B32" s="5" t="n">
        <v>10235</v>
      </c>
      <c r="C32" s="5" t="n">
        <v>11159</v>
      </c>
      <c r="D32" s="5" t="n">
        <v>13371</v>
      </c>
      <c r="E32" s="5" t="n">
        <v>4781</v>
      </c>
      <c r="F32" s="5" t="n">
        <v>4021</v>
      </c>
    </row>
    <row r="34" ht="190" customHeight="1">
      <c r="A34" s="8" t="inlineStr">
        <is>
          <t>Sources - Habib Bank Zurich Plc's own Income Statement and Statement of Comprehensive Income, from each year's Companies House-filed Annual Report and Financial Statements (company 08864609):
FY2025 &amp; FY2024: Annual Report and Financial Statements for the year ended 31 December 2025, Income Statement p.55 and Statement of Comprehensive Income p.56 - https://find-and-update.company-information.service.gov.uk/company/08864609/filing-history/MzUyNTkxNzE0NGFkaXF6a2N4/document?format=pdf&amp;download=0
FY2023: Annual Report and Financial Statements for the year ended 31 December 2023, Income Statement p.54 (FY2023's own originally-published figures used) - https://find-and-update.company-information.service.gov.uk/company/08864609/filing-history/MzQxOTMzMTc3MGFkaXF6a2N4/document?format=pdf&amp;download=0
FY2022: Annual Report and Financial Statements for the year ended 31 December 2022, Income Statement p.50 and Statement of Other Comprehensive Income p.51 (FY2022's own originally-published figures used) - https://find-and-update.company-information.service.gov.uk/company/08864609/filing-history/MzM4MjUzMDg5N2FkaXF6a2N4/document?format=pdf&amp;download=0
FY2021: Annual Report and Financial Statements for the year ended 31 December 2021, Income Statement p.48 (OCI detail for FY2021 taken from the FY2022 Annual Report's own FY2021 comparative column in its Statement of Other Comprehensive Income, since the FY2021 Annual Report's own OCI statement was not part of this year's sourcing scope) - https://find-and-update.company-information.service.gov.uk/company/08864609/filing-history/MzM0MjYxMTQxOWFkaXF6a2N4/document?format=pdf&amp;download=0
Habib Bank Zurich Plc (company 08864609) is a UK-incorporated public limited company, a wholly-owned subsidiary of Habib Bank AG Zurich (Switzerland). Figures throughout are Company-level (the Bank has no subsidiaries of its own, so Company and Group are the same entity). Each year uses that year's own originally-published Annual Report figures, not later restated comparatives (see the FY2022 note below).
'Total comprehensive income for the year' is computed as Profit after tax plus Other comprehensive income for the year, net of tax, per each year's own disclosed figures - this is the one row genuinely comparable across all 5 years and ties exactly to the Statement of Changes in Equity's own closing-balance movements.</t>
        </is>
      </c>
    </row>
  </sheetData>
  <mergeCells count="1">
    <mergeCell ref="A34:F34"/>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5"/>
  <sheetViews>
    <sheetView workbookViewId="0">
      <pane ySplit="4" topLeftCell="A5" activePane="bottomLeft" state="frozen"/>
      <selection pane="bottomLeft" activeCell="A1" sqref="A1"/>
    </sheetView>
  </sheetViews>
  <sheetFormatPr baseColWidth="8" defaultRowHeight="15"/>
  <cols>
    <col width="58" customWidth="1" min="1" max="1"/>
    <col width="15" customWidth="1" min="2" max="2"/>
    <col width="15" customWidth="1" min="3" max="3"/>
    <col width="15" customWidth="1" min="4" max="4"/>
    <col width="15" customWidth="1" min="5" max="5"/>
  </cols>
  <sheetData>
    <row r="1">
      <c r="A1" s="1" t="inlineStr">
        <is>
          <t>Habib Bank Zurich Plc — Statement of Changes in Equity</t>
        </is>
      </c>
    </row>
    <row r="2">
      <c r="A2" s="2" t="inlineStr">
        <is>
          <t>Chronological roll-forward, figures as reported in each year's own Annual Report</t>
        </is>
      </c>
    </row>
    <row r="3">
      <c r="A3" s="4" t="inlineStr">
        <is>
          <t>Movement</t>
        </is>
      </c>
      <c r="B3" s="4" t="inlineStr">
        <is>
          <t>Called up share capital</t>
        </is>
      </c>
      <c r="C3" s="4" t="inlineStr">
        <is>
          <t>Fair value reserve</t>
        </is>
      </c>
      <c r="D3" s="4" t="inlineStr">
        <is>
          <t>Retained earnings</t>
        </is>
      </c>
      <c r="E3" s="4" t="inlineStr">
        <is>
          <t>Total</t>
        </is>
      </c>
    </row>
    <row r="4">
      <c r="A4" s="5" t="inlineStr">
        <is>
          <t>Balance as at 1 January 2021</t>
        </is>
      </c>
      <c r="B4" s="5" t="n">
        <v>60000</v>
      </c>
      <c r="C4" s="5" t="n">
        <v>356</v>
      </c>
      <c r="D4" s="5" t="n">
        <v>11826</v>
      </c>
      <c r="E4" s="5" t="n">
        <v>72182</v>
      </c>
    </row>
    <row r="5">
      <c r="A5" s="6" t="inlineStr">
        <is>
          <t>Capital raised during the year</t>
        </is>
      </c>
      <c r="B5" s="6" t="n">
        <v>10000</v>
      </c>
      <c r="C5" s="6" t="n"/>
      <c r="D5" s="6" t="n"/>
      <c r="E5" s="6" t="n">
        <v>10000</v>
      </c>
    </row>
    <row r="6">
      <c r="A6" s="6" t="inlineStr">
        <is>
          <t>Profit after tax</t>
        </is>
      </c>
      <c r="B6" s="6" t="n"/>
      <c r="C6" s="6" t="n"/>
      <c r="D6" s="6" t="n">
        <v>4475</v>
      </c>
      <c r="E6" s="6" t="n">
        <v>4475</v>
      </c>
    </row>
    <row r="7">
      <c r="A7" s="6" t="inlineStr">
        <is>
          <t>FV through OCI reserve - net losses during the year</t>
        </is>
      </c>
      <c r="B7" s="6" t="n"/>
      <c r="C7" s="6" t="n">
        <v>-486</v>
      </c>
      <c r="D7" s="6" t="n"/>
      <c r="E7" s="6" t="n">
        <v>-486</v>
      </c>
    </row>
    <row r="8">
      <c r="A8" s="6" t="inlineStr">
        <is>
          <t>FV through OCI reserve - reversal due to sale of investment</t>
        </is>
      </c>
      <c r="B8" s="6" t="n"/>
      <c r="C8" s="6" t="n">
        <v>-20</v>
      </c>
      <c r="D8" s="6" t="n"/>
      <c r="E8" s="6" t="n">
        <v>-20</v>
      </c>
    </row>
    <row r="9">
      <c r="A9" s="6" t="inlineStr">
        <is>
          <t>Deferred tax</t>
        </is>
      </c>
      <c r="B9" s="6" t="n"/>
      <c r="C9" s="6" t="n">
        <v>96</v>
      </c>
      <c r="D9" s="6" t="n"/>
      <c r="E9" s="6" t="n">
        <v>96</v>
      </c>
    </row>
    <row r="10">
      <c r="A10" s="6" t="inlineStr">
        <is>
          <t>Net reversals transferred due to impairment</t>
        </is>
      </c>
      <c r="B10" s="6" t="n"/>
      <c r="C10" s="6" t="n">
        <v>-44</v>
      </c>
      <c r="D10" s="6" t="n"/>
      <c r="E10" s="6" t="n">
        <v>-44</v>
      </c>
    </row>
    <row r="11">
      <c r="A11" s="5" t="inlineStr">
        <is>
          <t>Balance as at 31 December 2021 / 1 January 2022</t>
        </is>
      </c>
      <c r="B11" s="5" t="n">
        <v>70000</v>
      </c>
      <c r="C11" s="5" t="n">
        <v>-98</v>
      </c>
      <c r="D11" s="5" t="n">
        <v>16301</v>
      </c>
      <c r="E11" s="5" t="n">
        <v>86203</v>
      </c>
    </row>
    <row r="12">
      <c r="A12" s="6" t="inlineStr">
        <is>
          <t>Dividend paid during the year</t>
        </is>
      </c>
      <c r="B12" s="6" t="n"/>
      <c r="C12" s="6" t="n"/>
      <c r="D12" s="6" t="n">
        <v>-1476</v>
      </c>
      <c r="E12" s="6" t="n">
        <v>-1476</v>
      </c>
    </row>
    <row r="13">
      <c r="A13" s="6" t="inlineStr">
        <is>
          <t>Profit after tax</t>
        </is>
      </c>
      <c r="B13" s="6" t="n"/>
      <c r="C13" s="6" t="n"/>
      <c r="D13" s="6" t="n">
        <v>5700</v>
      </c>
      <c r="E13" s="6" t="n">
        <v>5700</v>
      </c>
    </row>
    <row r="14">
      <c r="A14" s="6" t="inlineStr">
        <is>
          <t>FV through OCI reserve - net losses during the year</t>
        </is>
      </c>
      <c r="B14" s="6" t="n"/>
      <c r="C14" s="6" t="n">
        <v>-1210</v>
      </c>
      <c r="D14" s="6" t="n"/>
      <c r="E14" s="6" t="n">
        <v>-1210</v>
      </c>
    </row>
    <row r="15">
      <c r="A15" s="6" t="inlineStr">
        <is>
          <t>FV through OCI reserve - reversal due to sale of investment</t>
        </is>
      </c>
      <c r="B15" s="6" t="n"/>
      <c r="C15" s="6" t="n">
        <v>92</v>
      </c>
      <c r="D15" s="6" t="n"/>
      <c r="E15" s="6" t="n">
        <v>92</v>
      </c>
    </row>
    <row r="16">
      <c r="A16" s="6" t="inlineStr">
        <is>
          <t>Deferred tax</t>
        </is>
      </c>
      <c r="B16" s="6" t="n"/>
      <c r="C16" s="6" t="n">
        <v>212</v>
      </c>
      <c r="D16" s="6" t="n"/>
      <c r="E16" s="6" t="n">
        <v>212</v>
      </c>
    </row>
    <row r="17">
      <c r="A17" s="6" t="inlineStr">
        <is>
          <t>Net reversals transferred due to impairment</t>
        </is>
      </c>
      <c r="B17" s="6" t="n"/>
      <c r="C17" s="6" t="n">
        <v>-13</v>
      </c>
      <c r="D17" s="6" t="n"/>
      <c r="E17" s="6" t="n">
        <v>-13</v>
      </c>
    </row>
    <row r="18">
      <c r="A18" s="5" t="inlineStr">
        <is>
          <t>Balance as at 31 December 2022 / 1 January 2023</t>
        </is>
      </c>
      <c r="B18" s="5" t="n">
        <v>70000</v>
      </c>
      <c r="C18" s="5" t="n">
        <v>-1017</v>
      </c>
      <c r="D18" s="5" t="n">
        <v>20525</v>
      </c>
      <c r="E18" s="5" t="n">
        <v>89508</v>
      </c>
    </row>
    <row r="19">
      <c r="A19" s="6" t="inlineStr">
        <is>
          <t>Profit after tax</t>
        </is>
      </c>
      <c r="B19" s="6" t="n"/>
      <c r="C19" s="6" t="n"/>
      <c r="D19" s="6" t="n">
        <v>12552</v>
      </c>
      <c r="E19" s="6" t="n">
        <v>12552</v>
      </c>
    </row>
    <row r="20">
      <c r="A20" s="6" t="inlineStr">
        <is>
          <t>FV through OCI reserve - net gains during the year</t>
        </is>
      </c>
      <c r="B20" s="6" t="n"/>
      <c r="C20" s="6" t="n">
        <v>997</v>
      </c>
      <c r="D20" s="6" t="n"/>
      <c r="E20" s="6" t="n">
        <v>997</v>
      </c>
    </row>
    <row r="21">
      <c r="A21" s="6" t="inlineStr">
        <is>
          <t>Deferred tax</t>
        </is>
      </c>
      <c r="B21" s="6" t="n"/>
      <c r="C21" s="6" t="n">
        <v>-178</v>
      </c>
      <c r="D21" s="6" t="n"/>
      <c r="E21" s="6" t="n">
        <v>-178</v>
      </c>
    </row>
    <row r="22">
      <c r="A22" s="5" t="inlineStr">
        <is>
          <t>Balance as at 31 December 2023 / 1 January 2024</t>
        </is>
      </c>
      <c r="B22" s="5" t="n">
        <v>70000</v>
      </c>
      <c r="C22" s="5" t="n">
        <v>-198</v>
      </c>
      <c r="D22" s="5" t="n">
        <v>33077</v>
      </c>
      <c r="E22" s="5" t="n">
        <v>102879</v>
      </c>
    </row>
    <row r="23">
      <c r="A23" s="6" t="inlineStr">
        <is>
          <t>Dividend paid during the year</t>
        </is>
      </c>
      <c r="B23" s="6" t="n"/>
      <c r="C23" s="6" t="n"/>
      <c r="D23" s="6" t="n">
        <v>-4142</v>
      </c>
      <c r="E23" s="6" t="n">
        <v>-4142</v>
      </c>
    </row>
    <row r="24">
      <c r="A24" s="6" t="inlineStr">
        <is>
          <t>Additional capital</t>
        </is>
      </c>
      <c r="B24" s="6" t="n">
        <v>10000</v>
      </c>
      <c r="C24" s="6" t="n"/>
      <c r="D24" s="6" t="n"/>
      <c r="E24" s="6" t="n">
        <v>10000</v>
      </c>
    </row>
    <row r="25">
      <c r="A25" s="6" t="inlineStr">
        <is>
          <t>Profit after tax</t>
        </is>
      </c>
      <c r="B25" s="6" t="n"/>
      <c r="C25" s="6" t="n"/>
      <c r="D25" s="6" t="n">
        <v>11087</v>
      </c>
      <c r="E25" s="6" t="n">
        <v>11087</v>
      </c>
    </row>
    <row r="26">
      <c r="A26" s="6" t="inlineStr">
        <is>
          <t>FV through OCI reserve - net losses during the year</t>
        </is>
      </c>
      <c r="B26" s="6" t="n"/>
      <c r="C26" s="6" t="n">
        <v>90</v>
      </c>
      <c r="D26" s="6" t="n"/>
      <c r="E26" s="6" t="n">
        <v>90</v>
      </c>
    </row>
    <row r="27">
      <c r="A27" s="6" t="inlineStr">
        <is>
          <t>Deferred tax</t>
        </is>
      </c>
      <c r="B27" s="6" t="n"/>
      <c r="C27" s="6" t="n">
        <v>-18</v>
      </c>
      <c r="D27" s="6" t="n"/>
      <c r="E27" s="6" t="n">
        <v>-18</v>
      </c>
    </row>
    <row r="28">
      <c r="A28" s="5" t="inlineStr">
        <is>
          <t>Balance as at 31 December 2024 / 1 January 2025</t>
        </is>
      </c>
      <c r="B28" s="5" t="n">
        <v>80000</v>
      </c>
      <c r="C28" s="5" t="n">
        <v>-126</v>
      </c>
      <c r="D28" s="5" t="n">
        <v>40022</v>
      </c>
      <c r="E28" s="5" t="n">
        <v>119896</v>
      </c>
    </row>
    <row r="29">
      <c r="A29" s="6" t="inlineStr">
        <is>
          <t>Dividend declared &amp; paid during the year</t>
        </is>
      </c>
      <c r="B29" s="6" t="n"/>
      <c r="C29" s="6" t="n"/>
      <c r="D29" s="6" t="n">
        <v>-5544</v>
      </c>
      <c r="E29" s="6" t="n">
        <v>-5544</v>
      </c>
    </row>
    <row r="30">
      <c r="A30" s="6" t="inlineStr">
        <is>
          <t>Profit after tax</t>
        </is>
      </c>
      <c r="B30" s="6" t="n"/>
      <c r="C30" s="6" t="n"/>
      <c r="D30" s="6" t="n">
        <v>10023</v>
      </c>
      <c r="E30" s="6" t="n">
        <v>10023</v>
      </c>
    </row>
    <row r="31">
      <c r="A31" s="6" t="inlineStr">
        <is>
          <t>FV through OCI reserve - net gains during the year</t>
        </is>
      </c>
      <c r="B31" s="6" t="n"/>
      <c r="C31" s="6" t="n">
        <v>283</v>
      </c>
      <c r="D31" s="6" t="n"/>
      <c r="E31" s="6" t="n">
        <v>283</v>
      </c>
    </row>
    <row r="32">
      <c r="A32" s="6" t="inlineStr">
        <is>
          <t>Deferred tax</t>
        </is>
      </c>
      <c r="B32" s="6" t="n"/>
      <c r="C32" s="6" t="n">
        <v>-71</v>
      </c>
      <c r="D32" s="6" t="n"/>
      <c r="E32" s="6" t="n">
        <v>-71</v>
      </c>
    </row>
    <row r="33">
      <c r="A33" s="5" t="inlineStr">
        <is>
          <t>Balance as at 31 December 2025</t>
        </is>
      </c>
      <c r="B33" s="5" t="n">
        <v>80000</v>
      </c>
      <c r="C33" s="5" t="n">
        <v>86</v>
      </c>
      <c r="D33" s="5" t="n">
        <v>44501</v>
      </c>
      <c r="E33" s="5" t="n">
        <v>124587</v>
      </c>
    </row>
    <row r="35" ht="210" customHeight="1">
      <c r="A35" s="8" t="inlineStr">
        <is>
          <t>Sources - Habib Bank Zurich Plc's own Statement of Changes in Equity, from each year's Companies House-filed Annual Report and Financial Statements (company 08864609):
FY2025 &amp; FY2024: Annual Report and Financial Statements for the year ended 31 December 2025, Statement of Changes in Equity, p.58 - https://find-and-update.company-information.service.gov.uk/company/08864609/filing-history/MzUyNTkxNzE0NGFkaXF6a2N4/document?format=pdf&amp;download=0
FY2023: Annual Report and Financial Statements for the year ended 31 December 2023, Statement of Changes in Equity, p.57 - https://find-and-update.company-information.service.gov.uk/company/08864609/filing-history/MzQxOTMzMTc3MGFkaXF6a2N4/document?format=pdf&amp;download=0
FY2022 &amp; FY2021: Annual Report and Financial Statements for the year ended 31 December 2022, Statement of Changes in Equity, p.53 (gives both years' own movements in one table) - https://find-and-update.company-information.service.gov.uk/company/08864609/filing-history/MzM4MjUzMDg5N2FkaXF6a2N4/document?format=pdf&amp;download=0
Habib Bank Zurich Plc (company 08864609) is a UK-incorporated public limited company, a wholly-owned subsidiary of Habib Bank AG Zurich (Switzerland). Figures throughout are Company-level (the Bank has no subsidiaries of its own, so Company and Group are the same entity). Each year uses that year's own originally-published Annual Report figures, not later restated comparatives (see the FY2022 note below).
Built using this project's per-year reconciliation ladder: every year's closing balance ties exactly to both the next year's own opening balance and that year's own Balance Sheet Total equity - zero plug rows needed anywhere across all 5 years. One flagged, not force-reconciled, discrepancy: FY2025's dividend is £5,544k in this statement vs £5,543k in the Cash Flow Statement's 'Dividend paid' line - both reproduced exactly as each disclosed, a £1k rounding artifact between the two statements in the Bank's own FY2025 Annual Report, not a transcription error here.</t>
        </is>
      </c>
    </row>
  </sheetData>
  <mergeCells count="1">
    <mergeCell ref="A35:E3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4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s>
  <sheetData>
    <row r="1">
      <c r="A1" s="1" t="inlineStr">
        <is>
          <t>Habib Bank Zurich Plc — Cash Flow Statement</t>
        </is>
      </c>
    </row>
    <row r="2">
      <c r="A2" s="2" t="inlineStr">
        <is>
          <t>Figures as reported in each year's own Annual Report and Financial Statements</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Operating activities</t>
        </is>
      </c>
      <c r="B4" s="6" t="n"/>
      <c r="C4" s="6" t="n"/>
      <c r="D4" s="6" t="n"/>
      <c r="E4" s="6" t="n"/>
      <c r="F4" s="6" t="n"/>
    </row>
    <row r="5">
      <c r="A5" s="6" t="inlineStr">
        <is>
          <t>Profit before tax</t>
        </is>
      </c>
      <c r="B5" s="6" t="n">
        <v>13390</v>
      </c>
      <c r="C5" s="6" t="n">
        <v>14975</v>
      </c>
      <c r="D5" s="6" t="n">
        <v>13287</v>
      </c>
      <c r="E5" s="6" t="n">
        <v>6379</v>
      </c>
      <c r="F5" s="6" t="n">
        <v>3849</v>
      </c>
    </row>
    <row r="6">
      <c r="A6" s="6" t="inlineStr">
        <is>
          <t>(Reversals)/impairment losses on loans and advances at amortised cost</t>
        </is>
      </c>
      <c r="B6" s="6" t="n">
        <v>-937</v>
      </c>
      <c r="C6" s="6" t="n">
        <v>-1183</v>
      </c>
      <c r="D6" s="6" t="n">
        <v>-866</v>
      </c>
      <c r="E6" s="6" t="n">
        <v>684</v>
      </c>
      <c r="F6" s="6" t="n">
        <v>-68</v>
      </c>
    </row>
    <row r="7">
      <c r="A7" s="6" t="inlineStr">
        <is>
          <t>(Gain)/loss on sale of financial assets at FVOCI</t>
        </is>
      </c>
      <c r="B7" s="6" t="n">
        <v>-508</v>
      </c>
      <c r="C7" s="6" t="n"/>
      <c r="D7" s="6" t="n"/>
      <c r="E7" s="6" t="n">
        <v>92</v>
      </c>
      <c r="F7" s="6" t="n">
        <v>-114</v>
      </c>
    </row>
    <row r="8">
      <c r="A8" s="6" t="inlineStr">
        <is>
          <t>Depreciation</t>
        </is>
      </c>
      <c r="B8" s="6" t="n">
        <v>1475</v>
      </c>
      <c r="C8" s="6" t="n">
        <v>1341</v>
      </c>
      <c r="D8" s="6" t="n">
        <v>1510</v>
      </c>
      <c r="E8" s="6" t="n">
        <v>1119</v>
      </c>
      <c r="F8" s="6" t="n">
        <v>933</v>
      </c>
    </row>
    <row r="9">
      <c r="A9" s="6" t="inlineStr">
        <is>
          <t>Gain on sale of property and equipment</t>
        </is>
      </c>
      <c r="B9" s="6" t="n"/>
      <c r="C9" s="6" t="n"/>
      <c r="D9" s="6" t="n"/>
      <c r="E9" s="6" t="n"/>
      <c r="F9" s="6" t="n">
        <v>-1</v>
      </c>
    </row>
    <row r="10">
      <c r="A10" s="5" t="inlineStr">
        <is>
          <t>Profit before tax adjusted for non-cash items</t>
        </is>
      </c>
      <c r="B10" s="5" t="n">
        <v>13420</v>
      </c>
      <c r="C10" s="5" t="n">
        <v>15133</v>
      </c>
      <c r="D10" s="5" t="n">
        <v>13931</v>
      </c>
      <c r="E10" s="5" t="n">
        <v>8274</v>
      </c>
      <c r="F10" s="5" t="n">
        <v>4599</v>
      </c>
    </row>
    <row r="11">
      <c r="A11" s="5" t="inlineStr">
        <is>
          <t>Net (increase)/decrease in operating assets</t>
        </is>
      </c>
      <c r="B11" s="6" t="n"/>
      <c r="C11" s="6" t="n"/>
      <c r="D11" s="6" t="n"/>
      <c r="E11" s="6" t="n"/>
      <c r="F11" s="6" t="n"/>
    </row>
    <row r="12">
      <c r="A12" s="6" t="inlineStr">
        <is>
          <t>Loans and advances to banks at amortised cost</t>
        </is>
      </c>
      <c r="B12" s="6" t="n">
        <v>-31608</v>
      </c>
      <c r="C12" s="6" t="n">
        <v>-9363</v>
      </c>
      <c r="D12" s="6" t="n">
        <v>29645</v>
      </c>
      <c r="E12" s="6" t="n">
        <v>-55923</v>
      </c>
      <c r="F12" s="6" t="n">
        <v>11053</v>
      </c>
    </row>
    <row r="13">
      <c r="A13" s="6" t="inlineStr">
        <is>
          <t>Loans and advances to customers at amortised cost</t>
        </is>
      </c>
      <c r="B13" s="6" t="n">
        <v>-117191</v>
      </c>
      <c r="C13" s="6" t="n">
        <v>-49138</v>
      </c>
      <c r="D13" s="6" t="n">
        <v>-30221</v>
      </c>
      <c r="E13" s="6" t="n">
        <v>-87685</v>
      </c>
      <c r="F13" s="6" t="n">
        <v>-58584</v>
      </c>
    </row>
    <row r="14">
      <c r="A14" s="6" t="inlineStr">
        <is>
          <t>Derivative financial instruments for risk management</t>
        </is>
      </c>
      <c r="B14" s="6" t="n">
        <v>-516</v>
      </c>
      <c r="C14" s="6" t="n">
        <v>-125</v>
      </c>
      <c r="D14" s="6" t="n">
        <v>91</v>
      </c>
      <c r="E14" s="6" t="n">
        <v>112</v>
      </c>
      <c r="F14" s="6" t="n">
        <v>312</v>
      </c>
    </row>
    <row r="15">
      <c r="A15" s="6" t="inlineStr">
        <is>
          <t>Other assets</t>
        </is>
      </c>
      <c r="B15" s="6" t="n">
        <v>1037</v>
      </c>
      <c r="C15" s="6" t="n">
        <v>-1011</v>
      </c>
      <c r="D15" s="6" t="n">
        <v>-1651</v>
      </c>
      <c r="E15" s="6" t="n">
        <v>1128</v>
      </c>
      <c r="F15" s="6" t="n">
        <v>-966</v>
      </c>
    </row>
    <row r="16">
      <c r="A16" s="5" t="inlineStr">
        <is>
          <t>Net (increase)/decrease in operating assets</t>
        </is>
      </c>
      <c r="B16" s="5" t="n">
        <v>-148278</v>
      </c>
      <c r="C16" s="5" t="n">
        <v>-59637</v>
      </c>
      <c r="D16" s="5" t="n">
        <v>-2136</v>
      </c>
      <c r="E16" s="5" t="n">
        <v>-142368</v>
      </c>
      <c r="F16" s="5" t="n">
        <v>-48185</v>
      </c>
    </row>
    <row r="17">
      <c r="A17" s="5" t="inlineStr">
        <is>
          <t>Net increase/(decrease) in operating liabilities</t>
        </is>
      </c>
      <c r="B17" s="6" t="n"/>
      <c r="C17" s="6" t="n"/>
      <c r="D17" s="6" t="n"/>
      <c r="E17" s="6" t="n"/>
      <c r="F17" s="6" t="n"/>
    </row>
    <row r="18">
      <c r="A18" s="6" t="inlineStr">
        <is>
          <t>Due to banks at amortised cost</t>
        </is>
      </c>
      <c r="B18" s="6" t="n">
        <v>77915</v>
      </c>
      <c r="C18" s="6" t="n">
        <v>-15357</v>
      </c>
      <c r="D18" s="6" t="n">
        <v>-4420</v>
      </c>
      <c r="E18" s="6" t="n">
        <v>22119</v>
      </c>
      <c r="F18" s="6" t="n">
        <v>67056</v>
      </c>
    </row>
    <row r="19">
      <c r="A19" s="6" t="inlineStr">
        <is>
          <t>Due to customers at amortised cost</t>
        </is>
      </c>
      <c r="B19" s="6" t="n">
        <v>119800</v>
      </c>
      <c r="C19" s="6" t="n">
        <v>137112</v>
      </c>
      <c r="D19" s="6" t="n">
        <v>116334</v>
      </c>
      <c r="E19" s="6" t="n">
        <v>97548</v>
      </c>
      <c r="F19" s="6" t="n">
        <v>48364</v>
      </c>
    </row>
    <row r="20">
      <c r="A20" s="6" t="inlineStr">
        <is>
          <t>Derivative financial instruments for risk management</t>
        </is>
      </c>
      <c r="B20" s="6" t="n">
        <v>-23</v>
      </c>
      <c r="C20" s="6" t="n">
        <v>145</v>
      </c>
      <c r="D20" s="6" t="n">
        <v>-187</v>
      </c>
      <c r="E20" s="6" t="n">
        <v>-285</v>
      </c>
      <c r="F20" s="6" t="n">
        <v>156</v>
      </c>
    </row>
    <row r="21">
      <c r="A21" s="6" t="inlineStr">
        <is>
          <t>Accruals, deferred income and other liabilities</t>
        </is>
      </c>
      <c r="B21" s="6" t="n">
        <v>-2295</v>
      </c>
      <c r="C21" s="6" t="n">
        <v>3204</v>
      </c>
      <c r="D21" s="6" t="n">
        <v>2710</v>
      </c>
      <c r="E21" s="6" t="n">
        <v>4453</v>
      </c>
      <c r="F21" s="6" t="n">
        <v>351</v>
      </c>
    </row>
    <row r="22">
      <c r="A22" s="6" t="inlineStr">
        <is>
          <t>Tax paid</t>
        </is>
      </c>
      <c r="B22" s="6" t="n">
        <v>-4395</v>
      </c>
      <c r="C22" s="6" t="n">
        <v>-3029</v>
      </c>
      <c r="D22" s="6" t="n">
        <v>-931</v>
      </c>
      <c r="E22" s="6" t="n">
        <v>-824</v>
      </c>
      <c r="F22" s="6" t="n">
        <v>-306</v>
      </c>
    </row>
    <row r="23">
      <c r="A23" s="5" t="inlineStr">
        <is>
          <t>Net increase/(decrease) in operating liabilities</t>
        </is>
      </c>
      <c r="B23" s="5" t="n">
        <v>191002</v>
      </c>
      <c r="C23" s="5" t="n">
        <v>122075</v>
      </c>
      <c r="D23" s="5" t="n">
        <v>113506</v>
      </c>
      <c r="E23" s="5" t="n">
        <v>123011</v>
      </c>
      <c r="F23" s="5" t="n">
        <v>115621</v>
      </c>
    </row>
    <row r="24">
      <c r="A24" s="5" t="inlineStr">
        <is>
          <t>Net cash flow from operating activities</t>
        </is>
      </c>
      <c r="B24" s="5" t="n">
        <v>56144</v>
      </c>
      <c r="C24" s="5" t="n">
        <v>77571</v>
      </c>
      <c r="D24" s="5" t="n">
        <v>125301</v>
      </c>
      <c r="E24" s="5" t="n">
        <v>-11083</v>
      </c>
      <c r="F24" s="5" t="n">
        <v>72035</v>
      </c>
    </row>
    <row r="25">
      <c r="A25" s="5" t="inlineStr">
        <is>
          <t>Investing activities</t>
        </is>
      </c>
      <c r="B25" s="6" t="n"/>
      <c r="C25" s="6" t="n"/>
      <c r="D25" s="6" t="n"/>
      <c r="E25" s="6" t="n"/>
      <c r="F25" s="6" t="n"/>
    </row>
    <row r="26">
      <c r="A26" s="6" t="inlineStr">
        <is>
          <t>Purchase of property and equipment</t>
        </is>
      </c>
      <c r="B26" s="6" t="n">
        <v>-313</v>
      </c>
      <c r="C26" s="6" t="n">
        <v>-193</v>
      </c>
      <c r="D26" s="6" t="n">
        <v>-1437</v>
      </c>
      <c r="E26" s="6" t="n">
        <v>-8990</v>
      </c>
      <c r="F26" s="6" t="n">
        <v>-652</v>
      </c>
    </row>
    <row r="27">
      <c r="A27" s="6" t="inlineStr">
        <is>
          <t>Proceeds on sale of property and equipment</t>
        </is>
      </c>
      <c r="B27" s="6" t="n"/>
      <c r="C27" s="6" t="n"/>
      <c r="D27" s="6" t="n"/>
      <c r="E27" s="6" t="n">
        <v>0</v>
      </c>
      <c r="F27" s="6" t="n">
        <v>1</v>
      </c>
    </row>
    <row r="28">
      <c r="A28" s="6" t="inlineStr">
        <is>
          <t>Intangible assets under development</t>
        </is>
      </c>
      <c r="B28" s="6" t="n">
        <v>-808</v>
      </c>
      <c r="C28" s="6" t="n"/>
      <c r="D28" s="6" t="n"/>
      <c r="E28" s="6" t="n"/>
      <c r="F28" s="6" t="n"/>
    </row>
    <row r="29">
      <c r="A29" s="6" t="inlineStr">
        <is>
          <t>Purchase of financial investments</t>
        </is>
      </c>
      <c r="B29" s="6" t="n">
        <v>-101174</v>
      </c>
      <c r="C29" s="6" t="n">
        <v>-133828</v>
      </c>
      <c r="D29" s="6" t="n">
        <v>-91617</v>
      </c>
      <c r="E29" s="6" t="n">
        <v>-19234</v>
      </c>
      <c r="F29" s="6" t="n">
        <v>-114123</v>
      </c>
    </row>
    <row r="30">
      <c r="A30" s="6" t="inlineStr">
        <is>
          <t>Proceeds on sale/maturity of financial investments</t>
        </is>
      </c>
      <c r="B30" s="6" t="n">
        <v>111192</v>
      </c>
      <c r="C30" s="6" t="n">
        <v>69499</v>
      </c>
      <c r="D30" s="6" t="n">
        <v>73406</v>
      </c>
      <c r="E30" s="6" t="n">
        <v>49525</v>
      </c>
      <c r="F30" s="6" t="n">
        <v>42421</v>
      </c>
    </row>
    <row r="31">
      <c r="A31" s="5" t="inlineStr">
        <is>
          <t>Net cash from/(used in) investing activities</t>
        </is>
      </c>
      <c r="B31" s="5" t="n">
        <v>8897</v>
      </c>
      <c r="C31" s="5" t="n">
        <v>-64522</v>
      </c>
      <c r="D31" s="5" t="n">
        <v>-19648</v>
      </c>
      <c r="E31" s="5" t="n">
        <v>21301</v>
      </c>
      <c r="F31" s="5" t="n">
        <v>-72353</v>
      </c>
    </row>
    <row r="32">
      <c r="A32" s="5" t="inlineStr">
        <is>
          <t>Financing activities</t>
        </is>
      </c>
      <c r="B32" s="6" t="n"/>
      <c r="C32" s="6" t="n"/>
      <c r="D32" s="6" t="n"/>
      <c r="E32" s="6" t="n"/>
      <c r="F32" s="6" t="n"/>
    </row>
    <row r="33">
      <c r="A33" s="6" t="inlineStr">
        <is>
          <t>Capital issuance</t>
        </is>
      </c>
      <c r="B33" s="6" t="n"/>
      <c r="C33" s="6" t="n">
        <v>10000</v>
      </c>
      <c r="D33" s="6" t="n"/>
      <c r="E33" s="6" t="n"/>
      <c r="F33" s="6" t="n">
        <v>10000</v>
      </c>
    </row>
    <row r="34">
      <c r="A34" s="6" t="inlineStr">
        <is>
          <t>Dividend paid</t>
        </is>
      </c>
      <c r="B34" s="6" t="n">
        <v>-5543</v>
      </c>
      <c r="C34" s="6" t="n">
        <v>-4142</v>
      </c>
      <c r="D34" s="6" t="n"/>
      <c r="E34" s="6" t="n">
        <v>-1476</v>
      </c>
      <c r="F34" s="6" t="n"/>
    </row>
    <row r="35">
      <c r="A35" s="6" t="inlineStr">
        <is>
          <t>Leases paid</t>
        </is>
      </c>
      <c r="B35" s="6" t="n">
        <v>-630</v>
      </c>
      <c r="C35" s="6" t="n">
        <v>-461</v>
      </c>
      <c r="D35" s="6" t="n">
        <v>-424</v>
      </c>
      <c r="E35" s="6" t="n">
        <v>-434</v>
      </c>
      <c r="F35" s="6" t="n">
        <v>-432</v>
      </c>
    </row>
    <row r="36">
      <c r="A36" s="6" t="inlineStr">
        <is>
          <t>Interest paid/(charges) on subordinated liabilities</t>
        </is>
      </c>
      <c r="B36" s="6" t="n">
        <v>-31</v>
      </c>
      <c r="C36" s="6" t="n">
        <v>-1408</v>
      </c>
      <c r="D36" s="6" t="n">
        <v>-1199</v>
      </c>
      <c r="E36" s="6" t="n">
        <v>-491</v>
      </c>
      <c r="F36" s="6" t="n">
        <v>29</v>
      </c>
    </row>
    <row r="37">
      <c r="A37" s="5" t="inlineStr">
        <is>
          <t>Net cash from/(used in) financing activities</t>
        </is>
      </c>
      <c r="B37" s="5" t="n">
        <v>-6204</v>
      </c>
      <c r="C37" s="5" t="n">
        <v>3989</v>
      </c>
      <c r="D37" s="5" t="n">
        <v>-1623</v>
      </c>
      <c r="E37" s="5" t="n">
        <v>-2401</v>
      </c>
      <c r="F37" s="5" t="n">
        <v>9597</v>
      </c>
    </row>
    <row r="38">
      <c r="A38" s="5" t="inlineStr">
        <is>
          <t>Net increase in cash and cash equivalents</t>
        </is>
      </c>
      <c r="B38" s="5" t="n">
        <v>58837</v>
      </c>
      <c r="C38" s="5" t="n">
        <v>17038</v>
      </c>
      <c r="D38" s="5" t="n">
        <v>104030</v>
      </c>
      <c r="E38" s="5" t="n">
        <v>7817</v>
      </c>
      <c r="F38" s="5" t="n">
        <v>9279</v>
      </c>
    </row>
    <row r="39">
      <c r="A39" s="6" t="inlineStr">
        <is>
          <t>Cash and cash equivalents at the beginning of the year</t>
        </is>
      </c>
      <c r="B39" s="6" t="n">
        <v>232380</v>
      </c>
      <c r="C39" s="6" t="n">
        <v>215342</v>
      </c>
      <c r="D39" s="6" t="n">
        <v>111312</v>
      </c>
      <c r="E39" s="6" t="n">
        <v>88689</v>
      </c>
      <c r="F39" s="6" t="n">
        <v>79410</v>
      </c>
    </row>
    <row r="40">
      <c r="A40" s="5" t="inlineStr">
        <is>
          <t>Cash and cash equivalents at the end of the year</t>
        </is>
      </c>
      <c r="B40" s="5" t="n">
        <v>291217</v>
      </c>
      <c r="C40" s="5" t="n">
        <v>232380</v>
      </c>
      <c r="D40" s="5" t="n">
        <v>215342</v>
      </c>
      <c r="E40" s="5" t="n">
        <v>96506</v>
      </c>
      <c r="F40" s="5" t="n">
        <v>88689</v>
      </c>
    </row>
    <row r="42" ht="210" customHeight="1">
      <c r="A42" s="8" t="inlineStr">
        <is>
          <t>Sources - Habib Bank Zurich Plc's own Cash Flow Statement, from each year's Companies House-filed Annual Report and Financial Statements (company 08864609):
FY2025 &amp; FY2024: Annual Report and Financial Statements for the year ended 31 December 2025, Cash Flow Statement, p.59 - https://find-and-update.company-information.service.gov.uk/company/08864609/filing-history/MzUyNTkxNzE0NGFkaXF6a2N4/document?format=pdf&amp;download=0
FY2023: Annual Report and Financial Statements for the year ended 31 December 2023, Cash Flow Statement, p.58 (FY2023's own originally-published figures used; not the FY2022 comparative shown here - see note below) - https://find-and-update.company-information.service.gov.uk/company/08864609/filing-history/MzQxOTMzMTc3MGFkaXF6a2N4/document?format=pdf&amp;download=0
FY2022: Annual Report and Financial Statements for the year ended 31 December 2022, Cash Flow Statement, p.54 (FY2022's own originally-published figures used) - https://find-and-update.company-information.service.gov.uk/company/08864609/filing-history/MzM4MjUzMDg5N2FkaXF6a2N4/document?format=pdf&amp;download=0
FY2021: Annual Report and Financial Statements for the year ended 31 December 2021, Cash Flow Statement, p.52 - https://find-and-update.company-information.service.gov.uk/company/08864609/filing-history/MzM0MjYxMTQxOWFkaXF6a2N4/document?format=pdf&amp;download=0
DATA NOTE - FY2022/FY2023 opening-vs-closing cash gap (£14,806k): the FY2022 Annual Report's own originally-published cash flow statement (p.54) shows FY2022 closing cash of £96,506k, driven by a 'Due to banks' operating-liability movement of £22,119k and 'Accruals, deferred income and other liabilities' of £4,453k. The FY2023 Annual Report's FY2022 comparative (p.58) restates these to £36,925k and £3,429k respectively (a £14,806k net reclassification, with a matching £1,024k offset between 'Accruals' and 'Loans and advances to customers'), producing a restated FY2022 closing cash of £111,312k that reconciles onto FY2023's own opening balance. Per this project's convention, each year keeps its own originally-published figures (FY2022 = FY2022 AR's figures throughout) rather than a later restated comparative, so the FY2022-to-FY2023 opening/closing bridge does not tie by £14,806k - this is a traced, disclosed reclassification, not an error.</t>
        </is>
      </c>
    </row>
  </sheetData>
  <mergeCells count="1">
    <mergeCell ref="A42:F4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Habib Bank Zurich Plc — Asset Quality</t>
        </is>
      </c>
    </row>
    <row r="2">
      <c r="A2" s="2" t="inlineStr">
        <is>
          <t>Loans and advances to customers by IFRS 9 stage, figures as reported in each year's own Annual Report</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Loans and advances to customers at amortised cost, gross carrying amount</t>
        </is>
      </c>
      <c r="B4" s="6" t="n"/>
      <c r="C4" s="6" t="n"/>
      <c r="D4" s="6" t="n"/>
      <c r="E4" s="6" t="n"/>
      <c r="F4" s="6" t="n"/>
    </row>
    <row r="5">
      <c r="A5" s="6" t="inlineStr">
        <is>
          <t>Stage 1 (12-month ECL)</t>
        </is>
      </c>
      <c r="B5" s="6" t="n">
        <v>763217</v>
      </c>
      <c r="C5" s="6" t="n"/>
      <c r="D5" s="6" t="n">
        <v>593300</v>
      </c>
      <c r="E5" s="6" t="n">
        <v>560009</v>
      </c>
      <c r="F5" s="6" t="n">
        <v>493355</v>
      </c>
    </row>
    <row r="6">
      <c r="A6" s="6" t="inlineStr">
        <is>
          <t>Stage 2 (lifetime ECL, not credit-impaired)</t>
        </is>
      </c>
      <c r="B6" s="6" t="n">
        <v>33227</v>
      </c>
      <c r="C6" s="6" t="n"/>
      <c r="D6" s="6" t="n">
        <v>25704</v>
      </c>
      <c r="E6" s="6" t="n">
        <v>26131</v>
      </c>
      <c r="F6" s="6" t="n">
        <v>12310</v>
      </c>
    </row>
    <row r="7">
      <c r="A7" s="6" t="inlineStr">
        <is>
          <t>Stage 3 (lifetime ECL, credit-impaired)</t>
        </is>
      </c>
      <c r="B7" s="6" t="n">
        <v>6076</v>
      </c>
      <c r="C7" s="6" t="n"/>
      <c r="D7" s="6" t="n">
        <v>17310</v>
      </c>
      <c r="E7" s="6" t="n">
        <v>20029</v>
      </c>
      <c r="F7" s="6" t="n">
        <v>12849</v>
      </c>
    </row>
    <row r="8">
      <c r="A8" s="5" t="inlineStr">
        <is>
          <t>Total gross loans and advances to customers</t>
        </is>
      </c>
      <c r="B8" s="5" t="n">
        <v>802520</v>
      </c>
      <c r="C8" s="5" t="n">
        <v>685362</v>
      </c>
      <c r="D8" s="5" t="n">
        <v>636314</v>
      </c>
      <c r="E8" s="5" t="n">
        <v>606169</v>
      </c>
      <c r="F8" s="5" t="n">
        <v>518514</v>
      </c>
    </row>
    <row r="9">
      <c r="A9" s="6" t="inlineStr">
        <is>
          <t>Less: loss allowance</t>
        </is>
      </c>
      <c r="B9" s="6" t="n">
        <v>-1922</v>
      </c>
      <c r="C9" s="6" t="n">
        <v>-2892</v>
      </c>
      <c r="D9" s="6" t="n">
        <v>-4165</v>
      </c>
      <c r="E9" s="6" t="n">
        <v>-5107</v>
      </c>
      <c r="F9" s="6" t="n">
        <v>-4453</v>
      </c>
    </row>
    <row r="10">
      <c r="A10" s="5" t="inlineStr">
        <is>
          <t>Net loans and advances to customers</t>
        </is>
      </c>
      <c r="B10" s="5" t="n">
        <v>800598</v>
      </c>
      <c r="C10" s="5" t="n">
        <v>682470</v>
      </c>
      <c r="D10" s="5" t="n">
        <v>632149</v>
      </c>
      <c r="E10" s="5" t="n">
        <v>601062</v>
      </c>
      <c r="F10" s="5" t="n">
        <v>514061</v>
      </c>
    </row>
    <row r="11">
      <c r="A11" s="5" t="inlineStr">
        <is>
          <t>Derived ratios</t>
        </is>
      </c>
      <c r="B11" s="6" t="n"/>
      <c r="C11" s="6" t="n"/>
      <c r="D11" s="6" t="n"/>
      <c r="E11" s="6" t="n"/>
      <c r="F11" s="6" t="n"/>
    </row>
    <row r="12">
      <c r="A12" s="6" t="inlineStr">
        <is>
          <t>Stage 3 / gross loans (derived NPL ratio)</t>
        </is>
      </c>
      <c r="B12" s="6" t="inlineStr">
        <is>
          <t>0.76%</t>
        </is>
      </c>
      <c r="C12" s="6" t="n"/>
      <c r="D12" s="6" t="inlineStr">
        <is>
          <t>2.72%</t>
        </is>
      </c>
      <c r="E12" s="6" t="inlineStr">
        <is>
          <t>3.30%</t>
        </is>
      </c>
      <c r="F12" s="6" t="inlineStr">
        <is>
          <t>2.48%</t>
        </is>
      </c>
    </row>
    <row r="13">
      <c r="A13" s="6" t="inlineStr">
        <is>
          <t>Loss allowance / gross loans (derived coverage ratio)</t>
        </is>
      </c>
      <c r="B13" s="6" t="inlineStr">
        <is>
          <t>0.24%</t>
        </is>
      </c>
      <c r="C13" s="6" t="inlineStr">
        <is>
          <t>0.42%</t>
        </is>
      </c>
      <c r="D13" s="6" t="inlineStr">
        <is>
          <t>0.65%</t>
        </is>
      </c>
      <c r="E13" s="6" t="inlineStr">
        <is>
          <t>0.84%</t>
        </is>
      </c>
      <c r="F13" s="6" t="inlineStr">
        <is>
          <t>0.86%</t>
        </is>
      </c>
    </row>
    <row r="15" ht="200" customHeight="1">
      <c r="A15" s="8" t="inlineStr">
        <is>
          <t>Sources - Habib Bank Zurich Plc's own Note 31.14 'Credit quality analysis' (Loans and advances to customers, IFRS 9 stage split), from each year's Companies House-filed Annual Report and Financial Statements (company 08864609):
FY2025 (with FY2024 total-only comparative): Annual Report and Financial Statements for the year ended 31 December 2025, Note 31.14, p.94 - https://find-and-update.company-information.service.gov.uk/company/08864609/filing-history/MzUyNTkxNzE0NGFkaXF6a2N4/document?format=pdf&amp;download=0
FY2023 (with FY2022 total-only comparative): Annual Report and Financial Statements for the year ended 31 December 2023, Note 31.14/31.15, p.96 - https://find-and-update.company-information.service.gov.uk/company/08864609/filing-history/MzQxOTMzMTc3MGFkaXF6a2N4/document?format=pdf&amp;download=0
FY2022 (own stage split, with FY2021 total-only comparative): Annual Report and Financial Statements for the year ended 31 December 2022, Note 31.15, p.95 - https://find-and-update.company-information.service.gov.uk/company/08864609/filing-history/MzM4MjUzMDg5N2FkaXF6a2N4/document?format=pdf&amp;download=0
FY2021 (own stage split): Annual Report and Financial Statements for the year ended 31 December 2021, Note 31.15, p.95 - https://find-and-update.company-information.service.gov.uk/company/08864609/filing-history/MzM0MjYxMTQxOWFkaXF6a2N4/document?format=pdf&amp;download=0
Habib Bank Zurich Plc (company 08864609) is a UK-incorporated public limited company, a wholly-owned subsidiary of Habib Bank AG Zurich (Switzerland). Figures throughout are Company-level (the Bank has no subsidiaries of its own, so Company and Group are the same entity). Each year uses that year's own originally-published Annual Report figures, not later restated comparatives (see the FY2022 note below).
DATA NOTE - FY2024's own Stage 1/2/3 gross split is not shown: the FY2025 Annual Report's Note 31.14 only carries a FY2024 Total column as a comparative, not the FY2024 stage breakdown - left blank rather than guessed. Net loans and advances to customers (Total gross minus loss allowance) ties exactly to the Balance Sheet's own Loans and advances to customers figure for every year. Coverage/NPL ratios are derived (gross loans / loss allowance, not separately disclosed by the Bank) and labelled as such.</t>
        </is>
      </c>
    </row>
  </sheetData>
  <mergeCells count="1">
    <mergeCell ref="A15:F15"/>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Habib Bank Zurich Plc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v>124587</v>
      </c>
      <c r="C4" s="6" t="n">
        <v>119896</v>
      </c>
      <c r="D4" s="6" t="n">
        <v>103077</v>
      </c>
      <c r="E4" s="6" t="n">
        <v>90525</v>
      </c>
      <c r="F4" s="6" t="n">
        <v>86301</v>
      </c>
    </row>
    <row r="5" ht="60" customHeight="1">
      <c r="A5" s="7" t="inlineStr">
        <is>
          <t>Note: No Additional Tier 1 capital is disclosed in any year, so CET1 = Tier 1 capital throughout.</t>
        </is>
      </c>
    </row>
    <row r="7" ht="140" customHeight="1">
      <c r="A7" s="8" t="inlineStr">
        <is>
          <t>Sources - Habib Bank Zurich Plc does not publish a standalone Pillar 3 disclosure (no such document was locatable on the Bank's own site, via Wayback Machine, or via web search this session); figures are the Bank's own regulatory-capital and liquidity disclosures from its statutory Annual Report and Financial Statements (company 08864609), Notes to the Financial Statements:
FY2025 &amp; FY2024: Note 31.25 'Capital Management and Risk' p.106 (CET1/Tier 1/Total Capital) and Note 31.21 'Liquidity Risk Management' p.104 (LCR, average-for-period basis) of the FY2025 Annual Report - https://find-and-update.company-information.service.gov.uk/company/08864609/filing-history/MzUyNTkxNzE0NGFkaXF6a2N4/document?format=pdf&amp;download=0
FY2023 &amp; FY2022: Note 31.25 p.106 and Note 31.21 p.104 of the FY2023 Annual Report - https://find-and-update.company-information.service.gov.uk/company/08864609/filing-history/MzQxOTMzMTc3MGFkaXF6a2N4/document?format=pdf&amp;download=0
FY2021: Note 31.25 p.107 and Note 31.21 p.103 of the FY2021 Annual Report - https://find-and-update.company-information.service.gov.uk/company/08864609/filing-history/MzM0MjYxMTQxOWFkaXF6a2N4/document?format=pdf&amp;download=0
No Additional Tier 1 capital is disclosed in any year (Tier 1 = CET1 throughout, per the Bank's own 'Common equity Tier 1 (CET1) capital' labelling in the FY2023 Annual Report's capital note). No RWA figure is disclosed in any year, so CET1/Tier 1/Total Capital Ratios, Leverage Ratio and NSFR cannot be computed from the statutory accounts; MREL is not disclosed (Habib Bank Zurich Plc is not identified as a UK resolution entity in these accounts).</t>
        </is>
      </c>
    </row>
  </sheetData>
  <mergeCells count="2">
    <mergeCell ref="A5:F5"/>
    <mergeCell ref="A7:F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Habib Bank Zurich Plc — CET1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CET1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 RWA figure is disclosed in any year's statutory accounts, so this ratio cannot be computed.</t>
        </is>
      </c>
    </row>
    <row r="7" ht="150" customHeight="1">
      <c r="A7" s="8" t="inlineStr">
        <is>
          <t>Sources - Habib Bank Zurich Plc does not publish a standalone Pillar 3 disclosure (no such document was locatable on the Bank's own site, via Wayback Machine, or via web search this session); figures are the Bank's own regulatory-capital and liquidity disclosures from its statutory Annual Report and Financial Statements (company 08864609), Notes to the Financial Statements:
FY2025 &amp; FY2024: Note 31.25 'Capital Management and Risk' p.106 (CET1/Tier 1/Total Capital) and Note 31.21 'Liquidity Risk Management' p.104 (LCR, average-for-period basis) of the FY2025 Annual Report - https://find-and-update.company-information.service.gov.uk/company/08864609/filing-history/MzUyNTkxNzE0NGFkaXF6a2N4/document?format=pdf&amp;download=0
FY2023 &amp; FY2022: Note 31.25 p.106 and Note 31.21 p.104 of the FY2023 Annual Report - https://find-and-update.company-information.service.gov.uk/company/08864609/filing-history/MzQxOTMzMTc3MGFkaXF6a2N4/document?format=pdf&amp;download=0
FY2021: Note 31.25 p.107 and Note 31.21 p.103 of the FY2021 Annual Report - https://find-and-update.company-information.service.gov.uk/company/08864609/filing-history/MzM0MjYxMTQxOWFkaXF6a2N4/document?format=pdf&amp;download=0
No Additional Tier 1 capital is disclosed in any year (Tier 1 = CET1 throughout, per the Bank's own 'Common equity Tier 1 (CET1) capital' labelling in the FY2023 Annual Report's capital note). No RWA figure is disclosed in any year, so CET1/Tier 1/Total Capital Ratios, Leverage Ratio and NSFR cannot be computed from the statutory accounts; MREL is not disclosed (Habib Bank Zurich Plc is not identified as a UK resolution entity in these accounts).</t>
        </is>
      </c>
    </row>
  </sheetData>
  <mergeCells count="2">
    <mergeCell ref="A5:F5"/>
    <mergeCell ref="A7:F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Habib Bank Zurich Plc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v>124587</v>
      </c>
      <c r="C4" s="6" t="n">
        <v>119896</v>
      </c>
      <c r="D4" s="6" t="n">
        <v>103077</v>
      </c>
      <c r="E4" s="6" t="n">
        <v>90525</v>
      </c>
      <c r="F4" s="6" t="n">
        <v>86301</v>
      </c>
    </row>
    <row r="5" ht="60" customHeight="1">
      <c r="A5" s="7" t="inlineStr">
        <is>
          <t>Note: Equal to CET1 capital - no Additional Tier 1 instruments are disclosed in any year.</t>
        </is>
      </c>
    </row>
    <row r="7" ht="140" customHeight="1">
      <c r="A7" s="8" t="inlineStr">
        <is>
          <t>Sources - Habib Bank Zurich Plc does not publish a standalone Pillar 3 disclosure (no such document was locatable on the Bank's own site, via Wayback Machine, or via web search this session); figures are the Bank's own regulatory-capital and liquidity disclosures from its statutory Annual Report and Financial Statements (company 08864609), Notes to the Financial Statements:
FY2025 &amp; FY2024: Note 31.25 'Capital Management and Risk' p.106 (CET1/Tier 1/Total Capital) and Note 31.21 'Liquidity Risk Management' p.104 (LCR, average-for-period basis) of the FY2025 Annual Report - https://find-and-update.company-information.service.gov.uk/company/08864609/filing-history/MzUyNTkxNzE0NGFkaXF6a2N4/document?format=pdf&amp;download=0
FY2023 &amp; FY2022: Note 31.25 p.106 and Note 31.21 p.104 of the FY2023 Annual Report - https://find-and-update.company-information.service.gov.uk/company/08864609/filing-history/MzQxOTMzMTc3MGFkaXF6a2N4/document?format=pdf&amp;download=0
FY2021: Note 31.25 p.107 and Note 31.21 p.103 of the FY2021 Annual Report - https://find-and-update.company-information.service.gov.uk/company/08864609/filing-history/MzM0MjYxMTQxOWFkaXF6a2N4/document?format=pdf&amp;download=0
No Additional Tier 1 capital is disclosed in any year (Tier 1 = CET1 throughout, per the Bank's own 'Common equity Tier 1 (CET1) capital' labelling in the FY2023 Annual Report's capital note). No RWA figure is disclosed in any year, so CET1/Tier 1/Total Capital Ratios, Leverage Ratio and NSFR cannot be computed from the statutory accounts; MREL is not disclosed (Habib Bank Zurich Plc is not identified as a UK resolution entity in these accounts).</t>
        </is>
      </c>
    </row>
  </sheetData>
  <mergeCells count="2">
    <mergeCell ref="A5:F5"/>
    <mergeCell ref="A7:F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Habib Bank Zurich Plc — Tier 1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 RWA figure is disclosed in any year's statutory accounts, so this ratio cannot be computed.</t>
        </is>
      </c>
    </row>
    <row r="7" ht="150" customHeight="1">
      <c r="A7" s="8" t="inlineStr">
        <is>
          <t>Sources - Habib Bank Zurich Plc does not publish a standalone Pillar 3 disclosure (no such document was locatable on the Bank's own site, via Wayback Machine, or via web search this session); figures are the Bank's own regulatory-capital and liquidity disclosures from its statutory Annual Report and Financial Statements (company 08864609), Notes to the Financial Statements:
FY2025 &amp; FY2024: Note 31.25 'Capital Management and Risk' p.106 (CET1/Tier 1/Total Capital) and Note 31.21 'Liquidity Risk Management' p.104 (LCR, average-for-period basis) of the FY2025 Annual Report - https://find-and-update.company-information.service.gov.uk/company/08864609/filing-history/MzUyNTkxNzE0NGFkaXF6a2N4/document?format=pdf&amp;download=0
FY2023 &amp; FY2022: Note 31.25 p.106 and Note 31.21 p.104 of the FY2023 Annual Report - https://find-and-update.company-information.service.gov.uk/company/08864609/filing-history/MzQxOTMzMTc3MGFkaXF6a2N4/document?format=pdf&amp;download=0
FY2021: Note 31.25 p.107 and Note 31.21 p.103 of the FY2021 Annual Report - https://find-and-update.company-information.service.gov.uk/company/08864609/filing-history/MzM0MjYxMTQxOWFkaXF6a2N4/document?format=pdf&amp;download=0
No Additional Tier 1 capital is disclosed in any year (Tier 1 = CET1 throughout, per the Bank's own 'Common equity Tier 1 (CET1) capital' labelling in the FY2023 Annual Report's capital note). No RWA figure is disclosed in any year, so CET1/Tier 1/Total Capital Ratios, Leverage Ratio and NSFR cannot be computed from the statutory accounts; MREL is not disclosed (Habib Bank Zurich Plc is not identified as a UK resolution entity in these accounts).</t>
        </is>
      </c>
    </row>
  </sheetData>
  <mergeCells count="2">
    <mergeCell ref="A5:F5"/>
    <mergeCell ref="A7:F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Habib Bank Zurich Plc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Own funds (Tier 1 + Tier 2 capital)</t>
        </is>
      </c>
      <c r="B4" s="6" t="n">
        <v>144852</v>
      </c>
      <c r="C4" s="6" t="n">
        <v>140192</v>
      </c>
      <c r="D4" s="6" t="n">
        <v>123417</v>
      </c>
      <c r="E4" s="6" t="n">
        <v>111377</v>
      </c>
      <c r="F4" s="6" t="n">
        <v>106687</v>
      </c>
    </row>
    <row r="5" ht="60" customHeight="1">
      <c r="A5" s="7" t="inlineStr">
        <is>
          <t>Note: Tier 2 capital comprises qualifying subordinated liabilities (plus, in FY2023/FY2022, a small IFRS 9 ECL regulatory-capital adjustment disclosed by the Bank).</t>
        </is>
      </c>
    </row>
    <row r="7" ht="140" customHeight="1">
      <c r="A7" s="8" t="inlineStr">
        <is>
          <t>Sources - Habib Bank Zurich Plc does not publish a standalone Pillar 3 disclosure (no such document was locatable on the Bank's own site, via Wayback Machine, or via web search this session); figures are the Bank's own regulatory-capital and liquidity disclosures from its statutory Annual Report and Financial Statements (company 08864609), Notes to the Financial Statements:
FY2025 &amp; FY2024: Note 31.25 'Capital Management and Risk' p.106 (CET1/Tier 1/Total Capital) and Note 31.21 'Liquidity Risk Management' p.104 (LCR, average-for-period basis) of the FY2025 Annual Report - https://find-and-update.company-information.service.gov.uk/company/08864609/filing-history/MzUyNTkxNzE0NGFkaXF6a2N4/document?format=pdf&amp;download=0
FY2023 &amp; FY2022: Note 31.25 p.106 and Note 31.21 p.104 of the FY2023 Annual Report - https://find-and-update.company-information.service.gov.uk/company/08864609/filing-history/MzQxOTMzMTc3MGFkaXF6a2N4/document?format=pdf&amp;download=0
FY2021: Note 31.25 p.107 and Note 31.21 p.103 of the FY2021 Annual Report - https://find-and-update.company-information.service.gov.uk/company/08864609/filing-history/MzM0MjYxMTQxOWFkaXF6a2N4/document?format=pdf&amp;download=0
No Additional Tier 1 capital is disclosed in any year (Tier 1 = CET1 throughout, per the Bank's own 'Common equity Tier 1 (CET1) capital' labelling in the FY2023 Annual Report's capital note). No RWA figure is disclosed in any year, so CET1/Tier 1/Total Capital Ratios, Leverage Ratio and NSFR cannot be computed from the statutory accounts; MREL is not disclosed (Habib Bank Zurich Plc is not identified as a UK resolution entity in these accounts).</t>
        </is>
      </c>
    </row>
  </sheetData>
  <mergeCells count="2">
    <mergeCell ref="A5:F5"/>
    <mergeCell ref="A7:F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Habib Bank Zurich Plc — Total Capital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 RWA figure is disclosed in any year's statutory accounts, so this ratio cannot be computed.</t>
        </is>
      </c>
    </row>
    <row r="7" ht="150" customHeight="1">
      <c r="A7" s="8" t="inlineStr">
        <is>
          <t>Sources - Habib Bank Zurich Plc does not publish a standalone Pillar 3 disclosure (no such document was locatable on the Bank's own site, via Wayback Machine, or via web search this session); figures are the Bank's own regulatory-capital and liquidity disclosures from its statutory Annual Report and Financial Statements (company 08864609), Notes to the Financial Statements:
FY2025 &amp; FY2024: Note 31.25 'Capital Management and Risk' p.106 (CET1/Tier 1/Total Capital) and Note 31.21 'Liquidity Risk Management' p.104 (LCR, average-for-period basis) of the FY2025 Annual Report - https://find-and-update.company-information.service.gov.uk/company/08864609/filing-history/MzUyNTkxNzE0NGFkaXF6a2N4/document?format=pdf&amp;download=0
FY2023 &amp; FY2022: Note 31.25 p.106 and Note 31.21 p.104 of the FY2023 Annual Report - https://find-and-update.company-information.service.gov.uk/company/08864609/filing-history/MzQxOTMzMTc3MGFkaXF6a2N4/document?format=pdf&amp;download=0
FY2021: Note 31.25 p.107 and Note 31.21 p.103 of the FY2021 Annual Report - https://find-and-update.company-information.service.gov.uk/company/08864609/filing-history/MzM0MjYxMTQxOWFkaXF6a2N4/document?format=pdf&amp;download=0
No Additional Tier 1 capital is disclosed in any year (Tier 1 = CET1 throughout, per the Bank's own 'Common equity Tier 1 (CET1) capital' labelling in the FY2023 Annual Report's capital note). No RWA figure is disclosed in any year, so CET1/Tier 1/Total Capital Ratios, Leverage Ratio and NSFR cannot be computed from the statutory accounts; MREL is not disclosed (Habib Bank Zurich Plc is not identified as a UK resolution entity in these accounts).</t>
        </is>
      </c>
    </row>
  </sheetData>
  <mergeCells count="2">
    <mergeCell ref="A5:F5"/>
    <mergeCell ref="A7:F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Habib Bank Zurich Plc — Total RWAs</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Total RWAs</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Not disclosed in any year's statutory accounts.</t>
        </is>
      </c>
    </row>
    <row r="7" ht="150" customHeight="1">
      <c r="A7" s="8" t="inlineStr">
        <is>
          <t>Sources - Habib Bank Zurich Plc does not publish a standalone Pillar 3 disclosure (no such document was locatable on the Bank's own site, via Wayback Machine, or via web search this session); figures are the Bank's own regulatory-capital and liquidity disclosures from its statutory Annual Report and Financial Statements (company 08864609), Notes to the Financial Statements:
FY2025 &amp; FY2024: Note 31.25 'Capital Management and Risk' p.106 (CET1/Tier 1/Total Capital) and Note 31.21 'Liquidity Risk Management' p.104 (LCR, average-for-period basis) of the FY2025 Annual Report - https://find-and-update.company-information.service.gov.uk/company/08864609/filing-history/MzUyNTkxNzE0NGFkaXF6a2N4/document?format=pdf&amp;download=0
FY2023 &amp; FY2022: Note 31.25 p.106 and Note 31.21 p.104 of the FY2023 Annual Report - https://find-and-update.company-information.service.gov.uk/company/08864609/filing-history/MzQxOTMzMTc3MGFkaXF6a2N4/document?format=pdf&amp;download=0
FY2021: Note 31.25 p.107 and Note 31.21 p.103 of the FY2021 Annual Report - https://find-and-update.company-information.service.gov.uk/company/08864609/filing-history/MzM0MjYxMTQxOWFkaXF6a2N4/document?format=pdf&amp;download=0
No Additional Tier 1 capital is disclosed in any year (Tier 1 = CET1 throughout, per the Bank's own 'Common equity Tier 1 (CET1) capital' labelling in the FY2023 Annual Report's capital note). No RWA figure is disclosed in any year, so CET1/Tier 1/Total Capital Ratios, Leverage Ratio and NSFR cannot be computed from the statutory accounts; MREL is not disclosed (Habib Bank Zurich Plc is not identified as a UK resolution entity in these accounts).</t>
        </is>
      </c>
    </row>
  </sheetData>
  <mergeCells count="2">
    <mergeCell ref="A5:F5"/>
    <mergeCell ref="A7:F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s>
  <sheetData>
    <row r="1">
      <c r="A1" s="1" t="inlineStr">
        <is>
          <t>Habib Bank Zurich Plc — RWA Breakdown</t>
        </is>
      </c>
    </row>
    <row r="2">
      <c r="A2" s="2" t="inlineStr">
        <is>
          <t>See source note - no RWA figure of any kind is published for this entity.</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6" t="inlineStr">
        <is>
          <t>Not publicly disclosed - Habib Bank Zurich Plc does not publish a standalone Pillar 3 disclosure and no RWA figure (aggregate or by risk category) appears in any year's statutory accounts, confirmed by reading each year's capital management note (31.25) in full.</t>
        </is>
      </c>
      <c r="B4" s="6" t="n"/>
      <c r="C4" s="6" t="n"/>
      <c r="D4" s="6" t="n"/>
      <c r="E4" s="6" t="n"/>
      <c r="F4" s="6" t="n"/>
    </row>
    <row r="6" ht="220" customHeight="1">
      <c r="A6" s="8" t="inlineStr">
        <is>
          <t>Sources - Habib Bank Zurich Plc does not publish a standalone Pillar 3 disclosure (no such document was locatable on the Bank's own site, via Wayback Machine, or via web search this session); figures are the Bank's own regulatory-capital and liquidity disclosures from its statutory Annual Report and Financial Statements (company 08864609), Notes to the Financial Statements:
FY2025 &amp; FY2024: Note 31.25 'Capital Management and Risk' p.106 (CET1/Tier 1/Total Capital) and Note 31.21 'Liquidity Risk Management' p.104 (LCR, average-for-period basis) of the FY2025 Annual Report - https://find-and-update.company-information.service.gov.uk/company/08864609/filing-history/MzUyNTkxNzE0NGFkaXF6a2N4/document?format=pdf&amp;download=0
FY2023 &amp; FY2022: Note 31.25 p.106 and Note 31.21 p.104 of the FY2023 Annual Report - https://find-and-update.company-information.service.gov.uk/company/08864609/filing-history/MzQxOTMzMTc3MGFkaXF6a2N4/document?format=pdf&amp;download=0
FY2021: Note 31.25 p.107 and Note 31.21 p.103 of the FY2021 Annual Report - https://find-and-update.company-information.service.gov.uk/company/08864609/filing-history/MzM0MjYxMTQxOWFkaXF6a2N4/document?format=pdf&amp;download=0
No Additional Tier 1 capital is disclosed in any year (Tier 1 = CET1 throughout, per the Bank's own 'Common equity Tier 1 (CET1) capital' labelling in the FY2023 Annual Report's capital note). No RWA figure is disclosed in any year, so CET1/Tier 1/Total Capital Ratios, Leverage Ratio and NSFR cannot be computed from the statutory accounts; MREL is not disclosed (Habib Bank Zurich Plc is not identified as a UK resolution entity in these accounts).</t>
        </is>
      </c>
    </row>
  </sheetData>
  <mergeCells count="1">
    <mergeCell ref="A6:F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Habib Bank Zurich Plc — Leverage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Leverage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 leverage exposure measure is disclosed in any year's statutory accounts.</t>
        </is>
      </c>
    </row>
    <row r="7" ht="150" customHeight="1">
      <c r="A7" s="8" t="inlineStr">
        <is>
          <t>Sources - Habib Bank Zurich Plc does not publish a standalone Pillar 3 disclosure (no such document was locatable on the Bank's own site, via Wayback Machine, or via web search this session); figures are the Bank's own regulatory-capital and liquidity disclosures from its statutory Annual Report and Financial Statements (company 08864609), Notes to the Financial Statements:
FY2025 &amp; FY2024: Note 31.25 'Capital Management and Risk' p.106 (CET1/Tier 1/Total Capital) and Note 31.21 'Liquidity Risk Management' p.104 (LCR, average-for-period basis) of the FY2025 Annual Report - https://find-and-update.company-information.service.gov.uk/company/08864609/filing-history/MzUyNTkxNzE0NGFkaXF6a2N4/document?format=pdf&amp;download=0
FY2023 &amp; FY2022: Note 31.25 p.106 and Note 31.21 p.104 of the FY2023 Annual Report - https://find-and-update.company-information.service.gov.uk/company/08864609/filing-history/MzQxOTMzMTc3MGFkaXF6a2N4/document?format=pdf&amp;download=0
FY2021: Note 31.25 p.107 and Note 31.21 p.103 of the FY2021 Annual Report - https://find-and-update.company-information.service.gov.uk/company/08864609/filing-history/MzM0MjYxMTQxOWFkaXF6a2N4/document?format=pdf&amp;download=0
No Additional Tier 1 capital is disclosed in any year (Tier 1 = CET1 throughout, per the Bank's own 'Common equity Tier 1 (CET1) capital' labelling in the FY2023 Annual Report's capital note). No RWA figure is disclosed in any year, so CET1/Tier 1/Total Capital Ratios, Leverage Ratio and NSFR cannot be computed from the statutory accounts; MREL is not disclosed (Habib Bank Zurich Plc is not identified as a UK resolution entity in these accounts).</t>
        </is>
      </c>
    </row>
  </sheetData>
  <mergeCells count="2">
    <mergeCell ref="A5:F5"/>
    <mergeCell ref="A7:F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Habib Bank Zurich Plc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Liquidity Coverage Ratio (average for the period)</t>
        </is>
      </c>
      <c r="B4" s="6" t="inlineStr">
        <is>
          <t>232%</t>
        </is>
      </c>
      <c r="C4" s="6" t="inlineStr">
        <is>
          <t>287%</t>
        </is>
      </c>
      <c r="D4" s="6" t="inlineStr">
        <is>
          <t>196%</t>
        </is>
      </c>
      <c r="E4" s="6" t="inlineStr">
        <is>
          <t>205%</t>
        </is>
      </c>
      <c r="F4" s="6" t="inlineStr">
        <is>
          <t>159%</t>
        </is>
      </c>
    </row>
    <row r="5" ht="60" customHeight="1">
      <c r="A5" s="7" t="inlineStr">
        <is>
          <t>Note: The Bank discloses LCR on 4 bases each year (as at 31 December, average/maximum/minimum for the period); the average-for-the-period figure is used for consistency with this project's convention elsewhere. As-at-31-December figures are higher every year (e.g. FY2025 180%, FY2024 243%).</t>
        </is>
      </c>
    </row>
    <row r="7" ht="140" customHeight="1">
      <c r="A7" s="8" t="inlineStr">
        <is>
          <t>Sources - Habib Bank Zurich Plc does not publish a standalone Pillar 3 disclosure (no such document was locatable on the Bank's own site, via Wayback Machine, or via web search this session); figures are the Bank's own regulatory-capital and liquidity disclosures from its statutory Annual Report and Financial Statements (company 08864609), Notes to the Financial Statements:
FY2025 &amp; FY2024: Note 31.25 'Capital Management and Risk' p.106 (CET1/Tier 1/Total Capital) and Note 31.21 'Liquidity Risk Management' p.104 (LCR, average-for-period basis) of the FY2025 Annual Report - https://find-and-update.company-information.service.gov.uk/company/08864609/filing-history/MzUyNTkxNzE0NGFkaXF6a2N4/document?format=pdf&amp;download=0
FY2023 &amp; FY2022: Note 31.25 p.106 and Note 31.21 p.104 of the FY2023 Annual Report - https://find-and-update.company-information.service.gov.uk/company/08864609/filing-history/MzQxOTMzMTc3MGFkaXF6a2N4/document?format=pdf&amp;download=0
FY2021: Note 31.25 p.107 and Note 31.21 p.103 of the FY2021 Annual Report - https://find-and-update.company-information.service.gov.uk/company/08864609/filing-history/MzM0MjYxMTQxOWFkaXF6a2N4/document?format=pdf&amp;download=0
No Additional Tier 1 capital is disclosed in any year (Tier 1 = CET1 throughout, per the Bank's own 'Common equity Tier 1 (CET1) capital' labelling in the FY2023 Annual Report's capital note). No RWA figure is disclosed in any year, so CET1/Tier 1/Total Capital Ratios, Leverage Ratio and NSFR cannot be computed from the statutory accounts; MREL is not disclosed (Habib Bank Zurich Plc is not identified as a UK resolution entity in these accounts).</t>
        </is>
      </c>
    </row>
  </sheetData>
  <mergeCells count="2">
    <mergeCell ref="A5:F5"/>
    <mergeCell ref="A7:F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Habib Bank Zurich Plc — NSFR</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NSFR</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Not disclosed in any year's statutory accounts.</t>
        </is>
      </c>
    </row>
    <row r="7" ht="150" customHeight="1">
      <c r="A7" s="8" t="inlineStr">
        <is>
          <t>Sources - Habib Bank Zurich Plc does not publish a standalone Pillar 3 disclosure (no such document was locatable on the Bank's own site, via Wayback Machine, or via web search this session); figures are the Bank's own regulatory-capital and liquidity disclosures from its statutory Annual Report and Financial Statements (company 08864609), Notes to the Financial Statements:
FY2025 &amp; FY2024: Note 31.25 'Capital Management and Risk' p.106 (CET1/Tier 1/Total Capital) and Note 31.21 'Liquidity Risk Management' p.104 (LCR, average-for-period basis) of the FY2025 Annual Report - https://find-and-update.company-information.service.gov.uk/company/08864609/filing-history/MzUyNTkxNzE0NGFkaXF6a2N4/document?format=pdf&amp;download=0
FY2023 &amp; FY2022: Note 31.25 p.106 and Note 31.21 p.104 of the FY2023 Annual Report - https://find-and-update.company-information.service.gov.uk/company/08864609/filing-history/MzQxOTMzMTc3MGFkaXF6a2N4/document?format=pdf&amp;download=0
FY2021: Note 31.25 p.107 and Note 31.21 p.103 of the FY2021 Annual Report - https://find-and-update.company-information.service.gov.uk/company/08864609/filing-history/MzM0MjYxMTQxOWFkaXF6a2N4/document?format=pdf&amp;download=0
No Additional Tier 1 capital is disclosed in any year (Tier 1 = CET1 throughout, per the Bank's own 'Common equity Tier 1 (CET1) capital' labelling in the FY2023 Annual Report's capital note). No RWA figure is disclosed in any year, so CET1/Tier 1/Total Capital Ratios, Leverage Ratio and NSFR cannot be computed from the statutory accounts; MREL is not disclosed (Habib Bank Zurich Plc is not identified as a UK resolution entity in these accounts).</t>
        </is>
      </c>
    </row>
  </sheetData>
  <mergeCells count="2">
    <mergeCell ref="A5:F5"/>
    <mergeCell ref="A7:F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Habib Bank Zurich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Not disclosed - Habib Bank Zurich Plc is not identified as a UK resolution entity in these accounts.</t>
        </is>
      </c>
    </row>
    <row r="7" ht="150" customHeight="1">
      <c r="A7" s="8" t="inlineStr">
        <is>
          <t>Sources - Habib Bank Zurich Plc does not publish a standalone Pillar 3 disclosure (no such document was locatable on the Bank's own site, via Wayback Machine, or via web search this session); figures are the Bank's own regulatory-capital and liquidity disclosures from its statutory Annual Report and Financial Statements (company 08864609), Notes to the Financial Statements:
FY2025 &amp; FY2024: Note 31.25 'Capital Management and Risk' p.106 (CET1/Tier 1/Total Capital) and Note 31.21 'Liquidity Risk Management' p.104 (LCR, average-for-period basis) of the FY2025 Annual Report - https://find-and-update.company-information.service.gov.uk/company/08864609/filing-history/MzUyNTkxNzE0NGFkaXF6a2N4/document?format=pdf&amp;download=0
FY2023 &amp; FY2022: Note 31.25 p.106 and Note 31.21 p.104 of the FY2023 Annual Report - https://find-and-update.company-information.service.gov.uk/company/08864609/filing-history/MzQxOTMzMTc3MGFkaXF6a2N4/document?format=pdf&amp;download=0
FY2021: Note 31.25 p.107 and Note 31.21 p.103 of the FY2021 Annual Report - https://find-and-update.company-information.service.gov.uk/company/08864609/filing-history/MzM0MjYxMTQxOWFkaXF6a2N4/document?format=pdf&amp;download=0
No Additional Tier 1 capital is disclosed in any year (Tier 1 = CET1 throughout, per the Bank's own 'Common equity Tier 1 (CET1) capital' labelling in the FY2023 Annual Report's capital note). No RWA figure is disclosed in any year, so CET1/Tier 1/Total Capital Ratios, Leverage Ratio and NSFR cannot be computed from the statutory accounts; MREL is not disclosed (Habib Bank Zurich Plc is not identified as a UK resolution entity in these accounts).</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2026-09-03T12:08:17Z</dcterms:created>
  <dcterms:modified xmlns:dcterms="http://purl.org/dc/terms/" xmlns:xsi="http://www.w3.org/2001/XMLSchema-instance" xsi:type="dcterms:W3CDTF">2026-09-03T12:08:17Z</dcterms:modified>
</cp:coreProperties>
</file>