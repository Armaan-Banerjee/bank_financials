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CF0DF5"/>
        <bgColor rgb="00CF0D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Habib Bank Zurich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Habib Bank Zurich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Habib Bank Zurich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56144</v>
      </c>
      <c r="C6" s="5" t="n">
        <v>77571</v>
      </c>
      <c r="D6" s="5" t="n">
        <v>125301</v>
      </c>
      <c r="E6" s="5" t="n">
        <v>-11083</v>
      </c>
      <c r="F6" s="5" t="n">
        <v>72035</v>
      </c>
      <c r="I6" t="inlineStr">
        <is>
          <t>Net cash from/(used in) operating activities</t>
        </is>
      </c>
      <c r="J6" t="n">
        <v>72035</v>
      </c>
      <c r="K6" t="n">
        <v>-11083</v>
      </c>
      <c r="L6" t="n">
        <v>125301</v>
      </c>
      <c r="M6" t="n">
        <v>77571</v>
      </c>
      <c r="N6" t="n">
        <v>56144</v>
      </c>
      <c r="Q6" t="inlineStr">
        <is>
          <t>LCR (average, %)</t>
        </is>
      </c>
      <c r="R6" t="n">
        <v>159</v>
      </c>
      <c r="S6" t="n">
        <v>205</v>
      </c>
      <c r="T6" t="n">
        <v>196</v>
      </c>
      <c r="U6" t="n">
        <v>287</v>
      </c>
      <c r="V6" t="n">
        <v>232</v>
      </c>
    </row>
    <row r="7">
      <c r="A7" s="5" t="inlineStr">
        <is>
          <t>Net cash from/(used in) investing activities</t>
        </is>
      </c>
      <c r="B7" s="5" t="n">
        <v>8897</v>
      </c>
      <c r="C7" s="5" t="n">
        <v>-64522</v>
      </c>
      <c r="D7" s="5" t="n">
        <v>-19648</v>
      </c>
      <c r="E7" s="5" t="n">
        <v>21301</v>
      </c>
      <c r="F7" s="5" t="n">
        <v>-72353</v>
      </c>
      <c r="I7" t="inlineStr">
        <is>
          <t>Net cash from/(used in) investing activities</t>
        </is>
      </c>
      <c r="J7" t="n">
        <v>-72353</v>
      </c>
      <c r="K7" t="n">
        <v>21301</v>
      </c>
      <c r="L7" t="n">
        <v>-19648</v>
      </c>
      <c r="M7" t="n">
        <v>-64522</v>
      </c>
      <c r="N7" t="n">
        <v>8897</v>
      </c>
    </row>
    <row r="8">
      <c r="A8" s="5" t="inlineStr">
        <is>
          <t>Net cash from/(used in) financing activities</t>
        </is>
      </c>
      <c r="B8" s="5" t="n">
        <v>-6204</v>
      </c>
      <c r="C8" s="5" t="n">
        <v>3989</v>
      </c>
      <c r="D8" s="5" t="n">
        <v>-1623</v>
      </c>
      <c r="E8" s="5" t="n">
        <v>-2401</v>
      </c>
      <c r="F8" s="5" t="n">
        <v>9597</v>
      </c>
      <c r="I8" t="inlineStr">
        <is>
          <t>Net cash from/(used in) financing activities</t>
        </is>
      </c>
      <c r="J8" t="n">
        <v>9597</v>
      </c>
      <c r="K8" t="n">
        <v>-2401</v>
      </c>
      <c r="L8" t="n">
        <v>-1623</v>
      </c>
      <c r="M8" t="n">
        <v>3989</v>
      </c>
      <c r="N8" t="n">
        <v>-6204</v>
      </c>
    </row>
    <row r="9">
      <c r="A9" s="5" t="inlineStr">
        <is>
          <t>Cash and cash equivalents at end of year</t>
        </is>
      </c>
      <c r="B9" s="5" t="n">
        <v>291217</v>
      </c>
      <c r="C9" s="5" t="n">
        <v>232380</v>
      </c>
      <c r="D9" s="5" t="n">
        <v>215342</v>
      </c>
      <c r="E9" s="5" t="n">
        <v>96506</v>
      </c>
      <c r="F9" s="5" t="n">
        <v>88689</v>
      </c>
      <c r="I9" t="inlineStr">
        <is>
          <t>Cash and cash equivalents at end of year</t>
        </is>
      </c>
      <c r="J9" t="n">
        <v>88689</v>
      </c>
      <c r="K9" t="n">
        <v>96506</v>
      </c>
      <c r="L9" t="n">
        <v>215342</v>
      </c>
      <c r="M9" t="n">
        <v>232380</v>
      </c>
      <c r="N9" t="n">
        <v>291217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LCR (average, %)</t>
        </is>
      </c>
      <c r="B13" s="6" t="n">
        <v>232</v>
      </c>
      <c r="C13" s="6" t="n">
        <v>287</v>
      </c>
      <c r="D13" s="6" t="n">
        <v>196</v>
      </c>
      <c r="E13" s="6" t="n">
        <v>205</v>
      </c>
      <c r="F13" s="6" t="n">
        <v>159</v>
      </c>
    </row>
    <row r="15" ht="45" customHeight="1">
      <c r="A15" s="7" t="inlineStr">
        <is>
          <t>Note: Only LCR is charted here - CET1/Tier 1/Total Capital Ratio, Leverage Ratio, NSFR and MREL Ratio are not disclosed in this entity's statutory accounts (no standalone Pillar 3 document exists and no RWA figure is published); see the individual Pillar 3 metric sheets. Figures are duplicated from the detail sheets for at-a-glance trend viewing; see each sheet's own source citation for the underlying document/page.</t>
        </is>
      </c>
    </row>
  </sheetData>
  <mergeCells count="1"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Cash Flow Statement</t>
        </is>
      </c>
    </row>
    <row r="2">
      <c r="A2" s="2" t="inlineStr">
        <is>
          <t>Figures as reported in each year's own Annual Report and Financial Statements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13390</v>
      </c>
      <c r="C5" s="6" t="n">
        <v>14975</v>
      </c>
      <c r="D5" s="6" t="n">
        <v>13287</v>
      </c>
      <c r="E5" s="6" t="n">
        <v>6379</v>
      </c>
      <c r="F5" s="6" t="n">
        <v>3849</v>
      </c>
    </row>
    <row r="6">
      <c r="A6" s="6" t="inlineStr">
        <is>
          <t>(Reversals)/impairment losses on loans and advances at amortised cost</t>
        </is>
      </c>
      <c r="B6" s="6" t="n">
        <v>-937</v>
      </c>
      <c r="C6" s="6" t="n">
        <v>-1183</v>
      </c>
      <c r="D6" s="6" t="n">
        <v>-866</v>
      </c>
      <c r="E6" s="6" t="n">
        <v>684</v>
      </c>
      <c r="F6" s="6" t="n">
        <v>-68</v>
      </c>
    </row>
    <row r="7">
      <c r="A7" s="6" t="inlineStr">
        <is>
          <t>(Gain)/loss on sale of financial assets at FVOCI</t>
        </is>
      </c>
      <c r="B7" s="6" t="n">
        <v>-508</v>
      </c>
      <c r="C7" s="6" t="n"/>
      <c r="D7" s="6" t="n"/>
      <c r="E7" s="6" t="n">
        <v>92</v>
      </c>
      <c r="F7" s="6" t="n">
        <v>-114</v>
      </c>
    </row>
    <row r="8">
      <c r="A8" s="6" t="inlineStr">
        <is>
          <t>Depreciation</t>
        </is>
      </c>
      <c r="B8" s="6" t="n">
        <v>1475</v>
      </c>
      <c r="C8" s="6" t="n">
        <v>1341</v>
      </c>
      <c r="D8" s="6" t="n">
        <v>1510</v>
      </c>
      <c r="E8" s="6" t="n">
        <v>1119</v>
      </c>
      <c r="F8" s="6" t="n">
        <v>933</v>
      </c>
    </row>
    <row r="9">
      <c r="A9" s="6" t="inlineStr">
        <is>
          <t>Gain on sale of property and equipment</t>
        </is>
      </c>
      <c r="B9" s="6" t="n"/>
      <c r="C9" s="6" t="n"/>
      <c r="D9" s="6" t="n"/>
      <c r="E9" s="6" t="n"/>
      <c r="F9" s="6" t="n">
        <v>-1</v>
      </c>
    </row>
    <row r="10">
      <c r="A10" s="5" t="inlineStr">
        <is>
          <t>Profit before tax adjusted for non-cash items</t>
        </is>
      </c>
      <c r="B10" s="5" t="n">
        <v>13420</v>
      </c>
      <c r="C10" s="5" t="n">
        <v>15133</v>
      </c>
      <c r="D10" s="5" t="n">
        <v>13931</v>
      </c>
      <c r="E10" s="5" t="n">
        <v>8274</v>
      </c>
      <c r="F10" s="5" t="n">
        <v>4599</v>
      </c>
    </row>
    <row r="11">
      <c r="A11" s="5" t="inlineStr">
        <is>
          <t>Net (increase)/decrease in operating assets</t>
        </is>
      </c>
      <c r="B11" s="6" t="n"/>
      <c r="C11" s="6" t="n"/>
      <c r="D11" s="6" t="n"/>
      <c r="E11" s="6" t="n"/>
      <c r="F11" s="6" t="n"/>
    </row>
    <row r="12">
      <c r="A12" s="6" t="inlineStr">
        <is>
          <t>Loans and advances to banks at amortised cost</t>
        </is>
      </c>
      <c r="B12" s="6" t="n">
        <v>-31608</v>
      </c>
      <c r="C12" s="6" t="n">
        <v>-9363</v>
      </c>
      <c r="D12" s="6" t="n">
        <v>29645</v>
      </c>
      <c r="E12" s="6" t="n">
        <v>-55923</v>
      </c>
      <c r="F12" s="6" t="n">
        <v>11053</v>
      </c>
    </row>
    <row r="13">
      <c r="A13" s="6" t="inlineStr">
        <is>
          <t>Loans and advances to customers at amortised cost</t>
        </is>
      </c>
      <c r="B13" s="6" t="n">
        <v>-117191</v>
      </c>
      <c r="C13" s="6" t="n">
        <v>-49138</v>
      </c>
      <c r="D13" s="6" t="n">
        <v>-30221</v>
      </c>
      <c r="E13" s="6" t="n">
        <v>-87685</v>
      </c>
      <c r="F13" s="6" t="n">
        <v>-58584</v>
      </c>
    </row>
    <row r="14">
      <c r="A14" s="6" t="inlineStr">
        <is>
          <t>Derivative financial instruments for risk management</t>
        </is>
      </c>
      <c r="B14" s="6" t="n">
        <v>-516</v>
      </c>
      <c r="C14" s="6" t="n">
        <v>-125</v>
      </c>
      <c r="D14" s="6" t="n">
        <v>91</v>
      </c>
      <c r="E14" s="6" t="n">
        <v>112</v>
      </c>
      <c r="F14" s="6" t="n">
        <v>312</v>
      </c>
    </row>
    <row r="15">
      <c r="A15" s="6" t="inlineStr">
        <is>
          <t>Other assets</t>
        </is>
      </c>
      <c r="B15" s="6" t="n">
        <v>1037</v>
      </c>
      <c r="C15" s="6" t="n">
        <v>-1011</v>
      </c>
      <c r="D15" s="6" t="n">
        <v>-1651</v>
      </c>
      <c r="E15" s="6" t="n">
        <v>1128</v>
      </c>
      <c r="F15" s="6" t="n">
        <v>-966</v>
      </c>
    </row>
    <row r="16">
      <c r="A16" s="5" t="inlineStr">
        <is>
          <t>Net (increase)/decrease in operating assets</t>
        </is>
      </c>
      <c r="B16" s="5" t="n">
        <v>-148278</v>
      </c>
      <c r="C16" s="5" t="n">
        <v>-59637</v>
      </c>
      <c r="D16" s="5" t="n">
        <v>-2136</v>
      </c>
      <c r="E16" s="5" t="n">
        <v>-142368</v>
      </c>
      <c r="F16" s="5" t="n">
        <v>-48185</v>
      </c>
    </row>
    <row r="17">
      <c r="A17" s="5" t="inlineStr">
        <is>
          <t>Net increase/(decrease) in operating liabilities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Due to banks at amortised cost</t>
        </is>
      </c>
      <c r="B18" s="6" t="n">
        <v>77915</v>
      </c>
      <c r="C18" s="6" t="n">
        <v>-15357</v>
      </c>
      <c r="D18" s="6" t="n">
        <v>-4420</v>
      </c>
      <c r="E18" s="6" t="n">
        <v>22119</v>
      </c>
      <c r="F18" s="6" t="n">
        <v>67056</v>
      </c>
    </row>
    <row r="19">
      <c r="A19" s="6" t="inlineStr">
        <is>
          <t>Due to customers at amortised cost</t>
        </is>
      </c>
      <c r="B19" s="6" t="n">
        <v>119800</v>
      </c>
      <c r="C19" s="6" t="n">
        <v>137112</v>
      </c>
      <c r="D19" s="6" t="n">
        <v>116334</v>
      </c>
      <c r="E19" s="6" t="n">
        <v>97548</v>
      </c>
      <c r="F19" s="6" t="n">
        <v>48364</v>
      </c>
    </row>
    <row r="20">
      <c r="A20" s="6" t="inlineStr">
        <is>
          <t>Derivative financial instruments for risk management</t>
        </is>
      </c>
      <c r="B20" s="6" t="n">
        <v>-23</v>
      </c>
      <c r="C20" s="6" t="n">
        <v>145</v>
      </c>
      <c r="D20" s="6" t="n">
        <v>-187</v>
      </c>
      <c r="E20" s="6" t="n">
        <v>-285</v>
      </c>
      <c r="F20" s="6" t="n">
        <v>156</v>
      </c>
    </row>
    <row r="21">
      <c r="A21" s="6" t="inlineStr">
        <is>
          <t>Accruals, deferred income and other liabilities</t>
        </is>
      </c>
      <c r="B21" s="6" t="n">
        <v>-2295</v>
      </c>
      <c r="C21" s="6" t="n">
        <v>3204</v>
      </c>
      <c r="D21" s="6" t="n">
        <v>2710</v>
      </c>
      <c r="E21" s="6" t="n">
        <v>4453</v>
      </c>
      <c r="F21" s="6" t="n">
        <v>351</v>
      </c>
    </row>
    <row r="22">
      <c r="A22" s="6" t="inlineStr">
        <is>
          <t>Tax paid</t>
        </is>
      </c>
      <c r="B22" s="6" t="n">
        <v>-4395</v>
      </c>
      <c r="C22" s="6" t="n">
        <v>-3029</v>
      </c>
      <c r="D22" s="6" t="n">
        <v>-931</v>
      </c>
      <c r="E22" s="6" t="n">
        <v>-824</v>
      </c>
      <c r="F22" s="6" t="n">
        <v>-306</v>
      </c>
    </row>
    <row r="23">
      <c r="A23" s="5" t="inlineStr">
        <is>
          <t>Net increase/(decrease) in operating liabilities</t>
        </is>
      </c>
      <c r="B23" s="5" t="n">
        <v>191002</v>
      </c>
      <c r="C23" s="5" t="n">
        <v>122075</v>
      </c>
      <c r="D23" s="5" t="n">
        <v>113506</v>
      </c>
      <c r="E23" s="5" t="n">
        <v>123011</v>
      </c>
      <c r="F23" s="5" t="n">
        <v>115621</v>
      </c>
    </row>
    <row r="24">
      <c r="A24" s="5" t="inlineStr">
        <is>
          <t>Net cash flow from operating activities</t>
        </is>
      </c>
      <c r="B24" s="5" t="n">
        <v>56144</v>
      </c>
      <c r="C24" s="5" t="n">
        <v>77571</v>
      </c>
      <c r="D24" s="5" t="n">
        <v>125301</v>
      </c>
      <c r="E24" s="5" t="n">
        <v>-11083</v>
      </c>
      <c r="F24" s="5" t="n">
        <v>72035</v>
      </c>
    </row>
    <row r="25">
      <c r="A25" s="5" t="inlineStr">
        <is>
          <t>Investing activities</t>
        </is>
      </c>
      <c r="B25" s="6" t="n"/>
      <c r="C25" s="6" t="n"/>
      <c r="D25" s="6" t="n"/>
      <c r="E25" s="6" t="n"/>
      <c r="F25" s="6" t="n"/>
    </row>
    <row r="26">
      <c r="A26" s="6" t="inlineStr">
        <is>
          <t>Purchase of property and equipment</t>
        </is>
      </c>
      <c r="B26" s="6" t="n">
        <v>-313</v>
      </c>
      <c r="C26" s="6" t="n">
        <v>-193</v>
      </c>
      <c r="D26" s="6" t="n">
        <v>-1437</v>
      </c>
      <c r="E26" s="6" t="n">
        <v>-8990</v>
      </c>
      <c r="F26" s="6" t="n">
        <v>-652</v>
      </c>
    </row>
    <row r="27">
      <c r="A27" s="6" t="inlineStr">
        <is>
          <t>Proceeds on sale of property and equipment</t>
        </is>
      </c>
      <c r="B27" s="6" t="n"/>
      <c r="C27" s="6" t="n"/>
      <c r="D27" s="6" t="n"/>
      <c r="E27" s="6" t="n">
        <v>0</v>
      </c>
      <c r="F27" s="6" t="n">
        <v>1</v>
      </c>
    </row>
    <row r="28">
      <c r="A28" s="6" t="inlineStr">
        <is>
          <t>Intangible assets under development</t>
        </is>
      </c>
      <c r="B28" s="6" t="n">
        <v>-808</v>
      </c>
      <c r="C28" s="6" t="n"/>
      <c r="D28" s="6" t="n"/>
      <c r="E28" s="6" t="n"/>
      <c r="F28" s="6" t="n"/>
    </row>
    <row r="29">
      <c r="A29" s="6" t="inlineStr">
        <is>
          <t>Purchase of financial investments</t>
        </is>
      </c>
      <c r="B29" s="6" t="n">
        <v>-101174</v>
      </c>
      <c r="C29" s="6" t="n">
        <v>-133828</v>
      </c>
      <c r="D29" s="6" t="n">
        <v>-91617</v>
      </c>
      <c r="E29" s="6" t="n">
        <v>-19234</v>
      </c>
      <c r="F29" s="6" t="n">
        <v>-114123</v>
      </c>
    </row>
    <row r="30">
      <c r="A30" s="6" t="inlineStr">
        <is>
          <t>Proceeds on sale/maturity of financial investments</t>
        </is>
      </c>
      <c r="B30" s="6" t="n">
        <v>111192</v>
      </c>
      <c r="C30" s="6" t="n">
        <v>69499</v>
      </c>
      <c r="D30" s="6" t="n">
        <v>73406</v>
      </c>
      <c r="E30" s="6" t="n">
        <v>49525</v>
      </c>
      <c r="F30" s="6" t="n">
        <v>42421</v>
      </c>
    </row>
    <row r="31">
      <c r="A31" s="5" t="inlineStr">
        <is>
          <t>Net cash from/(used in) investing activities</t>
        </is>
      </c>
      <c r="B31" s="5" t="n">
        <v>8897</v>
      </c>
      <c r="C31" s="5" t="n">
        <v>-64522</v>
      </c>
      <c r="D31" s="5" t="n">
        <v>-19648</v>
      </c>
      <c r="E31" s="5" t="n">
        <v>21301</v>
      </c>
      <c r="F31" s="5" t="n">
        <v>-72353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Capital issuance</t>
        </is>
      </c>
      <c r="B33" s="6" t="n"/>
      <c r="C33" s="6" t="n">
        <v>10000</v>
      </c>
      <c r="D33" s="6" t="n"/>
      <c r="E33" s="6" t="n"/>
      <c r="F33" s="6" t="n">
        <v>10000</v>
      </c>
    </row>
    <row r="34">
      <c r="A34" s="6" t="inlineStr">
        <is>
          <t>Dividend paid</t>
        </is>
      </c>
      <c r="B34" s="6" t="n">
        <v>-5543</v>
      </c>
      <c r="C34" s="6" t="n">
        <v>-4142</v>
      </c>
      <c r="D34" s="6" t="n"/>
      <c r="E34" s="6" t="n">
        <v>-1476</v>
      </c>
      <c r="F34" s="6" t="n"/>
    </row>
    <row r="35">
      <c r="A35" s="6" t="inlineStr">
        <is>
          <t>Leases paid</t>
        </is>
      </c>
      <c r="B35" s="6" t="n">
        <v>-630</v>
      </c>
      <c r="C35" s="6" t="n">
        <v>-461</v>
      </c>
      <c r="D35" s="6" t="n">
        <v>-424</v>
      </c>
      <c r="E35" s="6" t="n">
        <v>-434</v>
      </c>
      <c r="F35" s="6" t="n">
        <v>-432</v>
      </c>
    </row>
    <row r="36">
      <c r="A36" s="6" t="inlineStr">
        <is>
          <t>Interest paid/(charges) on subordinated liabilities</t>
        </is>
      </c>
      <c r="B36" s="6" t="n">
        <v>-31</v>
      </c>
      <c r="C36" s="6" t="n">
        <v>-1408</v>
      </c>
      <c r="D36" s="6" t="n">
        <v>-1199</v>
      </c>
      <c r="E36" s="6" t="n">
        <v>-491</v>
      </c>
      <c r="F36" s="6" t="n">
        <v>29</v>
      </c>
    </row>
    <row r="37">
      <c r="A37" s="5" t="inlineStr">
        <is>
          <t>Net cash from/(used in) financing activities</t>
        </is>
      </c>
      <c r="B37" s="5" t="n">
        <v>-6204</v>
      </c>
      <c r="C37" s="5" t="n">
        <v>3989</v>
      </c>
      <c r="D37" s="5" t="n">
        <v>-1623</v>
      </c>
      <c r="E37" s="5" t="n">
        <v>-2401</v>
      </c>
      <c r="F37" s="5" t="n">
        <v>9597</v>
      </c>
    </row>
    <row r="38">
      <c r="A38" s="5" t="inlineStr">
        <is>
          <t>Net increase in cash and cash equivalents</t>
        </is>
      </c>
      <c r="B38" s="5" t="n">
        <v>58837</v>
      </c>
      <c r="C38" s="5" t="n">
        <v>17038</v>
      </c>
      <c r="D38" s="5" t="n">
        <v>104030</v>
      </c>
      <c r="E38" s="5" t="n">
        <v>7817</v>
      </c>
      <c r="F38" s="5" t="n">
        <v>9279</v>
      </c>
    </row>
    <row r="39">
      <c r="A39" s="6" t="inlineStr">
        <is>
          <t>Cash and cash equivalents at the beginning of the year</t>
        </is>
      </c>
      <c r="B39" s="6" t="n">
        <v>232380</v>
      </c>
      <c r="C39" s="6" t="n">
        <v>215342</v>
      </c>
      <c r="D39" s="6" t="n">
        <v>111312</v>
      </c>
      <c r="E39" s="6" t="n">
        <v>88689</v>
      </c>
      <c r="F39" s="6" t="n">
        <v>79410</v>
      </c>
    </row>
    <row r="40">
      <c r="A40" s="5" t="inlineStr">
        <is>
          <t>Cash and cash equivalents at the end of the year</t>
        </is>
      </c>
      <c r="B40" s="5" t="n">
        <v>291217</v>
      </c>
      <c r="C40" s="5" t="n">
        <v>232380</v>
      </c>
      <c r="D40" s="5" t="n">
        <v>215342</v>
      </c>
      <c r="E40" s="5" t="n">
        <v>96506</v>
      </c>
      <c r="F40" s="5" t="n">
        <v>88689</v>
      </c>
    </row>
    <row r="42" ht="210" customHeight="1">
      <c r="A42" s="8" t="inlineStr">
        <is>
          <t>Sources - Habib Bank Zurich Plc's own Cash Flow Statement, from each year's Companies House-filed Annual Report and Financial Statements (company 08864609):
FY2025 &amp; FY2024: Annual Report and Financial Statements for the year ended 31 December 2025, Cash Flow Statement, p.59 - https://find-and-update.company-information.service.gov.uk/company/08864609/filing-history/MzUyNTkxNzE0NGFkaXF6a2N4/document?format=pdf&amp;download=0
FY2023: Annual Report and Financial Statements for the year ended 31 December 2023, Cash Flow Statement, p.58 (FY2023's own originally-published figures used; not the FY2022 comparative shown here - see note below) - https://find-and-update.company-information.service.gov.uk/company/08864609/filing-history/MzQxOTMzMTc3MGFkaXF6a2N4/document?format=pdf&amp;download=0
FY2022: Annual Report and Financial Statements for the year ended 31 December 2022, Cash Flow Statement, p.54 (FY2022's own originally-published figures used) - https://find-and-update.company-information.service.gov.uk/company/08864609/filing-history/MzM4MjUzMDg5N2FkaXF6a2N4/document?format=pdf&amp;download=0
FY2021: Annual Report and Financial Statements for the year ended 31 December 2021, Cash Flow Statement, p.52 - https://find-and-update.company-information.service.gov.uk/company/08864609/filing-history/MzM0MjYxMTQxOWFkaXF6a2N4/document?format=pdf&amp;download=0
DATA NOTE - FY2022/FY2023 opening-vs-closing cash gap (£14,806k): the FY2022 Annual Report's own originally-published cash flow statement (p.54) shows FY2022 closing cash of £96,506k, driven by a 'Due to banks' operating-liability movement of £22,119k and 'Accruals, deferred income and other liabilities' of £4,453k. The FY2023 Annual Report's FY2022 comparative (p.58) restates these to £36,925k and £3,429k respectively (a £14,806k net reclassification, with a matching £1,024k offset between 'Accruals' and 'Loans and advances to customers'), producing a restated FY2022 closing cash of £111,312k that reconciles onto FY2023's own opening balance. Per this project's convention, each year keeps its own originally-published figures (FY2022 = FY2022 AR's figures throughout) rather than a later restated comparative, so the FY2022-to-FY2023 opening/closing bridge does not tie by £14,806k - this is a traced, disclosed reclassification, not an error.</t>
        </is>
      </c>
    </row>
  </sheetData>
  <mergeCells count="1">
    <mergeCell ref="A42:F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124587</v>
      </c>
      <c r="C4" s="6" t="n">
        <v>119896</v>
      </c>
      <c r="D4" s="6" t="n">
        <v>103077</v>
      </c>
      <c r="E4" s="6" t="n">
        <v>90525</v>
      </c>
      <c r="F4" s="6" t="n">
        <v>86301</v>
      </c>
    </row>
    <row r="5" ht="60" customHeight="1">
      <c r="A5" s="7" t="inlineStr">
        <is>
          <t>Note: No Additional Tier 1 capital is disclosed in any year, so CET1 = Tier 1 capital throughout.</t>
        </is>
      </c>
    </row>
    <row r="7" ht="14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RWA figure is disclosed in any year's statutory accounts, so this ratio cannot be computed.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124587</v>
      </c>
      <c r="C4" s="6" t="n">
        <v>119896</v>
      </c>
      <c r="D4" s="6" t="n">
        <v>103077</v>
      </c>
      <c r="E4" s="6" t="n">
        <v>90525</v>
      </c>
      <c r="F4" s="6" t="n">
        <v>86301</v>
      </c>
    </row>
    <row r="5" ht="60" customHeight="1">
      <c r="A5" s="7" t="inlineStr">
        <is>
          <t>Note: Equal to CET1 capital - no Additional Tier 1 instruments are disclosed in any year.</t>
        </is>
      </c>
    </row>
    <row r="7" ht="14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RWA figure is disclosed in any year's statutory accounts, so this ratio cannot be computed.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Own funds (Tier 1 + Tier 2 capital)</t>
        </is>
      </c>
      <c r="B4" s="6" t="n">
        <v>144852</v>
      </c>
      <c r="C4" s="6" t="n">
        <v>140192</v>
      </c>
      <c r="D4" s="6" t="n">
        <v>123417</v>
      </c>
      <c r="E4" s="6" t="n">
        <v>111377</v>
      </c>
      <c r="F4" s="6" t="n">
        <v>106687</v>
      </c>
    </row>
    <row r="5" ht="60" customHeight="1">
      <c r="A5" s="7" t="inlineStr">
        <is>
          <t>Note: Tier 2 capital comprises qualifying subordinated liabilities (plus, in FY2023/FY2022, a small IFRS 9 ECL regulatory-capital adjustment disclosed by the Bank).</t>
        </is>
      </c>
    </row>
    <row r="7" ht="14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RWA figure is disclosed in any year's statutory accounts, so this ratio cannot be computed.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year's statutory accounts.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leverage exposure measure is disclosed in any year's statutory accounts.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(average for the period)</t>
        </is>
      </c>
      <c r="B4" s="6" t="inlineStr">
        <is>
          <t>232%</t>
        </is>
      </c>
      <c r="C4" s="6" t="inlineStr">
        <is>
          <t>287%</t>
        </is>
      </c>
      <c r="D4" s="6" t="inlineStr">
        <is>
          <t>196%</t>
        </is>
      </c>
      <c r="E4" s="6" t="inlineStr">
        <is>
          <t>205%</t>
        </is>
      </c>
      <c r="F4" s="6" t="inlineStr">
        <is>
          <t>159%</t>
        </is>
      </c>
    </row>
    <row r="5" ht="60" customHeight="1">
      <c r="A5" s="7" t="inlineStr">
        <is>
          <t>Note: The Bank discloses LCR on 4 bases each year (as at 31 December, average/maximum/minimum for the period); the average-for-the-period figure is used for consistency with this project's convention elsewhere. As-at-31-December figures are higher every year (e.g. FY2025 180%, FY2024 243%).</t>
        </is>
      </c>
    </row>
    <row r="7" ht="14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year's statutory accounts.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Habib Bank Zurich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- Habib Bank Zurich Plc is not identified as a UK resolution entity in these accounts.</t>
        </is>
      </c>
    </row>
    <row r="7" ht="150" customHeight="1">
      <c r="A7" s="8" t="inlineStr">
        <is>
          <t>Sources - Habib Bank Zurich Plc does not publish a standalone Pillar 3 disclosure (no such document was locatable on the Bank's own site, via Wayback Machine, or via web search this session); figures are the Bank's own regulatory-capital and liquidity disclosures from its statutory Annual Report and Financial Statements (company 08864609), Notes to the Financial Statements:
FY2025 &amp; FY2024: Note 31.25 'Capital Management and Risk' p.106 (CET1/Tier 1/Total Capital) and Note 31.21 'Liquidity Risk Management' p.104 (LCR, average-for-period basis) of the FY2025 Annual Report - https://find-and-update.company-information.service.gov.uk/company/08864609/filing-history/MzUyNTkxNzE0NGFkaXF6a2N4/document?format=pdf&amp;download=0
FY2023 &amp; FY2022: Note 31.25 p.106 and Note 31.21 p.104 of the FY2023 Annual Report - https://find-and-update.company-information.service.gov.uk/company/08864609/filing-history/MzQxOTMzMTc3MGFkaXF6a2N4/document?format=pdf&amp;download=0
FY2021: Note 31.25 p.107 and Note 31.21 p.103 of the FY2021 Annual Report - https://find-and-update.company-information.service.gov.uk/company/08864609/filing-history/MzM0MjYxMTQxOWFkaXF6a2N4/document?format=pdf&amp;download=0
No Additional Tier 1 capital is disclosed in any year (Tier 1 = CET1 throughout, per the Bank's own 'Common equity Tier 1 (CET1) capital' labelling in the FY2023 Annual Report's capital note). No RWA figure is disclosed in any year, so CET1/Tier 1/Total Capital Ratios, Leverage Ratio and NSFR cannot be computed from the statutory accounts; MREL is not disclosed (Habib Bank Zurich Plc is not identified as a UK resolution entity in these accounts).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2026-08-28T14:12:27Z</dcterms:created>
  <dcterms:modified xmlns:dcterms="http://purl.org/dc/terms/" xmlns:xsi="http://www.w3.org/2001/XMLSchema-instance" xsi:type="dcterms:W3CDTF">2026-08-28T14:12:27Z</dcterms:modified>
</cp:coreProperties>
</file>