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C3D54"/>
        <bgColor rgb="009C3D5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Turkish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Turkish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ser>
          <idx val="2"/>
          <order val="2"/>
          <tx>
            <strRef>
              <f>'Overview'!Q14</f>
            </strRef>
          </tx>
          <spPr>
            <a:ln xmlns:a="http://schemas.openxmlformats.org/drawingml/2006/main">
              <a:prstDash val="solid"/>
            </a:ln>
          </spPr>
          <cat>
            <numRef>
              <f>'Overview'!$R$11:$V$11</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Turkish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Turkish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'Overview'!AG22</f>
            </strRef>
          </tx>
          <spPr>
            <a:ln xmlns:a="http://schemas.openxmlformats.org/drawingml/2006/main">
              <a:prstDash val="solid"/>
            </a:ln>
          </spPr>
          <cat>
            <numRef>
              <f>'Overview'!$AH$21:$AL$21</f>
            </numRef>
          </cat>
          <val>
            <numRef>
              <f>'Overview'!$AH$22:$AL$22</f>
            </numRef>
          </val>
        </ser>
        <ser>
          <idx val="1"/>
          <order val="1"/>
          <tx>
            <strRef>
              <f>'Overview'!AG23</f>
            </strRef>
          </tx>
          <spPr>
            <a:ln xmlns:a="http://schemas.openxmlformats.org/drawingml/2006/main">
              <a:prstDash val="solid"/>
            </a:ln>
          </spPr>
          <cat>
            <numRef>
              <f>'Overview'!$AH$21:$AL$21</f>
            </numRef>
          </cat>
          <val>
            <numRef>
              <f>'Overview'!$AH$23:$AL$23</f>
            </numRef>
          </val>
        </ser>
        <ser>
          <idx val="2"/>
          <order val="2"/>
          <tx>
            <strRef>
              <f>'Overview'!AG24</f>
            </strRef>
          </tx>
          <spPr>
            <a:ln xmlns:a="http://schemas.openxmlformats.org/drawingml/2006/main">
              <a:prstDash val="solid"/>
            </a:ln>
          </spPr>
          <cat>
            <numRef>
              <f>'Overview'!$AH$21:$AL$21</f>
            </numRef>
          </cat>
          <val>
            <numRef>
              <f>'Overview'!$AH$24:$AL$24</f>
            </numRef>
          </val>
        </ser>
        <ser>
          <idx val="3"/>
          <order val="3"/>
          <tx>
            <strRef>
              <f>'Overview'!AG25</f>
            </strRef>
          </tx>
          <spPr>
            <a:ln xmlns:a="http://schemas.openxmlformats.org/drawingml/2006/main">
              <a:prstDash val="solid"/>
            </a:ln>
          </spPr>
          <cat>
            <numRef>
              <f>'Overview'!$AH$21:$AL$21</f>
            </numRef>
          </cat>
          <val>
            <numRef>
              <f>'Overview'!$AH$25:$AL$25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Turkish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Turkish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179731</v>
      </c>
      <c r="C6" s="5" t="n">
        <v>182362</v>
      </c>
      <c r="D6" s="5" t="n">
        <v>185039</v>
      </c>
      <c r="E6" s="5" t="n">
        <v>196554</v>
      </c>
      <c r="F6" s="5" t="n">
        <v>190149</v>
      </c>
      <c r="I6" t="inlineStr">
        <is>
          <t>Total assets</t>
        </is>
      </c>
      <c r="J6" t="n">
        <v>190149</v>
      </c>
      <c r="K6" t="n">
        <v>196554</v>
      </c>
      <c r="L6" t="n">
        <v>185039</v>
      </c>
      <c r="M6" t="n">
        <v>182362</v>
      </c>
      <c r="N6" t="n">
        <v>179731</v>
      </c>
      <c r="AO6" t="inlineStr">
        <is>
          <t>CET1 Ratio</t>
        </is>
      </c>
      <c r="AR6" t="n">
        <v>28.24</v>
      </c>
      <c r="AS6" t="n">
        <v>25.97</v>
      </c>
    </row>
    <row r="7">
      <c r="A7" s="5" t="inlineStr">
        <is>
          <t>Total liabilities</t>
        </is>
      </c>
      <c r="B7" s="5" t="n">
        <v>150937</v>
      </c>
      <c r="C7" s="5" t="n">
        <v>151863</v>
      </c>
      <c r="D7" s="5" t="n">
        <v>154859</v>
      </c>
      <c r="E7" s="5" t="n">
        <v>169511</v>
      </c>
      <c r="F7" s="5" t="n">
        <v>164623</v>
      </c>
      <c r="I7" t="inlineStr">
        <is>
          <t>Total liabilities</t>
        </is>
      </c>
      <c r="J7" t="n">
        <v>164623</v>
      </c>
      <c r="K7" t="n">
        <v>169511</v>
      </c>
      <c r="L7" t="n">
        <v>154859</v>
      </c>
      <c r="M7" t="n">
        <v>151863</v>
      </c>
      <c r="N7" t="n">
        <v>150937</v>
      </c>
      <c r="AO7" t="inlineStr">
        <is>
          <t>Tier 1 Ratio</t>
        </is>
      </c>
      <c r="AR7" t="n">
        <v>28.24</v>
      </c>
      <c r="AS7" t="n">
        <v>25.97</v>
      </c>
    </row>
    <row r="8">
      <c r="A8" s="5" t="inlineStr">
        <is>
          <t>Total equity</t>
        </is>
      </c>
      <c r="B8" s="5" t="n">
        <v>28794</v>
      </c>
      <c r="C8" s="5" t="n">
        <v>30499</v>
      </c>
      <c r="D8" s="5" t="n">
        <v>30180</v>
      </c>
      <c r="E8" s="5" t="n">
        <v>27043</v>
      </c>
      <c r="F8" s="5" t="n">
        <v>25526</v>
      </c>
      <c r="I8" t="inlineStr">
        <is>
          <t>Total equity</t>
        </is>
      </c>
      <c r="J8" t="n">
        <v>25526</v>
      </c>
      <c r="K8" t="n">
        <v>27043</v>
      </c>
      <c r="L8" t="n">
        <v>30180</v>
      </c>
      <c r="M8" t="n">
        <v>30499</v>
      </c>
      <c r="N8" t="n">
        <v>28794</v>
      </c>
      <c r="AO8" t="inlineStr">
        <is>
          <t>Total Capital Ratio</t>
        </is>
      </c>
      <c r="AR8" t="n">
        <v>28.24</v>
      </c>
      <c r="AS8" t="n">
        <v>25.97</v>
      </c>
    </row>
    <row r="9">
      <c r="AO9" t="inlineStr">
        <is>
          <t>Leverage Ratio</t>
        </is>
      </c>
      <c r="AR9" t="n">
        <v>15.2</v>
      </c>
      <c r="AS9" t="n">
        <v>15.9</v>
      </c>
    </row>
    <row r="10">
      <c r="A10" s="3" t="inlineStr">
        <is>
          <t>Profit &amp; Loss Summary (£'000)</t>
        </is>
      </c>
      <c r="AO10" t="inlineStr">
        <is>
          <t>LCR</t>
        </is>
      </c>
      <c r="AR10" t="n">
        <v>739</v>
      </c>
      <c r="AS10" t="n">
        <v>606</v>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c r="AO11" t="inlineStr">
        <is>
          <t>NSFR</t>
        </is>
      </c>
      <c r="AR11" t="n">
        <v>192.58</v>
      </c>
      <c r="AS11" t="n">
        <v>195.34</v>
      </c>
    </row>
    <row r="12">
      <c r="A12" s="5" t="inlineStr">
        <is>
          <t>Total operating income</t>
        </is>
      </c>
      <c r="B12" s="5" t="n">
        <v>8598</v>
      </c>
      <c r="C12" s="5" t="n">
        <v>10422</v>
      </c>
      <c r="D12" s="5" t="n">
        <v>10765</v>
      </c>
      <c r="E12" s="5" t="n">
        <v>7273</v>
      </c>
      <c r="F12" s="5" t="n">
        <v>4895</v>
      </c>
      <c r="Q12" t="inlineStr">
        <is>
          <t>Total operating income</t>
        </is>
      </c>
      <c r="R12" t="n">
        <v>4895</v>
      </c>
      <c r="S12" t="n">
        <v>7273</v>
      </c>
      <c r="T12" t="n">
        <v>10765</v>
      </c>
      <c r="U12" t="n">
        <v>10422</v>
      </c>
      <c r="V12" t="n">
        <v>8598</v>
      </c>
    </row>
    <row r="13">
      <c r="A13" s="5" t="inlineStr">
        <is>
          <t>(Loss)/Profit before taxation</t>
        </is>
      </c>
      <c r="B13" s="5" t="n">
        <v>-942</v>
      </c>
      <c r="C13" s="5" t="n">
        <v>1019</v>
      </c>
      <c r="D13" s="5" t="n">
        <v>3721</v>
      </c>
      <c r="E13" s="5" t="n">
        <v>1470</v>
      </c>
      <c r="F13" s="5" t="n">
        <v>9</v>
      </c>
      <c r="Q13" t="inlineStr">
        <is>
          <t>(Loss)/Profit before taxation</t>
        </is>
      </c>
      <c r="R13" t="n">
        <v>9</v>
      </c>
      <c r="S13" t="n">
        <v>1470</v>
      </c>
      <c r="T13" t="n">
        <v>3721</v>
      </c>
      <c r="U13" t="n">
        <v>1019</v>
      </c>
      <c r="V13" t="n">
        <v>-942</v>
      </c>
    </row>
    <row r="14">
      <c r="A14" s="5" t="inlineStr">
        <is>
          <t>(Loss)/Profit after taxation</t>
        </is>
      </c>
      <c r="B14" s="5" t="n">
        <v>-576</v>
      </c>
      <c r="C14" s="5" t="n">
        <v>795</v>
      </c>
      <c r="D14" s="5" t="n">
        <v>2840</v>
      </c>
      <c r="E14" s="5" t="n">
        <v>1140</v>
      </c>
      <c r="F14" s="5" t="n">
        <v>-29</v>
      </c>
      <c r="Q14" t="inlineStr">
        <is>
          <t>(Loss)/Profit after taxation</t>
        </is>
      </c>
      <c r="R14" t="n">
        <v>-29</v>
      </c>
      <c r="S14" t="n">
        <v>1140</v>
      </c>
      <c r="T14" t="n">
        <v>2840</v>
      </c>
      <c r="U14" t="n">
        <v>795</v>
      </c>
      <c r="V14" t="n">
        <v>-576</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Total equity at year end</t>
        </is>
      </c>
      <c r="B18" s="5" t="n">
        <v>28794</v>
      </c>
      <c r="C18" s="5" t="n">
        <v>30499</v>
      </c>
      <c r="D18" s="5" t="n">
        <v>30180</v>
      </c>
      <c r="E18" s="5" t="n">
        <v>27043</v>
      </c>
      <c r="F18" s="5" t="n">
        <v>25526</v>
      </c>
      <c r="Y18" t="inlineStr">
        <is>
          <t>Total equity at year end</t>
        </is>
      </c>
      <c r="Z18" t="n">
        <v>25526</v>
      </c>
      <c r="AA18" t="n">
        <v>27043</v>
      </c>
      <c r="AB18" t="n">
        <v>30180</v>
      </c>
      <c r="AC18" t="n">
        <v>30499</v>
      </c>
      <c r="AD18" t="n">
        <v>28794</v>
      </c>
    </row>
    <row r="20">
      <c r="A20" s="3" t="inlineStr">
        <is>
          <t>Cash Flow Summary (£'000)</t>
        </is>
      </c>
    </row>
    <row r="21">
      <c r="A21" s="4" t="inlineStr">
        <is>
          <t>Line item</t>
        </is>
      </c>
      <c r="B21" s="4" t="inlineStr">
        <is>
          <t>FY2025</t>
        </is>
      </c>
      <c r="C21" s="4" t="inlineStr">
        <is>
          <t>FY2024</t>
        </is>
      </c>
      <c r="D21" s="4" t="inlineStr">
        <is>
          <t>FY2023</t>
        </is>
      </c>
      <c r="E21" s="4" t="inlineStr">
        <is>
          <t>FY2022</t>
        </is>
      </c>
      <c r="F21" s="4" t="inlineStr">
        <is>
          <t>FY2021</t>
        </is>
      </c>
      <c r="AH21" t="inlineStr">
        <is>
          <t>FY2021</t>
        </is>
      </c>
      <c r="AI21" t="inlineStr">
        <is>
          <t>FY2022</t>
        </is>
      </c>
      <c r="AJ21" t="inlineStr">
        <is>
          <t>FY2023</t>
        </is>
      </c>
      <c r="AK21" t="inlineStr">
        <is>
          <t>FY2024</t>
        </is>
      </c>
      <c r="AL21" t="inlineStr">
        <is>
          <t>FY2025</t>
        </is>
      </c>
    </row>
    <row r="22">
      <c r="A22" s="5" t="inlineStr">
        <is>
          <t>Net cash from/(used in) operating activities</t>
        </is>
      </c>
      <c r="B22" s="5" t="n">
        <v>3804</v>
      </c>
      <c r="C22" s="5" t="n">
        <v>-28349</v>
      </c>
      <c r="D22" s="5" t="n">
        <v>-20608</v>
      </c>
      <c r="E22" s="5" t="n">
        <v>34225</v>
      </c>
      <c r="F22" s="5" t="n">
        <v>-15663</v>
      </c>
      <c r="AG22" t="inlineStr">
        <is>
          <t>Net cash from/(used in) operating activities</t>
        </is>
      </c>
      <c r="AH22" t="n">
        <v>-15663</v>
      </c>
      <c r="AI22" t="n">
        <v>34225</v>
      </c>
      <c r="AJ22" t="n">
        <v>-20608</v>
      </c>
      <c r="AK22" t="n">
        <v>-28349</v>
      </c>
      <c r="AL22" t="n">
        <v>3804</v>
      </c>
    </row>
    <row r="23">
      <c r="A23" s="5" t="inlineStr">
        <is>
          <t>Net cash from/(used in) investing activities</t>
        </is>
      </c>
      <c r="B23" s="5" t="n">
        <v>-2572</v>
      </c>
      <c r="C23" s="5" t="n">
        <v>-96</v>
      </c>
      <c r="D23" s="5" t="n">
        <v>-679</v>
      </c>
      <c r="E23" s="5" t="n">
        <v>-140</v>
      </c>
      <c r="F23" s="5" t="n">
        <v>-21</v>
      </c>
      <c r="AG23" t="inlineStr">
        <is>
          <t>Net cash from/(used in) investing activities</t>
        </is>
      </c>
      <c r="AH23" t="n">
        <v>-21</v>
      </c>
      <c r="AI23" t="n">
        <v>-140</v>
      </c>
      <c r="AJ23" t="n">
        <v>-679</v>
      </c>
      <c r="AK23" t="n">
        <v>-96</v>
      </c>
      <c r="AL23" t="n">
        <v>-2572</v>
      </c>
    </row>
    <row r="24">
      <c r="A24" s="5" t="inlineStr">
        <is>
          <t>Net cash from/(used in) financing activities</t>
        </is>
      </c>
      <c r="B24" s="5" t="n">
        <v>-15</v>
      </c>
      <c r="C24" s="5" t="n">
        <v>-39</v>
      </c>
      <c r="D24" s="5" t="n">
        <v>-44</v>
      </c>
      <c r="E24" s="5" t="n">
        <v>-100</v>
      </c>
      <c r="F24" s="5" t="n">
        <v>-110</v>
      </c>
      <c r="AG24" t="inlineStr">
        <is>
          <t>Net cash from/(used in) financing activities</t>
        </is>
      </c>
      <c r="AH24" t="n">
        <v>-110</v>
      </c>
      <c r="AI24" t="n">
        <v>-100</v>
      </c>
      <c r="AJ24" t="n">
        <v>-44</v>
      </c>
      <c r="AK24" t="n">
        <v>-39</v>
      </c>
      <c r="AL24" t="n">
        <v>-15</v>
      </c>
    </row>
    <row r="25">
      <c r="A25" s="5" t="inlineStr">
        <is>
          <t>Cash and cash equivalents at end of year</t>
        </is>
      </c>
      <c r="B25" s="5" t="n">
        <v>44666</v>
      </c>
      <c r="C25" s="5" t="n">
        <v>43449</v>
      </c>
      <c r="D25" s="5" t="n">
        <v>71933</v>
      </c>
      <c r="E25" s="5" t="n">
        <v>93264</v>
      </c>
      <c r="F25" s="5" t="n">
        <v>59279</v>
      </c>
      <c r="AG25" t="inlineStr">
        <is>
          <t>Cash and cash equivalents at end of year</t>
        </is>
      </c>
      <c r="AH25" t="n">
        <v>59279</v>
      </c>
      <c r="AI25" t="n">
        <v>93264</v>
      </c>
      <c r="AJ25" t="n">
        <v>71933</v>
      </c>
      <c r="AK25" t="n">
        <v>43449</v>
      </c>
      <c r="AL25" t="n">
        <v>44666</v>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Not publicly disclosed</t>
        </is>
      </c>
      <c r="C29" s="6" t="inlineStr">
        <is>
          <t>25.97%</t>
        </is>
      </c>
      <c r="D29" s="6" t="inlineStr">
        <is>
          <t>28.24%</t>
        </is>
      </c>
      <c r="E29" s="6" t="inlineStr">
        <is>
          <t>Not publicly disclosed</t>
        </is>
      </c>
      <c r="F29" s="6" t="inlineStr">
        <is>
          <t>Not publicly disclosed</t>
        </is>
      </c>
    </row>
    <row r="30">
      <c r="A30" s="6" t="inlineStr">
        <is>
          <t>Tier 1 Ratio</t>
        </is>
      </c>
      <c r="B30" s="6" t="inlineStr">
        <is>
          <t>Not publicly disclosed</t>
        </is>
      </c>
      <c r="C30" s="6" t="inlineStr">
        <is>
          <t>25.97%</t>
        </is>
      </c>
      <c r="D30" s="6" t="inlineStr">
        <is>
          <t>28.24%</t>
        </is>
      </c>
      <c r="E30" s="6" t="inlineStr">
        <is>
          <t>Not publicly disclosed</t>
        </is>
      </c>
      <c r="F30" s="6" t="inlineStr">
        <is>
          <t>Not publicly disclosed</t>
        </is>
      </c>
    </row>
    <row r="31">
      <c r="A31" s="6" t="inlineStr">
        <is>
          <t>Total Capital Ratio</t>
        </is>
      </c>
      <c r="B31" s="6" t="inlineStr">
        <is>
          <t>Not publicly disclosed</t>
        </is>
      </c>
      <c r="C31" s="6" t="inlineStr">
        <is>
          <t>25.97%</t>
        </is>
      </c>
      <c r="D31" s="6" t="inlineStr">
        <is>
          <t>28.24%</t>
        </is>
      </c>
      <c r="E31" s="6" t="inlineStr">
        <is>
          <t>Not publicly disclosed</t>
        </is>
      </c>
      <c r="F31" s="6" t="inlineStr">
        <is>
          <t>Not publicly disclosed</t>
        </is>
      </c>
    </row>
    <row r="32">
      <c r="A32" s="6" t="inlineStr">
        <is>
          <t>Leverage Ratio</t>
        </is>
      </c>
      <c r="B32" s="6" t="inlineStr">
        <is>
          <t>Not publicly disclosed</t>
        </is>
      </c>
      <c r="C32" s="6" t="inlineStr">
        <is>
          <t>15.9%</t>
        </is>
      </c>
      <c r="D32" s="6" t="inlineStr">
        <is>
          <t>15.2%</t>
        </is>
      </c>
      <c r="E32" s="6" t="inlineStr">
        <is>
          <t>Not publicly disclosed</t>
        </is>
      </c>
      <c r="F32" s="6" t="inlineStr">
        <is>
          <t>Not publicly disclosed</t>
        </is>
      </c>
    </row>
    <row r="33">
      <c r="A33" s="6" t="inlineStr">
        <is>
          <t>LCR</t>
        </is>
      </c>
      <c r="B33" s="6" t="inlineStr">
        <is>
          <t>Not publicly disclosed</t>
        </is>
      </c>
      <c r="C33" s="6" t="inlineStr">
        <is>
          <t>606%</t>
        </is>
      </c>
      <c r="D33" s="6" t="inlineStr">
        <is>
          <t>739%</t>
        </is>
      </c>
      <c r="E33" s="6" t="inlineStr">
        <is>
          <t>Not publicly disclosed</t>
        </is>
      </c>
      <c r="F33" s="6" t="inlineStr">
        <is>
          <t>Not publicly disclosed</t>
        </is>
      </c>
    </row>
    <row r="34">
      <c r="A34" s="6" t="inlineStr">
        <is>
          <t>NSFR</t>
        </is>
      </c>
      <c r="B34" s="6" t="inlineStr">
        <is>
          <t>Not publicly disclosed</t>
        </is>
      </c>
      <c r="C34" s="6" t="inlineStr">
        <is>
          <t>195.34%</t>
        </is>
      </c>
      <c r="D34" s="6" t="inlineStr">
        <is>
          <t>192.58%</t>
        </is>
      </c>
      <c r="E34" s="6" t="inlineStr">
        <is>
          <t>Not publicly disclosed</t>
        </is>
      </c>
      <c r="F34" s="6" t="inlineStr">
        <is>
          <t>Not applicable</t>
        </is>
      </c>
    </row>
    <row r="36" ht="45" customHeight="1">
      <c r="A36" s="7" t="inlineStr">
        <is>
          <t>Note: Figures are duplicated from the detail sheets for at-a-glance trend viewing; see each sheet's own source citation for the underlying document/page. Pillar 3 ratios are only publicly disclosed for FY2023/FY2024 - the Bank has published exactly one Pillar 3 edition to date, and that edition's own reference date is 31 December 2024 (confirmed 2026-09-15 from its cover page, Introduction and section 2.1, despite its February 2026 upload path and an unfilled 'approved ... on xx 2025' line in its section 2.3). FY2021/FY2022/FY2025 now read 'Not publicly disclosed' rather than sitting blank: that is an ENUMERATED negative established 2026-09-15, not an unchecked gap. The Bank's reports index was fetched and every PDF link extracted (exactly one Pillar 3 item, the FY2024 edition), and the Annual Reports covering those three years were opened and read - the FY2022 report (text-native, covering FY2022 and FY2021) contains no occurrence of 'capital ratio', 'Tier 1', 'CET1', 'leverage ratio', 'liquidity coverage' or 'net stable' anywhere, and the FY2025 report's Note 37 (read from the rendered page image, the filing being a scan) prints only capital amounts, a capital surplus over buffers and an RWA breakdown, with no ratio of any kind. These ratios are NOT computed from the capital and RWA figures this workbook holds for those years: that would be back-solving, and the available capital figure is on the broader Annual Report basis rather than the Pillar 3 basis. NSFR FY2021 reads 'Not applicable' instead, because the UK NSFR requirement began only on 1 January 2022 (PRA PS17/21) - a regulatory boundary, not a publication failure. See the Pillar 3 sheets' own source notes for the full evidence.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Financial Position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44666</v>
      </c>
      <c r="C5" s="6" t="n">
        <v>43449</v>
      </c>
      <c r="D5" s="6" t="n">
        <v>71933</v>
      </c>
      <c r="E5" s="6" t="n">
        <v>93264</v>
      </c>
      <c r="F5" s="6" t="n">
        <v>59279</v>
      </c>
    </row>
    <row r="6">
      <c r="A6" s="6" t="inlineStr">
        <is>
          <t>Loans and advances to banks</t>
        </is>
      </c>
      <c r="B6" s="6" t="n">
        <v>49346</v>
      </c>
      <c r="C6" s="6" t="n">
        <v>50170</v>
      </c>
      <c r="D6" s="6" t="n">
        <v>31369</v>
      </c>
      <c r="E6" s="6" t="n">
        <v>15493</v>
      </c>
      <c r="F6" s="6" t="n">
        <v>39954</v>
      </c>
    </row>
    <row r="7">
      <c r="A7" s="6" t="inlineStr">
        <is>
          <t>Loans and advances to customers</t>
        </is>
      </c>
      <c r="B7" s="6" t="n">
        <v>73278</v>
      </c>
      <c r="C7" s="6" t="n">
        <v>76518</v>
      </c>
      <c r="D7" s="6" t="n">
        <v>69249</v>
      </c>
      <c r="E7" s="6" t="n">
        <v>75754</v>
      </c>
      <c r="F7" s="6" t="n">
        <v>78062</v>
      </c>
    </row>
    <row r="8">
      <c r="A8" s="6" t="inlineStr">
        <is>
          <t>Investment securities (Visa Inc./Visa Europe preference shares, FVOCI equity)</t>
        </is>
      </c>
      <c r="B8" s="6" t="n">
        <v>2224</v>
      </c>
      <c r="C8" s="6" t="n">
        <v>2133</v>
      </c>
      <c r="D8" s="6" t="n">
        <v>1631</v>
      </c>
      <c r="E8" s="6" t="n">
        <v>1380</v>
      </c>
      <c r="F8" s="6" t="n">
        <v>1132</v>
      </c>
    </row>
    <row r="9">
      <c r="A9" s="6" t="inlineStr">
        <is>
          <t>Swap derivative assets</t>
        </is>
      </c>
      <c r="B9" s="6" t="n"/>
      <c r="C9" s="6" t="n">
        <v>15</v>
      </c>
      <c r="D9" s="6" t="n"/>
      <c r="E9" s="6" t="n">
        <v>182</v>
      </c>
      <c r="F9" s="6" t="n"/>
    </row>
    <row r="10">
      <c r="A10" s="6" t="inlineStr">
        <is>
          <t>Other assets</t>
        </is>
      </c>
      <c r="B10" s="6" t="n">
        <v>1298</v>
      </c>
      <c r="C10" s="6" t="n">
        <v>2192</v>
      </c>
      <c r="D10" s="6" t="n">
        <v>1830</v>
      </c>
      <c r="E10" s="6" t="n">
        <v>1307</v>
      </c>
      <c r="F10" s="6" t="n">
        <v>2909</v>
      </c>
    </row>
    <row r="11">
      <c r="A11" s="6" t="inlineStr">
        <is>
          <t>Current tax assets</t>
        </is>
      </c>
      <c r="B11" s="6" t="n">
        <v>90</v>
      </c>
      <c r="C11" s="6" t="n">
        <v>163</v>
      </c>
      <c r="D11" s="6" t="n"/>
      <c r="E11" s="6" t="n"/>
      <c r="F11" s="6" t="n"/>
    </row>
    <row r="12">
      <c r="A12" s="6" t="inlineStr">
        <is>
          <t>Deferred tax assets</t>
        </is>
      </c>
      <c r="B12" s="6" t="n">
        <v>236</v>
      </c>
      <c r="C12" s="6" t="n"/>
      <c r="D12" s="6" t="n"/>
      <c r="E12" s="6" t="n">
        <v>86</v>
      </c>
      <c r="F12" s="6" t="n">
        <v>349</v>
      </c>
    </row>
    <row r="13">
      <c r="A13" s="6" t="inlineStr">
        <is>
          <t>Property and equipment</t>
        </is>
      </c>
      <c r="B13" s="6" t="n">
        <v>7485</v>
      </c>
      <c r="C13" s="6" t="n">
        <v>6903</v>
      </c>
      <c r="D13" s="6" t="n">
        <v>8043</v>
      </c>
      <c r="E13" s="6" t="n">
        <v>7984</v>
      </c>
      <c r="F13" s="6" t="n">
        <v>7619</v>
      </c>
    </row>
    <row r="14">
      <c r="A14" s="6" t="inlineStr">
        <is>
          <t>Intangible assets</t>
        </is>
      </c>
      <c r="B14" s="6" t="n">
        <v>1108</v>
      </c>
      <c r="C14" s="6" t="n">
        <v>819</v>
      </c>
      <c r="D14" s="6" t="n">
        <v>984</v>
      </c>
      <c r="E14" s="6" t="n">
        <v>1104</v>
      </c>
      <c r="F14" s="6" t="n">
        <v>845</v>
      </c>
    </row>
    <row r="15">
      <c r="A15" s="5" t="inlineStr">
        <is>
          <t>Total assets</t>
        </is>
      </c>
      <c r="B15" s="5" t="n">
        <v>179731</v>
      </c>
      <c r="C15" s="5" t="n">
        <v>182362</v>
      </c>
      <c r="D15" s="5" t="n">
        <v>185039</v>
      </c>
      <c r="E15" s="5" t="n">
        <v>196554</v>
      </c>
      <c r="F15" s="5" t="n">
        <v>190149</v>
      </c>
    </row>
    <row r="16">
      <c r="A16" s="5" t="inlineStr">
        <is>
          <t>Liabilities</t>
        </is>
      </c>
      <c r="B16" s="6" t="n"/>
      <c r="C16" s="6" t="n"/>
      <c r="D16" s="6" t="n"/>
      <c r="E16" s="6" t="n"/>
      <c r="F16" s="6" t="n"/>
    </row>
    <row r="17">
      <c r="A17" s="6" t="inlineStr">
        <is>
          <t>Deposits from banks</t>
        </is>
      </c>
      <c r="B17" s="6" t="n">
        <v>6187</v>
      </c>
      <c r="C17" s="6" t="n">
        <v>6725</v>
      </c>
      <c r="D17" s="6" t="n">
        <v>10894</v>
      </c>
      <c r="E17" s="6" t="n">
        <v>13047</v>
      </c>
      <c r="F17" s="6" t="n">
        <v>15378</v>
      </c>
    </row>
    <row r="18">
      <c r="A18" s="6" t="inlineStr">
        <is>
          <t>Deposits from customers</t>
        </is>
      </c>
      <c r="B18" s="6" t="n">
        <v>142952</v>
      </c>
      <c r="C18" s="6" t="n">
        <v>142973</v>
      </c>
      <c r="D18" s="6" t="n">
        <v>141429</v>
      </c>
      <c r="E18" s="6" t="n">
        <v>154342</v>
      </c>
      <c r="F18" s="6" t="n">
        <v>147702</v>
      </c>
    </row>
    <row r="19">
      <c r="A19" s="6" t="inlineStr">
        <is>
          <t>Current tax liabilities</t>
        </is>
      </c>
      <c r="B19" s="6" t="n"/>
      <c r="C19" s="6" t="n"/>
      <c r="D19" s="6" t="n">
        <v>180</v>
      </c>
      <c r="E19" s="6" t="n"/>
      <c r="F19" s="6" t="n"/>
    </row>
    <row r="20">
      <c r="A20" s="6" t="inlineStr">
        <is>
          <t>Deferred tax liabilities</t>
        </is>
      </c>
      <c r="B20" s="6" t="n">
        <v>515</v>
      </c>
      <c r="C20" s="6" t="n">
        <v>462</v>
      </c>
      <c r="D20" s="6" t="n">
        <v>480</v>
      </c>
      <c r="E20" s="6" t="n">
        <v>483</v>
      </c>
      <c r="F20" s="6" t="n">
        <v>338</v>
      </c>
    </row>
    <row r="21">
      <c r="A21" s="6" t="inlineStr">
        <is>
          <t>Swap derivative liabilities</t>
        </is>
      </c>
      <c r="B21" s="6" t="n"/>
      <c r="C21" s="6" t="n"/>
      <c r="D21" s="6" t="n">
        <v>40</v>
      </c>
      <c r="E21" s="6" t="n"/>
      <c r="F21" s="6" t="n"/>
    </row>
    <row r="22">
      <c r="A22" s="6" t="inlineStr">
        <is>
          <t>Lease liabilities</t>
        </is>
      </c>
      <c r="B22" s="6" t="n">
        <v>29</v>
      </c>
      <c r="C22" s="6" t="n">
        <v>44</v>
      </c>
      <c r="D22" s="6" t="n">
        <v>81</v>
      </c>
      <c r="E22" s="6" t="n">
        <v>84</v>
      </c>
      <c r="F22" s="6" t="n">
        <v>187</v>
      </c>
    </row>
    <row r="23">
      <c r="A23" s="6" t="inlineStr">
        <is>
          <t>Other liabilities</t>
        </is>
      </c>
      <c r="B23" s="6" t="n">
        <v>1254</v>
      </c>
      <c r="C23" s="6" t="n">
        <v>1659</v>
      </c>
      <c r="D23" s="6" t="n">
        <v>1755</v>
      </c>
      <c r="E23" s="6" t="n">
        <v>1555</v>
      </c>
      <c r="F23" s="6" t="n">
        <v>1018</v>
      </c>
    </row>
    <row r="24">
      <c r="A24" s="5" t="inlineStr">
        <is>
          <t>Total liabilities</t>
        </is>
      </c>
      <c r="B24" s="5" t="n">
        <v>150937</v>
      </c>
      <c r="C24" s="5" t="n">
        <v>151863</v>
      </c>
      <c r="D24" s="5" t="n">
        <v>154859</v>
      </c>
      <c r="E24" s="5" t="n">
        <v>169511</v>
      </c>
      <c r="F24" s="5" t="n">
        <v>164623</v>
      </c>
    </row>
    <row r="25">
      <c r="A25" s="5" t="inlineStr">
        <is>
          <t>Equity</t>
        </is>
      </c>
      <c r="B25" s="6" t="n"/>
      <c r="C25" s="6" t="n"/>
      <c r="D25" s="6" t="n"/>
      <c r="E25" s="6" t="n"/>
      <c r="F25" s="6" t="n"/>
    </row>
    <row r="26">
      <c r="A26" s="6" t="inlineStr">
        <is>
          <t>Called up share capital</t>
        </is>
      </c>
      <c r="B26" s="6" t="n">
        <v>12000</v>
      </c>
      <c r="C26" s="6" t="n">
        <v>12000</v>
      </c>
      <c r="D26" s="6" t="n">
        <v>12000</v>
      </c>
      <c r="E26" s="6" t="n">
        <v>12000</v>
      </c>
      <c r="F26" s="6" t="n">
        <v>12000</v>
      </c>
    </row>
    <row r="27">
      <c r="A27" s="6" t="inlineStr">
        <is>
          <t>Retained earnings</t>
        </is>
      </c>
      <c r="B27" s="6" t="n">
        <v>11078</v>
      </c>
      <c r="C27" s="6" t="n">
        <v>11654</v>
      </c>
      <c r="D27" s="6" t="n">
        <v>10859</v>
      </c>
      <c r="E27" s="6" t="n">
        <v>8019</v>
      </c>
      <c r="F27" s="6" t="n">
        <v>6879</v>
      </c>
    </row>
    <row r="28">
      <c r="A28" s="6" t="inlineStr">
        <is>
          <t>OCI reserve</t>
        </is>
      </c>
      <c r="B28" s="6" t="n">
        <v>832</v>
      </c>
      <c r="C28" s="6" t="n">
        <v>749</v>
      </c>
      <c r="D28" s="6" t="n">
        <v>387</v>
      </c>
      <c r="E28" s="6" t="n">
        <v>198</v>
      </c>
      <c r="F28" s="6" t="n">
        <v>293</v>
      </c>
    </row>
    <row r="29">
      <c r="A29" s="6" t="inlineStr">
        <is>
          <t>Revaluation reserve</t>
        </is>
      </c>
      <c r="B29" s="6" t="n">
        <v>4884</v>
      </c>
      <c r="C29" s="6" t="n">
        <v>6096</v>
      </c>
      <c r="D29" s="6" t="n">
        <v>6934</v>
      </c>
      <c r="E29" s="6" t="n">
        <v>6826</v>
      </c>
      <c r="F29" s="6" t="n">
        <v>6354</v>
      </c>
    </row>
    <row r="30">
      <c r="A30" s="5" t="inlineStr">
        <is>
          <t>Total equity</t>
        </is>
      </c>
      <c r="B30" s="5" t="n">
        <v>28794</v>
      </c>
      <c r="C30" s="5" t="n">
        <v>30499</v>
      </c>
      <c r="D30" s="5" t="n">
        <v>30180</v>
      </c>
      <c r="E30" s="5" t="n">
        <v>27043</v>
      </c>
      <c r="F30" s="5" t="n">
        <v>25526</v>
      </c>
    </row>
    <row r="31">
      <c r="A31" s="5" t="inlineStr">
        <is>
          <t>Total liabilities and equity</t>
        </is>
      </c>
      <c r="B31" s="5" t="n">
        <v>179731</v>
      </c>
      <c r="C31" s="5" t="n">
        <v>182362</v>
      </c>
      <c r="D31" s="5" t="n">
        <v>185039</v>
      </c>
      <c r="E31" s="5" t="n">
        <v>196554</v>
      </c>
      <c r="F31" s="5" t="n">
        <v>190149</v>
      </c>
    </row>
    <row r="33" ht="280" customHeight="1">
      <c r="A33"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Profit or Loss and Other Comprehensive Income</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10531</v>
      </c>
      <c r="C5" s="6" t="n">
        <v>12623</v>
      </c>
      <c r="D5" s="6" t="n">
        <v>12411</v>
      </c>
      <c r="E5" s="6" t="n">
        <v>6417</v>
      </c>
      <c r="F5" s="6" t="n">
        <v>4405</v>
      </c>
    </row>
    <row r="6">
      <c r="A6" s="6" t="inlineStr">
        <is>
          <t>Interest expense</t>
        </is>
      </c>
      <c r="B6" s="6" t="n">
        <v>-2862</v>
      </c>
      <c r="C6" s="6" t="n">
        <v>-2960</v>
      </c>
      <c r="D6" s="6" t="n">
        <v>-2572</v>
      </c>
      <c r="E6" s="6" t="n">
        <v>-651</v>
      </c>
      <c r="F6" s="6" t="n">
        <v>-393</v>
      </c>
    </row>
    <row r="7">
      <c r="A7" s="5" t="inlineStr">
        <is>
          <t>Net interest income</t>
        </is>
      </c>
      <c r="B7" s="5" t="n">
        <v>7669</v>
      </c>
      <c r="C7" s="5" t="n">
        <v>9663</v>
      </c>
      <c r="D7" s="5" t="n">
        <v>9839</v>
      </c>
      <c r="E7" s="5" t="n">
        <v>5766</v>
      </c>
      <c r="F7" s="5" t="n">
        <v>4012</v>
      </c>
    </row>
    <row r="8">
      <c r="A8" s="6" t="inlineStr">
        <is>
          <t>Fees and commissions receivable</t>
        </is>
      </c>
      <c r="B8" s="6" t="n">
        <v>580</v>
      </c>
      <c r="C8" s="6" t="n">
        <v>651</v>
      </c>
      <c r="D8" s="6" t="n">
        <v>663</v>
      </c>
      <c r="E8" s="6" t="n">
        <v>1135</v>
      </c>
      <c r="F8" s="6" t="n">
        <v>813</v>
      </c>
    </row>
    <row r="9">
      <c r="A9" s="6" t="inlineStr">
        <is>
          <t>Fees and commissions payable</t>
        </is>
      </c>
      <c r="B9" s="6" t="n">
        <v>-173</v>
      </c>
      <c r="C9" s="6" t="n">
        <v>-158</v>
      </c>
      <c r="D9" s="6" t="n">
        <v>-146</v>
      </c>
      <c r="E9" s="6" t="n">
        <v>-157</v>
      </c>
      <c r="F9" s="6" t="n">
        <v>-136</v>
      </c>
    </row>
    <row r="10">
      <c r="A10" s="5" t="inlineStr">
        <is>
          <t>Net fee and commission income</t>
        </is>
      </c>
      <c r="B10" s="5" t="n">
        <v>407</v>
      </c>
      <c r="C10" s="5" t="n">
        <v>493</v>
      </c>
      <c r="D10" s="5" t="n">
        <v>517</v>
      </c>
      <c r="E10" s="5" t="n">
        <v>978</v>
      </c>
      <c r="F10" s="5" t="n">
        <v>677</v>
      </c>
    </row>
    <row r="11">
      <c r="A11" s="6" t="inlineStr">
        <is>
          <t>Net trading income</t>
        </is>
      </c>
      <c r="B11" s="6" t="n">
        <v>201</v>
      </c>
      <c r="C11" s="6" t="n">
        <v>266</v>
      </c>
      <c r="D11" s="6" t="n">
        <v>409</v>
      </c>
      <c r="E11" s="6" t="n">
        <v>146</v>
      </c>
      <c r="F11" s="6" t="n">
        <v>144</v>
      </c>
    </row>
    <row r="12">
      <c r="A12" s="6" t="inlineStr">
        <is>
          <t>Other operating income</t>
        </is>
      </c>
      <c r="B12" s="6" t="n">
        <v>321</v>
      </c>
      <c r="C12" s="6" t="n"/>
      <c r="D12" s="6" t="n"/>
      <c r="E12" s="6" t="n">
        <v>383</v>
      </c>
      <c r="F12" s="6" t="n">
        <v>61</v>
      </c>
    </row>
    <row r="13">
      <c r="A13" s="5" t="inlineStr">
        <is>
          <t>Total operating income</t>
        </is>
      </c>
      <c r="B13" s="5" t="n">
        <v>8598</v>
      </c>
      <c r="C13" s="5" t="n">
        <v>10422</v>
      </c>
      <c r="D13" s="5" t="n">
        <v>10765</v>
      </c>
      <c r="E13" s="5" t="n">
        <v>7273</v>
      </c>
      <c r="F13" s="5" t="n">
        <v>4895</v>
      </c>
    </row>
    <row r="14">
      <c r="A14" s="5" t="inlineStr">
        <is>
          <t>Operating expenses</t>
        </is>
      </c>
      <c r="B14" s="6" t="n"/>
      <c r="C14" s="6" t="n"/>
      <c r="D14" s="6" t="n"/>
      <c r="E14" s="6" t="n"/>
      <c r="F14" s="6" t="n"/>
    </row>
    <row r="15">
      <c r="A15" s="6" t="inlineStr">
        <is>
          <t>ECL release/(charge) on financial instruments</t>
        </is>
      </c>
      <c r="B15" s="6" t="n">
        <v>1</v>
      </c>
      <c r="C15" s="6" t="n">
        <v>-35</v>
      </c>
      <c r="D15" s="6" t="n">
        <v>60</v>
      </c>
      <c r="E15" s="6" t="n">
        <v>-128</v>
      </c>
      <c r="F15" s="6" t="n">
        <v>153</v>
      </c>
    </row>
    <row r="16">
      <c r="A16" s="6" t="inlineStr">
        <is>
          <t>Personnel expenses</t>
        </is>
      </c>
      <c r="B16" s="6" t="n">
        <v>-5303</v>
      </c>
      <c r="C16" s="6" t="n">
        <v>-5010</v>
      </c>
      <c r="D16" s="6" t="n">
        <v>-3625</v>
      </c>
      <c r="E16" s="6" t="n">
        <v>-2893</v>
      </c>
      <c r="F16" s="6" t="n">
        <v>-2290</v>
      </c>
    </row>
    <row r="17">
      <c r="A17" s="6" t="inlineStr">
        <is>
          <t>Premise expenses</t>
        </is>
      </c>
      <c r="B17" s="6" t="n">
        <v>-647</v>
      </c>
      <c r="C17" s="6" t="n">
        <v>-517</v>
      </c>
      <c r="D17" s="6" t="n">
        <v>-564</v>
      </c>
      <c r="E17" s="6" t="n">
        <v>-439</v>
      </c>
      <c r="F17" s="6" t="n">
        <v>-357</v>
      </c>
    </row>
    <row r="18">
      <c r="A18" s="6" t="inlineStr">
        <is>
          <t>Administrative expenses</t>
        </is>
      </c>
      <c r="B18" s="6" t="n">
        <v>-3088</v>
      </c>
      <c r="C18" s="6" t="n">
        <v>-3359</v>
      </c>
      <c r="D18" s="6" t="n">
        <v>-2463</v>
      </c>
      <c r="E18" s="6" t="n">
        <v>-1710</v>
      </c>
      <c r="F18" s="6" t="n">
        <v>-1853</v>
      </c>
    </row>
    <row r="19">
      <c r="A19" s="6" t="inlineStr">
        <is>
          <t>Depreciation and amortisation</t>
        </is>
      </c>
      <c r="B19" s="6" t="n">
        <v>-502</v>
      </c>
      <c r="C19" s="6" t="n">
        <v>-455</v>
      </c>
      <c r="D19" s="6" t="n">
        <v>-449</v>
      </c>
      <c r="E19" s="6" t="n">
        <v>-526</v>
      </c>
      <c r="F19" s="6" t="n">
        <v>-537</v>
      </c>
    </row>
    <row r="20">
      <c r="A20" s="6" t="inlineStr">
        <is>
          <t>Other expenses</t>
        </is>
      </c>
      <c r="B20" s="6" t="n">
        <v>-1</v>
      </c>
      <c r="C20" s="6" t="n">
        <v>-26</v>
      </c>
      <c r="D20" s="6" t="n">
        <v>-2</v>
      </c>
      <c r="E20" s="6" t="n">
        <v>-105</v>
      </c>
      <c r="F20" s="6" t="n"/>
    </row>
    <row r="21">
      <c r="A21" s="5" t="inlineStr">
        <is>
          <t>Total operating expenses</t>
        </is>
      </c>
      <c r="B21" s="5" t="n">
        <v>-9540</v>
      </c>
      <c r="C21" s="5" t="n">
        <v>-9402</v>
      </c>
      <c r="D21" s="5" t="n">
        <v>-7043</v>
      </c>
      <c r="E21" s="5" t="n">
        <v>-5801</v>
      </c>
      <c r="F21" s="5" t="n">
        <v>-4884</v>
      </c>
    </row>
    <row r="22">
      <c r="A22" s="6" t="inlineStr">
        <is>
          <t>Finance cost</t>
        </is>
      </c>
      <c r="B22" s="6" t="n"/>
      <c r="C22" s="6" t="n">
        <v>-1</v>
      </c>
      <c r="D22" s="6" t="n">
        <v>-1</v>
      </c>
      <c r="E22" s="6" t="n">
        <v>-2</v>
      </c>
      <c r="F22" s="6" t="n">
        <v>-2</v>
      </c>
    </row>
    <row r="23">
      <c r="A23" s="5" t="inlineStr">
        <is>
          <t>(Loss)/Profit before taxation</t>
        </is>
      </c>
      <c r="B23" s="5" t="n">
        <v>-942</v>
      </c>
      <c r="C23" s="5" t="n">
        <v>1019</v>
      </c>
      <c r="D23" s="5" t="n">
        <v>3721</v>
      </c>
      <c r="E23" s="5" t="n">
        <v>1470</v>
      </c>
      <c r="F23" s="5" t="n">
        <v>9</v>
      </c>
    </row>
    <row r="24">
      <c r="A24" s="6" t="inlineStr">
        <is>
          <t>Income tax credit/(expense)</t>
        </is>
      </c>
      <c r="B24" s="6" t="n">
        <v>366</v>
      </c>
      <c r="C24" s="6" t="n">
        <v>-224</v>
      </c>
      <c r="D24" s="6" t="n">
        <v>-881</v>
      </c>
      <c r="E24" s="6" t="n">
        <v>-330</v>
      </c>
      <c r="F24" s="6" t="n">
        <v>-38</v>
      </c>
    </row>
    <row r="25">
      <c r="A25" s="5" t="inlineStr">
        <is>
          <t>(Loss)/Profit after taxation</t>
        </is>
      </c>
      <c r="B25" s="5" t="n">
        <v>-576</v>
      </c>
      <c r="C25" s="5" t="n">
        <v>795</v>
      </c>
      <c r="D25" s="5" t="n">
        <v>2840</v>
      </c>
      <c r="E25" s="5" t="n">
        <v>1140</v>
      </c>
      <c r="F25" s="5" t="n">
        <v>-29</v>
      </c>
    </row>
    <row r="26">
      <c r="A26" s="5" t="inlineStr">
        <is>
          <t>Other comprehensive income</t>
        </is>
      </c>
      <c r="B26" s="6" t="n"/>
      <c r="C26" s="6" t="n"/>
      <c r="D26" s="6" t="n"/>
      <c r="E26" s="6" t="n"/>
      <c r="F26" s="6" t="n"/>
    </row>
    <row r="27">
      <c r="A27" s="6" t="inlineStr">
        <is>
          <t>Equity investments at FVOCI - net change in fair value</t>
        </is>
      </c>
      <c r="B27" s="6" t="n">
        <v>91</v>
      </c>
      <c r="C27" s="6" t="n">
        <v>501</v>
      </c>
      <c r="D27" s="6" t="n">
        <v>252</v>
      </c>
      <c r="E27" s="6" t="n">
        <v>-129</v>
      </c>
      <c r="F27" s="6" t="n">
        <v>1</v>
      </c>
    </row>
    <row r="28">
      <c r="A28" s="6" t="inlineStr">
        <is>
          <t>Deferred tax on fair value of equity investments</t>
        </is>
      </c>
      <c r="B28" s="6" t="n">
        <v>-22</v>
      </c>
      <c r="C28" s="6" t="n">
        <v>-125</v>
      </c>
      <c r="D28" s="6" t="n">
        <v>-63</v>
      </c>
      <c r="E28" s="6" t="n">
        <v>34</v>
      </c>
      <c r="F28" s="6" t="n">
        <v>-24</v>
      </c>
    </row>
    <row r="29">
      <c r="A29" s="6" t="inlineStr">
        <is>
          <t>Revaluation of properties</t>
        </is>
      </c>
      <c r="B29" s="6" t="n">
        <v>-1198</v>
      </c>
      <c r="C29" s="6" t="n">
        <v>-961</v>
      </c>
      <c r="D29" s="6" t="n">
        <v>94</v>
      </c>
      <c r="E29" s="6" t="n">
        <v>583</v>
      </c>
      <c r="F29" s="6" t="n">
        <v>349</v>
      </c>
    </row>
    <row r="30">
      <c r="A30" s="6" t="inlineStr">
        <is>
          <t>Deferred tax on property revaluation</t>
        </is>
      </c>
      <c r="B30" s="6" t="n"/>
      <c r="C30" s="6" t="n">
        <v>109</v>
      </c>
      <c r="D30" s="6" t="n">
        <v>14</v>
      </c>
      <c r="E30" s="6" t="n">
        <v>-111</v>
      </c>
      <c r="F30" s="6" t="n">
        <v>-12</v>
      </c>
    </row>
    <row r="31">
      <c r="A31" s="5" t="inlineStr">
        <is>
          <t>Total other comprehensive income/(expense)</t>
        </is>
      </c>
      <c r="B31" s="5" t="n">
        <v>-1129</v>
      </c>
      <c r="C31" s="5" t="n">
        <v>-476</v>
      </c>
      <c r="D31" s="5" t="n">
        <v>297</v>
      </c>
      <c r="E31" s="5" t="n">
        <v>377</v>
      </c>
      <c r="F31" s="5" t="n">
        <v>314</v>
      </c>
    </row>
    <row r="32">
      <c r="A32" s="5" t="inlineStr">
        <is>
          <t>Total comprehensive income/(expense) for the year</t>
        </is>
      </c>
      <c r="B32" s="5" t="n">
        <v>-1705</v>
      </c>
      <c r="C32" s="5" t="n">
        <v>319</v>
      </c>
      <c r="D32" s="5" t="n">
        <v>3137</v>
      </c>
      <c r="E32" s="5" t="n">
        <v>1517</v>
      </c>
      <c r="F32" s="5" t="n">
        <v>285</v>
      </c>
    </row>
    <row r="34" ht="280" customHeight="1">
      <c r="A34"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Changes in Equity</t>
        </is>
      </c>
    </row>
    <row r="2">
      <c r="A2" s="2" t="inlineStr">
        <is>
          <t>Entity-level basis, £'000, chronological</t>
        </is>
      </c>
    </row>
    <row r="3">
      <c r="A3" s="4" t="inlineStr">
        <is>
          <t>Movement</t>
        </is>
      </c>
      <c r="B3" s="4" t="inlineStr">
        <is>
          <t>Called up share capital</t>
        </is>
      </c>
      <c r="C3" s="4" t="inlineStr">
        <is>
          <t>OCI reserve</t>
        </is>
      </c>
      <c r="D3" s="4" t="inlineStr">
        <is>
          <t>Revaluation reserve</t>
        </is>
      </c>
      <c r="E3" s="4" t="inlineStr">
        <is>
          <t>Retained earnings</t>
        </is>
      </c>
      <c r="F3" s="4" t="inlineStr">
        <is>
          <t>Total</t>
        </is>
      </c>
    </row>
    <row r="4">
      <c r="A4" s="5" t="inlineStr">
        <is>
          <t>At 1 January 2021</t>
        </is>
      </c>
      <c r="B4" s="5" t="n">
        <v>12000</v>
      </c>
      <c r="C4" s="5" t="n">
        <v>316</v>
      </c>
      <c r="D4" s="5" t="n">
        <v>6017</v>
      </c>
      <c r="E4" s="5" t="n">
        <v>6908</v>
      </c>
      <c r="F4" s="5" t="n">
        <v>25241</v>
      </c>
    </row>
    <row r="5">
      <c r="A5" s="6" t="inlineStr">
        <is>
          <t>Loss for the year</t>
        </is>
      </c>
      <c r="B5" s="6" t="n"/>
      <c r="C5" s="6" t="n"/>
      <c r="D5" s="6" t="n"/>
      <c r="E5" s="6" t="n">
        <v>-29</v>
      </c>
      <c r="F5" s="6" t="n">
        <v>-29</v>
      </c>
    </row>
    <row r="6">
      <c r="A6" s="6" t="inlineStr">
        <is>
          <t>Other comprehensive income/(expense)</t>
        </is>
      </c>
      <c r="B6" s="6" t="n"/>
      <c r="C6" s="6" t="n">
        <v>-23</v>
      </c>
      <c r="D6" s="6" t="n">
        <v>337</v>
      </c>
      <c r="E6" s="6" t="n"/>
      <c r="F6" s="6" t="n">
        <v>314</v>
      </c>
    </row>
    <row r="7">
      <c r="A7" s="5" t="inlineStr">
        <is>
          <t>Total comprehensive income/(expense) for the year</t>
        </is>
      </c>
      <c r="B7" s="5" t="n"/>
      <c r="C7" s="5" t="n">
        <v>-23</v>
      </c>
      <c r="D7" s="5" t="n">
        <v>337</v>
      </c>
      <c r="E7" s="5" t="n">
        <v>-29</v>
      </c>
      <c r="F7" s="5" t="n">
        <v>284</v>
      </c>
    </row>
    <row r="8">
      <c r="A8" s="5" t="inlineStr">
        <is>
          <t>At 31 December 2021</t>
        </is>
      </c>
      <c r="B8" s="5" t="n">
        <v>12000</v>
      </c>
      <c r="C8" s="5" t="n">
        <v>293</v>
      </c>
      <c r="D8" s="5" t="n">
        <v>6354</v>
      </c>
      <c r="E8" s="5" t="n">
        <v>6879</v>
      </c>
      <c r="F8" s="5" t="n">
        <v>25526</v>
      </c>
    </row>
    <row r="9">
      <c r="A9" s="6" t="inlineStr">
        <is>
          <t>Profit for the year</t>
        </is>
      </c>
      <c r="B9" s="6" t="n"/>
      <c r="C9" s="6" t="n"/>
      <c r="D9" s="6" t="n"/>
      <c r="E9" s="6" t="n">
        <v>1140</v>
      </c>
      <c r="F9" s="6" t="n">
        <v>1140</v>
      </c>
    </row>
    <row r="10">
      <c r="A10" s="6" t="inlineStr">
        <is>
          <t>Other comprehensive income/(expense)</t>
        </is>
      </c>
      <c r="B10" s="6" t="n"/>
      <c r="C10" s="6" t="n">
        <v>-95</v>
      </c>
      <c r="D10" s="6" t="n">
        <v>472</v>
      </c>
      <c r="E10" s="6" t="n"/>
      <c r="F10" s="6" t="n">
        <v>377</v>
      </c>
    </row>
    <row r="11">
      <c r="A11" s="5" t="inlineStr">
        <is>
          <t>Total comprehensive income/(expense) for the year</t>
        </is>
      </c>
      <c r="B11" s="5" t="n"/>
      <c r="C11" s="5" t="n">
        <v>-95</v>
      </c>
      <c r="D11" s="5" t="n">
        <v>472</v>
      </c>
      <c r="E11" s="5" t="n">
        <v>1140</v>
      </c>
      <c r="F11" s="5" t="n">
        <v>1517</v>
      </c>
    </row>
    <row r="12">
      <c r="A12" s="5" t="inlineStr">
        <is>
          <t>At 31 December 2022</t>
        </is>
      </c>
      <c r="B12" s="5" t="n">
        <v>12000</v>
      </c>
      <c r="C12" s="5" t="n">
        <v>198</v>
      </c>
      <c r="D12" s="5" t="n">
        <v>6826</v>
      </c>
      <c r="E12" s="5" t="n">
        <v>8019</v>
      </c>
      <c r="F12" s="5" t="n">
        <v>27043</v>
      </c>
    </row>
    <row r="13">
      <c r="A13" s="6" t="inlineStr">
        <is>
          <t>Profit for the year</t>
        </is>
      </c>
      <c r="B13" s="6" t="n"/>
      <c r="C13" s="6" t="n"/>
      <c r="D13" s="6" t="n"/>
      <c r="E13" s="6" t="n">
        <v>2840</v>
      </c>
      <c r="F13" s="6" t="n">
        <v>2840</v>
      </c>
    </row>
    <row r="14">
      <c r="A14" s="6" t="inlineStr">
        <is>
          <t>Other comprehensive income/(expense)</t>
        </is>
      </c>
      <c r="B14" s="6" t="n"/>
      <c r="C14" s="6" t="n">
        <v>189</v>
      </c>
      <c r="D14" s="6" t="n">
        <v>108</v>
      </c>
      <c r="E14" s="6" t="n"/>
      <c r="F14" s="6" t="n">
        <v>297</v>
      </c>
    </row>
    <row r="15">
      <c r="A15" s="5" t="inlineStr">
        <is>
          <t>Total comprehensive income/(expense) for the year</t>
        </is>
      </c>
      <c r="B15" s="5" t="n"/>
      <c r="C15" s="5" t="n">
        <v>189</v>
      </c>
      <c r="D15" s="5" t="n">
        <v>108</v>
      </c>
      <c r="E15" s="5" t="n">
        <v>2840</v>
      </c>
      <c r="F15" s="5" t="n">
        <v>3137</v>
      </c>
    </row>
    <row r="16">
      <c r="A16" s="5" t="inlineStr">
        <is>
          <t>At 31 December 2023</t>
        </is>
      </c>
      <c r="B16" s="5" t="n">
        <v>12000</v>
      </c>
      <c r="C16" s="5" t="n">
        <v>387</v>
      </c>
      <c r="D16" s="5" t="n">
        <v>6934</v>
      </c>
      <c r="E16" s="5" t="n">
        <v>10859</v>
      </c>
      <c r="F16" s="5" t="n">
        <v>30180</v>
      </c>
    </row>
    <row r="17">
      <c r="A17" s="6" t="inlineStr">
        <is>
          <t>Profit for the year</t>
        </is>
      </c>
      <c r="B17" s="6" t="n"/>
      <c r="C17" s="6" t="n"/>
      <c r="D17" s="6" t="n"/>
      <c r="E17" s="6" t="n">
        <v>795</v>
      </c>
      <c r="F17" s="6" t="n">
        <v>795</v>
      </c>
    </row>
    <row r="18">
      <c r="A18" s="6" t="inlineStr">
        <is>
          <t>Other comprehensive income/(expense)</t>
        </is>
      </c>
      <c r="B18" s="6" t="n"/>
      <c r="C18" s="6" t="n">
        <v>376</v>
      </c>
      <c r="D18" s="6" t="n">
        <v>-852</v>
      </c>
      <c r="E18" s="6" t="n"/>
      <c r="F18" s="6" t="n">
        <v>-476</v>
      </c>
    </row>
    <row r="19">
      <c r="A19" s="5" t="inlineStr">
        <is>
          <t>Total comprehensive income/(expense) for the year</t>
        </is>
      </c>
      <c r="B19" s="5" t="n"/>
      <c r="C19" s="5" t="n">
        <v>376</v>
      </c>
      <c r="D19" s="5" t="n">
        <v>-852</v>
      </c>
      <c r="E19" s="5" t="n">
        <v>795</v>
      </c>
      <c r="F19" s="5" t="n">
        <v>319</v>
      </c>
    </row>
    <row r="20">
      <c r="A20" s="5" t="inlineStr">
        <is>
          <t>At 31 December 2024</t>
        </is>
      </c>
      <c r="B20" s="5" t="n">
        <v>12000</v>
      </c>
      <c r="C20" s="5" t="n">
        <v>763</v>
      </c>
      <c r="D20" s="5" t="n">
        <v>6082</v>
      </c>
      <c r="E20" s="5" t="n">
        <v>11654</v>
      </c>
      <c r="F20" s="5" t="n">
        <v>30499</v>
      </c>
    </row>
    <row r="21">
      <c r="A21" s="6" t="inlineStr">
        <is>
          <t>Loss for the year</t>
        </is>
      </c>
      <c r="B21" s="6" t="n"/>
      <c r="C21" s="6" t="n"/>
      <c r="D21" s="6" t="n"/>
      <c r="E21" s="6" t="n">
        <v>-576</v>
      </c>
      <c r="F21" s="6" t="n">
        <v>-576</v>
      </c>
    </row>
    <row r="22">
      <c r="A22" s="6" t="inlineStr">
        <is>
          <t>Other comprehensive income/(expense)</t>
        </is>
      </c>
      <c r="B22" s="6" t="n"/>
      <c r="C22" s="6" t="n">
        <v>69</v>
      </c>
      <c r="D22" s="6" t="n">
        <v>-1198</v>
      </c>
      <c r="E22" s="6" t="n"/>
      <c r="F22" s="6" t="n">
        <v>-1129</v>
      </c>
    </row>
    <row r="23">
      <c r="A23" s="5" t="inlineStr">
        <is>
          <t>Total comprehensive income/(expense) for the year</t>
        </is>
      </c>
      <c r="B23" s="5" t="n"/>
      <c r="C23" s="5" t="n">
        <v>69</v>
      </c>
      <c r="D23" s="5" t="n">
        <v>-1198</v>
      </c>
      <c r="E23" s="5" t="n">
        <v>-576</v>
      </c>
      <c r="F23" s="5" t="n">
        <v>-1705</v>
      </c>
    </row>
    <row r="24">
      <c r="A24" s="5" t="inlineStr">
        <is>
          <t>At 31 December 2025</t>
        </is>
      </c>
      <c r="B24" s="5" t="n">
        <v>12000</v>
      </c>
      <c r="C24" s="5" t="n">
        <v>832</v>
      </c>
      <c r="D24" s="5" t="n">
        <v>4884</v>
      </c>
      <c r="E24" s="5" t="n">
        <v>11078</v>
      </c>
      <c r="F24" s="5" t="n">
        <v>28794</v>
      </c>
    </row>
    <row r="26" ht="320" customHeight="1">
      <c r="A26"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SOURCE INCONSISTENCY, reproduced as disclosed, not silently corrected: AR2024's own Statement of Financial Position (p.21) shows FY2024's closing OCI reserve as £749k and Revaluation reserve as £6,096k, but that same report's own Statement of Changes in Equity (p.23) shows the FY2024 closing balance for those same two components as £763k and £6,082k respectively - a £14k difference in opposite directions within the same document. Both pairs sum to the same Total equity (£30,499k), so the Total row here ties exactly to the Balance Sheet either way; the equity ladder below uses the Statement of Changes in Equity's own figures (763/6,082) since this is the equity sheet, and the £14k split difference is flagged here rather than picked silently. Separately, FY2021's own Statement of Changes in Equity (AR2021, p.24) prints a 'Total comprehensive income' row of £284k for FY2021, one £1k short of the £285k that its own three component figures for that row (-£23k OCI, +£337k revaluation OCI, -£29k retained earnings) actually sum to, and one £1k short of the £285k 'Total comprehensive income' the same year's own Statement of Profit or Loss (p.21) reports - an immaterial rounding artifact in the equity statement's own printed total, used as shown (not force-corrected).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Cash Flows</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taxation</t>
        </is>
      </c>
      <c r="B5" s="6" t="n">
        <v>-576</v>
      </c>
      <c r="C5" s="6" t="n">
        <v>795</v>
      </c>
      <c r="D5" s="6" t="n">
        <v>2840</v>
      </c>
      <c r="E5" s="6" t="n">
        <v>1140</v>
      </c>
      <c r="F5" s="6" t="n">
        <v>-29</v>
      </c>
    </row>
    <row r="6">
      <c r="A6" s="6" t="inlineStr">
        <is>
          <t>Depreciation of property, plant and equipment</t>
        </is>
      </c>
      <c r="B6" s="6" t="n">
        <v>311</v>
      </c>
      <c r="C6" s="6" t="n">
        <v>255</v>
      </c>
      <c r="D6" s="6" t="n">
        <v>261</v>
      </c>
      <c r="E6" s="6" t="n">
        <v>316</v>
      </c>
      <c r="F6" s="6" t="n">
        <v>309</v>
      </c>
    </row>
    <row r="7">
      <c r="A7" s="6" t="inlineStr">
        <is>
          <t>Amortisation of intangible assets</t>
        </is>
      </c>
      <c r="B7" s="6" t="n">
        <v>192</v>
      </c>
      <c r="C7" s="6" t="n">
        <v>200</v>
      </c>
      <c r="D7" s="6" t="n">
        <v>188</v>
      </c>
      <c r="E7" s="6" t="n">
        <v>210</v>
      </c>
      <c r="F7" s="6" t="n">
        <v>228</v>
      </c>
    </row>
    <row r="8">
      <c r="A8" s="6" t="inlineStr">
        <is>
          <t>Non-cash stock dividends received from Visa</t>
        </is>
      </c>
      <c r="B8" s="6" t="n"/>
      <c r="C8" s="6" t="n"/>
      <c r="D8" s="6" t="n"/>
      <c r="E8" s="6" t="n">
        <v>-383</v>
      </c>
      <c r="F8" s="6" t="n">
        <v>0</v>
      </c>
    </row>
    <row r="9">
      <c r="A9" s="6" t="inlineStr">
        <is>
          <t>Net interest income</t>
        </is>
      </c>
      <c r="B9" s="6" t="n">
        <v>-7669</v>
      </c>
      <c r="C9" s="6" t="n">
        <v>-9663</v>
      </c>
      <c r="D9" s="6" t="n">
        <v>-9839</v>
      </c>
      <c r="E9" s="6" t="n">
        <v>-5766</v>
      </c>
      <c r="F9" s="6" t="n">
        <v>-4012</v>
      </c>
    </row>
    <row r="10">
      <c r="A10" s="6" t="inlineStr">
        <is>
          <t>Interest paid on lease liabilities</t>
        </is>
      </c>
      <c r="B10" s="6" t="n">
        <v>0</v>
      </c>
      <c r="C10" s="6" t="n">
        <v>1</v>
      </c>
      <c r="D10" s="6" t="n">
        <v>1</v>
      </c>
      <c r="E10" s="6" t="n">
        <v>2</v>
      </c>
      <c r="F10" s="6" t="n">
        <v>2</v>
      </c>
    </row>
    <row r="11">
      <c r="A11" s="6" t="inlineStr">
        <is>
          <t>Income tax expense/(credit)</t>
        </is>
      </c>
      <c r="B11" s="6" t="n">
        <v>-366</v>
      </c>
      <c r="C11" s="6" t="n">
        <v>224</v>
      </c>
      <c r="D11" s="6" t="n">
        <v>881</v>
      </c>
      <c r="E11" s="6" t="n">
        <v>330</v>
      </c>
      <c r="F11" s="6" t="n">
        <v>38</v>
      </c>
    </row>
    <row r="12">
      <c r="A12" s="5" t="inlineStr">
        <is>
          <t>Subtotal - profit and non-cash adjustments</t>
        </is>
      </c>
      <c r="B12" s="5" t="n">
        <v>-8108</v>
      </c>
      <c r="C12" s="5" t="n">
        <v>-8188</v>
      </c>
      <c r="D12" s="5" t="n">
        <v>-5668</v>
      </c>
      <c r="E12" s="5" t="n">
        <v>-4151</v>
      </c>
      <c r="F12" s="5" t="n">
        <v>-3466</v>
      </c>
    </row>
    <row r="13">
      <c r="A13" s="5" t="inlineStr">
        <is>
          <t>Changes in operating assets and liabilities</t>
        </is>
      </c>
      <c r="B13" s="6" t="n"/>
      <c r="C13" s="6" t="n"/>
      <c r="D13" s="6" t="n"/>
      <c r="E13" s="6" t="n"/>
      <c r="F13" s="6" t="n"/>
    </row>
    <row r="14">
      <c r="A14" s="6" t="inlineStr">
        <is>
          <t>Loans and advances to customers</t>
        </is>
      </c>
      <c r="B14" s="6" t="n">
        <v>3479</v>
      </c>
      <c r="C14" s="6" t="n">
        <v>-7269</v>
      </c>
      <c r="D14" s="6" t="n">
        <v>5951</v>
      </c>
      <c r="E14" s="6" t="n">
        <v>2308</v>
      </c>
      <c r="F14" s="6" t="n">
        <v>3493</v>
      </c>
    </row>
    <row r="15">
      <c r="A15" s="6" t="inlineStr">
        <is>
          <t>Loans and advances to banks</t>
        </is>
      </c>
      <c r="B15" s="6" t="n">
        <v>1871</v>
      </c>
      <c r="C15" s="6" t="n">
        <v>-18801</v>
      </c>
      <c r="D15" s="6" t="n">
        <v>-15876</v>
      </c>
      <c r="E15" s="6" t="n">
        <v>24461</v>
      </c>
      <c r="F15" s="6" t="n">
        <v>-25858</v>
      </c>
    </row>
    <row r="16">
      <c r="A16" s="6" t="inlineStr">
        <is>
          <t>Other assets</t>
        </is>
      </c>
      <c r="B16" s="6" t="n">
        <v>-304</v>
      </c>
      <c r="C16" s="6" t="n">
        <v>-540</v>
      </c>
      <c r="D16" s="6" t="n">
        <v>-340</v>
      </c>
      <c r="E16" s="6" t="n">
        <v>1420</v>
      </c>
      <c r="F16" s="6" t="n">
        <v>-1716</v>
      </c>
    </row>
    <row r="17">
      <c r="A17" s="6" t="inlineStr">
        <is>
          <t>Deposits from banks</t>
        </is>
      </c>
      <c r="B17" s="6" t="n">
        <v>-538</v>
      </c>
      <c r="C17" s="6" t="n">
        <v>-4169</v>
      </c>
      <c r="D17" s="6" t="n">
        <v>-2153</v>
      </c>
      <c r="E17" s="6" t="n">
        <v>-2331</v>
      </c>
      <c r="F17" s="6" t="n">
        <v>5621</v>
      </c>
    </row>
    <row r="18">
      <c r="A18" s="6" t="inlineStr">
        <is>
          <t>Deposits from customers</t>
        </is>
      </c>
      <c r="B18" s="6" t="n">
        <v>-568</v>
      </c>
      <c r="C18" s="6" t="n">
        <v>1544</v>
      </c>
      <c r="D18" s="6" t="n">
        <v>-12913</v>
      </c>
      <c r="E18" s="6" t="n">
        <v>6640</v>
      </c>
      <c r="F18" s="6" t="n">
        <v>2240</v>
      </c>
    </row>
    <row r="19">
      <c r="A19" s="6" t="inlineStr">
        <is>
          <t>Other liabilities</t>
        </is>
      </c>
      <c r="B19" s="6" t="n">
        <v>173</v>
      </c>
      <c r="C19" s="6" t="n">
        <v>-215</v>
      </c>
      <c r="D19" s="6" t="n">
        <v>1221</v>
      </c>
      <c r="E19" s="6" t="n">
        <v>112</v>
      </c>
      <c r="F19" s="6" t="n">
        <v>11</v>
      </c>
    </row>
    <row r="20">
      <c r="A20" s="5" t="inlineStr">
        <is>
          <t>Subtotal - changes in operating assets and liabilities</t>
        </is>
      </c>
      <c r="B20" s="5" t="n">
        <v>4113</v>
      </c>
      <c r="C20" s="5" t="n">
        <v>-29450</v>
      </c>
      <c r="D20" s="5" t="n">
        <v>-24110</v>
      </c>
      <c r="E20" s="5" t="n">
        <v>32610</v>
      </c>
      <c r="F20" s="5" t="n">
        <v>-16209</v>
      </c>
    </row>
    <row r="21">
      <c r="A21" s="5" t="inlineStr">
        <is>
          <t>Interest and tax</t>
        </is>
      </c>
      <c r="B21" s="6" t="n"/>
      <c r="C21" s="6" t="n"/>
      <c r="D21" s="6" t="n"/>
      <c r="E21" s="6" t="n"/>
      <c r="F21" s="6" t="n"/>
    </row>
    <row r="22">
      <c r="A22" s="6" t="inlineStr">
        <is>
          <t>Interest received</t>
        </is>
      </c>
      <c r="B22" s="6" t="n">
        <v>10531</v>
      </c>
      <c r="C22" s="6" t="n">
        <v>12623</v>
      </c>
      <c r="D22" s="6" t="n">
        <v>12411</v>
      </c>
      <c r="E22" s="6" t="n">
        <v>6417</v>
      </c>
      <c r="F22" s="6" t="n">
        <v>4405</v>
      </c>
    </row>
    <row r="23">
      <c r="A23" s="6" t="inlineStr">
        <is>
          <t>Interest paid</t>
        </is>
      </c>
      <c r="B23" s="6" t="n">
        <v>-2862</v>
      </c>
      <c r="C23" s="6" t="n">
        <v>-2960</v>
      </c>
      <c r="D23" s="6" t="n">
        <v>-2572</v>
      </c>
      <c r="E23" s="6" t="n">
        <v>-651</v>
      </c>
      <c r="F23" s="6" t="n">
        <v>-393</v>
      </c>
    </row>
    <row r="24">
      <c r="A24" s="6" t="inlineStr">
        <is>
          <t>Income tax recovered/(paid)</t>
        </is>
      </c>
      <c r="B24" s="6" t="n">
        <v>130</v>
      </c>
      <c r="C24" s="6" t="n">
        <v>-374</v>
      </c>
      <c r="D24" s="6" t="n">
        <v>-669</v>
      </c>
      <c r="E24" s="6" t="n"/>
      <c r="F24" s="6" t="n"/>
    </row>
    <row r="25">
      <c r="A25" s="5" t="inlineStr">
        <is>
          <t>Net cash flows from/(used in) operating activities</t>
        </is>
      </c>
      <c r="B25" s="5" t="n">
        <v>3804</v>
      </c>
      <c r="C25" s="5" t="n">
        <v>-28349</v>
      </c>
      <c r="D25" s="5" t="n">
        <v>-20608</v>
      </c>
      <c r="E25" s="5" t="n">
        <v>34225</v>
      </c>
      <c r="F25" s="5" t="n">
        <v>-15663</v>
      </c>
    </row>
    <row r="26">
      <c r="A26" s="5" t="inlineStr">
        <is>
          <t>Investing activities</t>
        </is>
      </c>
      <c r="B26" s="6" t="n"/>
      <c r="C26" s="6" t="n"/>
      <c r="D26" s="6" t="n"/>
      <c r="E26" s="6" t="n"/>
      <c r="F26" s="6" t="n"/>
    </row>
    <row r="27">
      <c r="A27" s="6" t="inlineStr">
        <is>
          <t>Additions to/acquisition of property and equipment</t>
        </is>
      </c>
      <c r="B27" s="6" t="n">
        <v>-2091</v>
      </c>
      <c r="C27" s="6" t="n">
        <v>-61</v>
      </c>
      <c r="D27" s="6" t="n">
        <v>-186</v>
      </c>
      <c r="E27" s="6" t="n">
        <v>-97</v>
      </c>
      <c r="F27" s="6" t="n">
        <v>-15</v>
      </c>
    </row>
    <row r="28">
      <c r="A28" s="6" t="inlineStr">
        <is>
          <t>Additions to/acquisition of intangible assets</t>
        </is>
      </c>
      <c r="B28" s="6" t="n">
        <v>-481</v>
      </c>
      <c r="C28" s="6" t="n">
        <v>-35</v>
      </c>
      <c r="D28" s="6" t="n">
        <v>-493</v>
      </c>
      <c r="E28" s="6" t="n">
        <v>-43</v>
      </c>
      <c r="F28" s="6" t="n">
        <v>-6</v>
      </c>
    </row>
    <row r="29">
      <c r="A29" s="5" t="inlineStr">
        <is>
          <t>Net cash used in investing activities</t>
        </is>
      </c>
      <c r="B29" s="5" t="n">
        <v>-2572</v>
      </c>
      <c r="C29" s="5" t="n">
        <v>-96</v>
      </c>
      <c r="D29" s="5" t="n">
        <v>-679</v>
      </c>
      <c r="E29" s="5" t="n">
        <v>-140</v>
      </c>
      <c r="F29" s="5" t="n">
        <v>-21</v>
      </c>
    </row>
    <row r="30">
      <c r="A30" s="5" t="inlineStr">
        <is>
          <t>Financing activities</t>
        </is>
      </c>
      <c r="B30" s="6" t="n"/>
      <c r="C30" s="6" t="n"/>
      <c r="D30" s="6" t="n"/>
      <c r="E30" s="6" t="n"/>
      <c r="F30" s="6" t="n"/>
    </row>
    <row r="31">
      <c r="A31" s="6" t="inlineStr">
        <is>
          <t>Payment for lease liabilities</t>
        </is>
      </c>
      <c r="B31" s="6" t="n">
        <v>-15</v>
      </c>
      <c r="C31" s="6" t="n">
        <v>-38</v>
      </c>
      <c r="D31" s="6" t="n">
        <v>-43</v>
      </c>
      <c r="E31" s="6" t="n">
        <v>-98</v>
      </c>
      <c r="F31" s="6" t="n">
        <v>-108</v>
      </c>
    </row>
    <row r="32">
      <c r="A32" s="6" t="inlineStr">
        <is>
          <t>Interest paid on lease liabilities</t>
        </is>
      </c>
      <c r="B32" s="6" t="n">
        <v>0</v>
      </c>
      <c r="C32" s="6" t="n">
        <v>-1</v>
      </c>
      <c r="D32" s="6" t="n">
        <v>-1</v>
      </c>
      <c r="E32" s="6" t="n">
        <v>-2</v>
      </c>
      <c r="F32" s="6" t="n">
        <v>-2</v>
      </c>
    </row>
    <row r="33">
      <c r="A33" s="5" t="inlineStr">
        <is>
          <t>Net cash used in financing activities</t>
        </is>
      </c>
      <c r="B33" s="5" t="n">
        <v>-15</v>
      </c>
      <c r="C33" s="5" t="n">
        <v>-39</v>
      </c>
      <c r="D33" s="5" t="n">
        <v>-44</v>
      </c>
      <c r="E33" s="5" t="n">
        <v>-100</v>
      </c>
      <c r="F33" s="5" t="n">
        <v>-110</v>
      </c>
    </row>
    <row r="34">
      <c r="A34" s="5" t="inlineStr">
        <is>
          <t>Net increase/(decrease) in cash and cash equivalents</t>
        </is>
      </c>
      <c r="B34" s="5" t="n">
        <v>1217</v>
      </c>
      <c r="C34" s="5" t="n">
        <v>-28484</v>
      </c>
      <c r="D34" s="5" t="n">
        <v>-21331</v>
      </c>
      <c r="E34" s="5" t="n">
        <v>33985</v>
      </c>
      <c r="F34" s="5" t="n">
        <v>-15794</v>
      </c>
    </row>
    <row r="35">
      <c r="A35" s="6" t="inlineStr">
        <is>
          <t>Cash and cash equivalents as at 1 January</t>
        </is>
      </c>
      <c r="B35" s="6" t="n">
        <v>43449</v>
      </c>
      <c r="C35" s="6" t="n">
        <v>71933</v>
      </c>
      <c r="D35" s="6" t="n">
        <v>93264</v>
      </c>
      <c r="E35" s="6" t="n">
        <v>59279</v>
      </c>
      <c r="F35" s="6" t="n">
        <v>75073</v>
      </c>
    </row>
    <row r="36">
      <c r="A36" s="5" t="inlineStr">
        <is>
          <t>Cash and cash equivalents as at 31 December</t>
        </is>
      </c>
      <c r="B36" s="5" t="n">
        <v>44666</v>
      </c>
      <c r="C36" s="5" t="n">
        <v>43449</v>
      </c>
      <c r="D36" s="5" t="n">
        <v>71933</v>
      </c>
      <c r="E36" s="5" t="n">
        <v>93264</v>
      </c>
      <c r="F36" s="5" t="n">
        <v>59279</v>
      </c>
    </row>
    <row r="38" ht="310" customHeight="1">
      <c r="A38" s="8" t="inlineStr">
        <is>
          <t>Sources - all figures are Turkish Bank (UK) Limited's own Statement of Cash Flows, £'000:
FY2025: Annual Report and Financial Statements for the year ended 31 December 2025, p.21 (Statement of Cash Flows) - https://www.turkishbank.co.uk/wp-content/uploads/2026/04/Financial-Statements-TBUK-signed.pdf (scanned filing, OCR'd and visually cross-verified)
FY2024: Annual Report and Financial Statements for the year ended 31 December 2024, p.22 (Statement of Cash Flows) - https://www.turkishbank.co.uk/wp-content/uploads/2025/04/FINANCIAL-STATEMENTS-31122024-FINAL_SIGNED.pdf
FY2023: Annual Report and Financial Statements 2023, p.22 (Statement of Cash Flows) - https://www.turkishbank.co.uk/wp-content/uploads/2024/07/FY23TBUK-Financial-Statements-Signed.pdf
FY2022: Annual Report and Financial Statements 2022, p.23 (Statement of Cash Flows) - https://www.turkishbank.co.uk/wp-content/uploads/2023/05/FY22TBUK-Financial-Statements-Signed-for-AGM-signed.pdf
FY2021: Annual Report and Financial Statements 2021, p.23 (Statement of Cash Flows) - https://www.turkishbank.co.uk/wp-content/uploads/2022/07/21TBUK-Financial-Statements-reported-to-AGM-signed.pdf (scanned filing, OCR'd and visually cross-verified)
Note: each year's column uses that year's own Annual Report's own as-originally-reported comparative rather than a later report's restated comparative (e.g. the FY2023 report restated some FY2022 line items following a reclassification of accrued interest, and the FY2025 report similarly restated FY2024 - in both cases the originally-reported figures from that year's own report are used here, consistent with this project's usual convention). All 5 years reconcile exactly: opening cash equivalents in each year matches the prior year's own closing figure, and every activity subtotal sums correctly from its own line items. The FY2025 Statement's 'Net decrease in cash and cash equivalents' row is labelled 'decrease' in the source but the figure itself is positive (+£1,217k, an increase) - the number is used as printed (it reconciles exactly with opening/closing balances); only the label appears to be a leftover from the prior year's (negative) presentation. FY2021's 'profit and non-cash adjustments' subtotal is printed as £(3,466)k but the seven line items above it as printed sum to £(3,464)k - an immaterial £2k gap in the source itself; the printed subtotal is used as shown (not force-corrected) since it is what the statement's own downstream totals are built from, and the gap is too small to matter to any of this bank's other figures.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Note 37/38 'Capital risk management' in each Annual Report separately discloses 'Total regulatory capital' (FY2021: £24,681k: FY2022: £26,022k; FY2023: £29,196k; FY2024: £29,678k; FY2025: £27,379k) and 'Total risk weighted assets' (used for the Total RWAs sheet) - see PILLAR3_NOTE on the Pillar 3 sheets for why the capital figure is not used as CET1/Tier1/Total Capital. Minor (&lt;£100k) differences exist between a year's figure as originally reported and as shown as the following year's comparative (e.g. FY2022 retained earnings: £8,102k in the FY2022 report vs £8,019k in the FY2023 report's comparative) - not explained in either report; each year's own report's own figure is used for its own column.</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Turkish Bank (UK) Limited — Asset Quality</t>
        </is>
      </c>
    </row>
    <row r="2">
      <c r="A2" s="2" t="inlineStr">
        <is>
          <t>Entity-level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 (gross)</t>
        </is>
      </c>
      <c r="B4" s="6" t="n"/>
      <c r="C4" s="6" t="n"/>
      <c r="D4" s="6" t="n"/>
      <c r="E4" s="6" t="n"/>
      <c r="F4" s="6" t="n"/>
    </row>
    <row r="5">
      <c r="A5" s="6" t="inlineStr">
        <is>
          <t>Overdraft</t>
        </is>
      </c>
      <c r="B5" s="6" t="n">
        <v>4136</v>
      </c>
      <c r="C5" s="6" t="n">
        <v>3229</v>
      </c>
      <c r="D5" s="6" t="n">
        <v>2548</v>
      </c>
      <c r="E5" s="6" t="n">
        <v>4533</v>
      </c>
      <c r="F5" s="6" t="n">
        <v>3111</v>
      </c>
    </row>
    <row r="6">
      <c r="A6" s="6" t="inlineStr">
        <is>
          <t>Fixed term - Retail</t>
        </is>
      </c>
      <c r="B6" s="6" t="n">
        <v>52037</v>
      </c>
      <c r="C6" s="6" t="n">
        <v>51855</v>
      </c>
      <c r="D6" s="6" t="n">
        <v>49829</v>
      </c>
      <c r="E6" s="6" t="n">
        <v>52387</v>
      </c>
      <c r="F6" s="6" t="n">
        <v>55256</v>
      </c>
    </row>
    <row r="7">
      <c r="A7" s="6" t="inlineStr">
        <is>
          <t>Fixed term - Corporation</t>
        </is>
      </c>
      <c r="B7" s="6" t="n">
        <v>17628</v>
      </c>
      <c r="C7" s="6" t="n">
        <v>22009</v>
      </c>
      <c r="D7" s="6" t="n">
        <v>17228</v>
      </c>
      <c r="E7" s="6" t="n">
        <v>18931</v>
      </c>
      <c r="F7" s="6" t="n">
        <v>19750</v>
      </c>
    </row>
    <row r="8">
      <c r="A8" s="5" t="inlineStr">
        <is>
          <t>Gross loans and advances to customers</t>
        </is>
      </c>
      <c r="B8" s="5" t="n">
        <v>73801</v>
      </c>
      <c r="C8" s="5" t="n">
        <v>77093</v>
      </c>
      <c r="D8" s="5" t="n">
        <v>69605</v>
      </c>
      <c r="E8" s="5" t="n">
        <v>75851</v>
      </c>
      <c r="F8" s="5" t="n">
        <v>78117</v>
      </c>
    </row>
    <row r="9">
      <c r="A9" s="5" t="inlineStr">
        <is>
          <t>Impairment (customer loans)</t>
        </is>
      </c>
      <c r="B9" s="6" t="n"/>
      <c r="C9" s="6" t="n"/>
      <c r="D9" s="6" t="n"/>
      <c r="E9" s="6" t="n"/>
      <c r="F9" s="6" t="n"/>
    </row>
    <row r="10">
      <c r="A10" s="6" t="inlineStr">
        <is>
          <t>ECL allowance - Specific</t>
        </is>
      </c>
      <c r="B10" s="6" t="n">
        <v>-1</v>
      </c>
      <c r="C10" s="6" t="n">
        <v>-68</v>
      </c>
      <c r="D10" s="6" t="n">
        <v>-35</v>
      </c>
      <c r="E10" s="6" t="n">
        <v>-35</v>
      </c>
      <c r="F10" s="6" t="n">
        <v>-35</v>
      </c>
    </row>
    <row r="11">
      <c r="A11" s="6" t="inlineStr">
        <is>
          <t>ECL allowance - Collective</t>
        </is>
      </c>
      <c r="B11" s="6" t="n">
        <v>-52</v>
      </c>
      <c r="C11" s="6" t="n">
        <v>-40</v>
      </c>
      <c r="D11" s="6" t="n">
        <v>-60</v>
      </c>
      <c r="E11" s="6" t="n">
        <v>-62</v>
      </c>
      <c r="F11" s="6" t="n">
        <v>-20</v>
      </c>
    </row>
    <row r="12">
      <c r="A12" s="5" t="inlineStr">
        <is>
          <t>Total ECL allowance (customer loans)</t>
        </is>
      </c>
      <c r="B12" s="5" t="n">
        <v>-53</v>
      </c>
      <c r="C12" s="5" t="n">
        <v>-108</v>
      </c>
      <c r="D12" s="5" t="n">
        <v>-95</v>
      </c>
      <c r="E12" s="5" t="n">
        <v>-97</v>
      </c>
      <c r="F12" s="5" t="n">
        <v>-55</v>
      </c>
    </row>
    <row r="13">
      <c r="A13" s="6" t="inlineStr">
        <is>
          <t>Unamortised portion of loan fees</t>
        </is>
      </c>
      <c r="B13" s="6" t="n">
        <v>-470</v>
      </c>
      <c r="C13" s="6" t="n">
        <v>-467</v>
      </c>
      <c r="D13" s="6" t="n">
        <v>-261</v>
      </c>
      <c r="E13" s="6" t="n"/>
      <c r="F13" s="6" t="n"/>
    </row>
    <row r="14">
      <c r="A14" s="5" t="inlineStr">
        <is>
          <t>Net loans and advances to customers</t>
        </is>
      </c>
      <c r="B14" s="5" t="n">
        <v>73278</v>
      </c>
      <c r="C14" s="5" t="n">
        <v>76518</v>
      </c>
      <c r="D14" s="5" t="n">
        <v>69249</v>
      </c>
      <c r="E14" s="5" t="n">
        <v>75754</v>
      </c>
      <c r="F14" s="5" t="n">
        <v>78062</v>
      </c>
    </row>
    <row r="15">
      <c r="A15" s="5" t="inlineStr">
        <is>
          <t>Asset quality ratios</t>
        </is>
      </c>
      <c r="B15" s="6" t="n"/>
      <c r="C15" s="6" t="n"/>
      <c r="D15" s="6" t="n"/>
      <c r="E15" s="6" t="n"/>
      <c r="F15" s="6" t="n"/>
    </row>
    <row r="16">
      <c r="A16" s="6" t="inlineStr">
        <is>
          <t>Non-performing loans (Stage 3, 90+ days past due), £'000</t>
        </is>
      </c>
      <c r="B16" s="6" t="n">
        <v>35.9</v>
      </c>
      <c r="C16" s="6" t="n">
        <v>966.9</v>
      </c>
      <c r="D16" s="6" t="n">
        <v>1020.5</v>
      </c>
      <c r="E16" s="6" t="n">
        <v>2074.2</v>
      </c>
      <c r="F16" s="6" t="n">
        <v>7242.4</v>
      </c>
    </row>
    <row r="17">
      <c r="A17" s="6" t="inlineStr">
        <is>
          <t>NPL ratio (NPL / gross customer loans)</t>
        </is>
      </c>
      <c r="B17" s="6" t="inlineStr">
        <is>
          <t>0.05%</t>
        </is>
      </c>
      <c r="C17" s="6" t="inlineStr">
        <is>
          <t>1.25%</t>
        </is>
      </c>
      <c r="D17" s="6" t="inlineStr">
        <is>
          <t>1.47%</t>
        </is>
      </c>
      <c r="E17" s="6" t="inlineStr">
        <is>
          <t>2.73%</t>
        </is>
      </c>
      <c r="F17" s="6" t="inlineStr">
        <is>
          <t>9.27%</t>
        </is>
      </c>
    </row>
    <row r="18">
      <c r="A18" s="6" t="inlineStr">
        <is>
          <t>ECL coverage ratio (customer ECL / gross customer loans)</t>
        </is>
      </c>
      <c r="B18" s="6" t="inlineStr">
        <is>
          <t>0.07%</t>
        </is>
      </c>
      <c r="C18" s="6" t="inlineStr">
        <is>
          <t>0.14%</t>
        </is>
      </c>
      <c r="D18" s="6" t="inlineStr">
        <is>
          <t>0.14%</t>
        </is>
      </c>
      <c r="E18" s="6" t="inlineStr">
        <is>
          <t>0.13%</t>
        </is>
      </c>
      <c r="F18" s="6" t="inlineStr">
        <is>
          <t>0.07%</t>
        </is>
      </c>
    </row>
    <row r="19">
      <c r="A19" s="5" t="inlineStr">
        <is>
          <t>Entity-wide loss allowance by IFRS 9 stage (cash, banks, customer loans and commitments combined)</t>
        </is>
      </c>
      <c r="B19" s="6" t="n"/>
      <c r="C19" s="6" t="n"/>
      <c r="D19" s="6" t="n"/>
      <c r="E19" s="6" t="n"/>
      <c r="F19" s="6" t="n"/>
    </row>
    <row r="20">
      <c r="A20" s="6" t="inlineStr">
        <is>
          <t>Stage 1</t>
        </is>
      </c>
      <c r="B20" s="6" t="n">
        <v>123</v>
      </c>
      <c r="C20" s="6" t="n">
        <v>111</v>
      </c>
      <c r="D20" s="6" t="n">
        <v>93</v>
      </c>
      <c r="E20" s="6" t="n">
        <v>165</v>
      </c>
      <c r="F20" s="6" t="n">
        <v>40</v>
      </c>
    </row>
    <row r="21">
      <c r="A21" s="6" t="inlineStr">
        <is>
          <t>Stage 2</t>
        </is>
      </c>
      <c r="B21" s="6" t="n">
        <v>3</v>
      </c>
      <c r="C21" s="6" t="n">
        <v>1</v>
      </c>
      <c r="D21" s="6" t="n">
        <v>2</v>
      </c>
      <c r="E21" s="6" t="n">
        <v>0</v>
      </c>
      <c r="F21" s="6" t="n">
        <v>0</v>
      </c>
    </row>
    <row r="22">
      <c r="A22" s="6" t="inlineStr">
        <is>
          <t>Stage 3</t>
        </is>
      </c>
      <c r="B22" s="6" t="n">
        <v>4</v>
      </c>
      <c r="C22" s="6" t="n">
        <v>85</v>
      </c>
      <c r="D22" s="6" t="n">
        <v>67</v>
      </c>
      <c r="E22" s="6" t="n">
        <v>57</v>
      </c>
      <c r="F22" s="6" t="n">
        <v>54</v>
      </c>
    </row>
    <row r="23">
      <c r="A23" s="5" t="inlineStr">
        <is>
          <t>Total loss allowance (all asset classes)</t>
        </is>
      </c>
      <c r="B23" s="5" t="n">
        <v>130</v>
      </c>
      <c r="C23" s="5" t="n">
        <v>197</v>
      </c>
      <c r="D23" s="5" t="n">
        <v>162</v>
      </c>
      <c r="E23" s="5" t="n">
        <v>222</v>
      </c>
      <c r="F23" s="5" t="n">
        <v>94</v>
      </c>
    </row>
    <row r="25" ht="280" customHeight="1">
      <c r="A25" s="8" t="inlineStr">
        <is>
          <t>Sources - Turkish Bank (UK) Limited, entity-level basis, £'000 unless stated:
FY2025/FY2024: Annual Report and Financial Statements for the year ended 31 December 2025, p.41-42 (Note 17 Loans and advances to customers) and p.43 (Note 18 Provision for impairment losses) - https://www.turkishbank.co.uk/wp-content/uploads/2026/04/Financial-Statements-TBUK-signed.pdf
FY2023: Annual Report and Financial Statements 2023, p.42-44 (Notes 17-18) - https://www.turkishbank.co.uk/wp-content/uploads/2024/07/FY23TBUK-Financial-Statements-Signed.pdf
FY2022/FY2021: Annual Report and Financial Statements 2022, p.43-45 (Notes 17-18)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The 'Entity-wide loss allowance by IFRS 9 stage' block reconciles Note 18's opening-to-closing loss allowance table, which covers the Bank's ENTIRE portfolio (cash and cash equivalents, loans to banks, loans to customers and off-balance-sheet commitments combined) - not customer loans alone - and is kept separate from the customer-loan-specific Specific/Collective ECL split above it (Note 17), which is the figure that ties to the Balance Sheet's own 'Loans and advances to customers' line. Non-performing loan and gross-loan figures are only disclosed for customer loans (no by-stage gross-carrying-amount split is published, only the ECL allowance roll-forward), so the NPL ratio and ECL coverage ratio below are both calculated against total gross customer loans, not a Stage-3-specific denominator.</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TWO BASES - do not read down the column. Row 1 is CET1 as reported in the Pillar 3 KM1 template, which exists only for FY2023/FY2024. Row 2 is the Annual Reports' broader 'Total regulatory capital', the only capital amount published for FY2021/FY2022/FY2025; it runs GBP794k-GBP1,097k above CET1 where both are known. See the source note for the full basis reconciliation.</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Not publicly disclosed</t>
        </is>
      </c>
      <c r="C4" s="6" t="inlineStr">
        <is>
          <t>25.97%</t>
        </is>
      </c>
      <c r="D4" s="6" t="inlineStr">
        <is>
          <t>28.24%</t>
        </is>
      </c>
      <c r="E4" s="6" t="inlineStr">
        <is>
          <t>Not publicly disclosed</t>
        </is>
      </c>
      <c r="F4" s="6" t="inlineStr">
        <is>
          <t>Not publicly disclosed</t>
        </is>
      </c>
    </row>
    <row r="5" ht="60" customHeight="1">
      <c r="A5" s="7" t="inlineStr">
        <is>
          <t>Note: Only FY2023/FY2024 are publicly disclosed, and only because the Bank's single Pillar 3 edition covers those two dates. FY2021/FY2022/FY2025 read 'Not publicly disclosed' as an ENUMERATED negative, not an unchecked gap: no Pillar 3 edition exists for any of them, and the Annual Reports covering them were read in full and publish no capital ratio at all. Not back-solved from the capital and RWA figures this workbook does hold - see the source note for why that would be both a fabrication and a basis mix.</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CET1 = Tier 1 = Total Capital in both disclosed years (no AT1 or Tier 2 instruments), and the Annual Reports confirm capital resources 'consist of Share Capital, retained earnings, and other reserves' in every year, so the memo row is likewise all-CET1 in composition. TWO BASES - do not read down the column; see the source note.</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25.97%</t>
        </is>
      </c>
      <c r="D4" s="6" t="inlineStr">
        <is>
          <t>28.24%</t>
        </is>
      </c>
      <c r="E4" s="6" t="inlineStr">
        <is>
          <t>Not publicly disclosed</t>
        </is>
      </c>
      <c r="F4" s="6" t="inlineStr">
        <is>
          <t>Not publicly disclosed</t>
        </is>
      </c>
    </row>
    <row r="5" ht="60" customHeight="1">
      <c r="A5" s="7" t="inlineStr">
        <is>
          <t>Note: Equal to the CET1 ratio in both disclosed years - the Bank holds no AT1 instruments. FY2021/FY2022/FY2025 read 'Not publicly disclosed' as an enumerated negative; see the source 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CET1 = Tier 1 = Total Capital in both disclosed years (no AT1 or Tier 2 instruments), and the Annual Reports confirm capital resources 'consist of Share Capital, retained earnings, and other reserves' in every year, so the memo row is likewise all-CET1 in composition. TWO BASES - do not read down the column; see the source note.</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25.97%</t>
        </is>
      </c>
      <c r="D4" s="6" t="inlineStr">
        <is>
          <t>28.24%</t>
        </is>
      </c>
      <c r="E4" s="6" t="inlineStr">
        <is>
          <t>Not publicly disclosed</t>
        </is>
      </c>
      <c r="F4" s="6" t="inlineStr">
        <is>
          <t>Not publicly disclosed</t>
        </is>
      </c>
    </row>
    <row r="5" ht="60" customHeight="1">
      <c r="A5" s="7" t="inlineStr">
        <is>
          <t>Note: Equal to the CET1 and Tier 1 ratios in both disclosed years - the Bank holds no AT1 or Tier 2 instruments. FY2021/FY2022/FY2025 read 'Not publicly disclosed' as an enumerated negative; see the source 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103473</v>
      </c>
      <c r="C4" s="6" t="n">
        <v>111235</v>
      </c>
      <c r="D4" s="6" t="n">
        <v>99516</v>
      </c>
      <c r="E4" s="6" t="n">
        <v>92487</v>
      </c>
      <c r="F4" s="6" t="n">
        <v>102064</v>
      </c>
    </row>
    <row r="5" ht="60" customHeight="1">
      <c r="A5" s="7" t="inlineStr">
        <is>
          <t>Note: The one metric available for all 5 years: each Annual Report's own Note 37/38 RWA breakdown (Credit + Operational + FX + CVA risk) ties exactly to the Pillar 3 KM1 RWA figure for the years both exist (FY2023/FY2024), confirming a consistent basis across all years.</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Turkish Bank (UK) Limited — RWA Breakdown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Risk-weighted assets by category</t>
        </is>
      </c>
      <c r="B4" s="6" t="n"/>
      <c r="C4" s="6" t="n"/>
      <c r="D4" s="6" t="n"/>
      <c r="E4" s="6" t="n"/>
      <c r="F4" s="6" t="n"/>
    </row>
    <row r="5">
      <c r="A5" s="6" t="inlineStr">
        <is>
          <t>Credit risk</t>
        </is>
      </c>
      <c r="B5" s="6" t="n">
        <v>85636</v>
      </c>
      <c r="C5" s="6" t="n">
        <v>96508</v>
      </c>
      <c r="D5" s="6" t="n">
        <v>86227</v>
      </c>
      <c r="E5" s="6" t="n">
        <v>81562</v>
      </c>
      <c r="F5" s="6" t="n">
        <v>90839</v>
      </c>
    </row>
    <row r="6">
      <c r="A6" s="6" t="inlineStr">
        <is>
          <t>Operational risk</t>
        </is>
      </c>
      <c r="B6" s="6" t="n">
        <v>17787</v>
      </c>
      <c r="C6" s="6" t="n">
        <v>14332</v>
      </c>
      <c r="D6" s="6" t="n">
        <v>10869</v>
      </c>
      <c r="E6" s="6" t="n">
        <v>9675</v>
      </c>
      <c r="F6" s="6" t="n">
        <v>10388</v>
      </c>
    </row>
    <row r="7">
      <c r="A7" s="6" t="inlineStr">
        <is>
          <t>FX risk</t>
        </is>
      </c>
      <c r="B7" s="6" t="n">
        <v>50</v>
      </c>
      <c r="C7" s="6" t="n">
        <v>280</v>
      </c>
      <c r="D7" s="6" t="n">
        <v>1741</v>
      </c>
      <c r="E7" s="6" t="n">
        <v>1250</v>
      </c>
      <c r="F7" s="6" t="n">
        <v>837</v>
      </c>
    </row>
    <row r="8">
      <c r="A8" s="6" t="inlineStr">
        <is>
          <t>Credit valuation adjustment</t>
        </is>
      </c>
      <c r="B8" s="6" t="n">
        <v>0</v>
      </c>
      <c r="C8" s="6" t="n">
        <v>115</v>
      </c>
      <c r="D8" s="6" t="n">
        <v>679</v>
      </c>
      <c r="E8" s="6" t="n">
        <v>0</v>
      </c>
      <c r="F8" s="6" t="n"/>
    </row>
    <row r="9">
      <c r="A9" s="5" t="inlineStr">
        <is>
          <t>Total risk-weighted assets</t>
        </is>
      </c>
      <c r="B9" s="5" t="n">
        <v>103473</v>
      </c>
      <c r="C9" s="5" t="n">
        <v>111235</v>
      </c>
      <c r="D9" s="5" t="n">
        <v>99516</v>
      </c>
      <c r="E9" s="5" t="n">
        <v>92487</v>
      </c>
      <c r="F9" s="5" t="n">
        <v>102064</v>
      </c>
    </row>
    <row r="11" ht="280" customHeight="1">
      <c r="A11" s="8" t="inlineStr">
        <is>
          <t>Sources - Turkish Bank (UK) Limited, entity-level basis, £'000, each from that year's own Annual Report's 'Capital risk management' note (marked unaudited by the Bank itself):
FY2025/FY2024: Annual Report and Financial Statements for the year ended 31 December 2025, p.61 (Note 37 Capital risk management, risk weighted assets table) - https://www.turkishbank.co.uk/wp-content/uploads/2026/04/Financial-Statements-TBUK-signed.pdf
FY2023: Annual Report and Financial Statements 2023, p.63 (Note 38 Capital risk management, risk weighted assets table) - https://www.turkishbank.co.uk/wp-content/uploads/2024/07/FY23TBUK-Financial-Statements-Signed.pdf
FY2022/FY2021: Annual Report and Financial Statements 2022, p.64 (Note 38 Capital risk management, risk weighted assets table)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Unlike the other Pillar 3 sheets in this workbook (CET1/Tier 1/Total Capital/Leverage/LCR/NSFR, only publicly disclosed for FY2023/FY2024 per PILLAR3_NOTE on those sheets), each Annual Report's own Capital risk management note independently discloses a full risk-category RWA breakdown for that report's own two years - giving genuine 5-year coverage here, broader than the standalone Pillar 3 Disclosure document (which only covers FY2023/FY2024 and has no category-level RWA table at all, only the KM1 total). All 5 years' category rows sum exactly to that year's own Total risk weighted assets, matching the existing Total RWAs metric sheet. FY2021's own comparative table (published in the FY2022 Annual Report) shows only 3 categories (Credit/Operational/FX risk), summing exactly to that year's Total RWAs with no separate Credit Valuation Adjustment line - left blank rather than assumed nil, since it isn't clear whether CVA risk was assessed separately that year or wasn't yet a distinct Pillar 1 component for the Bank.</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inlineStr">
        <is>
          <t>Not publicly disclosed</t>
        </is>
      </c>
      <c r="C4" s="6" t="n">
        <v>181556</v>
      </c>
      <c r="D4" s="6" t="n">
        <v>185406</v>
      </c>
      <c r="E4" s="6" t="inlineStr">
        <is>
          <t>Not publicly disclosed</t>
        </is>
      </c>
      <c r="F4" s="6" t="inlineStr">
        <is>
          <t>Not publicly disclosed</t>
        </is>
      </c>
    </row>
    <row r="5">
      <c r="A5" s="6" t="inlineStr">
        <is>
          <t>Leverage ratio (including claims on central banks) (%)</t>
        </is>
      </c>
      <c r="B5" s="6" t="inlineStr">
        <is>
          <t>Not publicly disclosed</t>
        </is>
      </c>
      <c r="C5" s="6" t="inlineStr">
        <is>
          <t>15.9%</t>
        </is>
      </c>
      <c r="D5" s="6" t="inlineStr">
        <is>
          <t>15.2%</t>
        </is>
      </c>
      <c r="E5" s="6" t="inlineStr">
        <is>
          <t>Not publicly disclosed</t>
        </is>
      </c>
      <c r="F5" s="6" t="inlineStr">
        <is>
          <t>Not publicly disclosed</t>
        </is>
      </c>
    </row>
    <row r="6" ht="60" customHeight="1">
      <c r="A6" s="7" t="inlineStr">
        <is>
          <t>Note: The Bank reports on KM1 row 1b, 'Leverage ratio including claims on central banks', and leaves rows 14a and 14c-14e (the excluding-central-banks and average variants) blank in its own template, so only the including-central-banks basis exists for this bank - do not compare it like-for-like with another bank's excluding-central-banks figure. FY2021/FY2022/FY2025 read 'Not publicly disclosed' as an enumerated negative: no Pillar 3 edition covers them and neither Annual Report discloses any leverage measure or total exposure measure. See the source note.</t>
        </is>
      </c>
    </row>
    <row r="8" ht="140" customHeight="1">
      <c r="A8"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inlineStr">
        <is>
          <t>Not publicly disclosed</t>
        </is>
      </c>
      <c r="C4" s="6" t="n">
        <v>30533</v>
      </c>
      <c r="D4" s="6" t="n">
        <v>45106</v>
      </c>
      <c r="E4" s="6" t="inlineStr">
        <is>
          <t>Not publicly disclosed</t>
        </is>
      </c>
      <c r="F4" s="6" t="inlineStr">
        <is>
          <t>Not publicly disclosed</t>
        </is>
      </c>
    </row>
    <row r="5">
      <c r="A5" s="6" t="inlineStr">
        <is>
          <t>Total net cash outflows (adjusted value)</t>
        </is>
      </c>
      <c r="B5" s="6" t="inlineStr">
        <is>
          <t>Not publicly disclosed</t>
        </is>
      </c>
      <c r="C5" s="6" t="n">
        <v>5033</v>
      </c>
      <c r="D5" s="6" t="n">
        <v>6103</v>
      </c>
      <c r="E5" s="6" t="inlineStr">
        <is>
          <t>Not publicly disclosed</t>
        </is>
      </c>
      <c r="F5" s="6" t="inlineStr">
        <is>
          <t>Not publicly disclosed</t>
        </is>
      </c>
    </row>
    <row r="6">
      <c r="A6" s="6" t="inlineStr">
        <is>
          <t>Liquidity Coverage Ratio (%)</t>
        </is>
      </c>
      <c r="B6" s="6" t="inlineStr">
        <is>
          <t>Not publicly disclosed</t>
        </is>
      </c>
      <c r="C6" s="6" t="inlineStr">
        <is>
          <t>606%</t>
        </is>
      </c>
      <c r="D6" s="6" t="inlineStr">
        <is>
          <t>739%</t>
        </is>
      </c>
      <c r="E6" s="6" t="inlineStr">
        <is>
          <t>Not publicly disclosed</t>
        </is>
      </c>
      <c r="F6" s="6" t="inlineStr">
        <is>
          <t>Not publicly disclosed</t>
        </is>
      </c>
    </row>
    <row r="7" ht="60" customHeight="1">
      <c r="A7" s="7" t="inlineStr">
        <is>
          <t>Note: FY2021/FY2022/FY2025 read 'Not publicly disclosed' as an enumerated negative - no Pillar 3 edition covers them and neither Annual Report gives a numeric LCR. See the source 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inlineStr">
        <is>
          <t>Not publicly disclosed</t>
        </is>
      </c>
      <c r="C4" s="6" t="n">
        <v>158883</v>
      </c>
      <c r="D4" s="6" t="n">
        <v>147611</v>
      </c>
      <c r="E4" s="6" t="inlineStr">
        <is>
          <t>Not publicly disclosed</t>
        </is>
      </c>
      <c r="F4" s="6" t="inlineStr">
        <is>
          <t>Not applicable</t>
        </is>
      </c>
    </row>
    <row r="5">
      <c r="A5" s="6" t="inlineStr">
        <is>
          <t>Total required stable funding</t>
        </is>
      </c>
      <c r="B5" s="6" t="inlineStr">
        <is>
          <t>Not publicly disclosed</t>
        </is>
      </c>
      <c r="C5" s="6" t="n">
        <v>81335</v>
      </c>
      <c r="D5" s="6" t="n">
        <v>76650</v>
      </c>
      <c r="E5" s="6" t="inlineStr">
        <is>
          <t>Not publicly disclosed</t>
        </is>
      </c>
      <c r="F5" s="6" t="inlineStr">
        <is>
          <t>Not applicable</t>
        </is>
      </c>
    </row>
    <row r="6">
      <c r="A6" s="6" t="inlineStr">
        <is>
          <t>NSFR ratio (%)</t>
        </is>
      </c>
      <c r="B6" s="6" t="inlineStr">
        <is>
          <t>Not publicly disclosed</t>
        </is>
      </c>
      <c r="C6" s="6" t="inlineStr">
        <is>
          <t>195.34%</t>
        </is>
      </c>
      <c r="D6" s="6" t="inlineStr">
        <is>
          <t>192.58%</t>
        </is>
      </c>
      <c r="E6" s="6" t="inlineStr">
        <is>
          <t>Not publicly disclosed</t>
        </is>
      </c>
      <c r="F6" s="6" t="inlineStr">
        <is>
          <t>Not applicable</t>
        </is>
      </c>
    </row>
    <row r="7" ht="60" customHeight="1">
      <c r="A7" s="7" t="inlineStr">
        <is>
          <t>Note: FY2024/FY2023 are the only disclosed years, from the Bank's single Pillar 3 edition. FY2025 and FY2022 read 'Not publicly disclosed' as an enumerated negative (no Pillar 3 edition, and no NSFR in the Annual Reports). FY2021 reads 'Not applicable' instead, for the different reason that the UK NSFR requirement did not exist at that reference date - see the source 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NSFR FY2021 - STRUCTURAL, A DIFFERENT FINDING FROM THE OTHER GAP YEARS AND DELIBERATELY LABELLED DIFFERENTLY. The UK Net Stable Funding Ratio requirement took effect only on 1 January 2022 under PRA PS17/21. A 31 December 2021 reference date therefore precedes the requirement entirely: there was no NSFR for this bank to disclose, so the cell reads 'Not applicable' rather than 'Not publicly disclosed'. FY2022 is inside the requirement (the Bank's year-end is 31 December, so 31 December 2022 is the first in-scope reference date) but no Pillar 3 edition was published for it, so that cell keeps the ordinary 'Not publicly disclosed'. Conflating the two would misrepresent a regulatory boundary as a publication failure.</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Turkish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no numeric or qualitative MREL disclosure was found in either the Pillar 3 Disclosure or any Annual Report. Consistent with a very small bank likely below the threshold at which the Bank of England sets an MREL requirement above minimum capital requirements (no explicit exemption is stated, it is simply absent).</t>
        </is>
      </c>
    </row>
    <row r="7" ht="15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2026-09-15T19:17:00Z</dcterms:created>
  <dcterms:modified xmlns:dcterms="http://purl.org/dc/terms/" xmlns:xsi="http://www.w3.org/2001/XMLSchema-instance" xsi:type="dcterms:W3CDTF">2026-09-15T19:17:00Z</dcterms:modified>
</cp:coreProperties>
</file>