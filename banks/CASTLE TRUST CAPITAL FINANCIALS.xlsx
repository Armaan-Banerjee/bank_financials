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Overview" sheetId="1" state="visible" r:id="rId1"/>
    <sheet xmlns:r="http://schemas.openxmlformats.org/officeDocument/2006/relationships" name="Balance Sheet" sheetId="2" state="visible" r:id="rId2"/>
    <sheet xmlns:r="http://schemas.openxmlformats.org/officeDocument/2006/relationships" name="Profit &amp; Loss" sheetId="3" state="visible" r:id="rId3"/>
    <sheet xmlns:r="http://schemas.openxmlformats.org/officeDocument/2006/relationships" name="Statement of Changes in Equity" sheetId="4" state="visible" r:id="rId4"/>
    <sheet xmlns:r="http://schemas.openxmlformats.org/officeDocument/2006/relationships" name="Cash Flow Statement" sheetId="5" state="visible" r:id="rId5"/>
    <sheet xmlns:r="http://schemas.openxmlformats.org/officeDocument/2006/relationships" name="Asset Quality" sheetId="6" state="visible" r:id="rId6"/>
    <sheet xmlns:r="http://schemas.openxmlformats.org/officeDocument/2006/relationships" name="Profitability" sheetId="7" state="visible" r:id="rId7"/>
    <sheet xmlns:r="http://schemas.openxmlformats.org/officeDocument/2006/relationships" name="KM1 Key Metrics" sheetId="8" state="visible" r:id="rId8"/>
    <sheet xmlns:r="http://schemas.openxmlformats.org/officeDocument/2006/relationships" name="CET1 Capital" sheetId="9" state="visible" r:id="rId9"/>
    <sheet xmlns:r="http://schemas.openxmlformats.org/officeDocument/2006/relationships" name="CET1 Ratio" sheetId="10" state="visible" r:id="rId10"/>
    <sheet xmlns:r="http://schemas.openxmlformats.org/officeDocument/2006/relationships" name="Tier 1 Capital" sheetId="11" state="visible" r:id="rId11"/>
    <sheet xmlns:r="http://schemas.openxmlformats.org/officeDocument/2006/relationships" name="Tier 1 Ratio" sheetId="12" state="visible" r:id="rId12"/>
    <sheet xmlns:r="http://schemas.openxmlformats.org/officeDocument/2006/relationships" name="Total Capital" sheetId="13" state="visible" r:id="rId13"/>
    <sheet xmlns:r="http://schemas.openxmlformats.org/officeDocument/2006/relationships" name="Total Capital Ratio" sheetId="14" state="visible" r:id="rId14"/>
    <sheet xmlns:r="http://schemas.openxmlformats.org/officeDocument/2006/relationships" name="Total RWAs" sheetId="15" state="visible" r:id="rId15"/>
    <sheet xmlns:r="http://schemas.openxmlformats.org/officeDocument/2006/relationships" name="RWA Breakdown" sheetId="16" state="visible" r:id="rId16"/>
    <sheet xmlns:r="http://schemas.openxmlformats.org/officeDocument/2006/relationships" name="Leverage Ratio" sheetId="17" state="visible" r:id="rId17"/>
    <sheet xmlns:r="http://schemas.openxmlformats.org/officeDocument/2006/relationships" name="LCR" sheetId="18" state="visible" r:id="rId18"/>
    <sheet xmlns:r="http://schemas.openxmlformats.org/officeDocument/2006/relationships" name="NSFR" sheetId="19" state="visible" r:id="rId19"/>
    <sheet xmlns:r="http://schemas.openxmlformats.org/officeDocument/2006/relationships" name="MREL Ratio" sheetId="20" state="visible" r:id="rId20"/>
  </sheets>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b val="1"/>
      <sz val="13"/>
    </font>
    <font>
      <i val="1"/>
      <color rgb="00666666"/>
      <sz val="9"/>
    </font>
    <font>
      <b val="1"/>
      <color rgb="00FFFFFF"/>
    </font>
    <font>
      <b val="1"/>
    </font>
    <font>
      <i val="1"/>
      <color rgb="00444444"/>
      <sz val="9"/>
    </font>
  </fonts>
  <fills count="3">
    <fill>
      <patternFill/>
    </fill>
    <fill>
      <patternFill patternType="gray125"/>
    </fill>
    <fill>
      <patternFill patternType="solid">
        <fgColor rgb="006A4C93"/>
        <bgColor rgb="006A4C93"/>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9">
    <xf numFmtId="0" fontId="0" fillId="0" borderId="0" pivotButton="0" quotePrefix="0" xfId="0"/>
    <xf numFmtId="0" fontId="1" fillId="0" borderId="0" pivotButton="0" quotePrefix="0" xfId="0"/>
    <xf numFmtId="0" fontId="2" fillId="0" borderId="0" pivotButton="0" quotePrefix="0" xfId="0"/>
    <xf numFmtId="0" fontId="4" fillId="0" borderId="0" pivotButton="0" quotePrefix="0" xfId="0"/>
    <xf numFmtId="0" fontId="3" fillId="2" borderId="0" applyAlignment="1" pivotButton="0" quotePrefix="0" xfId="0">
      <alignment horizontal="left" vertical="center" wrapText="1"/>
    </xf>
    <xf numFmtId="0" fontId="4" fillId="0" borderId="1" pivotButton="0" quotePrefix="0" xfId="0"/>
    <xf numFmtId="0" fontId="0" fillId="0" borderId="1" pivotButton="0" quotePrefix="0" xfId="0"/>
    <xf numFmtId="0" fontId="2" fillId="0" borderId="0" applyAlignment="1" pivotButton="0" quotePrefix="0" xfId="0">
      <alignment horizontal="left" vertical="top" wrapText="1"/>
    </xf>
    <xf numFmtId="0" fontId="5" fillId="0" borderId="0"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styles" Target="styles.xml" Id="rId21"/><Relationship Type="http://schemas.openxmlformats.org/officeDocument/2006/relationships/theme" Target="theme/theme1.xml" Id="rId22"/></Relationships>
</file>

<file path=xl/charts/chart1.xml><?xml version="1.0" encoding="utf-8"?>
<chartSpace xmlns="http://schemas.openxmlformats.org/drawingml/2006/chart">
  <chart>
    <title>
      <tx>
        <rich>
          <a:bodyPr xmlns:a="http://schemas.openxmlformats.org/drawingml/2006/main"/>
          <a:p xmlns:a="http://schemas.openxmlformats.org/drawingml/2006/main">
            <a:pPr>
              <a:defRPr/>
            </a:pPr>
            <a:r>
              <a:t>Castle Trust Capital plc — Balance Sheet Summary by Year</a:t>
            </a:r>
          </a:p>
        </rich>
      </tx>
    </title>
    <plotArea>
      <layout>
        <manualLayout>
          <layoutTarget val="inner"/>
          <xMode val="edge"/>
          <yMode val="edge"/>
          <wMode val="factor"/>
          <hMode val="factor"/>
          <x val="0.1"/>
          <y val="0.14"/>
          <w val="0.85"/>
          <h val="0.55"/>
        </manualLayout>
      </layout>
      <barChart>
        <barDir val="col"/>
        <grouping val="clustered"/>
        <ser>
          <idx val="0"/>
          <order val="0"/>
          <tx>
            <strRef>
              <f>'Overview'!I6</f>
            </strRef>
          </tx>
          <spPr>
            <a:ln xmlns:a="http://schemas.openxmlformats.org/drawingml/2006/main">
              <a:prstDash val="solid"/>
            </a:ln>
          </spPr>
          <cat>
            <numRef>
              <f>'Overview'!$J$5:$N$5</f>
            </numRef>
          </cat>
          <val>
            <numRef>
              <f>'Overview'!$J$6:$N$6</f>
            </numRef>
          </val>
        </ser>
        <ser>
          <idx val="1"/>
          <order val="1"/>
          <tx>
            <strRef>
              <f>'Overview'!I7</f>
            </strRef>
          </tx>
          <spPr>
            <a:ln xmlns:a="http://schemas.openxmlformats.org/drawingml/2006/main">
              <a:prstDash val="solid"/>
            </a:ln>
          </spPr>
          <cat>
            <numRef>
              <f>'Overview'!$J$5:$N$5</f>
            </numRef>
          </cat>
          <val>
            <numRef>
              <f>'Overview'!$J$7:$N$7</f>
            </numRef>
          </val>
        </ser>
        <ser>
          <idx val="2"/>
          <order val="2"/>
          <tx>
            <strRef>
              <f>'Overview'!I8</f>
            </strRef>
          </tx>
          <spPr>
            <a:ln xmlns:a="http://schemas.openxmlformats.org/drawingml/2006/main">
              <a:prstDash val="solid"/>
            </a:ln>
          </spPr>
          <cat>
            <numRef>
              <f>'Overview'!$J$5:$N$5</f>
            </numRef>
          </cat>
          <val>
            <numRef>
              <f>'Overview'!$J$8:$N$8</f>
            </numRef>
          </val>
        </ser>
        <ser>
          <idx val="3"/>
          <order val="3"/>
          <tx>
            <strRef>
              <f>'Overview'!I9</f>
            </strRef>
          </tx>
          <spPr>
            <a:ln xmlns:a="http://schemas.openxmlformats.org/drawingml/2006/main">
              <a:prstDash val="solid"/>
            </a:ln>
          </spPr>
          <cat>
            <numRef>
              <f>'Overview'!$J$5:$N$5</f>
            </numRef>
          </cat>
          <val>
            <numRef>
              <f>'Overview'!$J$9:$N$9</f>
            </numRef>
          </val>
        </ser>
        <gapWidth val="150"/>
        <axId val="10"/>
        <axId val="100"/>
      </barChart>
      <catAx>
        <axId val="10"/>
        <scaling>
          <orientation val="minMax"/>
        </scaling>
        <delete val="0"/>
        <axPos val="b"/>
        <majorTickMark val="out"/>
        <minorTickMark val="none"/>
        <tickLblPos val="nextTo"/>
        <crossAx val="100"/>
        <lblOffset val="100"/>
      </catAx>
      <valAx>
        <axId val="100"/>
        <scaling>
          <orientation val="minMax"/>
        </scaling>
        <delete val="0"/>
        <axPos val="l"/>
        <majorGridlines/>
        <title>
          <tx>
            <rich>
              <a:bodyPr xmlns:a="http://schemas.openxmlformats.org/drawingml/2006/main"/>
              <a:p xmlns:a="http://schemas.openxmlformats.org/drawingml/2006/main">
                <a:pPr>
                  <a:defRPr/>
                </a:pPr>
                <a:r>
                  <a:t>£'000</a:t>
                </a:r>
              </a:p>
            </rich>
          </tx>
        </title>
        <majorTickMark val="out"/>
        <minorTickMark val="none"/>
        <tickLblPos val="nextTo"/>
        <crossAx val="10"/>
      </valAx>
    </plotArea>
    <legend>
      <legendPos val="b"/>
      <layout>
        <manualLayout>
          <xMode val="edge"/>
          <yMode val="edge"/>
          <wMode val="factor"/>
          <hMode val="factor"/>
          <x val="0.02"/>
          <y val="0.84"/>
          <w val="0.96"/>
          <h val="0.16"/>
        </manualLayout>
      </layout>
    </legend>
    <plotVisOnly val="0"/>
    <dispBlanksAs val="gap"/>
  </chart>
</chartSpace>
</file>

<file path=xl/charts/chart2.xml><?xml version="1.0" encoding="utf-8"?>
<chartSpace xmlns="http://schemas.openxmlformats.org/drawingml/2006/chart">
  <chart>
    <title>
      <tx>
        <rich>
          <a:bodyPr xmlns:a="http://schemas.openxmlformats.org/drawingml/2006/main"/>
          <a:p xmlns:a="http://schemas.openxmlformats.org/drawingml/2006/main">
            <a:pPr>
              <a:defRPr/>
            </a:pPr>
            <a:r>
              <a:t>Castle Trust Capital plc — Profit &amp; Loss Summary by Year</a:t>
            </a:r>
          </a:p>
        </rich>
      </tx>
    </title>
    <plotArea>
      <layout>
        <manualLayout>
          <layoutTarget val="inner"/>
          <xMode val="edge"/>
          <yMode val="edge"/>
          <wMode val="factor"/>
          <hMode val="factor"/>
          <x val="0.1"/>
          <y val="0.14"/>
          <w val="0.85"/>
          <h val="0.55"/>
        </manualLayout>
      </layout>
      <barChart>
        <barDir val="col"/>
        <grouping val="clustered"/>
        <ser>
          <idx val="0"/>
          <order val="0"/>
          <tx>
            <strRef>
              <f>'Overview'!Q13</f>
            </strRef>
          </tx>
          <spPr>
            <a:ln xmlns:a="http://schemas.openxmlformats.org/drawingml/2006/main">
              <a:prstDash val="solid"/>
            </a:ln>
          </spPr>
          <cat>
            <numRef>
              <f>'Overview'!$R$12:$V$12</f>
            </numRef>
          </cat>
          <val>
            <numRef>
              <f>'Overview'!$R$13:$V$13</f>
            </numRef>
          </val>
        </ser>
        <ser>
          <idx val="1"/>
          <order val="1"/>
          <tx>
            <strRef>
              <f>'Overview'!Q14</f>
            </strRef>
          </tx>
          <spPr>
            <a:ln xmlns:a="http://schemas.openxmlformats.org/drawingml/2006/main">
              <a:prstDash val="solid"/>
            </a:ln>
          </spPr>
          <cat>
            <numRef>
              <f>'Overview'!$R$12:$V$12</f>
            </numRef>
          </cat>
          <val>
            <numRef>
              <f>'Overview'!$R$14:$V$14</f>
            </numRef>
          </val>
        </ser>
        <ser>
          <idx val="2"/>
          <order val="2"/>
          <tx>
            <strRef>
              <f>'Overview'!Q15</f>
            </strRef>
          </tx>
          <spPr>
            <a:ln xmlns:a="http://schemas.openxmlformats.org/drawingml/2006/main">
              <a:prstDash val="solid"/>
            </a:ln>
          </spPr>
          <cat>
            <numRef>
              <f>'Overview'!$R$12:$V$12</f>
            </numRef>
          </cat>
          <val>
            <numRef>
              <f>'Overview'!$R$15:$V$15</f>
            </numRef>
          </val>
        </ser>
        <gapWidth val="150"/>
        <axId val="10"/>
        <axId val="100"/>
      </barChart>
      <catAx>
        <axId val="10"/>
        <scaling>
          <orientation val="minMax"/>
        </scaling>
        <delete val="0"/>
        <axPos val="b"/>
        <majorTickMark val="out"/>
        <minorTickMark val="none"/>
        <tickLblPos val="nextTo"/>
        <crossAx val="100"/>
        <lblOffset val="100"/>
      </catAx>
      <valAx>
        <axId val="100"/>
        <scaling>
          <orientation val="minMax"/>
        </scaling>
        <delete val="0"/>
        <axPos val="l"/>
        <majorGridlines/>
        <title>
          <tx>
            <rich>
              <a:bodyPr xmlns:a="http://schemas.openxmlformats.org/drawingml/2006/main"/>
              <a:p xmlns:a="http://schemas.openxmlformats.org/drawingml/2006/main">
                <a:pPr>
                  <a:defRPr/>
                </a:pPr>
                <a:r>
                  <a:t>£'000</a:t>
                </a:r>
              </a:p>
            </rich>
          </tx>
        </title>
        <majorTickMark val="out"/>
        <minorTickMark val="none"/>
        <tickLblPos val="nextTo"/>
        <crossAx val="10"/>
      </valAx>
    </plotArea>
    <legend>
      <legendPos val="b"/>
      <layout>
        <manualLayout>
          <xMode val="edge"/>
          <yMode val="edge"/>
          <wMode val="factor"/>
          <hMode val="factor"/>
          <x val="0.02"/>
          <y val="0.84"/>
          <w val="0.96"/>
          <h val="0.16"/>
        </manualLayout>
      </layout>
    </legend>
    <plotVisOnly val="0"/>
    <dispBlanksAs val="gap"/>
  </chart>
</chartSpace>
</file>

<file path=xl/charts/chart3.xml><?xml version="1.0" encoding="utf-8"?>
<chartSpace xmlns="http://schemas.openxmlformats.org/drawingml/2006/chart">
  <chart>
    <title>
      <tx>
        <rich>
          <a:bodyPr xmlns:a="http://schemas.openxmlformats.org/drawingml/2006/main"/>
          <a:p xmlns:a="http://schemas.openxmlformats.org/drawingml/2006/main">
            <a:pPr>
              <a:defRPr/>
            </a:pPr>
            <a:r>
              <a:t>Castle Trust Capital plc — Statement of Changes in Equity Summary by Year</a:t>
            </a:r>
          </a:p>
        </rich>
      </tx>
    </title>
    <plotArea>
      <layout>
        <manualLayout>
          <layoutTarget val="inner"/>
          <xMode val="edge"/>
          <yMode val="edge"/>
          <wMode val="factor"/>
          <hMode val="factor"/>
          <x val="0.1"/>
          <y val="0.14"/>
          <w val="0.85"/>
          <h val="0.55"/>
        </manualLayout>
      </layout>
      <barChart>
        <barDir val="col"/>
        <grouping val="clustered"/>
        <ser>
          <idx val="0"/>
          <order val="0"/>
          <tx>
            <strRef>
              <f>'Overview'!Y19</f>
            </strRef>
          </tx>
          <spPr>
            <a:ln xmlns:a="http://schemas.openxmlformats.org/drawingml/2006/main">
              <a:prstDash val="solid"/>
            </a:ln>
          </spPr>
          <cat>
            <numRef>
              <f>'Overview'!$Z$18:$AD$18</f>
            </numRef>
          </cat>
          <val>
            <numRef>
              <f>'Overview'!$Z$19:$AD$19</f>
            </numRef>
          </val>
        </ser>
        <ser>
          <idx val="1"/>
          <order val="1"/>
          <tx>
            <strRef>
              <f>'Overview'!Y20</f>
            </strRef>
          </tx>
          <spPr>
            <a:ln xmlns:a="http://schemas.openxmlformats.org/drawingml/2006/main">
              <a:prstDash val="solid"/>
            </a:ln>
          </spPr>
          <cat>
            <numRef>
              <f>'Overview'!$Z$18:$AD$18</f>
            </numRef>
          </cat>
          <val>
            <numRef>
              <f>'Overview'!$Z$20:$AD$20</f>
            </numRef>
          </val>
        </ser>
        <ser>
          <idx val="2"/>
          <order val="2"/>
          <tx>
            <strRef>
              <f>'Overview'!Y21</f>
            </strRef>
          </tx>
          <spPr>
            <a:ln xmlns:a="http://schemas.openxmlformats.org/drawingml/2006/main">
              <a:prstDash val="solid"/>
            </a:ln>
          </spPr>
          <cat>
            <numRef>
              <f>'Overview'!$Z$18:$AD$18</f>
            </numRef>
          </cat>
          <val>
            <numRef>
              <f>'Overview'!$Z$21:$AD$21</f>
            </numRef>
          </val>
        </ser>
        <ser>
          <idx val="3"/>
          <order val="3"/>
          <tx>
            <strRef>
              <f>'Overview'!Y22</f>
            </strRef>
          </tx>
          <spPr>
            <a:ln xmlns:a="http://schemas.openxmlformats.org/drawingml/2006/main">
              <a:prstDash val="solid"/>
            </a:ln>
          </spPr>
          <cat>
            <numRef>
              <f>'Overview'!$Z$18:$AD$18</f>
            </numRef>
          </cat>
          <val>
            <numRef>
              <f>'Overview'!$Z$22:$AD$22</f>
            </numRef>
          </val>
        </ser>
        <gapWidth val="150"/>
        <axId val="10"/>
        <axId val="100"/>
      </barChart>
      <catAx>
        <axId val="10"/>
        <scaling>
          <orientation val="minMax"/>
        </scaling>
        <delete val="0"/>
        <axPos val="b"/>
        <majorTickMark val="out"/>
        <minorTickMark val="none"/>
        <tickLblPos val="nextTo"/>
        <crossAx val="100"/>
        <lblOffset val="100"/>
      </catAx>
      <valAx>
        <axId val="100"/>
        <scaling>
          <orientation val="minMax"/>
        </scaling>
        <delete val="0"/>
        <axPos val="l"/>
        <majorGridlines/>
        <title>
          <tx>
            <rich>
              <a:bodyPr xmlns:a="http://schemas.openxmlformats.org/drawingml/2006/main"/>
              <a:p xmlns:a="http://schemas.openxmlformats.org/drawingml/2006/main">
                <a:pPr>
                  <a:defRPr/>
                </a:pPr>
                <a:r>
                  <a:t>£'000</a:t>
                </a:r>
              </a:p>
            </rich>
          </tx>
        </title>
        <majorTickMark val="out"/>
        <minorTickMark val="none"/>
        <tickLblPos val="nextTo"/>
        <crossAx val="10"/>
      </valAx>
    </plotArea>
    <legend>
      <legendPos val="b"/>
      <layout>
        <manualLayout>
          <xMode val="edge"/>
          <yMode val="edge"/>
          <wMode val="factor"/>
          <hMode val="factor"/>
          <x val="0.02"/>
          <y val="0.84"/>
          <w val="0.96"/>
          <h val="0.16"/>
        </manualLayout>
      </layout>
    </legend>
    <plotVisOnly val="0"/>
    <dispBlanksAs val="gap"/>
  </chart>
</chartSpace>
</file>

<file path=xl/charts/chart4.xml><?xml version="1.0" encoding="utf-8"?>
<chartSpace xmlns="http://schemas.openxmlformats.org/drawingml/2006/chart">
  <chart>
    <title>
      <tx>
        <rich>
          <a:bodyPr xmlns:a="http://schemas.openxmlformats.org/drawingml/2006/main"/>
          <a:p xmlns:a="http://schemas.openxmlformats.org/drawingml/2006/main">
            <a:pPr>
              <a:defRPr/>
            </a:pPr>
            <a:r>
              <a:t>Castle Trust Capital plc — Cash Flow Summary by Year</a:t>
            </a:r>
          </a:p>
        </rich>
      </tx>
    </title>
    <plotArea>
      <layout>
        <manualLayout>
          <layoutTarget val="inner"/>
          <xMode val="edge"/>
          <yMode val="edge"/>
          <wMode val="factor"/>
          <hMode val="factor"/>
          <x val="0.1"/>
          <y val="0.14"/>
          <w val="0.85"/>
          <h val="0.55"/>
        </manualLayout>
      </layout>
      <barChart>
        <barDir val="col"/>
        <grouping val="clustered"/>
        <ser>
          <idx val="0"/>
          <order val="0"/>
          <tx>
            <strRef>
              <f>'Overview'!AG26</f>
            </strRef>
          </tx>
          <spPr>
            <a:ln xmlns:a="http://schemas.openxmlformats.org/drawingml/2006/main">
              <a:prstDash val="solid"/>
            </a:ln>
          </spPr>
          <cat>
            <numRef>
              <f>'Overview'!$AH$25:$AL$25</f>
            </numRef>
          </cat>
          <val>
            <numRef>
              <f>'Overview'!$AH$26:$AL$26</f>
            </numRef>
          </val>
        </ser>
        <ser>
          <idx val="1"/>
          <order val="1"/>
          <tx>
            <strRef>
              <f>'Overview'!AG27</f>
            </strRef>
          </tx>
          <spPr>
            <a:ln xmlns:a="http://schemas.openxmlformats.org/drawingml/2006/main">
              <a:prstDash val="solid"/>
            </a:ln>
          </spPr>
          <cat>
            <numRef>
              <f>'Overview'!$AH$25:$AL$25</f>
            </numRef>
          </cat>
          <val>
            <numRef>
              <f>'Overview'!$AH$27:$AL$27</f>
            </numRef>
          </val>
        </ser>
        <ser>
          <idx val="2"/>
          <order val="2"/>
          <tx>
            <strRef>
              <f>'Overview'!AG28</f>
            </strRef>
          </tx>
          <spPr>
            <a:ln xmlns:a="http://schemas.openxmlformats.org/drawingml/2006/main">
              <a:prstDash val="solid"/>
            </a:ln>
          </spPr>
          <cat>
            <numRef>
              <f>'Overview'!$AH$25:$AL$25</f>
            </numRef>
          </cat>
          <val>
            <numRef>
              <f>'Overview'!$AH$28:$AL$28</f>
            </numRef>
          </val>
        </ser>
        <ser>
          <idx val="3"/>
          <order val="3"/>
          <tx>
            <strRef>
              <f>'Overview'!AG29</f>
            </strRef>
          </tx>
          <spPr>
            <a:ln xmlns:a="http://schemas.openxmlformats.org/drawingml/2006/main">
              <a:prstDash val="solid"/>
            </a:ln>
          </spPr>
          <cat>
            <numRef>
              <f>'Overview'!$AH$25:$AL$25</f>
            </numRef>
          </cat>
          <val>
            <numRef>
              <f>'Overview'!$AH$29:$AL$29</f>
            </numRef>
          </val>
        </ser>
        <gapWidth val="150"/>
        <axId val="10"/>
        <axId val="100"/>
      </barChart>
      <catAx>
        <axId val="10"/>
        <scaling>
          <orientation val="minMax"/>
        </scaling>
        <delete val="0"/>
        <axPos val="b"/>
        <majorTickMark val="out"/>
        <minorTickMark val="none"/>
        <tickLblPos val="nextTo"/>
        <crossAx val="100"/>
        <lblOffset val="100"/>
      </catAx>
      <valAx>
        <axId val="100"/>
        <scaling>
          <orientation val="minMax"/>
        </scaling>
        <delete val="0"/>
        <axPos val="l"/>
        <majorGridlines/>
        <title>
          <tx>
            <rich>
              <a:bodyPr xmlns:a="http://schemas.openxmlformats.org/drawingml/2006/main"/>
              <a:p xmlns:a="http://schemas.openxmlformats.org/drawingml/2006/main">
                <a:pPr>
                  <a:defRPr/>
                </a:pPr>
                <a:r>
                  <a:t>£'000</a:t>
                </a:r>
              </a:p>
            </rich>
          </tx>
        </title>
        <majorTickMark val="out"/>
        <minorTickMark val="none"/>
        <tickLblPos val="nextTo"/>
        <crossAx val="10"/>
      </valAx>
    </plotArea>
    <legend>
      <legendPos val="b"/>
      <layout>
        <manualLayout>
          <xMode val="edge"/>
          <yMode val="edge"/>
          <wMode val="factor"/>
          <hMode val="factor"/>
          <x val="0.02"/>
          <y val="0.84"/>
          <w val="0.96"/>
          <h val="0.16"/>
        </manualLayout>
      </layout>
    </legend>
    <plotVisOnly val="0"/>
    <dispBlanksAs val="gap"/>
  </chart>
</chartSpace>
</file>

<file path=xl/charts/chart5.xml><?xml version="1.0" encoding="utf-8"?>
<chartSpace xmlns="http://schemas.openxmlformats.org/drawingml/2006/chart">
  <chart>
    <title>
      <tx>
        <rich>
          <a:bodyPr xmlns:a="http://schemas.openxmlformats.org/drawingml/2006/main"/>
          <a:p xmlns:a="http://schemas.openxmlformats.org/drawingml/2006/main">
            <a:pPr>
              <a:defRPr/>
            </a:pPr>
            <a:r>
              <a:t>Castle Trust Capital plc — Pillar 3 Key Metrics by Year</a:t>
            </a:r>
          </a:p>
        </rich>
      </tx>
    </title>
    <plotArea>
      <layout>
        <manualLayout>
          <layoutTarget val="inner"/>
          <xMode val="edge"/>
          <yMode val="edge"/>
          <wMode val="factor"/>
          <hMode val="factor"/>
          <x val="0.1"/>
          <y val="0.12"/>
          <w val="0.85"/>
          <h val="0.5"/>
        </manualLayout>
      </layout>
      <lineChart>
        <grouping val="standard"/>
        <ser>
          <idx val="0"/>
          <order val="0"/>
          <tx>
            <strRef>
              <f>'Overview'!AO6</f>
            </strRef>
          </tx>
          <spPr>
            <a:ln xmlns:a="http://schemas.openxmlformats.org/drawingml/2006/main">
              <a:prstDash val="solid"/>
            </a:ln>
          </spPr>
          <marker>
            <symbol val="none"/>
            <spPr>
              <a:ln xmlns:a="http://schemas.openxmlformats.org/drawingml/2006/main">
                <a:prstDash val="solid"/>
              </a:ln>
            </spPr>
          </marker>
          <cat>
            <numRef>
              <f>'Overview'!$AP$5:$AT$5</f>
            </numRef>
          </cat>
          <val>
            <numRef>
              <f>'Overview'!$AP$6:$AT$6</f>
            </numRef>
          </val>
          <smooth val="0"/>
        </ser>
        <ser>
          <idx val="1"/>
          <order val="1"/>
          <tx>
            <strRef>
              <f>'Overview'!AO7</f>
            </strRef>
          </tx>
          <spPr>
            <a:ln xmlns:a="http://schemas.openxmlformats.org/drawingml/2006/main">
              <a:prstDash val="solid"/>
            </a:ln>
          </spPr>
          <marker>
            <symbol val="none"/>
            <spPr>
              <a:ln xmlns:a="http://schemas.openxmlformats.org/drawingml/2006/main">
                <a:prstDash val="solid"/>
              </a:ln>
            </spPr>
          </marker>
          <cat>
            <numRef>
              <f>'Overview'!$AP$5:$AT$5</f>
            </numRef>
          </cat>
          <val>
            <numRef>
              <f>'Overview'!$AP$7:$AT$7</f>
            </numRef>
          </val>
          <smooth val="0"/>
        </ser>
        <ser>
          <idx val="2"/>
          <order val="2"/>
          <tx>
            <strRef>
              <f>'Overview'!AO8</f>
            </strRef>
          </tx>
          <spPr>
            <a:ln xmlns:a="http://schemas.openxmlformats.org/drawingml/2006/main">
              <a:prstDash val="solid"/>
            </a:ln>
          </spPr>
          <marker>
            <symbol val="none"/>
            <spPr>
              <a:ln xmlns:a="http://schemas.openxmlformats.org/drawingml/2006/main">
                <a:prstDash val="solid"/>
              </a:ln>
            </spPr>
          </marker>
          <cat>
            <numRef>
              <f>'Overview'!$AP$5:$AT$5</f>
            </numRef>
          </cat>
          <val>
            <numRef>
              <f>'Overview'!$AP$8:$AT$8</f>
            </numRef>
          </val>
          <smooth val="0"/>
        </ser>
        <ser>
          <idx val="3"/>
          <order val="3"/>
          <tx>
            <strRef>
              <f>'Overview'!AO9</f>
            </strRef>
          </tx>
          <spPr>
            <a:ln xmlns:a="http://schemas.openxmlformats.org/drawingml/2006/main">
              <a:prstDash val="solid"/>
            </a:ln>
          </spPr>
          <marker>
            <symbol val="none"/>
            <spPr>
              <a:ln xmlns:a="http://schemas.openxmlformats.org/drawingml/2006/main">
                <a:prstDash val="solid"/>
              </a:ln>
            </spPr>
          </marker>
          <cat>
            <numRef>
              <f>'Overview'!$AP$5:$AT$5</f>
            </numRef>
          </cat>
          <val>
            <numRef>
              <f>'Overview'!$AP$9:$AT$9</f>
            </numRef>
          </val>
          <smooth val="0"/>
        </ser>
        <ser>
          <idx val="4"/>
          <order val="4"/>
          <tx>
            <strRef>
              <f>'Overview'!AO10</f>
            </strRef>
          </tx>
          <spPr>
            <a:ln xmlns:a="http://schemas.openxmlformats.org/drawingml/2006/main">
              <a:prstDash val="solid"/>
            </a:ln>
          </spPr>
          <marker>
            <symbol val="none"/>
            <spPr>
              <a:ln xmlns:a="http://schemas.openxmlformats.org/drawingml/2006/main">
                <a:prstDash val="solid"/>
              </a:ln>
            </spPr>
          </marker>
          <cat>
            <numRef>
              <f>'Overview'!$AP$5:$AT$5</f>
            </numRef>
          </cat>
          <val>
            <numRef>
              <f>'Overview'!$AP$10:$AT$10</f>
            </numRef>
          </val>
          <smooth val="0"/>
        </ser>
        <ser>
          <idx val="5"/>
          <order val="5"/>
          <tx>
            <strRef>
              <f>'Overview'!AO11</f>
            </strRef>
          </tx>
          <spPr>
            <a:ln xmlns:a="http://schemas.openxmlformats.org/drawingml/2006/main">
              <a:prstDash val="solid"/>
            </a:ln>
          </spPr>
          <marker>
            <symbol val="none"/>
            <spPr>
              <a:ln xmlns:a="http://schemas.openxmlformats.org/drawingml/2006/main">
                <a:prstDash val="solid"/>
              </a:ln>
            </spPr>
          </marker>
          <cat>
            <numRef>
              <f>'Overview'!$AP$5:$AT$5</f>
            </numRef>
          </cat>
          <val>
            <numRef>
              <f>'Overview'!$AP$11:$AT$11</f>
            </numRef>
          </val>
          <smooth val="0"/>
        </ser>
        <axId val="10"/>
        <axId val="100"/>
      </lineChart>
      <catAx>
        <axId val="10"/>
        <scaling>
          <orientation val="minMax"/>
        </scaling>
        <delete val="0"/>
        <axPos val="b"/>
        <majorTickMark val="out"/>
        <minorTickMark val="none"/>
        <tickLblPos val="nextTo"/>
        <crossAx val="100"/>
        <lblOffset val="100"/>
      </catAx>
      <valAx>
        <axId val="100"/>
        <scaling>
          <orientation val="minMax"/>
        </scaling>
        <delete val="0"/>
        <axPos val="l"/>
        <majorGridlines/>
        <title>
          <tx>
            <rich>
              <a:bodyPr xmlns:a="http://schemas.openxmlformats.org/drawingml/2006/main"/>
              <a:p xmlns:a="http://schemas.openxmlformats.org/drawingml/2006/main">
                <a:pPr>
                  <a:defRPr/>
                </a:pPr>
                <a:r>
                  <a:t>%</a:t>
                </a:r>
              </a:p>
            </rich>
          </tx>
        </title>
        <majorTickMark val="out"/>
        <minorTickMark val="none"/>
        <tickLblPos val="nextTo"/>
        <crossAx val="10"/>
      </valAx>
    </plotArea>
    <legend>
      <legendPos val="b"/>
      <layout>
        <manualLayout>
          <xMode val="edge"/>
          <yMode val="edge"/>
          <wMode val="factor"/>
          <hMode val="factor"/>
          <x val="0.02"/>
          <y val="0.78"/>
          <w val="0.96"/>
          <h val="0.22"/>
        </manualLayout>
      </layout>
    </legend>
    <plotVisOnly val="0"/>
    <dispBlanksAs val="gap"/>
  </chart>
</chartSpace>
</file>

<file path=xl/drawings/_rels/drawing1.xml.rels><Relationships xmlns="http://schemas.openxmlformats.org/package/2006/relationships"><Relationship Type="http://schemas.openxmlformats.org/officeDocument/2006/relationships/chart" Target="/xl/charts/chart1.xml" Id="rId1"/><Relationship Type="http://schemas.openxmlformats.org/officeDocument/2006/relationships/chart" Target="/xl/charts/chart2.xml" Id="rId2"/><Relationship Type="http://schemas.openxmlformats.org/officeDocument/2006/relationships/chart" Target="/xl/charts/chart3.xml" Id="rId3"/><Relationship Type="http://schemas.openxmlformats.org/officeDocument/2006/relationships/chart" Target="/xl/charts/chart4.xml" Id="rId4"/><Relationship Type="http://schemas.openxmlformats.org/officeDocument/2006/relationships/chart" Target="/xl/charts/chart5.xml" Id="rId5"/></Relationships>
</file>

<file path=xl/drawings/drawing1.xml><?xml version="1.0" encoding="utf-8"?>
<wsDr xmlns="http://schemas.openxmlformats.org/drawingml/2006/spreadsheetDrawing">
  <oneCellAnchor>
    <from>
      <col>0</col>
      <colOff>0</colOff>
      <row>42</row>
      <rowOff>0</rowOff>
    </from>
    <ext cx="8640000" cy="468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oneCellAnchor>
    <from>
      <col>0</col>
      <colOff>0</colOff>
      <row>64</row>
      <rowOff>0</rowOff>
    </from>
    <ext cx="8640000" cy="4680000"/>
    <graphicFrame>
      <nvGraphicFramePr>
        <cNvPr id="2" name="Chart 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
        </a:graphicData>
      </a:graphic>
    </graphicFrame>
    <clientData/>
  </oneCellAnchor>
  <oneCellAnchor>
    <from>
      <col>0</col>
      <colOff>0</colOff>
      <row>86</row>
      <rowOff>0</rowOff>
    </from>
    <ext cx="8640000" cy="4680000"/>
    <graphicFrame>
      <nvGraphicFramePr>
        <cNvPr id="3" name="Chart 3"/>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3"/>
        </a:graphicData>
      </a:graphic>
    </graphicFrame>
    <clientData/>
  </oneCellAnchor>
  <oneCellAnchor>
    <from>
      <col>0</col>
      <colOff>0</colOff>
      <row>108</row>
      <rowOff>0</rowOff>
    </from>
    <ext cx="8640000" cy="4680000"/>
    <graphicFrame>
      <nvGraphicFramePr>
        <cNvPr id="4" name="Chart 4"/>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4"/>
        </a:graphicData>
      </a:graphic>
    </graphicFrame>
    <clientData/>
  </oneCellAnchor>
  <oneCellAnchor>
    <from>
      <col>0</col>
      <colOff>0</colOff>
      <row>130</row>
      <rowOff>0</rowOff>
    </from>
    <ext cx="8640000" cy="5760000"/>
    <graphicFrame>
      <nvGraphicFramePr>
        <cNvPr id="5" name="Chart 5"/>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5"/>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sheet1.xml><?xml version="1.0" encoding="utf-8"?>
<worksheet xmlns="http://schemas.openxmlformats.org/spreadsheetml/2006/main">
  <sheetPr>
    <outlinePr summaryBelow="1" summaryRight="1"/>
    <pageSetUpPr/>
  </sheetPr>
  <dimension ref="A1:AT40"/>
  <sheetViews>
    <sheetView workbookViewId="0">
      <selection activeCell="A1" sqref="A1"/>
    </sheetView>
  </sheetViews>
  <sheetFormatPr baseColWidth="8" defaultRowHeight="15"/>
  <cols>
    <col width="42" customWidth="1" min="1" max="1"/>
    <col width="15" customWidth="1" min="2" max="2"/>
    <col width="15" customWidth="1" min="3" max="3"/>
    <col width="15" customWidth="1" min="4" max="4"/>
    <col width="15" customWidth="1" min="5" max="5"/>
    <col width="15" customWidth="1" min="6" max="6"/>
    <col hidden="1" width="13" customWidth="1" min="9" max="9"/>
    <col hidden="1" width="13" customWidth="1" min="10" max="10"/>
    <col hidden="1" width="13" customWidth="1" min="11" max="11"/>
    <col hidden="1" width="13" customWidth="1" min="12" max="12"/>
    <col hidden="1" width="13" customWidth="1" min="13" max="13"/>
    <col hidden="1" width="13" customWidth="1" min="14" max="14"/>
    <col hidden="1" width="13" customWidth="1" min="15" max="15"/>
    <col hidden="1" width="13" customWidth="1" min="16" max="16"/>
    <col hidden="1" width="13" customWidth="1" min="17" max="17"/>
    <col hidden="1" width="13" customWidth="1" min="18" max="18"/>
    <col hidden="1" width="13" customWidth="1" min="19" max="19"/>
    <col hidden="1" width="13" customWidth="1" min="20" max="20"/>
    <col hidden="1" width="13" customWidth="1" min="21" max="21"/>
    <col hidden="1" width="13" customWidth="1" min="22" max="22"/>
    <col hidden="1" width="13" customWidth="1" min="23" max="23"/>
    <col hidden="1" width="13" customWidth="1" min="24" max="24"/>
    <col hidden="1" width="13" customWidth="1" min="25" max="25"/>
    <col hidden="1" width="13" customWidth="1" min="26" max="26"/>
    <col hidden="1" width="13" customWidth="1" min="27" max="27"/>
    <col hidden="1" width="13" customWidth="1" min="28" max="28"/>
    <col hidden="1" width="13" customWidth="1" min="29" max="29"/>
    <col hidden="1" width="13" customWidth="1" min="30" max="30"/>
    <col hidden="1" width="13" customWidth="1" min="31" max="31"/>
    <col hidden="1" width="13" customWidth="1" min="32" max="32"/>
    <col hidden="1" width="13" customWidth="1" min="33" max="33"/>
    <col hidden="1" width="13" customWidth="1" min="34" max="34"/>
    <col hidden="1" width="13" customWidth="1" min="35" max="35"/>
    <col hidden="1" width="13" customWidth="1" min="36" max="36"/>
    <col hidden="1" width="13" customWidth="1" min="37" max="37"/>
    <col hidden="1" width="13" customWidth="1" min="38" max="38"/>
    <col hidden="1" width="13" customWidth="1" min="39" max="39"/>
    <col hidden="1" width="13" customWidth="1" min="40" max="40"/>
    <col hidden="1" width="13" customWidth="1" min="41" max="41"/>
    <col hidden="1" width="13" customWidth="1" min="42" max="42"/>
    <col hidden="1" width="13" customWidth="1" min="43" max="43"/>
    <col hidden="1" width="13" customWidth="1" min="44" max="44"/>
    <col hidden="1" width="13" customWidth="1" min="45" max="45"/>
    <col hidden="1" width="13" customWidth="1" min="46" max="46"/>
  </cols>
  <sheetData>
    <row r="1">
      <c r="A1" s="1" t="inlineStr">
        <is>
          <t>Castle Trust Capital plc — Overview</t>
        </is>
      </c>
    </row>
    <row r="2">
      <c r="A2" s="2" t="inlineStr">
        <is>
          <t>Headline balance sheet, profit &amp; loss, cash flow and Pillar 3 figures across all years covered in this workbook - how the bank is using its money and the risk it is taking with it</t>
        </is>
      </c>
    </row>
    <row r="3"/>
    <row r="4">
      <c r="A4" s="3" t="inlineStr">
        <is>
          <t>Balance Sheet Summary (£'000)</t>
        </is>
      </c>
    </row>
    <row r="5">
      <c r="A5" s="4" t="inlineStr">
        <is>
          <t>Line item</t>
        </is>
      </c>
      <c r="B5" s="4" t="inlineStr">
        <is>
          <t>FY2025</t>
        </is>
      </c>
      <c r="C5" s="4" t="inlineStr">
        <is>
          <t>FY2024</t>
        </is>
      </c>
      <c r="D5" s="4" t="inlineStr">
        <is>
          <t>FY2023</t>
        </is>
      </c>
      <c r="E5" s="4" t="inlineStr">
        <is>
          <t>FY2022</t>
        </is>
      </c>
      <c r="F5" s="4" t="inlineStr">
        <is>
          <t>FY2021</t>
        </is>
      </c>
      <c r="J5" t="inlineStr">
        <is>
          <t>FY2021</t>
        </is>
      </c>
      <c r="K5" t="inlineStr">
        <is>
          <t>FY2022</t>
        </is>
      </c>
      <c r="L5" t="inlineStr">
        <is>
          <t>FY2023</t>
        </is>
      </c>
      <c r="M5" t="inlineStr">
        <is>
          <t>FY2024</t>
        </is>
      </c>
      <c r="N5" t="inlineStr">
        <is>
          <t>FY2025</t>
        </is>
      </c>
      <c r="AP5" t="inlineStr">
        <is>
          <t>FY2021</t>
        </is>
      </c>
      <c r="AQ5" t="inlineStr">
        <is>
          <t>FY2022</t>
        </is>
      </c>
      <c r="AR5" t="inlineStr">
        <is>
          <t>FY2023</t>
        </is>
      </c>
      <c r="AS5" t="inlineStr">
        <is>
          <t>FY2024</t>
        </is>
      </c>
      <c r="AT5" t="inlineStr">
        <is>
          <t>FY2025</t>
        </is>
      </c>
    </row>
    <row r="6">
      <c r="A6" s="5" t="inlineStr">
        <is>
          <t>Total assets</t>
        </is>
      </c>
      <c r="B6" s="5" t="n">
        <v>1638042</v>
      </c>
      <c r="C6" s="5" t="n">
        <v>1112163</v>
      </c>
      <c r="D6" s="5" t="n">
        <v>939391</v>
      </c>
      <c r="E6" s="5" t="n">
        <v>832897</v>
      </c>
      <c r="F6" s="5" t="n">
        <v>659268</v>
      </c>
      <c r="I6" t="inlineStr">
        <is>
          <t>Total assets</t>
        </is>
      </c>
      <c r="J6" t="n">
        <v>659268</v>
      </c>
      <c r="K6" t="n">
        <v>832897</v>
      </c>
      <c r="L6" t="n">
        <v>939391</v>
      </c>
      <c r="M6" t="n">
        <v>1112163</v>
      </c>
      <c r="N6" t="n">
        <v>1638042</v>
      </c>
      <c r="AO6" t="inlineStr">
        <is>
          <t>CET1 Ratio</t>
        </is>
      </c>
      <c r="AP6" t="n">
        <v>20</v>
      </c>
      <c r="AQ6" t="n">
        <v>21.03</v>
      </c>
      <c r="AR6" t="n">
        <v>20.1</v>
      </c>
      <c r="AS6" t="n">
        <v>16.64</v>
      </c>
      <c r="AT6" t="n">
        <v>13.35</v>
      </c>
    </row>
    <row r="7">
      <c r="A7" s="5" t="inlineStr">
        <is>
          <t>Loans to customers, at amortised cost</t>
        </is>
      </c>
      <c r="B7" s="5" t="n">
        <v>1082504</v>
      </c>
      <c r="C7" s="5" t="n">
        <v>668338</v>
      </c>
      <c r="D7" s="5" t="n">
        <v>546990</v>
      </c>
      <c r="E7" s="5" t="n">
        <v>453815</v>
      </c>
      <c r="F7" s="5" t="n">
        <v>394523</v>
      </c>
      <c r="I7" t="inlineStr">
        <is>
          <t>Loans to customers, at amortised cost</t>
        </is>
      </c>
      <c r="J7" t="n">
        <v>394523</v>
      </c>
      <c r="K7" t="n">
        <v>453815</v>
      </c>
      <c r="L7" t="n">
        <v>546990</v>
      </c>
      <c r="M7" t="n">
        <v>668338</v>
      </c>
      <c r="N7" t="n">
        <v>1082504</v>
      </c>
      <c r="AO7" t="inlineStr">
        <is>
          <t>Tier 1 Ratio</t>
        </is>
      </c>
      <c r="AP7" t="n">
        <v>20</v>
      </c>
      <c r="AQ7" t="n">
        <v>21.03</v>
      </c>
      <c r="AR7" t="n">
        <v>20.1</v>
      </c>
      <c r="AS7" t="n">
        <v>16.64</v>
      </c>
      <c r="AT7" t="n">
        <v>13.35</v>
      </c>
    </row>
    <row r="8">
      <c r="A8" s="5" t="inlineStr">
        <is>
          <t>Amounts due to customers, at amortised cost</t>
        </is>
      </c>
      <c r="B8" s="5" t="n">
        <v>1495438</v>
      </c>
      <c r="C8" s="5" t="n">
        <v>957770</v>
      </c>
      <c r="D8" s="5" t="n">
        <v>827055</v>
      </c>
      <c r="E8" s="5" t="n">
        <v>724595</v>
      </c>
      <c r="F8" s="5" t="n">
        <v>557956</v>
      </c>
      <c r="I8" t="inlineStr">
        <is>
          <t>Amounts due to customers, at amortised cost</t>
        </is>
      </c>
      <c r="J8" t="n">
        <v>557956</v>
      </c>
      <c r="K8" t="n">
        <v>724595</v>
      </c>
      <c r="L8" t="n">
        <v>827055</v>
      </c>
      <c r="M8" t="n">
        <v>957770</v>
      </c>
      <c r="N8" t="n">
        <v>1495438</v>
      </c>
      <c r="AO8" t="inlineStr">
        <is>
          <t>Total Capital Ratio</t>
        </is>
      </c>
      <c r="AP8" t="n">
        <v>20</v>
      </c>
      <c r="AQ8" t="n">
        <v>21.03</v>
      </c>
      <c r="AR8" t="n">
        <v>20.1</v>
      </c>
      <c r="AS8" t="n">
        <v>18.04</v>
      </c>
      <c r="AT8" t="n">
        <v>15.72</v>
      </c>
    </row>
    <row r="9">
      <c r="A9" s="5" t="inlineStr">
        <is>
          <t>Total equity</t>
        </is>
      </c>
      <c r="B9" s="5" t="n">
        <v>103141</v>
      </c>
      <c r="C9" s="5" t="n">
        <v>102615</v>
      </c>
      <c r="D9" s="5" t="n">
        <v>102379</v>
      </c>
      <c r="E9" s="5" t="n">
        <v>93954</v>
      </c>
      <c r="F9" s="5" t="n">
        <v>91962</v>
      </c>
      <c r="I9" t="inlineStr">
        <is>
          <t>Total equity</t>
        </is>
      </c>
      <c r="J9" t="n">
        <v>91962</v>
      </c>
      <c r="K9" t="n">
        <v>93954</v>
      </c>
      <c r="L9" t="n">
        <v>102379</v>
      </c>
      <c r="M9" t="n">
        <v>102615</v>
      </c>
      <c r="N9" t="n">
        <v>103141</v>
      </c>
      <c r="AO9" t="inlineStr">
        <is>
          <t>Leverage Ratio</t>
        </is>
      </c>
      <c r="AP9" t="n">
        <v>11.1</v>
      </c>
      <c r="AQ9" t="n">
        <v>9.17</v>
      </c>
      <c r="AR9" t="n">
        <v>8.94</v>
      </c>
      <c r="AS9" t="n">
        <v>9.66</v>
      </c>
      <c r="AT9" t="n">
        <v>7.22</v>
      </c>
    </row>
    <row r="10">
      <c r="AO10" t="inlineStr">
        <is>
          <t>LCR</t>
        </is>
      </c>
      <c r="AP10" t="n">
        <v>575.71</v>
      </c>
      <c r="AQ10" t="n">
        <v>401.68</v>
      </c>
      <c r="AR10" t="n">
        <v>324.9</v>
      </c>
      <c r="AS10" t="n">
        <v>296.84</v>
      </c>
      <c r="AT10" t="n">
        <v>189.07</v>
      </c>
    </row>
    <row r="11">
      <c r="A11" s="3" t="inlineStr">
        <is>
          <t>Profit &amp; Loss Summary (£'000)</t>
        </is>
      </c>
      <c r="AO11" t="inlineStr">
        <is>
          <t>NSFR</t>
        </is>
      </c>
      <c r="AQ11" t="n">
        <v>169.82</v>
      </c>
      <c r="AR11" t="n">
        <v>171.97</v>
      </c>
      <c r="AS11" t="n">
        <v>156.44</v>
      </c>
      <c r="AT11" t="n">
        <v>178.27</v>
      </c>
    </row>
    <row r="12">
      <c r="A12" s="4" t="inlineStr">
        <is>
          <t>Line item</t>
        </is>
      </c>
      <c r="B12" s="4" t="inlineStr">
        <is>
          <t>FY2025</t>
        </is>
      </c>
      <c r="C12" s="4" t="inlineStr">
        <is>
          <t>FY2024</t>
        </is>
      </c>
      <c r="D12" s="4" t="inlineStr">
        <is>
          <t>FY2023</t>
        </is>
      </c>
      <c r="E12" s="4" t="inlineStr">
        <is>
          <t>FY2022</t>
        </is>
      </c>
      <c r="F12" s="4" t="inlineStr">
        <is>
          <t>FY2021</t>
        </is>
      </c>
      <c r="R12" t="inlineStr">
        <is>
          <t>FY2021</t>
        </is>
      </c>
      <c r="S12" t="inlineStr">
        <is>
          <t>FY2022</t>
        </is>
      </c>
      <c r="T12" t="inlineStr">
        <is>
          <t>FY2023</t>
        </is>
      </c>
      <c r="U12" t="inlineStr">
        <is>
          <t>FY2024</t>
        </is>
      </c>
      <c r="V12" t="inlineStr">
        <is>
          <t>FY2025</t>
        </is>
      </c>
    </row>
    <row r="13">
      <c r="A13" s="5" t="inlineStr">
        <is>
          <t>Net interest income</t>
        </is>
      </c>
      <c r="B13" s="5" t="n">
        <v>33009</v>
      </c>
      <c r="C13" s="5" t="n">
        <v>26408</v>
      </c>
      <c r="D13" s="5" t="n">
        <v>29626</v>
      </c>
      <c r="E13" s="5" t="n">
        <v>25539</v>
      </c>
      <c r="F13" s="5" t="n">
        <v>24254</v>
      </c>
      <c r="Q13" t="inlineStr">
        <is>
          <t>Net interest income</t>
        </is>
      </c>
      <c r="R13" t="n">
        <v>24254</v>
      </c>
      <c r="S13" t="n">
        <v>25539</v>
      </c>
      <c r="T13" t="n">
        <v>29626</v>
      </c>
      <c r="U13" t="n">
        <v>26408</v>
      </c>
      <c r="V13" t="n">
        <v>33009</v>
      </c>
    </row>
    <row r="14">
      <c r="A14" s="5" t="inlineStr">
        <is>
          <t>Administrative expenses</t>
        </is>
      </c>
      <c r="B14" s="5" t="n">
        <v>-23526</v>
      </c>
      <c r="C14" s="5" t="n">
        <v>-21751</v>
      </c>
      <c r="D14" s="5" t="n">
        <v>-21144</v>
      </c>
      <c r="E14" s="5" t="n">
        <v>-21001</v>
      </c>
      <c r="F14" s="5" t="n">
        <v>-22281</v>
      </c>
      <c r="Q14" t="inlineStr">
        <is>
          <t>Administrative expenses</t>
        </is>
      </c>
      <c r="R14" t="n">
        <v>-22281</v>
      </c>
      <c r="S14" t="n">
        <v>-21001</v>
      </c>
      <c r="T14" t="n">
        <v>-21144</v>
      </c>
      <c r="U14" t="n">
        <v>-21751</v>
      </c>
      <c r="V14" t="n">
        <v>-23526</v>
      </c>
    </row>
    <row r="15">
      <c r="A15" s="5" t="inlineStr">
        <is>
          <t>Total profit/(loss)</t>
        </is>
      </c>
      <c r="B15" s="5" t="n">
        <v>526</v>
      </c>
      <c r="C15" s="5" t="n">
        <v>235</v>
      </c>
      <c r="D15" s="5" t="n">
        <v>8332</v>
      </c>
      <c r="E15" s="5" t="n">
        <v>1981</v>
      </c>
      <c r="F15" s="5" t="n">
        <v>6753</v>
      </c>
      <c r="Q15" t="inlineStr">
        <is>
          <t>Total profit/(loss)</t>
        </is>
      </c>
      <c r="R15" t="n">
        <v>6753</v>
      </c>
      <c r="S15" t="n">
        <v>1981</v>
      </c>
      <c r="T15" t="n">
        <v>8332</v>
      </c>
      <c r="U15" t="n">
        <v>235</v>
      </c>
      <c r="V15" t="n">
        <v>526</v>
      </c>
    </row>
    <row r="17">
      <c r="A17" s="3" t="inlineStr">
        <is>
          <t>Statement of Changes in Equity Summary (£'000)</t>
        </is>
      </c>
    </row>
    <row r="18">
      <c r="A18" s="4" t="inlineStr">
        <is>
          <t>Line item</t>
        </is>
      </c>
      <c r="B18" s="4" t="inlineStr">
        <is>
          <t>FY2025</t>
        </is>
      </c>
      <c r="C18" s="4" t="inlineStr">
        <is>
          <t>FY2024</t>
        </is>
      </c>
      <c r="D18" s="4" t="inlineStr">
        <is>
          <t>FY2023</t>
        </is>
      </c>
      <c r="E18" s="4" t="inlineStr">
        <is>
          <t>FY2022</t>
        </is>
      </c>
      <c r="F18" s="4" t="inlineStr">
        <is>
          <t>FY2021</t>
        </is>
      </c>
      <c r="Z18" t="inlineStr">
        <is>
          <t>FY2021</t>
        </is>
      </c>
      <c r="AA18" t="inlineStr">
        <is>
          <t>FY2022</t>
        </is>
      </c>
      <c r="AB18" t="inlineStr">
        <is>
          <t>FY2023</t>
        </is>
      </c>
      <c r="AC18" t="inlineStr">
        <is>
          <t>FY2024</t>
        </is>
      </c>
      <c r="AD18" t="inlineStr">
        <is>
          <t>FY2025</t>
        </is>
      </c>
    </row>
    <row r="19">
      <c r="A19" s="5" t="inlineStr">
        <is>
          <t>Opening equity</t>
        </is>
      </c>
      <c r="B19" s="5" t="n">
        <v>102615</v>
      </c>
      <c r="C19" s="5" t="n">
        <v>102379</v>
      </c>
      <c r="D19" s="5" t="n">
        <v>93954</v>
      </c>
      <c r="E19" s="5" t="n">
        <v>91962</v>
      </c>
      <c r="F19" s="5" t="n">
        <v>85197</v>
      </c>
      <c r="Y19" t="inlineStr">
        <is>
          <t>Opening equity</t>
        </is>
      </c>
      <c r="Z19" t="n">
        <v>85197</v>
      </c>
      <c r="AA19" t="n">
        <v>91962</v>
      </c>
      <c r="AB19" t="n">
        <v>93954</v>
      </c>
      <c r="AC19" t="n">
        <v>102379</v>
      </c>
      <c r="AD19" t="n">
        <v>102615</v>
      </c>
    </row>
    <row r="20">
      <c r="A20" s="5" t="inlineStr">
        <is>
          <t>Total comprehensive income for the year</t>
        </is>
      </c>
      <c r="B20" s="5" t="n">
        <v>526</v>
      </c>
      <c r="C20" s="5" t="n">
        <v>235</v>
      </c>
      <c r="D20" s="5" t="n">
        <v>8332</v>
      </c>
      <c r="E20" s="5" t="n">
        <v>1956</v>
      </c>
      <c r="F20" s="5" t="n">
        <v>6749</v>
      </c>
      <c r="Y20" t="inlineStr">
        <is>
          <t>Total comprehensive income for the year</t>
        </is>
      </c>
      <c r="Z20" t="n">
        <v>6749</v>
      </c>
      <c r="AA20" t="n">
        <v>1956</v>
      </c>
      <c r="AB20" t="n">
        <v>8332</v>
      </c>
      <c r="AC20" t="n">
        <v>235</v>
      </c>
      <c r="AD20" t="n">
        <v>526</v>
      </c>
    </row>
    <row r="21">
      <c r="A21" s="5" t="inlineStr">
        <is>
          <t>Other movements, net</t>
        </is>
      </c>
      <c r="B21" s="5" t="n">
        <v>0</v>
      </c>
      <c r="C21" s="5" t="n">
        <v>1</v>
      </c>
      <c r="D21" s="5" t="n">
        <v>93</v>
      </c>
      <c r="E21" s="5" t="n">
        <v>36</v>
      </c>
      <c r="F21" s="5" t="n">
        <v>16</v>
      </c>
      <c r="Y21" t="inlineStr">
        <is>
          <t>Other movements, net</t>
        </is>
      </c>
      <c r="Z21" t="n">
        <v>16</v>
      </c>
      <c r="AA21" t="n">
        <v>36</v>
      </c>
      <c r="AB21" t="n">
        <v>93</v>
      </c>
      <c r="AC21" t="n">
        <v>1</v>
      </c>
      <c r="AD21" t="n">
        <v>0</v>
      </c>
    </row>
    <row r="22">
      <c r="A22" s="5" t="inlineStr">
        <is>
          <t>Closing equity</t>
        </is>
      </c>
      <c r="B22" s="5" t="n">
        <v>103141</v>
      </c>
      <c r="C22" s="5" t="n">
        <v>102615</v>
      </c>
      <c r="D22" s="5" t="n">
        <v>102379</v>
      </c>
      <c r="E22" s="5" t="n">
        <v>93954</v>
      </c>
      <c r="F22" s="5" t="n">
        <v>91962</v>
      </c>
      <c r="Y22" t="inlineStr">
        <is>
          <t>Closing equity</t>
        </is>
      </c>
      <c r="Z22" t="n">
        <v>91962</v>
      </c>
      <c r="AA22" t="n">
        <v>93954</v>
      </c>
      <c r="AB22" t="n">
        <v>102379</v>
      </c>
      <c r="AC22" t="n">
        <v>102615</v>
      </c>
      <c r="AD22" t="n">
        <v>103141</v>
      </c>
    </row>
    <row r="24">
      <c r="A24" s="3" t="inlineStr">
        <is>
          <t>Cash Flow Summary (£'000)</t>
        </is>
      </c>
    </row>
    <row r="25">
      <c r="A25" s="4" t="inlineStr">
        <is>
          <t>Line item</t>
        </is>
      </c>
      <c r="B25" s="4" t="inlineStr">
        <is>
          <t>FY2025</t>
        </is>
      </c>
      <c r="C25" s="4" t="inlineStr">
        <is>
          <t>FY2024</t>
        </is>
      </c>
      <c r="D25" s="4" t="inlineStr">
        <is>
          <t>FY2023</t>
        </is>
      </c>
      <c r="E25" s="4" t="inlineStr">
        <is>
          <t>FY2022</t>
        </is>
      </c>
      <c r="F25" s="4" t="inlineStr">
        <is>
          <t>FY2021</t>
        </is>
      </c>
      <c r="AH25" t="inlineStr">
        <is>
          <t>FY2021</t>
        </is>
      </c>
      <c r="AI25" t="inlineStr">
        <is>
          <t>FY2022</t>
        </is>
      </c>
      <c r="AJ25" t="inlineStr">
        <is>
          <t>FY2023</t>
        </is>
      </c>
      <c r="AK25" t="inlineStr">
        <is>
          <t>FY2024</t>
        </is>
      </c>
      <c r="AL25" t="inlineStr">
        <is>
          <t>FY2025</t>
        </is>
      </c>
    </row>
    <row r="26">
      <c r="A26" s="5" t="inlineStr">
        <is>
          <t>Net cash generated from/(used in) operating activities</t>
        </is>
      </c>
      <c r="B26" s="5" t="n">
        <v>134605</v>
      </c>
      <c r="C26" s="5" t="n">
        <v>5222</v>
      </c>
      <c r="D26" s="5" t="n">
        <v>12982</v>
      </c>
      <c r="E26" s="5" t="n">
        <v>113687</v>
      </c>
      <c r="F26" s="5" t="n">
        <v>-62617</v>
      </c>
      <c r="AG26" t="inlineStr">
        <is>
          <t>Net cash generated from/(used in) operating activities</t>
        </is>
      </c>
      <c r="AH26" t="n">
        <v>-62617</v>
      </c>
      <c r="AI26" t="n">
        <v>113687</v>
      </c>
      <c r="AJ26" t="n">
        <v>12982</v>
      </c>
      <c r="AK26" t="n">
        <v>5222</v>
      </c>
      <c r="AL26" t="n">
        <v>134605</v>
      </c>
    </row>
    <row r="27">
      <c r="A27" s="5" t="inlineStr">
        <is>
          <t>Net cash generated from/(used in) investing activities</t>
        </is>
      </c>
      <c r="B27" s="5" t="n">
        <v>41631</v>
      </c>
      <c r="C27" s="5" t="n">
        <v>-25653</v>
      </c>
      <c r="D27" s="5" t="n">
        <v>-37858</v>
      </c>
      <c r="E27" s="5" t="n">
        <v>12644</v>
      </c>
      <c r="F27" s="5" t="n">
        <v>95802</v>
      </c>
      <c r="AG27" t="inlineStr">
        <is>
          <t>Net cash generated from/(used in) investing activities</t>
        </is>
      </c>
      <c r="AH27" t="n">
        <v>95802</v>
      </c>
      <c r="AI27" t="n">
        <v>12644</v>
      </c>
      <c r="AJ27" t="n">
        <v>-37858</v>
      </c>
      <c r="AK27" t="n">
        <v>-25653</v>
      </c>
      <c r="AL27" t="n">
        <v>41631</v>
      </c>
    </row>
    <row r="28">
      <c r="A28" s="5" t="inlineStr">
        <is>
          <t>Net cash generated from/(used in) financing activities</t>
        </is>
      </c>
      <c r="B28" s="5" t="n">
        <v>33606</v>
      </c>
      <c r="C28" s="5" t="n">
        <v>37192</v>
      </c>
      <c r="D28" s="5" t="n">
        <v>-18538</v>
      </c>
      <c r="E28" s="5" t="n">
        <v>-37169</v>
      </c>
      <c r="F28" s="5" t="n">
        <v>-10471</v>
      </c>
      <c r="AG28" t="inlineStr">
        <is>
          <t>Net cash generated from/(used in) financing activities</t>
        </is>
      </c>
      <c r="AH28" t="n">
        <v>-10471</v>
      </c>
      <c r="AI28" t="n">
        <v>-37169</v>
      </c>
      <c r="AJ28" t="n">
        <v>-18538</v>
      </c>
      <c r="AK28" t="n">
        <v>37192</v>
      </c>
      <c r="AL28" t="n">
        <v>33606</v>
      </c>
    </row>
    <row r="29">
      <c r="A29" s="5" t="inlineStr">
        <is>
          <t>Cash and cash equivalents at end of year</t>
        </is>
      </c>
      <c r="B29" s="5" t="n">
        <v>326895</v>
      </c>
      <c r="C29" s="5" t="n">
        <v>117053</v>
      </c>
      <c r="D29" s="5" t="n">
        <v>100292</v>
      </c>
      <c r="E29" s="5" t="n">
        <v>143706</v>
      </c>
      <c r="F29" s="5" t="n">
        <v>54544</v>
      </c>
      <c r="AG29" t="inlineStr">
        <is>
          <t>Cash and cash equivalents at end of year</t>
        </is>
      </c>
      <c r="AH29" t="n">
        <v>54544</v>
      </c>
      <c r="AI29" t="n">
        <v>143706</v>
      </c>
      <c r="AJ29" t="n">
        <v>100292</v>
      </c>
      <c r="AK29" t="n">
        <v>117053</v>
      </c>
      <c r="AL29" t="n">
        <v>326895</v>
      </c>
    </row>
    <row r="31">
      <c r="A31" s="3" t="inlineStr">
        <is>
          <t>Pillar 3 Key Metrics</t>
        </is>
      </c>
    </row>
    <row r="32">
      <c r="A32" s="4" t="inlineStr">
        <is>
          <t>Line item</t>
        </is>
      </c>
      <c r="B32" s="4" t="inlineStr">
        <is>
          <t>FY2025</t>
        </is>
      </c>
      <c r="C32" s="4" t="inlineStr">
        <is>
          <t>FY2024</t>
        </is>
      </c>
      <c r="D32" s="4" t="inlineStr">
        <is>
          <t>FY2023</t>
        </is>
      </c>
      <c r="E32" s="4" t="inlineStr">
        <is>
          <t>FY2022</t>
        </is>
      </c>
      <c r="F32" s="4" t="inlineStr">
        <is>
          <t>FY2021</t>
        </is>
      </c>
    </row>
    <row r="33">
      <c r="A33" s="6" t="inlineStr">
        <is>
          <t>CET1 Ratio</t>
        </is>
      </c>
      <c r="B33" s="6" t="inlineStr">
        <is>
          <t>13.35%</t>
        </is>
      </c>
      <c r="C33" s="6" t="inlineStr">
        <is>
          <t>16.64%</t>
        </is>
      </c>
      <c r="D33" s="6" t="inlineStr">
        <is>
          <t>20.10%</t>
        </is>
      </c>
      <c r="E33" s="6" t="inlineStr">
        <is>
          <t>21.03%</t>
        </is>
      </c>
      <c r="F33" s="6" t="inlineStr">
        <is>
          <t>20.0%</t>
        </is>
      </c>
    </row>
    <row r="34">
      <c r="A34" s="6" t="inlineStr">
        <is>
          <t>Tier 1 Ratio</t>
        </is>
      </c>
      <c r="B34" s="6" t="inlineStr">
        <is>
          <t>13.35%</t>
        </is>
      </c>
      <c r="C34" s="6" t="inlineStr">
        <is>
          <t>16.64%</t>
        </is>
      </c>
      <c r="D34" s="6" t="inlineStr">
        <is>
          <t>20.10%</t>
        </is>
      </c>
      <c r="E34" s="6" t="inlineStr">
        <is>
          <t>21.03%</t>
        </is>
      </c>
      <c r="F34" s="6" t="inlineStr">
        <is>
          <t>20.0%</t>
        </is>
      </c>
    </row>
    <row r="35">
      <c r="A35" s="6" t="inlineStr">
        <is>
          <t>Total Capital Ratio</t>
        </is>
      </c>
      <c r="B35" s="6" t="inlineStr">
        <is>
          <t>15.72%</t>
        </is>
      </c>
      <c r="C35" s="6" t="inlineStr">
        <is>
          <t>18.04%</t>
        </is>
      </c>
      <c r="D35" s="6" t="inlineStr">
        <is>
          <t>20.10%</t>
        </is>
      </c>
      <c r="E35" s="6" t="inlineStr">
        <is>
          <t>21.03%</t>
        </is>
      </c>
      <c r="F35" s="6" t="inlineStr">
        <is>
          <t>20.0%</t>
        </is>
      </c>
    </row>
    <row r="36">
      <c r="A36" s="6" t="inlineStr">
        <is>
          <t>Leverage Ratio</t>
        </is>
      </c>
      <c r="B36" s="6" t="inlineStr">
        <is>
          <t>7.22%</t>
        </is>
      </c>
      <c r="C36" s="6" t="inlineStr">
        <is>
          <t>9.66%</t>
        </is>
      </c>
      <c r="D36" s="6" t="inlineStr">
        <is>
          <t>8.94%</t>
        </is>
      </c>
      <c r="E36" s="6" t="inlineStr">
        <is>
          <t>9.17%</t>
        </is>
      </c>
      <c r="F36" s="6" t="inlineStr">
        <is>
          <t>11.1%</t>
        </is>
      </c>
    </row>
    <row r="37">
      <c r="A37" s="6" t="inlineStr">
        <is>
          <t>LCR</t>
        </is>
      </c>
      <c r="B37" s="6" t="inlineStr">
        <is>
          <t>189.07%</t>
        </is>
      </c>
      <c r="C37" s="6" t="inlineStr">
        <is>
          <t>296.84%</t>
        </is>
      </c>
      <c r="D37" s="6" t="inlineStr">
        <is>
          <t>324.90%</t>
        </is>
      </c>
      <c r="E37" s="6" t="inlineStr">
        <is>
          <t>401.68%</t>
        </is>
      </c>
      <c r="F37" s="6" t="inlineStr">
        <is>
          <t>575.71%</t>
        </is>
      </c>
    </row>
    <row r="38">
      <c r="A38" s="6" t="inlineStr">
        <is>
          <t>NSFR</t>
        </is>
      </c>
      <c r="B38" s="6" t="inlineStr">
        <is>
          <t>178.27%</t>
        </is>
      </c>
      <c r="C38" s="6" t="inlineStr">
        <is>
          <t>156.44%</t>
        </is>
      </c>
      <c r="D38" s="6" t="inlineStr">
        <is>
          <t>171.97%</t>
        </is>
      </c>
      <c r="E38" s="6" t="inlineStr">
        <is>
          <t>169.82%</t>
        </is>
      </c>
      <c r="F38" s="6" t="n"/>
    </row>
    <row r="40" ht="30" customHeight="1">
      <c r="A40" s="7" t="inlineStr">
        <is>
          <t>Note: Figures are duplicated from the detail sheets for at-a-glance trend viewing; see each sheet's own source citation for the underlying document/page. All figures are Castle Trust Capital plc's own solo ('Bank') basis, not the wider Castle Trust Holdings Limited Group.</t>
        </is>
      </c>
    </row>
  </sheetData>
  <mergeCells count="1">
    <mergeCell ref="A40:F40"/>
  </mergeCells>
  <pageMargins left="0.75" right="0.75" top="1" bottom="1" header="0.5" footer="0.5"/>
  <drawing xmlns:r="http://schemas.openxmlformats.org/officeDocument/2006/relationships" r:id="rId1"/>
</worksheet>
</file>

<file path=xl/worksheets/sheet2.xml><?xml version="1.0" encoding="utf-8"?>
<worksheet xmlns="http://schemas.openxmlformats.org/spreadsheetml/2006/main">
  <sheetPr>
    <outlinePr summaryBelow="1" summaryRight="1"/>
    <pageSetUpPr/>
  </sheetPr>
  <dimension ref="A1:F41"/>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68" customWidth="1" min="1" max="1"/>
    <col width="15" customWidth="1" min="2" max="2"/>
    <col width="15" customWidth="1" min="3" max="3"/>
    <col width="15" customWidth="1" min="4" max="4"/>
    <col width="15" customWidth="1" min="5" max="5"/>
    <col width="15" customWidth="1" min="6" max="6"/>
  </cols>
  <sheetData>
    <row r="1">
      <c r="A1" s="1" t="inlineStr">
        <is>
          <t>Castle Trust Capital plc — Statement of Financial Position</t>
        </is>
      </c>
    </row>
    <row r="2">
      <c r="A2" s="2" t="inlineStr">
        <is>
          <t>Company (solo) basis, £'000. Not the wider Castle Trust Holdings Limited Group. See source note at bottom.</t>
        </is>
      </c>
    </row>
    <row r="3">
      <c r="A3" s="4" t="inlineStr">
        <is>
          <t>Line item</t>
        </is>
      </c>
      <c r="B3" s="4" t="inlineStr">
        <is>
          <t>FY2025 (£'000)</t>
        </is>
      </c>
      <c r="C3" s="4" t="inlineStr">
        <is>
          <t>FY2024 (£'000)</t>
        </is>
      </c>
      <c r="D3" s="4" t="inlineStr">
        <is>
          <t>FY2023 (£'000)</t>
        </is>
      </c>
      <c r="E3" s="4" t="inlineStr">
        <is>
          <t>FY2022 (£'000)</t>
        </is>
      </c>
      <c r="F3" s="4" t="inlineStr">
        <is>
          <t>FY2021 (£'000)</t>
        </is>
      </c>
    </row>
    <row r="4">
      <c r="A4" s="5" t="inlineStr">
        <is>
          <t>Assets</t>
        </is>
      </c>
      <c r="B4" s="6" t="n"/>
      <c r="C4" s="6" t="n"/>
      <c r="D4" s="6" t="n"/>
      <c r="E4" s="6" t="n"/>
      <c r="F4" s="6" t="n"/>
    </row>
    <row r="5">
      <c r="A5" s="6" t="inlineStr">
        <is>
          <t>Cash and cash equivalents</t>
        </is>
      </c>
      <c r="B5" s="6" t="n">
        <v>326895</v>
      </c>
      <c r="C5" s="6" t="n">
        <v>117053</v>
      </c>
      <c r="D5" s="6" t="n">
        <v>100292</v>
      </c>
      <c r="E5" s="6" t="n">
        <v>143706</v>
      </c>
      <c r="F5" s="6" t="n">
        <v>54544</v>
      </c>
    </row>
    <row r="6">
      <c r="A6" s="6" t="inlineStr">
        <is>
          <t>Due from credit institutions</t>
        </is>
      </c>
      <c r="B6" s="6" t="n">
        <v>15053</v>
      </c>
      <c r="C6" s="6" t="n">
        <v>12254</v>
      </c>
      <c r="D6" s="6" t="n">
        <v>3900</v>
      </c>
      <c r="E6" s="6" t="n">
        <v>1970</v>
      </c>
      <c r="F6" s="6" t="n"/>
    </row>
    <row r="7">
      <c r="A7" s="6" t="inlineStr">
        <is>
          <t>Debt instruments</t>
        </is>
      </c>
      <c r="B7" s="6" t="n">
        <v>20301</v>
      </c>
      <c r="C7" s="6" t="n">
        <v>63810</v>
      </c>
      <c r="D7" s="6" t="n">
        <v>40495</v>
      </c>
      <c r="E7" s="6" t="n">
        <v>5000</v>
      </c>
      <c r="F7" s="6" t="n">
        <v>19999</v>
      </c>
    </row>
    <row r="8">
      <c r="A8" s="6" t="inlineStr">
        <is>
          <t>Trade and other receivables</t>
        </is>
      </c>
      <c r="B8" s="6" t="n">
        <v>996</v>
      </c>
      <c r="C8" s="6" t="n">
        <v>738</v>
      </c>
      <c r="D8" s="6" t="n">
        <v>750</v>
      </c>
      <c r="E8" s="6" t="n">
        <v>1003</v>
      </c>
      <c r="F8" s="6" t="n">
        <v>817</v>
      </c>
    </row>
    <row r="9">
      <c r="A9" s="6" t="inlineStr">
        <is>
          <t>Corporation tax receivable</t>
        </is>
      </c>
      <c r="B9" s="6" t="n">
        <v>1506</v>
      </c>
      <c r="C9" s="6" t="n">
        <v>276</v>
      </c>
      <c r="D9" s="6" t="n"/>
      <c r="E9" s="6" t="n"/>
      <c r="F9" s="6" t="n"/>
    </row>
    <row r="10">
      <c r="A10" s="6" t="inlineStr">
        <is>
          <t>Loans to customers, at amortised cost</t>
        </is>
      </c>
      <c r="B10" s="6" t="n">
        <v>1082504</v>
      </c>
      <c r="C10" s="6" t="n">
        <v>668338</v>
      </c>
      <c r="D10" s="6" t="n">
        <v>546990</v>
      </c>
      <c r="E10" s="6" t="n">
        <v>453815</v>
      </c>
      <c r="F10" s="6" t="n">
        <v>394523</v>
      </c>
    </row>
    <row r="11">
      <c r="A11" s="6" t="inlineStr">
        <is>
          <t>Loans to customers, designated at fair value through profit or loss</t>
        </is>
      </c>
      <c r="B11" s="6" t="n"/>
      <c r="C11" s="6" t="n"/>
      <c r="D11" s="6" t="n">
        <v>4083</v>
      </c>
      <c r="E11" s="6" t="n">
        <v>4094</v>
      </c>
      <c r="F11" s="6" t="n">
        <v>4474</v>
      </c>
    </row>
    <row r="12">
      <c r="A12" s="6" t="inlineStr">
        <is>
          <t>Fair value adjustment on hedged assets</t>
        </is>
      </c>
      <c r="B12" s="6" t="n">
        <v>4016</v>
      </c>
      <c r="C12" s="6" t="n">
        <v>6499</v>
      </c>
      <c r="D12" s="6" t="n"/>
      <c r="E12" s="6" t="n"/>
      <c r="F12" s="6" t="n"/>
    </row>
    <row r="13">
      <c r="A13" s="6" t="inlineStr">
        <is>
          <t>Derivative financial instruments</t>
        </is>
      </c>
      <c r="B13" s="6" t="n">
        <v>1742</v>
      </c>
      <c r="C13" s="6" t="n">
        <v>1637</v>
      </c>
      <c r="D13" s="6" t="n">
        <v>3119</v>
      </c>
      <c r="E13" s="6" t="n">
        <v>3123</v>
      </c>
      <c r="F13" s="6" t="n"/>
    </row>
    <row r="14">
      <c r="A14" s="6" t="inlineStr">
        <is>
          <t>Prepayments</t>
        </is>
      </c>
      <c r="B14" s="6" t="n">
        <v>2196</v>
      </c>
      <c r="C14" s="6" t="n">
        <v>2019</v>
      </c>
      <c r="D14" s="6" t="n">
        <v>1670</v>
      </c>
      <c r="E14" s="6" t="n">
        <v>1589</v>
      </c>
      <c r="F14" s="6" t="n">
        <v>1575</v>
      </c>
    </row>
    <row r="15">
      <c r="A15" s="6" t="inlineStr">
        <is>
          <t>Deferred tax</t>
        </is>
      </c>
      <c r="B15" s="6" t="n">
        <v>5519</v>
      </c>
      <c r="C15" s="6" t="n">
        <v>5695</v>
      </c>
      <c r="D15" s="6" t="n">
        <v>5907</v>
      </c>
      <c r="E15" s="6" t="n">
        <v>6898</v>
      </c>
      <c r="F15" s="6" t="n">
        <v>9043</v>
      </c>
    </row>
    <row r="16">
      <c r="A16" s="6" t="inlineStr">
        <is>
          <t>Amounts due from group companies</t>
        </is>
      </c>
      <c r="B16" s="6" t="n">
        <v>154496</v>
      </c>
      <c r="C16" s="6" t="n">
        <v>211327</v>
      </c>
      <c r="D16" s="6" t="n">
        <v>209527</v>
      </c>
      <c r="E16" s="6" t="n">
        <v>189221</v>
      </c>
      <c r="F16" s="6" t="n">
        <v>152451</v>
      </c>
    </row>
    <row r="17">
      <c r="A17" s="6" t="inlineStr">
        <is>
          <t>Property and equipment</t>
        </is>
      </c>
      <c r="B17" s="6" t="n">
        <v>1247</v>
      </c>
      <c r="C17" s="6" t="n">
        <v>518</v>
      </c>
      <c r="D17" s="6" t="n">
        <v>1001</v>
      </c>
      <c r="E17" s="6" t="n">
        <v>1593</v>
      </c>
      <c r="F17" s="6" t="n">
        <v>1450</v>
      </c>
    </row>
    <row r="18">
      <c r="A18" s="6" t="inlineStr">
        <is>
          <t>Investment in subsidiaries</t>
        </is>
      </c>
      <c r="B18" s="6" t="n">
        <v>16206</v>
      </c>
      <c r="C18" s="6" t="n">
        <v>16206</v>
      </c>
      <c r="D18" s="6" t="n">
        <v>16206</v>
      </c>
      <c r="E18" s="6" t="n">
        <v>16206</v>
      </c>
      <c r="F18" s="6" t="n">
        <v>16206</v>
      </c>
    </row>
    <row r="19">
      <c r="A19" s="6" t="inlineStr">
        <is>
          <t>Intangible assets</t>
        </is>
      </c>
      <c r="B19" s="6" t="n">
        <v>5365</v>
      </c>
      <c r="C19" s="6" t="n">
        <v>5793</v>
      </c>
      <c r="D19" s="6" t="n">
        <v>5451</v>
      </c>
      <c r="E19" s="6" t="n">
        <v>4679</v>
      </c>
      <c r="F19" s="6" t="n">
        <v>4186</v>
      </c>
    </row>
    <row r="20">
      <c r="A20" s="5" t="inlineStr">
        <is>
          <t>Total assets</t>
        </is>
      </c>
      <c r="B20" s="5" t="n">
        <v>1638042</v>
      </c>
      <c r="C20" s="5" t="n">
        <v>1112163</v>
      </c>
      <c r="D20" s="5" t="n">
        <v>939391</v>
      </c>
      <c r="E20" s="5" t="n">
        <v>832897</v>
      </c>
      <c r="F20" s="5" t="n">
        <v>659268</v>
      </c>
    </row>
    <row r="21">
      <c r="A21" s="5" t="inlineStr">
        <is>
          <t>Liabilities</t>
        </is>
      </c>
      <c r="B21" s="6" t="n"/>
      <c r="C21" s="6" t="n"/>
      <c r="D21" s="6" t="n"/>
      <c r="E21" s="6" t="n"/>
      <c r="F21" s="6" t="n"/>
    </row>
    <row r="22">
      <c r="A22" s="6" t="inlineStr">
        <is>
          <t>Trade and other payables</t>
        </is>
      </c>
      <c r="B22" s="6" t="n">
        <v>13305</v>
      </c>
      <c r="C22" s="6" t="n">
        <v>5930</v>
      </c>
      <c r="D22" s="6" t="n">
        <v>5145</v>
      </c>
      <c r="E22" s="6" t="n">
        <v>8815</v>
      </c>
      <c r="F22" s="6" t="n">
        <v>8033</v>
      </c>
    </row>
    <row r="23">
      <c r="A23" s="6" t="inlineStr">
        <is>
          <t>Corporation tax payable</t>
        </is>
      </c>
      <c r="B23" s="6" t="n"/>
      <c r="C23" s="6" t="n"/>
      <c r="D23" s="6" t="n">
        <v>599</v>
      </c>
      <c r="E23" s="6" t="n"/>
      <c r="F23" s="6" t="n"/>
    </row>
    <row r="24">
      <c r="A24" s="6" t="inlineStr">
        <is>
          <t>Amounts due to credit institutions</t>
        </is>
      </c>
      <c r="B24" s="6" t="n">
        <v>1733</v>
      </c>
      <c r="C24" s="6" t="n">
        <v>1614</v>
      </c>
      <c r="D24" s="6" t="n">
        <v>2940</v>
      </c>
      <c r="E24" s="6" t="n">
        <v>4100</v>
      </c>
      <c r="F24" s="6" t="n"/>
    </row>
    <row r="25">
      <c r="A25" s="6" t="inlineStr">
        <is>
          <t>Amounts due to customers, at amortised cost</t>
        </is>
      </c>
      <c r="B25" s="6" t="n">
        <v>1495438</v>
      </c>
      <c r="C25" s="6" t="n">
        <v>957770</v>
      </c>
      <c r="D25" s="6" t="n">
        <v>827055</v>
      </c>
      <c r="E25" s="6" t="n">
        <v>724595</v>
      </c>
      <c r="F25" s="6" t="n">
        <v>557956</v>
      </c>
    </row>
    <row r="26">
      <c r="A26" s="6" t="inlineStr">
        <is>
          <t>Amounts due to customers, at fair value through profit or loss</t>
        </is>
      </c>
      <c r="B26" s="6" t="n">
        <v>53</v>
      </c>
      <c r="C26" s="6" t="n">
        <v>128</v>
      </c>
      <c r="D26" s="6" t="n">
        <v>831</v>
      </c>
      <c r="E26" s="6" t="n">
        <v>1433</v>
      </c>
      <c r="F26" s="6" t="n">
        <v>1317</v>
      </c>
    </row>
    <row r="27">
      <c r="A27" s="6" t="inlineStr">
        <is>
          <t>Fair value adjustment on hedged liabilities</t>
        </is>
      </c>
      <c r="B27" s="6" t="n">
        <v>515</v>
      </c>
      <c r="C27" s="6" t="n">
        <v>567</v>
      </c>
      <c r="D27" s="6" t="n"/>
      <c r="E27" s="6" t="n"/>
      <c r="F27" s="6" t="n"/>
    </row>
    <row r="28">
      <c r="A28" s="6" t="inlineStr">
        <is>
          <t>Derivative financial instruments (liability)</t>
        </is>
      </c>
      <c r="B28" s="6" t="n">
        <v>5026</v>
      </c>
      <c r="C28" s="6" t="n">
        <v>4691</v>
      </c>
      <c r="D28" s="6" t="n">
        <v>442</v>
      </c>
      <c r="E28" s="6" t="n"/>
      <c r="F28" s="6" t="n"/>
    </row>
    <row r="29">
      <c r="A29" s="6" t="inlineStr">
        <is>
          <t>Subordinated liabilities</t>
        </is>
      </c>
      <c r="B29" s="6" t="n">
        <v>15759</v>
      </c>
      <c r="C29" s="6" t="n">
        <v>7632</v>
      </c>
      <c r="D29" s="6" t="n"/>
      <c r="E29" s="6" t="n"/>
      <c r="F29" s="6" t="n"/>
    </row>
    <row r="30">
      <c r="A30" s="6" t="inlineStr">
        <is>
          <t>Amounts due to group companies</t>
        </is>
      </c>
      <c r="B30" s="6" t="n">
        <v>3072</v>
      </c>
      <c r="C30" s="6" t="n">
        <v>31216</v>
      </c>
      <c r="D30" s="6" t="n"/>
      <c r="E30" s="6" t="n"/>
      <c r="F30" s="6" t="n"/>
    </row>
    <row r="31">
      <c r="A31" s="5" t="inlineStr">
        <is>
          <t>Total liabilities</t>
        </is>
      </c>
      <c r="B31" s="5" t="n">
        <v>1534901</v>
      </c>
      <c r="C31" s="5" t="n">
        <v>1009548</v>
      </c>
      <c r="D31" s="5" t="n">
        <v>837012</v>
      </c>
      <c r="E31" s="5" t="n">
        <v>738943</v>
      </c>
      <c r="F31" s="5" t="n">
        <v>567306</v>
      </c>
    </row>
    <row r="32">
      <c r="A32" s="5" t="inlineStr">
        <is>
          <t>Equity</t>
        </is>
      </c>
      <c r="B32" s="6" t="n"/>
      <c r="C32" s="6" t="n"/>
      <c r="D32" s="6" t="n"/>
      <c r="E32" s="6" t="n"/>
      <c r="F32" s="6" t="n"/>
    </row>
    <row r="33">
      <c r="A33" s="6" t="inlineStr">
        <is>
          <t>Share capital</t>
        </is>
      </c>
      <c r="B33" s="6" t="n">
        <v>15217</v>
      </c>
      <c r="C33" s="6" t="n">
        <v>15217</v>
      </c>
      <c r="D33" s="6" t="n">
        <v>15217</v>
      </c>
      <c r="E33" s="6" t="n">
        <v>15217</v>
      </c>
      <c r="F33" s="6" t="n">
        <v>15217</v>
      </c>
    </row>
    <row r="34">
      <c r="A34" s="6" t="inlineStr">
        <is>
          <t>Share premium</t>
        </is>
      </c>
      <c r="B34" s="6" t="n">
        <v>124195</v>
      </c>
      <c r="C34" s="6" t="n">
        <v>124195</v>
      </c>
      <c r="D34" s="6" t="n">
        <v>124195</v>
      </c>
      <c r="E34" s="6" t="n">
        <v>124195</v>
      </c>
      <c r="F34" s="6" t="n">
        <v>124195</v>
      </c>
    </row>
    <row r="35">
      <c r="A35" s="6" t="inlineStr">
        <is>
          <t>Equity settled share based payment reserve</t>
        </is>
      </c>
      <c r="B35" s="6" t="n">
        <v>301</v>
      </c>
      <c r="C35" s="6" t="n">
        <v>301</v>
      </c>
      <c r="D35" s="6" t="n">
        <v>300</v>
      </c>
      <c r="E35" s="6" t="n">
        <v>207</v>
      </c>
      <c r="F35" s="6" t="n">
        <v>171</v>
      </c>
    </row>
    <row r="36">
      <c r="A36" s="6" t="inlineStr">
        <is>
          <t>Own credit revaluation reserves</t>
        </is>
      </c>
      <c r="B36" s="6" t="n">
        <v>8</v>
      </c>
      <c r="C36" s="6" t="n">
        <v>8</v>
      </c>
      <c r="D36" s="6" t="n">
        <v>8</v>
      </c>
      <c r="E36" s="6" t="n">
        <v>8</v>
      </c>
      <c r="F36" s="6" t="n">
        <v>33</v>
      </c>
    </row>
    <row r="37">
      <c r="A37" s="6" t="inlineStr">
        <is>
          <t>Retained earnings</t>
        </is>
      </c>
      <c r="B37" s="6" t="n">
        <v>-36580</v>
      </c>
      <c r="C37" s="6" t="n">
        <v>-37106</v>
      </c>
      <c r="D37" s="6" t="n">
        <v>-37341</v>
      </c>
      <c r="E37" s="6" t="n">
        <v>-45673</v>
      </c>
      <c r="F37" s="6" t="n">
        <v>-47654</v>
      </c>
    </row>
    <row r="38">
      <c r="A38" s="5" t="inlineStr">
        <is>
          <t>Total equity</t>
        </is>
      </c>
      <c r="B38" s="5" t="n">
        <v>103141</v>
      </c>
      <c r="C38" s="5" t="n">
        <v>102615</v>
      </c>
      <c r="D38" s="5" t="n">
        <v>102379</v>
      </c>
      <c r="E38" s="5" t="n">
        <v>93954</v>
      </c>
      <c r="F38" s="5" t="n">
        <v>91962</v>
      </c>
    </row>
    <row r="39">
      <c r="A39" s="5" t="inlineStr">
        <is>
          <t>Total liabilities and equity</t>
        </is>
      </c>
      <c r="B39" s="5" t="n">
        <v>1638042</v>
      </c>
      <c r="C39" s="5" t="n">
        <v>1112163</v>
      </c>
      <c r="D39" s="5" t="n">
        <v>939391</v>
      </c>
      <c r="E39" s="5" t="n">
        <v>832897</v>
      </c>
      <c r="F39" s="5" t="n">
        <v>659268</v>
      </c>
    </row>
    <row r="41" ht="351" customHeight="1">
      <c r="A41" s="8" t="inlineStr">
        <is>
          <t>Sources - Castle Trust Capital plc's own Statement of Financial Position / Statement of Comprehensive Income / Statement of Changes in Equity, each year's own originally-published figures (not a later year's comparative column), £'000:
FY2025: Annual financial statements, y/e 30 Sept 2025, pp.56-58 - https://find-and-update.company-information.service.gov.uk/company/07454474/filing-history/MzUwMDY5OTYyMGFkaXF6a2N4/document?format=pdf&amp;download=0
FY2024: Annual financial statements, y/e 30 Sept 2024, pp.55-57 - https://find-and-update.company-information.service.gov.uk/company/07454474/filing-history/MzQ1MzY3NTE2MGFkaXF6a2N4/document?format=pdf&amp;download=0
FY2023: Annual financial statements, y/e 30 Sept 2023, pp.52-54 - https://find-and-update.company-information.service.gov.uk/company/07454474/filing-history/MzQxNTc2MDk1NGFkaXF6a2N4/document?format=pdf&amp;download=0
FY2022: Annual financial statements, y/e 30 Sept 2022, pp.45-47 - https://find-and-update.company-information.service.gov.uk/company/07454474/filing-history/MzM2MzAyNjk5NGFkaXF6a2N4/document?format=pdf&amp;download=0
FY2021: Annual financial statements, y/e 30 Sept 2021, pp.38-40 - https://find-and-update.company-information.service.gov.uk/company/07454474/filing-history/MzMzNDg3NzA5MWFkaXF6a2N4/document?format=pdf&amp;download=0
Castle Trust Capital plc (company 07454474, FRN 541910, trading as 'Castle Trust Bank') is a wholly-owned subsidiary of Castle Trust Holdings Limited ('CTH', company 12161224) and has availed itself of the exemption under s.400 Companies Act 2006 to not prepare group accounts - its own statutory accounts (sourced here) are solo/Company-only, not consolidated, and are a genuinely different document from CTH's own consolidated 'Annual report and financial statements' (also published on the bank's website) which cover the wider Group. Cash flow figures on this sheet are Castle Trust Capital plc solo, matching the Pillar 3 sheets' 'Bank' (not 'Group') columns - kept consistent throughout to avoid a cash-flow-vs-Pillar-3 basis mismatch. All 5 Companies House filings for this entity are fully scanned/image-only; figures were transcribed via page rendering and cross-checked against each year's own report where it appears again as the following year's comparative column.
One genuine cross-vintage discrepancy found, not silently resolved: the FY2022 Annual Report's own note states 'Certain items in operating activities have been reclassified in the prior year comparatives for presentational purposes. The changes had no impact on the net cashflows from operating activities' - but its FY2021 comparative operating-activities total is stated as £(57,981)k, which does NOT match FY2021's own originally-published total of £(62,617)k (a £4,636k difference), despite the note's claim of no impact. FY2021's own originally-published figure is used in the FY2021 column here, per project convention; the discrepancy itself is flagged here rather than silently reconciled either way. All other tail-chain closing/opening balances tie exactly year to year with no gap.
PRESENTATION NOTE: 'Loans to customers, designated at fair value through profit or loss' (one legacy mortgage - see the Bank's own Note 13/12) only appears FY2021-FY2023, fully run off by FY2024; 'Fair value adjustment on hedged assets/liabilities' and 'Derivative financial instruments' as assets only appear from FY2023 onward (hedge accounting on interest rate swaps commenced 1 July 2023); 'Corporation tax receivable/payable' and 'Amounts due to credit institutions'/'group companies' are populated only in the years the Bank actually had a balance on that line, per its own report - blank cells elsewhere reflect a genuine nil/not-applicable balance, not a missing figure.</t>
        </is>
      </c>
    </row>
  </sheetData>
  <mergeCells count="1">
    <mergeCell ref="A41:F4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28"/>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88" customWidth="1" min="1" max="1"/>
    <col width="15" customWidth="1" min="2" max="2"/>
    <col width="15" customWidth="1" min="3" max="3"/>
    <col width="15" customWidth="1" min="4" max="4"/>
    <col width="15" customWidth="1" min="5" max="5"/>
    <col width="15" customWidth="1" min="6" max="6"/>
  </cols>
  <sheetData>
    <row r="1">
      <c r="A1" s="1" t="inlineStr">
        <is>
          <t>Castle Trust Capital plc — Statement of Comprehensive Income</t>
        </is>
      </c>
    </row>
    <row r="2">
      <c r="A2" s="2" t="inlineStr">
        <is>
          <t>Company (solo) basis, £'000. Not the wider Castle Trust Holdings Limited Group. See source note at bottom.</t>
        </is>
      </c>
    </row>
    <row r="3">
      <c r="A3" s="4" t="inlineStr">
        <is>
          <t>Line item</t>
        </is>
      </c>
      <c r="B3" s="4" t="inlineStr">
        <is>
          <t>FY2025 (£'000)</t>
        </is>
      </c>
      <c r="C3" s="4" t="inlineStr">
        <is>
          <t>FY2024 (£'000)</t>
        </is>
      </c>
      <c r="D3" s="4" t="inlineStr">
        <is>
          <t>FY2023 (£'000)</t>
        </is>
      </c>
      <c r="E3" s="4" t="inlineStr">
        <is>
          <t>FY2022 (£'000)</t>
        </is>
      </c>
      <c r="F3" s="4" t="inlineStr">
        <is>
          <t>FY2021 (£'000)</t>
        </is>
      </c>
    </row>
    <row r="4">
      <c r="A4" s="5" t="inlineStr">
        <is>
          <t>Income</t>
        </is>
      </c>
      <c r="B4" s="6" t="n"/>
      <c r="C4" s="6" t="n"/>
      <c r="D4" s="6" t="n"/>
      <c r="E4" s="6" t="n"/>
      <c r="F4" s="6" t="n"/>
    </row>
    <row r="5">
      <c r="A5" s="6" t="inlineStr">
        <is>
          <t>Interest and similar income</t>
        </is>
      </c>
      <c r="B5" s="6" t="n">
        <v>88928</v>
      </c>
      <c r="C5" s="6" t="n">
        <v>66464</v>
      </c>
      <c r="D5" s="6" t="n">
        <v>49763</v>
      </c>
      <c r="E5" s="6" t="n">
        <v>34047</v>
      </c>
      <c r="F5" s="6" t="n">
        <v>35127</v>
      </c>
    </row>
    <row r="6">
      <c r="A6" s="6" t="inlineStr">
        <is>
          <t>Interest and similar expense</t>
        </is>
      </c>
      <c r="B6" s="6" t="n">
        <v>-55919</v>
      </c>
      <c r="C6" s="6" t="n">
        <v>-40056</v>
      </c>
      <c r="D6" s="6" t="n">
        <v>-20137</v>
      </c>
      <c r="E6" s="6" t="n">
        <v>-8508</v>
      </c>
      <c r="F6" s="6" t="n">
        <v>-10873</v>
      </c>
    </row>
    <row r="7">
      <c r="A7" s="5" t="inlineStr">
        <is>
          <t>Net interest income</t>
        </is>
      </c>
      <c r="B7" s="5" t="n">
        <v>33009</v>
      </c>
      <c r="C7" s="5" t="n">
        <v>26408</v>
      </c>
      <c r="D7" s="5" t="n">
        <v>29626</v>
      </c>
      <c r="E7" s="5" t="n">
        <v>25539</v>
      </c>
      <c r="F7" s="5" t="n">
        <v>24254</v>
      </c>
    </row>
    <row r="8">
      <c r="A8" s="6" t="inlineStr">
        <is>
          <t>Other income</t>
        </is>
      </c>
      <c r="B8" s="6" t="n">
        <v>3712</v>
      </c>
      <c r="C8" s="6" t="n">
        <v>4509</v>
      </c>
      <c r="D8" s="6" t="n">
        <v>5126</v>
      </c>
      <c r="E8" s="6" t="n"/>
      <c r="F8" s="6" t="n"/>
    </row>
    <row r="9">
      <c r="A9" s="6" t="inlineStr">
        <is>
          <t>Fees and commission income</t>
        </is>
      </c>
      <c r="B9" s="6" t="n">
        <v>1486</v>
      </c>
      <c r="C9" s="6" t="n">
        <v>1351</v>
      </c>
      <c r="D9" s="6" t="n">
        <v>1088</v>
      </c>
      <c r="E9" s="6" t="n">
        <v>812</v>
      </c>
      <c r="F9" s="6" t="n">
        <v>643</v>
      </c>
    </row>
    <row r="10">
      <c r="A10" s="6" t="inlineStr">
        <is>
          <t>Fees and commission expense</t>
        </is>
      </c>
      <c r="B10" s="6" t="n">
        <v>-64</v>
      </c>
      <c r="C10" s="6" t="n">
        <v>-18</v>
      </c>
      <c r="D10" s="6" t="n">
        <v>-20</v>
      </c>
      <c r="E10" s="6" t="n"/>
      <c r="F10" s="6" t="n">
        <v>-48</v>
      </c>
    </row>
    <row r="11">
      <c r="A11" s="6" t="inlineStr">
        <is>
          <t>Realised/unrealised (loss)/gain on financial instruments at fair value through profit or loss</t>
        </is>
      </c>
      <c r="B11" s="6" t="n">
        <v>-1749</v>
      </c>
      <c r="C11" s="6" t="n">
        <v>-2776</v>
      </c>
      <c r="D11" s="6" t="n">
        <v>988</v>
      </c>
      <c r="E11" s="6" t="n">
        <v>2680</v>
      </c>
      <c r="F11" s="6" t="n">
        <v>-1328</v>
      </c>
    </row>
    <row r="12">
      <c r="A12" s="5" t="inlineStr">
        <is>
          <t>Total operating income</t>
        </is>
      </c>
      <c r="B12" s="5" t="n">
        <v>36394</v>
      </c>
      <c r="C12" s="5" t="n">
        <v>29474</v>
      </c>
      <c r="D12" s="5" t="n">
        <v>36808</v>
      </c>
      <c r="E12" s="5" t="n">
        <v>29031</v>
      </c>
      <c r="F12" s="5" t="n">
        <v>23521</v>
      </c>
    </row>
    <row r="13">
      <c r="A13" s="5" t="inlineStr">
        <is>
          <t>Expenses</t>
        </is>
      </c>
      <c r="B13" s="6" t="n"/>
      <c r="C13" s="6" t="n"/>
      <c r="D13" s="6" t="n"/>
      <c r="E13" s="6" t="n"/>
      <c r="F13" s="6" t="n"/>
    </row>
    <row r="14">
      <c r="A14" s="6" t="inlineStr">
        <is>
          <t>Administrative expenses</t>
        </is>
      </c>
      <c r="B14" s="6" t="n">
        <v>-23526</v>
      </c>
      <c r="C14" s="6" t="n">
        <v>-21751</v>
      </c>
      <c r="D14" s="6" t="n">
        <v>-21144</v>
      </c>
      <c r="E14" s="6" t="n">
        <v>-21001</v>
      </c>
      <c r="F14" s="6" t="n">
        <v>-22281</v>
      </c>
    </row>
    <row r="15">
      <c r="A15" s="6" t="inlineStr">
        <is>
          <t>Impairment losses</t>
        </is>
      </c>
      <c r="B15" s="6" t="n">
        <v>-8911</v>
      </c>
      <c r="C15" s="6" t="n">
        <v>-4715</v>
      </c>
      <c r="D15" s="6" t="n">
        <v>-3298</v>
      </c>
      <c r="E15" s="6" t="n">
        <v>-1530</v>
      </c>
      <c r="F15" s="6" t="n">
        <v>-1892</v>
      </c>
    </row>
    <row r="16">
      <c r="A16" s="6" t="inlineStr">
        <is>
          <t>Impairment charge on investments in subsidiaries</t>
        </is>
      </c>
      <c r="B16" s="6" t="n"/>
      <c r="C16" s="6" t="n"/>
      <c r="D16" s="6" t="n"/>
      <c r="E16" s="6" t="n"/>
      <c r="F16" s="6" t="n">
        <v>-18001</v>
      </c>
    </row>
    <row r="17">
      <c r="A17" s="6" t="inlineStr">
        <is>
          <t>Depreciation and amortisation</t>
        </is>
      </c>
      <c r="B17" s="6" t="n">
        <v>-2754</v>
      </c>
      <c r="C17" s="6" t="n">
        <v>-2464</v>
      </c>
      <c r="D17" s="6" t="n">
        <v>-2219</v>
      </c>
      <c r="E17" s="6" t="n">
        <v>-2040</v>
      </c>
      <c r="F17" s="6" t="n">
        <v>-1613</v>
      </c>
    </row>
    <row r="18">
      <c r="A18" s="5" t="inlineStr">
        <is>
          <t>Total operating expenses</t>
        </is>
      </c>
      <c r="B18" s="5" t="n">
        <v>-35191</v>
      </c>
      <c r="C18" s="5" t="n">
        <v>-28930</v>
      </c>
      <c r="D18" s="5" t="n">
        <v>-26661</v>
      </c>
      <c r="E18" s="5" t="n">
        <v>-24571</v>
      </c>
      <c r="F18" s="5" t="n">
        <v>-43787</v>
      </c>
    </row>
    <row r="19">
      <c r="A19" s="6" t="inlineStr">
        <is>
          <t>Other income - dividends received</t>
        </is>
      </c>
      <c r="B19" s="6" t="n"/>
      <c r="C19" s="6" t="n"/>
      <c r="D19" s="6" t="n"/>
      <c r="E19" s="6" t="n"/>
      <c r="F19" s="6" t="n">
        <v>18001</v>
      </c>
    </row>
    <row r="20">
      <c r="A20" s="5" t="inlineStr">
        <is>
          <t>Profit/(loss) before tax</t>
        </is>
      </c>
      <c r="B20" s="5" t="n">
        <v>1203</v>
      </c>
      <c r="C20" s="5" t="n">
        <v>544</v>
      </c>
      <c r="D20" s="5" t="n">
        <v>10147</v>
      </c>
      <c r="E20" s="5" t="n">
        <v>4460</v>
      </c>
      <c r="F20" s="5" t="n">
        <v>-2265</v>
      </c>
    </row>
    <row r="21">
      <c r="A21" s="6" t="inlineStr">
        <is>
          <t>Corporation tax charge/credit</t>
        </is>
      </c>
      <c r="B21" s="6" t="n">
        <v>-677</v>
      </c>
      <c r="C21" s="6" t="n">
        <v>-309</v>
      </c>
      <c r="D21" s="6" t="n">
        <v>-1815</v>
      </c>
      <c r="E21" s="6" t="n">
        <v>-2479</v>
      </c>
      <c r="F21" s="6" t="n">
        <v>9018</v>
      </c>
    </row>
    <row r="22">
      <c r="A22" s="5" t="inlineStr">
        <is>
          <t>Total profit/(loss)</t>
        </is>
      </c>
      <c r="B22" s="5" t="n">
        <v>526</v>
      </c>
      <c r="C22" s="5" t="n">
        <v>235</v>
      </c>
      <c r="D22" s="5" t="n">
        <v>8332</v>
      </c>
      <c r="E22" s="5" t="n">
        <v>1981</v>
      </c>
      <c r="F22" s="5" t="n">
        <v>6753</v>
      </c>
    </row>
    <row r="23">
      <c r="A23" s="5" t="inlineStr">
        <is>
          <t>Other comprehensive income</t>
        </is>
      </c>
      <c r="B23" s="6" t="n"/>
      <c r="C23" s="6" t="n"/>
      <c r="D23" s="6" t="n"/>
      <c r="E23" s="6" t="n"/>
      <c r="F23" s="6" t="n"/>
    </row>
    <row r="24">
      <c r="A24" s="6" t="inlineStr">
        <is>
          <t>Fair value of own credit risk changes of financial liabilities at FVPL</t>
        </is>
      </c>
      <c r="B24" s="6" t="n"/>
      <c r="C24" s="6" t="n"/>
      <c r="D24" s="6" t="n"/>
      <c r="E24" s="6" t="n">
        <v>-25</v>
      </c>
      <c r="F24" s="6" t="n">
        <v>-4</v>
      </c>
    </row>
    <row r="25">
      <c r="A25" s="5" t="inlineStr">
        <is>
          <t>Total other comprehensive income/(expense) for the year</t>
        </is>
      </c>
      <c r="B25" s="5" t="n">
        <v>0</v>
      </c>
      <c r="C25" s="5" t="n">
        <v>0</v>
      </c>
      <c r="D25" s="5" t="n">
        <v>0</v>
      </c>
      <c r="E25" s="5" t="n">
        <v>-25</v>
      </c>
      <c r="F25" s="5" t="n">
        <v>-4</v>
      </c>
    </row>
    <row r="26">
      <c r="A26" s="5" t="inlineStr">
        <is>
          <t>Total comprehensive income/(loss) for the year</t>
        </is>
      </c>
      <c r="B26" s="5" t="n">
        <v>526</v>
      </c>
      <c r="C26" s="5" t="n">
        <v>235</v>
      </c>
      <c r="D26" s="5" t="n">
        <v>8332</v>
      </c>
      <c r="E26" s="5" t="n">
        <v>1956</v>
      </c>
      <c r="F26" s="5" t="n">
        <v>6749</v>
      </c>
    </row>
    <row r="28" ht="340" customHeight="1">
      <c r="A28" s="8" t="inlineStr">
        <is>
          <t>Sources - Castle Trust Capital plc's own Statement of Financial Position / Statement of Comprehensive Income / Statement of Changes in Equity, each year's own originally-published figures (not a later year's comparative column), £'000:
FY2025: Annual financial statements, y/e 30 Sept 2025, pp.56-58 - https://find-and-update.company-information.service.gov.uk/company/07454474/filing-history/MzUwMDY5OTYyMGFkaXF6a2N4/document?format=pdf&amp;download=0
FY2024: Annual financial statements, y/e 30 Sept 2024, pp.55-57 - https://find-and-update.company-information.service.gov.uk/company/07454474/filing-history/MzQ1MzY3NTE2MGFkaXF6a2N4/document?format=pdf&amp;download=0
FY2023: Annual financial statements, y/e 30 Sept 2023, pp.52-54 - https://find-and-update.company-information.service.gov.uk/company/07454474/filing-history/MzQxNTc2MDk1NGFkaXF6a2N4/document?format=pdf&amp;download=0
FY2022: Annual financial statements, y/e 30 Sept 2022, pp.45-47 - https://find-and-update.company-information.service.gov.uk/company/07454474/filing-history/MzM2MzAyNjk5NGFkaXF6a2N4/document?format=pdf&amp;download=0
FY2021: Annual financial statements, y/e 30 Sept 2021, pp.38-40 - https://find-and-update.company-information.service.gov.uk/company/07454474/filing-history/MzMzNDg3NzA5MWFkaXF6a2N4/document?format=pdf&amp;download=0
Castle Trust Capital plc (company 07454474, FRN 541910, trading as 'Castle Trust Bank') is a wholly-owned subsidiary of Castle Trust Holdings Limited ('CTH', company 12161224) and has availed itself of the exemption under s.400 Companies Act 2006 to not prepare group accounts - its own statutory accounts (sourced here) are solo/Company-only, not consolidated, and are a genuinely different document from CTH's own consolidated 'Annual report and financial statements' (also published on the bank's website) which cover the wider Group. Cash flow figures on this sheet are Castle Trust Capital plc solo, matching the Pillar 3 sheets' 'Bank' (not 'Group') columns - kept consistent throughout to avoid a cash-flow-vs-Pillar-3 basis mismatch. All 5 Companies House filings for this entity are fully scanned/image-only; figures were transcribed via page rendering and cross-checked against each year's own report where it appears again as the following year's comparative column.
One genuine cross-vintage discrepancy found, not silently resolved: the FY2022 Annual Report's own note states 'Certain items in operating activities have been reclassified in the prior year comparatives for presentational purposes. The changes had no impact on the net cashflows from operating activities' - but its FY2021 comparative operating-activities total is stated as £(57,981)k, which does NOT match FY2021's own originally-published total of £(62,617)k (a £4,636k difference), despite the note's claim of no impact. FY2021's own originally-published figure is used in the FY2021 column here, per project convention; the discrepancy itself is flagged here rather than silently reconciled either way. All other tail-chain closing/opening balances tie exactly year to year with no gap.
PRESENTATION NOTE: the P&amp;L's line-item structure changed across years - FY2021/FY2022 use a Net-interest-income/Net-operating-income structure with a distinct 'Other income - dividends received' line (only populated FY2021: £18,001k, reflecting a dividend from a subsidiary, alongside a matching £(18,001)k 'Impairment charge on investments in subsidiaries' line that year) and 'Profit/(loss) before tax'; FY2023-FY2025 drop both the dividend-income and investment-impairment lines (nil in every subsequent year) and FY2025 additionally renames 'Total operating (expense)/income' to 'Total operating income'. 'Realised/unrealised (loss)/gain on financial instruments at fair value through profit or loss' is the one line materially comparable across all 5 years. OCI detail (fair value of own credit risk changes) is nil or near-nil throughout - a genuine feature of this Bank's balance sheet, not a disclosure gap.</t>
        </is>
      </c>
    </row>
  </sheetData>
  <mergeCells count="1">
    <mergeCell ref="A28:F28"/>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G22"/>
  <sheetViews>
    <sheetView workbookViewId="0">
      <pane ySplit="4" topLeftCell="A5" activePane="bottomLeft" state="frozen"/>
      <selection pane="bottomLeft" activeCell="A1" sqref="A1"/>
    </sheetView>
  </sheetViews>
  <sheetFormatPr baseColWidth="8" defaultRowHeight="15"/>
  <cols>
    <col width="52" customWidth="1" min="1" max="1"/>
    <col width="15" customWidth="1" min="2" max="2"/>
    <col width="15" customWidth="1" min="3" max="3"/>
    <col width="15" customWidth="1" min="4" max="4"/>
    <col width="15" customWidth="1" min="5" max="5"/>
    <col width="15" customWidth="1" min="6" max="6"/>
    <col width="15" customWidth="1" min="7" max="7"/>
  </cols>
  <sheetData>
    <row r="1">
      <c r="A1" s="1" t="inlineStr">
        <is>
          <t>Castle Trust Capital plc — Statement of Changes in Equity</t>
        </is>
      </c>
    </row>
    <row r="2">
      <c r="A2" s="2" t="inlineStr">
        <is>
          <t>Company (solo) basis, £'000. Not the wider Castle Trust Holdings Limited Group. Chronological, oldest to newest. No plug row needed - GBP-native, chain ties exactly year to year.</t>
        </is>
      </c>
    </row>
    <row r="3">
      <c r="A3" s="4" t="inlineStr">
        <is>
          <t>Movement</t>
        </is>
      </c>
      <c r="B3" s="4" t="inlineStr">
        <is>
          <t>Share capital</t>
        </is>
      </c>
      <c r="C3" s="4" t="inlineStr">
        <is>
          <t>Share premium</t>
        </is>
      </c>
      <c r="D3" s="4" t="inlineStr">
        <is>
          <t>Equity settled share based payment reserve</t>
        </is>
      </c>
      <c r="E3" s="4" t="inlineStr">
        <is>
          <t>Own credit revaluation reserves</t>
        </is>
      </c>
      <c r="F3" s="4" t="inlineStr">
        <is>
          <t>Retained earnings</t>
        </is>
      </c>
      <c r="G3" s="4" t="inlineStr">
        <is>
          <t>Total</t>
        </is>
      </c>
    </row>
    <row r="4">
      <c r="A4" s="5" t="inlineStr">
        <is>
          <t>At 1 October 2020</t>
        </is>
      </c>
      <c r="B4" s="5" t="n">
        <v>15217</v>
      </c>
      <c r="C4" s="5" t="n">
        <v>124195</v>
      </c>
      <c r="D4" s="5" t="n">
        <v>155</v>
      </c>
      <c r="E4" s="5" t="n">
        <v>37</v>
      </c>
      <c r="F4" s="5" t="n">
        <v>-54407</v>
      </c>
      <c r="G4" s="5" t="n">
        <v>85197</v>
      </c>
    </row>
    <row r="5">
      <c r="A5" s="6" t="inlineStr">
        <is>
          <t>Total profit for the year (FY2021)</t>
        </is>
      </c>
      <c r="B5" s="6" t="n"/>
      <c r="C5" s="6" t="n"/>
      <c r="D5" s="6" t="n"/>
      <c r="E5" s="6" t="n"/>
      <c r="F5" s="6" t="n">
        <v>6753</v>
      </c>
      <c r="G5" s="6" t="n">
        <v>6753</v>
      </c>
    </row>
    <row r="6">
      <c r="A6" s="6" t="inlineStr">
        <is>
          <t>Fair value of own credit risk changes of financial liabilities at FVPL (FY2021)</t>
        </is>
      </c>
      <c r="B6" s="6" t="n"/>
      <c r="C6" s="6" t="n"/>
      <c r="D6" s="6" t="n"/>
      <c r="E6" s="6" t="n">
        <v>-4</v>
      </c>
      <c r="F6" s="6" t="n"/>
      <c r="G6" s="6" t="n">
        <v>-4</v>
      </c>
    </row>
    <row r="7">
      <c r="A7" s="6" t="inlineStr">
        <is>
          <t>Equity settled share based payment reserve (FY2021)</t>
        </is>
      </c>
      <c r="B7" s="6" t="n"/>
      <c r="C7" s="6" t="n"/>
      <c r="D7" s="6" t="n">
        <v>16</v>
      </c>
      <c r="E7" s="6" t="n"/>
      <c r="F7" s="6" t="n"/>
      <c r="G7" s="6" t="n">
        <v>16</v>
      </c>
    </row>
    <row r="8">
      <c r="A8" s="5" t="inlineStr">
        <is>
          <t>At 30 September 2021</t>
        </is>
      </c>
      <c r="B8" s="5" t="n">
        <v>15217</v>
      </c>
      <c r="C8" s="5" t="n">
        <v>124195</v>
      </c>
      <c r="D8" s="5" t="n">
        <v>171</v>
      </c>
      <c r="E8" s="5" t="n">
        <v>33</v>
      </c>
      <c r="F8" s="5" t="n">
        <v>-47654</v>
      </c>
      <c r="G8" s="5" t="n">
        <v>91962</v>
      </c>
    </row>
    <row r="9">
      <c r="A9" s="6" t="inlineStr">
        <is>
          <t>Total profit for the year (FY2022)</t>
        </is>
      </c>
      <c r="B9" s="6" t="n"/>
      <c r="C9" s="6" t="n"/>
      <c r="D9" s="6" t="n"/>
      <c r="E9" s="6" t="n"/>
      <c r="F9" s="6" t="n">
        <v>1981</v>
      </c>
      <c r="G9" s="6" t="n">
        <v>1981</v>
      </c>
    </row>
    <row r="10">
      <c r="A10" s="6" t="inlineStr">
        <is>
          <t>Fair value of own credit risk changes of financial liabilities at FVPL (FY2022)</t>
        </is>
      </c>
      <c r="B10" s="6" t="n"/>
      <c r="C10" s="6" t="n"/>
      <c r="D10" s="6" t="n"/>
      <c r="E10" s="6" t="n">
        <v>-25</v>
      </c>
      <c r="F10" s="6" t="n"/>
      <c r="G10" s="6" t="n">
        <v>-25</v>
      </c>
    </row>
    <row r="11">
      <c r="A11" s="6" t="inlineStr">
        <is>
          <t>Equity settled share based payment reserve (FY2022)</t>
        </is>
      </c>
      <c r="B11" s="6" t="n"/>
      <c r="C11" s="6" t="n"/>
      <c r="D11" s="6" t="n">
        <v>36</v>
      </c>
      <c r="E11" s="6" t="n"/>
      <c r="F11" s="6" t="n"/>
      <c r="G11" s="6" t="n">
        <v>36</v>
      </c>
    </row>
    <row r="12">
      <c r="A12" s="5" t="inlineStr">
        <is>
          <t>At 30 September 2022</t>
        </is>
      </c>
      <c r="B12" s="5" t="n">
        <v>15217</v>
      </c>
      <c r="C12" s="5" t="n">
        <v>124195</v>
      </c>
      <c r="D12" s="5" t="n">
        <v>207</v>
      </c>
      <c r="E12" s="5" t="n">
        <v>8</v>
      </c>
      <c r="F12" s="5" t="n">
        <v>-45673</v>
      </c>
      <c r="G12" s="5" t="n">
        <v>93954</v>
      </c>
    </row>
    <row r="13">
      <c r="A13" s="6" t="inlineStr">
        <is>
          <t>Total comprehensive income for the year (FY2023)</t>
        </is>
      </c>
      <c r="B13" s="6" t="n"/>
      <c r="C13" s="6" t="n"/>
      <c r="D13" s="6" t="n"/>
      <c r="E13" s="6" t="n"/>
      <c r="F13" s="6" t="n">
        <v>8332</v>
      </c>
      <c r="G13" s="6" t="n">
        <v>8332</v>
      </c>
    </row>
    <row r="14">
      <c r="A14" s="6" t="inlineStr">
        <is>
          <t>Equity settled share based payment reserve (FY2023)</t>
        </is>
      </c>
      <c r="B14" s="6" t="n"/>
      <c r="C14" s="6" t="n"/>
      <c r="D14" s="6" t="n">
        <v>93</v>
      </c>
      <c r="E14" s="6" t="n"/>
      <c r="F14" s="6" t="n"/>
      <c r="G14" s="6" t="n">
        <v>93</v>
      </c>
    </row>
    <row r="15">
      <c r="A15" s="5" t="inlineStr">
        <is>
          <t>At 30 September 2023</t>
        </is>
      </c>
      <c r="B15" s="5" t="n">
        <v>15217</v>
      </c>
      <c r="C15" s="5" t="n">
        <v>124195</v>
      </c>
      <c r="D15" s="5" t="n">
        <v>300</v>
      </c>
      <c r="E15" s="5" t="n">
        <v>8</v>
      </c>
      <c r="F15" s="5" t="n">
        <v>-37341</v>
      </c>
      <c r="G15" s="5" t="n">
        <v>102379</v>
      </c>
    </row>
    <row r="16">
      <c r="A16" s="6" t="inlineStr">
        <is>
          <t>Total comprehensive income for the year (FY2024)</t>
        </is>
      </c>
      <c r="B16" s="6" t="n"/>
      <c r="C16" s="6" t="n"/>
      <c r="D16" s="6" t="n"/>
      <c r="E16" s="6" t="n"/>
      <c r="F16" s="6" t="n">
        <v>235</v>
      </c>
      <c r="G16" s="6" t="n">
        <v>235</v>
      </c>
    </row>
    <row r="17">
      <c r="A17" s="6" t="inlineStr">
        <is>
          <t>Equity settled share based payment reserve (FY2024)</t>
        </is>
      </c>
      <c r="B17" s="6" t="n"/>
      <c r="C17" s="6" t="n"/>
      <c r="D17" s="6" t="n">
        <v>1</v>
      </c>
      <c r="E17" s="6" t="n"/>
      <c r="F17" s="6" t="n"/>
      <c r="G17" s="6" t="n">
        <v>1</v>
      </c>
    </row>
    <row r="18">
      <c r="A18" s="5" t="inlineStr">
        <is>
          <t>At 30 September 2024</t>
        </is>
      </c>
      <c r="B18" s="5" t="n">
        <v>15217</v>
      </c>
      <c r="C18" s="5" t="n">
        <v>124195</v>
      </c>
      <c r="D18" s="5" t="n">
        <v>301</v>
      </c>
      <c r="E18" s="5" t="n">
        <v>8</v>
      </c>
      <c r="F18" s="5" t="n">
        <v>-37106</v>
      </c>
      <c r="G18" s="5" t="n">
        <v>102615</v>
      </c>
    </row>
    <row r="19">
      <c r="A19" s="6" t="inlineStr">
        <is>
          <t>Total comprehensive income for the year (FY2025)</t>
        </is>
      </c>
      <c r="B19" s="6" t="n"/>
      <c r="C19" s="6" t="n"/>
      <c r="D19" s="6" t="n"/>
      <c r="E19" s="6" t="n"/>
      <c r="F19" s="6" t="n">
        <v>526</v>
      </c>
      <c r="G19" s="6" t="n">
        <v>526</v>
      </c>
    </row>
    <row r="20">
      <c r="A20" s="5" t="inlineStr">
        <is>
          <t>At 30 September 2025</t>
        </is>
      </c>
      <c r="B20" s="5" t="n">
        <v>15217</v>
      </c>
      <c r="C20" s="5" t="n">
        <v>124195</v>
      </c>
      <c r="D20" s="5" t="n">
        <v>301</v>
      </c>
      <c r="E20" s="5" t="n">
        <v>8</v>
      </c>
      <c r="F20" s="5" t="n">
        <v>-36580</v>
      </c>
      <c r="G20" s="5" t="n">
        <v>103141</v>
      </c>
    </row>
    <row r="22" ht="286" customHeight="1">
      <c r="A22" s="8" t="inlineStr">
        <is>
          <t>Sources - Castle Trust Capital plc's own Statement of Financial Position / Statement of Comprehensive Income / Statement of Changes in Equity, each year's own originally-published figures (not a later year's comparative column), £'000:
FY2025: Annual financial statements, y/e 30 Sept 2025, pp.56-58 - https://find-and-update.company-information.service.gov.uk/company/07454474/filing-history/MzUwMDY5OTYyMGFkaXF6a2N4/document?format=pdf&amp;download=0
FY2024: Annual financial statements, y/e 30 Sept 2024, pp.55-57 - https://find-and-update.company-information.service.gov.uk/company/07454474/filing-history/MzQ1MzY3NTE2MGFkaXF6a2N4/document?format=pdf&amp;download=0
FY2023: Annual financial statements, y/e 30 Sept 2023, pp.52-54 - https://find-and-update.company-information.service.gov.uk/company/07454474/filing-history/MzQxNTc2MDk1NGFkaXF6a2N4/document?format=pdf&amp;download=0
FY2022: Annual financial statements, y/e 30 Sept 2022, pp.45-47 - https://find-and-update.company-information.service.gov.uk/company/07454474/filing-history/MzM2MzAyNjk5NGFkaXF6a2N4/document?format=pdf&amp;download=0
FY2021: Annual financial statements, y/e 30 Sept 2021, pp.38-40 - https://find-and-update.company-information.service.gov.uk/company/07454474/filing-history/MzMzNDg3NzA5MWFkaXF6a2N4/document?format=pdf&amp;download=0
Castle Trust Capital plc (company 07454474, FRN 541910, trading as 'Castle Trust Bank') is a wholly-owned subsidiary of Castle Trust Holdings Limited ('CTH', company 12161224) and has availed itself of the exemption under s.400 Companies Act 2006 to not prepare group accounts - its own statutory accounts (sourced here) are solo/Company-only, not consolidated, and are a genuinely different document from CTH's own consolidated 'Annual report and financial statements' (also published on the bank's website) which cover the wider Group. Cash flow figures on this sheet are Castle Trust Capital plc solo, matching the Pillar 3 sheets' 'Bank' (not 'Group') columns - kept consistent throughout to avoid a cash-flow-vs-Pillar-3 basis mismatch. All 5 Companies House filings for this entity are fully scanned/image-only; figures were transcribed via page rendering and cross-checked against each year's own report where it appears again as the following year's comparative column.
One genuine cross-vintage discrepancy found, not silently resolved: the FY2022 Annual Report's own note states 'Certain items in operating activities have been reclassified in the prior year comparatives for presentational purposes. The changes had no impact on the net cashflows from operating activities' - but its FY2021 comparative operating-activities total is stated as £(57,981)k, which does NOT match FY2021's own originally-published total of £(62,617)k (a £4,636k difference), despite the note's claim of no impact. FY2021's own originally-published figure is used in the FY2021 column here, per project convention; the discrepancy itself is flagged here rather than silently reconciled either way. All other tail-chain closing/opening balances tie exactly year to year with no gap.</t>
        </is>
      </c>
    </row>
  </sheetData>
  <mergeCells count="1">
    <mergeCell ref="A22:G22"/>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F71"/>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88" customWidth="1" min="1" max="1"/>
    <col width="15" customWidth="1" min="2" max="2"/>
    <col width="15" customWidth="1" min="3" max="3"/>
    <col width="15" customWidth="1" min="4" max="4"/>
    <col width="15" customWidth="1" min="5" max="5"/>
    <col width="15" customWidth="1" min="6" max="6"/>
  </cols>
  <sheetData>
    <row r="1">
      <c r="A1" s="1" t="inlineStr">
        <is>
          <t>Castle Trust Capital plc — Statement of Cash Flows</t>
        </is>
      </c>
    </row>
    <row r="2">
      <c r="A2" s="2" t="inlineStr">
        <is>
          <t>Company (solo) basis, £'000. Not the wider Castle Trust Holdings Limited Group. See source note at bottom.</t>
        </is>
      </c>
    </row>
    <row r="3">
      <c r="A3" s="4" t="inlineStr">
        <is>
          <t>Line item</t>
        </is>
      </c>
      <c r="B3" s="4" t="inlineStr">
        <is>
          <t>FY2025 (£'000)</t>
        </is>
      </c>
      <c r="C3" s="4" t="inlineStr">
        <is>
          <t>FY2024 (£'000)</t>
        </is>
      </c>
      <c r="D3" s="4" t="inlineStr">
        <is>
          <t>FY2023 (£'000)</t>
        </is>
      </c>
      <c r="E3" s="4" t="inlineStr">
        <is>
          <t>FY2022 (£'000)</t>
        </is>
      </c>
      <c r="F3" s="4" t="inlineStr">
        <is>
          <t>FY2021 (£'000)</t>
        </is>
      </c>
    </row>
    <row r="4">
      <c r="A4" s="5" t="inlineStr">
        <is>
          <t>Cash flows from operating activities</t>
        </is>
      </c>
      <c r="B4" s="6" t="n"/>
      <c r="C4" s="6" t="n"/>
      <c r="D4" s="6" t="n"/>
      <c r="E4" s="6" t="n"/>
      <c r="F4" s="6" t="n"/>
    </row>
    <row r="5">
      <c r="A5" s="6" t="inlineStr">
        <is>
          <t>Profit/(loss) before tax</t>
        </is>
      </c>
      <c r="B5" s="6" t="n">
        <v>1203</v>
      </c>
      <c r="C5" s="6" t="n">
        <v>544</v>
      </c>
      <c r="D5" s="6" t="n">
        <v>10147</v>
      </c>
      <c r="E5" s="6" t="n">
        <v>4460</v>
      </c>
      <c r="F5" s="6" t="n">
        <v>-2265</v>
      </c>
    </row>
    <row r="6">
      <c r="A6" s="6" t="inlineStr">
        <is>
          <t>Depreciation and amortisation</t>
        </is>
      </c>
      <c r="B6" s="6" t="n">
        <v>2754</v>
      </c>
      <c r="C6" s="6" t="n">
        <v>2464</v>
      </c>
      <c r="D6" s="6" t="n">
        <v>2219</v>
      </c>
      <c r="E6" s="6" t="n">
        <v>2040</v>
      </c>
      <c r="F6" s="6" t="n">
        <v>1617</v>
      </c>
    </row>
    <row r="7">
      <c r="A7" s="6" t="inlineStr">
        <is>
          <t>Loss on disposal of property, plant and equipment</t>
        </is>
      </c>
      <c r="B7" s="6" t="n">
        <v>63</v>
      </c>
      <c r="C7" s="6" t="n"/>
      <c r="D7" s="6" t="n"/>
      <c r="E7" s="6" t="n"/>
      <c r="F7" s="6" t="n"/>
    </row>
    <row r="8">
      <c r="A8" s="6" t="inlineStr">
        <is>
          <t>Write off of intangible assets</t>
        </is>
      </c>
      <c r="B8" s="6" t="n"/>
      <c r="C8" s="6" t="n">
        <v>80</v>
      </c>
      <c r="D8" s="6" t="n"/>
      <c r="E8" s="6" t="n"/>
      <c r="F8" s="6" t="n"/>
    </row>
    <row r="9">
      <c r="A9" s="6" t="inlineStr">
        <is>
          <t>Loss on disposal of intangibles and property, plant and equipment</t>
        </is>
      </c>
      <c r="B9" s="6" t="n"/>
      <c r="C9" s="6" t="n"/>
      <c r="D9" s="6" t="n"/>
      <c r="E9" s="6" t="n">
        <v>78</v>
      </c>
      <c r="F9" s="6" t="n">
        <v>78</v>
      </c>
    </row>
    <row r="10">
      <c r="A10" s="6" t="inlineStr">
        <is>
          <t>Dividends received</t>
        </is>
      </c>
      <c r="B10" s="6" t="n"/>
      <c r="C10" s="6" t="n"/>
      <c r="D10" s="6" t="n"/>
      <c r="E10" s="6" t="n">
        <v>-18001</v>
      </c>
      <c r="F10" s="6" t="n">
        <v>-18001</v>
      </c>
    </row>
    <row r="11">
      <c r="A11" s="6" t="inlineStr">
        <is>
          <t>Impairment charge/(reversal) on investments in subsidiaries</t>
        </is>
      </c>
      <c r="B11" s="6" t="n"/>
      <c r="C11" s="6" t="n"/>
      <c r="D11" s="6" t="n"/>
      <c r="E11" s="6" t="n">
        <v>18001</v>
      </c>
      <c r="F11" s="6" t="n">
        <v>18001</v>
      </c>
    </row>
    <row r="12">
      <c r="A12" s="6" t="inlineStr">
        <is>
          <t>Share based payment expense</t>
        </is>
      </c>
      <c r="B12" s="6" t="n">
        <v>0</v>
      </c>
      <c r="C12" s="6" t="n">
        <v>1</v>
      </c>
      <c r="D12" s="6" t="n">
        <v>93</v>
      </c>
      <c r="E12" s="6" t="n">
        <v>36</v>
      </c>
      <c r="F12" s="6" t="n">
        <v>16</v>
      </c>
    </row>
    <row r="13">
      <c r="A13" s="6" t="inlineStr">
        <is>
          <t>Net interest income</t>
        </is>
      </c>
      <c r="B13" s="6" t="n">
        <v>-33009</v>
      </c>
      <c r="C13" s="6" t="n">
        <v>-26408</v>
      </c>
      <c r="D13" s="6" t="n">
        <v>-29626</v>
      </c>
      <c r="E13" s="6" t="n">
        <v>-25436</v>
      </c>
      <c r="F13" s="6" t="n"/>
    </row>
    <row r="14">
      <c r="A14" s="6" t="inlineStr">
        <is>
          <t>Interest income - MILA</t>
        </is>
      </c>
      <c r="B14" s="6" t="n"/>
      <c r="C14" s="6" t="n"/>
      <c r="D14" s="6" t="n"/>
      <c r="E14" s="6" t="n"/>
      <c r="F14" s="6" t="n">
        <v>-4687</v>
      </c>
    </row>
    <row r="15">
      <c r="A15" s="6" t="inlineStr">
        <is>
          <t>Interest on lease liabilities</t>
        </is>
      </c>
      <c r="B15" s="6" t="n"/>
      <c r="C15" s="6" t="n"/>
      <c r="D15" s="6" t="n"/>
      <c r="E15" s="6" t="n"/>
      <c r="F15" s="6" t="n">
        <v>52</v>
      </c>
    </row>
    <row r="16">
      <c r="A16" s="6" t="inlineStr">
        <is>
          <t>Impairment losses</t>
        </is>
      </c>
      <c r="B16" s="6" t="n">
        <v>8911</v>
      </c>
      <c r="C16" s="6" t="n">
        <v>4715</v>
      </c>
      <c r="D16" s="6" t="n">
        <v>3298</v>
      </c>
      <c r="E16" s="6" t="n">
        <v>1530</v>
      </c>
      <c r="F16" s="6" t="n">
        <v>1892</v>
      </c>
    </row>
    <row r="17">
      <c r="A17" s="6" t="inlineStr">
        <is>
          <t>Other income on R&amp;D tax credits</t>
        </is>
      </c>
      <c r="B17" s="6" t="n">
        <v>-255</v>
      </c>
      <c r="C17" s="6" t="n">
        <v>-417</v>
      </c>
      <c r="D17" s="6" t="n"/>
      <c r="E17" s="6" t="n"/>
      <c r="F17" s="6" t="n"/>
    </row>
    <row r="18">
      <c r="A18" s="6" t="inlineStr">
        <is>
          <t>R&amp;D tax credits released against tax charge</t>
        </is>
      </c>
      <c r="B18" s="6" t="n"/>
      <c r="C18" s="6" t="n"/>
      <c r="D18" s="6" t="n">
        <v>-120</v>
      </c>
      <c r="E18" s="6" t="n">
        <v>-220</v>
      </c>
      <c r="F18" s="6" t="n"/>
    </row>
    <row r="19">
      <c r="A19" s="6" t="inlineStr">
        <is>
          <t>Tax charge transferred from subsidiary</t>
        </is>
      </c>
      <c r="B19" s="6" t="n"/>
      <c r="C19" s="6" t="n">
        <v>0</v>
      </c>
      <c r="D19" s="6" t="n">
        <v>-225</v>
      </c>
      <c r="E19" s="6" t="n"/>
      <c r="F19" s="6" t="n"/>
    </row>
    <row r="20">
      <c r="A20" s="6" t="inlineStr">
        <is>
          <t>Fair value losses/(gains) on loans to customers at fair value</t>
        </is>
      </c>
      <c r="B20" s="6" t="n">
        <v>0</v>
      </c>
      <c r="C20" s="6" t="n">
        <v>319</v>
      </c>
      <c r="D20" s="6" t="n">
        <v>278</v>
      </c>
      <c r="E20" s="6" t="n">
        <v>427</v>
      </c>
      <c r="F20" s="6" t="n">
        <v>1032</v>
      </c>
    </row>
    <row r="21">
      <c r="A21" s="6" t="inlineStr">
        <is>
          <t>Fair value (gains)/losses on amounts due to customers at fair value</t>
        </is>
      </c>
      <c r="B21" s="6" t="n">
        <v>-4</v>
      </c>
      <c r="C21" s="6" t="n">
        <v>51</v>
      </c>
      <c r="D21" s="6" t="n">
        <v>-41</v>
      </c>
      <c r="E21" s="6" t="n">
        <v>112</v>
      </c>
      <c r="F21" s="6" t="n">
        <v>158</v>
      </c>
    </row>
    <row r="22">
      <c r="A22" s="6" t="inlineStr">
        <is>
          <t>Net unrealised (gain)/loss on derivative(s) assets</t>
        </is>
      </c>
      <c r="B22" s="6" t="n">
        <v>1753</v>
      </c>
      <c r="C22" s="6" t="n">
        <v>2406</v>
      </c>
      <c r="D22" s="6" t="n">
        <v>-1225</v>
      </c>
      <c r="E22" s="6" t="n">
        <v>-3219</v>
      </c>
      <c r="F22" s="6" t="n"/>
    </row>
    <row r="23">
      <c r="A23" s="5" t="inlineStr">
        <is>
          <t>Cash flows from operating activities before changes in operating assets and liabilities</t>
        </is>
      </c>
      <c r="B23" s="5" t="n">
        <v>-18584</v>
      </c>
      <c r="C23" s="5" t="n">
        <v>-16245</v>
      </c>
      <c r="D23" s="5" t="n">
        <v>-15202</v>
      </c>
      <c r="E23" s="5" t="n"/>
      <c r="F23" s="5" t="n"/>
    </row>
    <row r="24">
      <c r="A24" s="5" t="inlineStr">
        <is>
          <t>Changes in operating assets and liabilities</t>
        </is>
      </c>
      <c r="B24" s="6" t="n"/>
      <c r="C24" s="6" t="n"/>
      <c r="D24" s="6" t="n"/>
      <c r="E24" s="6" t="n"/>
      <c r="F24" s="6" t="n"/>
    </row>
    <row r="25">
      <c r="A25" s="6" t="inlineStr">
        <is>
          <t>(Increase)/decrease in trade and other receivables (excluding corporation tax receivable)</t>
        </is>
      </c>
      <c r="B25" s="6" t="n">
        <v>-258</v>
      </c>
      <c r="C25" s="6" t="n">
        <v>12</v>
      </c>
      <c r="D25" s="6" t="n">
        <v>253</v>
      </c>
      <c r="E25" s="6" t="n">
        <v>-186</v>
      </c>
      <c r="F25" s="6" t="n">
        <v>201</v>
      </c>
    </row>
    <row r="26">
      <c r="A26" s="6" t="inlineStr">
        <is>
          <t>Increase/(decrease) in loans to customers at amortised cost</t>
        </is>
      </c>
      <c r="B26" s="6" t="n">
        <v>-390164</v>
      </c>
      <c r="C26" s="6" t="n">
        <v>-107177</v>
      </c>
      <c r="D26" s="6" t="n">
        <v>-79742</v>
      </c>
      <c r="E26" s="6" t="n">
        <v>-47624</v>
      </c>
      <c r="F26" s="6" t="n">
        <v>48663</v>
      </c>
    </row>
    <row r="27">
      <c r="A27" s="6" t="inlineStr">
        <is>
          <t>Increase in amounts due to customers at amortised cost (and related hedged asset)</t>
        </is>
      </c>
      <c r="B27" s="6" t="n">
        <v>546293</v>
      </c>
      <c r="C27" s="6" t="n">
        <v>139599</v>
      </c>
      <c r="D27" s="6" t="n">
        <v>108862</v>
      </c>
      <c r="E27" s="6" t="n">
        <v>168780</v>
      </c>
      <c r="F27" s="6" t="n"/>
    </row>
    <row r="28">
      <c r="A28" s="6" t="inlineStr">
        <is>
          <t>Increase in amounts due to customers at amortised cost / Borrower Loan Agreement</t>
        </is>
      </c>
      <c r="B28" s="6" t="n"/>
      <c r="C28" s="6" t="n"/>
      <c r="D28" s="6" t="n"/>
      <c r="E28" s="6" t="n"/>
      <c r="F28" s="6" t="n">
        <v>-93538</v>
      </c>
    </row>
    <row r="29">
      <c r="A29" s="6" t="inlineStr">
        <is>
          <t>Increase/(decrease) in prepayments (and related hedge liability)</t>
        </is>
      </c>
      <c r="B29" s="6" t="n">
        <v>-177</v>
      </c>
      <c r="C29" s="6" t="n">
        <v>-350</v>
      </c>
      <c r="D29" s="6" t="n">
        <v>-81</v>
      </c>
      <c r="E29" s="6" t="n">
        <v>-14</v>
      </c>
      <c r="F29" s="6" t="n">
        <v>466</v>
      </c>
    </row>
    <row r="30">
      <c r="A30" s="6" t="inlineStr">
        <is>
          <t>Increase/(decrease) in trade and other payables (excl. corporation tax payable and lease liability)</t>
        </is>
      </c>
      <c r="B30" s="6" t="n">
        <v>6547</v>
      </c>
      <c r="C30" s="6" t="n">
        <v>1281</v>
      </c>
      <c r="D30" s="6" t="n">
        <v>-3074</v>
      </c>
      <c r="E30" s="6" t="n">
        <v>772</v>
      </c>
      <c r="F30" s="6" t="n">
        <v>-16013</v>
      </c>
    </row>
    <row r="31">
      <c r="A31" s="6" t="inlineStr">
        <is>
          <t>Decrease/(increase) in loans to customers at fair value</t>
        </is>
      </c>
      <c r="B31" s="6" t="n">
        <v>0</v>
      </c>
      <c r="C31" s="6" t="n">
        <v>3764</v>
      </c>
      <c r="D31" s="6" t="n">
        <v>-267</v>
      </c>
      <c r="E31" s="6" t="n">
        <v>-47</v>
      </c>
      <c r="F31" s="6" t="n">
        <v>0</v>
      </c>
    </row>
    <row r="32">
      <c r="A32" s="6" t="inlineStr">
        <is>
          <t>Decrease in amounts due to customers at fair value</t>
        </is>
      </c>
      <c r="B32" s="6" t="n">
        <v>-71</v>
      </c>
      <c r="C32" s="6" t="n">
        <v>-754</v>
      </c>
      <c r="D32" s="6" t="n">
        <v>-561</v>
      </c>
      <c r="E32" s="6" t="n">
        <v>-21</v>
      </c>
      <c r="F32" s="6" t="n"/>
    </row>
    <row r="33">
      <c r="A33" s="6" t="inlineStr">
        <is>
          <t>Increase/(decrease) in derivative financial instruments/assets</t>
        </is>
      </c>
      <c r="B33" s="6" t="n">
        <v>-1523</v>
      </c>
      <c r="C33" s="6" t="n">
        <v>-2605</v>
      </c>
      <c r="D33" s="6" t="n">
        <v>1671</v>
      </c>
      <c r="E33" s="6" t="n">
        <v>96</v>
      </c>
      <c r="F33" s="6" t="n"/>
    </row>
    <row r="34">
      <c r="A34" s="6" t="inlineStr">
        <is>
          <t>Increase in amounts due to customers at fair value / group companies (inter-company swap)</t>
        </is>
      </c>
      <c r="B34" s="6" t="n"/>
      <c r="C34" s="6" t="n"/>
      <c r="D34" s="6" t="n"/>
      <c r="E34" s="6" t="n"/>
      <c r="F34" s="6" t="n">
        <v>-289</v>
      </c>
    </row>
    <row r="35">
      <c r="A35" s="6" t="inlineStr">
        <is>
          <t>Increase in amounts due from credit institutions</t>
        </is>
      </c>
      <c r="B35" s="6" t="n">
        <v>-2799</v>
      </c>
      <c r="C35" s="6" t="n">
        <v>-8354</v>
      </c>
      <c r="D35" s="6" t="n">
        <v>-1930</v>
      </c>
      <c r="E35" s="6" t="n"/>
      <c r="F35" s="6" t="n"/>
    </row>
    <row r="36">
      <c r="A36" s="6" t="inlineStr">
        <is>
          <t>Increase/(decrease) in amounts due to credit institutions</t>
        </is>
      </c>
      <c r="B36" s="6" t="n">
        <v>119</v>
      </c>
      <c r="C36" s="6" t="n">
        <v>-1326</v>
      </c>
      <c r="D36" s="6" t="n">
        <v>-1160</v>
      </c>
      <c r="E36" s="6" t="n">
        <v>4100</v>
      </c>
      <c r="F36" s="6" t="n"/>
    </row>
    <row r="37">
      <c r="A37" s="6" t="inlineStr">
        <is>
          <t>Tax refunds</t>
        </is>
      </c>
      <c r="B37" s="6" t="n">
        <v>0</v>
      </c>
      <c r="C37" s="6" t="n">
        <v>118</v>
      </c>
      <c r="D37" s="6" t="n"/>
      <c r="E37" s="6" t="n"/>
      <c r="F37" s="6" t="n"/>
    </row>
    <row r="38">
      <c r="A38" s="6" t="inlineStr">
        <is>
          <t>Tax paid</t>
        </is>
      </c>
      <c r="B38" s="6" t="n">
        <v>-1188</v>
      </c>
      <c r="C38" s="6" t="n"/>
      <c r="D38" s="6" t="n"/>
      <c r="E38" s="6" t="n">
        <v>-26</v>
      </c>
      <c r="F38" s="6" t="n"/>
    </row>
    <row r="39">
      <c r="A39" s="6" t="inlineStr">
        <is>
          <t>Tax refunded/(paid)</t>
        </is>
      </c>
      <c r="B39" s="6" t="n"/>
      <c r="C39" s="6" t="n"/>
      <c r="D39" s="6" t="n">
        <v>-13</v>
      </c>
      <c r="E39" s="6" t="n"/>
      <c r="F39" s="6" t="n"/>
    </row>
    <row r="40">
      <c r="A40" s="6" t="inlineStr">
        <is>
          <t>Interest received</t>
        </is>
      </c>
      <c r="B40" s="6" t="n">
        <v>60879</v>
      </c>
      <c r="C40" s="6" t="n">
        <v>46245</v>
      </c>
      <c r="D40" s="6" t="n">
        <v>30986</v>
      </c>
      <c r="E40" s="6" t="n">
        <v>20746</v>
      </c>
      <c r="F40" s="6" t="n"/>
    </row>
    <row r="41">
      <c r="A41" s="6" t="inlineStr">
        <is>
          <t>Interest paid (excluding interest on lease liabilities and MILA loan)</t>
        </is>
      </c>
      <c r="B41" s="6" t="n">
        <v>-64410</v>
      </c>
      <c r="C41" s="6" t="n"/>
      <c r="D41" s="6" t="n"/>
      <c r="E41" s="6" t="n"/>
      <c r="F41" s="6" t="n"/>
    </row>
    <row r="42">
      <c r="A42" s="6" t="inlineStr">
        <is>
          <t>Interest paid on lease liabilities</t>
        </is>
      </c>
      <c r="B42" s="6" t="n">
        <v>-59</v>
      </c>
      <c r="C42" s="6" t="n"/>
      <c r="D42" s="6" t="n"/>
      <c r="E42" s="6" t="n"/>
      <c r="F42" s="6" t="n"/>
    </row>
    <row r="43">
      <c r="A43" s="6" t="inlineStr">
        <is>
          <t>Interest paid (including interest on lease liabilities and MILA loan)</t>
        </is>
      </c>
      <c r="B43" s="6" t="n"/>
      <c r="C43" s="6" t="n">
        <v>-48308</v>
      </c>
      <c r="D43" s="6" t="n">
        <v>-26760</v>
      </c>
      <c r="E43" s="6" t="n">
        <v>-10649</v>
      </c>
      <c r="F43" s="6" t="n"/>
    </row>
    <row r="44">
      <c r="A44" s="5" t="inlineStr">
        <is>
          <t>Net cash generated from/(used in) operating activities</t>
        </is>
      </c>
      <c r="B44" s="5" t="n">
        <v>134605</v>
      </c>
      <c r="C44" s="5" t="n">
        <v>5222</v>
      </c>
      <c r="D44" s="5" t="n">
        <v>12982</v>
      </c>
      <c r="E44" s="5" t="n">
        <v>113687</v>
      </c>
      <c r="F44" s="5" t="n">
        <v>-62617</v>
      </c>
    </row>
    <row r="45">
      <c r="A45" s="5" t="inlineStr">
        <is>
          <t>Cash flows from investing activities</t>
        </is>
      </c>
      <c r="B45" s="6" t="n"/>
      <c r="C45" s="6" t="n"/>
      <c r="D45" s="6" t="n"/>
      <c r="E45" s="6" t="n"/>
      <c r="F45" s="6" t="n"/>
    </row>
    <row r="46">
      <c r="A46" s="6" t="inlineStr">
        <is>
          <t>Purchase of intangible assets</t>
        </is>
      </c>
      <c r="B46" s="6" t="n">
        <v>-1781</v>
      </c>
      <c r="C46" s="6" t="n">
        <v>-2237</v>
      </c>
      <c r="D46" s="6" t="n">
        <v>-2352</v>
      </c>
      <c r="E46" s="6" t="n">
        <v>-1862</v>
      </c>
      <c r="F46" s="6" t="n">
        <v>-1027</v>
      </c>
    </row>
    <row r="47">
      <c r="A47" s="6" t="inlineStr">
        <is>
          <t>Purchase of debt instruments</t>
        </is>
      </c>
      <c r="B47" s="6" t="n">
        <v>-19838</v>
      </c>
      <c r="C47" s="6" t="n">
        <v>-53000</v>
      </c>
      <c r="D47" s="6" t="n"/>
      <c r="E47" s="6" t="n"/>
      <c r="F47" s="6" t="n"/>
    </row>
    <row r="48">
      <c r="A48" s="6" t="inlineStr">
        <is>
          <t>Proceeds from sale of debt instruments</t>
        </is>
      </c>
      <c r="B48" s="6" t="n">
        <v>63347</v>
      </c>
      <c r="C48" s="6" t="n">
        <v>29685</v>
      </c>
      <c r="D48" s="6" t="n"/>
      <c r="E48" s="6" t="n">
        <v>14999</v>
      </c>
      <c r="F48" s="6" t="n"/>
    </row>
    <row r="49">
      <c r="A49" s="6" t="inlineStr">
        <is>
          <t>(Purchase)/sale of debt instruments (net, as reported)</t>
        </is>
      </c>
      <c r="B49" s="6" t="n"/>
      <c r="C49" s="6" t="n"/>
      <c r="D49" s="6" t="n">
        <v>-35495</v>
      </c>
      <c r="E49" s="6" t="n"/>
      <c r="F49" s="6" t="n"/>
    </row>
    <row r="50">
      <c r="A50" s="6" t="inlineStr">
        <is>
          <t>Sale/(purchase) of debt instruments (net, as reported)</t>
        </is>
      </c>
      <c r="B50" s="6" t="n"/>
      <c r="C50" s="6" t="n"/>
      <c r="D50" s="6" t="n"/>
      <c r="E50" s="6" t="n"/>
      <c r="F50" s="6" t="n">
        <v>96919</v>
      </c>
    </row>
    <row r="51">
      <c r="A51" s="6" t="inlineStr">
        <is>
          <t>Purchase of property, plant and equipment</t>
        </is>
      </c>
      <c r="B51" s="6" t="n">
        <v>-97</v>
      </c>
      <c r="C51" s="6" t="n">
        <v>-123</v>
      </c>
      <c r="D51" s="6" t="n">
        <v>-11</v>
      </c>
      <c r="E51" s="6" t="n">
        <v>-493</v>
      </c>
      <c r="F51" s="6" t="n">
        <v>-73</v>
      </c>
    </row>
    <row r="52">
      <c r="A52" s="6" t="inlineStr">
        <is>
          <t>Disposals of property, plant and equipment</t>
        </is>
      </c>
      <c r="B52" s="6" t="n">
        <v>0</v>
      </c>
      <c r="C52" s="6" t="n">
        <v>22</v>
      </c>
      <c r="D52" s="6" t="n"/>
      <c r="E52" s="6" t="n"/>
      <c r="F52" s="6" t="n"/>
    </row>
    <row r="53">
      <c r="A53" s="6" t="inlineStr">
        <is>
          <t>Purchase of leased asset on transfer</t>
        </is>
      </c>
      <c r="B53" s="6" t="n"/>
      <c r="C53" s="6" t="n"/>
      <c r="D53" s="6" t="n"/>
      <c r="E53" s="6" t="n"/>
      <c r="F53" s="6" t="n">
        <v>-17</v>
      </c>
    </row>
    <row r="54">
      <c r="A54" s="6" t="inlineStr">
        <is>
          <t>Proceeds from maturities of fixed deposits</t>
        </is>
      </c>
      <c r="B54" s="6" t="n"/>
      <c r="C54" s="6" t="n"/>
      <c r="D54" s="6" t="n"/>
      <c r="E54" s="6" t="n"/>
      <c r="F54" s="6" t="n">
        <v>0</v>
      </c>
    </row>
    <row r="55">
      <c r="A55" s="5" t="inlineStr">
        <is>
          <t>Net cash generated from/(used in) investing activities</t>
        </is>
      </c>
      <c r="B55" s="5" t="n">
        <v>41631</v>
      </c>
      <c r="C55" s="5" t="n">
        <v>-25653</v>
      </c>
      <c r="D55" s="5" t="n">
        <v>-37858</v>
      </c>
      <c r="E55" s="5" t="n">
        <v>12644</v>
      </c>
      <c r="F55" s="5" t="n">
        <v>95802</v>
      </c>
    </row>
    <row r="56">
      <c r="A56" s="5" t="inlineStr">
        <is>
          <t>Cash flows from financing activities</t>
        </is>
      </c>
      <c r="B56" s="6" t="n"/>
      <c r="C56" s="6" t="n"/>
      <c r="D56" s="6" t="n"/>
      <c r="E56" s="6" t="n"/>
      <c r="F56" s="6" t="n"/>
    </row>
    <row r="57">
      <c r="A57" s="6" t="inlineStr">
        <is>
          <t>Principal receipts of intercompany loans</t>
        </is>
      </c>
      <c r="B57" s="6" t="n">
        <v>127105</v>
      </c>
      <c r="C57" s="6" t="n">
        <v>35952</v>
      </c>
      <c r="D57" s="6" t="n"/>
      <c r="E57" s="6" t="n"/>
      <c r="F57" s="6" t="n"/>
    </row>
    <row r="58">
      <c r="A58" s="6" t="inlineStr">
        <is>
          <t>Principal repayment of intercompany loans</t>
        </is>
      </c>
      <c r="B58" s="6" t="n">
        <v>-101088</v>
      </c>
      <c r="C58" s="6" t="n">
        <v>-5199</v>
      </c>
      <c r="D58" s="6" t="n">
        <v>-18021</v>
      </c>
      <c r="E58" s="6" t="n"/>
      <c r="F58" s="6" t="n"/>
    </row>
    <row r="59">
      <c r="A59" s="6" t="inlineStr">
        <is>
          <t>Principal repayment of MILA loan</t>
        </is>
      </c>
      <c r="B59" s="6" t="n"/>
      <c r="C59" s="6" t="n"/>
      <c r="D59" s="6" t="n"/>
      <c r="E59" s="6" t="n">
        <v>-36770</v>
      </c>
      <c r="F59" s="6" t="n"/>
    </row>
    <row r="60">
      <c r="A60" s="6" t="inlineStr">
        <is>
          <t>Proceeds from issue of share capital</t>
        </is>
      </c>
      <c r="B60" s="6" t="n"/>
      <c r="C60" s="6" t="n"/>
      <c r="D60" s="6" t="n"/>
      <c r="E60" s="6" t="n"/>
      <c r="F60" s="6" t="n">
        <v>0</v>
      </c>
    </row>
    <row r="61">
      <c r="A61" s="6" t="inlineStr">
        <is>
          <t>Interest received on MILA</t>
        </is>
      </c>
      <c r="B61" s="6" t="n"/>
      <c r="C61" s="6" t="n"/>
      <c r="D61" s="6" t="n"/>
      <c r="E61" s="6" t="n"/>
      <c r="F61" s="6" t="n">
        <v>4687</v>
      </c>
    </row>
    <row r="62">
      <c r="A62" s="6" t="inlineStr">
        <is>
          <t>Principal (repayment)/receipt of MILA</t>
        </is>
      </c>
      <c r="B62" s="6" t="n"/>
      <c r="C62" s="6" t="n"/>
      <c r="D62" s="6" t="n"/>
      <c r="E62" s="6" t="n"/>
      <c r="F62" s="6" t="n">
        <v>-14813</v>
      </c>
    </row>
    <row r="63">
      <c r="A63" s="6" t="inlineStr">
        <is>
          <t>Lease payments of principal</t>
        </is>
      </c>
      <c r="B63" s="6" t="n">
        <v>-411</v>
      </c>
      <c r="C63" s="6" t="n">
        <v>-561</v>
      </c>
      <c r="D63" s="6" t="n">
        <v>-517</v>
      </c>
      <c r="E63" s="6" t="n">
        <v>-399</v>
      </c>
      <c r="F63" s="6" t="n">
        <v>-293</v>
      </c>
    </row>
    <row r="64">
      <c r="A64" s="6" t="inlineStr">
        <is>
          <t>Lease interest paid</t>
        </is>
      </c>
      <c r="B64" s="6" t="n"/>
      <c r="C64" s="6" t="n"/>
      <c r="D64" s="6" t="n"/>
      <c r="E64" s="6" t="n"/>
      <c r="F64" s="6" t="n">
        <v>-52</v>
      </c>
    </row>
    <row r="65">
      <c r="A65" s="6" t="inlineStr">
        <is>
          <t>Receipts from issuance of subordinated liability</t>
        </is>
      </c>
      <c r="B65" s="6" t="n">
        <v>8000</v>
      </c>
      <c r="C65" s="6" t="n">
        <v>7000</v>
      </c>
      <c r="D65" s="6" t="n"/>
      <c r="E65" s="6" t="n"/>
      <c r="F65" s="6" t="n"/>
    </row>
    <row r="66">
      <c r="A66" s="5" t="inlineStr">
        <is>
          <t>Net cash generated from/(used in) financing activities</t>
        </is>
      </c>
      <c r="B66" s="5" t="n">
        <v>33606</v>
      </c>
      <c r="C66" s="5" t="n">
        <v>37192</v>
      </c>
      <c r="D66" s="5" t="n">
        <v>-18538</v>
      </c>
      <c r="E66" s="5" t="n">
        <v>-37169</v>
      </c>
      <c r="F66" s="5" t="n">
        <v>-10471</v>
      </c>
    </row>
    <row r="67">
      <c r="A67" s="5" t="inlineStr">
        <is>
          <t>Net increase/(decrease) in cash and cash equivalents</t>
        </is>
      </c>
      <c r="B67" s="5" t="n">
        <v>209842</v>
      </c>
      <c r="C67" s="5" t="n">
        <v>16761</v>
      </c>
      <c r="D67" s="5" t="n">
        <v>-43414</v>
      </c>
      <c r="E67" s="5" t="n">
        <v>89162</v>
      </c>
      <c r="F67" s="5" t="n">
        <v>22714</v>
      </c>
    </row>
    <row r="68">
      <c r="A68" s="6" t="inlineStr">
        <is>
          <t>Cash and cash equivalents at the beginning of the year</t>
        </is>
      </c>
      <c r="B68" s="6" t="n">
        <v>117053</v>
      </c>
      <c r="C68" s="6" t="n">
        <v>100292</v>
      </c>
      <c r="D68" s="6" t="n">
        <v>143706</v>
      </c>
      <c r="E68" s="6" t="n">
        <v>54544</v>
      </c>
      <c r="F68" s="6" t="n">
        <v>31830</v>
      </c>
    </row>
    <row r="69">
      <c r="A69" s="5" t="inlineStr">
        <is>
          <t>Cash and cash equivalents at the end of the year</t>
        </is>
      </c>
      <c r="B69" s="5" t="n">
        <v>326895</v>
      </c>
      <c r="C69" s="5" t="n">
        <v>117053</v>
      </c>
      <c r="D69" s="5" t="n">
        <v>100292</v>
      </c>
      <c r="E69" s="5" t="n">
        <v>143706</v>
      </c>
      <c r="F69" s="5" t="n">
        <v>54544</v>
      </c>
    </row>
    <row r="71" ht="280" customHeight="1">
      <c r="A71" s="8" t="inlineStr">
        <is>
          <t>Sources - all figures are Castle Trust Capital plc's own Company-only (solo) Statement of Cash Flows, £'000:
FY2025 (&amp; FY2024 comparative): Castle Trust Capital plc Annual financial statements, y/e 30 Sept 2025, p.59 - https://find-and-update.company-information.service.gov.uk/company/07454474/filing-history/MzUwMDY5OTYyMGFkaXF6a2N4/document?format=pdf&amp;download=0
FY2024 (&amp; FY2023 comparative): Castle Trust Capital plc Annual financial statements, y/e 30 Sept 2024, p.58 - https://find-and-update.company-information.service.gov.uk/company/07454474/filing-history/MzQ1MzY3NTE2MGFkaXF6a2N4/document?format=pdf&amp;download=0
FY2023 (&amp; FY2022 comparative): Castle Trust Capital plc Annual financial statements, y/e 30 Sept 2023, p.55 - https://find-and-update.company-information.service.gov.uk/company/07454474/filing-history/MzQxNTc2MDk1NGFkaXF6a2N4/document?format=pdf&amp;download=0
FY2022 (&amp; FY2021 comparative): Castle Trust Capital plc Annual financial statements, y/e 30 Sept 2022, p.48 - https://find-and-update.company-information.service.gov.uk/company/07454474/filing-history/MzM2MzAyNjk5NGFkaXF6a2N4/document?format=pdf&amp;download=0
FY2021 (&amp; FY2020 comparative): Castle Trust Capital plc Annual financial statements, y/e 30 Sept 2021, p.41 - https://find-and-update.company-information.service.gov.uk/company/07454474/filing-history/MzMzNDg3NzA5MWFkaXF6a2N4/document?format=pdf&amp;download=0
Castle Trust Capital plc (company 07454474, FRN 541910, trading as 'Castle Trust Bank') is a wholly-owned subsidiary of Castle Trust Holdings Limited ('CTH', company 12161224) and has availed itself of the exemption under s.400 Companies Act 2006 to not prepare group accounts - its own statutory accounts (sourced here) are solo/Company-only, not consolidated, and are a genuinely different document from CTH's own consolidated 'Annual report and financial statements' (also published on the bank's website) which cover the wider Group. Cash flow figures on this sheet are Castle Trust Capital plc solo, matching the Pillar 3 sheets' 'Bank' (not 'Group') columns - kept consistent throughout to avoid a cash-flow-vs-Pillar-3 basis mismatch. All 5 Companies House filings for this entity are fully scanned/image-only; figures were transcribed via page rendering and cross-checked against each year's own report where it appears again as the following year's comparative column.
One genuine cross-vintage discrepancy found, not silently resolved: the FY2022 Annual Report's own note states 'Certain items in operating activities have been reclassified in the prior year comparatives for presentational purposes. The changes had no impact on the net cashflows from operating activities' - but its FY2021 comparative operating-activities total is stated as £(57,981)k, which does NOT match FY2021's own originally-published total of £(62,617)k (a £4,636k difference), despite the note's claim of no impact. FY2021's own originally-published figure is used in the FY2021 column here, per project convention; the discrepancy itself is flagged here rather than silently reconciled either way. All other tail-chain closing/opening balances tie exactly year to year with no gap.</t>
        </is>
      </c>
    </row>
  </sheetData>
  <mergeCells count="1">
    <mergeCell ref="A71:F71"/>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F19"/>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64" customWidth="1" min="1" max="1"/>
    <col width="15" customWidth="1" min="2" max="2"/>
    <col width="15" customWidth="1" min="3" max="3"/>
    <col width="15" customWidth="1" min="4" max="4"/>
    <col width="15" customWidth="1" min="5" max="5"/>
    <col width="15" customWidth="1" min="6" max="6"/>
  </cols>
  <sheetData>
    <row r="1">
      <c r="A1" s="1" t="inlineStr">
        <is>
          <t>Castle Trust Capital plc — Asset Quality / Credit Risk Disclosures</t>
        </is>
      </c>
    </row>
    <row r="2">
      <c r="A2" s="2" t="inlineStr">
        <is>
          <t>Company (solo) basis, £'000. Loans to customers at amortised cost only (excludes the small fair-value-designated legacy mortgage book, run off by FY2024). All 5 years genuinely disclosed - no not-disclosed fallback needed.</t>
        </is>
      </c>
    </row>
    <row r="3">
      <c r="A3" s="4" t="inlineStr">
        <is>
          <t>Line item</t>
        </is>
      </c>
      <c r="B3" s="4" t="inlineStr">
        <is>
          <t>FY2025 (£'000)</t>
        </is>
      </c>
      <c r="C3" s="4" t="inlineStr">
        <is>
          <t>FY2024 (£'000)</t>
        </is>
      </c>
      <c r="D3" s="4" t="inlineStr">
        <is>
          <t>FY2023 (£'000)</t>
        </is>
      </c>
      <c r="E3" s="4" t="inlineStr">
        <is>
          <t>FY2022 (£'000)</t>
        </is>
      </c>
      <c r="F3" s="4" t="inlineStr">
        <is>
          <t>FY2021 (£'000)</t>
        </is>
      </c>
    </row>
    <row r="4">
      <c r="A4" s="5" t="inlineStr">
        <is>
          <t>Loans and advances to customers at amortised cost, by IFRS 9 stage (gross carrying amount)</t>
        </is>
      </c>
      <c r="B4" s="6" t="n"/>
      <c r="C4" s="6" t="n"/>
      <c r="D4" s="6" t="n"/>
      <c r="E4" s="6" t="n"/>
      <c r="F4" s="6" t="n"/>
    </row>
    <row r="5">
      <c r="A5" s="6" t="inlineStr">
        <is>
          <t>Stage 1</t>
        </is>
      </c>
      <c r="B5" s="6" t="n">
        <v>968725</v>
      </c>
      <c r="C5" s="6" t="n">
        <v>532712</v>
      </c>
      <c r="D5" s="6" t="n">
        <v>440613</v>
      </c>
      <c r="E5" s="6" t="n">
        <v>335067</v>
      </c>
      <c r="F5" s="6" t="n">
        <v>224629</v>
      </c>
    </row>
    <row r="6">
      <c r="A6" s="6" t="inlineStr">
        <is>
          <t>Stage 2</t>
        </is>
      </c>
      <c r="B6" s="6" t="n">
        <v>44952</v>
      </c>
      <c r="C6" s="6" t="n">
        <v>57136</v>
      </c>
      <c r="D6" s="6" t="n">
        <v>48080</v>
      </c>
      <c r="E6" s="6" t="n">
        <v>65347</v>
      </c>
      <c r="F6" s="6" t="n">
        <v>116924</v>
      </c>
    </row>
    <row r="7">
      <c r="A7" s="6" t="inlineStr">
        <is>
          <t>Stage 3</t>
        </is>
      </c>
      <c r="B7" s="6" t="n">
        <v>87888</v>
      </c>
      <c r="C7" s="6" t="n">
        <v>90833</v>
      </c>
      <c r="D7" s="6" t="n">
        <v>70394</v>
      </c>
      <c r="E7" s="6" t="n">
        <v>63269</v>
      </c>
      <c r="F7" s="6" t="n">
        <v>61643</v>
      </c>
    </row>
    <row r="8">
      <c r="A8" s="5" t="inlineStr">
        <is>
          <t>Total gross carrying amount</t>
        </is>
      </c>
      <c r="B8" s="5" t="n">
        <v>1101565</v>
      </c>
      <c r="C8" s="5" t="n">
        <v>680681</v>
      </c>
      <c r="D8" s="5" t="n">
        <v>559087</v>
      </c>
      <c r="E8" s="5" t="n">
        <v>463683</v>
      </c>
      <c r="F8" s="5" t="n">
        <v>403196</v>
      </c>
    </row>
    <row r="9">
      <c r="A9" s="5" t="inlineStr">
        <is>
          <t>Expected credit loss (ECL) allowance, by IFRS 9 stage</t>
        </is>
      </c>
      <c r="B9" s="6" t="n"/>
      <c r="C9" s="6" t="n"/>
      <c r="D9" s="6" t="n"/>
      <c r="E9" s="6" t="n"/>
      <c r="F9" s="6" t="n"/>
    </row>
    <row r="10">
      <c r="A10" s="6" t="inlineStr">
        <is>
          <t>Stage 1 allowance</t>
        </is>
      </c>
      <c r="B10" s="6" t="n">
        <v>-969</v>
      </c>
      <c r="C10" s="6" t="n">
        <v>-765</v>
      </c>
      <c r="D10" s="6" t="n">
        <v>-929</v>
      </c>
      <c r="E10" s="6" t="n">
        <v>-291</v>
      </c>
      <c r="F10" s="6" t="n">
        <v>-684</v>
      </c>
    </row>
    <row r="11">
      <c r="A11" s="6" t="inlineStr">
        <is>
          <t>Stage 2 allowance</t>
        </is>
      </c>
      <c r="B11" s="6" t="n">
        <v>-498</v>
      </c>
      <c r="C11" s="6" t="n">
        <v>-842</v>
      </c>
      <c r="D11" s="6" t="n">
        <v>-986</v>
      </c>
      <c r="E11" s="6" t="n">
        <v>-1105</v>
      </c>
      <c r="F11" s="6" t="n">
        <v>-1034</v>
      </c>
    </row>
    <row r="12">
      <c r="A12" s="6" t="inlineStr">
        <is>
          <t>Stage 3 allowance</t>
        </is>
      </c>
      <c r="B12" s="6" t="n">
        <v>-17594</v>
      </c>
      <c r="C12" s="6" t="n">
        <v>-10736</v>
      </c>
      <c r="D12" s="6" t="n">
        <v>-10182</v>
      </c>
      <c r="E12" s="6" t="n">
        <v>-8472</v>
      </c>
      <c r="F12" s="6" t="n">
        <v>-6955</v>
      </c>
    </row>
    <row r="13">
      <c r="A13" s="5" t="inlineStr">
        <is>
          <t>Total ECL allowance</t>
        </is>
      </c>
      <c r="B13" s="5" t="n">
        <v>-19061</v>
      </c>
      <c r="C13" s="5" t="n">
        <v>-12343</v>
      </c>
      <c r="D13" s="5" t="n">
        <v>-12097</v>
      </c>
      <c r="E13" s="5" t="n">
        <v>-9868</v>
      </c>
      <c r="F13" s="5" t="n">
        <v>-8673</v>
      </c>
    </row>
    <row r="14">
      <c r="A14" s="5" t="inlineStr">
        <is>
          <t>Derived ratios</t>
        </is>
      </c>
      <c r="B14" s="6" t="n"/>
      <c r="C14" s="6" t="n"/>
      <c r="D14" s="6" t="n"/>
      <c r="E14" s="6" t="n"/>
      <c r="F14" s="6" t="n"/>
    </row>
    <row r="15">
      <c r="A15" s="6" t="inlineStr">
        <is>
          <t>Stage 3 / NPL ratio (Stage 3 gross / total gross)</t>
        </is>
      </c>
      <c r="B15" s="6" t="inlineStr">
        <is>
          <t>7.98%</t>
        </is>
      </c>
      <c r="C15" s="6" t="inlineStr">
        <is>
          <t>13.34%</t>
        </is>
      </c>
      <c r="D15" s="6" t="inlineStr">
        <is>
          <t>12.59%</t>
        </is>
      </c>
      <c r="E15" s="6" t="inlineStr">
        <is>
          <t>13.64%</t>
        </is>
      </c>
      <c r="F15" s="6" t="inlineStr">
        <is>
          <t>15.29%</t>
        </is>
      </c>
    </row>
    <row r="16">
      <c r="A16" s="6" t="inlineStr">
        <is>
          <t>Stage 3 coverage (Stage 3 ECL / Stage 3 gross)</t>
        </is>
      </c>
      <c r="B16" s="6" t="inlineStr">
        <is>
          <t>20.02%</t>
        </is>
      </c>
      <c r="C16" s="6" t="inlineStr">
        <is>
          <t>11.82%</t>
        </is>
      </c>
      <c r="D16" s="6" t="inlineStr">
        <is>
          <t>14.46%</t>
        </is>
      </c>
      <c r="E16" s="6" t="inlineStr">
        <is>
          <t>13.39%</t>
        </is>
      </c>
      <c r="F16" s="6" t="inlineStr">
        <is>
          <t>11.28%</t>
        </is>
      </c>
    </row>
    <row r="17">
      <c r="A17" s="6" t="inlineStr">
        <is>
          <t>Total ECL coverage (total ECL / total gross)</t>
        </is>
      </c>
      <c r="B17" s="6" t="inlineStr">
        <is>
          <t>1.73%</t>
        </is>
      </c>
      <c r="C17" s="6" t="inlineStr">
        <is>
          <t>1.81%</t>
        </is>
      </c>
      <c r="D17" s="6" t="inlineStr">
        <is>
          <t>2.16%</t>
        </is>
      </c>
      <c r="E17" s="6" t="inlineStr">
        <is>
          <t>2.13%</t>
        </is>
      </c>
      <c r="F17" s="6" t="inlineStr">
        <is>
          <t>2.15%</t>
        </is>
      </c>
    </row>
    <row r="19" ht="280" customHeight="1">
      <c r="A19" s="8" t="inlineStr">
        <is>
          <t>Sources - Castle Trust Capital plc's own 'Reconciliation of gross loan and ECL movements in the year' note (Property loans table, the entity's sole loan product), each year's own originally-published figures:
FY2025: Annual financial statements, y/e 30 Sept 2025, p.85 - https://find-and-update.company-information.service.gov.uk/company/07454474/filing-history/MzUwMDY5OTYyMGFkaXF6a2N4/document?format=pdf&amp;download=0
FY2024: Annual financial statements, y/e 30 Sept 2024, p.85 - https://find-and-update.company-information.service.gov.uk/company/07454474/filing-history/MzQ1MzY3NTE2MGFkaXF6a2N4/document?format=pdf&amp;download=0
FY2023: Annual financial statements, y/e 30 Sept 2023, p.78 - https://find-and-update.company-information.service.gov.uk/company/07454474/filing-history/MzQxNTc2MDk1NGFkaXF6a2N4/document?format=pdf&amp;download=0
FY2022: Annual financial statements, y/e 30 Sept 2022, p.70 - https://find-and-update.company-information.service.gov.uk/company/07454474/filing-history/MzM2MzAyNjk5NGFkaXF6a2N4/document?format=pdf&amp;download=0
FY2021: Annual financial statements, y/e 30 Sept 2021, p.62 - https://find-and-update.company-information.service.gov.uk/company/07454474/filing-history/MzMzNDg3NzA5MWFkaXF6a2N4/document?format=pdf&amp;download=0
All 5 years' Total gross carrying amount ties exactly to the Balance Sheet's 'Loans to customers, at amortised cost' net figure once the Total ECL allowance is deducted (e.g. FY2025: £1,101,565k - £19,061k = £1,082,504k). Derived ratios (Stage 3/NPL ratio, Stage 3 coverage, total ECL coverage) are calculated here, not disclosed as standalone percentages by the Bank itself.</t>
        </is>
      </c>
    </row>
  </sheetData>
  <mergeCells count="1">
    <mergeCell ref="A19:F19"/>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F11"/>
  <sheetViews>
    <sheetView workbookViewId="0">
      <selection activeCell="A1" sqref="A1"/>
    </sheetView>
  </sheetViews>
  <sheetFormatPr baseColWidth="8" defaultRowHeight="15"/>
  <cols>
    <col width="49" customWidth="1" min="1" max="1"/>
    <col width="15" customWidth="1" min="2" max="2"/>
    <col width="15" customWidth="1" min="3" max="3"/>
    <col width="15" customWidth="1" min="4" max="4"/>
    <col width="15" customWidth="1" min="5" max="5"/>
    <col width="15" customWidth="1" min="6" max="6"/>
  </cols>
  <sheetData>
    <row r="1">
      <c r="A1" s="1" t="inlineStr">
        <is>
          <t>Castle Trust Capital plc — Profitability</t>
        </is>
      </c>
    </row>
    <row r="2">
      <c r="A2" s="2" t="inlineStr">
        <is>
          <t>Return on equity and return on assets in per cent, computed from this workbook's own Balance Sheet and Profit &amp; Loss sheets.</t>
        </is>
      </c>
    </row>
    <row r="3">
      <c r="A3" s="4" t="inlineStr">
        <is>
          <t>Metric</t>
        </is>
      </c>
      <c r="B3" s="4" t="inlineStr">
        <is>
          <t>FY2025</t>
        </is>
      </c>
      <c r="C3" s="4" t="inlineStr">
        <is>
          <t>FY2024</t>
        </is>
      </c>
      <c r="D3" s="4" t="inlineStr">
        <is>
          <t>FY2023</t>
        </is>
      </c>
      <c r="E3" s="4" t="inlineStr">
        <is>
          <t>FY2022</t>
        </is>
      </c>
      <c r="F3" s="4" t="inlineStr">
        <is>
          <t>FY2021</t>
        </is>
      </c>
    </row>
    <row r="4">
      <c r="A4" s="6" t="inlineStr">
        <is>
          <t>Return on equity - average equity basis</t>
        </is>
      </c>
      <c r="B4" s="6" t="inlineStr">
        <is>
          <t>0.51%</t>
        </is>
      </c>
      <c r="C4" s="6" t="inlineStr">
        <is>
          <t>0.23%</t>
        </is>
      </c>
      <c r="D4" s="6" t="inlineStr">
        <is>
          <t>8.49%</t>
        </is>
      </c>
      <c r="E4" s="6" t="inlineStr">
        <is>
          <t>2.13%</t>
        </is>
      </c>
      <c r="F4" s="6" t="n"/>
    </row>
    <row r="5">
      <c r="A5" s="6" t="inlineStr">
        <is>
          <t>Return on equity - year-end equity basis</t>
        </is>
      </c>
      <c r="B5" s="6" t="inlineStr">
        <is>
          <t>0.51%</t>
        </is>
      </c>
      <c r="C5" s="6" t="inlineStr">
        <is>
          <t>0.23%</t>
        </is>
      </c>
      <c r="D5" s="6" t="inlineStr">
        <is>
          <t>8.14%</t>
        </is>
      </c>
      <c r="E5" s="6" t="inlineStr">
        <is>
          <t>2.11%</t>
        </is>
      </c>
      <c r="F5" s="6" t="inlineStr">
        <is>
          <t>7.34%</t>
        </is>
      </c>
    </row>
    <row r="6">
      <c r="A6" s="6" t="inlineStr">
        <is>
          <t>Return on assets - average assets basis</t>
        </is>
      </c>
      <c r="B6" s="6" t="inlineStr">
        <is>
          <t>0.04%</t>
        </is>
      </c>
      <c r="C6" s="6" t="inlineStr">
        <is>
          <t>0.02%</t>
        </is>
      </c>
      <c r="D6" s="6" t="inlineStr">
        <is>
          <t>0.94%</t>
        </is>
      </c>
      <c r="E6" s="6" t="inlineStr">
        <is>
          <t>0.27%</t>
        </is>
      </c>
      <c r="F6" s="6" t="n"/>
    </row>
    <row r="7">
      <c r="A7" s="6" t="inlineStr">
        <is>
          <t>Return on assets - year-end assets basis</t>
        </is>
      </c>
      <c r="B7" s="6" t="inlineStr">
        <is>
          <t>0.03%</t>
        </is>
      </c>
      <c r="C7" s="6" t="inlineStr">
        <is>
          <t>0.02%</t>
        </is>
      </c>
      <c r="D7" s="6" t="inlineStr">
        <is>
          <t>0.89%</t>
        </is>
      </c>
      <c r="E7" s="6" t="inlineStr">
        <is>
          <t>0.24%</t>
        </is>
      </c>
      <c r="F7" s="6" t="inlineStr">
        <is>
          <t>1.02%</t>
        </is>
      </c>
    </row>
    <row r="8">
      <c r="A8" s="6" t="inlineStr">
        <is>
          <t>Castle Trust Capital plc's own published return</t>
        </is>
      </c>
      <c r="B8" s="6" t="inlineStr">
        <is>
          <t>Not published</t>
        </is>
      </c>
      <c r="C8" s="6" t="inlineStr">
        <is>
          <t>Not published</t>
        </is>
      </c>
      <c r="D8" s="6" t="inlineStr">
        <is>
          <t>Not published</t>
        </is>
      </c>
      <c r="E8" s="6" t="inlineStr">
        <is>
          <t>Not published</t>
        </is>
      </c>
      <c r="F8" s="6" t="inlineStr">
        <is>
          <t>Not published</t>
        </is>
      </c>
    </row>
    <row r="9" ht="221" customHeight="1">
      <c r="A9" s="7" t="inlineStr">
        <is>
          <t>Note: COMPUTED, NOT PUBLISHED. Castle Trust Capital plc publishes NO return on equity or return on assets. Annual financial statements for the year ended 30 September 2025 (Companies House doc MzUwMDY5OTYyMGFkaXF6a2N4, 116 pages, image-only scan - pdftotext returns 0 bytes). All 116 pages were rendered at 150 dpi and OCR'd; exact search terms 'return on', word-bounded 'rote|roe|roa', and 'net interest margin' produced only: (a) the NIM lines, (b) a definition sentence on PDF p.15 describing NIM as 'the overall pre cost return on lending', and (c) a forward-looking aspiration on PDF p.18, 'the Bank will grow in a sustainable manner, deliver a growing positive return on equity' - an objective, not a measured figure. The 'Key Financial Performance Indicators' table, printed p.12 / PDF p.14, lists ONLY: Property finance loan book 1,062,565; Wholesale loan 19,939; Savings/Investment balances 1,495,438; Liquid assets 347,196; Cost of funds 4.2%; Unaudited Liquidity Coverage ratio 167%; Unaudited Total Capital Ratio 15.8%; Impairment coverage ratio 1.7%; Cost of Risk 102bps; Net interest income 33,009; Net interest margin 3.8%; Profit before tax 1,203 (all GBP'000, 2024 comparatives alongside). No return line. Every percentage above is therefore this project's own arithmetic on the figures printed on this workbook's statement sheets, and is labelled as such. That the bank publishes none is a POSITIVE FINDING, recorded in research/profitability/published_returns.jsonl, and not a failed search: for this bank the computed figure is the only figure there is.
WHY TWO BASES ARE PRINTED FOR EACH RATIO, AND NEITHER IS PREFERRED. The average basis divides by the mean of the opening and closing balance and is the fairer measure of a year in which the balance sheet moved a long way; the year-end basis divides by the closing balance alone and is what most outside sources quote. Both are shown so the reader can see which question a figure answers. They are not averaged and neither is 'the' return.
FY2021 HAS NO AVERAGE-BASIS RATIO, AND THAT IS CORRECT. An average denominator needs an opening balance, and FY2021 is the oldest column this workbook carries, so there is no prior year to open from. The blank is structural, not a missing figure. The year-end basis is shown for FY2021 because it needs only the closing balance.</t>
        </is>
      </c>
    </row>
    <row r="11" ht="170" customHeight="1">
      <c r="A11" s="8" t="inlineStr">
        <is>
          <t>Computed by this workbook's own build script from the Profit &amp; Loss and Balance Sheet sheets of this same workbook - the Profit &amp; Loss row “total profit/(loss)” and the Balance Sheet rows “total equity” and “total assets”, resolved BY LABEL at build time through the shared resolver scripts/profitability_rows.py, so this sheet cannot drift from the statements it summarises. Those rows are themselves transcribed from Castle Trust Capital plc's Annual Report and Accounts for each year; see the source cells on the Balance Sheet and Profit &amp; Loss sheets for the exact document, page and table behind every input to every percentage above.
The finding that Castle Trust Capital plc publishes no return of its own is recorded in research/profitability/published_returns.jsonl under ‘CASTLE TRUST CAPITAL’, verified against the bank's own annual report rendered at 300 dpi.</t>
        </is>
      </c>
    </row>
  </sheetData>
  <mergeCells count="2">
    <mergeCell ref="A11:F11"/>
    <mergeCell ref="A9:F9"/>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F41"/>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84" customWidth="1" min="1" max="1"/>
    <col width="15" customWidth="1" min="2" max="2"/>
    <col width="15" customWidth="1" min="3" max="3"/>
    <col width="15" customWidth="1" min="4" max="4"/>
    <col width="15" customWidth="1" min="5" max="5"/>
    <col width="15" customWidth="1" min="6" max="6"/>
  </cols>
  <sheetData>
    <row r="1">
      <c r="A1" s="1" t="inlineStr">
        <is>
          <t>Castle Trust Capital plc - KM1 Key Metrics</t>
        </is>
      </c>
    </row>
    <row r="2">
      <c r="A2" s="2" t="inlineStr">
        <is>
          <t>'Key Metrics for the Bank' as published (Castle Trust Capital plc solo, NOT the Castle Trust Holdings Group block printed on the facing page), GBP'000. FY2022-FY2025 are own-edition years; FY2021 predates the UK KM1 template and is the FY2022 edition's September 2021 comparative column (map rule 28) - see source note</t>
        </is>
      </c>
    </row>
    <row r="3">
      <c r="A3" s="4" t="inlineStr">
        <is>
          <t>Line item</t>
        </is>
      </c>
      <c r="B3" s="4" t="inlineStr">
        <is>
          <t>FY2025</t>
        </is>
      </c>
      <c r="C3" s="4" t="inlineStr">
        <is>
          <t>FY2024</t>
        </is>
      </c>
      <c r="D3" s="4" t="inlineStr">
        <is>
          <t>FY2023</t>
        </is>
      </c>
      <c r="E3" s="4" t="inlineStr">
        <is>
          <t>FY2022</t>
        </is>
      </c>
      <c r="F3" s="4" t="inlineStr">
        <is>
          <t>FY2021</t>
        </is>
      </c>
    </row>
    <row r="4">
      <c r="A4" s="5" t="inlineStr">
        <is>
          <t>Available own funds (amounts)</t>
        </is>
      </c>
      <c r="B4" s="6" t="n"/>
      <c r="C4" s="6" t="n"/>
      <c r="D4" s="6" t="n"/>
      <c r="E4" s="6" t="n"/>
      <c r="F4" s="6" t="n"/>
    </row>
    <row r="5">
      <c r="A5" s="6" t="inlineStr">
        <is>
          <t>1  Common Equity Tier 1 (CET1) capital (£'000)</t>
        </is>
      </c>
      <c r="B5" s="6" t="n">
        <v>84719</v>
      </c>
      <c r="C5" s="6" t="n">
        <v>83107</v>
      </c>
      <c r="D5" s="6" t="n">
        <v>83177</v>
      </c>
      <c r="E5" s="6" t="n">
        <v>75267</v>
      </c>
      <c r="F5" s="6" t="n">
        <v>71644</v>
      </c>
    </row>
    <row r="6">
      <c r="A6" s="6" t="inlineStr">
        <is>
          <t>2  Tier 1 capital (£'000)</t>
        </is>
      </c>
      <c r="B6" s="6" t="n">
        <v>84719</v>
      </c>
      <c r="C6" s="6" t="n">
        <v>83107</v>
      </c>
      <c r="D6" s="6" t="n">
        <v>83177</v>
      </c>
      <c r="E6" s="6" t="n">
        <v>75267</v>
      </c>
      <c r="F6" s="6" t="n">
        <v>71644</v>
      </c>
    </row>
    <row r="7">
      <c r="A7" s="6" t="inlineStr">
        <is>
          <t>3  Total capital (£'000)</t>
        </is>
      </c>
      <c r="B7" s="6" t="n">
        <v>99719</v>
      </c>
      <c r="C7" s="6" t="n">
        <v>90107</v>
      </c>
      <c r="D7" s="6" t="n">
        <v>83177</v>
      </c>
      <c r="E7" s="6" t="n">
        <v>75267</v>
      </c>
      <c r="F7" s="6" t="n">
        <v>71644</v>
      </c>
    </row>
    <row r="8">
      <c r="A8" s="5" t="inlineStr">
        <is>
          <t>Risk-weighted exposure amounts</t>
        </is>
      </c>
      <c r="B8" s="6" t="n"/>
      <c r="C8" s="6" t="n"/>
      <c r="D8" s="6" t="n"/>
      <c r="E8" s="6" t="n"/>
      <c r="F8" s="6" t="n"/>
    </row>
    <row r="9">
      <c r="A9" s="6" t="inlineStr">
        <is>
          <t>4  Total risk-weighted exposure amount (£'000)</t>
        </is>
      </c>
      <c r="B9" s="6" t="n">
        <v>634489</v>
      </c>
      <c r="C9" s="6" t="n">
        <v>499532</v>
      </c>
      <c r="D9" s="6" t="n">
        <v>413907</v>
      </c>
      <c r="E9" s="6" t="n">
        <v>357870</v>
      </c>
      <c r="F9" s="6" t="n">
        <v>359249</v>
      </c>
    </row>
    <row r="10">
      <c r="A10" s="5" t="inlineStr">
        <is>
          <t>Capital ratios (as a percentage of risk-weighted exposure amount)</t>
        </is>
      </c>
      <c r="B10" s="6" t="n"/>
      <c r="C10" s="6" t="n"/>
      <c r="D10" s="6" t="n"/>
      <c r="E10" s="6" t="n"/>
      <c r="F10" s="6" t="n"/>
    </row>
    <row r="11">
      <c r="A11" s="6" t="inlineStr">
        <is>
          <t>5  Common Equity Tier 1 ratio (%)</t>
        </is>
      </c>
      <c r="B11" s="6" t="inlineStr">
        <is>
          <t>13.35%</t>
        </is>
      </c>
      <c r="C11" s="6" t="inlineStr">
        <is>
          <t>16.64%</t>
        </is>
      </c>
      <c r="D11" s="6" t="inlineStr">
        <is>
          <t>20.10%</t>
        </is>
      </c>
      <c r="E11" s="6" t="inlineStr">
        <is>
          <t>21.03%</t>
        </is>
      </c>
      <c r="F11" s="6" t="inlineStr">
        <is>
          <t>19.94%</t>
        </is>
      </c>
    </row>
    <row r="12">
      <c r="A12" s="6" t="inlineStr">
        <is>
          <t>6  Tier 1 ratio (%)</t>
        </is>
      </c>
      <c r="B12" s="6" t="inlineStr">
        <is>
          <t>13.35%</t>
        </is>
      </c>
      <c r="C12" s="6" t="inlineStr">
        <is>
          <t>16.64%</t>
        </is>
      </c>
      <c r="D12" s="6" t="inlineStr">
        <is>
          <t>20.10%</t>
        </is>
      </c>
      <c r="E12" s="6" t="inlineStr">
        <is>
          <t>21.03%</t>
        </is>
      </c>
      <c r="F12" s="6" t="inlineStr">
        <is>
          <t>19.94%</t>
        </is>
      </c>
    </row>
    <row r="13">
      <c r="A13" s="6" t="inlineStr">
        <is>
          <t>7  Total capital ratio (%)</t>
        </is>
      </c>
      <c r="B13" s="6" t="inlineStr">
        <is>
          <t>15.72%</t>
        </is>
      </c>
      <c r="C13" s="6" t="inlineStr">
        <is>
          <t>18.04%</t>
        </is>
      </c>
      <c r="D13" s="6" t="inlineStr">
        <is>
          <t>20.10%</t>
        </is>
      </c>
      <c r="E13" s="6" t="inlineStr">
        <is>
          <t>21.03%</t>
        </is>
      </c>
      <c r="F13" s="6" t="inlineStr">
        <is>
          <t>19.94%</t>
        </is>
      </c>
    </row>
    <row r="14">
      <c r="A14" s="5" t="inlineStr">
        <is>
          <t>Additional own funds requirements based on SREP (as a percentage of risk-weighted exposure amount)</t>
        </is>
      </c>
      <c r="B14" s="6" t="n"/>
      <c r="C14" s="6" t="n"/>
      <c r="D14" s="6" t="n"/>
      <c r="E14" s="6" t="n"/>
      <c r="F14" s="6" t="n"/>
    </row>
    <row r="15">
      <c r="A15" s="6" t="inlineStr">
        <is>
          <t>UK 7a  Additional CET1 SREP requirements (%)</t>
        </is>
      </c>
      <c r="B15" s="6" t="inlineStr">
        <is>
          <t>0.65%</t>
        </is>
      </c>
      <c r="C15" s="6" t="inlineStr">
        <is>
          <t>1.10%</t>
        </is>
      </c>
      <c r="D15" s="6" t="inlineStr">
        <is>
          <t>1.18%</t>
        </is>
      </c>
      <c r="E15" s="6" t="inlineStr">
        <is>
          <t>1.18%</t>
        </is>
      </c>
      <c r="F15" s="6" t="inlineStr">
        <is>
          <t>2.27%</t>
        </is>
      </c>
    </row>
    <row r="16">
      <c r="A16" s="6" t="inlineStr">
        <is>
          <t>UK 7b  Additional AT1 SREP requirements (%)</t>
        </is>
      </c>
      <c r="B16" s="6" t="inlineStr">
        <is>
          <t>0.22%</t>
        </is>
      </c>
      <c r="C16" s="6" t="inlineStr">
        <is>
          <t>-</t>
        </is>
      </c>
      <c r="D16" s="6" t="inlineStr">
        <is>
          <t>-</t>
        </is>
      </c>
      <c r="E16" s="6" t="inlineStr">
        <is>
          <t>-</t>
        </is>
      </c>
      <c r="F16" s="6" t="inlineStr">
        <is>
          <t>-</t>
        </is>
      </c>
    </row>
    <row r="17">
      <c r="A17" s="6" t="inlineStr">
        <is>
          <t>UK 7c  Additional T2 SREP requirements (%)</t>
        </is>
      </c>
      <c r="B17" s="6" t="inlineStr">
        <is>
          <t>0.29%</t>
        </is>
      </c>
      <c r="C17" s="6" t="inlineStr">
        <is>
          <t>-</t>
        </is>
      </c>
      <c r="D17" s="6" t="inlineStr">
        <is>
          <t>-</t>
        </is>
      </c>
      <c r="E17" s="6" t="inlineStr">
        <is>
          <t>-</t>
        </is>
      </c>
      <c r="F17" s="6" t="inlineStr">
        <is>
          <t>-</t>
        </is>
      </c>
    </row>
    <row r="18">
      <c r="A18" s="6" t="inlineStr">
        <is>
          <t>UK 7d  Total SREP own funds requirements (%)</t>
        </is>
      </c>
      <c r="B18" s="6" t="inlineStr">
        <is>
          <t>9.15%</t>
        </is>
      </c>
      <c r="C18" s="6" t="inlineStr">
        <is>
          <t>9.10%</t>
        </is>
      </c>
      <c r="D18" s="6" t="inlineStr">
        <is>
          <t>9.18%</t>
        </is>
      </c>
      <c r="E18" s="6" t="inlineStr">
        <is>
          <t>9.18%</t>
        </is>
      </c>
      <c r="F18" s="6" t="inlineStr">
        <is>
          <t>10.27%</t>
        </is>
      </c>
    </row>
    <row r="19">
      <c r="A19" s="5" t="inlineStr">
        <is>
          <t>Combined buffer requirement (as a percentage of risk-weighted exposure amount)</t>
        </is>
      </c>
      <c r="B19" s="6" t="n"/>
      <c r="C19" s="6" t="n"/>
      <c r="D19" s="6" t="n"/>
      <c r="E19" s="6" t="n"/>
      <c r="F19" s="6" t="n"/>
    </row>
    <row r="20">
      <c r="A20" s="6" t="inlineStr">
        <is>
          <t>8  Capital conservation buffer (%)</t>
        </is>
      </c>
      <c r="B20" s="6" t="inlineStr">
        <is>
          <t>2.50%</t>
        </is>
      </c>
      <c r="C20" s="6" t="inlineStr">
        <is>
          <t>2.50%</t>
        </is>
      </c>
      <c r="D20" s="6" t="inlineStr">
        <is>
          <t>2.50%</t>
        </is>
      </c>
      <c r="E20" s="6" t="inlineStr">
        <is>
          <t>2.50%</t>
        </is>
      </c>
      <c r="F20" s="6" t="inlineStr">
        <is>
          <t>2.50%</t>
        </is>
      </c>
    </row>
    <row r="21">
      <c r="A21" s="6" t="inlineStr">
        <is>
          <t>9  Institution specific countercyclical capital buffer (%)</t>
        </is>
      </c>
      <c r="B21" s="6" t="inlineStr">
        <is>
          <t>1.94%</t>
        </is>
      </c>
      <c r="C21" s="6" t="inlineStr">
        <is>
          <t>1.88%</t>
        </is>
      </c>
      <c r="D21" s="6" t="inlineStr">
        <is>
          <t>1.88%</t>
        </is>
      </c>
      <c r="E21" s="6" t="inlineStr">
        <is>
          <t>0.00%</t>
        </is>
      </c>
      <c r="F21" s="6" t="inlineStr">
        <is>
          <t>0.00%</t>
        </is>
      </c>
    </row>
    <row r="22">
      <c r="A22" s="6" t="inlineStr">
        <is>
          <t>11  Combined buffer requirement (%)</t>
        </is>
      </c>
      <c r="B22" s="6" t="inlineStr">
        <is>
          <t>4.44%</t>
        </is>
      </c>
      <c r="C22" s="6" t="inlineStr">
        <is>
          <t>4.38%</t>
        </is>
      </c>
      <c r="D22" s="6" t="inlineStr">
        <is>
          <t>4.38%</t>
        </is>
      </c>
      <c r="E22" s="6" t="inlineStr">
        <is>
          <t>2.50%</t>
        </is>
      </c>
      <c r="F22" s="6" t="inlineStr">
        <is>
          <t>2.50%</t>
        </is>
      </c>
    </row>
    <row r="23">
      <c r="A23" s="6" t="inlineStr">
        <is>
          <t>UK 11a  Overall capital requirements (%)</t>
        </is>
      </c>
      <c r="B23" s="6" t="inlineStr">
        <is>
          <t>13.59%</t>
        </is>
      </c>
      <c r="C23" s="6" t="inlineStr">
        <is>
          <t>13.48%</t>
        </is>
      </c>
      <c r="D23" s="6" t="inlineStr">
        <is>
          <t>13.56%</t>
        </is>
      </c>
      <c r="E23" s="6" t="inlineStr">
        <is>
          <t>11.68%</t>
        </is>
      </c>
      <c r="F23" s="6" t="inlineStr">
        <is>
          <t>12.77%</t>
        </is>
      </c>
    </row>
    <row r="24">
      <c r="A24" s="6" t="inlineStr">
        <is>
          <t>12  CET1 available after meeting the total SREP own funds requirements (%)</t>
        </is>
      </c>
      <c r="B24" s="6" t="inlineStr">
        <is>
          <t>6.49%</t>
        </is>
      </c>
      <c r="C24" s="6" t="inlineStr">
        <is>
          <t>7.54%</t>
        </is>
      </c>
      <c r="D24" s="6" t="inlineStr">
        <is>
          <t>10.92%</t>
        </is>
      </c>
      <c r="E24" s="6" t="inlineStr">
        <is>
          <t>11.85%</t>
        </is>
      </c>
      <c r="F24" s="6" t="inlineStr">
        <is>
          <t>9.67%</t>
        </is>
      </c>
    </row>
    <row r="25">
      <c r="A25" s="5" t="inlineStr">
        <is>
          <t>Leverage ratio</t>
        </is>
      </c>
      <c r="B25" s="6" t="n"/>
      <c r="C25" s="6" t="n"/>
      <c r="D25" s="6" t="n"/>
      <c r="E25" s="6" t="n"/>
      <c r="F25" s="6" t="n"/>
    </row>
    <row r="26">
      <c r="A26" s="6" t="inlineStr">
        <is>
          <t>13  Total exposure measure excluding claims on central banks (£'000)</t>
        </is>
      </c>
      <c r="B26" s="6" t="n">
        <v>1173013</v>
      </c>
      <c r="C26" s="6" t="n">
        <v>860147</v>
      </c>
      <c r="D26" s="6" t="n">
        <v>930371</v>
      </c>
      <c r="E26" s="6" t="n">
        <v>821174</v>
      </c>
      <c r="F26" s="6" t="n">
        <v>647358</v>
      </c>
    </row>
    <row r="27">
      <c r="A27" s="6" t="inlineStr">
        <is>
          <t>14  Leverage ratio excluding claims on central banks (%)</t>
        </is>
      </c>
      <c r="B27" s="6" t="inlineStr">
        <is>
          <t>7.22%</t>
        </is>
      </c>
      <c r="C27" s="6" t="inlineStr">
        <is>
          <t>9.66%</t>
        </is>
      </c>
      <c r="D27" s="6" t="inlineStr">
        <is>
          <t>8.94%</t>
        </is>
      </c>
      <c r="E27" s="6" t="inlineStr">
        <is>
          <t>9.17%</t>
        </is>
      </c>
      <c r="F27" s="6" t="inlineStr">
        <is>
          <t>11.07%</t>
        </is>
      </c>
    </row>
    <row r="28">
      <c r="A28" s="5" t="inlineStr">
        <is>
          <t>Liquidity Coverage Ratio</t>
        </is>
      </c>
      <c r="B28" s="6" t="n"/>
      <c r="C28" s="6" t="n"/>
      <c r="D28" s="6" t="n"/>
      <c r="E28" s="6" t="n"/>
      <c r="F28" s="6" t="n"/>
    </row>
    <row r="29">
      <c r="A29" s="6" t="inlineStr">
        <is>
          <t>15  Total high-quality liquid assets (HQLA) (Weighted value -average) (£'000)</t>
        </is>
      </c>
      <c r="B29" s="6" t="n">
        <v>264609</v>
      </c>
      <c r="C29" s="6" t="n">
        <v>107626</v>
      </c>
      <c r="D29" s="6" t="n">
        <v>91141</v>
      </c>
      <c r="E29" s="6" t="n">
        <v>89542</v>
      </c>
      <c r="F29" s="6" t="n">
        <v>77922</v>
      </c>
    </row>
    <row r="30">
      <c r="A30" s="6" t="inlineStr">
        <is>
          <t>UK 16a  Cash outflows - Total weighted value (£'000)</t>
        </is>
      </c>
      <c r="B30" s="6" t="n">
        <v>184773</v>
      </c>
      <c r="C30" s="6" t="n">
        <v>109670</v>
      </c>
      <c r="D30" s="6" t="n">
        <v>86257</v>
      </c>
      <c r="E30" s="6" t="n">
        <v>71131</v>
      </c>
      <c r="F30" s="6" t="n">
        <v>50766</v>
      </c>
    </row>
    <row r="31">
      <c r="A31" s="6" t="inlineStr">
        <is>
          <t>UK 16b  Cash inflows - Total weighted value (£'000)</t>
        </is>
      </c>
      <c r="B31" s="6" t="n">
        <v>44818</v>
      </c>
      <c r="C31" s="6" t="n">
        <v>74788</v>
      </c>
      <c r="D31" s="6" t="n">
        <v>62056</v>
      </c>
      <c r="E31" s="6" t="n">
        <v>53158</v>
      </c>
      <c r="F31" s="6" t="n">
        <v>44223</v>
      </c>
    </row>
    <row r="32">
      <c r="A32" s="6" t="inlineStr">
        <is>
          <t>16  Total net cash outflows (adjusted value) (£'000)</t>
        </is>
      </c>
      <c r="B32" s="6" t="n">
        <v>139955</v>
      </c>
      <c r="C32" s="6" t="n">
        <v>36257</v>
      </c>
      <c r="D32" s="6" t="n">
        <v>28052</v>
      </c>
      <c r="E32" s="6" t="n">
        <v>22292</v>
      </c>
      <c r="F32" s="6" t="n">
        <v>13535</v>
      </c>
    </row>
    <row r="33">
      <c r="A33" s="6" t="inlineStr">
        <is>
          <t>17  Liquidity coverage ratio (%)</t>
        </is>
      </c>
      <c r="B33" s="6" t="inlineStr">
        <is>
          <t>189.07%</t>
        </is>
      </c>
      <c r="C33" s="6" t="inlineStr">
        <is>
          <t>296.84%</t>
        </is>
      </c>
      <c r="D33" s="6" t="inlineStr">
        <is>
          <t>324.90%</t>
        </is>
      </c>
      <c r="E33" s="6" t="inlineStr">
        <is>
          <t>401.68%</t>
        </is>
      </c>
      <c r="F33" s="6" t="inlineStr">
        <is>
          <t>575.71%</t>
        </is>
      </c>
    </row>
    <row r="34">
      <c r="A34" s="5" t="inlineStr">
        <is>
          <t>Net Stable Funding Ratio</t>
        </is>
      </c>
      <c r="B34" s="6" t="n"/>
      <c r="C34" s="6" t="n"/>
      <c r="D34" s="6" t="n"/>
      <c r="E34" s="6" t="n"/>
      <c r="F34" s="6" t="n"/>
    </row>
    <row r="35">
      <c r="A35" s="6" t="inlineStr">
        <is>
          <t>18  Total available stable funding (£'000)</t>
        </is>
      </c>
      <c r="B35" s="6" t="n">
        <v>1473649</v>
      </c>
      <c r="C35" s="6" t="n">
        <v>943517</v>
      </c>
      <c r="D35" s="6" t="n">
        <v>810485</v>
      </c>
      <c r="E35" s="6" t="n">
        <v>715551</v>
      </c>
      <c r="F35" s="6" t="inlineStr">
        <is>
          <t>-</t>
        </is>
      </c>
    </row>
    <row r="36">
      <c r="A36" s="6" t="inlineStr">
        <is>
          <t>19  Total required stable funding (£'000)</t>
        </is>
      </c>
      <c r="B36" s="6" t="n">
        <v>826660</v>
      </c>
      <c r="C36" s="6" t="n">
        <v>603108</v>
      </c>
      <c r="D36" s="6" t="n">
        <v>471300</v>
      </c>
      <c r="E36" s="6" t="n">
        <v>421346</v>
      </c>
      <c r="F36" s="6" t="inlineStr">
        <is>
          <t>-</t>
        </is>
      </c>
    </row>
    <row r="37">
      <c r="A37" s="6" t="inlineStr">
        <is>
          <t>20  NSFR ratio (%)</t>
        </is>
      </c>
      <c r="B37" s="6" t="inlineStr">
        <is>
          <t>178.27%</t>
        </is>
      </c>
      <c r="C37" s="6" t="inlineStr">
        <is>
          <t>156.44%</t>
        </is>
      </c>
      <c r="D37" s="6" t="inlineStr">
        <is>
          <t>171.97%</t>
        </is>
      </c>
      <c r="E37" s="6" t="inlineStr">
        <is>
          <t>169.82%</t>
        </is>
      </c>
      <c r="F37" s="6" t="inlineStr">
        <is>
          <t>-</t>
        </is>
      </c>
    </row>
    <row r="39" ht="409" customHeight="1">
      <c r="A39" s="8" t="inlineStr">
        <is>
          <t>Sources - Castle Trust Bank Pillar 3 Disclosures, 'Key Metrics for the Bank' table, GBP'000. Each year is transcribed from the edition in which it is the REPORTING year, never from a later edition's comparative column (map rule 1):
FY2025: Pillar 3 Disclosures FY ended 30 Sept 2025, p.6 (September 2025 column) - https://www.castletrust.co.uk/wp-content/uploads/fy-30_sept-2025-ctb-pillar-3-disclosures.pdf
FY2024: Pillar 3 Disclosures FY ended 30 Sept 2024, p.6 (September 2024 column) - https://www.castletrust.co.uk/wp-content/uploads/fy-30_sept-2024-ctb-pillar-3-disclosures.pdf
FY2023: Pillar 3 Disclosures FY ended 30 Sept 2023, p.6 (September 2023 column) - https://www.castletrust.co.uk/wp-content/uploads/fy-30-sept-2023-ctb-pillar-3-disclosures.pdf
FY2022: Pillar 3 Disclosures FY ended 30 Sept 2022, p.6 (September 2022 column) - https://www.castletrust.co.uk/wp-content/uploads/fy-30-sept-2022-ctb-pillar-3-disclosures.pdf
ENTITY - THE BANK, NOT THE GROUP. Every edition prints the template TWICE, on consecutive pages: 'Key Metrics for the Group' (p.5, Castle Trust Holdings Limited consolidated) and then 'Key Metrics for the Bank' (p.6, Castle Trust Capital plc, FRN 541910 - this workbook's entity). The two DIFFER materially and the wrong block is entirely plausible: at 30 September 2022 the Group table shows CET1 92,572 and a CET1 ratio of 17.43%, the Bank table 75,267 and 21.03%. This sheet carries the BANK block throughout, matching the single-metric sheets. The document states the split itself: 'The key metrics disclosures have been prepared for both the Group and the Bank as required per Article 18 of the CRR.' Read to the end of the section rather than stopping at the first matching table (map rule 11).
A RELATED TRAP, RECORDED SO IT IS NOT RE-TRIPPED: the contents page lists 'Key Metrics for the Group' and 'Key Metrics for the Bank' before either table appears, so anchoring on the first occurrence of the caption lands in the table of contents, not the table (map rule 16 - anchor on structure, not on the first match). The body headings are the SECOND occurrence in every edition.
PRINTED GLYPH 'N/A' IS SHOWN AS '-' (map rule 2, the user's decision of 2026-09-18; converted under GA-020 on 2026-09-19 - these cells previously carried the text 'N/A'). Rows UK 7b and UK 7c read 'N/A' in FY2022-FY2024 and carry figures only from FY2025; NSFR rows 18-20 read 'N/A' in the September 2021 comparative. The document explains its own glyph: 'Where "N/A" is shown, this indicates that this metric was not relevant for the Group and Bank or that the calculation methodology has been amended in the current year and therefore comparators are not available.' On this sheet each such cell carries the plain ASCII '-'; the glyph the editions actually printed was 'N/A'. It is not a zero.
A CROSS-EDITION DIVERGENCE IN ROW 12, recorded not corrected (map rules 1 and 7). The FY2024 edition's own September 2024 figure for row 12 'CET1 available after meeting the total SREP own funds requirements' is 7.54%. The FY2025 edition's September 2024 COMPARATIVE for the same row prints 8.94% - which is precisely the FY2024 edition's row 14 (leverage ratio) figure for September 2023, so it has the signature of a transposition in the later edition rather than a restatement. This sheet shows 7.54% for FY2024 because that is the year's own edition; the FY2025 edition's 8.94% is recorded here and nowhere adopted.
FY2021 IS THE FY2022 EDITION'S SEPTEMBER 2021 COMPARATIVE COLUMN, not an own-edition year - filled under map rule 28. Castle Trust's FY2021 year ended 30 SEPTEMBER 2021, before the UK KM1 template took effect on 1 January 2022, and its FY2021 Pillar 3 document carries no KM1 anywhere: it discloses the Bank through an 'Appendix 4. Bank Disclosures' section (p.40-43) which is a pre-KM1 own-funds/RWA build-up, not the template, and so fails the row-set test (map rule 8). That makes this rule 28's whole-missing-table case rather than rule 20's dashed-row case: there is no own-edition table for a later edition to displace, so rule 1 has nothing to bite on. Source for every FY2021 cell here: Pillar 3 Disclosures FY ended 30 Sept 2022, p.6, 'Key Metrics for the Bank', September 2021 column - https://www.castletrust.co.uk/wp-content/uploads/fy-30-sept-2022-ctb-pillar-3-disclosures.pdf .
Rows UK 7b, UK 7c and 18-20 read 'N/A' in that comparative and are shown as '-' (printed glyph 'N/A'), not as blanks and not as zeroes.</t>
        </is>
      </c>
    </row>
    <row r="41" ht="409" customHeight="1">
      <c r="A41" s="8" t="inlineStr">
        <is>
          <t xml:space="preserve">(continued)
A DIVERGENCE THE READER SHOULD KNOW ABOUT: the single-metric sheets take FY2021 from a DIFFERENT source - the FY2021 edition's own Appendix 4, which gives CET1 = Tier 1 = Total capital of 71,677 and a ratio of 20.0% - and carry the FY2022 restatement (71,644 / 19.94%) on a separate labelled row beside it. This KM1 sheet shows 71,644 and 19.94% because rule 28 fills the column from the comparative, and the comparative is what the FY2022 edition printed. Both figures are real, published, and 33k apart; neither is corrected into the other. See the FY2021 CROSS-EDITION DIVERGENCE note on the CET1 Capital sheet for the full build-up and the reconciliation that the later edition does not give.
SDDT - EXPLICIT NEGATIVE, DATE-FITTED. Castle Trust holds the SDDT opt-in but it explains nothing in this window: Bank of England consolidated waivers register (re-downloaded 2026-09-16), FRN 541910 'Castle Trust Capital PLC', Rule 3.1 of the SDDT Regime - General Application Part, ref A00011417P.pdf, START DATE 06/01/2026. The Bank's year-end is 30 September, and it published a full Pillar 3 with a complete KM1 for FY2025 (year ended 30 September 2025) on 9 April 2026 - three months AFTER opting in. A Rule 3.1 row alone therefore does not prove a bank stopped disclosing; the exemption can bite no earlier than FY2026. The register's other rows for this firm - 'Ru 1.2 &amp; 2.1(9)', ref A00011283P.pdf, 01/12/2025-01/12/2028 - modify ELIGIBILITY CRITERIA only and are not an exemption.
LATEST-EDITION CHECK, 16 September 2026: castletrust.co.uk's own media library lists seven Pillar 3 PDFs, the newest being fy-30_sept-2025-ctb-pillar-3-disclosures.pdf uploaded 9 April 2026. Newest edition published: FY2025, which this workbook holds. None newer. Also confirmed that /wp-content/uploads/2025/05/Pillar-3-Document.pdf is a byte-identical DUPLICATE of the FY2024 edition (both md5 284d09c52c9b28eeaf50b546f7ca55c1, both 1,434,534 bytes) - one document under two URLs, not a second basis (map rule 11's inverse case).
ROWS 1, 2 AND 3 ARE EQUAL IN THE SOURCE FOR FY2023, FY2022 AND FY2021 - READ FROM THE DOCUMENTS ON 2026-09-18 AND RECORDED HERE SO THE QUESTION IS NOT RE-OPENED. The FY2023 edition's 'Key Metrics for the Bank' table prints 83,177 on row 1, row 2 AND row 3 for September 2023, and 75,267 for September 2022; the FY2022 edition's Bank table prints 75,267 and 71,644 the same way. The three coincide because the Bank had no Additional Tier 1 and no Tier 2 in issue in those years - no AT1 or Tier 2 line is populated in the own- funds tables. ENTITY: each edition prints the template TWICE, 'Key Metrics for the Group' followed by 'Key Metrics for the Bank'. This sheet is the BANK series throughout; the Group series for the same dates is 99,699 / 92,572 / 85,310 and must not be mixed into it.
</t>
        </is>
      </c>
    </row>
  </sheetData>
  <mergeCells count="2">
    <mergeCell ref="A41:F41"/>
    <mergeCell ref="A39:F39"/>
  </mergeCell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F12"/>
  <sheetViews>
    <sheetView workbookViewId="0">
      <selection activeCell="A1" sqref="A1"/>
    </sheetView>
  </sheetViews>
  <sheetFormatPr baseColWidth="8" defaultRowHeight="15"/>
  <cols>
    <col width="50" customWidth="1" min="1" max="1"/>
    <col width="15" customWidth="1" min="2" max="2"/>
    <col width="15" customWidth="1" min="3" max="3"/>
    <col width="15" customWidth="1" min="4" max="4"/>
    <col width="15" customWidth="1" min="5" max="5"/>
    <col width="15" customWidth="1" min="6" max="6"/>
  </cols>
  <sheetData>
    <row r="1">
      <c r="A1" s="1" t="inlineStr">
        <is>
          <t>Castle Trust Capital plc — CET1 Capital</t>
        </is>
      </c>
    </row>
    <row r="2">
      <c r="A2" s="2" t="inlineStr">
        <is>
          <t>£'000</t>
        </is>
      </c>
    </row>
    <row r="3">
      <c r="A3" s="4" t="inlineStr">
        <is>
          <t>Metric</t>
        </is>
      </c>
      <c r="B3" s="4" t="inlineStr">
        <is>
          <t>FY2025</t>
        </is>
      </c>
      <c r="C3" s="4" t="inlineStr">
        <is>
          <t>FY2024</t>
        </is>
      </c>
      <c r="D3" s="4" t="inlineStr">
        <is>
          <t>FY2023</t>
        </is>
      </c>
      <c r="E3" s="4" t="inlineStr">
        <is>
          <t>FY2022</t>
        </is>
      </c>
      <c r="F3" s="4" t="inlineStr">
        <is>
          <t>FY2021</t>
        </is>
      </c>
    </row>
    <row r="4">
      <c r="A4" s="6" t="inlineStr">
        <is>
          <t>Common Equity Tier 1 (CET1) capital</t>
        </is>
      </c>
      <c r="B4" s="6" t="n">
        <v>84719</v>
      </c>
      <c r="C4" s="6" t="n">
        <v>83107</v>
      </c>
      <c r="D4" s="6" t="n">
        <v>83177</v>
      </c>
      <c r="E4" s="6" t="n">
        <v>75267</v>
      </c>
      <c r="F4" s="6" t="n">
        <v>71677</v>
      </c>
    </row>
    <row r="5">
      <c r="A5" s="6" t="inlineStr">
        <is>
          <t>FY2021 as restated in the FY2022 Pillar 3 'Key Metrics for the Bank' comparative</t>
        </is>
      </c>
      <c r="B5" s="6" t="n"/>
      <c r="C5" s="6" t="n"/>
      <c r="D5" s="6" t="n"/>
      <c r="E5" s="6" t="n"/>
      <c r="F5" s="6" t="n">
        <v>71644</v>
      </c>
    </row>
    <row r="6" ht="143" customHeight="1">
      <c r="A6" s="7" t="inlineStr">
        <is>
          <t>Note: No AT1 instruments in issue in any year to date, so CET1 = Tier 1 capital throughout.
FY2021 CROSS-EDITION DIVERGENCE (recorded 2026-09-15). Two Bank-basis sources cover FY2021 and they do not agree, so both are shown and neither overwrites the other:
  (a) the FY2021 Pillar 3 Disclosures' own 'Appendix 4. Bank Disclosures' (p.40-43), which states CET1 = Tier 1 = Total capital of GBP71,677k and a CET1/Tier 1/Total capital ratio of 20.0%, and shows its own build-up (share capital 15,217 + share premium 124,195 - retained earnings 47,654 + other reserves 205 - prudent valuation 6 - intangibles 4,186 - DTA 8,743 - significant investments 8,217 + IFRS 9 transitional 867 = 71,677); and
  (b) the FY2022 Pillar 3 Disclosures' 'Key Metrics for the Bank' FY2021 comparative column, which restates the same three capital figures to GBP71,644k and the ratio to 19.94%.
The gap is GBP33k of capital, 6bp of ratio - immaterial in size but a real restatement, and the later edition gives no reconciliation for it. Everything else about FY2021 is IDENTICAL between the two editions, which is why only these rows are duplicated: total RWA GBP359,249k and leverage exposure measure GBP647,358k both appear unchanged in both. The leverage ratio differs only by rounding (Appendix 4 prints one decimal, 11.1%; the KM1 comparative prints two, 11.07%) - 71,677 / 647,358 and 71,644 / 647,358 both round to 11.07%, so that pair is a precision difference, not a restatement.</t>
        </is>
      </c>
    </row>
    <row r="8" ht="390" customHeight="1">
      <c r="A8" s="8" t="inlineStr">
        <is>
          <t>Sources - Castle Trust Bank Pillar 3 Disclosures, 'Key Metrics for the Bank' table (Castle Trust Capital plc solo basis, not the wider CTH Group):
FY2025: Pillar 3 Disclosures FY ended 30 Sept 2025, p.6 - https://www.castletrust.co.uk/wp-content/uploads/fy-30_sept-2025-ctb-pillar-3-disclosures.pdf
FY2024: Pillar 3 Disclosures FY ended 30 Sept 2024, p.6 - https://www.castletrust.co.uk/wp-content/uploads/fy-30_sept-2024-ctb-pillar-3-disclosures.pdf
FY2023: Pillar 3 Disclosures FY ended 30 Sept 2023, p.6 - https://www.castletrust.co.uk/wp-content/uploads/fy-30-sept-2023-ctb-pillar-3-disclosures.pdf
FY2022: Pillar 3 Disclosures FY ended 30 Sept 2022, p.6 - https://www.castletrust.co.uk/wp-content/uploads/fy-30-sept-2022-ctb-pillar-3-disclosures.pdf
FY2021: Pillar 3 Disclosures FY ended 30 Sept 2021 (pre-KM1 template - 'Appendix 4. Bank Disclosures'), p.40-43 - https://www.castletrust.co.uk/wp-content/uploads/fy-30-sept-2021-ctb-pillar-3-disclosures.pdf
ENTITY BASIS - determined 2026-09-15 by reading the scope/basis section of all SIX live editions.
Every edition is PUBLISHED BY the holding company and carries 'Registered No: 12161224' on its cover - that is Castle Trust Holdings Limited, NOT the bank. It is not the basis of the figures used here, and the
cover number must not be read as one. Each document nonetheless presents the Bank separately from the
Group, and every figure in this workbook is taken from the BANK presentation.
Verbatim, from each edition's own Scope section:
  FY2020: 'This document sets out the consolidated Pillar 3 disclosures of Castle Trust Holdings Limited
    ("the Group") which includes Castle Trust Capital plc ("the Bank") and its directly owned
    subsidiaries as at 30 September 2020.'
  FY2021: identical wording, '...as at 30 September 2021.'
  FY2022: identical wording, '...as at 30 September 2022.'
  FY2023: 'Castle Trust Holdings Limited (the "Group") was incorporated on 16 August 2019 to act as a
    holding company of the Castle Trust Capital (CTC) group... This document sets out the consolidated
    Pillar 3 disclosures of the Group which includes Castle Trust Capital plc ("the Bank") and its
    directly owned subsidiaries as at 30 September 2023.'
  FY2024 and FY2025: same two-paragraph wording as FY2023, with their own year.
All six also state that Castle Trust Capital plc is the PRA/FCA-authorised firm, 'registered number
541910', and the FY2021, FY2022, FY2024 and FY2025 editions carry a closing legal line reading 'Castle
Trust Bank means Castle Trust Capital plc, a company incorporated in England and Wales with company
number 07454474' - i.e. the document's own definition of 'the Bank' is this workbook's entity.
SINGLE CONSOLIDATED SET, OR SEPARATE BANK AND GROUP COLUMNS? Separate, in every edition, but in two</t>
        </is>
      </c>
    </row>
    <row r="10" ht="403" customHeight="1">
      <c r="A10" s="8" t="inlineStr">
        <is>
          <t>(continued)
different formats:
  FY2022-FY2025 (KM1-era): each document has TWO full key-metrics tables, headed 'Key Metrics for the
    Group' and 'Key Metrics for the Bank' (pp.5 and 6; the FY2025 edition adds 'Overview of RWEAs for
    Group' and 'Overview of RWEAs for Bank' on p.7). The FY2024 edition's basis section says so directly:
    'These disclosures are based upon the Group's Financial Statements... Both the Group and the Bank
    calculate capital resources and requirements using the Basel III framework'; the FY2022 edition says
    'The key metrics disclosures have been prepared for both the Group and the Bank as required per
    Article 18 of the CRR.'
  FY2020-FY2021 (pre-KM1): the MAIN BODY is Group-only and its headline table is captioned 'Key Metrics
    for the Business... for the Group'. The Bank appears only in 'Appendix 4. Bank Disclosures'. Both
    editions' basis sections say: 'These disclosures have been prepared for the Group with the exception
    of Appendix 4 which shows the required disclosures for the Bank as per Article 18 of the Capital
    Requirements Regulation EU 575/2013 ("CRR").' The FY2021 Appendix 4 opens: 'The following tables
    detail the capital reporting disclosures for Castle Trust Capital plc ("the Bank") as a standalone
    solo legal entity.'
WHICH COLUMN THIS WORKBOOK USES: the Bank column, in every year and on every sheet - FY2022-FY2025 from
'Key Metrics for the Bank', FY2021 from 'Appendix 4. Bank Disclosures'. Confirmed 2026-09-15 against all
six primary documents. The divergence is large enough that the two bases could never be blended: FY2023
Bank CET1 83,177 / RWA 413,907 / CET1 ratio 20.10% against Group 99,699 / 592,678 / 16.82%; FY2022 Bank
357,870 against Group 530,968. NO Holdings-basis figure is written into any sheet of this workbook.
ONE BASIS CAVEAT INSIDE THE BANK COLUMN ITSELF, flagged not smoothed over. The FY2021 Appendix 4 defines
the Bank as 'a standalone solo legal entity', and adds: 'In the prior year the Bank's disclosures also
incorporated the financial performance and balances of Castle Trust Capital Management Limited and Castle
Trust Direct plc.' The FY2020 edition confirms this from the other side: 'For capital reporting purposes,
Castle Trust Capital plc's ("the Bank") disclosures also incorporate the financial performance and
balances of Castle Trust Capital Management Limited and Castle Trust Direct plc.' So the FY2020 Bank
column is Castle Trust Capital plc plus two of its own subsidiaries, while FY2021 onward is CTC plc solo.
This affects no cell here - FY2020 is outside this workbook's five-year window - but it is the reason</t>
        </is>
      </c>
    </row>
    <row r="12" ht="364" customHeight="1">
      <c r="A12" s="8" t="inlineStr">
        <is>
          <t>(continued)
FY2020 is not backfilled from that edition without a basis label.
PILLAR 3 URL PROVENANCE (re-verified 2026-09-15 - every URL above and below was fetched and confirmed to return real PDF content, i.e. '%PDF' magic bytes and a readable text layer, not a soft-404 HTML page):
  * Castle Trust's filename separator is INCONSISTENT between years and must not be permuted or 'corrected'. FY2020-FY2023 use 'fy-30-sept-&lt;year&gt;-...' (hyphen); FY2024 and FY2025 use 'fy-30_sept-&lt;year&gt;-...' (UNDERSCORE between '30' and 'sept'). Six editions are live in total, one per financial year FY2020 through FY2025, all under https://www.castletrust.co.uk/wp-content/uploads/ .
  * https://www.castletrust.co.uk/wp-content/uploads/2025/05/Pillar-3-Document.pdf is byte-identical to the FY2024 edition (same MD5) and is a duplicate copy, not a seventh edition or a separate reporting period.
  * Period dates were taken from each document's own cover and scope paragraph, not from its filename; all six agree with their filenames.
SDDT - EXPLICIT NEGATIVE, recorded 2026-09-15 (cross-bank SDDT date-fit pass) so that a future pass does not wrongly apply the Small Domestic Deposit Taker exemption to this workbook's gap year. Castle Trust DOES hold the SDDT opt-in, but it is far too recent to explain anything here. The Bank of England consolidated list of waivers and modifications granted to PRA-authorised firms (downloaded 2026-09-15, https://www.bankofengland.co.uk/-/media/boe/files/prudential-regulation/authorisations/waivers-and-modifications-of-rules/consolidated-waivers-pra-firms.csv) carries three SDDT rows for FRN 541910, 'Castle Trust Capital PLC': (a) Rule 3.1 of the SDDT Regime - General Application Part, sub rule 'Ru 3.1', waiver ref 'A00011417P.pdf', START DATE 06/01/2026, no end date; (b) Rule 3.2, ref 'A00011424P.pdf', same start date; and (c) 'CRR firms: SDDT Regime - General Application Part 1.2 &amp; 2.1(9)', ref 'A00011283P.pdf', start 01/12/2025, end 01/12/2028. Only row (a) is the opt-in that removes the Pillar 3 disclosure obligation; row (c) modifies ELIGIBILITY CRITERIA only and would not by itself make the firm a confirmed SDDT.
DATE FIT - IT DOES NOT FIT. Castle Trust's accounting reference date is 30 SEPTEMBER, confirmed at Companies House (company 07454474, an unbroken run of accounts to 30 September from 2015 to 2025) - note this is NOT a December year-end. The outstanding gap year is FY2021, which ended 30 SEPTEMBER 2021. The Rule 3.1 modification began 6 JANUARY 2026 - more than four years later. A modification cannot explain a gap that predates it, so the SDDT regime explains NONE of the FY2021 blanks.
FY2021's gap keeps its existing and entirely separate explanation, unchanged: Castle Trust published a full Pillar 3 document for FY2021, but on the PRE-KM1 template ('Appendix 4. Bank Disclosures'), which simply does not carry every line the later KM1 tables do. That is a template-vintage gap in a document that exists, which is the opposite of an exemption from publishing one. The register finding changes no cell in this workbook. Note too that the Bank published a Pillar 3 document for FY2025, whose 30 September 2025 year-end precedes the 6 January 2026 modification - consistent with the dates, and a reminder that the exemption bites only from FY2026 onward. This is the SDDT DISCLOSURE exemption, in force now - not the separate SDDT CAPITAL regime beginning 1 January 2027.</t>
        </is>
      </c>
    </row>
  </sheetData>
  <mergeCells count="4">
    <mergeCell ref="A8:F8"/>
    <mergeCell ref="A6:F6"/>
    <mergeCell ref="A10:F10"/>
    <mergeCell ref="A12:F12"/>
  </mergeCell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F12"/>
  <sheetViews>
    <sheetView workbookViewId="0">
      <selection activeCell="A1" sqref="A1"/>
    </sheetView>
  </sheetViews>
  <sheetFormatPr baseColWidth="8" defaultRowHeight="15"/>
  <cols>
    <col width="50" customWidth="1" min="1" max="1"/>
    <col width="15" customWidth="1" min="2" max="2"/>
    <col width="15" customWidth="1" min="3" max="3"/>
    <col width="15" customWidth="1" min="4" max="4"/>
    <col width="15" customWidth="1" min="5" max="5"/>
    <col width="15" customWidth="1" min="6" max="6"/>
  </cols>
  <sheetData>
    <row r="1">
      <c r="A1" s="1" t="inlineStr">
        <is>
          <t>Castle Trust Capital plc — CET1 Ratio</t>
        </is>
      </c>
    </row>
    <row r="2">
      <c r="A2" s="2" t="inlineStr">
        <is>
          <t>% of RWA</t>
        </is>
      </c>
    </row>
    <row r="3">
      <c r="A3" s="4" t="inlineStr">
        <is>
          <t>Metric</t>
        </is>
      </c>
      <c r="B3" s="4" t="inlineStr">
        <is>
          <t>FY2025</t>
        </is>
      </c>
      <c r="C3" s="4" t="inlineStr">
        <is>
          <t>FY2024</t>
        </is>
      </c>
      <c r="D3" s="4" t="inlineStr">
        <is>
          <t>FY2023</t>
        </is>
      </c>
      <c r="E3" s="4" t="inlineStr">
        <is>
          <t>FY2022</t>
        </is>
      </c>
      <c r="F3" s="4" t="inlineStr">
        <is>
          <t>FY2021</t>
        </is>
      </c>
    </row>
    <row r="4">
      <c r="A4" s="6" t="inlineStr">
        <is>
          <t>Common Equity Tier 1 (CET1) ratio</t>
        </is>
      </c>
      <c r="B4" s="6" t="inlineStr">
        <is>
          <t>13.35%</t>
        </is>
      </c>
      <c r="C4" s="6" t="inlineStr">
        <is>
          <t>16.64%</t>
        </is>
      </c>
      <c r="D4" s="6" t="inlineStr">
        <is>
          <t>20.10%</t>
        </is>
      </c>
      <c r="E4" s="6" t="inlineStr">
        <is>
          <t>21.03%</t>
        </is>
      </c>
      <c r="F4" s="6" t="inlineStr">
        <is>
          <t>20.0%</t>
        </is>
      </c>
    </row>
    <row r="5">
      <c r="A5" s="6" t="inlineStr">
        <is>
          <t>FY2021 as restated in the FY2022 Pillar 3 'Key Metrics for the Bank' comparative</t>
        </is>
      </c>
      <c r="B5" s="6" t="n"/>
      <c r="C5" s="6" t="n"/>
      <c r="D5" s="6" t="n"/>
      <c r="E5" s="6" t="n"/>
      <c r="F5" s="6" t="inlineStr">
        <is>
          <t>19.94%</t>
        </is>
      </c>
    </row>
    <row r="6" ht="156" customHeight="1">
      <c r="A6" s="7" t="inlineStr">
        <is>
          <t>Note: FY2021 sourced from the pre-KM1-template 'Appendix 4. Bank Disclosures' section of the FY2021 Pillar 3 document (own funds/RWA breakdown, not a KM1 template - this format was only introduced from 1 Jan 2022).
FY2021 CROSS-EDITION DIVERGENCE (recorded 2026-09-15). Two Bank-basis sources cover FY2021 and they do not agree, so both are shown and neither overwrites the other:
  (a) the FY2021 Pillar 3 Disclosures' own 'Appendix 4. Bank Disclosures' (p.40-43), which states CET1 = Tier 1 = Total capital of GBP71,677k and a CET1/Tier 1/Total capital ratio of 20.0%, and shows its own build-up (share capital 15,217 + share premium 124,195 - retained earnings 47,654 + other reserves 205 - prudent valuation 6 - intangibles 4,186 - DTA 8,743 - significant investments 8,217 + IFRS 9 transitional 867 = 71,677); and
  (b) the FY2022 Pillar 3 Disclosures' 'Key Metrics for the Bank' FY2021 comparative column, which restates the same three capital figures to GBP71,644k and the ratio to 19.94%.
The gap is GBP33k of capital, 6bp of ratio - immaterial in size but a real restatement, and the later edition gives no reconciliation for it. Everything else about FY2021 is IDENTICAL between the two editions, which is why only these rows are duplicated: total RWA GBP359,249k and leverage exposure measure GBP647,358k both appear unchanged in both. The leverage ratio differs only by rounding (Appendix 4 prints one decimal, 11.1%; the KM1 comparative prints two, 11.07%) - 71,677 / 647,358 and 71,644 / 647,358 both round to 11.07%, so that pair is a precision difference, not a restatement.</t>
        </is>
      </c>
    </row>
    <row r="8" ht="390" customHeight="1">
      <c r="A8" s="8" t="inlineStr">
        <is>
          <t>Sources - Castle Trust Bank Pillar 3 Disclosures, 'Key Metrics for the Bank' table (Castle Trust Capital plc solo basis, not the wider CTH Group):
FY2025: Pillar 3 Disclosures FY ended 30 Sept 2025, p.6 - https://www.castletrust.co.uk/wp-content/uploads/fy-30_sept-2025-ctb-pillar-3-disclosures.pdf
FY2024: Pillar 3 Disclosures FY ended 30 Sept 2024, p.6 - https://www.castletrust.co.uk/wp-content/uploads/fy-30_sept-2024-ctb-pillar-3-disclosures.pdf
FY2023: Pillar 3 Disclosures FY ended 30 Sept 2023, p.6 - https://www.castletrust.co.uk/wp-content/uploads/fy-30-sept-2023-ctb-pillar-3-disclosures.pdf
FY2022: Pillar 3 Disclosures FY ended 30 Sept 2022, p.6 - https://www.castletrust.co.uk/wp-content/uploads/fy-30-sept-2022-ctb-pillar-3-disclosures.pdf
FY2021: Pillar 3 Disclosures FY ended 30 Sept 2021 (pre-KM1 template - 'Appendix 4. Bank Disclosures'), p.40-43 - https://www.castletrust.co.uk/wp-content/uploads/fy-30-sept-2021-ctb-pillar-3-disclosures.pdf
ENTITY BASIS - determined 2026-09-15 by reading the scope/basis section of all SIX live editions.
Every edition is PUBLISHED BY the holding company and carries 'Registered No: 12161224' on its cover - that is Castle Trust Holdings Limited, NOT the bank. It is not the basis of the figures used here, and the
cover number must not be read as one. Each document nonetheless presents the Bank separately from the
Group, and every figure in this workbook is taken from the BANK presentation.
Verbatim, from each edition's own Scope section:
  FY2020: 'This document sets out the consolidated Pillar 3 disclosures of Castle Trust Holdings Limited
    ("the Group") which includes Castle Trust Capital plc ("the Bank") and its directly owned
    subsidiaries as at 30 September 2020.'
  FY2021: identical wording, '...as at 30 September 2021.'
  FY2022: identical wording, '...as at 30 September 2022.'
  FY2023: 'Castle Trust Holdings Limited (the "Group") was incorporated on 16 August 2019 to act as a
    holding company of the Castle Trust Capital (CTC) group... This document sets out the consolidated
    Pillar 3 disclosures of the Group which includes Castle Trust Capital plc ("the Bank") and its
    directly owned subsidiaries as at 30 September 2023.'
  FY2024 and FY2025: same two-paragraph wording as FY2023, with their own year.
All six also state that Castle Trust Capital plc is the PRA/FCA-authorised firm, 'registered number
541910', and the FY2021, FY2022, FY2024 and FY2025 editions carry a closing legal line reading 'Castle
Trust Bank means Castle Trust Capital plc, a company incorporated in England and Wales with company
number 07454474' - i.e. the document's own definition of 'the Bank' is this workbook's entity.
SINGLE CONSOLIDATED SET, OR SEPARATE BANK AND GROUP COLUMNS? Separate, in every edition, but in two</t>
        </is>
      </c>
    </row>
    <row r="10" ht="403" customHeight="1">
      <c r="A10" s="8" t="inlineStr">
        <is>
          <t>(continued)
different formats:
  FY2022-FY2025 (KM1-era): each document has TWO full key-metrics tables, headed 'Key Metrics for the
    Group' and 'Key Metrics for the Bank' (pp.5 and 6; the FY2025 edition adds 'Overview of RWEAs for
    Group' and 'Overview of RWEAs for Bank' on p.7). The FY2024 edition's basis section says so directly:
    'These disclosures are based upon the Group's Financial Statements... Both the Group and the Bank
    calculate capital resources and requirements using the Basel III framework'; the FY2022 edition says
    'The key metrics disclosures have been prepared for both the Group and the Bank as required per
    Article 18 of the CRR.'
  FY2020-FY2021 (pre-KM1): the MAIN BODY is Group-only and its headline table is captioned 'Key Metrics
    for the Business... for the Group'. The Bank appears only in 'Appendix 4. Bank Disclosures'. Both
    editions' basis sections say: 'These disclosures have been prepared for the Group with the exception
    of Appendix 4 which shows the required disclosures for the Bank as per Article 18 of the Capital
    Requirements Regulation EU 575/2013 ("CRR").' The FY2021 Appendix 4 opens: 'The following tables
    detail the capital reporting disclosures for Castle Trust Capital plc ("the Bank") as a standalone
    solo legal entity.'
WHICH COLUMN THIS WORKBOOK USES: the Bank column, in every year and on every sheet - FY2022-FY2025 from
'Key Metrics for the Bank', FY2021 from 'Appendix 4. Bank Disclosures'. Confirmed 2026-09-15 against all
six primary documents. The divergence is large enough that the two bases could never be blended: FY2023
Bank CET1 83,177 / RWA 413,907 / CET1 ratio 20.10% against Group 99,699 / 592,678 / 16.82%; FY2022 Bank
357,870 against Group 530,968. NO Holdings-basis figure is written into any sheet of this workbook.
ONE BASIS CAVEAT INSIDE THE BANK COLUMN ITSELF, flagged not smoothed over. The FY2021 Appendix 4 defines
the Bank as 'a standalone solo legal entity', and adds: 'In the prior year the Bank's disclosures also
incorporated the financial performance and balances of Castle Trust Capital Management Limited and Castle
Trust Direct plc.' The FY2020 edition confirms this from the other side: 'For capital reporting purposes,
Castle Trust Capital plc's ("the Bank") disclosures also incorporate the financial performance and
balances of Castle Trust Capital Management Limited and Castle Trust Direct plc.' So the FY2020 Bank
column is Castle Trust Capital plc plus two of its own subsidiaries, while FY2021 onward is CTC plc solo.
This affects no cell here - FY2020 is outside this workbook's five-year window - but it is the reason</t>
        </is>
      </c>
    </row>
    <row r="12" ht="364" customHeight="1">
      <c r="A12" s="8" t="inlineStr">
        <is>
          <t>(continued)
FY2020 is not backfilled from that edition without a basis label.
PILLAR 3 URL PROVENANCE (re-verified 2026-09-15 - every URL above and below was fetched and confirmed to return real PDF content, i.e. '%PDF' magic bytes and a readable text layer, not a soft-404 HTML page):
  * Castle Trust's filename separator is INCONSISTENT between years and must not be permuted or 'corrected'. FY2020-FY2023 use 'fy-30-sept-&lt;year&gt;-...' (hyphen); FY2024 and FY2025 use 'fy-30_sept-&lt;year&gt;-...' (UNDERSCORE between '30' and 'sept'). Six editions are live in total, one per financial year FY2020 through FY2025, all under https://www.castletrust.co.uk/wp-content/uploads/ .
  * https://www.castletrust.co.uk/wp-content/uploads/2025/05/Pillar-3-Document.pdf is byte-identical to the FY2024 edition (same MD5) and is a duplicate copy, not a seventh edition or a separate reporting period.
  * Period dates were taken from each document's own cover and scope paragraph, not from its filename; all six agree with their filenames.
SDDT - EXPLICIT NEGATIVE, recorded 2026-09-15 (cross-bank SDDT date-fit pass) so that a future pass does not wrongly apply the Small Domestic Deposit Taker exemption to this workbook's gap year. Castle Trust DOES hold the SDDT opt-in, but it is far too recent to explain anything here. The Bank of England consolidated list of waivers and modifications granted to PRA-authorised firms (downloaded 2026-09-15, https://www.bankofengland.co.uk/-/media/boe/files/prudential-regulation/authorisations/waivers-and-modifications-of-rules/consolidated-waivers-pra-firms.csv) carries three SDDT rows for FRN 541910, 'Castle Trust Capital PLC': (a) Rule 3.1 of the SDDT Regime - General Application Part, sub rule 'Ru 3.1', waiver ref 'A00011417P.pdf', START DATE 06/01/2026, no end date; (b) Rule 3.2, ref 'A00011424P.pdf', same start date; and (c) 'CRR firms: SDDT Regime - General Application Part 1.2 &amp; 2.1(9)', ref 'A00011283P.pdf', start 01/12/2025, end 01/12/2028. Only row (a) is the opt-in that removes the Pillar 3 disclosure obligation; row (c) modifies ELIGIBILITY CRITERIA only and would not by itself make the firm a confirmed SDDT.
DATE FIT - IT DOES NOT FIT. Castle Trust's accounting reference date is 30 SEPTEMBER, confirmed at Companies House (company 07454474, an unbroken run of accounts to 30 September from 2015 to 2025) - note this is NOT a December year-end. The outstanding gap year is FY2021, which ended 30 SEPTEMBER 2021. The Rule 3.1 modification began 6 JANUARY 2026 - more than four years later. A modification cannot explain a gap that predates it, so the SDDT regime explains NONE of the FY2021 blanks.
FY2021's gap keeps its existing and entirely separate explanation, unchanged: Castle Trust published a full Pillar 3 document for FY2021, but on the PRE-KM1 template ('Appendix 4. Bank Disclosures'), which simply does not carry every line the later KM1 tables do. That is a template-vintage gap in a document that exists, which is the opposite of an exemption from publishing one. The register finding changes no cell in this workbook. Note too that the Bank published a Pillar 3 document for FY2025, whose 30 September 2025 year-end precedes the 6 January 2026 modification - consistent with the dates, and a reminder that the exemption bites only from FY2026 onward. This is the SDDT DISCLOSURE exemption, in force now - not the separate SDDT CAPITAL regime beginning 1 January 2027.</t>
        </is>
      </c>
    </row>
  </sheetData>
  <mergeCells count="4">
    <mergeCell ref="A8:F8"/>
    <mergeCell ref="A6:F6"/>
    <mergeCell ref="A10:F10"/>
    <mergeCell ref="A12:F12"/>
  </mergeCell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F12"/>
  <sheetViews>
    <sheetView workbookViewId="0">
      <selection activeCell="A1" sqref="A1"/>
    </sheetView>
  </sheetViews>
  <sheetFormatPr baseColWidth="8" defaultRowHeight="15"/>
  <cols>
    <col width="50" customWidth="1" min="1" max="1"/>
    <col width="15" customWidth="1" min="2" max="2"/>
    <col width="15" customWidth="1" min="3" max="3"/>
    <col width="15" customWidth="1" min="4" max="4"/>
    <col width="15" customWidth="1" min="5" max="5"/>
    <col width="15" customWidth="1" min="6" max="6"/>
  </cols>
  <sheetData>
    <row r="1">
      <c r="A1" s="1" t="inlineStr">
        <is>
          <t>Castle Trust Capital plc — Tier 1 Capital</t>
        </is>
      </c>
    </row>
    <row r="2">
      <c r="A2" s="2" t="inlineStr">
        <is>
          <t>£'000</t>
        </is>
      </c>
    </row>
    <row r="3">
      <c r="A3" s="4" t="inlineStr">
        <is>
          <t>Metric</t>
        </is>
      </c>
      <c r="B3" s="4" t="inlineStr">
        <is>
          <t>FY2025</t>
        </is>
      </c>
      <c r="C3" s="4" t="inlineStr">
        <is>
          <t>FY2024</t>
        </is>
      </c>
      <c r="D3" s="4" t="inlineStr">
        <is>
          <t>FY2023</t>
        </is>
      </c>
      <c r="E3" s="4" t="inlineStr">
        <is>
          <t>FY2022</t>
        </is>
      </c>
      <c r="F3" s="4" t="inlineStr">
        <is>
          <t>FY2021</t>
        </is>
      </c>
    </row>
    <row r="4">
      <c r="A4" s="6" t="inlineStr">
        <is>
          <t>Tier 1 capital</t>
        </is>
      </c>
      <c r="B4" s="6" t="n">
        <v>84719</v>
      </c>
      <c r="C4" s="6" t="n">
        <v>83107</v>
      </c>
      <c r="D4" s="6" t="n">
        <v>83177</v>
      </c>
      <c r="E4" s="6" t="n">
        <v>75267</v>
      </c>
      <c r="F4" s="6" t="n">
        <v>71677</v>
      </c>
    </row>
    <row r="5">
      <c r="A5" s="6" t="inlineStr">
        <is>
          <t>FY2021 as restated in the FY2022 Pillar 3 'Key Metrics for the Bank' comparative</t>
        </is>
      </c>
      <c r="B5" s="6" t="n"/>
      <c r="C5" s="6" t="n"/>
      <c r="D5" s="6" t="n"/>
      <c r="E5" s="6" t="n"/>
      <c r="F5" s="6" t="n">
        <v>71644</v>
      </c>
    </row>
    <row r="6" ht="143" customHeight="1">
      <c r="A6" s="7" t="inlineStr">
        <is>
          <t>Note: = CET1 capital (no AT1 instruments in issue in any year to date).
FY2021 CROSS-EDITION DIVERGENCE (recorded 2026-09-15). Two Bank-basis sources cover FY2021 and they do not agree, so both are shown and neither overwrites the other:
  (a) the FY2021 Pillar 3 Disclosures' own 'Appendix 4. Bank Disclosures' (p.40-43), which states CET1 = Tier 1 = Total capital of GBP71,677k and a CET1/Tier 1/Total capital ratio of 20.0%, and shows its own build-up (share capital 15,217 + share premium 124,195 - retained earnings 47,654 + other reserves 205 - prudent valuation 6 - intangibles 4,186 - DTA 8,743 - significant investments 8,217 + IFRS 9 transitional 867 = 71,677); and
  (b) the FY2022 Pillar 3 Disclosures' 'Key Metrics for the Bank' FY2021 comparative column, which restates the same three capital figures to GBP71,644k and the ratio to 19.94%.
The gap is GBP33k of capital, 6bp of ratio - immaterial in size but a real restatement, and the later edition gives no reconciliation for it. Everything else about FY2021 is IDENTICAL between the two editions, which is why only these rows are duplicated: total RWA GBP359,249k and leverage exposure measure GBP647,358k both appear unchanged in both. The leverage ratio differs only by rounding (Appendix 4 prints one decimal, 11.1%; the KM1 comparative prints two, 11.07%) - 71,677 / 647,358 and 71,644 / 647,358 both round to 11.07%, so that pair is a precision difference, not a restatement.</t>
        </is>
      </c>
    </row>
    <row r="8" ht="390" customHeight="1">
      <c r="A8" s="8" t="inlineStr">
        <is>
          <t>Sources - Castle Trust Bank Pillar 3 Disclosures, 'Key Metrics for the Bank' table (Castle Trust Capital plc solo basis, not the wider CTH Group):
FY2025: Pillar 3 Disclosures FY ended 30 Sept 2025, p.6 - https://www.castletrust.co.uk/wp-content/uploads/fy-30_sept-2025-ctb-pillar-3-disclosures.pdf
FY2024: Pillar 3 Disclosures FY ended 30 Sept 2024, p.6 - https://www.castletrust.co.uk/wp-content/uploads/fy-30_sept-2024-ctb-pillar-3-disclosures.pdf
FY2023: Pillar 3 Disclosures FY ended 30 Sept 2023, p.6 - https://www.castletrust.co.uk/wp-content/uploads/fy-30-sept-2023-ctb-pillar-3-disclosures.pdf
FY2022: Pillar 3 Disclosures FY ended 30 Sept 2022, p.6 - https://www.castletrust.co.uk/wp-content/uploads/fy-30-sept-2022-ctb-pillar-3-disclosures.pdf
FY2021: Pillar 3 Disclosures FY ended 30 Sept 2021 (pre-KM1 template - 'Appendix 4. Bank Disclosures'), p.40-43 - https://www.castletrust.co.uk/wp-content/uploads/fy-30-sept-2021-ctb-pillar-3-disclosures.pdf
ENTITY BASIS - determined 2026-09-15 by reading the scope/basis section of all SIX live editions.
Every edition is PUBLISHED BY the holding company and carries 'Registered No: 12161224' on its cover - that is Castle Trust Holdings Limited, NOT the bank. It is not the basis of the figures used here, and the
cover number must not be read as one. Each document nonetheless presents the Bank separately from the
Group, and every figure in this workbook is taken from the BANK presentation.
Verbatim, from each edition's own Scope section:
  FY2020: 'This document sets out the consolidated Pillar 3 disclosures of Castle Trust Holdings Limited
    ("the Group") which includes Castle Trust Capital plc ("the Bank") and its directly owned
    subsidiaries as at 30 September 2020.'
  FY2021: identical wording, '...as at 30 September 2021.'
  FY2022: identical wording, '...as at 30 September 2022.'
  FY2023: 'Castle Trust Holdings Limited (the "Group") was incorporated on 16 August 2019 to act as a
    holding company of the Castle Trust Capital (CTC) group... This document sets out the consolidated
    Pillar 3 disclosures of the Group which includes Castle Trust Capital plc ("the Bank") and its
    directly owned subsidiaries as at 30 September 2023.'
  FY2024 and FY2025: same two-paragraph wording as FY2023, with their own year.
All six also state that Castle Trust Capital plc is the PRA/FCA-authorised firm, 'registered number
541910', and the FY2021, FY2022, FY2024 and FY2025 editions carry a closing legal line reading 'Castle
Trust Bank means Castle Trust Capital plc, a company incorporated in England and Wales with company
number 07454474' - i.e. the document's own definition of 'the Bank' is this workbook's entity.
SINGLE CONSOLIDATED SET, OR SEPARATE BANK AND GROUP COLUMNS? Separate, in every edition, but in two</t>
        </is>
      </c>
    </row>
    <row r="10" ht="403" customHeight="1">
      <c r="A10" s="8" t="inlineStr">
        <is>
          <t>(continued)
different formats:
  FY2022-FY2025 (KM1-era): each document has TWO full key-metrics tables, headed 'Key Metrics for the
    Group' and 'Key Metrics for the Bank' (pp.5 and 6; the FY2025 edition adds 'Overview of RWEAs for
    Group' and 'Overview of RWEAs for Bank' on p.7). The FY2024 edition's basis section says so directly:
    'These disclosures are based upon the Group's Financial Statements... Both the Group and the Bank
    calculate capital resources and requirements using the Basel III framework'; the FY2022 edition says
    'The key metrics disclosures have been prepared for both the Group and the Bank as required per
    Article 18 of the CRR.'
  FY2020-FY2021 (pre-KM1): the MAIN BODY is Group-only and its headline table is captioned 'Key Metrics
    for the Business... for the Group'. The Bank appears only in 'Appendix 4. Bank Disclosures'. Both
    editions' basis sections say: 'These disclosures have been prepared for the Group with the exception
    of Appendix 4 which shows the required disclosures for the Bank as per Article 18 of the Capital
    Requirements Regulation EU 575/2013 ("CRR").' The FY2021 Appendix 4 opens: 'The following tables
    detail the capital reporting disclosures for Castle Trust Capital plc ("the Bank") as a standalone
    solo legal entity.'
WHICH COLUMN THIS WORKBOOK USES: the Bank column, in every year and on every sheet - FY2022-FY2025 from
'Key Metrics for the Bank', FY2021 from 'Appendix 4. Bank Disclosures'. Confirmed 2026-09-15 against all
six primary documents. The divergence is large enough that the two bases could never be blended: FY2023
Bank CET1 83,177 / RWA 413,907 / CET1 ratio 20.10% against Group 99,699 / 592,678 / 16.82%; FY2022 Bank
357,870 against Group 530,968. NO Holdings-basis figure is written into any sheet of this workbook.
ONE BASIS CAVEAT INSIDE THE BANK COLUMN ITSELF, flagged not smoothed over. The FY2021 Appendix 4 defines
the Bank as 'a standalone solo legal entity', and adds: 'In the prior year the Bank's disclosures also
incorporated the financial performance and balances of Castle Trust Capital Management Limited and Castle
Trust Direct plc.' The FY2020 edition confirms this from the other side: 'For capital reporting purposes,
Castle Trust Capital plc's ("the Bank") disclosures also incorporate the financial performance and
balances of Castle Trust Capital Management Limited and Castle Trust Direct plc.' So the FY2020 Bank
column is Castle Trust Capital plc plus two of its own subsidiaries, while FY2021 onward is CTC plc solo.
This affects no cell here - FY2020 is outside this workbook's five-year window - but it is the reason</t>
        </is>
      </c>
    </row>
    <row r="12" ht="364" customHeight="1">
      <c r="A12" s="8" t="inlineStr">
        <is>
          <t>(continued)
FY2020 is not backfilled from that edition without a basis label.
PILLAR 3 URL PROVENANCE (re-verified 2026-09-15 - every URL above and below was fetched and confirmed to return real PDF content, i.e. '%PDF' magic bytes and a readable text layer, not a soft-404 HTML page):
  * Castle Trust's filename separator is INCONSISTENT between years and must not be permuted or 'corrected'. FY2020-FY2023 use 'fy-30-sept-&lt;year&gt;-...' (hyphen); FY2024 and FY2025 use 'fy-30_sept-&lt;year&gt;-...' (UNDERSCORE between '30' and 'sept'). Six editions are live in total, one per financial year FY2020 through FY2025, all under https://www.castletrust.co.uk/wp-content/uploads/ .
  * https://www.castletrust.co.uk/wp-content/uploads/2025/05/Pillar-3-Document.pdf is byte-identical to the FY2024 edition (same MD5) and is a duplicate copy, not a seventh edition or a separate reporting period.
  * Period dates were taken from each document's own cover and scope paragraph, not from its filename; all six agree with their filenames.
SDDT - EXPLICIT NEGATIVE, recorded 2026-09-15 (cross-bank SDDT date-fit pass) so that a future pass does not wrongly apply the Small Domestic Deposit Taker exemption to this workbook's gap year. Castle Trust DOES hold the SDDT opt-in, but it is far too recent to explain anything here. The Bank of England consolidated list of waivers and modifications granted to PRA-authorised firms (downloaded 2026-09-15, https://www.bankofengland.co.uk/-/media/boe/files/prudential-regulation/authorisations/waivers-and-modifications-of-rules/consolidated-waivers-pra-firms.csv) carries three SDDT rows for FRN 541910, 'Castle Trust Capital PLC': (a) Rule 3.1 of the SDDT Regime - General Application Part, sub rule 'Ru 3.1', waiver ref 'A00011417P.pdf', START DATE 06/01/2026, no end date; (b) Rule 3.2, ref 'A00011424P.pdf', same start date; and (c) 'CRR firms: SDDT Regime - General Application Part 1.2 &amp; 2.1(9)', ref 'A00011283P.pdf', start 01/12/2025, end 01/12/2028. Only row (a) is the opt-in that removes the Pillar 3 disclosure obligation; row (c) modifies ELIGIBILITY CRITERIA only and would not by itself make the firm a confirmed SDDT.
DATE FIT - IT DOES NOT FIT. Castle Trust's accounting reference date is 30 SEPTEMBER, confirmed at Companies House (company 07454474, an unbroken run of accounts to 30 September from 2015 to 2025) - note this is NOT a December year-end. The outstanding gap year is FY2021, which ended 30 SEPTEMBER 2021. The Rule 3.1 modification began 6 JANUARY 2026 - more than four years later. A modification cannot explain a gap that predates it, so the SDDT regime explains NONE of the FY2021 blanks.
FY2021's gap keeps its existing and entirely separate explanation, unchanged: Castle Trust published a full Pillar 3 document for FY2021, but on the PRE-KM1 template ('Appendix 4. Bank Disclosures'), which simply does not carry every line the later KM1 tables do. That is a template-vintage gap in a document that exists, which is the opposite of an exemption from publishing one. The register finding changes no cell in this workbook. Note too that the Bank published a Pillar 3 document for FY2025, whose 30 September 2025 year-end precedes the 6 January 2026 modification - consistent with the dates, and a reminder that the exemption bites only from FY2026 onward. This is the SDDT DISCLOSURE exemption, in force now - not the separate SDDT CAPITAL regime beginning 1 January 2027.</t>
        </is>
      </c>
    </row>
  </sheetData>
  <mergeCells count="4">
    <mergeCell ref="A8:F8"/>
    <mergeCell ref="A6:F6"/>
    <mergeCell ref="A10:F10"/>
    <mergeCell ref="A12:F12"/>
  </mergeCell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F12"/>
  <sheetViews>
    <sheetView workbookViewId="0">
      <selection activeCell="A1" sqref="A1"/>
    </sheetView>
  </sheetViews>
  <sheetFormatPr baseColWidth="8" defaultRowHeight="15"/>
  <cols>
    <col width="50" customWidth="1" min="1" max="1"/>
    <col width="15" customWidth="1" min="2" max="2"/>
    <col width="15" customWidth="1" min="3" max="3"/>
    <col width="15" customWidth="1" min="4" max="4"/>
    <col width="15" customWidth="1" min="5" max="5"/>
    <col width="15" customWidth="1" min="6" max="6"/>
  </cols>
  <sheetData>
    <row r="1">
      <c r="A1" s="1" t="inlineStr">
        <is>
          <t>Castle Trust Capital plc — Tier 1 Ratio</t>
        </is>
      </c>
    </row>
    <row r="2">
      <c r="A2" s="2" t="inlineStr">
        <is>
          <t>% of RWA</t>
        </is>
      </c>
    </row>
    <row r="3">
      <c r="A3" s="4" t="inlineStr">
        <is>
          <t>Metric</t>
        </is>
      </c>
      <c r="B3" s="4" t="inlineStr">
        <is>
          <t>FY2025</t>
        </is>
      </c>
      <c r="C3" s="4" t="inlineStr">
        <is>
          <t>FY2024</t>
        </is>
      </c>
      <c r="D3" s="4" t="inlineStr">
        <is>
          <t>FY2023</t>
        </is>
      </c>
      <c r="E3" s="4" t="inlineStr">
        <is>
          <t>FY2022</t>
        </is>
      </c>
      <c r="F3" s="4" t="inlineStr">
        <is>
          <t>FY2021</t>
        </is>
      </c>
    </row>
    <row r="4">
      <c r="A4" s="6" t="inlineStr">
        <is>
          <t>Tier 1 ratio</t>
        </is>
      </c>
      <c r="B4" s="6" t="inlineStr">
        <is>
          <t>13.35%</t>
        </is>
      </c>
      <c r="C4" s="6" t="inlineStr">
        <is>
          <t>16.64%</t>
        </is>
      </c>
      <c r="D4" s="6" t="inlineStr">
        <is>
          <t>20.10%</t>
        </is>
      </c>
      <c r="E4" s="6" t="inlineStr">
        <is>
          <t>21.03%</t>
        </is>
      </c>
      <c r="F4" s="6" t="inlineStr">
        <is>
          <t>20.0%</t>
        </is>
      </c>
    </row>
    <row r="5">
      <c r="A5" s="6" t="inlineStr">
        <is>
          <t>FY2021 as restated in the FY2022 Pillar 3 'Key Metrics for the Bank' comparative</t>
        </is>
      </c>
      <c r="B5" s="6" t="n"/>
      <c r="C5" s="6" t="n"/>
      <c r="D5" s="6" t="n"/>
      <c r="E5" s="6" t="n"/>
      <c r="F5" s="6" t="inlineStr">
        <is>
          <t>19.94%</t>
        </is>
      </c>
    </row>
    <row r="6" ht="117" customHeight="1">
      <c r="A6" s="7" t="inlineStr">
        <is>
          <t>Note: FY2021 CROSS-EDITION DIVERGENCE (recorded 2026-09-15). Two Bank-basis sources cover FY2021 and they do not agree, so both are shown and neither overwrites the other:
  (a) the FY2021 Pillar 3 Disclosures' own 'Appendix 4. Bank Disclosures' (p.40-43), which states CET1 = Tier 1 = Total capital of GBP71,677k and a CET1/Tier 1/Total capital ratio of 20.0%, and shows its own build-up (share capital 15,217 + share premium 124,195 - retained earnings 47,654 + other reserves 205 - prudent valuation 6 - intangibles 4,186 - DTA 8,743 - significant investments 8,217 + IFRS 9 transitional 867 = 71,677); and
  (b) the FY2022 Pillar 3 Disclosures' 'Key Metrics for the Bank' FY2021 comparative column, which restates the same three capital figures to GBP71,644k and the ratio to 19.94%.
The gap is GBP33k of capital, 6bp of ratio - immaterial in size but a real restatement, and the later edition gives no reconciliation for it. Everything else about FY2021 is IDENTICAL between the two editions, which is why only these rows are duplicated: total RWA GBP359,249k and leverage exposure measure GBP647,358k both appear unchanged in both. The leverage ratio differs only by rounding (Appendix 4 prints one decimal, 11.1%; the KM1 comparative prints two, 11.07%) - 71,677 / 647,358 and 71,644 / 647,358 both round to 11.07%, so that pair is a precision difference, not a restatement.</t>
        </is>
      </c>
    </row>
    <row r="8" ht="390" customHeight="1">
      <c r="A8" s="8" t="inlineStr">
        <is>
          <t>Sources - Castle Trust Bank Pillar 3 Disclosures, 'Key Metrics for the Bank' table (Castle Trust Capital plc solo basis, not the wider CTH Group):
FY2025: Pillar 3 Disclosures FY ended 30 Sept 2025, p.6 - https://www.castletrust.co.uk/wp-content/uploads/fy-30_sept-2025-ctb-pillar-3-disclosures.pdf
FY2024: Pillar 3 Disclosures FY ended 30 Sept 2024, p.6 - https://www.castletrust.co.uk/wp-content/uploads/fy-30_sept-2024-ctb-pillar-3-disclosures.pdf
FY2023: Pillar 3 Disclosures FY ended 30 Sept 2023, p.6 - https://www.castletrust.co.uk/wp-content/uploads/fy-30-sept-2023-ctb-pillar-3-disclosures.pdf
FY2022: Pillar 3 Disclosures FY ended 30 Sept 2022, p.6 - https://www.castletrust.co.uk/wp-content/uploads/fy-30-sept-2022-ctb-pillar-3-disclosures.pdf
FY2021: Pillar 3 Disclosures FY ended 30 Sept 2021 (pre-KM1 template - 'Appendix 4. Bank Disclosures'), p.40-43 - https://www.castletrust.co.uk/wp-content/uploads/fy-30-sept-2021-ctb-pillar-3-disclosures.pdf
ENTITY BASIS - determined 2026-09-15 by reading the scope/basis section of all SIX live editions.
Every edition is PUBLISHED BY the holding company and carries 'Registered No: 12161224' on its cover - that is Castle Trust Holdings Limited, NOT the bank. It is not the basis of the figures used here, and the
cover number must not be read as one. Each document nonetheless presents the Bank separately from the
Group, and every figure in this workbook is taken from the BANK presentation.
Verbatim, from each edition's own Scope section:
  FY2020: 'This document sets out the consolidated Pillar 3 disclosures of Castle Trust Holdings Limited
    ("the Group") which includes Castle Trust Capital plc ("the Bank") and its directly owned
    subsidiaries as at 30 September 2020.'
  FY2021: identical wording, '...as at 30 September 2021.'
  FY2022: identical wording, '...as at 30 September 2022.'
  FY2023: 'Castle Trust Holdings Limited (the "Group") was incorporated on 16 August 2019 to act as a
    holding company of the Castle Trust Capital (CTC) group... This document sets out the consolidated
    Pillar 3 disclosures of the Group which includes Castle Trust Capital plc ("the Bank") and its
    directly owned subsidiaries as at 30 September 2023.'
  FY2024 and FY2025: same two-paragraph wording as FY2023, with their own year.
All six also state that Castle Trust Capital plc is the PRA/FCA-authorised firm, 'registered number
541910', and the FY2021, FY2022, FY2024 and FY2025 editions carry a closing legal line reading 'Castle
Trust Bank means Castle Trust Capital plc, a company incorporated in England and Wales with company
number 07454474' - i.e. the document's own definition of 'the Bank' is this workbook's entity.
SINGLE CONSOLIDATED SET, OR SEPARATE BANK AND GROUP COLUMNS? Separate, in every edition, but in two</t>
        </is>
      </c>
    </row>
    <row r="10" ht="403" customHeight="1">
      <c r="A10" s="8" t="inlineStr">
        <is>
          <t>(continued)
different formats:
  FY2022-FY2025 (KM1-era): each document has TWO full key-metrics tables, headed 'Key Metrics for the
    Group' and 'Key Metrics for the Bank' (pp.5 and 6; the FY2025 edition adds 'Overview of RWEAs for
    Group' and 'Overview of RWEAs for Bank' on p.7). The FY2024 edition's basis section says so directly:
    'These disclosures are based upon the Group's Financial Statements... Both the Group and the Bank
    calculate capital resources and requirements using the Basel III framework'; the FY2022 edition says
    'The key metrics disclosures have been prepared for both the Group and the Bank as required per
    Article 18 of the CRR.'
  FY2020-FY2021 (pre-KM1): the MAIN BODY is Group-only and its headline table is captioned 'Key Metrics
    for the Business... for the Group'. The Bank appears only in 'Appendix 4. Bank Disclosures'. Both
    editions' basis sections say: 'These disclosures have been prepared for the Group with the exception
    of Appendix 4 which shows the required disclosures for the Bank as per Article 18 of the Capital
    Requirements Regulation EU 575/2013 ("CRR").' The FY2021 Appendix 4 opens: 'The following tables
    detail the capital reporting disclosures for Castle Trust Capital plc ("the Bank") as a standalone
    solo legal entity.'
WHICH COLUMN THIS WORKBOOK USES: the Bank column, in every year and on every sheet - FY2022-FY2025 from
'Key Metrics for the Bank', FY2021 from 'Appendix 4. Bank Disclosures'. Confirmed 2026-09-15 against all
six primary documents. The divergence is large enough that the two bases could never be blended: FY2023
Bank CET1 83,177 / RWA 413,907 / CET1 ratio 20.10% against Group 99,699 / 592,678 / 16.82%; FY2022 Bank
357,870 against Group 530,968. NO Holdings-basis figure is written into any sheet of this workbook.
ONE BASIS CAVEAT INSIDE THE BANK COLUMN ITSELF, flagged not smoothed over. The FY2021 Appendix 4 defines
the Bank as 'a standalone solo legal entity', and adds: 'In the prior year the Bank's disclosures also
incorporated the financial performance and balances of Castle Trust Capital Management Limited and Castle
Trust Direct plc.' The FY2020 edition confirms this from the other side: 'For capital reporting purposes,
Castle Trust Capital plc's ("the Bank") disclosures also incorporate the financial performance and
balances of Castle Trust Capital Management Limited and Castle Trust Direct plc.' So the FY2020 Bank
column is Castle Trust Capital plc plus two of its own subsidiaries, while FY2021 onward is CTC plc solo.
This affects no cell here - FY2020 is outside this workbook's five-year window - but it is the reason</t>
        </is>
      </c>
    </row>
    <row r="12" ht="364" customHeight="1">
      <c r="A12" s="8" t="inlineStr">
        <is>
          <t>(continued)
FY2020 is not backfilled from that edition without a basis label.
PILLAR 3 URL PROVENANCE (re-verified 2026-09-15 - every URL above and below was fetched and confirmed to return real PDF content, i.e. '%PDF' magic bytes and a readable text layer, not a soft-404 HTML page):
  * Castle Trust's filename separator is INCONSISTENT between years and must not be permuted or 'corrected'. FY2020-FY2023 use 'fy-30-sept-&lt;year&gt;-...' (hyphen); FY2024 and FY2025 use 'fy-30_sept-&lt;year&gt;-...' (UNDERSCORE between '30' and 'sept'). Six editions are live in total, one per financial year FY2020 through FY2025, all under https://www.castletrust.co.uk/wp-content/uploads/ .
  * https://www.castletrust.co.uk/wp-content/uploads/2025/05/Pillar-3-Document.pdf is byte-identical to the FY2024 edition (same MD5) and is a duplicate copy, not a seventh edition or a separate reporting period.
  * Period dates were taken from each document's own cover and scope paragraph, not from its filename; all six agree with their filenames.
SDDT - EXPLICIT NEGATIVE, recorded 2026-09-15 (cross-bank SDDT date-fit pass) so that a future pass does not wrongly apply the Small Domestic Deposit Taker exemption to this workbook's gap year. Castle Trust DOES hold the SDDT opt-in, but it is far too recent to explain anything here. The Bank of England consolidated list of waivers and modifications granted to PRA-authorised firms (downloaded 2026-09-15, https://www.bankofengland.co.uk/-/media/boe/files/prudential-regulation/authorisations/waivers-and-modifications-of-rules/consolidated-waivers-pra-firms.csv) carries three SDDT rows for FRN 541910, 'Castle Trust Capital PLC': (a) Rule 3.1 of the SDDT Regime - General Application Part, sub rule 'Ru 3.1', waiver ref 'A00011417P.pdf', START DATE 06/01/2026, no end date; (b) Rule 3.2, ref 'A00011424P.pdf', same start date; and (c) 'CRR firms: SDDT Regime - General Application Part 1.2 &amp; 2.1(9)', ref 'A00011283P.pdf', start 01/12/2025, end 01/12/2028. Only row (a) is the opt-in that removes the Pillar 3 disclosure obligation; row (c) modifies ELIGIBILITY CRITERIA only and would not by itself make the firm a confirmed SDDT.
DATE FIT - IT DOES NOT FIT. Castle Trust's accounting reference date is 30 SEPTEMBER, confirmed at Companies House (company 07454474, an unbroken run of accounts to 30 September from 2015 to 2025) - note this is NOT a December year-end. The outstanding gap year is FY2021, which ended 30 SEPTEMBER 2021. The Rule 3.1 modification began 6 JANUARY 2026 - more than four years later. A modification cannot explain a gap that predates it, so the SDDT regime explains NONE of the FY2021 blanks.
FY2021's gap keeps its existing and entirely separate explanation, unchanged: Castle Trust published a full Pillar 3 document for FY2021, but on the PRE-KM1 template ('Appendix 4. Bank Disclosures'), which simply does not carry every line the later KM1 tables do. That is a template-vintage gap in a document that exists, which is the opposite of an exemption from publishing one. The register finding changes no cell in this workbook. Note too that the Bank published a Pillar 3 document for FY2025, whose 30 September 2025 year-end precedes the 6 January 2026 modification - consistent with the dates, and a reminder that the exemption bites only from FY2026 onward. This is the SDDT DISCLOSURE exemption, in force now - not the separate SDDT CAPITAL regime beginning 1 January 2027.</t>
        </is>
      </c>
    </row>
  </sheetData>
  <mergeCells count="4">
    <mergeCell ref="A8:F8"/>
    <mergeCell ref="A6:F6"/>
    <mergeCell ref="A10:F10"/>
    <mergeCell ref="A12:F12"/>
  </mergeCells>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F12"/>
  <sheetViews>
    <sheetView workbookViewId="0">
      <selection activeCell="A1" sqref="A1"/>
    </sheetView>
  </sheetViews>
  <sheetFormatPr baseColWidth="8" defaultRowHeight="15"/>
  <cols>
    <col width="50" customWidth="1" min="1" max="1"/>
    <col width="15" customWidth="1" min="2" max="2"/>
    <col width="15" customWidth="1" min="3" max="3"/>
    <col width="15" customWidth="1" min="4" max="4"/>
    <col width="15" customWidth="1" min="5" max="5"/>
    <col width="15" customWidth="1" min="6" max="6"/>
  </cols>
  <sheetData>
    <row r="1">
      <c r="A1" s="1" t="inlineStr">
        <is>
          <t>Castle Trust Capital plc — Total Capital</t>
        </is>
      </c>
    </row>
    <row r="2">
      <c r="A2" s="2" t="inlineStr">
        <is>
          <t>£'000</t>
        </is>
      </c>
    </row>
    <row r="3">
      <c r="A3" s="4" t="inlineStr">
        <is>
          <t>Metric</t>
        </is>
      </c>
      <c r="B3" s="4" t="inlineStr">
        <is>
          <t>FY2025</t>
        </is>
      </c>
      <c r="C3" s="4" t="inlineStr">
        <is>
          <t>FY2024</t>
        </is>
      </c>
      <c r="D3" s="4" t="inlineStr">
        <is>
          <t>FY2023</t>
        </is>
      </c>
      <c r="E3" s="4" t="inlineStr">
        <is>
          <t>FY2022</t>
        </is>
      </c>
      <c r="F3" s="4" t="inlineStr">
        <is>
          <t>FY2021</t>
        </is>
      </c>
    </row>
    <row r="4">
      <c r="A4" s="6" t="inlineStr">
        <is>
          <t>Total capital</t>
        </is>
      </c>
      <c r="B4" s="6" t="n">
        <v>99719</v>
      </c>
      <c r="C4" s="6" t="n">
        <v>90107</v>
      </c>
      <c r="D4" s="6" t="n">
        <v>83177</v>
      </c>
      <c r="E4" s="6" t="n">
        <v>75267</v>
      </c>
      <c r="F4" s="6" t="n">
        <v>71677</v>
      </c>
    </row>
    <row r="5">
      <c r="A5" s="6" t="inlineStr">
        <is>
          <t>FY2021 as restated in the FY2022 Pillar 3 'Key Metrics for the Bank' comparative</t>
        </is>
      </c>
      <c r="B5" s="6" t="n"/>
      <c r="C5" s="6" t="n"/>
      <c r="D5" s="6" t="n"/>
      <c r="E5" s="6" t="n"/>
      <c r="F5" s="6" t="n">
        <v>71644</v>
      </c>
    </row>
    <row r="6" ht="156" customHeight="1">
      <c r="A6" s="7" t="inlineStr">
        <is>
          <t>Note: Total capital exceeds Tier 1 capital from FY2024 onward (Tier 2 instruments: £7.0m FY2024, £15.0m FY2025) - no Tier 2 in issue FY2021-FY2023, when Total Capital = CET1 = Tier 1.
FY2021 CROSS-EDITION DIVERGENCE (recorded 2026-09-15). Two Bank-basis sources cover FY2021 and they do not agree, so both are shown and neither overwrites the other:
  (a) the FY2021 Pillar 3 Disclosures' own 'Appendix 4. Bank Disclosures' (p.40-43), which states CET1 = Tier 1 = Total capital of GBP71,677k and a CET1/Tier 1/Total capital ratio of 20.0%, and shows its own build-up (share capital 15,217 + share premium 124,195 - retained earnings 47,654 + other reserves 205 - prudent valuation 6 - intangibles 4,186 - DTA 8,743 - significant investments 8,217 + IFRS 9 transitional 867 = 71,677); and
  (b) the FY2022 Pillar 3 Disclosures' 'Key Metrics for the Bank' FY2021 comparative column, which restates the same three capital figures to GBP71,644k and the ratio to 19.94%.
The gap is GBP33k of capital, 6bp of ratio - immaterial in size but a real restatement, and the later edition gives no reconciliation for it. Everything else about FY2021 is IDENTICAL between the two editions, which is why only these rows are duplicated: total RWA GBP359,249k and leverage exposure measure GBP647,358k both appear unchanged in both. The leverage ratio differs only by rounding (Appendix 4 prints one decimal, 11.1%; the KM1 comparative prints two, 11.07%) - 71,677 / 647,358 and 71,644 / 647,358 both round to 11.07%, so that pair is a precision difference, not a restatement.</t>
        </is>
      </c>
    </row>
    <row r="8" ht="390" customHeight="1">
      <c r="A8" s="8" t="inlineStr">
        <is>
          <t>Sources - Castle Trust Bank Pillar 3 Disclosures, 'Key Metrics for the Bank' table (Castle Trust Capital plc solo basis, not the wider CTH Group):
FY2025: Pillar 3 Disclosures FY ended 30 Sept 2025, p.6 - https://www.castletrust.co.uk/wp-content/uploads/fy-30_sept-2025-ctb-pillar-3-disclosures.pdf
FY2024: Pillar 3 Disclosures FY ended 30 Sept 2024, p.6 - https://www.castletrust.co.uk/wp-content/uploads/fy-30_sept-2024-ctb-pillar-3-disclosures.pdf
FY2023: Pillar 3 Disclosures FY ended 30 Sept 2023, p.6 - https://www.castletrust.co.uk/wp-content/uploads/fy-30-sept-2023-ctb-pillar-3-disclosures.pdf
FY2022: Pillar 3 Disclosures FY ended 30 Sept 2022, p.6 - https://www.castletrust.co.uk/wp-content/uploads/fy-30-sept-2022-ctb-pillar-3-disclosures.pdf
FY2021: Pillar 3 Disclosures FY ended 30 Sept 2021 (pre-KM1 template - 'Appendix 4. Bank Disclosures'), p.40-43 - https://www.castletrust.co.uk/wp-content/uploads/fy-30-sept-2021-ctb-pillar-3-disclosures.pdf
ENTITY BASIS - determined 2026-09-15 by reading the scope/basis section of all SIX live editions.
Every edition is PUBLISHED BY the holding company and carries 'Registered No: 12161224' on its cover - that is Castle Trust Holdings Limited, NOT the bank. It is not the basis of the figures used here, and the
cover number must not be read as one. Each document nonetheless presents the Bank separately from the
Group, and every figure in this workbook is taken from the BANK presentation.
Verbatim, from each edition's own Scope section:
  FY2020: 'This document sets out the consolidated Pillar 3 disclosures of Castle Trust Holdings Limited
    ("the Group") which includes Castle Trust Capital plc ("the Bank") and its directly owned
    subsidiaries as at 30 September 2020.'
  FY2021: identical wording, '...as at 30 September 2021.'
  FY2022: identical wording, '...as at 30 September 2022.'
  FY2023: 'Castle Trust Holdings Limited (the "Group") was incorporated on 16 August 2019 to act as a
    holding company of the Castle Trust Capital (CTC) group... This document sets out the consolidated
    Pillar 3 disclosures of the Group which includes Castle Trust Capital plc ("the Bank") and its
    directly owned subsidiaries as at 30 September 2023.'
  FY2024 and FY2025: same two-paragraph wording as FY2023, with their own year.
All six also state that Castle Trust Capital plc is the PRA/FCA-authorised firm, 'registered number
541910', and the FY2021, FY2022, FY2024 and FY2025 editions carry a closing legal line reading 'Castle
Trust Bank means Castle Trust Capital plc, a company incorporated in England and Wales with company
number 07454474' - i.e. the document's own definition of 'the Bank' is this workbook's entity.
SINGLE CONSOLIDATED SET, OR SEPARATE BANK AND GROUP COLUMNS? Separate, in every edition, but in two</t>
        </is>
      </c>
    </row>
    <row r="10" ht="403" customHeight="1">
      <c r="A10" s="8" t="inlineStr">
        <is>
          <t>(continued)
different formats:
  FY2022-FY2025 (KM1-era): each document has TWO full key-metrics tables, headed 'Key Metrics for the
    Group' and 'Key Metrics for the Bank' (pp.5 and 6; the FY2025 edition adds 'Overview of RWEAs for
    Group' and 'Overview of RWEAs for Bank' on p.7). The FY2024 edition's basis section says so directly:
    'These disclosures are based upon the Group's Financial Statements... Both the Group and the Bank
    calculate capital resources and requirements using the Basel III framework'; the FY2022 edition says
    'The key metrics disclosures have been prepared for both the Group and the Bank as required per
    Article 18 of the CRR.'
  FY2020-FY2021 (pre-KM1): the MAIN BODY is Group-only and its headline table is captioned 'Key Metrics
    for the Business... for the Group'. The Bank appears only in 'Appendix 4. Bank Disclosures'. Both
    editions' basis sections say: 'These disclosures have been prepared for the Group with the exception
    of Appendix 4 which shows the required disclosures for the Bank as per Article 18 of the Capital
    Requirements Regulation EU 575/2013 ("CRR").' The FY2021 Appendix 4 opens: 'The following tables
    detail the capital reporting disclosures for Castle Trust Capital plc ("the Bank") as a standalone
    solo legal entity.'
WHICH COLUMN THIS WORKBOOK USES: the Bank column, in every year and on every sheet - FY2022-FY2025 from
'Key Metrics for the Bank', FY2021 from 'Appendix 4. Bank Disclosures'. Confirmed 2026-09-15 against all
six primary documents. The divergence is large enough that the two bases could never be blended: FY2023
Bank CET1 83,177 / RWA 413,907 / CET1 ratio 20.10% against Group 99,699 / 592,678 / 16.82%; FY2022 Bank
357,870 against Group 530,968. NO Holdings-basis figure is written into any sheet of this workbook.
ONE BASIS CAVEAT INSIDE THE BANK COLUMN ITSELF, flagged not smoothed over. The FY2021 Appendix 4 defines
the Bank as 'a standalone solo legal entity', and adds: 'In the prior year the Bank's disclosures also
incorporated the financial performance and balances of Castle Trust Capital Management Limited and Castle
Trust Direct plc.' The FY2020 edition confirms this from the other side: 'For capital reporting purposes,
Castle Trust Capital plc's ("the Bank") disclosures also incorporate the financial performance and
balances of Castle Trust Capital Management Limited and Castle Trust Direct plc.' So the FY2020 Bank
column is Castle Trust Capital plc plus two of its own subsidiaries, while FY2021 onward is CTC plc solo.
This affects no cell here - FY2020 is outside this workbook's five-year window - but it is the reason</t>
        </is>
      </c>
    </row>
    <row r="12" ht="364" customHeight="1">
      <c r="A12" s="8" t="inlineStr">
        <is>
          <t>(continued)
FY2020 is not backfilled from that edition without a basis label.
PILLAR 3 URL PROVENANCE (re-verified 2026-09-15 - every URL above and below was fetched and confirmed to return real PDF content, i.e. '%PDF' magic bytes and a readable text layer, not a soft-404 HTML page):
  * Castle Trust's filename separator is INCONSISTENT between years and must not be permuted or 'corrected'. FY2020-FY2023 use 'fy-30-sept-&lt;year&gt;-...' (hyphen); FY2024 and FY2025 use 'fy-30_sept-&lt;year&gt;-...' (UNDERSCORE between '30' and 'sept'). Six editions are live in total, one per financial year FY2020 through FY2025, all under https://www.castletrust.co.uk/wp-content/uploads/ .
  * https://www.castletrust.co.uk/wp-content/uploads/2025/05/Pillar-3-Document.pdf is byte-identical to the FY2024 edition (same MD5) and is a duplicate copy, not a seventh edition or a separate reporting period.
  * Period dates were taken from each document's own cover and scope paragraph, not from its filename; all six agree with their filenames.
SDDT - EXPLICIT NEGATIVE, recorded 2026-09-15 (cross-bank SDDT date-fit pass) so that a future pass does not wrongly apply the Small Domestic Deposit Taker exemption to this workbook's gap year. Castle Trust DOES hold the SDDT opt-in, but it is far too recent to explain anything here. The Bank of England consolidated list of waivers and modifications granted to PRA-authorised firms (downloaded 2026-09-15, https://www.bankofengland.co.uk/-/media/boe/files/prudential-regulation/authorisations/waivers-and-modifications-of-rules/consolidated-waivers-pra-firms.csv) carries three SDDT rows for FRN 541910, 'Castle Trust Capital PLC': (a) Rule 3.1 of the SDDT Regime - General Application Part, sub rule 'Ru 3.1', waiver ref 'A00011417P.pdf', START DATE 06/01/2026, no end date; (b) Rule 3.2, ref 'A00011424P.pdf', same start date; and (c) 'CRR firms: SDDT Regime - General Application Part 1.2 &amp; 2.1(9)', ref 'A00011283P.pdf', start 01/12/2025, end 01/12/2028. Only row (a) is the opt-in that removes the Pillar 3 disclosure obligation; row (c) modifies ELIGIBILITY CRITERIA only and would not by itself make the firm a confirmed SDDT.
DATE FIT - IT DOES NOT FIT. Castle Trust's accounting reference date is 30 SEPTEMBER, confirmed at Companies House (company 07454474, an unbroken run of accounts to 30 September from 2015 to 2025) - note this is NOT a December year-end. The outstanding gap year is FY2021, which ended 30 SEPTEMBER 2021. The Rule 3.1 modification began 6 JANUARY 2026 - more than four years later. A modification cannot explain a gap that predates it, so the SDDT regime explains NONE of the FY2021 blanks.
FY2021's gap keeps its existing and entirely separate explanation, unchanged: Castle Trust published a full Pillar 3 document for FY2021, but on the PRE-KM1 template ('Appendix 4. Bank Disclosures'), which simply does not carry every line the later KM1 tables do. That is a template-vintage gap in a document that exists, which is the opposite of an exemption from publishing one. The register finding changes no cell in this workbook. Note too that the Bank published a Pillar 3 document for FY2025, whose 30 September 2025 year-end precedes the 6 January 2026 modification - consistent with the dates, and a reminder that the exemption bites only from FY2026 onward. This is the SDDT DISCLOSURE exemption, in force now - not the separate SDDT CAPITAL regime beginning 1 January 2027.</t>
        </is>
      </c>
    </row>
  </sheetData>
  <mergeCells count="4">
    <mergeCell ref="A8:F8"/>
    <mergeCell ref="A6:F6"/>
    <mergeCell ref="A10:F10"/>
    <mergeCell ref="A12:F12"/>
  </mergeCells>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F12"/>
  <sheetViews>
    <sheetView workbookViewId="0">
      <selection activeCell="A1" sqref="A1"/>
    </sheetView>
  </sheetViews>
  <sheetFormatPr baseColWidth="8" defaultRowHeight="15"/>
  <cols>
    <col width="50" customWidth="1" min="1" max="1"/>
    <col width="15" customWidth="1" min="2" max="2"/>
    <col width="15" customWidth="1" min="3" max="3"/>
    <col width="15" customWidth="1" min="4" max="4"/>
    <col width="15" customWidth="1" min="5" max="5"/>
    <col width="15" customWidth="1" min="6" max="6"/>
  </cols>
  <sheetData>
    <row r="1">
      <c r="A1" s="1" t="inlineStr">
        <is>
          <t>Castle Trust Capital plc — Total Capital Ratio</t>
        </is>
      </c>
    </row>
    <row r="2">
      <c r="A2" s="2" t="inlineStr">
        <is>
          <t>% of RWA</t>
        </is>
      </c>
    </row>
    <row r="3">
      <c r="A3" s="4" t="inlineStr">
        <is>
          <t>Metric</t>
        </is>
      </c>
      <c r="B3" s="4" t="inlineStr">
        <is>
          <t>FY2025</t>
        </is>
      </c>
      <c r="C3" s="4" t="inlineStr">
        <is>
          <t>FY2024</t>
        </is>
      </c>
      <c r="D3" s="4" t="inlineStr">
        <is>
          <t>FY2023</t>
        </is>
      </c>
      <c r="E3" s="4" t="inlineStr">
        <is>
          <t>FY2022</t>
        </is>
      </c>
      <c r="F3" s="4" t="inlineStr">
        <is>
          <t>FY2021</t>
        </is>
      </c>
    </row>
    <row r="4">
      <c r="A4" s="6" t="inlineStr">
        <is>
          <t>Total capital ratio</t>
        </is>
      </c>
      <c r="B4" s="6" t="inlineStr">
        <is>
          <t>15.72%</t>
        </is>
      </c>
      <c r="C4" s="6" t="inlineStr">
        <is>
          <t>18.04%</t>
        </is>
      </c>
      <c r="D4" s="6" t="inlineStr">
        <is>
          <t>20.10%</t>
        </is>
      </c>
      <c r="E4" s="6" t="inlineStr">
        <is>
          <t>21.03%</t>
        </is>
      </c>
      <c r="F4" s="6" t="inlineStr">
        <is>
          <t>20.0%</t>
        </is>
      </c>
    </row>
    <row r="5">
      <c r="A5" s="6" t="inlineStr">
        <is>
          <t>FY2021 as restated in the FY2022 Pillar 3 'Key Metrics for the Bank' comparative</t>
        </is>
      </c>
      <c r="B5" s="6" t="n"/>
      <c r="C5" s="6" t="n"/>
      <c r="D5" s="6" t="n"/>
      <c r="E5" s="6" t="n"/>
      <c r="F5" s="6" t="inlineStr">
        <is>
          <t>19.94%</t>
        </is>
      </c>
    </row>
    <row r="6" ht="117" customHeight="1">
      <c r="A6" s="7" t="inlineStr">
        <is>
          <t>Note: FY2021 CROSS-EDITION DIVERGENCE (recorded 2026-09-15). Two Bank-basis sources cover FY2021 and they do not agree, so both are shown and neither overwrites the other:
  (a) the FY2021 Pillar 3 Disclosures' own 'Appendix 4. Bank Disclosures' (p.40-43), which states CET1 = Tier 1 = Total capital of GBP71,677k and a CET1/Tier 1/Total capital ratio of 20.0%, and shows its own build-up (share capital 15,217 + share premium 124,195 - retained earnings 47,654 + other reserves 205 - prudent valuation 6 - intangibles 4,186 - DTA 8,743 - significant investments 8,217 + IFRS 9 transitional 867 = 71,677); and
  (b) the FY2022 Pillar 3 Disclosures' 'Key Metrics for the Bank' FY2021 comparative column, which restates the same three capital figures to GBP71,644k and the ratio to 19.94%.
The gap is GBP33k of capital, 6bp of ratio - immaterial in size but a real restatement, and the later edition gives no reconciliation for it. Everything else about FY2021 is IDENTICAL between the two editions, which is why only these rows are duplicated: total RWA GBP359,249k and leverage exposure measure GBP647,358k both appear unchanged in both. The leverage ratio differs only by rounding (Appendix 4 prints one decimal, 11.1%; the KM1 comparative prints two, 11.07%) - 71,677 / 647,358 and 71,644 / 647,358 both round to 11.07%, so that pair is a precision difference, not a restatement.</t>
        </is>
      </c>
    </row>
    <row r="8" ht="390" customHeight="1">
      <c r="A8" s="8" t="inlineStr">
        <is>
          <t>Sources - Castle Trust Bank Pillar 3 Disclosures, 'Key Metrics for the Bank' table (Castle Trust Capital plc solo basis, not the wider CTH Group):
FY2025: Pillar 3 Disclosures FY ended 30 Sept 2025, p.6 - https://www.castletrust.co.uk/wp-content/uploads/fy-30_sept-2025-ctb-pillar-3-disclosures.pdf
FY2024: Pillar 3 Disclosures FY ended 30 Sept 2024, p.6 - https://www.castletrust.co.uk/wp-content/uploads/fy-30_sept-2024-ctb-pillar-3-disclosures.pdf
FY2023: Pillar 3 Disclosures FY ended 30 Sept 2023, p.6 - https://www.castletrust.co.uk/wp-content/uploads/fy-30-sept-2023-ctb-pillar-3-disclosures.pdf
FY2022: Pillar 3 Disclosures FY ended 30 Sept 2022, p.6 - https://www.castletrust.co.uk/wp-content/uploads/fy-30-sept-2022-ctb-pillar-3-disclosures.pdf
FY2021: Pillar 3 Disclosures FY ended 30 Sept 2021 (pre-KM1 template - 'Appendix 4. Bank Disclosures'), p.40-43 - https://www.castletrust.co.uk/wp-content/uploads/fy-30-sept-2021-ctb-pillar-3-disclosures.pdf
ENTITY BASIS - determined 2026-09-15 by reading the scope/basis section of all SIX live editions.
Every edition is PUBLISHED BY the holding company and carries 'Registered No: 12161224' on its cover - that is Castle Trust Holdings Limited, NOT the bank. It is not the basis of the figures used here, and the
cover number must not be read as one. Each document nonetheless presents the Bank separately from the
Group, and every figure in this workbook is taken from the BANK presentation.
Verbatim, from each edition's own Scope section:
  FY2020: 'This document sets out the consolidated Pillar 3 disclosures of Castle Trust Holdings Limited
    ("the Group") which includes Castle Trust Capital plc ("the Bank") and its directly owned
    subsidiaries as at 30 September 2020.'
  FY2021: identical wording, '...as at 30 September 2021.'
  FY2022: identical wording, '...as at 30 September 2022.'
  FY2023: 'Castle Trust Holdings Limited (the "Group") was incorporated on 16 August 2019 to act as a
    holding company of the Castle Trust Capital (CTC) group... This document sets out the consolidated
    Pillar 3 disclosures of the Group which includes Castle Trust Capital plc ("the Bank") and its
    directly owned subsidiaries as at 30 September 2023.'
  FY2024 and FY2025: same two-paragraph wording as FY2023, with their own year.
All six also state that Castle Trust Capital plc is the PRA/FCA-authorised firm, 'registered number
541910', and the FY2021, FY2022, FY2024 and FY2025 editions carry a closing legal line reading 'Castle
Trust Bank means Castle Trust Capital plc, a company incorporated in England and Wales with company
number 07454474' - i.e. the document's own definition of 'the Bank' is this workbook's entity.
SINGLE CONSOLIDATED SET, OR SEPARATE BANK AND GROUP COLUMNS? Separate, in every edition, but in two</t>
        </is>
      </c>
    </row>
    <row r="10" ht="403" customHeight="1">
      <c r="A10" s="8" t="inlineStr">
        <is>
          <t>(continued)
different formats:
  FY2022-FY2025 (KM1-era): each document has TWO full key-metrics tables, headed 'Key Metrics for the
    Group' and 'Key Metrics for the Bank' (pp.5 and 6; the FY2025 edition adds 'Overview of RWEAs for
    Group' and 'Overview of RWEAs for Bank' on p.7). The FY2024 edition's basis section says so directly:
    'These disclosures are based upon the Group's Financial Statements... Both the Group and the Bank
    calculate capital resources and requirements using the Basel III framework'; the FY2022 edition says
    'The key metrics disclosures have been prepared for both the Group and the Bank as required per
    Article 18 of the CRR.'
  FY2020-FY2021 (pre-KM1): the MAIN BODY is Group-only and its headline table is captioned 'Key Metrics
    for the Business... for the Group'. The Bank appears only in 'Appendix 4. Bank Disclosures'. Both
    editions' basis sections say: 'These disclosures have been prepared for the Group with the exception
    of Appendix 4 which shows the required disclosures for the Bank as per Article 18 of the Capital
    Requirements Regulation EU 575/2013 ("CRR").' The FY2021 Appendix 4 opens: 'The following tables
    detail the capital reporting disclosures for Castle Trust Capital plc ("the Bank") as a standalone
    solo legal entity.'
WHICH COLUMN THIS WORKBOOK USES: the Bank column, in every year and on every sheet - FY2022-FY2025 from
'Key Metrics for the Bank', FY2021 from 'Appendix 4. Bank Disclosures'. Confirmed 2026-09-15 against all
six primary documents. The divergence is large enough that the two bases could never be blended: FY2023
Bank CET1 83,177 / RWA 413,907 / CET1 ratio 20.10% against Group 99,699 / 592,678 / 16.82%; FY2022 Bank
357,870 against Group 530,968. NO Holdings-basis figure is written into any sheet of this workbook.
ONE BASIS CAVEAT INSIDE THE BANK COLUMN ITSELF, flagged not smoothed over. The FY2021 Appendix 4 defines
the Bank as 'a standalone solo legal entity', and adds: 'In the prior year the Bank's disclosures also
incorporated the financial performance and balances of Castle Trust Capital Management Limited and Castle
Trust Direct plc.' The FY2020 edition confirms this from the other side: 'For capital reporting purposes,
Castle Trust Capital plc's ("the Bank") disclosures also incorporate the financial performance and
balances of Castle Trust Capital Management Limited and Castle Trust Direct plc.' So the FY2020 Bank
column is Castle Trust Capital plc plus two of its own subsidiaries, while FY2021 onward is CTC plc solo.
This affects no cell here - FY2020 is outside this workbook's five-year window - but it is the reason</t>
        </is>
      </c>
    </row>
    <row r="12" ht="364" customHeight="1">
      <c r="A12" s="8" t="inlineStr">
        <is>
          <t>(continued)
FY2020 is not backfilled from that edition without a basis label.
PILLAR 3 URL PROVENANCE (re-verified 2026-09-15 - every URL above and below was fetched and confirmed to return real PDF content, i.e. '%PDF' magic bytes and a readable text layer, not a soft-404 HTML page):
  * Castle Trust's filename separator is INCONSISTENT between years and must not be permuted or 'corrected'. FY2020-FY2023 use 'fy-30-sept-&lt;year&gt;-...' (hyphen); FY2024 and FY2025 use 'fy-30_sept-&lt;year&gt;-...' (UNDERSCORE between '30' and 'sept'). Six editions are live in total, one per financial year FY2020 through FY2025, all under https://www.castletrust.co.uk/wp-content/uploads/ .
  * https://www.castletrust.co.uk/wp-content/uploads/2025/05/Pillar-3-Document.pdf is byte-identical to the FY2024 edition (same MD5) and is a duplicate copy, not a seventh edition or a separate reporting period.
  * Period dates were taken from each document's own cover and scope paragraph, not from its filename; all six agree with their filenames.
SDDT - EXPLICIT NEGATIVE, recorded 2026-09-15 (cross-bank SDDT date-fit pass) so that a future pass does not wrongly apply the Small Domestic Deposit Taker exemption to this workbook's gap year. Castle Trust DOES hold the SDDT opt-in, but it is far too recent to explain anything here. The Bank of England consolidated list of waivers and modifications granted to PRA-authorised firms (downloaded 2026-09-15, https://www.bankofengland.co.uk/-/media/boe/files/prudential-regulation/authorisations/waivers-and-modifications-of-rules/consolidated-waivers-pra-firms.csv) carries three SDDT rows for FRN 541910, 'Castle Trust Capital PLC': (a) Rule 3.1 of the SDDT Regime - General Application Part, sub rule 'Ru 3.1', waiver ref 'A00011417P.pdf', START DATE 06/01/2026, no end date; (b) Rule 3.2, ref 'A00011424P.pdf', same start date; and (c) 'CRR firms: SDDT Regime - General Application Part 1.2 &amp; 2.1(9)', ref 'A00011283P.pdf', start 01/12/2025, end 01/12/2028. Only row (a) is the opt-in that removes the Pillar 3 disclosure obligation; row (c) modifies ELIGIBILITY CRITERIA only and would not by itself make the firm a confirmed SDDT.
DATE FIT - IT DOES NOT FIT. Castle Trust's accounting reference date is 30 SEPTEMBER, confirmed at Companies House (company 07454474, an unbroken run of accounts to 30 September from 2015 to 2025) - note this is NOT a December year-end. The outstanding gap year is FY2021, which ended 30 SEPTEMBER 2021. The Rule 3.1 modification began 6 JANUARY 2026 - more than four years later. A modification cannot explain a gap that predates it, so the SDDT regime explains NONE of the FY2021 blanks.
FY2021's gap keeps its existing and entirely separate explanation, unchanged: Castle Trust published a full Pillar 3 document for FY2021, but on the PRE-KM1 template ('Appendix 4. Bank Disclosures'), which simply does not carry every line the later KM1 tables do. That is a template-vintage gap in a document that exists, which is the opposite of an exemption from publishing one. The register finding changes no cell in this workbook. Note too that the Bank published a Pillar 3 document for FY2025, whose 30 September 2025 year-end precedes the 6 January 2026 modification - consistent with the dates, and a reminder that the exemption bites only from FY2026 onward. This is the SDDT DISCLOSURE exemption, in force now - not the separate SDDT CAPITAL regime beginning 1 January 2027.</t>
        </is>
      </c>
    </row>
  </sheetData>
  <mergeCells count="4">
    <mergeCell ref="A8:F8"/>
    <mergeCell ref="A6:F6"/>
    <mergeCell ref="A10:F10"/>
    <mergeCell ref="A12:F12"/>
  </mergeCells>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F10"/>
  <sheetViews>
    <sheetView workbookViewId="0">
      <selection activeCell="A1" sqref="A1"/>
    </sheetView>
  </sheetViews>
  <sheetFormatPr baseColWidth="8" defaultRowHeight="15"/>
  <cols>
    <col width="50" customWidth="1" min="1" max="1"/>
    <col width="15" customWidth="1" min="2" max="2"/>
    <col width="15" customWidth="1" min="3" max="3"/>
    <col width="15" customWidth="1" min="4" max="4"/>
    <col width="15" customWidth="1" min="5" max="5"/>
    <col width="15" customWidth="1" min="6" max="6"/>
  </cols>
  <sheetData>
    <row r="1">
      <c r="A1" s="1" t="inlineStr">
        <is>
          <t>Castle Trust Capital plc — Total RWAs</t>
        </is>
      </c>
    </row>
    <row r="2">
      <c r="A2" s="2" t="inlineStr">
        <is>
          <t>£'000</t>
        </is>
      </c>
    </row>
    <row r="3">
      <c r="A3" s="4" t="inlineStr">
        <is>
          <t>Metric</t>
        </is>
      </c>
      <c r="B3" s="4" t="inlineStr">
        <is>
          <t>FY2025</t>
        </is>
      </c>
      <c r="C3" s="4" t="inlineStr">
        <is>
          <t>FY2024</t>
        </is>
      </c>
      <c r="D3" s="4" t="inlineStr">
        <is>
          <t>FY2023</t>
        </is>
      </c>
      <c r="E3" s="4" t="inlineStr">
        <is>
          <t>FY2022</t>
        </is>
      </c>
      <c r="F3" s="4" t="inlineStr">
        <is>
          <t>FY2021</t>
        </is>
      </c>
    </row>
    <row r="4">
      <c r="A4" s="6" t="inlineStr">
        <is>
          <t>Total risk-weighted exposure amount</t>
        </is>
      </c>
      <c r="B4" s="6" t="n">
        <v>634489</v>
      </c>
      <c r="C4" s="6" t="n">
        <v>499532</v>
      </c>
      <c r="D4" s="6" t="n">
        <v>413907</v>
      </c>
      <c r="E4" s="6" t="n">
        <v>357870</v>
      </c>
      <c r="F4" s="6" t="n">
        <v>359249</v>
      </c>
    </row>
    <row r="6" ht="390" customHeight="1">
      <c r="A6" s="8" t="inlineStr">
        <is>
          <t>Sources - Castle Trust Bank Pillar 3 Disclosures, 'Key Metrics for the Bank' table (Castle Trust Capital plc solo basis, not the wider CTH Group):
FY2025: Pillar 3 Disclosures FY ended 30 Sept 2025, p.6 - https://www.castletrust.co.uk/wp-content/uploads/fy-30_sept-2025-ctb-pillar-3-disclosures.pdf
FY2024: Pillar 3 Disclosures FY ended 30 Sept 2024, p.6 - https://www.castletrust.co.uk/wp-content/uploads/fy-30_sept-2024-ctb-pillar-3-disclosures.pdf
FY2023: Pillar 3 Disclosures FY ended 30 Sept 2023, p.6 - https://www.castletrust.co.uk/wp-content/uploads/fy-30-sept-2023-ctb-pillar-3-disclosures.pdf
FY2022: Pillar 3 Disclosures FY ended 30 Sept 2022, p.6 - https://www.castletrust.co.uk/wp-content/uploads/fy-30-sept-2022-ctb-pillar-3-disclosures.pdf
FY2021: Pillar 3 Disclosures FY ended 30 Sept 2021 (pre-KM1 template - 'Appendix 4. Bank Disclosures'), p.40-43 - https://www.castletrust.co.uk/wp-content/uploads/fy-30-sept-2021-ctb-pillar-3-disclosures.pdf
ENTITY BASIS - determined 2026-09-15 by reading the scope/basis section of all SIX live editions.
Every edition is PUBLISHED BY the holding company and carries 'Registered No: 12161224' on its cover - that is Castle Trust Holdings Limited, NOT the bank. It is not the basis of the figures used here, and the
cover number must not be read as one. Each document nonetheless presents the Bank separately from the
Group, and every figure in this workbook is taken from the BANK presentation.
Verbatim, from each edition's own Scope section:
  FY2020: 'This document sets out the consolidated Pillar 3 disclosures of Castle Trust Holdings Limited
    ("the Group") which includes Castle Trust Capital plc ("the Bank") and its directly owned
    subsidiaries as at 30 September 2020.'
  FY2021: identical wording, '...as at 30 September 2021.'
  FY2022: identical wording, '...as at 30 September 2022.'
  FY2023: 'Castle Trust Holdings Limited (the "Group") was incorporated on 16 August 2019 to act as a
    holding company of the Castle Trust Capital (CTC) group... This document sets out the consolidated
    Pillar 3 disclosures of the Group which includes Castle Trust Capital plc ("the Bank") and its
    directly owned subsidiaries as at 30 September 2023.'
  FY2024 and FY2025: same two-paragraph wording as FY2023, with their own year.
All six also state that Castle Trust Capital plc is the PRA/FCA-authorised firm, 'registered number
541910', and the FY2021, FY2022, FY2024 and FY2025 editions carry a closing legal line reading 'Castle
Trust Bank means Castle Trust Capital plc, a company incorporated in England and Wales with company
number 07454474' - i.e. the document's own definition of 'the Bank' is this workbook's entity.
SINGLE CONSOLIDATED SET, OR SEPARATE BANK AND GROUP COLUMNS? Separate, in every edition, but in two</t>
        </is>
      </c>
    </row>
    <row r="8" ht="403" customHeight="1">
      <c r="A8" s="8" t="inlineStr">
        <is>
          <t>(continued)
different formats:
  FY2022-FY2025 (KM1-era): each document has TWO full key-metrics tables, headed 'Key Metrics for the
    Group' and 'Key Metrics for the Bank' (pp.5 and 6; the FY2025 edition adds 'Overview of RWEAs for
    Group' and 'Overview of RWEAs for Bank' on p.7). The FY2024 edition's basis section says so directly:
    'These disclosures are based upon the Group's Financial Statements... Both the Group and the Bank
    calculate capital resources and requirements using the Basel III framework'; the FY2022 edition says
    'The key metrics disclosures have been prepared for both the Group and the Bank as required per
    Article 18 of the CRR.'
  FY2020-FY2021 (pre-KM1): the MAIN BODY is Group-only and its headline table is captioned 'Key Metrics
    for the Business... for the Group'. The Bank appears only in 'Appendix 4. Bank Disclosures'. Both
    editions' basis sections say: 'These disclosures have been prepared for the Group with the exception
    of Appendix 4 which shows the required disclosures for the Bank as per Article 18 of the Capital
    Requirements Regulation EU 575/2013 ("CRR").' The FY2021 Appendix 4 opens: 'The following tables
    detail the capital reporting disclosures for Castle Trust Capital plc ("the Bank") as a standalone
    solo legal entity.'
WHICH COLUMN THIS WORKBOOK USES: the Bank column, in every year and on every sheet - FY2022-FY2025 from
'Key Metrics for the Bank', FY2021 from 'Appendix 4. Bank Disclosures'. Confirmed 2026-09-15 against all
six primary documents. The divergence is large enough that the two bases could never be blended: FY2023
Bank CET1 83,177 / RWA 413,907 / CET1 ratio 20.10% against Group 99,699 / 592,678 / 16.82%; FY2022 Bank
357,870 against Group 530,968. NO Holdings-basis figure is written into any sheet of this workbook.
ONE BASIS CAVEAT INSIDE THE BANK COLUMN ITSELF, flagged not smoothed over. The FY2021 Appendix 4 defines
the Bank as 'a standalone solo legal entity', and adds: 'In the prior year the Bank's disclosures also
incorporated the financial performance and balances of Castle Trust Capital Management Limited and Castle
Trust Direct plc.' The FY2020 edition confirms this from the other side: 'For capital reporting purposes,
Castle Trust Capital plc's ("the Bank") disclosures also incorporate the financial performance and
balances of Castle Trust Capital Management Limited and Castle Trust Direct plc.' So the FY2020 Bank
column is Castle Trust Capital plc plus two of its own subsidiaries, while FY2021 onward is CTC plc solo.
This affects no cell here - FY2020 is outside this workbook's five-year window - but it is the reason</t>
        </is>
      </c>
    </row>
    <row r="10" ht="364" customHeight="1">
      <c r="A10" s="8" t="inlineStr">
        <is>
          <t>(continued)
FY2020 is not backfilled from that edition without a basis label.
PILLAR 3 URL PROVENANCE (re-verified 2026-09-15 - every URL above and below was fetched and confirmed to return real PDF content, i.e. '%PDF' magic bytes and a readable text layer, not a soft-404 HTML page):
  * Castle Trust's filename separator is INCONSISTENT between years and must not be permuted or 'corrected'. FY2020-FY2023 use 'fy-30-sept-&lt;year&gt;-...' (hyphen); FY2024 and FY2025 use 'fy-30_sept-&lt;year&gt;-...' (UNDERSCORE between '30' and 'sept'). Six editions are live in total, one per financial year FY2020 through FY2025, all under https://www.castletrust.co.uk/wp-content/uploads/ .
  * https://www.castletrust.co.uk/wp-content/uploads/2025/05/Pillar-3-Document.pdf is byte-identical to the FY2024 edition (same MD5) and is a duplicate copy, not a seventh edition or a separate reporting period.
  * Period dates were taken from each document's own cover and scope paragraph, not from its filename; all six agree with their filenames.
SDDT - EXPLICIT NEGATIVE, recorded 2026-09-15 (cross-bank SDDT date-fit pass) so that a future pass does not wrongly apply the Small Domestic Deposit Taker exemption to this workbook's gap year. Castle Trust DOES hold the SDDT opt-in, but it is far too recent to explain anything here. The Bank of England consolidated list of waivers and modifications granted to PRA-authorised firms (downloaded 2026-09-15, https://www.bankofengland.co.uk/-/media/boe/files/prudential-regulation/authorisations/waivers-and-modifications-of-rules/consolidated-waivers-pra-firms.csv) carries three SDDT rows for FRN 541910, 'Castle Trust Capital PLC': (a) Rule 3.1 of the SDDT Regime - General Application Part, sub rule 'Ru 3.1', waiver ref 'A00011417P.pdf', START DATE 06/01/2026, no end date; (b) Rule 3.2, ref 'A00011424P.pdf', same start date; and (c) 'CRR firms: SDDT Regime - General Application Part 1.2 &amp; 2.1(9)', ref 'A00011283P.pdf', start 01/12/2025, end 01/12/2028. Only row (a) is the opt-in that removes the Pillar 3 disclosure obligation; row (c) modifies ELIGIBILITY CRITERIA only and would not by itself make the firm a confirmed SDDT.
DATE FIT - IT DOES NOT FIT. Castle Trust's accounting reference date is 30 SEPTEMBER, confirmed at Companies House (company 07454474, an unbroken run of accounts to 30 September from 2015 to 2025) - note this is NOT a December year-end. The outstanding gap year is FY2021, which ended 30 SEPTEMBER 2021. The Rule 3.1 modification began 6 JANUARY 2026 - more than four years later. A modification cannot explain a gap that predates it, so the SDDT regime explains NONE of the FY2021 blanks.
FY2021's gap keeps its existing and entirely separate explanation, unchanged: Castle Trust published a full Pillar 3 document for FY2021, but on the PRE-KM1 template ('Appendix 4. Bank Disclosures'), which simply does not carry every line the later KM1 tables do. That is a template-vintage gap in a document that exists, which is the opposite of an exemption from publishing one. The register finding changes no cell in this workbook. Note too that the Bank published a Pillar 3 document for FY2025, whose 30 September 2025 year-end precedes the 6 January 2026 modification - consistent with the dates, and a reminder that the exemption bites only from FY2026 onward. This is the SDDT DISCLOSURE exemption, in force now - not the separate SDDT CAPITAL regime beginning 1 January 2027.</t>
        </is>
      </c>
    </row>
  </sheetData>
  <mergeCells count="3">
    <mergeCell ref="A8:F8"/>
    <mergeCell ref="A6:F6"/>
    <mergeCell ref="A10:F10"/>
  </mergeCells>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F18"/>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58" customWidth="1" min="1" max="1"/>
    <col width="15" customWidth="1" min="2" max="2"/>
    <col width="15" customWidth="1" min="3" max="3"/>
    <col width="15" customWidth="1" min="4" max="4"/>
    <col width="15" customWidth="1" min="5" max="5"/>
    <col width="15" customWidth="1" min="6" max="6"/>
  </cols>
  <sheetData>
    <row r="1">
      <c r="A1" s="1" t="inlineStr">
        <is>
          <t>Castle Trust Capital plc — RWA Breakdown</t>
        </is>
      </c>
    </row>
    <row r="2">
      <c r="A2" s="2" t="inlineStr">
        <is>
          <t>£'000, Bank basis. UK OV1-format breakdown only from FY2024-FY2025; FY2021 uses an earlier, coarser-grained 'Breakdown of Risk Weighted Assets' table from the same Bank/solo entity (no OV1 template existed pre-2022) - see note below for FY2022-FY2023, where nothing usable was found.</t>
        </is>
      </c>
    </row>
    <row r="3">
      <c r="A3" s="4" t="inlineStr">
        <is>
          <t>Line item</t>
        </is>
      </c>
      <c r="B3" s="4" t="inlineStr">
        <is>
          <t>FY2025 (£'000)</t>
        </is>
      </c>
      <c r="C3" s="4" t="inlineStr">
        <is>
          <t>FY2024 (£'000)</t>
        </is>
      </c>
      <c r="D3" s="4" t="inlineStr">
        <is>
          <t>FY2023 (£'000)</t>
        </is>
      </c>
      <c r="E3" s="4" t="inlineStr">
        <is>
          <t>FY2022 (£'000)</t>
        </is>
      </c>
      <c r="F3" s="4" t="inlineStr">
        <is>
          <t>FY2021 (£'000)</t>
        </is>
      </c>
    </row>
    <row r="4">
      <c r="A4" s="5" t="inlineStr">
        <is>
          <t>RWA by risk category (UK OV1, Bank basis)</t>
        </is>
      </c>
      <c r="B4" s="6" t="n"/>
      <c r="C4" s="6" t="n"/>
      <c r="D4" s="6" t="n"/>
      <c r="E4" s="6" t="n"/>
      <c r="F4" s="6" t="n"/>
    </row>
    <row r="5">
      <c r="A5" s="6" t="inlineStr">
        <is>
          <t>Credit risk (excluding CCR)</t>
        </is>
      </c>
      <c r="B5" s="6" t="n">
        <v>566610</v>
      </c>
      <c r="C5" s="6" t="n">
        <v>439883</v>
      </c>
      <c r="D5" s="6" t="n"/>
      <c r="E5" s="6" t="n"/>
      <c r="F5" s="6" t="n"/>
    </row>
    <row r="6">
      <c r="A6" s="6" t="inlineStr">
        <is>
          <t>Counterparty credit risk (CCR)</t>
        </is>
      </c>
      <c r="B6" s="6" t="n">
        <v>6560</v>
      </c>
      <c r="C6" s="6" t="n">
        <v>3412</v>
      </c>
      <c r="D6" s="6" t="n"/>
      <c r="E6" s="6" t="n"/>
      <c r="F6" s="6" t="n"/>
    </row>
    <row r="7">
      <c r="A7" s="6" t="inlineStr">
        <is>
          <t xml:space="preserve">  of which: credit valuation adjustment (CVA)</t>
        </is>
      </c>
      <c r="B7" s="6" t="n">
        <v>2755</v>
      </c>
      <c r="C7" s="6" t="n">
        <v>1465</v>
      </c>
      <c r="D7" s="6" t="n"/>
      <c r="E7" s="6" t="n"/>
      <c r="F7" s="6" t="n"/>
    </row>
    <row r="8">
      <c r="A8" s="6" t="inlineStr">
        <is>
          <t>Operational risk</t>
        </is>
      </c>
      <c r="B8" s="6" t="n">
        <v>61318</v>
      </c>
      <c r="C8" s="6" t="n">
        <v>56237</v>
      </c>
      <c r="D8" s="6" t="n"/>
      <c r="E8" s="6" t="n"/>
      <c r="F8" s="6" t="n"/>
    </row>
    <row r="9">
      <c r="A9" s="5" t="inlineStr">
        <is>
          <t>Total</t>
        </is>
      </c>
      <c r="B9" s="5" t="n">
        <v>634489</v>
      </c>
      <c r="C9" s="5" t="n">
        <v>499532</v>
      </c>
      <c r="D9" s="5" t="n"/>
      <c r="E9" s="5" t="n"/>
      <c r="F9" s="5" t="n"/>
    </row>
    <row r="10">
      <c r="A10" s="5" t="inlineStr">
        <is>
          <t>Breakdown of Risk Weighted Assets (pre-KM1/OV1 format, Bank/solo basis, as disclosed)</t>
        </is>
      </c>
      <c r="B10" s="6" t="n"/>
      <c r="C10" s="6" t="n"/>
      <c r="D10" s="6" t="n"/>
      <c r="E10" s="6" t="n"/>
      <c r="F10" s="6" t="n"/>
    </row>
    <row r="11">
      <c r="A11" s="6" t="inlineStr">
        <is>
          <t>Credit risk</t>
        </is>
      </c>
      <c r="B11" s="6" t="n"/>
      <c r="C11" s="6" t="n"/>
      <c r="D11" s="6" t="n"/>
      <c r="E11" s="6" t="n"/>
      <c r="F11" s="6" t="n">
        <v>311424</v>
      </c>
    </row>
    <row r="12">
      <c r="A12" s="6" t="inlineStr">
        <is>
          <t>Market risk</t>
        </is>
      </c>
      <c r="B12" s="6" t="n"/>
      <c r="C12" s="6" t="n"/>
      <c r="D12" s="6" t="n"/>
      <c r="E12" s="6" t="n"/>
      <c r="F12" s="6" t="n">
        <v>0</v>
      </c>
    </row>
    <row r="13">
      <c r="A13" s="6" t="inlineStr">
        <is>
          <t>Operational risk</t>
        </is>
      </c>
      <c r="B13" s="6" t="n"/>
      <c r="C13" s="6" t="n"/>
      <c r="D13" s="6" t="n"/>
      <c r="E13" s="6" t="n"/>
      <c r="F13" s="6" t="n">
        <v>47825</v>
      </c>
    </row>
    <row r="14">
      <c r="A14" s="5" t="inlineStr">
        <is>
          <t>Total</t>
        </is>
      </c>
      <c r="B14" s="5" t="n"/>
      <c r="C14" s="5" t="n"/>
      <c r="D14" s="5" t="n"/>
      <c r="E14" s="5" t="n"/>
      <c r="F14" s="5" t="n">
        <v>359249</v>
      </c>
    </row>
    <row r="15">
      <c r="A15" s="5" t="inlineStr">
        <is>
          <t>FY2022-FY2023</t>
        </is>
      </c>
      <c r="B15" s="6" t="n"/>
      <c r="C15" s="6" t="n"/>
      <c r="D15" s="6" t="n"/>
      <c r="E15" s="6" t="n"/>
      <c r="F15" s="6" t="n"/>
    </row>
    <row r="16">
      <c r="A16" s="5" t="inlineStr">
        <is>
          <t>Total</t>
        </is>
      </c>
      <c r="B16" s="5" t="n"/>
      <c r="C16" s="5" t="n"/>
      <c r="D16" s="5" t="inlineStr">
        <is>
          <t>Not published – this year's Pillar 3 (8pp) holds only Group and Bank KM1 tables, no OV1 or RWA-by-risk table (contents page; re-read 2026-09-12/15); FY2023 AR has no capital/RWA note</t>
        </is>
      </c>
      <c r="E16" s="5" t="inlineStr">
        <is>
          <t>Not published – this year's Pillar 3 (8pp) holds only Group and Bank KM1 tables, no OV1 or RWA-by-risk table (contents page; re-read 2026-09-12/15); FY2023 AR has no capital/RWA note</t>
        </is>
      </c>
      <c r="F16" s="5" t="n"/>
    </row>
    <row r="18" ht="338" customHeight="1">
      <c r="A18" s="8" t="inlineStr">
        <is>
          <t>Sources - Castle Trust Bank Pillar 3 Disclosures, 'Overview of RWEAs for Bank' table (Bank, not Group, basis):
FY2025: Pillar 3 Disclosures FY ended 30 Sept 2025, p.6 - https://www.castletrust.co.uk/wp-content/uploads/fy-30_sept-2025-ctb-pillar-3-disclosures.pdf (also carries FY2024 as its own comparative column, used here since FY2024's own Pillar 3 Disclosures document predates the OV1 template and doesn't carry this breakdown itself - flagged, not a same-year original disclosure for FY2024)
FY2021: Pillar 3 Disclosures FY ended 30 Sept 2021, Appendix 4 'Bank Disclosures' (Castle Trust Capital plc standalone solo legal entity), 'Capital Adequacy - Breakdown of Risk Weighted Assets' table, p.40 - https://www.castletrust.co.uk/wp-content/uploads/fy-30-sept-2021-ctb-pillar-3-disclosures.pdf. Directly disclosed RWA by risk type (Credit Risk £311,424k, Market Risk £0k, Operational Risk £47,825k, Total £359,249k) - reconciles exactly to the Total RWAs sheet's own FY2021 figure (£359,249k, same document's Appendix 4 Capital Adequacy table). Not an OV1-format disclosure (no CCR/CVA sub-lines existed in this pre-2022 table format) and on a different granularity from the FY2024-FY2025 OV1 section above - kept in a separate section rather than blended in.
FY2023/FY2022: not publicly disclosed. Confirmed by reading both years' Pillar 3 Disclosures documents in full - they contain only the 7-page 'Key Metrics' (KM1) template, with no RWA-by-category breakdown. Also checked the FY2023 Annual Report (Companies House filing, same document already cited for the cash-flow statement) in full: its Notes to the Financial Statements run straight from Note 23.1 (credit risk) to 23.2 (liquidity risk) to Note 25 (share capital) with no capital-risk/RWA note in between - no risk-type RWA breakdown exists in that document either.
RE-VERIFIED (2026-09-12, independent re-check): re-downloaded both FY2022 and FY2023 Pillar 3 Disclosures directly from the Bank's own site and re-read them page by page (both are exactly 8 pages) - each contains only the Group and Bank 'Key Metrics' (KM1) tables (Total RWA £530,968k/£357,870k Bank basis FY2022; £592,678k Group/£413,907k Bank basis FY2023), with no OV1 or any other category-level RWA table present in either document. Confirms the gap is genuine, not a prior session's access failure.
THIRD INDEPENDENT CHECK (2026-09-15, RWA-backfill sweep - this bank was flagged because its FY2022/FY2023 gap sits BETWEEN disclosed years, which usually indicates a sourcing miss rather than a real absence; here it does not). Both documents re-downloaded and machine-read again: each has a real text layer (no OCR needed) and its own table of contents settles the question without relying on a page-by-page search - both list exactly Scope / Background / Business Overview / Basis for this Requirement / Frequency of Disclosure / Verification / Location of Document / Key Metrics for the Group / Key Metrics for the Bank / Additional Information. There is no OV1 section to have been missed. The Bank's disclosure format simply changed twice: a pre-2022 'Breakdown of Risk Weighted Assets' table through FY2021, a minimal KM1-only document for FY2022-FY2023, then the full UK OV1 template from FY2024. Treat this gap as closed - it does not need chasing again.</t>
        </is>
      </c>
    </row>
  </sheetData>
  <mergeCells count="1">
    <mergeCell ref="A18:F18"/>
  </mergeCells>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F13"/>
  <sheetViews>
    <sheetView workbookViewId="0">
      <selection activeCell="A1" sqref="A1"/>
    </sheetView>
  </sheetViews>
  <sheetFormatPr baseColWidth="8" defaultRowHeight="15"/>
  <cols>
    <col width="50" customWidth="1" min="1" max="1"/>
    <col width="15" customWidth="1" min="2" max="2"/>
    <col width="15" customWidth="1" min="3" max="3"/>
    <col width="15" customWidth="1" min="4" max="4"/>
    <col width="15" customWidth="1" min="5" max="5"/>
    <col width="15" customWidth="1" min="6" max="6"/>
  </cols>
  <sheetData>
    <row r="1">
      <c r="A1" s="1" t="inlineStr">
        <is>
          <t>Castle Trust Capital plc — Leverage Ratio</t>
        </is>
      </c>
    </row>
    <row r="2">
      <c r="A2" s="2" t="inlineStr">
        <is>
          <t>£'000 / %</t>
        </is>
      </c>
    </row>
    <row r="3">
      <c r="A3" s="4" t="inlineStr">
        <is>
          <t>Metric</t>
        </is>
      </c>
      <c r="B3" s="4" t="inlineStr">
        <is>
          <t>FY2025</t>
        </is>
      </c>
      <c r="C3" s="4" t="inlineStr">
        <is>
          <t>FY2024</t>
        </is>
      </c>
      <c r="D3" s="4" t="inlineStr">
        <is>
          <t>FY2023</t>
        </is>
      </c>
      <c r="E3" s="4" t="inlineStr">
        <is>
          <t>FY2022</t>
        </is>
      </c>
      <c r="F3" s="4" t="inlineStr">
        <is>
          <t>FY2021</t>
        </is>
      </c>
    </row>
    <row r="4">
      <c r="A4" s="6" t="inlineStr">
        <is>
          <t>Total exposure measure excluding claims on central banks (£'000)</t>
        </is>
      </c>
      <c r="B4" s="6" t="n">
        <v>1173013</v>
      </c>
      <c r="C4" s="6" t="n">
        <v>860147</v>
      </c>
      <c r="D4" s="6" t="n">
        <v>930371</v>
      </c>
      <c r="E4" s="6" t="n">
        <v>821174</v>
      </c>
      <c r="F4" s="6" t="n">
        <v>647358</v>
      </c>
    </row>
    <row r="5">
      <c r="A5" s="6" t="inlineStr">
        <is>
          <t>Leverage ratio excluding claims on central banks (%)</t>
        </is>
      </c>
      <c r="B5" s="6" t="inlineStr">
        <is>
          <t>7.22%</t>
        </is>
      </c>
      <c r="C5" s="6" t="inlineStr">
        <is>
          <t>9.66%</t>
        </is>
      </c>
      <c r="D5" s="6" t="inlineStr">
        <is>
          <t>8.94%</t>
        </is>
      </c>
      <c r="E5" s="6" t="inlineStr">
        <is>
          <t>9.17%</t>
        </is>
      </c>
      <c r="F5" s="6" t="inlineStr">
        <is>
          <t>11.1%</t>
        </is>
      </c>
    </row>
    <row r="6">
      <c r="A6" s="6" t="inlineStr">
        <is>
          <t>FY2021 leverage ratio as printed in the FY2022 Pillar 3 'Key Metrics for the Bank' comparative (%)</t>
        </is>
      </c>
      <c r="B6" s="6" t="n"/>
      <c r="C6" s="6" t="n"/>
      <c r="D6" s="6" t="n"/>
      <c r="E6" s="6" t="n"/>
      <c r="F6" s="6" t="inlineStr">
        <is>
          <t>11.07%</t>
        </is>
      </c>
    </row>
    <row r="7" ht="338" customHeight="1">
      <c r="A7" s="7" t="inlineStr">
        <is>
          <t xml:space="preserve">Note: FY2021 figure/basis from the FY2021 Pillar 3 document's own 'Leverage Ratio' appendix table (pre-KM1 template, same underlying 'excluding claims on central banks' concept), which shows its own reconciliation: total assets per the published financial statements £659,269k, plus £2,515k of off-balance-sheet items converted to credit equivalent amounts, less £14,426k of other adjustments, giving the £647,358k exposure measure used above.
FY2021 CROSS-EDITION DIVERGENCE (recorded 2026-09-15). Two Bank-basis sources cover FY2021 and they do not agree, so both are shown and neither overwrites the other:
  (a) the FY2021 Pillar 3 Disclosures' own 'Appendix 4. Bank Disclosures' (p.40-43), which states CET1 = Tier 1 = Total capital of GBP71,677k and a CET1/Tier 1/Total capital ratio of 20.0%, and shows its own build-up (share capital 15,217 + share premium 124,195 - retained earnings 47,654 + other reserves 205 - prudent valuation 6 - intangibles 4,186 - DTA 8,743 - significant investments 8,217 + IFRS 9 transitional 867 = 71,677); and
  (b) the FY2022 Pillar 3 Disclosures' 'Key Metrics for the Bank' FY2021 comparative column, which restates the same three capital figures to GBP71,644k and the ratio to 19.94%.
The gap is GBP33k of capital, 6bp of ratio - immaterial in size but a real restatement, and the later edition gives no reconciliation for it. Everything else about FY2021 is IDENTICAL between the two editions, which is why only these rows are duplicated: total RWA GBP359,249k and leverage exposure measure GBP647,358k both appear unchanged in both. The leverage ratio differs only by rounding (Appendix 4 prints one decimal, 11.1%; the KM1 comparative prints two, 11.07%) - 71,677 / 647,358 and 71,644 / 647,358 both round to 11.07%, so that pair is a precision difference, not a restatement.
ONE LEVERAGE BASIS ONLY - CHECKED AND RECORDED 2026-10-09 (GA-026). Template UK LR2 (LRCom) asks for BOTH leverage measures - rows 24 and UK-25c on the including-claims-on-central-banks basis, UK-24b and 25 on the excluding basis, with the reconciling deduction at UK-24a - and 47 workbooks in this corpus carry both. This sheet carries the excluding side alone because that is all this bank publishes, not because the including side was missed.
HOW THAT WAS ESTABLISHED: all 8 source URLs cited on this sheet and its KM1 sheet were re-fetched on 2026-10-09 (6 returned a real PDF, %PDF magic bytes checked), and each document's full text was searched for an LR2/LRCom template and for the 'including claims on central banks' wording. Every match was opened and read on 2026-10-09; none is an in-scope disclosure. In PRE-2022 editions the hit is the OLD CRR 'Leverage ratio common disclosure', not the UK dual-basis template: it prints a single 'Leverage ratio total exposure measure' with no excluding/including split, which is why those same documents carry no 'excluding claims on central banks' wording either. The UK split took effect only for periods from 1 January 2022, so those editions confirm the dual basis did not yet exist rather than offering a figure to carry. The bank files UK KM1, whose leverage block (rows 13 and 14) asks only for the excluding measure; a KM1 filer that publishes no LR2 therefore discloses one basis.
THIS IS A RECORDED FINDING, NOT AN UNCHECKED GAP. Do not reopen it on the sheet's shape alone. It should be reopened when a NEW edition appears, since a bank can begin printing LR2 at any time - Aldermore's FY2026 report is the first of its eight editions to do so. And note the method's own limit: the text search is defeated by a figure wrapping into the middle of a label (UBP's KM1 renders as '...excluding claims  4,407,957  on central banks'), so a hit was always read by hand and only a clean zero across every edition supports this finding. </t>
        </is>
      </c>
    </row>
    <row r="9" ht="390" customHeight="1">
      <c r="A9" s="8" t="inlineStr">
        <is>
          <t>Sources - Castle Trust Bank Pillar 3 Disclosures, 'Key Metrics for the Bank' table (Castle Trust Capital plc solo basis, not the wider CTH Group):
FY2025: Pillar 3 Disclosures FY ended 30 Sept 2025, p.6 - https://www.castletrust.co.uk/wp-content/uploads/fy-30_sept-2025-ctb-pillar-3-disclosures.pdf
FY2024: Pillar 3 Disclosures FY ended 30 Sept 2024, p.6 - https://www.castletrust.co.uk/wp-content/uploads/fy-30_sept-2024-ctb-pillar-3-disclosures.pdf
FY2023: Pillar 3 Disclosures FY ended 30 Sept 2023, p.6 - https://www.castletrust.co.uk/wp-content/uploads/fy-30-sept-2023-ctb-pillar-3-disclosures.pdf
FY2022: Pillar 3 Disclosures FY ended 30 Sept 2022, p.6 - https://www.castletrust.co.uk/wp-content/uploads/fy-30-sept-2022-ctb-pillar-3-disclosures.pdf
FY2021: Pillar 3 Disclosures FY ended 30 Sept 2021 (pre-KM1 template - 'Appendix 4. Bank Disclosures'), p.40-43 - https://www.castletrust.co.uk/wp-content/uploads/fy-30-sept-2021-ctb-pillar-3-disclosures.pdf
ENTITY BASIS - determined 2026-09-15 by reading the scope/basis section of all SIX live editions.
Every edition is PUBLISHED BY the holding company and carries 'Registered No: 12161224' on its cover - that is Castle Trust Holdings Limited, NOT the bank. It is not the basis of the figures used here, and the
cover number must not be read as one. Each document nonetheless presents the Bank separately from the
Group, and every figure in this workbook is taken from the BANK presentation.
Verbatim, from each edition's own Scope section:
  FY2020: 'This document sets out the consolidated Pillar 3 disclosures of Castle Trust Holdings Limited
    ("the Group") which includes Castle Trust Capital plc ("the Bank") and its directly owned
    subsidiaries as at 30 September 2020.'
  FY2021: identical wording, '...as at 30 September 2021.'
  FY2022: identical wording, '...as at 30 September 2022.'
  FY2023: 'Castle Trust Holdings Limited (the "Group") was incorporated on 16 August 2019 to act as a
    holding company of the Castle Trust Capital (CTC) group... This document sets out the consolidated
    Pillar 3 disclosures of the Group which includes Castle Trust Capital plc ("the Bank") and its
    directly owned subsidiaries as at 30 September 2023.'
  FY2024 and FY2025: same two-paragraph wording as FY2023, with their own year.
All six also state that Castle Trust Capital plc is the PRA/FCA-authorised firm, 'registered number
541910', and the FY2021, FY2022, FY2024 and FY2025 editions carry a closing legal line reading 'Castle
Trust Bank means Castle Trust Capital plc, a company incorporated in England and Wales with company
number 07454474' - i.e. the document's own definition of 'the Bank' is this workbook's entity.
SINGLE CONSOLIDATED SET, OR SEPARATE BANK AND GROUP COLUMNS? Separate, in every edition, but in two</t>
        </is>
      </c>
    </row>
    <row r="11" ht="403" customHeight="1">
      <c r="A11" s="8" t="inlineStr">
        <is>
          <t>(continued)
different formats:
  FY2022-FY2025 (KM1-era): each document has TWO full key-metrics tables, headed 'Key Metrics for the
    Group' and 'Key Metrics for the Bank' (pp.5 and 6; the FY2025 edition adds 'Overview of RWEAs for
    Group' and 'Overview of RWEAs for Bank' on p.7). The FY2024 edition's basis section says so directly:
    'These disclosures are based upon the Group's Financial Statements... Both the Group and the Bank
    calculate capital resources and requirements using the Basel III framework'; the FY2022 edition says
    'The key metrics disclosures have been prepared for both the Group and the Bank as required per
    Article 18 of the CRR.'
  FY2020-FY2021 (pre-KM1): the MAIN BODY is Group-only and its headline table is captioned 'Key Metrics
    for the Business... for the Group'. The Bank appears only in 'Appendix 4. Bank Disclosures'. Both
    editions' basis sections say: 'These disclosures have been prepared for the Group with the exception
    of Appendix 4 which shows the required disclosures for the Bank as per Article 18 of the Capital
    Requirements Regulation EU 575/2013 ("CRR").' The FY2021 Appendix 4 opens: 'The following tables
    detail the capital reporting disclosures for Castle Trust Capital plc ("the Bank") as a standalone
    solo legal entity.'
WHICH COLUMN THIS WORKBOOK USES: the Bank column, in every year and on every sheet - FY2022-FY2025 from
'Key Metrics for the Bank', FY2021 from 'Appendix 4. Bank Disclosures'. Confirmed 2026-09-15 against all
six primary documents. The divergence is large enough that the two bases could never be blended: FY2023
Bank CET1 83,177 / RWA 413,907 / CET1 ratio 20.10% against Group 99,699 / 592,678 / 16.82%; FY2022 Bank
357,870 against Group 530,968. NO Holdings-basis figure is written into any sheet of this workbook.
ONE BASIS CAVEAT INSIDE THE BANK COLUMN ITSELF, flagged not smoothed over. The FY2021 Appendix 4 defines
the Bank as 'a standalone solo legal entity', and adds: 'In the prior year the Bank's disclosures also
incorporated the financial performance and balances of Castle Trust Capital Management Limited and Castle
Trust Direct plc.' The FY2020 edition confirms this from the other side: 'For capital reporting purposes,
Castle Trust Capital plc's ("the Bank") disclosures also incorporate the financial performance and
balances of Castle Trust Capital Management Limited and Castle Trust Direct plc.' So the FY2020 Bank
column is Castle Trust Capital plc plus two of its own subsidiaries, while FY2021 onward is CTC plc solo.
This affects no cell here - FY2020 is outside this workbook's five-year window - but it is the reason</t>
        </is>
      </c>
    </row>
    <row r="13" ht="364" customHeight="1">
      <c r="A13" s="8" t="inlineStr">
        <is>
          <t>(continued)
FY2020 is not backfilled from that edition without a basis label.
PILLAR 3 URL PROVENANCE (re-verified 2026-09-15 - every URL above and below was fetched and confirmed to return real PDF content, i.e. '%PDF' magic bytes and a readable text layer, not a soft-404 HTML page):
  * Castle Trust's filename separator is INCONSISTENT between years and must not be permuted or 'corrected'. FY2020-FY2023 use 'fy-30-sept-&lt;year&gt;-...' (hyphen); FY2024 and FY2025 use 'fy-30_sept-&lt;year&gt;-...' (UNDERSCORE between '30' and 'sept'). Six editions are live in total, one per financial year FY2020 through FY2025, all under https://www.castletrust.co.uk/wp-content/uploads/ .
  * https://www.castletrust.co.uk/wp-content/uploads/2025/05/Pillar-3-Document.pdf is byte-identical to the FY2024 edition (same MD5) and is a duplicate copy, not a seventh edition or a separate reporting period.
  * Period dates were taken from each document's own cover and scope paragraph, not from its filename; all six agree with their filenames.
SDDT - EXPLICIT NEGATIVE, recorded 2026-09-15 (cross-bank SDDT date-fit pass) so that a future pass does not wrongly apply the Small Domestic Deposit Taker exemption to this workbook's gap year. Castle Trust DOES hold the SDDT opt-in, but it is far too recent to explain anything here. The Bank of England consolidated list of waivers and modifications granted to PRA-authorised firms (downloaded 2026-09-15, https://www.bankofengland.co.uk/-/media/boe/files/prudential-regulation/authorisations/waivers-and-modifications-of-rules/consolidated-waivers-pra-firms.csv) carries three SDDT rows for FRN 541910, 'Castle Trust Capital PLC': (a) Rule 3.1 of the SDDT Regime - General Application Part, sub rule 'Ru 3.1', waiver ref 'A00011417P.pdf', START DATE 06/01/2026, no end date; (b) Rule 3.2, ref 'A00011424P.pdf', same start date; and (c) 'CRR firms: SDDT Regime - General Application Part 1.2 &amp; 2.1(9)', ref 'A00011283P.pdf', start 01/12/2025, end 01/12/2028. Only row (a) is the opt-in that removes the Pillar 3 disclosure obligation; row (c) modifies ELIGIBILITY CRITERIA only and would not by itself make the firm a confirmed SDDT.
DATE FIT - IT DOES NOT FIT. Castle Trust's accounting reference date is 30 SEPTEMBER, confirmed at Companies House (company 07454474, an unbroken run of accounts to 30 September from 2015 to 2025) - note this is NOT a December year-end. The outstanding gap year is FY2021, which ended 30 SEPTEMBER 2021. The Rule 3.1 modification began 6 JANUARY 2026 - more than four years later. A modification cannot explain a gap that predates it, so the SDDT regime explains NONE of the FY2021 blanks.
FY2021's gap keeps its existing and entirely separate explanation, unchanged: Castle Trust published a full Pillar 3 document for FY2021, but on the PRE-KM1 template ('Appendix 4. Bank Disclosures'), which simply does not carry every line the later KM1 tables do. That is a template-vintage gap in a document that exists, which is the opposite of an exemption from publishing one. The register finding changes no cell in this workbook. Note too that the Bank published a Pillar 3 document for FY2025, whose 30 September 2025 year-end precedes the 6 January 2026 modification - consistent with the dates, and a reminder that the exemption bites only from FY2026 onward. This is the SDDT DISCLOSURE exemption, in force now - not the separate SDDT CAPITAL regime beginning 1 January 2027.</t>
        </is>
      </c>
    </row>
  </sheetData>
  <mergeCells count="4">
    <mergeCell ref="A13:F13"/>
    <mergeCell ref="A11:F11"/>
    <mergeCell ref="A7:F7"/>
    <mergeCell ref="A9:F9"/>
  </mergeCells>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F13"/>
  <sheetViews>
    <sheetView workbookViewId="0">
      <selection activeCell="A1" sqref="A1"/>
    </sheetView>
  </sheetViews>
  <sheetFormatPr baseColWidth="8" defaultRowHeight="15"/>
  <cols>
    <col width="50" customWidth="1" min="1" max="1"/>
    <col width="15" customWidth="1" min="2" max="2"/>
    <col width="15" customWidth="1" min="3" max="3"/>
    <col width="15" customWidth="1" min="4" max="4"/>
    <col width="15" customWidth="1" min="5" max="5"/>
    <col width="15" customWidth="1" min="6" max="6"/>
  </cols>
  <sheetData>
    <row r="1">
      <c r="A1" s="1" t="inlineStr">
        <is>
          <t>Castle Trust Capital plc — LCR</t>
        </is>
      </c>
    </row>
    <row r="2">
      <c r="A2" s="2" t="inlineStr">
        <is>
          <t>£'000 / %</t>
        </is>
      </c>
    </row>
    <row r="3">
      <c r="A3" s="4" t="inlineStr">
        <is>
          <t>Metric</t>
        </is>
      </c>
      <c r="B3" s="4" t="inlineStr">
        <is>
          <t>FY2025</t>
        </is>
      </c>
      <c r="C3" s="4" t="inlineStr">
        <is>
          <t>FY2024</t>
        </is>
      </c>
      <c r="D3" s="4" t="inlineStr">
        <is>
          <t>FY2023</t>
        </is>
      </c>
      <c r="E3" s="4" t="inlineStr">
        <is>
          <t>FY2022</t>
        </is>
      </c>
      <c r="F3" s="4" t="inlineStr">
        <is>
          <t>FY2021</t>
        </is>
      </c>
    </row>
    <row r="4">
      <c r="A4" s="6" t="inlineStr">
        <is>
          <t>Total high-quality liquid assets (HQLA), weighted value - average (£'000)</t>
        </is>
      </c>
      <c r="B4" s="6" t="n">
        <v>264609</v>
      </c>
      <c r="C4" s="6" t="n">
        <v>107626</v>
      </c>
      <c r="D4" s="6" t="n">
        <v>91141</v>
      </c>
      <c r="E4" s="6" t="n">
        <v>89542</v>
      </c>
      <c r="F4" s="6" t="n"/>
    </row>
    <row r="5">
      <c r="A5" s="6" t="inlineStr">
        <is>
          <t>Total net cash outflows, adjusted value (£'000)</t>
        </is>
      </c>
      <c r="B5" s="6" t="n">
        <v>139955</v>
      </c>
      <c r="C5" s="6" t="n">
        <v>36257</v>
      </c>
      <c r="D5" s="6" t="n">
        <v>28052</v>
      </c>
      <c r="E5" s="6" t="n">
        <v>22292</v>
      </c>
      <c r="F5" s="6" t="n"/>
    </row>
    <row r="6">
      <c r="A6" s="6" t="inlineStr">
        <is>
          <t>Liquidity Coverage Ratio (%)</t>
        </is>
      </c>
      <c r="B6" s="6" t="inlineStr">
        <is>
          <t>189.07%</t>
        </is>
      </c>
      <c r="C6" s="6" t="inlineStr">
        <is>
          <t>296.84%</t>
        </is>
      </c>
      <c r="D6" s="6" t="inlineStr">
        <is>
          <t>324.90%</t>
        </is>
      </c>
      <c r="E6" s="6" t="inlineStr">
        <is>
          <t>401.68%</t>
        </is>
      </c>
      <c r="F6" s="6" t="inlineStr">
        <is>
          <t>575.71%</t>
        </is>
      </c>
    </row>
    <row r="7" ht="39" customHeight="1">
      <c r="A7" s="7" t="inlineStr">
        <is>
          <t>Note: FY2021's own Pillar 3 document (pre-KM1 template) discloses no LCR figure for the Bank at all - the 575.71% shown here is FY2021's comparative column as it appears in the FY2022 Pillar 3 document's KM1 table (HQLA £77,922k, net cash outflows £13,535k), the earliest source in which it's disclosed. Flagged, not a same-year original disclosure.</t>
        </is>
      </c>
    </row>
    <row r="9" ht="390" customHeight="1">
      <c r="A9" s="8" t="inlineStr">
        <is>
          <t>Sources - Castle Trust Bank Pillar 3 Disclosures, 'Key Metrics for the Bank' table (Castle Trust Capital plc solo basis, not the wider CTH Group):
FY2025: Pillar 3 Disclosures FY ended 30 Sept 2025, p.6 - https://www.castletrust.co.uk/wp-content/uploads/fy-30_sept-2025-ctb-pillar-3-disclosures.pdf
FY2024: Pillar 3 Disclosures FY ended 30 Sept 2024, p.6 - https://www.castletrust.co.uk/wp-content/uploads/fy-30_sept-2024-ctb-pillar-3-disclosures.pdf
FY2023: Pillar 3 Disclosures FY ended 30 Sept 2023, p.6 - https://www.castletrust.co.uk/wp-content/uploads/fy-30-sept-2023-ctb-pillar-3-disclosures.pdf
FY2022: Pillar 3 Disclosures FY ended 30 Sept 2022, p.6 - https://www.castletrust.co.uk/wp-content/uploads/fy-30-sept-2022-ctb-pillar-3-disclosures.pdf
FY2021: Pillar 3 Disclosures FY ended 30 Sept 2021 (pre-KM1 template - 'Appendix 4. Bank Disclosures'), p.40-43 - https://www.castletrust.co.uk/wp-content/uploads/fy-30-sept-2021-ctb-pillar-3-disclosures.pdf
ENTITY BASIS - determined 2026-09-15 by reading the scope/basis section of all SIX live editions.
Every edition is PUBLISHED BY the holding company and carries 'Registered No: 12161224' on its cover - that is Castle Trust Holdings Limited, NOT the bank. It is not the basis of the figures used here, and the
cover number must not be read as one. Each document nonetheless presents the Bank separately from the
Group, and every figure in this workbook is taken from the BANK presentation.
Verbatim, from each edition's own Scope section:
  FY2020: 'This document sets out the consolidated Pillar 3 disclosures of Castle Trust Holdings Limited
    ("the Group") which includes Castle Trust Capital plc ("the Bank") and its directly owned
    subsidiaries as at 30 September 2020.'
  FY2021: identical wording, '...as at 30 September 2021.'
  FY2022: identical wording, '...as at 30 September 2022.'
  FY2023: 'Castle Trust Holdings Limited (the "Group") was incorporated on 16 August 2019 to act as a
    holding company of the Castle Trust Capital (CTC) group... This document sets out the consolidated
    Pillar 3 disclosures of the Group which includes Castle Trust Capital plc ("the Bank") and its
    directly owned subsidiaries as at 30 September 2023.'
  FY2024 and FY2025: same two-paragraph wording as FY2023, with their own year.
All six also state that Castle Trust Capital plc is the PRA/FCA-authorised firm, 'registered number
541910', and the FY2021, FY2022, FY2024 and FY2025 editions carry a closing legal line reading 'Castle
Trust Bank means Castle Trust Capital plc, a company incorporated in England and Wales with company
number 07454474' - i.e. the document's own definition of 'the Bank' is this workbook's entity.
SINGLE CONSOLIDATED SET, OR SEPARATE BANK AND GROUP COLUMNS? Separate, in every edition, but in two</t>
        </is>
      </c>
    </row>
    <row r="11" ht="403" customHeight="1">
      <c r="A11" s="8" t="inlineStr">
        <is>
          <t>(continued)
different formats:
  FY2022-FY2025 (KM1-era): each document has TWO full key-metrics tables, headed 'Key Metrics for the
    Group' and 'Key Metrics for the Bank' (pp.5 and 6; the FY2025 edition adds 'Overview of RWEAs for
    Group' and 'Overview of RWEAs for Bank' on p.7). The FY2024 edition's basis section says so directly:
    'These disclosures are based upon the Group's Financial Statements... Both the Group and the Bank
    calculate capital resources and requirements using the Basel III framework'; the FY2022 edition says
    'The key metrics disclosures have been prepared for both the Group and the Bank as required per
    Article 18 of the CRR.'
  FY2020-FY2021 (pre-KM1): the MAIN BODY is Group-only and its headline table is captioned 'Key Metrics
    for the Business... for the Group'. The Bank appears only in 'Appendix 4. Bank Disclosures'. Both
    editions' basis sections say: 'These disclosures have been prepared for the Group with the exception
    of Appendix 4 which shows the required disclosures for the Bank as per Article 18 of the Capital
    Requirements Regulation EU 575/2013 ("CRR").' The FY2021 Appendix 4 opens: 'The following tables
    detail the capital reporting disclosures for Castle Trust Capital plc ("the Bank") as a standalone
    solo legal entity.'
WHICH COLUMN THIS WORKBOOK USES: the Bank column, in every year and on every sheet - FY2022-FY2025 from
'Key Metrics for the Bank', FY2021 from 'Appendix 4. Bank Disclosures'. Confirmed 2026-09-15 against all
six primary documents. The divergence is large enough that the two bases could never be blended: FY2023
Bank CET1 83,177 / RWA 413,907 / CET1 ratio 20.10% against Group 99,699 / 592,678 / 16.82%; FY2022 Bank
357,870 against Group 530,968. NO Holdings-basis figure is written into any sheet of this workbook.
ONE BASIS CAVEAT INSIDE THE BANK COLUMN ITSELF, flagged not smoothed over. The FY2021 Appendix 4 defines
the Bank as 'a standalone solo legal entity', and adds: 'In the prior year the Bank's disclosures also
incorporated the financial performance and balances of Castle Trust Capital Management Limited and Castle
Trust Direct plc.' The FY2020 edition confirms this from the other side: 'For capital reporting purposes,
Castle Trust Capital plc's ("the Bank") disclosures also incorporate the financial performance and
balances of Castle Trust Capital Management Limited and Castle Trust Direct plc.' So the FY2020 Bank
column is Castle Trust Capital plc plus two of its own subsidiaries, while FY2021 onward is CTC plc solo.
This affects no cell here - FY2020 is outside this workbook's five-year window - but it is the reason</t>
        </is>
      </c>
    </row>
    <row r="13" ht="364" customHeight="1">
      <c r="A13" s="8" t="inlineStr">
        <is>
          <t>(continued)
FY2020 is not backfilled from that edition without a basis label.
PILLAR 3 URL PROVENANCE (re-verified 2026-09-15 - every URL above and below was fetched and confirmed to return real PDF content, i.e. '%PDF' magic bytes and a readable text layer, not a soft-404 HTML page):
  * Castle Trust's filename separator is INCONSISTENT between years and must not be permuted or 'corrected'. FY2020-FY2023 use 'fy-30-sept-&lt;year&gt;-...' (hyphen); FY2024 and FY2025 use 'fy-30_sept-&lt;year&gt;-...' (UNDERSCORE between '30' and 'sept'). Six editions are live in total, one per financial year FY2020 through FY2025, all under https://www.castletrust.co.uk/wp-content/uploads/ .
  * https://www.castletrust.co.uk/wp-content/uploads/2025/05/Pillar-3-Document.pdf is byte-identical to the FY2024 edition (same MD5) and is a duplicate copy, not a seventh edition or a separate reporting period.
  * Period dates were taken from each document's own cover and scope paragraph, not from its filename; all six agree with their filenames.
SDDT - EXPLICIT NEGATIVE, recorded 2026-09-15 (cross-bank SDDT date-fit pass) so that a future pass does not wrongly apply the Small Domestic Deposit Taker exemption to this workbook's gap year. Castle Trust DOES hold the SDDT opt-in, but it is far too recent to explain anything here. The Bank of England consolidated list of waivers and modifications granted to PRA-authorised firms (downloaded 2026-09-15, https://www.bankofengland.co.uk/-/media/boe/files/prudential-regulation/authorisations/waivers-and-modifications-of-rules/consolidated-waivers-pra-firms.csv) carries three SDDT rows for FRN 541910, 'Castle Trust Capital PLC': (a) Rule 3.1 of the SDDT Regime - General Application Part, sub rule 'Ru 3.1', waiver ref 'A00011417P.pdf', START DATE 06/01/2026, no end date; (b) Rule 3.2, ref 'A00011424P.pdf', same start date; and (c) 'CRR firms: SDDT Regime - General Application Part 1.2 &amp; 2.1(9)', ref 'A00011283P.pdf', start 01/12/2025, end 01/12/2028. Only row (a) is the opt-in that removes the Pillar 3 disclosure obligation; row (c) modifies ELIGIBILITY CRITERIA only and would not by itself make the firm a confirmed SDDT.
DATE FIT - IT DOES NOT FIT. Castle Trust's accounting reference date is 30 SEPTEMBER, confirmed at Companies House (company 07454474, an unbroken run of accounts to 30 September from 2015 to 2025) - note this is NOT a December year-end. The outstanding gap year is FY2021, which ended 30 SEPTEMBER 2021. The Rule 3.1 modification began 6 JANUARY 2026 - more than four years later. A modification cannot explain a gap that predates it, so the SDDT regime explains NONE of the FY2021 blanks.
FY2021's gap keeps its existing and entirely separate explanation, unchanged: Castle Trust published a full Pillar 3 document for FY2021, but on the PRE-KM1 template ('Appendix 4. Bank Disclosures'), which simply does not carry every line the later KM1 tables do. That is a template-vintage gap in a document that exists, which is the opposite of an exemption from publishing one. The register finding changes no cell in this workbook. Note too that the Bank published a Pillar 3 document for FY2025, whose 30 September 2025 year-end precedes the 6 January 2026 modification - consistent with the dates, and a reminder that the exemption bites only from FY2026 onward. This is the SDDT DISCLOSURE exemption, in force now - not the separate SDDT CAPITAL regime beginning 1 January 2027.</t>
        </is>
      </c>
    </row>
  </sheetData>
  <mergeCells count="4">
    <mergeCell ref="A13:F13"/>
    <mergeCell ref="A11:F11"/>
    <mergeCell ref="A7:F7"/>
    <mergeCell ref="A9:F9"/>
  </mergeCells>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E13"/>
  <sheetViews>
    <sheetView workbookViewId="0">
      <selection activeCell="A1" sqref="A1"/>
    </sheetView>
  </sheetViews>
  <sheetFormatPr baseColWidth="8" defaultRowHeight="15"/>
  <cols>
    <col width="50" customWidth="1" min="1" max="1"/>
    <col width="15" customWidth="1" min="2" max="2"/>
    <col width="15" customWidth="1" min="3" max="3"/>
    <col width="15" customWidth="1" min="4" max="4"/>
    <col width="15" customWidth="1" min="5" max="5"/>
  </cols>
  <sheetData>
    <row r="1">
      <c r="A1" s="1" t="inlineStr">
        <is>
          <t>Castle Trust Capital plc — NSFR</t>
        </is>
      </c>
    </row>
    <row r="2">
      <c r="A2" s="2" t="inlineStr">
        <is>
          <t>£'000 / %</t>
        </is>
      </c>
    </row>
    <row r="3">
      <c r="A3" s="4" t="inlineStr">
        <is>
          <t>Metric</t>
        </is>
      </c>
      <c r="B3" s="4" t="inlineStr">
        <is>
          <t>FY2025</t>
        </is>
      </c>
      <c r="C3" s="4" t="inlineStr">
        <is>
          <t>FY2024</t>
        </is>
      </c>
      <c r="D3" s="4" t="inlineStr">
        <is>
          <t>FY2023</t>
        </is>
      </c>
      <c r="E3" s="4" t="inlineStr">
        <is>
          <t>FY2022</t>
        </is>
      </c>
    </row>
    <row r="4">
      <c r="A4" s="6" t="inlineStr">
        <is>
          <t>Total available stable funding (£'000)</t>
        </is>
      </c>
      <c r="B4" s="6" t="n">
        <v>1473649</v>
      </c>
      <c r="C4" s="6" t="n">
        <v>943517</v>
      </c>
      <c r="D4" s="6" t="n">
        <v>810485</v>
      </c>
      <c r="E4" s="6" t="n">
        <v>715551</v>
      </c>
    </row>
    <row r="5">
      <c r="A5" s="6" t="inlineStr">
        <is>
          <t>Total required stable funding (£'000)</t>
        </is>
      </c>
      <c r="B5" s="6" t="n">
        <v>826660</v>
      </c>
      <c r="C5" s="6" t="n">
        <v>603108</v>
      </c>
      <c r="D5" s="6" t="n">
        <v>471300</v>
      </c>
      <c r="E5" s="6" t="n">
        <v>421346</v>
      </c>
    </row>
    <row r="6">
      <c r="A6" s="6" t="inlineStr">
        <is>
          <t>Net Stable Funding Ratio (%)</t>
        </is>
      </c>
      <c r="B6" s="6" t="inlineStr">
        <is>
          <t>178.27%</t>
        </is>
      </c>
      <c r="C6" s="6" t="inlineStr">
        <is>
          <t>156.44%</t>
        </is>
      </c>
      <c r="D6" s="6" t="inlineStr">
        <is>
          <t>171.97%</t>
        </is>
      </c>
      <c r="E6" s="6" t="inlineStr">
        <is>
          <t>169.82%</t>
        </is>
      </c>
    </row>
    <row r="7" ht="30" customHeight="1">
      <c r="A7" s="7" t="inlineStr">
        <is>
          <t>Note: Not disclosed for FY2021 in any source reviewed (marked 'N/A' even in the FY2022 Pillar 3 document's FY2021 comparative column) - the UK NSFR regime only took effect from 1 Jan 2022, partway through this entity's FY2021 (y/e 30 Sept 2021).</t>
        </is>
      </c>
    </row>
    <row r="9" ht="390" customHeight="1">
      <c r="A9" s="8" t="inlineStr">
        <is>
          <t>Sources - Castle Trust Bank Pillar 3 Disclosures, 'Key Metrics for the Bank' table (Castle Trust Capital plc solo basis, not the wider CTH Group):
FY2025: Pillar 3 Disclosures FY ended 30 Sept 2025, p.6 - https://www.castletrust.co.uk/wp-content/uploads/fy-30_sept-2025-ctb-pillar-3-disclosures.pdf
FY2024: Pillar 3 Disclosures FY ended 30 Sept 2024, p.6 - https://www.castletrust.co.uk/wp-content/uploads/fy-30_sept-2024-ctb-pillar-3-disclosures.pdf
FY2023: Pillar 3 Disclosures FY ended 30 Sept 2023, p.6 - https://www.castletrust.co.uk/wp-content/uploads/fy-30-sept-2023-ctb-pillar-3-disclosures.pdf
FY2022: Pillar 3 Disclosures FY ended 30 Sept 2022, p.6 - https://www.castletrust.co.uk/wp-content/uploads/fy-30-sept-2022-ctb-pillar-3-disclosures.pdf
FY2021: Pillar 3 Disclosures FY ended 30 Sept 2021 (pre-KM1 template - 'Appendix 4. Bank Disclosures'), p.40-43 - https://www.castletrust.co.uk/wp-content/uploads/fy-30-sept-2021-ctb-pillar-3-disclosures.pdf
ENTITY BASIS - determined 2026-09-15 by reading the scope/basis section of all SIX live editions.
Every edition is PUBLISHED BY the holding company and carries 'Registered No: 12161224' on its cover - that is Castle Trust Holdings Limited, NOT the bank. It is not the basis of the figures used here, and the
cover number must not be read as one. Each document nonetheless presents the Bank separately from the
Group, and every figure in this workbook is taken from the BANK presentation.
Verbatim, from each edition's own Scope section:
  FY2020: 'This document sets out the consolidated Pillar 3 disclosures of Castle Trust Holdings Limited
    ("the Group") which includes Castle Trust Capital plc ("the Bank") and its directly owned
    subsidiaries as at 30 September 2020.'
  FY2021: identical wording, '...as at 30 September 2021.'
  FY2022: identical wording, '...as at 30 September 2022.'
  FY2023: 'Castle Trust Holdings Limited (the "Group") was incorporated on 16 August 2019 to act as a
    holding company of the Castle Trust Capital (CTC) group... This document sets out the consolidated
    Pillar 3 disclosures of the Group which includes Castle Trust Capital plc ("the Bank") and its
    directly owned subsidiaries as at 30 September 2023.'
  FY2024 and FY2025: same two-paragraph wording as FY2023, with their own year.
All six also state that Castle Trust Capital plc is the PRA/FCA-authorised firm, 'registered number
541910', and the FY2021, FY2022, FY2024 and FY2025 editions carry a closing legal line reading 'Castle
Trust Bank means Castle Trust Capital plc, a company incorporated in England and Wales with company
number 07454474' - i.e. the document's own definition of 'the Bank' is this workbook's entity.
SINGLE CONSOLIDATED SET, OR SEPARATE BANK AND GROUP COLUMNS? Separate, in every edition, but in two</t>
        </is>
      </c>
    </row>
    <row r="11" ht="403" customHeight="1">
      <c r="A11" s="8" t="inlineStr">
        <is>
          <t>(continued)
different formats:
  FY2022-FY2025 (KM1-era): each document has TWO full key-metrics tables, headed 'Key Metrics for the
    Group' and 'Key Metrics for the Bank' (pp.5 and 6; the FY2025 edition adds 'Overview of RWEAs for
    Group' and 'Overview of RWEAs for Bank' on p.7). The FY2024 edition's basis section says so directly:
    'These disclosures are based upon the Group's Financial Statements... Both the Group and the Bank
    calculate capital resources and requirements using the Basel III framework'; the FY2022 edition says
    'The key metrics disclosures have been prepared for both the Group and the Bank as required per
    Article 18 of the CRR.'
  FY2020-FY2021 (pre-KM1): the MAIN BODY is Group-only and its headline table is captioned 'Key Metrics
    for the Business... for the Group'. The Bank appears only in 'Appendix 4. Bank Disclosures'. Both
    editions' basis sections say: 'These disclosures have been prepared for the Group with the exception
    of Appendix 4 which shows the required disclosures for the Bank as per Article 18 of the Capital
    Requirements Regulation EU 575/2013 ("CRR").' The FY2021 Appendix 4 opens: 'The following tables
    detail the capital reporting disclosures for Castle Trust Capital plc ("the Bank") as a standalone
    solo legal entity.'
WHICH COLUMN THIS WORKBOOK USES: the Bank column, in every year and on every sheet - FY2022-FY2025 from
'Key Metrics for the Bank', FY2021 from 'Appendix 4. Bank Disclosures'. Confirmed 2026-09-15 against all
six primary documents. The divergence is large enough that the two bases could never be blended: FY2023
Bank CET1 83,177 / RWA 413,907 / CET1 ratio 20.10% against Group 99,699 / 592,678 / 16.82%; FY2022 Bank
357,870 against Group 530,968. NO Holdings-basis figure is written into any sheet of this workbook.
ONE BASIS CAVEAT INSIDE THE BANK COLUMN ITSELF, flagged not smoothed over. The FY2021 Appendix 4 defines
the Bank as 'a standalone solo legal entity', and adds: 'In the prior year the Bank's disclosures also
incorporated the financial performance and balances of Castle Trust Capital Management Limited and Castle
Trust Direct plc.' The FY2020 edition confirms this from the other side: 'For capital reporting purposes,
Castle Trust Capital plc's ("the Bank") disclosures also incorporate the financial performance and
balances of Castle Trust Capital Management Limited and Castle Trust Direct plc.' So the FY2020 Bank
column is Castle Trust Capital plc plus two of its own subsidiaries, while FY2021 onward is CTC plc solo.
This affects no cell here - FY2020 is outside this workbook's five-year window - but it is the reason</t>
        </is>
      </c>
    </row>
    <row r="13" ht="390" customHeight="1">
      <c r="A13" s="8" t="inlineStr">
        <is>
          <t>(continued)
FY2020 is not backfilled from that edition without a basis label.
PILLAR 3 URL PROVENANCE (re-verified 2026-09-15 - every URL above and below was fetched and confirmed to return real PDF content, i.e. '%PDF' magic bytes and a readable text layer, not a soft-404 HTML page):
  * Castle Trust's filename separator is INCONSISTENT between years and must not be permuted or 'corrected'. FY2020-FY2023 use 'fy-30-sept-&lt;year&gt;-...' (hyphen); FY2024 and FY2025 use 'fy-30_sept-&lt;year&gt;-...' (UNDERSCORE between '30' and 'sept'). Six editions are live in total, one per financial year FY2020 through FY2025, all under https://www.castletrust.co.uk/wp-content/uploads/ .
  * https://www.castletrust.co.uk/wp-content/uploads/2025/05/Pillar-3-Document.pdf is byte-identical to the FY2024 edition (same MD5) and is a duplicate copy, not a seventh edition or a separate reporting period.
  * Period dates were taken from each document's own cover and scope paragraph, not from its filename; all six agree with their filenames.
SDDT - EXPLICIT NEGATIVE, recorded 2026-09-15 (cross-bank SDDT date-fit pass) so that a future pass does not wrongly apply the Small Domestic Deposit Taker exemption to this workbook's gap year. Castle Trust DOES hold the SDDT opt-in, but it is far too recent to explain anything here. The Bank of England consolidated list of waivers and modifications granted to PRA-authorised firms (downloaded 2026-09-15, https://www.bankofengland.co.uk/-/media/boe/files/prudential-regulation/authorisations/waivers-and-modifications-of-rules/consolidated-waivers-pra-firms.csv) carries three SDDT rows for FRN 541910, 'Castle Trust Capital PLC': (a) Rule 3.1 of the SDDT Regime - General Application Part, sub rule 'Ru 3.1', waiver ref 'A00011417P.pdf', START DATE 06/01/2026, no end date; (b) Rule 3.2, ref 'A00011424P.pdf', same start date; and (c) 'CRR firms: SDDT Regime - General Application Part 1.2 &amp; 2.1(9)', ref 'A00011283P.pdf', start 01/12/2025, end 01/12/2028. Only row (a) is the opt-in that removes the Pillar 3 disclosure obligation; row (c) modifies ELIGIBILITY CRITERIA only and would not by itself make the firm a confirmed SDDT.
DATE FIT - IT DOES NOT FIT. Castle Trust's accounting reference date is 30 SEPTEMBER, confirmed at Companies House (company 07454474, an unbroken run of accounts to 30 September from 2015 to 2025) - note this is NOT a December year-end. The outstanding gap year is FY2021, which ended 30 SEPTEMBER 2021. The Rule 3.1 modification began 6 JANUARY 2026 - more than four years later. A modification cannot explain a gap that predates it, so the SDDT regime explains NONE of the FY2021 blanks.
FY2021's gap keeps its existing and entirely separate explanation, unchanged: Castle Trust published a full Pillar 3 document for FY2021, but on the PRE-KM1 template ('Appendix 4. Bank Disclosures'), which simply does not carry every line the later KM1 tables do. That is a template-vintage gap in a document that exists, which is the opposite of an exemption from publishing one. The register finding changes no cell in this workbook. Note too that the Bank published a Pillar 3 document for FY2025, whose 30 September 2025 year-end precedes the 6 January 2026 modification - consistent with the dates, and a reminder that the exemption bites only from FY2026 onward. This is the SDDT DISCLOSURE exemption, in force now - not the separate SDDT CAPITAL regime beginning 1 January 2027.</t>
        </is>
      </c>
    </row>
  </sheetData>
  <mergeCells count="4">
    <mergeCell ref="A11:E11"/>
    <mergeCell ref="A7:E7"/>
    <mergeCell ref="A9:E9"/>
    <mergeCell ref="A13:E13"/>
  </mergeCells>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F11"/>
  <sheetViews>
    <sheetView workbookViewId="0">
      <selection activeCell="A1" sqref="A1"/>
    </sheetView>
  </sheetViews>
  <sheetFormatPr baseColWidth="8" defaultRowHeight="15"/>
  <cols>
    <col width="46" customWidth="1" min="1" max="1"/>
    <col width="15" customWidth="1" min="2" max="2"/>
    <col width="15" customWidth="1" min="3" max="3"/>
    <col width="15" customWidth="1" min="4" max="4"/>
    <col width="15" customWidth="1" min="5" max="5"/>
    <col width="15" customWidth="1" min="6" max="6"/>
  </cols>
  <sheetData>
    <row r="1">
      <c r="A1" s="1" t="inlineStr">
        <is>
          <t>Castle Trust Capital plc — MREL Ratio</t>
        </is>
      </c>
    </row>
    <row r="2">
      <c r="A2" s="2" t="inlineStr"/>
    </row>
    <row r="3">
      <c r="A3" s="4" t="inlineStr">
        <is>
          <t>Metric</t>
        </is>
      </c>
      <c r="B3" s="4" t="inlineStr">
        <is>
          <t>FY2025</t>
        </is>
      </c>
      <c r="C3" s="4" t="inlineStr">
        <is>
          <t>FY2024</t>
        </is>
      </c>
      <c r="D3" s="4" t="inlineStr">
        <is>
          <t>FY2023</t>
        </is>
      </c>
      <c r="E3" s="4" t="inlineStr">
        <is>
          <t>FY2022</t>
        </is>
      </c>
      <c r="F3" s="4" t="inlineStr">
        <is>
          <t>FY2021</t>
        </is>
      </c>
    </row>
    <row r="4">
      <c r="A4" s="6" t="inlineStr">
        <is>
          <t>MREL Ratio</t>
        </is>
      </c>
      <c r="B4" s="6" t="inlineStr">
        <is>
          <t>Not published – no MREL figure or reference in this year's Pillar 3 (all five editions FY2021-FY2025 full-text searched 2026-09-19, zero 'MREL')</t>
        </is>
      </c>
      <c r="C4" s="6" t="inlineStr">
        <is>
          <t>Not published – no MREL figure or reference in this year's Pillar 3 (all five editions FY2021-FY2025 full-text searched 2026-09-19, zero 'MREL')</t>
        </is>
      </c>
      <c r="D4" s="6" t="inlineStr">
        <is>
          <t>Not published – no MREL figure or reference in this year's Pillar 3 (all five editions FY2021-FY2025 full-text searched 2026-09-19, zero 'MREL')</t>
        </is>
      </c>
      <c r="E4" s="6" t="inlineStr">
        <is>
          <t>Not published – no MREL figure or reference in this year's Pillar 3 (all five editions FY2021-FY2025 full-text searched 2026-09-19, zero 'MREL')</t>
        </is>
      </c>
      <c r="F4" s="6" t="inlineStr">
        <is>
          <t>Not published – no MREL figure or reference in this year's Pillar 3 (all five editions FY2021-FY2025 full-text searched 2026-09-19, zero 'MREL')</t>
        </is>
      </c>
    </row>
    <row r="5" ht="30" customHeight="1">
      <c r="A5" s="7" t="inlineStr">
        <is>
          <t>Note: Not found in any of the 5 Pillar 3 Disclosures documents reviewed - no MREL figure or exemption statement given at any point.</t>
        </is>
      </c>
    </row>
    <row r="7" ht="390" customHeight="1">
      <c r="A7" s="8" t="inlineStr">
        <is>
          <t>Sources - Castle Trust Bank Pillar 3 Disclosures, 'Key Metrics for the Bank' table (Castle Trust Capital plc solo basis, not the wider CTH Group):
FY2025: Pillar 3 Disclosures FY ended 30 Sept 2025, p.n/a - https://www.castletrust.co.uk/wp-content/uploads/fy-30_sept-2025-ctb-pillar-3-disclosures.pdf
FY2024: Pillar 3 Disclosures FY ended 30 Sept 2024, p.n/a - https://www.castletrust.co.uk/wp-content/uploads/fy-30_sept-2024-ctb-pillar-3-disclosures.pdf
FY2023: Pillar 3 Disclosures FY ended 30 Sept 2023, p.n/a - https://www.castletrust.co.uk/wp-content/uploads/fy-30-sept-2023-ctb-pillar-3-disclosures.pdf
FY2022: Pillar 3 Disclosures FY ended 30 Sept 2022, p.n/a - https://www.castletrust.co.uk/wp-content/uploads/fy-30-sept-2022-ctb-pillar-3-disclosures.pdf
FY2021: Pillar 3 Disclosures FY ended 30 Sept 2021 (pre-KM1 template - 'Appendix 4. Bank Disclosures'), p.40-43 - https://www.castletrust.co.uk/wp-content/uploads/fy-30-sept-2021-ctb-pillar-3-disclosures.pdf
ENTITY BASIS - determined 2026-09-15 by reading the scope/basis section of all SIX live editions.
Every edition is PUBLISHED BY the holding company and carries 'Registered No: 12161224' on its cover - that is Castle Trust Holdings Limited, NOT the bank. It is not the basis of the figures used here, and the
cover number must not be read as one. Each document nonetheless presents the Bank separately from the
Group, and every figure in this workbook is taken from the BANK presentation.
Verbatim, from each edition's own Scope section:
  FY2020: 'This document sets out the consolidated Pillar 3 disclosures of Castle Trust Holdings Limited
    ("the Group") which includes Castle Trust Capital plc ("the Bank") and its directly owned
    subsidiaries as at 30 September 2020.'
  FY2021: identical wording, '...as at 30 September 2021.'
  FY2022: identical wording, '...as at 30 September 2022.'
  FY2023: 'Castle Trust Holdings Limited (the "Group") was incorporated on 16 August 2019 to act as a
    holding company of the Castle Trust Capital (CTC) group... This document sets out the consolidated
    Pillar 3 disclosures of the Group which includes Castle Trust Capital plc ("the Bank") and its
    directly owned subsidiaries as at 30 September 2023.'
  FY2024 and FY2025: same two-paragraph wording as FY2023, with their own year.
All six also state that Castle Trust Capital plc is the PRA/FCA-authorised firm, 'registered number
541910', and the FY2021, FY2022, FY2024 and FY2025 editions carry a closing legal line reading 'Castle
Trust Bank means Castle Trust Capital plc, a company incorporated in England and Wales with company
number 07454474' - i.e. the document's own definition of 'the Bank' is this workbook's entity.
SINGLE CONSOLIDATED SET, OR SEPARATE BANK AND GROUP COLUMNS? Separate, in every edition, but in two</t>
        </is>
      </c>
    </row>
    <row r="9" ht="403" customHeight="1">
      <c r="A9" s="8" t="inlineStr">
        <is>
          <t>(continued)
different formats:
  FY2022-FY2025 (KM1-era): each document has TWO full key-metrics tables, headed 'Key Metrics for the
    Group' and 'Key Metrics for the Bank' (pp.5 and 6; the FY2025 edition adds 'Overview of RWEAs for
    Group' and 'Overview of RWEAs for Bank' on p.7). The FY2024 edition's basis section says so directly:
    'These disclosures are based upon the Group's Financial Statements... Both the Group and the Bank
    calculate capital resources and requirements using the Basel III framework'; the FY2022 edition says
    'The key metrics disclosures have been prepared for both the Group and the Bank as required per
    Article 18 of the CRR.'
  FY2020-FY2021 (pre-KM1): the MAIN BODY is Group-only and its headline table is captioned 'Key Metrics
    for the Business... for the Group'. The Bank appears only in 'Appendix 4. Bank Disclosures'. Both
    editions' basis sections say: 'These disclosures have been prepared for the Group with the exception
    of Appendix 4 which shows the required disclosures for the Bank as per Article 18 of the Capital
    Requirements Regulation EU 575/2013 ("CRR").' The FY2021 Appendix 4 opens: 'The following tables
    detail the capital reporting disclosures for Castle Trust Capital plc ("the Bank") as a standalone
    solo legal entity.'
WHICH COLUMN THIS WORKBOOK USES: the Bank column, in every year and on every sheet - FY2022-FY2025 from
'Key Metrics for the Bank', FY2021 from 'Appendix 4. Bank Disclosures'. Confirmed 2026-09-15 against all
six primary documents. The divergence is large enough that the two bases could never be blended: FY2023
Bank CET1 83,177 / RWA 413,907 / CET1 ratio 20.10% against Group 99,699 / 592,678 / 16.82%; FY2022 Bank
357,870 against Group 530,968. NO Holdings-basis figure is written into any sheet of this workbook.
ONE BASIS CAVEAT INSIDE THE BANK COLUMN ITSELF, flagged not smoothed over. The FY2021 Appendix 4 defines
the Bank as 'a standalone solo legal entity', and adds: 'In the prior year the Bank's disclosures also
incorporated the financial performance and balances of Castle Trust Capital Management Limited and Castle
Trust Direct plc.' The FY2020 edition confirms this from the other side: 'For capital reporting purposes,
Castle Trust Capital plc's ("the Bank") disclosures also incorporate the financial performance and
balances of Castle Trust Capital Management Limited and Castle Trust Direct plc.' So the FY2020 Bank
column is Castle Trust Capital plc plus two of its own subsidiaries, while FY2021 onward is CTC plc solo.
This affects no cell here - FY2020 is outside this workbook's five-year window - but it is the reason</t>
        </is>
      </c>
    </row>
    <row r="11" ht="364" customHeight="1">
      <c r="A11" s="8" t="inlineStr">
        <is>
          <t>(continued)
FY2020 is not backfilled from that edition without a basis label.
PILLAR 3 URL PROVENANCE (re-verified 2026-09-15 - every URL above and below was fetched and confirmed to return real PDF content, i.e. '%PDF' magic bytes and a readable text layer, not a soft-404 HTML page):
  * Castle Trust's filename separator is INCONSISTENT between years and must not be permuted or 'corrected'. FY2020-FY2023 use 'fy-30-sept-&lt;year&gt;-...' (hyphen); FY2024 and FY2025 use 'fy-30_sept-&lt;year&gt;-...' (UNDERSCORE between '30' and 'sept'). Six editions are live in total, one per financial year FY2020 through FY2025, all under https://www.castletrust.co.uk/wp-content/uploads/ .
  * https://www.castletrust.co.uk/wp-content/uploads/2025/05/Pillar-3-Document.pdf is byte-identical to the FY2024 edition (same MD5) and is a duplicate copy, not a seventh edition or a separate reporting period.
  * Period dates were taken from each document's own cover and scope paragraph, not from its filename; all six agree with their filenames.
SDDT - EXPLICIT NEGATIVE, recorded 2026-09-15 (cross-bank SDDT date-fit pass) so that a future pass does not wrongly apply the Small Domestic Deposit Taker exemption to this workbook's gap year. Castle Trust DOES hold the SDDT opt-in, but it is far too recent to explain anything here. The Bank of England consolidated list of waivers and modifications granted to PRA-authorised firms (downloaded 2026-09-15, https://www.bankofengland.co.uk/-/media/boe/files/prudential-regulation/authorisations/waivers-and-modifications-of-rules/consolidated-waivers-pra-firms.csv) carries three SDDT rows for FRN 541910, 'Castle Trust Capital PLC': (a) Rule 3.1 of the SDDT Regime - General Application Part, sub rule 'Ru 3.1', waiver ref 'A00011417P.pdf', START DATE 06/01/2026, no end date; (b) Rule 3.2, ref 'A00011424P.pdf', same start date; and (c) 'CRR firms: SDDT Regime - General Application Part 1.2 &amp; 2.1(9)', ref 'A00011283P.pdf', start 01/12/2025, end 01/12/2028. Only row (a) is the opt-in that removes the Pillar 3 disclosure obligation; row (c) modifies ELIGIBILITY CRITERIA only and would not by itself make the firm a confirmed SDDT.
DATE FIT - IT DOES NOT FIT. Castle Trust's accounting reference date is 30 SEPTEMBER, confirmed at Companies House (company 07454474, an unbroken run of accounts to 30 September from 2015 to 2025) - note this is NOT a December year-end. The outstanding gap year is FY2021, which ended 30 SEPTEMBER 2021. The Rule 3.1 modification began 6 JANUARY 2026 - more than four years later. A modification cannot explain a gap that predates it, so the SDDT regime explains NONE of the FY2021 blanks.
FY2021's gap keeps its existing and entirely separate explanation, unchanged: Castle Trust published a full Pillar 3 document for FY2021, but on the PRE-KM1 template ('Appendix 4. Bank Disclosures'), which simply does not carry every line the later KM1 tables do. That is a template-vintage gap in a document that exists, which is the opposite of an exemption from publishing one. The register finding changes no cell in this workbook. Note too that the Bank published a Pillar 3 document for FY2025, whose 30 September 2025 year-end precedes the 6 January 2026 modification - consistent with the dates, and a reminder that the exemption bites only from FY2026 onward. This is the SDDT DISCLOSURE exemption, in force now - not the separate SDDT CAPITAL regime beginning 1 January 2027.</t>
        </is>
      </c>
    </row>
  </sheetData>
  <mergeCells count="4">
    <mergeCell ref="A11:F11"/>
    <mergeCell ref="A5:F5"/>
    <mergeCell ref="A7:F7"/>
    <mergeCell ref="A9:F9"/>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2026-10-26T09:35:59Z</dcterms:created>
  <dcterms:modified xmlns:dcterms="http://purl.org/dc/terms/" xmlns:xsi="http://www.w3.org/2001/XMLSchema-instance" xsi:type="dcterms:W3CDTF">2026-10-26T09:35:59Z</dcterms:modified>
</cp:coreProperties>
</file>