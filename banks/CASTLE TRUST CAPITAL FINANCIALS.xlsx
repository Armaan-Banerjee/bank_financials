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Castle Trust Capital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Castle Trust Capital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Castle Trust Capital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Castle Trust Capital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1638042</v>
      </c>
      <c r="C6" s="5" t="n">
        <v>1112163</v>
      </c>
      <c r="D6" s="5" t="n">
        <v>939391</v>
      </c>
      <c r="E6" s="5" t="n">
        <v>832897</v>
      </c>
      <c r="F6" s="5" t="n">
        <v>659268</v>
      </c>
      <c r="I6" t="inlineStr">
        <is>
          <t>Total assets</t>
        </is>
      </c>
      <c r="J6" t="n">
        <v>659268</v>
      </c>
      <c r="K6" t="n">
        <v>832897</v>
      </c>
      <c r="L6" t="n">
        <v>939391</v>
      </c>
      <c r="M6" t="n">
        <v>1112163</v>
      </c>
      <c r="N6" t="n">
        <v>1638042</v>
      </c>
      <c r="AO6" t="inlineStr">
        <is>
          <t>CET1 Ratio</t>
        </is>
      </c>
      <c r="AP6" t="n">
        <v>20</v>
      </c>
      <c r="AQ6" t="n">
        <v>21.03</v>
      </c>
      <c r="AR6" t="n">
        <v>20.1</v>
      </c>
      <c r="AS6" t="n">
        <v>16.64</v>
      </c>
      <c r="AT6" t="n">
        <v>13.35</v>
      </c>
    </row>
    <row r="7">
      <c r="A7" s="5" t="inlineStr">
        <is>
          <t>Loans to customers, at amortised cost</t>
        </is>
      </c>
      <c r="B7" s="5" t="n">
        <v>1082504</v>
      </c>
      <c r="C7" s="5" t="n">
        <v>668338</v>
      </c>
      <c r="D7" s="5" t="n">
        <v>546990</v>
      </c>
      <c r="E7" s="5" t="n">
        <v>453815</v>
      </c>
      <c r="F7" s="5" t="n">
        <v>394523</v>
      </c>
      <c r="I7" t="inlineStr">
        <is>
          <t>Loans to customers, at amortised cost</t>
        </is>
      </c>
      <c r="J7" t="n">
        <v>394523</v>
      </c>
      <c r="K7" t="n">
        <v>453815</v>
      </c>
      <c r="L7" t="n">
        <v>546990</v>
      </c>
      <c r="M7" t="n">
        <v>668338</v>
      </c>
      <c r="N7" t="n">
        <v>1082504</v>
      </c>
      <c r="AO7" t="inlineStr">
        <is>
          <t>Tier 1 Ratio</t>
        </is>
      </c>
      <c r="AP7" t="n">
        <v>20</v>
      </c>
      <c r="AQ7" t="n">
        <v>21.03</v>
      </c>
      <c r="AR7" t="n">
        <v>20.1</v>
      </c>
      <c r="AS7" t="n">
        <v>16.64</v>
      </c>
      <c r="AT7" t="n">
        <v>13.35</v>
      </c>
    </row>
    <row r="8">
      <c r="A8" s="5" t="inlineStr">
        <is>
          <t>Amounts due to customers, at amortised cost</t>
        </is>
      </c>
      <c r="B8" s="5" t="n">
        <v>1495438</v>
      </c>
      <c r="C8" s="5" t="n">
        <v>957770</v>
      </c>
      <c r="D8" s="5" t="n">
        <v>827055</v>
      </c>
      <c r="E8" s="5" t="n">
        <v>724595</v>
      </c>
      <c r="F8" s="5" t="n">
        <v>557956</v>
      </c>
      <c r="I8" t="inlineStr">
        <is>
          <t>Amounts due to customers, at amortised cost</t>
        </is>
      </c>
      <c r="J8" t="n">
        <v>557956</v>
      </c>
      <c r="K8" t="n">
        <v>724595</v>
      </c>
      <c r="L8" t="n">
        <v>827055</v>
      </c>
      <c r="M8" t="n">
        <v>957770</v>
      </c>
      <c r="N8" t="n">
        <v>1495438</v>
      </c>
      <c r="AO8" t="inlineStr">
        <is>
          <t>Total Capital Ratio</t>
        </is>
      </c>
      <c r="AP8" t="n">
        <v>20</v>
      </c>
      <c r="AQ8" t="n">
        <v>21.03</v>
      </c>
      <c r="AR8" t="n">
        <v>20.1</v>
      </c>
      <c r="AS8" t="n">
        <v>18.04</v>
      </c>
      <c r="AT8" t="n">
        <v>15.72</v>
      </c>
    </row>
    <row r="9">
      <c r="A9" s="5" t="inlineStr">
        <is>
          <t>Total equity</t>
        </is>
      </c>
      <c r="B9" s="5" t="n">
        <v>103141</v>
      </c>
      <c r="C9" s="5" t="n">
        <v>102615</v>
      </c>
      <c r="D9" s="5" t="n">
        <v>102379</v>
      </c>
      <c r="E9" s="5" t="n">
        <v>93954</v>
      </c>
      <c r="F9" s="5" t="n">
        <v>91962</v>
      </c>
      <c r="I9" t="inlineStr">
        <is>
          <t>Total equity</t>
        </is>
      </c>
      <c r="J9" t="n">
        <v>91962</v>
      </c>
      <c r="K9" t="n">
        <v>93954</v>
      </c>
      <c r="L9" t="n">
        <v>102379</v>
      </c>
      <c r="M9" t="n">
        <v>102615</v>
      </c>
      <c r="N9" t="n">
        <v>103141</v>
      </c>
      <c r="AO9" t="inlineStr">
        <is>
          <t>Leverage Ratio</t>
        </is>
      </c>
      <c r="AP9" t="n">
        <v>11.1</v>
      </c>
      <c r="AQ9" t="n">
        <v>9.17</v>
      </c>
      <c r="AR9" t="n">
        <v>8.94</v>
      </c>
      <c r="AS9" t="n">
        <v>9.66</v>
      </c>
      <c r="AT9" t="n">
        <v>7.22</v>
      </c>
    </row>
    <row r="10">
      <c r="AO10" t="inlineStr">
        <is>
          <t>LCR</t>
        </is>
      </c>
      <c r="AP10" t="n">
        <v>575.71</v>
      </c>
      <c r="AQ10" t="n">
        <v>401.68</v>
      </c>
      <c r="AR10" t="n">
        <v>324.9</v>
      </c>
      <c r="AS10" t="n">
        <v>296.84</v>
      </c>
      <c r="AT10" t="n">
        <v>189.07</v>
      </c>
    </row>
    <row r="11">
      <c r="A11" s="3" t="inlineStr">
        <is>
          <t>Profit &amp; Loss Summary (£'000)</t>
        </is>
      </c>
      <c r="AO11" t="inlineStr">
        <is>
          <t>NSFR</t>
        </is>
      </c>
      <c r="AQ11" t="n">
        <v>169.82</v>
      </c>
      <c r="AR11" t="n">
        <v>171.97</v>
      </c>
      <c r="AS11" t="n">
        <v>156.44</v>
      </c>
      <c r="AT11" t="n">
        <v>178.27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33009</v>
      </c>
      <c r="C13" s="5" t="n">
        <v>26408</v>
      </c>
      <c r="D13" s="5" t="n">
        <v>29626</v>
      </c>
      <c r="E13" s="5" t="n">
        <v>25539</v>
      </c>
      <c r="F13" s="5" t="n">
        <v>24254</v>
      </c>
      <c r="Q13" t="inlineStr">
        <is>
          <t>Net interest income</t>
        </is>
      </c>
      <c r="R13" t="n">
        <v>24254</v>
      </c>
      <c r="S13" t="n">
        <v>25539</v>
      </c>
      <c r="T13" t="n">
        <v>29626</v>
      </c>
      <c r="U13" t="n">
        <v>26408</v>
      </c>
      <c r="V13" t="n">
        <v>33009</v>
      </c>
    </row>
    <row r="14">
      <c r="A14" s="5" t="inlineStr">
        <is>
          <t>Administrative expenses</t>
        </is>
      </c>
      <c r="B14" s="5" t="n">
        <v>-23526</v>
      </c>
      <c r="C14" s="5" t="n">
        <v>-21751</v>
      </c>
      <c r="D14" s="5" t="n">
        <v>-21144</v>
      </c>
      <c r="E14" s="5" t="n">
        <v>-21001</v>
      </c>
      <c r="F14" s="5" t="n">
        <v>-22281</v>
      </c>
      <c r="Q14" t="inlineStr">
        <is>
          <t>Administrative expenses</t>
        </is>
      </c>
      <c r="R14" t="n">
        <v>-22281</v>
      </c>
      <c r="S14" t="n">
        <v>-21001</v>
      </c>
      <c r="T14" t="n">
        <v>-21144</v>
      </c>
      <c r="U14" t="n">
        <v>-21751</v>
      </c>
      <c r="V14" t="n">
        <v>-23526</v>
      </c>
    </row>
    <row r="15">
      <c r="A15" s="5" t="inlineStr">
        <is>
          <t>Total profit/(loss)</t>
        </is>
      </c>
      <c r="B15" s="5" t="n">
        <v>526</v>
      </c>
      <c r="C15" s="5" t="n">
        <v>235</v>
      </c>
      <c r="D15" s="5" t="n">
        <v>8332</v>
      </c>
      <c r="E15" s="5" t="n">
        <v>1981</v>
      </c>
      <c r="F15" s="5" t="n">
        <v>6753</v>
      </c>
      <c r="Q15" t="inlineStr">
        <is>
          <t>Total profit/(loss)</t>
        </is>
      </c>
      <c r="R15" t="n">
        <v>6753</v>
      </c>
      <c r="S15" t="n">
        <v>1981</v>
      </c>
      <c r="T15" t="n">
        <v>8332</v>
      </c>
      <c r="U15" t="n">
        <v>235</v>
      </c>
      <c r="V15" t="n">
        <v>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102615</v>
      </c>
      <c r="C19" s="5" t="n">
        <v>102379</v>
      </c>
      <c r="D19" s="5" t="n">
        <v>93954</v>
      </c>
      <c r="E19" s="5" t="n">
        <v>91962</v>
      </c>
      <c r="F19" s="5" t="n">
        <v>85197</v>
      </c>
      <c r="Y19" t="inlineStr">
        <is>
          <t>Opening equity</t>
        </is>
      </c>
      <c r="Z19" t="n">
        <v>85197</v>
      </c>
      <c r="AA19" t="n">
        <v>91962</v>
      </c>
      <c r="AB19" t="n">
        <v>93954</v>
      </c>
      <c r="AC19" t="n">
        <v>102379</v>
      </c>
      <c r="AD19" t="n">
        <v>102615</v>
      </c>
    </row>
    <row r="20">
      <c r="A20" s="5" t="inlineStr">
        <is>
          <t>Total comprehensive income for the year</t>
        </is>
      </c>
      <c r="B20" s="5" t="n">
        <v>526</v>
      </c>
      <c r="C20" s="5" t="n">
        <v>235</v>
      </c>
      <c r="D20" s="5" t="n">
        <v>8332</v>
      </c>
      <c r="E20" s="5" t="n">
        <v>1956</v>
      </c>
      <c r="F20" s="5" t="n">
        <v>6749</v>
      </c>
      <c r="Y20" t="inlineStr">
        <is>
          <t>Total comprehensive income for the year</t>
        </is>
      </c>
      <c r="Z20" t="n">
        <v>6749</v>
      </c>
      <c r="AA20" t="n">
        <v>1956</v>
      </c>
      <c r="AB20" t="n">
        <v>8332</v>
      </c>
      <c r="AC20" t="n">
        <v>235</v>
      </c>
      <c r="AD20" t="n">
        <v>526</v>
      </c>
    </row>
    <row r="21">
      <c r="A21" s="5" t="inlineStr">
        <is>
          <t>Other movements, net</t>
        </is>
      </c>
      <c r="B21" s="5" t="n">
        <v>0</v>
      </c>
      <c r="C21" s="5" t="n">
        <v>1</v>
      </c>
      <c r="D21" s="5" t="n">
        <v>93</v>
      </c>
      <c r="E21" s="5" t="n">
        <v>36</v>
      </c>
      <c r="F21" s="5" t="n">
        <v>16</v>
      </c>
      <c r="Y21" t="inlineStr">
        <is>
          <t>Other movements, net</t>
        </is>
      </c>
      <c r="Z21" t="n">
        <v>16</v>
      </c>
      <c r="AA21" t="n">
        <v>36</v>
      </c>
      <c r="AB21" t="n">
        <v>93</v>
      </c>
      <c r="AC21" t="n">
        <v>1</v>
      </c>
      <c r="AD21" t="n">
        <v>0</v>
      </c>
    </row>
    <row r="22">
      <c r="A22" s="5" t="inlineStr">
        <is>
          <t>Closing equity</t>
        </is>
      </c>
      <c r="B22" s="5" t="n">
        <v>103141</v>
      </c>
      <c r="C22" s="5" t="n">
        <v>102615</v>
      </c>
      <c r="D22" s="5" t="n">
        <v>102379</v>
      </c>
      <c r="E22" s="5" t="n">
        <v>93954</v>
      </c>
      <c r="F22" s="5" t="n">
        <v>91962</v>
      </c>
      <c r="Y22" t="inlineStr">
        <is>
          <t>Closing equity</t>
        </is>
      </c>
      <c r="Z22" t="n">
        <v>91962</v>
      </c>
      <c r="AA22" t="n">
        <v>93954</v>
      </c>
      <c r="AB22" t="n">
        <v>102379</v>
      </c>
      <c r="AC22" t="n">
        <v>102615</v>
      </c>
      <c r="AD22" t="n">
        <v>103141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134605</v>
      </c>
      <c r="C26" s="5" t="n">
        <v>5222</v>
      </c>
      <c r="D26" s="5" t="n">
        <v>12982</v>
      </c>
      <c r="E26" s="5" t="n">
        <v>113687</v>
      </c>
      <c r="F26" s="5" t="n">
        <v>-62617</v>
      </c>
      <c r="AG26" t="inlineStr">
        <is>
          <t>Net cash generated from/(used in) operating activities</t>
        </is>
      </c>
      <c r="AH26" t="n">
        <v>-62617</v>
      </c>
      <c r="AI26" t="n">
        <v>113687</v>
      </c>
      <c r="AJ26" t="n">
        <v>12982</v>
      </c>
      <c r="AK26" t="n">
        <v>5222</v>
      </c>
      <c r="AL26" t="n">
        <v>134605</v>
      </c>
    </row>
    <row r="27">
      <c r="A27" s="5" t="inlineStr">
        <is>
          <t>Net cash generated from/(used in) investing activities</t>
        </is>
      </c>
      <c r="B27" s="5" t="n">
        <v>41631</v>
      </c>
      <c r="C27" s="5" t="n">
        <v>-25653</v>
      </c>
      <c r="D27" s="5" t="n">
        <v>-37858</v>
      </c>
      <c r="E27" s="5" t="n">
        <v>12644</v>
      </c>
      <c r="F27" s="5" t="n">
        <v>95802</v>
      </c>
      <c r="AG27" t="inlineStr">
        <is>
          <t>Net cash generated from/(used in) investing activities</t>
        </is>
      </c>
      <c r="AH27" t="n">
        <v>95802</v>
      </c>
      <c r="AI27" t="n">
        <v>12644</v>
      </c>
      <c r="AJ27" t="n">
        <v>-37858</v>
      </c>
      <c r="AK27" t="n">
        <v>-25653</v>
      </c>
      <c r="AL27" t="n">
        <v>41631</v>
      </c>
    </row>
    <row r="28">
      <c r="A28" s="5" t="inlineStr">
        <is>
          <t>Net cash generated from/(used in) financing activities</t>
        </is>
      </c>
      <c r="B28" s="5" t="n">
        <v>33606</v>
      </c>
      <c r="C28" s="5" t="n">
        <v>37192</v>
      </c>
      <c r="D28" s="5" t="n">
        <v>-18538</v>
      </c>
      <c r="E28" s="5" t="n">
        <v>-37169</v>
      </c>
      <c r="F28" s="5" t="n">
        <v>-10471</v>
      </c>
      <c r="AG28" t="inlineStr">
        <is>
          <t>Net cash generated from/(used in) financing activities</t>
        </is>
      </c>
      <c r="AH28" t="n">
        <v>-10471</v>
      </c>
      <c r="AI28" t="n">
        <v>-37169</v>
      </c>
      <c r="AJ28" t="n">
        <v>-18538</v>
      </c>
      <c r="AK28" t="n">
        <v>37192</v>
      </c>
      <c r="AL28" t="n">
        <v>33606</v>
      </c>
    </row>
    <row r="29">
      <c r="A29" s="5" t="inlineStr">
        <is>
          <t>Cash and cash equivalents at end of year</t>
        </is>
      </c>
      <c r="B29" s="5" t="n">
        <v>326895</v>
      </c>
      <c r="C29" s="5" t="n">
        <v>117053</v>
      </c>
      <c r="D29" s="5" t="n">
        <v>100292</v>
      </c>
      <c r="E29" s="5" t="n">
        <v>143706</v>
      </c>
      <c r="F29" s="5" t="n">
        <v>54544</v>
      </c>
      <c r="AG29" t="inlineStr">
        <is>
          <t>Cash and cash equivalents at end of year</t>
        </is>
      </c>
      <c r="AH29" t="n">
        <v>54544</v>
      </c>
      <c r="AI29" t="n">
        <v>143706</v>
      </c>
      <c r="AJ29" t="n">
        <v>100292</v>
      </c>
      <c r="AK29" t="n">
        <v>117053</v>
      </c>
      <c r="AL29" t="n">
        <v>326895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13.35%</t>
        </is>
      </c>
      <c r="C33" s="6" t="inlineStr">
        <is>
          <t>16.64%</t>
        </is>
      </c>
      <c r="D33" s="6" t="inlineStr">
        <is>
          <t>20.10%</t>
        </is>
      </c>
      <c r="E33" s="6" t="inlineStr">
        <is>
          <t>21.03%</t>
        </is>
      </c>
      <c r="F33" s="6" t="inlineStr">
        <is>
          <t>20.0%</t>
        </is>
      </c>
    </row>
    <row r="34">
      <c r="A34" s="6" t="inlineStr">
        <is>
          <t>Tier 1 Ratio</t>
        </is>
      </c>
      <c r="B34" s="6" t="inlineStr">
        <is>
          <t>13.35%</t>
        </is>
      </c>
      <c r="C34" s="6" t="inlineStr">
        <is>
          <t>16.64%</t>
        </is>
      </c>
      <c r="D34" s="6" t="inlineStr">
        <is>
          <t>20.10%</t>
        </is>
      </c>
      <c r="E34" s="6" t="inlineStr">
        <is>
          <t>21.03%</t>
        </is>
      </c>
      <c r="F34" s="6" t="inlineStr">
        <is>
          <t>20.0%</t>
        </is>
      </c>
    </row>
    <row r="35">
      <c r="A35" s="6" t="inlineStr">
        <is>
          <t>Total Capital Ratio</t>
        </is>
      </c>
      <c r="B35" s="6" t="inlineStr">
        <is>
          <t>15.72%</t>
        </is>
      </c>
      <c r="C35" s="6" t="inlineStr">
        <is>
          <t>18.04%</t>
        </is>
      </c>
      <c r="D35" s="6" t="inlineStr">
        <is>
          <t>20.10%</t>
        </is>
      </c>
      <c r="E35" s="6" t="inlineStr">
        <is>
          <t>21.03%</t>
        </is>
      </c>
      <c r="F35" s="6" t="inlineStr">
        <is>
          <t>20.0%</t>
        </is>
      </c>
    </row>
    <row r="36">
      <c r="A36" s="6" t="inlineStr">
        <is>
          <t>Leverage Ratio</t>
        </is>
      </c>
      <c r="B36" s="6" t="inlineStr">
        <is>
          <t>7.22%</t>
        </is>
      </c>
      <c r="C36" s="6" t="inlineStr">
        <is>
          <t>9.66%</t>
        </is>
      </c>
      <c r="D36" s="6" t="inlineStr">
        <is>
          <t>8.94%</t>
        </is>
      </c>
      <c r="E36" s="6" t="inlineStr">
        <is>
          <t>9.17%</t>
        </is>
      </c>
      <c r="F36" s="6" t="inlineStr">
        <is>
          <t>11.1%</t>
        </is>
      </c>
    </row>
    <row r="37">
      <c r="A37" s="6" t="inlineStr">
        <is>
          <t>LCR</t>
        </is>
      </c>
      <c r="B37" s="6" t="inlineStr">
        <is>
          <t>189.07%</t>
        </is>
      </c>
      <c r="C37" s="6" t="inlineStr">
        <is>
          <t>296.84%</t>
        </is>
      </c>
      <c r="D37" s="6" t="inlineStr">
        <is>
          <t>324.90%</t>
        </is>
      </c>
      <c r="E37" s="6" t="inlineStr">
        <is>
          <t>401.68%</t>
        </is>
      </c>
      <c r="F37" s="6" t="inlineStr">
        <is>
          <t>575.71%</t>
        </is>
      </c>
    </row>
    <row r="38">
      <c r="A38" s="6" t="inlineStr">
        <is>
          <t>NSFR</t>
        </is>
      </c>
      <c r="B38" s="6" t="inlineStr">
        <is>
          <t>178.27%</t>
        </is>
      </c>
      <c r="C38" s="6" t="inlineStr">
        <is>
          <t>156.44%</t>
        </is>
      </c>
      <c r="D38" s="6" t="inlineStr">
        <is>
          <t>171.97%</t>
        </is>
      </c>
      <c r="E38" s="6" t="inlineStr">
        <is>
          <t>169.82%</t>
        </is>
      </c>
      <c r="F38" s="6" t="n"/>
    </row>
    <row r="40" ht="45" customHeight="1">
      <c r="A4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Financial Position</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326895</v>
      </c>
      <c r="C5" s="6" t="n">
        <v>117053</v>
      </c>
      <c r="D5" s="6" t="n">
        <v>100292</v>
      </c>
      <c r="E5" s="6" t="n">
        <v>143706</v>
      </c>
      <c r="F5" s="6" t="n">
        <v>54544</v>
      </c>
    </row>
    <row r="6">
      <c r="A6" s="6" t="inlineStr">
        <is>
          <t>Due from credit institutions</t>
        </is>
      </c>
      <c r="B6" s="6" t="n">
        <v>15053</v>
      </c>
      <c r="C6" s="6" t="n">
        <v>12254</v>
      </c>
      <c r="D6" s="6" t="n">
        <v>3900</v>
      </c>
      <c r="E6" s="6" t="n">
        <v>1970</v>
      </c>
      <c r="F6" s="6" t="n"/>
    </row>
    <row r="7">
      <c r="A7" s="6" t="inlineStr">
        <is>
          <t>Debt instruments</t>
        </is>
      </c>
      <c r="B7" s="6" t="n">
        <v>20301</v>
      </c>
      <c r="C7" s="6" t="n">
        <v>63810</v>
      </c>
      <c r="D7" s="6" t="n">
        <v>40495</v>
      </c>
      <c r="E7" s="6" t="n">
        <v>5000</v>
      </c>
      <c r="F7" s="6" t="n">
        <v>19999</v>
      </c>
    </row>
    <row r="8">
      <c r="A8" s="6" t="inlineStr">
        <is>
          <t>Trade and other receivables</t>
        </is>
      </c>
      <c r="B8" s="6" t="n">
        <v>996</v>
      </c>
      <c r="C8" s="6" t="n">
        <v>738</v>
      </c>
      <c r="D8" s="6" t="n">
        <v>750</v>
      </c>
      <c r="E8" s="6" t="n">
        <v>1003</v>
      </c>
      <c r="F8" s="6" t="n">
        <v>817</v>
      </c>
    </row>
    <row r="9">
      <c r="A9" s="6" t="inlineStr">
        <is>
          <t>Corporation tax receivable</t>
        </is>
      </c>
      <c r="B9" s="6" t="n">
        <v>1506</v>
      </c>
      <c r="C9" s="6" t="n">
        <v>276</v>
      </c>
      <c r="D9" s="6" t="n"/>
      <c r="E9" s="6" t="n"/>
      <c r="F9" s="6" t="n"/>
    </row>
    <row r="10">
      <c r="A10" s="6" t="inlineStr">
        <is>
          <t>Loans to customers, at amortised cost</t>
        </is>
      </c>
      <c r="B10" s="6" t="n">
        <v>1082504</v>
      </c>
      <c r="C10" s="6" t="n">
        <v>668338</v>
      </c>
      <c r="D10" s="6" t="n">
        <v>546990</v>
      </c>
      <c r="E10" s="6" t="n">
        <v>453815</v>
      </c>
      <c r="F10" s="6" t="n">
        <v>394523</v>
      </c>
    </row>
    <row r="11">
      <c r="A11" s="6" t="inlineStr">
        <is>
          <t>Loans to customers, designated at fair value through profit or loss</t>
        </is>
      </c>
      <c r="B11" s="6" t="n"/>
      <c r="C11" s="6" t="n"/>
      <c r="D11" s="6" t="n">
        <v>4083</v>
      </c>
      <c r="E11" s="6" t="n">
        <v>4094</v>
      </c>
      <c r="F11" s="6" t="n">
        <v>4474</v>
      </c>
    </row>
    <row r="12">
      <c r="A12" s="6" t="inlineStr">
        <is>
          <t>Fair value adjustment on hedged assets</t>
        </is>
      </c>
      <c r="B12" s="6" t="n">
        <v>4016</v>
      </c>
      <c r="C12" s="6" t="n">
        <v>6499</v>
      </c>
      <c r="D12" s="6" t="n"/>
      <c r="E12" s="6" t="n"/>
      <c r="F12" s="6" t="n"/>
    </row>
    <row r="13">
      <c r="A13" s="6" t="inlineStr">
        <is>
          <t>Derivative financial instruments</t>
        </is>
      </c>
      <c r="B13" s="6" t="n">
        <v>1742</v>
      </c>
      <c r="C13" s="6" t="n">
        <v>1637</v>
      </c>
      <c r="D13" s="6" t="n">
        <v>3119</v>
      </c>
      <c r="E13" s="6" t="n">
        <v>3123</v>
      </c>
      <c r="F13" s="6" t="n"/>
    </row>
    <row r="14">
      <c r="A14" s="6" t="inlineStr">
        <is>
          <t>Prepayments</t>
        </is>
      </c>
      <c r="B14" s="6" t="n">
        <v>2196</v>
      </c>
      <c r="C14" s="6" t="n">
        <v>2019</v>
      </c>
      <c r="D14" s="6" t="n">
        <v>1670</v>
      </c>
      <c r="E14" s="6" t="n">
        <v>1589</v>
      </c>
      <c r="F14" s="6" t="n">
        <v>1575</v>
      </c>
    </row>
    <row r="15">
      <c r="A15" s="6" t="inlineStr">
        <is>
          <t>Deferred tax</t>
        </is>
      </c>
      <c r="B15" s="6" t="n">
        <v>5519</v>
      </c>
      <c r="C15" s="6" t="n">
        <v>5695</v>
      </c>
      <c r="D15" s="6" t="n">
        <v>5907</v>
      </c>
      <c r="E15" s="6" t="n">
        <v>6898</v>
      </c>
      <c r="F15" s="6" t="n">
        <v>9043</v>
      </c>
    </row>
    <row r="16">
      <c r="A16" s="6" t="inlineStr">
        <is>
          <t>Amounts due from group companies</t>
        </is>
      </c>
      <c r="B16" s="6" t="n">
        <v>154496</v>
      </c>
      <c r="C16" s="6" t="n">
        <v>211327</v>
      </c>
      <c r="D16" s="6" t="n">
        <v>209527</v>
      </c>
      <c r="E16" s="6" t="n">
        <v>189221</v>
      </c>
      <c r="F16" s="6" t="n">
        <v>152451</v>
      </c>
    </row>
    <row r="17">
      <c r="A17" s="6" t="inlineStr">
        <is>
          <t>Property and equipment</t>
        </is>
      </c>
      <c r="B17" s="6" t="n">
        <v>1247</v>
      </c>
      <c r="C17" s="6" t="n">
        <v>518</v>
      </c>
      <c r="D17" s="6" t="n">
        <v>1001</v>
      </c>
      <c r="E17" s="6" t="n">
        <v>1593</v>
      </c>
      <c r="F17" s="6" t="n">
        <v>1450</v>
      </c>
    </row>
    <row r="18">
      <c r="A18" s="6" t="inlineStr">
        <is>
          <t>Investment in subsidiaries</t>
        </is>
      </c>
      <c r="B18" s="6" t="n">
        <v>16206</v>
      </c>
      <c r="C18" s="6" t="n">
        <v>16206</v>
      </c>
      <c r="D18" s="6" t="n">
        <v>16206</v>
      </c>
      <c r="E18" s="6" t="n">
        <v>16206</v>
      </c>
      <c r="F18" s="6" t="n">
        <v>16206</v>
      </c>
    </row>
    <row r="19">
      <c r="A19" s="6" t="inlineStr">
        <is>
          <t>Intangible assets</t>
        </is>
      </c>
      <c r="B19" s="6" t="n">
        <v>5365</v>
      </c>
      <c r="C19" s="6" t="n">
        <v>5793</v>
      </c>
      <c r="D19" s="6" t="n">
        <v>5451</v>
      </c>
      <c r="E19" s="6" t="n">
        <v>4679</v>
      </c>
      <c r="F19" s="6" t="n">
        <v>4186</v>
      </c>
    </row>
    <row r="20">
      <c r="A20" s="5" t="inlineStr">
        <is>
          <t>Total assets</t>
        </is>
      </c>
      <c r="B20" s="5" t="n">
        <v>1638042</v>
      </c>
      <c r="C20" s="5" t="n">
        <v>1112163</v>
      </c>
      <c r="D20" s="5" t="n">
        <v>939391</v>
      </c>
      <c r="E20" s="5" t="n">
        <v>832897</v>
      </c>
      <c r="F20" s="5" t="n">
        <v>659268</v>
      </c>
    </row>
    <row r="21">
      <c r="A21" s="5" t="inlineStr">
        <is>
          <t>Liabilities</t>
        </is>
      </c>
      <c r="B21" s="6" t="n"/>
      <c r="C21" s="6" t="n"/>
      <c r="D21" s="6" t="n"/>
      <c r="E21" s="6" t="n"/>
      <c r="F21" s="6" t="n"/>
    </row>
    <row r="22">
      <c r="A22" s="6" t="inlineStr">
        <is>
          <t>Trade and other payables</t>
        </is>
      </c>
      <c r="B22" s="6" t="n">
        <v>13305</v>
      </c>
      <c r="C22" s="6" t="n">
        <v>5930</v>
      </c>
      <c r="D22" s="6" t="n">
        <v>5145</v>
      </c>
      <c r="E22" s="6" t="n">
        <v>8815</v>
      </c>
      <c r="F22" s="6" t="n">
        <v>8033</v>
      </c>
    </row>
    <row r="23">
      <c r="A23" s="6" t="inlineStr">
        <is>
          <t>Corporation tax payable</t>
        </is>
      </c>
      <c r="B23" s="6" t="n"/>
      <c r="C23" s="6" t="n"/>
      <c r="D23" s="6" t="n">
        <v>599</v>
      </c>
      <c r="E23" s="6" t="n"/>
      <c r="F23" s="6" t="n"/>
    </row>
    <row r="24">
      <c r="A24" s="6" t="inlineStr">
        <is>
          <t>Amounts due to credit institutions</t>
        </is>
      </c>
      <c r="B24" s="6" t="n">
        <v>1733</v>
      </c>
      <c r="C24" s="6" t="n">
        <v>1614</v>
      </c>
      <c r="D24" s="6" t="n">
        <v>2940</v>
      </c>
      <c r="E24" s="6" t="n">
        <v>4100</v>
      </c>
      <c r="F24" s="6" t="n"/>
    </row>
    <row r="25">
      <c r="A25" s="6" t="inlineStr">
        <is>
          <t>Amounts due to customers, at amortised cost</t>
        </is>
      </c>
      <c r="B25" s="6" t="n">
        <v>1495438</v>
      </c>
      <c r="C25" s="6" t="n">
        <v>957770</v>
      </c>
      <c r="D25" s="6" t="n">
        <v>827055</v>
      </c>
      <c r="E25" s="6" t="n">
        <v>724595</v>
      </c>
      <c r="F25" s="6" t="n">
        <v>557956</v>
      </c>
    </row>
    <row r="26">
      <c r="A26" s="6" t="inlineStr">
        <is>
          <t>Amounts due to customers, at fair value through profit or loss</t>
        </is>
      </c>
      <c r="B26" s="6" t="n">
        <v>53</v>
      </c>
      <c r="C26" s="6" t="n">
        <v>128</v>
      </c>
      <c r="D26" s="6" t="n">
        <v>831</v>
      </c>
      <c r="E26" s="6" t="n">
        <v>1433</v>
      </c>
      <c r="F26" s="6" t="n">
        <v>1317</v>
      </c>
    </row>
    <row r="27">
      <c r="A27" s="6" t="inlineStr">
        <is>
          <t>Fair value adjustment on hedged liabilities</t>
        </is>
      </c>
      <c r="B27" s="6" t="n">
        <v>515</v>
      </c>
      <c r="C27" s="6" t="n">
        <v>567</v>
      </c>
      <c r="D27" s="6" t="n"/>
      <c r="E27" s="6" t="n"/>
      <c r="F27" s="6" t="n"/>
    </row>
    <row r="28">
      <c r="A28" s="6" t="inlineStr">
        <is>
          <t>Derivative financial instruments (liability)</t>
        </is>
      </c>
      <c r="B28" s="6" t="n">
        <v>5026</v>
      </c>
      <c r="C28" s="6" t="n">
        <v>4691</v>
      </c>
      <c r="D28" s="6" t="n">
        <v>442</v>
      </c>
      <c r="E28" s="6" t="n"/>
      <c r="F28" s="6" t="n"/>
    </row>
    <row r="29">
      <c r="A29" s="6" t="inlineStr">
        <is>
          <t>Subordinated liabilities</t>
        </is>
      </c>
      <c r="B29" s="6" t="n">
        <v>15759</v>
      </c>
      <c r="C29" s="6" t="n">
        <v>7632</v>
      </c>
      <c r="D29" s="6" t="n"/>
      <c r="E29" s="6" t="n"/>
      <c r="F29" s="6" t="n"/>
    </row>
    <row r="30">
      <c r="A30" s="6" t="inlineStr">
        <is>
          <t>Amounts due to group companies</t>
        </is>
      </c>
      <c r="B30" s="6" t="n">
        <v>3072</v>
      </c>
      <c r="C30" s="6" t="n">
        <v>31216</v>
      </c>
      <c r="D30" s="6" t="n"/>
      <c r="E30" s="6" t="n"/>
      <c r="F30" s="6" t="n"/>
    </row>
    <row r="31">
      <c r="A31" s="5" t="inlineStr">
        <is>
          <t>Total liabilities</t>
        </is>
      </c>
      <c r="B31" s="5" t="n">
        <v>1534901</v>
      </c>
      <c r="C31" s="5" t="n">
        <v>1009548</v>
      </c>
      <c r="D31" s="5" t="n">
        <v>837012</v>
      </c>
      <c r="E31" s="5" t="n">
        <v>738943</v>
      </c>
      <c r="F31" s="5" t="n">
        <v>567306</v>
      </c>
    </row>
    <row r="32">
      <c r="A32" s="5" t="inlineStr">
        <is>
          <t>Equity</t>
        </is>
      </c>
      <c r="B32" s="6" t="n"/>
      <c r="C32" s="6" t="n"/>
      <c r="D32" s="6" t="n"/>
      <c r="E32" s="6" t="n"/>
      <c r="F32" s="6" t="n"/>
    </row>
    <row r="33">
      <c r="A33" s="6" t="inlineStr">
        <is>
          <t>Share capital</t>
        </is>
      </c>
      <c r="B33" s="6" t="n">
        <v>15217</v>
      </c>
      <c r="C33" s="6" t="n">
        <v>15217</v>
      </c>
      <c r="D33" s="6" t="n">
        <v>15217</v>
      </c>
      <c r="E33" s="6" t="n">
        <v>15217</v>
      </c>
      <c r="F33" s="6" t="n">
        <v>15217</v>
      </c>
    </row>
    <row r="34">
      <c r="A34" s="6" t="inlineStr">
        <is>
          <t>Share premium</t>
        </is>
      </c>
      <c r="B34" s="6" t="n">
        <v>124195</v>
      </c>
      <c r="C34" s="6" t="n">
        <v>124195</v>
      </c>
      <c r="D34" s="6" t="n">
        <v>124195</v>
      </c>
      <c r="E34" s="6" t="n">
        <v>124195</v>
      </c>
      <c r="F34" s="6" t="n">
        <v>124195</v>
      </c>
    </row>
    <row r="35">
      <c r="A35" s="6" t="inlineStr">
        <is>
          <t>Equity settled share based payment reserve</t>
        </is>
      </c>
      <c r="B35" s="6" t="n">
        <v>301</v>
      </c>
      <c r="C35" s="6" t="n">
        <v>301</v>
      </c>
      <c r="D35" s="6" t="n">
        <v>300</v>
      </c>
      <c r="E35" s="6" t="n">
        <v>207</v>
      </c>
      <c r="F35" s="6" t="n">
        <v>171</v>
      </c>
    </row>
    <row r="36">
      <c r="A36" s="6" t="inlineStr">
        <is>
          <t>Own credit revaluation reserves</t>
        </is>
      </c>
      <c r="B36" s="6" t="n">
        <v>8</v>
      </c>
      <c r="C36" s="6" t="n">
        <v>8</v>
      </c>
      <c r="D36" s="6" t="n">
        <v>8</v>
      </c>
      <c r="E36" s="6" t="n">
        <v>8</v>
      </c>
      <c r="F36" s="6" t="n">
        <v>33</v>
      </c>
    </row>
    <row r="37">
      <c r="A37" s="6" t="inlineStr">
        <is>
          <t>Retained earnings</t>
        </is>
      </c>
      <c r="B37" s="6" t="n">
        <v>-36580</v>
      </c>
      <c r="C37" s="6" t="n">
        <v>-37106</v>
      </c>
      <c r="D37" s="6" t="n">
        <v>-37341</v>
      </c>
      <c r="E37" s="6" t="n">
        <v>-45673</v>
      </c>
      <c r="F37" s="6" t="n">
        <v>-47654</v>
      </c>
    </row>
    <row r="38">
      <c r="A38" s="5" t="inlineStr">
        <is>
          <t>Total equity</t>
        </is>
      </c>
      <c r="B38" s="5" t="n">
        <v>103141</v>
      </c>
      <c r="C38" s="5" t="n">
        <v>102615</v>
      </c>
      <c r="D38" s="5" t="n">
        <v>102379</v>
      </c>
      <c r="E38" s="5" t="n">
        <v>93954</v>
      </c>
      <c r="F38" s="5" t="n">
        <v>91962</v>
      </c>
    </row>
    <row r="39">
      <c r="A39" s="5" t="inlineStr">
        <is>
          <t>Total liabilities and equity</t>
        </is>
      </c>
      <c r="B39" s="5" t="n">
        <v>1638042</v>
      </c>
      <c r="C39" s="5" t="n">
        <v>1112163</v>
      </c>
      <c r="D39" s="5" t="n">
        <v>939391</v>
      </c>
      <c r="E39" s="5" t="n">
        <v>832897</v>
      </c>
      <c r="F39" s="5" t="n">
        <v>659268</v>
      </c>
    </row>
    <row r="41" ht="340" customHeight="1">
      <c r="A41"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'Loans to customers, designated at fair value through profit or loss' (one legacy mortgage - see the Bank's own Note 13/12) only appears FY2021-FY2023, fully run off by FY2024; 'Fair value adjustment on hedged assets/liabilities' and 'Derivative financial instruments' as assets only appear from FY2023 onward (hedge accounting on interest rate swaps commenced 1 July 2023); 'Corporation tax receivable/payable' and 'Amounts due to credit institutions'/'group companies' are populated only in the years the Bank actually had a balance on that line, per its own report - blank cells elsewhere reflect a genuine nil/not-applicable balance, not a missing figure.</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Comprehensive Income</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88928</v>
      </c>
      <c r="C5" s="6" t="n">
        <v>66464</v>
      </c>
      <c r="D5" s="6" t="n">
        <v>49763</v>
      </c>
      <c r="E5" s="6" t="n">
        <v>34047</v>
      </c>
      <c r="F5" s="6" t="n">
        <v>35127</v>
      </c>
    </row>
    <row r="6">
      <c r="A6" s="6" t="inlineStr">
        <is>
          <t>Interest and similar expense</t>
        </is>
      </c>
      <c r="B6" s="6" t="n">
        <v>-55919</v>
      </c>
      <c r="C6" s="6" t="n">
        <v>-40056</v>
      </c>
      <c r="D6" s="6" t="n">
        <v>-20137</v>
      </c>
      <c r="E6" s="6" t="n">
        <v>-8508</v>
      </c>
      <c r="F6" s="6" t="n">
        <v>-10873</v>
      </c>
    </row>
    <row r="7">
      <c r="A7" s="5" t="inlineStr">
        <is>
          <t>Net interest income</t>
        </is>
      </c>
      <c r="B7" s="5" t="n">
        <v>33009</v>
      </c>
      <c r="C7" s="5" t="n">
        <v>26408</v>
      </c>
      <c r="D7" s="5" t="n">
        <v>29626</v>
      </c>
      <c r="E7" s="5" t="n">
        <v>25539</v>
      </c>
      <c r="F7" s="5" t="n">
        <v>24254</v>
      </c>
    </row>
    <row r="8">
      <c r="A8" s="6" t="inlineStr">
        <is>
          <t>Other income</t>
        </is>
      </c>
      <c r="B8" s="6" t="n">
        <v>3712</v>
      </c>
      <c r="C8" s="6" t="n">
        <v>4509</v>
      </c>
      <c r="D8" s="6" t="n">
        <v>5126</v>
      </c>
      <c r="E8" s="6" t="n"/>
      <c r="F8" s="6" t="n"/>
    </row>
    <row r="9">
      <c r="A9" s="6" t="inlineStr">
        <is>
          <t>Fees and commission income</t>
        </is>
      </c>
      <c r="B9" s="6" t="n">
        <v>1486</v>
      </c>
      <c r="C9" s="6" t="n">
        <v>1351</v>
      </c>
      <c r="D9" s="6" t="n">
        <v>1088</v>
      </c>
      <c r="E9" s="6" t="n">
        <v>812</v>
      </c>
      <c r="F9" s="6" t="n">
        <v>643</v>
      </c>
    </row>
    <row r="10">
      <c r="A10" s="6" t="inlineStr">
        <is>
          <t>Fees and commission expense</t>
        </is>
      </c>
      <c r="B10" s="6" t="n">
        <v>-64</v>
      </c>
      <c r="C10" s="6" t="n">
        <v>-18</v>
      </c>
      <c r="D10" s="6" t="n">
        <v>-20</v>
      </c>
      <c r="E10" s="6" t="n"/>
      <c r="F10" s="6" t="n">
        <v>-48</v>
      </c>
    </row>
    <row r="11">
      <c r="A11" s="6" t="inlineStr">
        <is>
          <t>Realised/unrealised (loss)/gain on financial instruments at fair value through profit or loss</t>
        </is>
      </c>
      <c r="B11" s="6" t="n">
        <v>-1749</v>
      </c>
      <c r="C11" s="6" t="n">
        <v>-2776</v>
      </c>
      <c r="D11" s="6" t="n">
        <v>988</v>
      </c>
      <c r="E11" s="6" t="n">
        <v>2680</v>
      </c>
      <c r="F11" s="6" t="n">
        <v>-1328</v>
      </c>
    </row>
    <row r="12">
      <c r="A12" s="5" t="inlineStr">
        <is>
          <t>Total operating income</t>
        </is>
      </c>
      <c r="B12" s="5" t="n">
        <v>36394</v>
      </c>
      <c r="C12" s="5" t="n">
        <v>29474</v>
      </c>
      <c r="D12" s="5" t="n">
        <v>36808</v>
      </c>
      <c r="E12" s="5" t="n">
        <v>29031</v>
      </c>
      <c r="F12" s="5" t="n">
        <v>23521</v>
      </c>
    </row>
    <row r="13">
      <c r="A13" s="5" t="inlineStr">
        <is>
          <t>Expenses</t>
        </is>
      </c>
      <c r="B13" s="6" t="n"/>
      <c r="C13" s="6" t="n"/>
      <c r="D13" s="6" t="n"/>
      <c r="E13" s="6" t="n"/>
      <c r="F13" s="6" t="n"/>
    </row>
    <row r="14">
      <c r="A14" s="6" t="inlineStr">
        <is>
          <t>Administrative expenses</t>
        </is>
      </c>
      <c r="B14" s="6" t="n">
        <v>-23526</v>
      </c>
      <c r="C14" s="6" t="n">
        <v>-21751</v>
      </c>
      <c r="D14" s="6" t="n">
        <v>-21144</v>
      </c>
      <c r="E14" s="6" t="n">
        <v>-21001</v>
      </c>
      <c r="F14" s="6" t="n">
        <v>-22281</v>
      </c>
    </row>
    <row r="15">
      <c r="A15" s="6" t="inlineStr">
        <is>
          <t>Impairment losses</t>
        </is>
      </c>
      <c r="B15" s="6" t="n">
        <v>-8911</v>
      </c>
      <c r="C15" s="6" t="n">
        <v>-4715</v>
      </c>
      <c r="D15" s="6" t="n">
        <v>-3298</v>
      </c>
      <c r="E15" s="6" t="n">
        <v>-1530</v>
      </c>
      <c r="F15" s="6" t="n">
        <v>-1892</v>
      </c>
    </row>
    <row r="16">
      <c r="A16" s="6" t="inlineStr">
        <is>
          <t>Impairment charge on investments in subsidiaries</t>
        </is>
      </c>
      <c r="B16" s="6" t="n"/>
      <c r="C16" s="6" t="n"/>
      <c r="D16" s="6" t="n"/>
      <c r="E16" s="6" t="n"/>
      <c r="F16" s="6" t="n">
        <v>-18001</v>
      </c>
    </row>
    <row r="17">
      <c r="A17" s="6" t="inlineStr">
        <is>
          <t>Depreciation and amortisation</t>
        </is>
      </c>
      <c r="B17" s="6" t="n">
        <v>-2754</v>
      </c>
      <c r="C17" s="6" t="n">
        <v>-2464</v>
      </c>
      <c r="D17" s="6" t="n">
        <v>-2219</v>
      </c>
      <c r="E17" s="6" t="n">
        <v>-2040</v>
      </c>
      <c r="F17" s="6" t="n">
        <v>-1613</v>
      </c>
    </row>
    <row r="18">
      <c r="A18" s="5" t="inlineStr">
        <is>
          <t>Total operating expenses</t>
        </is>
      </c>
      <c r="B18" s="5" t="n">
        <v>-35191</v>
      </c>
      <c r="C18" s="5" t="n">
        <v>-28930</v>
      </c>
      <c r="D18" s="5" t="n">
        <v>-26661</v>
      </c>
      <c r="E18" s="5" t="n">
        <v>-24571</v>
      </c>
      <c r="F18" s="5" t="n">
        <v>-43787</v>
      </c>
    </row>
    <row r="19">
      <c r="A19" s="6" t="inlineStr">
        <is>
          <t>Other income - dividends received</t>
        </is>
      </c>
      <c r="B19" s="6" t="n"/>
      <c r="C19" s="6" t="n"/>
      <c r="D19" s="6" t="n"/>
      <c r="E19" s="6" t="n"/>
      <c r="F19" s="6" t="n">
        <v>18001</v>
      </c>
    </row>
    <row r="20">
      <c r="A20" s="5" t="inlineStr">
        <is>
          <t>Profit/(loss) before tax</t>
        </is>
      </c>
      <c r="B20" s="5" t="n">
        <v>1203</v>
      </c>
      <c r="C20" s="5" t="n">
        <v>544</v>
      </c>
      <c r="D20" s="5" t="n">
        <v>10147</v>
      </c>
      <c r="E20" s="5" t="n">
        <v>4460</v>
      </c>
      <c r="F20" s="5" t="n">
        <v>-2265</v>
      </c>
    </row>
    <row r="21">
      <c r="A21" s="6" t="inlineStr">
        <is>
          <t>Corporation tax charge/credit</t>
        </is>
      </c>
      <c r="B21" s="6" t="n">
        <v>-677</v>
      </c>
      <c r="C21" s="6" t="n">
        <v>-309</v>
      </c>
      <c r="D21" s="6" t="n">
        <v>-1815</v>
      </c>
      <c r="E21" s="6" t="n">
        <v>-2479</v>
      </c>
      <c r="F21" s="6" t="n">
        <v>9018</v>
      </c>
    </row>
    <row r="22">
      <c r="A22" s="5" t="inlineStr">
        <is>
          <t>Total profit/(loss)</t>
        </is>
      </c>
      <c r="B22" s="5" t="n">
        <v>526</v>
      </c>
      <c r="C22" s="5" t="n">
        <v>235</v>
      </c>
      <c r="D22" s="5" t="n">
        <v>8332</v>
      </c>
      <c r="E22" s="5" t="n">
        <v>1981</v>
      </c>
      <c r="F22" s="5" t="n">
        <v>6753</v>
      </c>
    </row>
    <row r="23">
      <c r="A23" s="5" t="inlineStr">
        <is>
          <t>Other comprehensive income</t>
        </is>
      </c>
      <c r="B23" s="6" t="n"/>
      <c r="C23" s="6" t="n"/>
      <c r="D23" s="6" t="n"/>
      <c r="E23" s="6" t="n"/>
      <c r="F23" s="6" t="n"/>
    </row>
    <row r="24">
      <c r="A24" s="6" t="inlineStr">
        <is>
          <t>Fair value of own credit risk changes of financial liabilities at FVPL</t>
        </is>
      </c>
      <c r="B24" s="6" t="n"/>
      <c r="C24" s="6" t="n"/>
      <c r="D24" s="6" t="n"/>
      <c r="E24" s="6" t="n">
        <v>-25</v>
      </c>
      <c r="F24" s="6" t="n">
        <v>-4</v>
      </c>
    </row>
    <row r="25">
      <c r="A25" s="5" t="inlineStr">
        <is>
          <t>Total other comprehensive income/(expense) for the year</t>
        </is>
      </c>
      <c r="B25" s="5" t="n">
        <v>0</v>
      </c>
      <c r="C25" s="5" t="n">
        <v>0</v>
      </c>
      <c r="D25" s="5" t="n">
        <v>0</v>
      </c>
      <c r="E25" s="5" t="n">
        <v>-25</v>
      </c>
      <c r="F25" s="5" t="n">
        <v>-4</v>
      </c>
    </row>
    <row r="26">
      <c r="A26" s="5" t="inlineStr">
        <is>
          <t>Total comprehensive income/(loss) for the year</t>
        </is>
      </c>
      <c r="B26" s="5" t="n">
        <v>526</v>
      </c>
      <c r="C26" s="5" t="n">
        <v>235</v>
      </c>
      <c r="D26" s="5" t="n">
        <v>8332</v>
      </c>
      <c r="E26" s="5" t="n">
        <v>1956</v>
      </c>
      <c r="F26" s="5" t="n">
        <v>6749</v>
      </c>
    </row>
    <row r="28" ht="340" customHeight="1">
      <c r="A28"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the P&amp;L's line-item structure changed across years - FY2021/FY2022 use a Net-interest-income/Net-operating-income structure with a distinct 'Other income - dividends received' line (only populated FY2021: £18,001k, reflecting a dividend from a subsidiary, alongside a matching £(18,001)k 'Impairment charge on investments in subsidiaries' line that year) and 'Profit/(loss) before tax'; FY2023-FY2025 drop both the dividend-income and investment-impairment lines (nil in every subsequent year) and FY2025 additionally renames 'Total operating (expense)/income' to 'Total operating income'. 'Realised/unrealised (loss)/gain on financial instruments at fair value through profit or loss' is the one line materially comparable across all 5 years. OCI detail (fair value of own credit risk changes) is nil or near-nil throughout - a genuine feature of this Bank's balance sheet, not a disclosure gap.</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Castle Trust Capital plc — Statement of Changes in Equity</t>
        </is>
      </c>
    </row>
    <row r="2">
      <c r="A2" s="2" t="inlineStr">
        <is>
          <t>Company (solo) basis, £'000. Not the wider Castle Trust Holdings Limited Group. Chronological, oldest to newest. No plug row needed - GBP-native, chain ties exactly year to year.</t>
        </is>
      </c>
    </row>
    <row r="3">
      <c r="A3" s="4" t="inlineStr">
        <is>
          <t>Movement</t>
        </is>
      </c>
      <c r="B3" s="4" t="inlineStr">
        <is>
          <t>Share capital</t>
        </is>
      </c>
      <c r="C3" s="4" t="inlineStr">
        <is>
          <t>Share premium</t>
        </is>
      </c>
      <c r="D3" s="4" t="inlineStr">
        <is>
          <t>Equity settled share based payment reserve</t>
        </is>
      </c>
      <c r="E3" s="4" t="inlineStr">
        <is>
          <t>Own credit revaluation reserves</t>
        </is>
      </c>
      <c r="F3" s="4" t="inlineStr">
        <is>
          <t>Retained earnings</t>
        </is>
      </c>
      <c r="G3" s="4" t="inlineStr">
        <is>
          <t>Total</t>
        </is>
      </c>
    </row>
    <row r="4">
      <c r="A4" s="5" t="inlineStr">
        <is>
          <t>At 1 October 2020</t>
        </is>
      </c>
      <c r="B4" s="5" t="n">
        <v>15217</v>
      </c>
      <c r="C4" s="5" t="n">
        <v>124195</v>
      </c>
      <c r="D4" s="5" t="n">
        <v>155</v>
      </c>
      <c r="E4" s="5" t="n">
        <v>37</v>
      </c>
      <c r="F4" s="5" t="n">
        <v>-54407</v>
      </c>
      <c r="G4" s="5" t="n">
        <v>85197</v>
      </c>
    </row>
    <row r="5">
      <c r="A5" s="6" t="inlineStr">
        <is>
          <t>Total profit for the year (FY2021)</t>
        </is>
      </c>
      <c r="B5" s="6" t="n"/>
      <c r="C5" s="6" t="n"/>
      <c r="D5" s="6" t="n"/>
      <c r="E5" s="6" t="n"/>
      <c r="F5" s="6" t="n">
        <v>6753</v>
      </c>
      <c r="G5" s="6" t="n">
        <v>6753</v>
      </c>
    </row>
    <row r="6">
      <c r="A6" s="6" t="inlineStr">
        <is>
          <t>Fair value of own credit risk changes of financial liabilities at FVPL (FY2021)</t>
        </is>
      </c>
      <c r="B6" s="6" t="n"/>
      <c r="C6" s="6" t="n"/>
      <c r="D6" s="6" t="n"/>
      <c r="E6" s="6" t="n">
        <v>-4</v>
      </c>
      <c r="F6" s="6" t="n"/>
      <c r="G6" s="6" t="n">
        <v>-4</v>
      </c>
    </row>
    <row r="7">
      <c r="A7" s="6" t="inlineStr">
        <is>
          <t>Equity settled share based payment reserve (FY2021)</t>
        </is>
      </c>
      <c r="B7" s="6" t="n"/>
      <c r="C7" s="6" t="n"/>
      <c r="D7" s="6" t="n">
        <v>16</v>
      </c>
      <c r="E7" s="6" t="n"/>
      <c r="F7" s="6" t="n"/>
      <c r="G7" s="6" t="n">
        <v>16</v>
      </c>
    </row>
    <row r="8">
      <c r="A8" s="5" t="inlineStr">
        <is>
          <t>At 30 September 2021</t>
        </is>
      </c>
      <c r="B8" s="5" t="n">
        <v>15217</v>
      </c>
      <c r="C8" s="5" t="n">
        <v>124195</v>
      </c>
      <c r="D8" s="5" t="n">
        <v>171</v>
      </c>
      <c r="E8" s="5" t="n">
        <v>33</v>
      </c>
      <c r="F8" s="5" t="n">
        <v>-47654</v>
      </c>
      <c r="G8" s="5" t="n">
        <v>91962</v>
      </c>
    </row>
    <row r="9">
      <c r="A9" s="6" t="inlineStr">
        <is>
          <t>Total profit for the year (FY2022)</t>
        </is>
      </c>
      <c r="B9" s="6" t="n"/>
      <c r="C9" s="6" t="n"/>
      <c r="D9" s="6" t="n"/>
      <c r="E9" s="6" t="n"/>
      <c r="F9" s="6" t="n">
        <v>1981</v>
      </c>
      <c r="G9" s="6" t="n">
        <v>1981</v>
      </c>
    </row>
    <row r="10">
      <c r="A10" s="6" t="inlineStr">
        <is>
          <t>Fair value of own credit risk changes of financial liabilities at FVPL (FY2022)</t>
        </is>
      </c>
      <c r="B10" s="6" t="n"/>
      <c r="C10" s="6" t="n"/>
      <c r="D10" s="6" t="n"/>
      <c r="E10" s="6" t="n">
        <v>-25</v>
      </c>
      <c r="F10" s="6" t="n"/>
      <c r="G10" s="6" t="n">
        <v>-25</v>
      </c>
    </row>
    <row r="11">
      <c r="A11" s="6" t="inlineStr">
        <is>
          <t>Equity settled share based payment reserve (FY2022)</t>
        </is>
      </c>
      <c r="B11" s="6" t="n"/>
      <c r="C11" s="6" t="n"/>
      <c r="D11" s="6" t="n">
        <v>36</v>
      </c>
      <c r="E11" s="6" t="n"/>
      <c r="F11" s="6" t="n"/>
      <c r="G11" s="6" t="n">
        <v>36</v>
      </c>
    </row>
    <row r="12">
      <c r="A12" s="5" t="inlineStr">
        <is>
          <t>At 30 September 2022</t>
        </is>
      </c>
      <c r="B12" s="5" t="n">
        <v>15217</v>
      </c>
      <c r="C12" s="5" t="n">
        <v>124195</v>
      </c>
      <c r="D12" s="5" t="n">
        <v>207</v>
      </c>
      <c r="E12" s="5" t="n">
        <v>8</v>
      </c>
      <c r="F12" s="5" t="n">
        <v>-45673</v>
      </c>
      <c r="G12" s="5" t="n">
        <v>93954</v>
      </c>
    </row>
    <row r="13">
      <c r="A13" s="6" t="inlineStr">
        <is>
          <t>Total comprehensive income for the year (FY2023)</t>
        </is>
      </c>
      <c r="B13" s="6" t="n"/>
      <c r="C13" s="6" t="n"/>
      <c r="D13" s="6" t="n"/>
      <c r="E13" s="6" t="n"/>
      <c r="F13" s="6" t="n">
        <v>8332</v>
      </c>
      <c r="G13" s="6" t="n">
        <v>8332</v>
      </c>
    </row>
    <row r="14">
      <c r="A14" s="6" t="inlineStr">
        <is>
          <t>Equity settled share based payment reserve (FY2023)</t>
        </is>
      </c>
      <c r="B14" s="6" t="n"/>
      <c r="C14" s="6" t="n"/>
      <c r="D14" s="6" t="n">
        <v>93</v>
      </c>
      <c r="E14" s="6" t="n"/>
      <c r="F14" s="6" t="n"/>
      <c r="G14" s="6" t="n">
        <v>93</v>
      </c>
    </row>
    <row r="15">
      <c r="A15" s="5" t="inlineStr">
        <is>
          <t>At 30 September 2023</t>
        </is>
      </c>
      <c r="B15" s="5" t="n">
        <v>15217</v>
      </c>
      <c r="C15" s="5" t="n">
        <v>124195</v>
      </c>
      <c r="D15" s="5" t="n">
        <v>300</v>
      </c>
      <c r="E15" s="5" t="n">
        <v>8</v>
      </c>
      <c r="F15" s="5" t="n">
        <v>-37341</v>
      </c>
      <c r="G15" s="5" t="n">
        <v>102379</v>
      </c>
    </row>
    <row r="16">
      <c r="A16" s="6" t="inlineStr">
        <is>
          <t>Total comprehensive income for the year (FY2024)</t>
        </is>
      </c>
      <c r="B16" s="6" t="n"/>
      <c r="C16" s="6" t="n"/>
      <c r="D16" s="6" t="n"/>
      <c r="E16" s="6" t="n"/>
      <c r="F16" s="6" t="n">
        <v>235</v>
      </c>
      <c r="G16" s="6" t="n">
        <v>235</v>
      </c>
    </row>
    <row r="17">
      <c r="A17" s="6" t="inlineStr">
        <is>
          <t>Equity settled share based payment reserve (FY2024)</t>
        </is>
      </c>
      <c r="B17" s="6" t="n"/>
      <c r="C17" s="6" t="n"/>
      <c r="D17" s="6" t="n">
        <v>1</v>
      </c>
      <c r="E17" s="6" t="n"/>
      <c r="F17" s="6" t="n"/>
      <c r="G17" s="6" t="n">
        <v>1</v>
      </c>
    </row>
    <row r="18">
      <c r="A18" s="5" t="inlineStr">
        <is>
          <t>At 30 September 2024</t>
        </is>
      </c>
      <c r="B18" s="5" t="n">
        <v>15217</v>
      </c>
      <c r="C18" s="5" t="n">
        <v>124195</v>
      </c>
      <c r="D18" s="5" t="n">
        <v>301</v>
      </c>
      <c r="E18" s="5" t="n">
        <v>8</v>
      </c>
      <c r="F18" s="5" t="n">
        <v>-37106</v>
      </c>
      <c r="G18" s="5" t="n">
        <v>102615</v>
      </c>
    </row>
    <row r="19">
      <c r="A19" s="6" t="inlineStr">
        <is>
          <t>Total comprehensive income for the year (FY2025)</t>
        </is>
      </c>
      <c r="B19" s="6" t="n"/>
      <c r="C19" s="6" t="n"/>
      <c r="D19" s="6" t="n"/>
      <c r="E19" s="6" t="n"/>
      <c r="F19" s="6" t="n">
        <v>526</v>
      </c>
      <c r="G19" s="6" t="n">
        <v>526</v>
      </c>
    </row>
    <row r="20">
      <c r="A20" s="5" t="inlineStr">
        <is>
          <t>At 30 September 2025</t>
        </is>
      </c>
      <c r="B20" s="5" t="n">
        <v>15217</v>
      </c>
      <c r="C20" s="5" t="n">
        <v>124195</v>
      </c>
      <c r="D20" s="5" t="n">
        <v>301</v>
      </c>
      <c r="E20" s="5" t="n">
        <v>8</v>
      </c>
      <c r="F20" s="5" t="n">
        <v>-36580</v>
      </c>
      <c r="G20" s="5" t="n">
        <v>103141</v>
      </c>
    </row>
    <row r="22" ht="280" customHeight="1">
      <c r="A22"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Castle Trust Capital plc — Asset Quality / Credit Risk Disclosures</t>
        </is>
      </c>
    </row>
    <row r="2">
      <c r="A2" s="2" t="inlineStr">
        <is>
          <t>Company (solo) basis, £'000. Loans to customers at amortised cost only (excludes the small fair-value-designated legacy mortgage book, run off by FY2024). All 5 years genuinely disclosed - no not-disclosed fallback needed.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 (gross carrying amount)</t>
        </is>
      </c>
      <c r="B4" s="6" t="n"/>
      <c r="C4" s="6" t="n"/>
      <c r="D4" s="6" t="n"/>
      <c r="E4" s="6" t="n"/>
      <c r="F4" s="6" t="n"/>
    </row>
    <row r="5">
      <c r="A5" s="6" t="inlineStr">
        <is>
          <t>Stage 1</t>
        </is>
      </c>
      <c r="B5" s="6" t="n">
        <v>968725</v>
      </c>
      <c r="C5" s="6" t="n">
        <v>532712</v>
      </c>
      <c r="D5" s="6" t="n">
        <v>440613</v>
      </c>
      <c r="E5" s="6" t="n">
        <v>335067</v>
      </c>
      <c r="F5" s="6" t="n">
        <v>224629</v>
      </c>
    </row>
    <row r="6">
      <c r="A6" s="6" t="inlineStr">
        <is>
          <t>Stage 2</t>
        </is>
      </c>
      <c r="B6" s="6" t="n">
        <v>44952</v>
      </c>
      <c r="C6" s="6" t="n">
        <v>57136</v>
      </c>
      <c r="D6" s="6" t="n">
        <v>48080</v>
      </c>
      <c r="E6" s="6" t="n">
        <v>65347</v>
      </c>
      <c r="F6" s="6" t="n">
        <v>116924</v>
      </c>
    </row>
    <row r="7">
      <c r="A7" s="6" t="inlineStr">
        <is>
          <t>Stage 3</t>
        </is>
      </c>
      <c r="B7" s="6" t="n">
        <v>87888</v>
      </c>
      <c r="C7" s="6" t="n">
        <v>90833</v>
      </c>
      <c r="D7" s="6" t="n">
        <v>70394</v>
      </c>
      <c r="E7" s="6" t="n">
        <v>63269</v>
      </c>
      <c r="F7" s="6" t="n">
        <v>61643</v>
      </c>
    </row>
    <row r="8">
      <c r="A8" s="5" t="inlineStr">
        <is>
          <t>Total gross carrying amount</t>
        </is>
      </c>
      <c r="B8" s="5" t="n">
        <v>1101565</v>
      </c>
      <c r="C8" s="5" t="n">
        <v>680681</v>
      </c>
      <c r="D8" s="5" t="n">
        <v>559087</v>
      </c>
      <c r="E8" s="5" t="n">
        <v>463683</v>
      </c>
      <c r="F8" s="5" t="n">
        <v>403196</v>
      </c>
    </row>
    <row r="9">
      <c r="A9" s="5" t="inlineStr">
        <is>
          <t>Expected credit loss (ECL) allowance, by IFRS 9 stage</t>
        </is>
      </c>
      <c r="B9" s="6" t="n"/>
      <c r="C9" s="6" t="n"/>
      <c r="D9" s="6" t="n"/>
      <c r="E9" s="6" t="n"/>
      <c r="F9" s="6" t="n"/>
    </row>
    <row r="10">
      <c r="A10" s="6" t="inlineStr">
        <is>
          <t>Stage 1 allowance</t>
        </is>
      </c>
      <c r="B10" s="6" t="n">
        <v>-969</v>
      </c>
      <c r="C10" s="6" t="n">
        <v>-765</v>
      </c>
      <c r="D10" s="6" t="n">
        <v>-929</v>
      </c>
      <c r="E10" s="6" t="n">
        <v>-291</v>
      </c>
      <c r="F10" s="6" t="n">
        <v>-684</v>
      </c>
    </row>
    <row r="11">
      <c r="A11" s="6" t="inlineStr">
        <is>
          <t>Stage 2 allowance</t>
        </is>
      </c>
      <c r="B11" s="6" t="n">
        <v>-498</v>
      </c>
      <c r="C11" s="6" t="n">
        <v>-842</v>
      </c>
      <c r="D11" s="6" t="n">
        <v>-986</v>
      </c>
      <c r="E11" s="6" t="n">
        <v>-1105</v>
      </c>
      <c r="F11" s="6" t="n">
        <v>-1034</v>
      </c>
    </row>
    <row r="12">
      <c r="A12" s="6" t="inlineStr">
        <is>
          <t>Stage 3 allowance</t>
        </is>
      </c>
      <c r="B12" s="6" t="n">
        <v>-17594</v>
      </c>
      <c r="C12" s="6" t="n">
        <v>-10736</v>
      </c>
      <c r="D12" s="6" t="n">
        <v>-10182</v>
      </c>
      <c r="E12" s="6" t="n">
        <v>-8472</v>
      </c>
      <c r="F12" s="6" t="n">
        <v>-6955</v>
      </c>
    </row>
    <row r="13">
      <c r="A13" s="5" t="inlineStr">
        <is>
          <t>Total ECL allowance</t>
        </is>
      </c>
      <c r="B13" s="5" t="n">
        <v>-19061</v>
      </c>
      <c r="C13" s="5" t="n">
        <v>-12343</v>
      </c>
      <c r="D13" s="5" t="n">
        <v>-12097</v>
      </c>
      <c r="E13" s="5" t="n">
        <v>-9868</v>
      </c>
      <c r="F13" s="5" t="n">
        <v>-8673</v>
      </c>
    </row>
    <row r="14">
      <c r="A14" s="5" t="inlineStr">
        <is>
          <t>Derived ratios</t>
        </is>
      </c>
      <c r="B14" s="6" t="n"/>
      <c r="C14" s="6" t="n"/>
      <c r="D14" s="6" t="n"/>
      <c r="E14" s="6" t="n"/>
      <c r="F14" s="6" t="n"/>
    </row>
    <row r="15">
      <c r="A15" s="6" t="inlineStr">
        <is>
          <t>Stage 3 / NPL ratio (Stage 3 gross / total gross)</t>
        </is>
      </c>
      <c r="B15" s="6" t="inlineStr">
        <is>
          <t>7.98%</t>
        </is>
      </c>
      <c r="C15" s="6" t="inlineStr">
        <is>
          <t>13.34%</t>
        </is>
      </c>
      <c r="D15" s="6" t="inlineStr">
        <is>
          <t>12.59%</t>
        </is>
      </c>
      <c r="E15" s="6" t="inlineStr">
        <is>
          <t>13.64%</t>
        </is>
      </c>
      <c r="F15" s="6" t="inlineStr">
        <is>
          <t>15.29%</t>
        </is>
      </c>
    </row>
    <row r="16">
      <c r="A16" s="6" t="inlineStr">
        <is>
          <t>Stage 3 coverage (Stage 3 ECL / Stage 3 gross)</t>
        </is>
      </c>
      <c r="B16" s="6" t="inlineStr">
        <is>
          <t>20.02%</t>
        </is>
      </c>
      <c r="C16" s="6" t="inlineStr">
        <is>
          <t>11.82%</t>
        </is>
      </c>
      <c r="D16" s="6" t="inlineStr">
        <is>
          <t>14.46%</t>
        </is>
      </c>
      <c r="E16" s="6" t="inlineStr">
        <is>
          <t>13.39%</t>
        </is>
      </c>
      <c r="F16" s="6" t="inlineStr">
        <is>
          <t>11.28%</t>
        </is>
      </c>
    </row>
    <row r="17">
      <c r="A17" s="6" t="inlineStr">
        <is>
          <t>Total ECL coverage (total ECL / total gross)</t>
        </is>
      </c>
      <c r="B17" s="6" t="inlineStr">
        <is>
          <t>1.73%</t>
        </is>
      </c>
      <c r="C17" s="6" t="inlineStr">
        <is>
          <t>1.81%</t>
        </is>
      </c>
      <c r="D17" s="6" t="inlineStr">
        <is>
          <t>2.16%</t>
        </is>
      </c>
      <c r="E17" s="6" t="inlineStr">
        <is>
          <t>2.13%</t>
        </is>
      </c>
      <c r="F17" s="6" t="inlineStr">
        <is>
          <t>2.15%</t>
        </is>
      </c>
    </row>
    <row r="19" ht="280" customHeight="1">
      <c r="A19" s="8" t="inlineStr">
        <is>
          <t>Sources - Castle Trust Capital plc's own 'Reconciliation of gross loan and ECL movements in the year' note (Property loans table, the entity's sole loan product), each year's own originally-published figures:
FY2025: Annual financial statements, y/e 30 Sept 2025, p.85 - https://find-and-update.company-information.service.gov.uk/company/07454474/filing-history/MzUwMDY5OTYyMGFkaXF6a2N4/document?format=pdf&amp;download=0
FY2024: Annual financial statements, y/e 30 Sept 2024, p.85 - https://find-and-update.company-information.service.gov.uk/company/07454474/filing-history/MzQ1MzY3NTE2MGFkaXF6a2N4/document?format=pdf&amp;download=0
FY2023: Annual financial statements, y/e 30 Sept 2023, p.78 - https://find-and-update.company-information.service.gov.uk/company/07454474/filing-history/MzQxNTc2MDk1NGFkaXF6a2N4/document?format=pdf&amp;download=0
FY2022: Annual financial statements, y/e 30 Sept 2022, p.70 - https://find-and-update.company-information.service.gov.uk/company/07454474/filing-history/MzM2MzAyNjk5NGFkaXF6a2N4/document?format=pdf&amp;download=0
FY2021: Annual financial statements, y/e 30 Sept 2021, p.62 - https://find-and-update.company-information.service.gov.uk/company/07454474/filing-history/MzMzNDg3NzA5MWFkaXF6a2N4/document?format=pdf&amp;download=0
All 5 years' Total gross carrying amount ties exactly to the Balance Sheet's 'Loans to customers, at amortised cost' net figure once the Total ECL allowance is deducted (e.g. FY2025: £1,101,565k - £19,061k = £1,082,504k). Derived ratios (Stage 3/NPL ratio, Stage 3 coverage, total ECL coverage) are calculated here, not disclosed as standalone percentages by the Bank itself.</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ht="60" customHeight="1">
      <c r="A5" s="7" t="inlineStr">
        <is>
          <t>Note: No AT1 instruments in issue in any year to date, so CET1 = Tier 1 capital throughout.</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ht="60" customHeight="1">
      <c r="A5" s="7" t="inlineStr">
        <is>
          <t>Note: FY2021 sourced from the pre-KM1-template 'Appendix 4. Bank Disclosures' section of the FY2021 Pillar 3 document (own funds/RWA breakdown, not a KM1 template - this format was only introduced from 1 Jan 2022).</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ht="60" customHeight="1">
      <c r="A5" s="7" t="inlineStr">
        <is>
          <t>Note: = CET1 capital (no AT1 instruments in issue in any year to date).</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ht="60" customHeight="1">
      <c r="A5" s="7" t="inlineStr">
        <is>
          <t>Note: Total capital exceeds Tier 1 capital from FY2024 onward (Tier 2 instruments: £7.0m FY2024, £15.0m FY2025) - no Tier 2 in issue FY2021-FY2023, when Total Capital = CET1 = Tier 1.</t>
        </is>
      </c>
    </row>
    <row r="7" ht="170" customHeight="1">
      <c r="A7"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Castle Trust Capital plc — RWA Breakdown</t>
        </is>
      </c>
    </row>
    <row r="2">
      <c r="A2" s="2" t="inlineStr">
        <is>
          <t>£'000, Bank basis. Only disclosed FY2024-FY2025 (UK OV1 template introduced from the FY2025 Pillar 3 Disclosures document) - see note below for FY2021-FY2023.</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(UK OV1, Bank basis)</t>
        </is>
      </c>
      <c r="B4" s="6" t="n"/>
      <c r="C4" s="6" t="n"/>
      <c r="D4" s="6" t="n"/>
      <c r="E4" s="6" t="n"/>
      <c r="F4" s="6" t="n"/>
    </row>
    <row r="5">
      <c r="A5" s="6" t="inlineStr">
        <is>
          <t>Credit risk (excluding CCR)</t>
        </is>
      </c>
      <c r="B5" s="6" t="n">
        <v>566610</v>
      </c>
      <c r="C5" s="6" t="n">
        <v>439883</v>
      </c>
      <c r="D5" s="6" t="n"/>
      <c r="E5" s="6" t="n"/>
      <c r="F5" s="6" t="n"/>
    </row>
    <row r="6">
      <c r="A6" s="6" t="inlineStr">
        <is>
          <t>Counterparty credit risk (CCR)</t>
        </is>
      </c>
      <c r="B6" s="6" t="n">
        <v>6560</v>
      </c>
      <c r="C6" s="6" t="n">
        <v>3412</v>
      </c>
      <c r="D6" s="6" t="n"/>
      <c r="E6" s="6" t="n"/>
      <c r="F6" s="6" t="n"/>
    </row>
    <row r="7">
      <c r="A7" s="6" t="inlineStr">
        <is>
          <t xml:space="preserve">  of which: credit valuation adjustment (CVA)</t>
        </is>
      </c>
      <c r="B7" s="6" t="n">
        <v>2755</v>
      </c>
      <c r="C7" s="6" t="n">
        <v>1465</v>
      </c>
      <c r="D7" s="6" t="n"/>
      <c r="E7" s="6" t="n"/>
      <c r="F7" s="6" t="n"/>
    </row>
    <row r="8">
      <c r="A8" s="6" t="inlineStr">
        <is>
          <t>Operational risk</t>
        </is>
      </c>
      <c r="B8" s="6" t="n">
        <v>61318</v>
      </c>
      <c r="C8" s="6" t="n">
        <v>56237</v>
      </c>
      <c r="D8" s="6" t="n"/>
      <c r="E8" s="6" t="n"/>
      <c r="F8" s="6" t="n"/>
    </row>
    <row r="9">
      <c r="A9" s="5" t="inlineStr">
        <is>
          <t>Total</t>
        </is>
      </c>
      <c r="B9" s="5" t="n">
        <v>634489</v>
      </c>
      <c r="C9" s="5" t="n">
        <v>499532</v>
      </c>
      <c r="D9" s="5" t="inlineStr">
        <is>
          <t>Not publicly disclosed</t>
        </is>
      </c>
      <c r="E9" s="5" t="inlineStr">
        <is>
          <t>Not publicly disclosed</t>
        </is>
      </c>
      <c r="F9" s="5" t="inlineStr">
        <is>
          <t>Not publicly disclosed</t>
        </is>
      </c>
    </row>
    <row r="11" ht="280" customHeight="1">
      <c r="A11" s="8" t="inlineStr">
        <is>
          <t>Sources - Castle Trust Bank Pillar 3 Disclosures, 'Overview of RWEAs for Bank' table (Bank, not Group, basis):
FY2025: Pillar 3 Disclosures FY ended 30 Sept 2025, p.6 - https://www.castletrust.co.uk/wp-content/uploads/fy-30_sept-2025-ctb-pillar-3-disclosures.pdf (also carries FY2024 as its own comparative column, used here since FY2024's own Pillar 3 Disclosures document predates the OV1 template and doesn't carry this breakdown itself - flagged, not a same-year original disclosure for FY2024)
FY2023/FY2022: not publicly disclosed - confirmed by reading both years' Pillar 3 Disclosures documents in full; they contain only the 7-page 'Key Metrics' (KM1) template, with no RWA-by-category breakdown. FY2021: the FY2021 Pillar 3 Disclosures document's Appendix 4 'Bank Disclosures' discloses a Pillar 1 capital *requirement* by category (Credit Risk £24,914k, Operational Risk £3,826k, Total £28,740k, i.e. 8% of RWA) but not an RWA figure by category itself - back-calculating an implied RWA split (dividing by 8%) was deliberately not done here, since that would be a derived estimate presented as a disclosed figure, not a genuine same-year disclosure.</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ht="60" customHeight="1">
      <c r="A6" s="7" t="inlineStr">
        <is>
          <t>Note: FY2021 figure/basis from the FY2021 Pillar 3 document's own 'Leverage Ratio' appendix table (pre-KM1 template, same underlying 'excluding claims on central banks' concept).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60"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1473649</v>
      </c>
      <c r="C4" s="6" t="n">
        <v>943517</v>
      </c>
      <c r="D4" s="6" t="n">
        <v>810485</v>
      </c>
      <c r="E4" s="6" t="n">
        <v>715551</v>
      </c>
      <c r="F4" s="6" t="n"/>
    </row>
    <row r="5">
      <c r="A5" s="6" t="inlineStr">
        <is>
          <t>Total required stable funding (£'000)</t>
        </is>
      </c>
      <c r="B5" s="6" t="n">
        <v>826660</v>
      </c>
      <c r="C5" s="6" t="n">
        <v>603108</v>
      </c>
      <c r="D5" s="6" t="n">
        <v>471300</v>
      </c>
      <c r="E5" s="6" t="n">
        <v>421346</v>
      </c>
      <c r="F5" s="6" t="n"/>
    </row>
    <row r="6">
      <c r="A6" s="6" t="inlineStr">
        <is>
          <t>Net Stable Funding Ratio (%)</t>
        </is>
      </c>
      <c r="B6" s="6" t="inlineStr">
        <is>
          <t>178.27%</t>
        </is>
      </c>
      <c r="C6" s="6" t="inlineStr">
        <is>
          <t>156.44%</t>
        </is>
      </c>
      <c r="D6" s="6" t="inlineStr">
        <is>
          <t>171.97%</t>
        </is>
      </c>
      <c r="E6" s="6" t="inlineStr">
        <is>
          <t>169.82%</t>
        </is>
      </c>
      <c r="F6" s="6" t="n"/>
    </row>
    <row r="7" ht="6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Pillar 3 Disclosures documents reviewed - no MREL figure or exemption statement given at any point.</t>
        </is>
      </c>
    </row>
    <row r="7" ht="15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2026-09-07T01:44:16Z</dcterms:created>
  <dcterms:modified xmlns:dcterms="http://purl.org/dc/terms/" xmlns:xsi="http://www.w3.org/2001/XMLSchema-instance" xsi:type="dcterms:W3CDTF">2026-09-07T01:44:16Z</dcterms:modified>
</cp:coreProperties>
</file>