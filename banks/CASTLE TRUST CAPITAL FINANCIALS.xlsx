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ash Flow Statement" sheetId="2" state="visible" r:id="rId2"/>
    <sheet name="CET1 Capital" sheetId="3" state="visible" r:id="rId3"/>
    <sheet name="CET1 Ratio" sheetId="4" state="visible" r:id="rId4"/>
    <sheet name="Tier 1 Capital" sheetId="5" state="visible" r:id="rId5"/>
    <sheet name="Tier 1 Ratio" sheetId="6" state="visible" r:id="rId6"/>
    <sheet name="Total Capital" sheetId="7" state="visible" r:id="rId7"/>
    <sheet name="Total Capital Ratio" sheetId="8" state="visible" r:id="rId8"/>
    <sheet name="Total RWAs" sheetId="9" state="visible" r:id="rId9"/>
    <sheet name="Leverage Ratio" sheetId="10" state="visible" r:id="rId10"/>
    <sheet name="LCR" sheetId="11" state="visible" r:id="rId11"/>
    <sheet name="NSFR" sheetId="12" state="visible" r:id="rId12"/>
    <sheet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A4C93"/>
        <bgColor rgb="006A4C9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Castle Trust Capital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a:prstDash val="solid"/>
            </a:ln>
          </spPr>
          <cat>
            <numRef>
              <f>'Overview'!$J$5:$N$5</f>
            </numRef>
          </cat>
          <val>
            <numRef>
              <f>'Overview'!$J$6:$N$6</f>
            </numRef>
          </val>
        </ser>
        <ser>
          <idx val="1"/>
          <order val="1"/>
          <tx>
            <strRef>
              <f>'Overview'!I7</f>
            </strRef>
          </tx>
          <spPr>
            <a:ln>
              <a:prstDash val="solid"/>
            </a:ln>
          </spPr>
          <cat>
            <numRef>
              <f>'Overview'!$J$5:$N$5</f>
            </numRef>
          </cat>
          <val>
            <numRef>
              <f>'Overview'!$J$7:$N$7</f>
            </numRef>
          </val>
        </ser>
        <ser>
          <idx val="2"/>
          <order val="2"/>
          <tx>
            <strRef>
              <f>'Overview'!I8</f>
            </strRef>
          </tx>
          <spPr>
            <a:ln>
              <a:prstDash val="solid"/>
            </a:ln>
          </spPr>
          <cat>
            <numRef>
              <f>'Overview'!$J$5:$N$5</f>
            </numRef>
          </cat>
          <val>
            <numRef>
              <f>'Overview'!$J$8:$N$8</f>
            </numRef>
          </val>
        </ser>
        <ser>
          <idx val="3"/>
          <order val="3"/>
          <tx>
            <strRef>
              <f>'Overview'!I9</f>
            </strRef>
          </tx>
          <spPr>
            <a:l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Castle Trust Capital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'Overview'!Q6</f>
            </strRef>
          </tx>
          <spPr>
            <a:ln>
              <a:prstDash val="solid"/>
            </a:ln>
          </spPr>
          <marker>
            <symbol val="none"/>
            <spPr>
              <a:ln>
                <a:prstDash val="solid"/>
              </a:ln>
            </spPr>
          </marker>
          <cat>
            <numRef>
              <f>'Overview'!$R$5:$V$5</f>
            </numRef>
          </cat>
          <val>
            <numRef>
              <f>'Overview'!$R$6:$V$6</f>
            </numRef>
          </val>
          <smooth val="0"/>
        </ser>
        <ser>
          <idx val="1"/>
          <order val="1"/>
          <tx>
            <strRef>
              <f>'Overview'!Q7</f>
            </strRef>
          </tx>
          <spPr>
            <a:ln>
              <a:prstDash val="solid"/>
            </a:ln>
          </spPr>
          <marker>
            <symbol val="none"/>
            <spPr>
              <a:ln>
                <a:prstDash val="solid"/>
              </a:ln>
            </spPr>
          </marker>
          <cat>
            <numRef>
              <f>'Overview'!$R$5:$V$5</f>
            </numRef>
          </cat>
          <val>
            <numRef>
              <f>'Overview'!$R$7:$V$7</f>
            </numRef>
          </val>
          <smooth val="0"/>
        </ser>
        <ser>
          <idx val="2"/>
          <order val="2"/>
          <tx>
            <strRef>
              <f>'Overview'!Q8</f>
            </strRef>
          </tx>
          <spPr>
            <a:ln>
              <a:prstDash val="solid"/>
            </a:ln>
          </spPr>
          <marker>
            <symbol val="none"/>
            <spPr>
              <a:ln>
                <a:prstDash val="solid"/>
              </a:ln>
            </spPr>
          </marker>
          <cat>
            <numRef>
              <f>'Overview'!$R$5:$V$5</f>
            </numRef>
          </cat>
          <val>
            <numRef>
              <f>'Overview'!$R$8:$V$8</f>
            </numRef>
          </val>
          <smooth val="0"/>
        </ser>
        <ser>
          <idx val="3"/>
          <order val="3"/>
          <tx>
            <strRef>
              <f>'Overview'!Q9</f>
            </strRef>
          </tx>
          <spPr>
            <a:ln>
              <a:prstDash val="solid"/>
            </a:ln>
          </spPr>
          <marker>
            <symbol val="none"/>
            <spPr>
              <a:ln>
                <a:prstDash val="solid"/>
              </a:ln>
            </spPr>
          </marker>
          <cat>
            <numRef>
              <f>'Overview'!$R$5:$V$5</f>
            </numRef>
          </cat>
          <val>
            <numRef>
              <f>'Overview'!$R$9:$V$9</f>
            </numRef>
          </val>
          <smooth val="0"/>
        </ser>
        <ser>
          <idx val="4"/>
          <order val="4"/>
          <tx>
            <strRef>
              <f>'Overview'!Q10</f>
            </strRef>
          </tx>
          <spPr>
            <a:ln>
              <a:prstDash val="solid"/>
            </a:ln>
          </spPr>
          <marker>
            <symbol val="none"/>
            <spPr>
              <a:ln>
                <a:prstDash val="solid"/>
              </a:ln>
            </spPr>
          </marker>
          <cat>
            <numRef>
              <f>'Overview'!$R$5:$V$5</f>
            </numRef>
          </cat>
          <val>
            <numRef>
              <f>'Overview'!$R$10:$V$10</f>
            </numRef>
          </val>
          <smooth val="0"/>
        </ser>
        <ser>
          <idx val="5"/>
          <order val="5"/>
          <tx>
            <strRef>
              <f>'Overview'!Q11</f>
            </strRef>
          </tx>
          <spPr>
            <a:ln>
              <a:prstDash val="solid"/>
            </a:ln>
          </spPr>
          <marker>
            <symbol val="none"/>
            <spPr>
              <a:ln>
                <a:prstDash val="solid"/>
              </a:ln>
            </spPr>
          </marker>
          <cat>
            <numRef>
              <f>'Overview'!$R$5:$V$5</f>
            </numRef>
          </cat>
          <val>
            <numRef>
              <f>'Overview'!$R$11:$V$11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22</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44</row>
      <rowOff>0</rowOff>
    </from>
    <ext cx="8640000" cy="576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V2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Castle Trust Capital plc — Overview</t>
        </is>
      </c>
    </row>
    <row r="2">
      <c r="A2" s="2" t="inlineStr">
        <is>
          <t>Summary of cash flow and Pillar 3 disclosures across all years covered in this workbook</t>
        </is>
      </c>
    </row>
    <row r="4">
      <c r="A4" s="3" t="inlineStr">
        <is>
          <t>Cash Flow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R5" t="inlineStr">
        <is>
          <t>FY2021</t>
        </is>
      </c>
      <c r="S5" t="inlineStr">
        <is>
          <t>FY2022</t>
        </is>
      </c>
      <c r="T5" t="inlineStr">
        <is>
          <t>FY2023</t>
        </is>
      </c>
      <c r="U5" t="inlineStr">
        <is>
          <t>FY2024</t>
        </is>
      </c>
      <c r="V5" t="inlineStr">
        <is>
          <t>FY2025</t>
        </is>
      </c>
    </row>
    <row r="6">
      <c r="A6" s="5" t="inlineStr">
        <is>
          <t>Net cash generated from/(used in) operating activities</t>
        </is>
      </c>
      <c r="B6" s="5" t="n">
        <v>134605</v>
      </c>
      <c r="C6" s="5" t="n">
        <v>5222</v>
      </c>
      <c r="D6" s="5" t="n">
        <v>12982</v>
      </c>
      <c r="E6" s="5" t="n">
        <v>113687</v>
      </c>
      <c r="F6" s="5" t="n">
        <v>-62617</v>
      </c>
      <c r="I6" t="inlineStr">
        <is>
          <t>Net cash generated from/(used in) operating activities</t>
        </is>
      </c>
      <c r="J6" t="n">
        <v>-62617</v>
      </c>
      <c r="K6" t="n">
        <v>113687</v>
      </c>
      <c r="L6" t="n">
        <v>12982</v>
      </c>
      <c r="M6" t="n">
        <v>5222</v>
      </c>
      <c r="N6" t="n">
        <v>134605</v>
      </c>
      <c r="Q6" t="inlineStr">
        <is>
          <t>CET1 Ratio</t>
        </is>
      </c>
      <c r="R6" t="n">
        <v>20</v>
      </c>
      <c r="S6" t="n">
        <v>21.03</v>
      </c>
      <c r="T6" t="n">
        <v>20.1</v>
      </c>
      <c r="U6" t="n">
        <v>16.64</v>
      </c>
      <c r="V6" t="n">
        <v>13.35</v>
      </c>
    </row>
    <row r="7">
      <c r="A7" s="5" t="inlineStr">
        <is>
          <t>Net cash generated from/(used in) investing activities</t>
        </is>
      </c>
      <c r="B7" s="5" t="n">
        <v>41631</v>
      </c>
      <c r="C7" s="5" t="n">
        <v>-25653</v>
      </c>
      <c r="D7" s="5" t="n">
        <v>-37858</v>
      </c>
      <c r="E7" s="5" t="n">
        <v>12644</v>
      </c>
      <c r="F7" s="5" t="n">
        <v>95802</v>
      </c>
      <c r="I7" t="inlineStr">
        <is>
          <t>Net cash generated from/(used in) investing activities</t>
        </is>
      </c>
      <c r="J7" t="n">
        <v>95802</v>
      </c>
      <c r="K7" t="n">
        <v>12644</v>
      </c>
      <c r="L7" t="n">
        <v>-37858</v>
      </c>
      <c r="M7" t="n">
        <v>-25653</v>
      </c>
      <c r="N7" t="n">
        <v>41631</v>
      </c>
      <c r="Q7" t="inlineStr">
        <is>
          <t>Tier 1 Ratio</t>
        </is>
      </c>
      <c r="R7" t="n">
        <v>20</v>
      </c>
      <c r="S7" t="n">
        <v>21.03</v>
      </c>
      <c r="T7" t="n">
        <v>20.1</v>
      </c>
      <c r="U7" t="n">
        <v>16.64</v>
      </c>
      <c r="V7" t="n">
        <v>13.35</v>
      </c>
    </row>
    <row r="8">
      <c r="A8" s="5" t="inlineStr">
        <is>
          <t>Net cash generated from/(used in) financing activities</t>
        </is>
      </c>
      <c r="B8" s="5" t="n">
        <v>33606</v>
      </c>
      <c r="C8" s="5" t="n">
        <v>37192</v>
      </c>
      <c r="D8" s="5" t="n">
        <v>-18538</v>
      </c>
      <c r="E8" s="5" t="n">
        <v>-37169</v>
      </c>
      <c r="F8" s="5" t="n">
        <v>-10471</v>
      </c>
      <c r="I8" t="inlineStr">
        <is>
          <t>Net cash generated from/(used in) financing activities</t>
        </is>
      </c>
      <c r="J8" t="n">
        <v>-10471</v>
      </c>
      <c r="K8" t="n">
        <v>-37169</v>
      </c>
      <c r="L8" t="n">
        <v>-18538</v>
      </c>
      <c r="M8" t="n">
        <v>37192</v>
      </c>
      <c r="N8" t="n">
        <v>33606</v>
      </c>
      <c r="Q8" t="inlineStr">
        <is>
          <t>Total Capital Ratio</t>
        </is>
      </c>
      <c r="R8" t="n">
        <v>20</v>
      </c>
      <c r="S8" t="n">
        <v>21.03</v>
      </c>
      <c r="T8" t="n">
        <v>20.1</v>
      </c>
      <c r="U8" t="n">
        <v>18.04</v>
      </c>
      <c r="V8" t="n">
        <v>15.72</v>
      </c>
    </row>
    <row r="9">
      <c r="A9" s="5" t="inlineStr">
        <is>
          <t>Cash and cash equivalents at end of year</t>
        </is>
      </c>
      <c r="B9" s="5" t="n">
        <v>326895</v>
      </c>
      <c r="C9" s="5" t="n">
        <v>117053</v>
      </c>
      <c r="D9" s="5" t="n">
        <v>100292</v>
      </c>
      <c r="E9" s="5" t="n">
        <v>143706</v>
      </c>
      <c r="F9" s="5" t="n">
        <v>54544</v>
      </c>
      <c r="I9" t="inlineStr">
        <is>
          <t>Cash and cash equivalents at end of year</t>
        </is>
      </c>
      <c r="J9" t="n">
        <v>54544</v>
      </c>
      <c r="K9" t="n">
        <v>143706</v>
      </c>
      <c r="L9" t="n">
        <v>100292</v>
      </c>
      <c r="M9" t="n">
        <v>117053</v>
      </c>
      <c r="N9" t="n">
        <v>326895</v>
      </c>
      <c r="Q9" t="inlineStr">
        <is>
          <t>Leverage Ratio</t>
        </is>
      </c>
      <c r="R9" t="n">
        <v>11.1</v>
      </c>
      <c r="S9" t="n">
        <v>9.17</v>
      </c>
      <c r="T9" t="n">
        <v>8.94</v>
      </c>
      <c r="U9" t="n">
        <v>9.66</v>
      </c>
      <c r="V9" t="n">
        <v>7.22</v>
      </c>
    </row>
    <row r="10">
      <c r="Q10" t="inlineStr">
        <is>
          <t>LCR</t>
        </is>
      </c>
      <c r="R10" t="n">
        <v>575.71</v>
      </c>
      <c r="S10" t="n">
        <v>401.68</v>
      </c>
      <c r="T10" t="n">
        <v>324.9</v>
      </c>
      <c r="U10" t="n">
        <v>296.84</v>
      </c>
      <c r="V10" t="n">
        <v>189.07</v>
      </c>
    </row>
    <row r="11">
      <c r="A11" s="3" t="inlineStr">
        <is>
          <t>Pillar 3 Key Metrics</t>
        </is>
      </c>
      <c r="Q11" t="inlineStr">
        <is>
          <t>NSFR</t>
        </is>
      </c>
      <c r="S11" t="n">
        <v>169.82</v>
      </c>
      <c r="T11" t="n">
        <v>171.97</v>
      </c>
      <c r="U11" t="n">
        <v>156.44</v>
      </c>
      <c r="V11" t="n">
        <v>178.27</v>
      </c>
    </row>
    <row r="12">
      <c r="A12" s="4" t="inlineStr">
        <is>
          <t>Line item</t>
        </is>
      </c>
      <c r="B12" s="4" t="inlineStr">
        <is>
          <t>FY2025</t>
        </is>
      </c>
      <c r="C12" s="4" t="inlineStr">
        <is>
          <t>FY2024</t>
        </is>
      </c>
      <c r="D12" s="4" t="inlineStr">
        <is>
          <t>FY2023</t>
        </is>
      </c>
      <c r="E12" s="4" t="inlineStr">
        <is>
          <t>FY2022</t>
        </is>
      </c>
      <c r="F12" s="4" t="inlineStr">
        <is>
          <t>FY2021</t>
        </is>
      </c>
    </row>
    <row r="13">
      <c r="A13" s="6" t="inlineStr">
        <is>
          <t>CET1 Ratio</t>
        </is>
      </c>
      <c r="B13" s="6" t="inlineStr">
        <is>
          <t>13.35%</t>
        </is>
      </c>
      <c r="C13" s="6" t="inlineStr">
        <is>
          <t>16.64%</t>
        </is>
      </c>
      <c r="D13" s="6" t="inlineStr">
        <is>
          <t>20.10%</t>
        </is>
      </c>
      <c r="E13" s="6" t="inlineStr">
        <is>
          <t>21.03%</t>
        </is>
      </c>
      <c r="F13" s="6" t="inlineStr">
        <is>
          <t>20.0%</t>
        </is>
      </c>
    </row>
    <row r="14">
      <c r="A14" s="6" t="inlineStr">
        <is>
          <t>Tier 1 Ratio</t>
        </is>
      </c>
      <c r="B14" s="6" t="inlineStr">
        <is>
          <t>13.35%</t>
        </is>
      </c>
      <c r="C14" s="6" t="inlineStr">
        <is>
          <t>16.64%</t>
        </is>
      </c>
      <c r="D14" s="6" t="inlineStr">
        <is>
          <t>20.10%</t>
        </is>
      </c>
      <c r="E14" s="6" t="inlineStr">
        <is>
          <t>21.03%</t>
        </is>
      </c>
      <c r="F14" s="6" t="inlineStr">
        <is>
          <t>20.0%</t>
        </is>
      </c>
    </row>
    <row r="15">
      <c r="A15" s="6" t="inlineStr">
        <is>
          <t>Total Capital Ratio</t>
        </is>
      </c>
      <c r="B15" s="6" t="inlineStr">
        <is>
          <t>15.72%</t>
        </is>
      </c>
      <c r="C15" s="6" t="inlineStr">
        <is>
          <t>18.04%</t>
        </is>
      </c>
      <c r="D15" s="6" t="inlineStr">
        <is>
          <t>20.10%</t>
        </is>
      </c>
      <c r="E15" s="6" t="inlineStr">
        <is>
          <t>21.03%</t>
        </is>
      </c>
      <c r="F15" s="6" t="inlineStr">
        <is>
          <t>20.0%</t>
        </is>
      </c>
    </row>
    <row r="16">
      <c r="A16" s="6" t="inlineStr">
        <is>
          <t>Leverage Ratio</t>
        </is>
      </c>
      <c r="B16" s="6" t="inlineStr">
        <is>
          <t>7.22%</t>
        </is>
      </c>
      <c r="C16" s="6" t="inlineStr">
        <is>
          <t>9.66%</t>
        </is>
      </c>
      <c r="D16" s="6" t="inlineStr">
        <is>
          <t>8.94%</t>
        </is>
      </c>
      <c r="E16" s="6" t="inlineStr">
        <is>
          <t>9.17%</t>
        </is>
      </c>
      <c r="F16" s="6" t="inlineStr">
        <is>
          <t>11.1%</t>
        </is>
      </c>
    </row>
    <row r="17">
      <c r="A17" s="6" t="inlineStr">
        <is>
          <t>LCR</t>
        </is>
      </c>
      <c r="B17" s="6" t="inlineStr">
        <is>
          <t>189.07%</t>
        </is>
      </c>
      <c r="C17" s="6" t="inlineStr">
        <is>
          <t>296.84%</t>
        </is>
      </c>
      <c r="D17" s="6" t="inlineStr">
        <is>
          <t>324.90%</t>
        </is>
      </c>
      <c r="E17" s="6" t="inlineStr">
        <is>
          <t>401.68%</t>
        </is>
      </c>
      <c r="F17" s="6" t="inlineStr">
        <is>
          <t>575.71%</t>
        </is>
      </c>
    </row>
    <row r="18">
      <c r="A18" s="6" t="inlineStr">
        <is>
          <t>NSFR</t>
        </is>
      </c>
      <c r="B18" s="6" t="inlineStr">
        <is>
          <t>178.27%</t>
        </is>
      </c>
      <c r="C18" s="6" t="inlineStr">
        <is>
          <t>156.44%</t>
        </is>
      </c>
      <c r="D18" s="6" t="inlineStr">
        <is>
          <t>171.97%</t>
        </is>
      </c>
      <c r="E18" s="6" t="inlineStr">
        <is>
          <t>169.82%</t>
        </is>
      </c>
      <c r="F18" s="6" t="n"/>
    </row>
    <row r="20" ht="45" customHeight="1">
      <c r="A20" s="7" t="inlineStr">
        <is>
          <t>Note: Figures are duplicated from the detail sheets for at-a-glance trend viewing; see each sheet's own source citation for the underlying document/page. All figures are Castle Trust Capital plc's own solo ('Bank') basis, not the wider Castle Trust Holdings Limited Group.</t>
        </is>
      </c>
    </row>
  </sheetData>
  <mergeCells count="1">
    <mergeCell ref="A20:F2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7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Castle Trust Capital plc — Statement of Cash Flows</t>
        </is>
      </c>
    </row>
    <row r="2">
      <c r="A2" s="2" t="inlineStr">
        <is>
          <t>Company (solo) basis, £'000. Not the wider Castle Trust Holdings Limited Group. See source note at bottom.</t>
        </is>
      </c>
    </row>
    <row r="3">
      <c r="A3" s="4" t="inlineStr">
        <is>
          <t>Line item</t>
        </is>
      </c>
      <c r="B3" s="4" t="inlineStr">
        <is>
          <t>FY2025</t>
        </is>
      </c>
      <c r="C3" s="4" t="inlineStr">
        <is>
          <t>FY2024</t>
        </is>
      </c>
      <c r="D3" s="4" t="inlineStr">
        <is>
          <t>FY2023</t>
        </is>
      </c>
      <c r="E3" s="4" t="inlineStr">
        <is>
          <t>FY2022</t>
        </is>
      </c>
      <c r="F3" s="4" t="inlineStr">
        <is>
          <t>FY2021</t>
        </is>
      </c>
    </row>
    <row r="4">
      <c r="A4" s="5" t="inlineStr">
        <is>
          <t>Cash flows from operating activities</t>
        </is>
      </c>
      <c r="B4" s="6" t="n"/>
      <c r="C4" s="6" t="n"/>
      <c r="D4" s="6" t="n"/>
      <c r="E4" s="6" t="n"/>
      <c r="F4" s="6" t="n"/>
    </row>
    <row r="5">
      <c r="A5" s="6" t="inlineStr">
        <is>
          <t>Profit/(loss) before tax</t>
        </is>
      </c>
      <c r="B5" s="6" t="n">
        <v>1203</v>
      </c>
      <c r="C5" s="6" t="n">
        <v>544</v>
      </c>
      <c r="D5" s="6" t="n">
        <v>10147</v>
      </c>
      <c r="E5" s="6" t="n">
        <v>4460</v>
      </c>
      <c r="F5" s="6" t="n">
        <v>-2265</v>
      </c>
    </row>
    <row r="6">
      <c r="A6" s="6" t="inlineStr">
        <is>
          <t>Depreciation and amortisation</t>
        </is>
      </c>
      <c r="B6" s="6" t="n">
        <v>2754</v>
      </c>
      <c r="C6" s="6" t="n">
        <v>2464</v>
      </c>
      <c r="D6" s="6" t="n">
        <v>2219</v>
      </c>
      <c r="E6" s="6" t="n">
        <v>2040</v>
      </c>
      <c r="F6" s="6" t="n">
        <v>1617</v>
      </c>
    </row>
    <row r="7">
      <c r="A7" s="6" t="inlineStr">
        <is>
          <t>Loss on disposal of property, plant and equipment</t>
        </is>
      </c>
      <c r="B7" s="6" t="n">
        <v>63</v>
      </c>
      <c r="C7" s="6" t="n"/>
      <c r="D7" s="6" t="n"/>
      <c r="E7" s="6" t="n"/>
      <c r="F7" s="6" t="n"/>
    </row>
    <row r="8">
      <c r="A8" s="6" t="inlineStr">
        <is>
          <t>Write off of intangible assets</t>
        </is>
      </c>
      <c r="B8" s="6" t="n"/>
      <c r="C8" s="6" t="n">
        <v>80</v>
      </c>
      <c r="D8" s="6" t="n"/>
      <c r="E8" s="6" t="n"/>
      <c r="F8" s="6" t="n"/>
    </row>
    <row r="9">
      <c r="A9" s="6" t="inlineStr">
        <is>
          <t>Loss on disposal of intangibles and property, plant and equipment</t>
        </is>
      </c>
      <c r="B9" s="6" t="n"/>
      <c r="C9" s="6" t="n"/>
      <c r="D9" s="6" t="n"/>
      <c r="E9" s="6" t="n">
        <v>78</v>
      </c>
      <c r="F9" s="6" t="n">
        <v>78</v>
      </c>
    </row>
    <row r="10">
      <c r="A10" s="6" t="inlineStr">
        <is>
          <t>Dividends received</t>
        </is>
      </c>
      <c r="B10" s="6" t="n"/>
      <c r="C10" s="6" t="n"/>
      <c r="D10" s="6" t="n"/>
      <c r="E10" s="6" t="n">
        <v>-18001</v>
      </c>
      <c r="F10" s="6" t="n">
        <v>-18001</v>
      </c>
    </row>
    <row r="11">
      <c r="A11" s="6" t="inlineStr">
        <is>
          <t>Impairment charge/(reversal) on investments in subsidiaries</t>
        </is>
      </c>
      <c r="B11" s="6" t="n"/>
      <c r="C11" s="6" t="n"/>
      <c r="D11" s="6" t="n"/>
      <c r="E11" s="6" t="n">
        <v>18001</v>
      </c>
      <c r="F11" s="6" t="n">
        <v>18001</v>
      </c>
    </row>
    <row r="12">
      <c r="A12" s="6" t="inlineStr">
        <is>
          <t>Share based payment expense</t>
        </is>
      </c>
      <c r="B12" s="6" t="n">
        <v>0</v>
      </c>
      <c r="C12" s="6" t="n">
        <v>1</v>
      </c>
      <c r="D12" s="6" t="n">
        <v>93</v>
      </c>
      <c r="E12" s="6" t="n">
        <v>36</v>
      </c>
      <c r="F12" s="6" t="n">
        <v>16</v>
      </c>
    </row>
    <row r="13">
      <c r="A13" s="6" t="inlineStr">
        <is>
          <t>Net interest income</t>
        </is>
      </c>
      <c r="B13" s="6" t="n">
        <v>-33009</v>
      </c>
      <c r="C13" s="6" t="n">
        <v>-26408</v>
      </c>
      <c r="D13" s="6" t="n">
        <v>-29626</v>
      </c>
      <c r="E13" s="6" t="n">
        <v>-25436</v>
      </c>
      <c r="F13" s="6" t="n"/>
    </row>
    <row r="14">
      <c r="A14" s="6" t="inlineStr">
        <is>
          <t>Interest income - MILA</t>
        </is>
      </c>
      <c r="B14" s="6" t="n"/>
      <c r="C14" s="6" t="n"/>
      <c r="D14" s="6" t="n"/>
      <c r="E14" s="6" t="n"/>
      <c r="F14" s="6" t="n">
        <v>-4687</v>
      </c>
    </row>
    <row r="15">
      <c r="A15" s="6" t="inlineStr">
        <is>
          <t>Interest on lease liabilities</t>
        </is>
      </c>
      <c r="B15" s="6" t="n"/>
      <c r="C15" s="6" t="n"/>
      <c r="D15" s="6" t="n"/>
      <c r="E15" s="6" t="n"/>
      <c r="F15" s="6" t="n">
        <v>52</v>
      </c>
    </row>
    <row r="16">
      <c r="A16" s="6" t="inlineStr">
        <is>
          <t>Impairment losses</t>
        </is>
      </c>
      <c r="B16" s="6" t="n">
        <v>8911</v>
      </c>
      <c r="C16" s="6" t="n">
        <v>4715</v>
      </c>
      <c r="D16" s="6" t="n">
        <v>3298</v>
      </c>
      <c r="E16" s="6" t="n">
        <v>1530</v>
      </c>
      <c r="F16" s="6" t="n">
        <v>1892</v>
      </c>
    </row>
    <row r="17">
      <c r="A17" s="6" t="inlineStr">
        <is>
          <t>Other income on R&amp;D tax credits</t>
        </is>
      </c>
      <c r="B17" s="6" t="n">
        <v>-255</v>
      </c>
      <c r="C17" s="6" t="n">
        <v>-417</v>
      </c>
      <c r="D17" s="6" t="n"/>
      <c r="E17" s="6" t="n"/>
      <c r="F17" s="6" t="n"/>
    </row>
    <row r="18">
      <c r="A18" s="6" t="inlineStr">
        <is>
          <t>R&amp;D tax credits released against tax charge</t>
        </is>
      </c>
      <c r="B18" s="6" t="n"/>
      <c r="C18" s="6" t="n"/>
      <c r="D18" s="6" t="n">
        <v>-120</v>
      </c>
      <c r="E18" s="6" t="n">
        <v>-220</v>
      </c>
      <c r="F18" s="6" t="n"/>
    </row>
    <row r="19">
      <c r="A19" s="6" t="inlineStr">
        <is>
          <t>Tax charge transferred from subsidiary</t>
        </is>
      </c>
      <c r="B19" s="6" t="n"/>
      <c r="C19" s="6" t="n">
        <v>0</v>
      </c>
      <c r="D19" s="6" t="n">
        <v>-225</v>
      </c>
      <c r="E19" s="6" t="n"/>
      <c r="F19" s="6" t="n"/>
    </row>
    <row r="20">
      <c r="A20" s="6" t="inlineStr">
        <is>
          <t>Fair value losses/(gains) on loans to customers at fair value</t>
        </is>
      </c>
      <c r="B20" s="6" t="n">
        <v>0</v>
      </c>
      <c r="C20" s="6" t="n">
        <v>319</v>
      </c>
      <c r="D20" s="6" t="n">
        <v>278</v>
      </c>
      <c r="E20" s="6" t="n">
        <v>427</v>
      </c>
      <c r="F20" s="6" t="n">
        <v>1032</v>
      </c>
    </row>
    <row r="21">
      <c r="A21" s="6" t="inlineStr">
        <is>
          <t>Fair value (gains)/losses on amounts due to customers at fair value</t>
        </is>
      </c>
      <c r="B21" s="6" t="n">
        <v>-4</v>
      </c>
      <c r="C21" s="6" t="n">
        <v>51</v>
      </c>
      <c r="D21" s="6" t="n">
        <v>-41</v>
      </c>
      <c r="E21" s="6" t="n">
        <v>112</v>
      </c>
      <c r="F21" s="6" t="n">
        <v>158</v>
      </c>
    </row>
    <row r="22">
      <c r="A22" s="6" t="inlineStr">
        <is>
          <t>Net unrealised (gain)/loss on derivative(s) assets</t>
        </is>
      </c>
      <c r="B22" s="6" t="n">
        <v>1753</v>
      </c>
      <c r="C22" s="6" t="n">
        <v>2406</v>
      </c>
      <c r="D22" s="6" t="n">
        <v>-1225</v>
      </c>
      <c r="E22" s="6" t="n">
        <v>-3219</v>
      </c>
      <c r="F22" s="6" t="n"/>
    </row>
    <row r="23">
      <c r="A23" s="5" t="inlineStr">
        <is>
          <t>Cash flows from operating activities before changes in operating assets and liabilities</t>
        </is>
      </c>
      <c r="B23" s="5" t="n">
        <v>-18584</v>
      </c>
      <c r="C23" s="5" t="n">
        <v>-16245</v>
      </c>
      <c r="D23" s="5" t="n">
        <v>-15202</v>
      </c>
      <c r="E23" s="5" t="n"/>
      <c r="F23" s="5" t="n"/>
    </row>
    <row r="24">
      <c r="A24" s="5" t="inlineStr">
        <is>
          <t>Changes in operating assets and liabilities</t>
        </is>
      </c>
      <c r="B24" s="6" t="n"/>
      <c r="C24" s="6" t="n"/>
      <c r="D24" s="6" t="n"/>
      <c r="E24" s="6" t="n"/>
      <c r="F24" s="6" t="n"/>
    </row>
    <row r="25">
      <c r="A25" s="6" t="inlineStr">
        <is>
          <t>(Increase)/decrease in trade and other receivables (excluding corporation tax receivable)</t>
        </is>
      </c>
      <c r="B25" s="6" t="n">
        <v>-258</v>
      </c>
      <c r="C25" s="6" t="n">
        <v>12</v>
      </c>
      <c r="D25" s="6" t="n">
        <v>253</v>
      </c>
      <c r="E25" s="6" t="n">
        <v>-186</v>
      </c>
      <c r="F25" s="6" t="n">
        <v>201</v>
      </c>
    </row>
    <row r="26">
      <c r="A26" s="6" t="inlineStr">
        <is>
          <t>Increase/(decrease) in loans to customers at amortised cost</t>
        </is>
      </c>
      <c r="B26" s="6" t="n">
        <v>-390164</v>
      </c>
      <c r="C26" s="6" t="n">
        <v>-107177</v>
      </c>
      <c r="D26" s="6" t="n">
        <v>-79742</v>
      </c>
      <c r="E26" s="6" t="n">
        <v>-47624</v>
      </c>
      <c r="F26" s="6" t="n">
        <v>48663</v>
      </c>
    </row>
    <row r="27">
      <c r="A27" s="6" t="inlineStr">
        <is>
          <t>Increase in amounts due to customers at amortised cost (and related hedged asset)</t>
        </is>
      </c>
      <c r="B27" s="6" t="n">
        <v>546293</v>
      </c>
      <c r="C27" s="6" t="n">
        <v>139599</v>
      </c>
      <c r="D27" s="6" t="n">
        <v>108862</v>
      </c>
      <c r="E27" s="6" t="n">
        <v>168780</v>
      </c>
      <c r="F27" s="6" t="n"/>
    </row>
    <row r="28">
      <c r="A28" s="6" t="inlineStr">
        <is>
          <t>Increase in amounts due to customers at amortised cost / Borrower Loan Agreement</t>
        </is>
      </c>
      <c r="B28" s="6" t="n"/>
      <c r="C28" s="6" t="n"/>
      <c r="D28" s="6" t="n"/>
      <c r="E28" s="6" t="n"/>
      <c r="F28" s="6" t="n">
        <v>-93538</v>
      </c>
    </row>
    <row r="29">
      <c r="A29" s="6" t="inlineStr">
        <is>
          <t>Increase/(decrease) in prepayments (and related hedge liability)</t>
        </is>
      </c>
      <c r="B29" s="6" t="n">
        <v>-177</v>
      </c>
      <c r="C29" s="6" t="n">
        <v>-350</v>
      </c>
      <c r="D29" s="6" t="n">
        <v>-81</v>
      </c>
      <c r="E29" s="6" t="n">
        <v>-14</v>
      </c>
      <c r="F29" s="6" t="n">
        <v>466</v>
      </c>
    </row>
    <row r="30">
      <c r="A30" s="6" t="inlineStr">
        <is>
          <t>Increase/(decrease) in trade and other payables (excl. corporation tax payable and lease liability)</t>
        </is>
      </c>
      <c r="B30" s="6" t="n">
        <v>6547</v>
      </c>
      <c r="C30" s="6" t="n">
        <v>1281</v>
      </c>
      <c r="D30" s="6" t="n">
        <v>-3074</v>
      </c>
      <c r="E30" s="6" t="n">
        <v>772</v>
      </c>
      <c r="F30" s="6" t="n">
        <v>-16013</v>
      </c>
    </row>
    <row r="31">
      <c r="A31" s="6" t="inlineStr">
        <is>
          <t>Decrease/(increase) in loans to customers at fair value</t>
        </is>
      </c>
      <c r="B31" s="6" t="n">
        <v>0</v>
      </c>
      <c r="C31" s="6" t="n">
        <v>3764</v>
      </c>
      <c r="D31" s="6" t="n">
        <v>-267</v>
      </c>
      <c r="E31" s="6" t="n">
        <v>-47</v>
      </c>
      <c r="F31" s="6" t="n">
        <v>0</v>
      </c>
    </row>
    <row r="32">
      <c r="A32" s="6" t="inlineStr">
        <is>
          <t>Decrease in amounts due to customers at fair value</t>
        </is>
      </c>
      <c r="B32" s="6" t="n">
        <v>-71</v>
      </c>
      <c r="C32" s="6" t="n">
        <v>-754</v>
      </c>
      <c r="D32" s="6" t="n">
        <v>-561</v>
      </c>
      <c r="E32" s="6" t="n">
        <v>-21</v>
      </c>
      <c r="F32" s="6" t="n"/>
    </row>
    <row r="33">
      <c r="A33" s="6" t="inlineStr">
        <is>
          <t>Increase/(decrease) in derivative financial instruments/assets</t>
        </is>
      </c>
      <c r="B33" s="6" t="n">
        <v>-1523</v>
      </c>
      <c r="C33" s="6" t="n">
        <v>-2605</v>
      </c>
      <c r="D33" s="6" t="n">
        <v>1671</v>
      </c>
      <c r="E33" s="6" t="n">
        <v>96</v>
      </c>
      <c r="F33" s="6" t="n"/>
    </row>
    <row r="34">
      <c r="A34" s="6" t="inlineStr">
        <is>
          <t>Increase in amounts due to customers at fair value / group companies (inter-company swap)</t>
        </is>
      </c>
      <c r="B34" s="6" t="n"/>
      <c r="C34" s="6" t="n"/>
      <c r="D34" s="6" t="n"/>
      <c r="E34" s="6" t="n"/>
      <c r="F34" s="6" t="n">
        <v>-289</v>
      </c>
    </row>
    <row r="35">
      <c r="A35" s="6" t="inlineStr">
        <is>
          <t>Increase in amounts due from credit institutions</t>
        </is>
      </c>
      <c r="B35" s="6" t="n">
        <v>-2799</v>
      </c>
      <c r="C35" s="6" t="n">
        <v>-8354</v>
      </c>
      <c r="D35" s="6" t="n">
        <v>-1930</v>
      </c>
      <c r="E35" s="6" t="n"/>
      <c r="F35" s="6" t="n"/>
    </row>
    <row r="36">
      <c r="A36" s="6" t="inlineStr">
        <is>
          <t>Increase/(decrease) in amounts due to credit institutions</t>
        </is>
      </c>
      <c r="B36" s="6" t="n">
        <v>119</v>
      </c>
      <c r="C36" s="6" t="n">
        <v>-1326</v>
      </c>
      <c r="D36" s="6" t="n">
        <v>-1160</v>
      </c>
      <c r="E36" s="6" t="n">
        <v>4100</v>
      </c>
      <c r="F36" s="6" t="n"/>
    </row>
    <row r="37">
      <c r="A37" s="6" t="inlineStr">
        <is>
          <t>Tax refunds</t>
        </is>
      </c>
      <c r="B37" s="6" t="n">
        <v>0</v>
      </c>
      <c r="C37" s="6" t="n">
        <v>118</v>
      </c>
      <c r="D37" s="6" t="n"/>
      <c r="E37" s="6" t="n"/>
      <c r="F37" s="6" t="n"/>
    </row>
    <row r="38">
      <c r="A38" s="6" t="inlineStr">
        <is>
          <t>Tax paid</t>
        </is>
      </c>
      <c r="B38" s="6" t="n">
        <v>-1188</v>
      </c>
      <c r="C38" s="6" t="n"/>
      <c r="D38" s="6" t="n"/>
      <c r="E38" s="6" t="n">
        <v>-26</v>
      </c>
      <c r="F38" s="6" t="n"/>
    </row>
    <row r="39">
      <c r="A39" s="6" t="inlineStr">
        <is>
          <t>Tax refunded/(paid)</t>
        </is>
      </c>
      <c r="B39" s="6" t="n"/>
      <c r="C39" s="6" t="n"/>
      <c r="D39" s="6" t="n">
        <v>-13</v>
      </c>
      <c r="E39" s="6" t="n"/>
      <c r="F39" s="6" t="n"/>
    </row>
    <row r="40">
      <c r="A40" s="6" t="inlineStr">
        <is>
          <t>Interest received</t>
        </is>
      </c>
      <c r="B40" s="6" t="n">
        <v>60879</v>
      </c>
      <c r="C40" s="6" t="n">
        <v>46245</v>
      </c>
      <c r="D40" s="6" t="n">
        <v>30986</v>
      </c>
      <c r="E40" s="6" t="n">
        <v>20746</v>
      </c>
      <c r="F40" s="6" t="n"/>
    </row>
    <row r="41">
      <c r="A41" s="6" t="inlineStr">
        <is>
          <t>Interest paid (excluding interest on lease liabilities and MILA loan)</t>
        </is>
      </c>
      <c r="B41" s="6" t="n">
        <v>-64410</v>
      </c>
      <c r="C41" s="6" t="n"/>
      <c r="D41" s="6" t="n"/>
      <c r="E41" s="6" t="n"/>
      <c r="F41" s="6" t="n"/>
    </row>
    <row r="42">
      <c r="A42" s="6" t="inlineStr">
        <is>
          <t>Interest paid on lease liabilities</t>
        </is>
      </c>
      <c r="B42" s="6" t="n">
        <v>-59</v>
      </c>
      <c r="C42" s="6" t="n"/>
      <c r="D42" s="6" t="n"/>
      <c r="E42" s="6" t="n"/>
      <c r="F42" s="6" t="n"/>
    </row>
    <row r="43">
      <c r="A43" s="6" t="inlineStr">
        <is>
          <t>Interest paid (including interest on lease liabilities and MILA loan)</t>
        </is>
      </c>
      <c r="B43" s="6" t="n"/>
      <c r="C43" s="6" t="n">
        <v>-48308</v>
      </c>
      <c r="D43" s="6" t="n">
        <v>-26760</v>
      </c>
      <c r="E43" s="6" t="n">
        <v>-10649</v>
      </c>
      <c r="F43" s="6" t="n"/>
    </row>
    <row r="44">
      <c r="A44" s="5" t="inlineStr">
        <is>
          <t>Net cash generated from/(used in) operating activities</t>
        </is>
      </c>
      <c r="B44" s="5" t="n">
        <v>134605</v>
      </c>
      <c r="C44" s="5" t="n">
        <v>5222</v>
      </c>
      <c r="D44" s="5" t="n">
        <v>12982</v>
      </c>
      <c r="E44" s="5" t="n">
        <v>113687</v>
      </c>
      <c r="F44" s="5" t="n">
        <v>-62617</v>
      </c>
    </row>
    <row r="45">
      <c r="A45" s="5" t="inlineStr">
        <is>
          <t>Cash flows from investing activities</t>
        </is>
      </c>
      <c r="B45" s="6" t="n"/>
      <c r="C45" s="6" t="n"/>
      <c r="D45" s="6" t="n"/>
      <c r="E45" s="6" t="n"/>
      <c r="F45" s="6" t="n"/>
    </row>
    <row r="46">
      <c r="A46" s="6" t="inlineStr">
        <is>
          <t>Purchase of intangible assets</t>
        </is>
      </c>
      <c r="B46" s="6" t="n">
        <v>-1781</v>
      </c>
      <c r="C46" s="6" t="n">
        <v>-2237</v>
      </c>
      <c r="D46" s="6" t="n">
        <v>-2352</v>
      </c>
      <c r="E46" s="6" t="n">
        <v>-1862</v>
      </c>
      <c r="F46" s="6" t="n">
        <v>-1027</v>
      </c>
    </row>
    <row r="47">
      <c r="A47" s="6" t="inlineStr">
        <is>
          <t>Purchase of debt instruments</t>
        </is>
      </c>
      <c r="B47" s="6" t="n">
        <v>-19838</v>
      </c>
      <c r="C47" s="6" t="n">
        <v>-53000</v>
      </c>
      <c r="D47" s="6" t="n"/>
      <c r="E47" s="6" t="n"/>
      <c r="F47" s="6" t="n"/>
    </row>
    <row r="48">
      <c r="A48" s="6" t="inlineStr">
        <is>
          <t>Proceeds from sale of debt instruments</t>
        </is>
      </c>
      <c r="B48" s="6" t="n">
        <v>63347</v>
      </c>
      <c r="C48" s="6" t="n">
        <v>29685</v>
      </c>
      <c r="D48" s="6" t="n"/>
      <c r="E48" s="6" t="n">
        <v>14999</v>
      </c>
      <c r="F48" s="6" t="n"/>
    </row>
    <row r="49">
      <c r="A49" s="6" t="inlineStr">
        <is>
          <t>(Purchase)/sale of debt instruments (net, as reported)</t>
        </is>
      </c>
      <c r="B49" s="6" t="n"/>
      <c r="C49" s="6" t="n"/>
      <c r="D49" s="6" t="n">
        <v>-35495</v>
      </c>
      <c r="E49" s="6" t="n"/>
      <c r="F49" s="6" t="n"/>
    </row>
    <row r="50">
      <c r="A50" s="6" t="inlineStr">
        <is>
          <t>Sale/(purchase) of debt instruments (net, as reported)</t>
        </is>
      </c>
      <c r="B50" s="6" t="n"/>
      <c r="C50" s="6" t="n"/>
      <c r="D50" s="6" t="n"/>
      <c r="E50" s="6" t="n"/>
      <c r="F50" s="6" t="n">
        <v>96919</v>
      </c>
    </row>
    <row r="51">
      <c r="A51" s="6" t="inlineStr">
        <is>
          <t>Purchase of property, plant and equipment</t>
        </is>
      </c>
      <c r="B51" s="6" t="n">
        <v>-97</v>
      </c>
      <c r="C51" s="6" t="n">
        <v>-123</v>
      </c>
      <c r="D51" s="6" t="n">
        <v>-11</v>
      </c>
      <c r="E51" s="6" t="n">
        <v>-493</v>
      </c>
      <c r="F51" s="6" t="n">
        <v>-73</v>
      </c>
    </row>
    <row r="52">
      <c r="A52" s="6" t="inlineStr">
        <is>
          <t>Disposals of property, plant and equipment</t>
        </is>
      </c>
      <c r="B52" s="6" t="n">
        <v>0</v>
      </c>
      <c r="C52" s="6" t="n">
        <v>22</v>
      </c>
      <c r="D52" s="6" t="n"/>
      <c r="E52" s="6" t="n"/>
      <c r="F52" s="6" t="n"/>
    </row>
    <row r="53">
      <c r="A53" s="6" t="inlineStr">
        <is>
          <t>Purchase of leased asset on transfer</t>
        </is>
      </c>
      <c r="B53" s="6" t="n"/>
      <c r="C53" s="6" t="n"/>
      <c r="D53" s="6" t="n"/>
      <c r="E53" s="6" t="n"/>
      <c r="F53" s="6" t="n">
        <v>-17</v>
      </c>
    </row>
    <row r="54">
      <c r="A54" s="6" t="inlineStr">
        <is>
          <t>Proceeds from maturities of fixed deposits</t>
        </is>
      </c>
      <c r="B54" s="6" t="n"/>
      <c r="C54" s="6" t="n"/>
      <c r="D54" s="6" t="n"/>
      <c r="E54" s="6" t="n"/>
      <c r="F54" s="6" t="n">
        <v>0</v>
      </c>
    </row>
    <row r="55">
      <c r="A55" s="5" t="inlineStr">
        <is>
          <t>Net cash generated from/(used in) investing activities</t>
        </is>
      </c>
      <c r="B55" s="5" t="n">
        <v>41631</v>
      </c>
      <c r="C55" s="5" t="n">
        <v>-25653</v>
      </c>
      <c r="D55" s="5" t="n">
        <v>-37858</v>
      </c>
      <c r="E55" s="5" t="n">
        <v>12644</v>
      </c>
      <c r="F55" s="5" t="n">
        <v>95802</v>
      </c>
    </row>
    <row r="56">
      <c r="A56" s="5" t="inlineStr">
        <is>
          <t>Cash flows from financing activities</t>
        </is>
      </c>
      <c r="B56" s="6" t="n"/>
      <c r="C56" s="6" t="n"/>
      <c r="D56" s="6" t="n"/>
      <c r="E56" s="6" t="n"/>
      <c r="F56" s="6" t="n"/>
    </row>
    <row r="57">
      <c r="A57" s="6" t="inlineStr">
        <is>
          <t>Principal receipts of intercompany loans</t>
        </is>
      </c>
      <c r="B57" s="6" t="n">
        <v>127105</v>
      </c>
      <c r="C57" s="6" t="n">
        <v>35952</v>
      </c>
      <c r="D57" s="6" t="n"/>
      <c r="E57" s="6" t="n"/>
      <c r="F57" s="6" t="n"/>
    </row>
    <row r="58">
      <c r="A58" s="6" t="inlineStr">
        <is>
          <t>Principal repayment of intercompany loans</t>
        </is>
      </c>
      <c r="B58" s="6" t="n">
        <v>-101088</v>
      </c>
      <c r="C58" s="6" t="n">
        <v>-5199</v>
      </c>
      <c r="D58" s="6" t="n">
        <v>-18021</v>
      </c>
      <c r="E58" s="6" t="n"/>
      <c r="F58" s="6" t="n"/>
    </row>
    <row r="59">
      <c r="A59" s="6" t="inlineStr">
        <is>
          <t>Principal repayment of MILA loan</t>
        </is>
      </c>
      <c r="B59" s="6" t="n"/>
      <c r="C59" s="6" t="n"/>
      <c r="D59" s="6" t="n"/>
      <c r="E59" s="6" t="n">
        <v>-36770</v>
      </c>
      <c r="F59" s="6" t="n"/>
    </row>
    <row r="60">
      <c r="A60" s="6" t="inlineStr">
        <is>
          <t>Proceeds from issue of share capital</t>
        </is>
      </c>
      <c r="B60" s="6" t="n"/>
      <c r="C60" s="6" t="n"/>
      <c r="D60" s="6" t="n"/>
      <c r="E60" s="6" t="n"/>
      <c r="F60" s="6" t="n">
        <v>0</v>
      </c>
    </row>
    <row r="61">
      <c r="A61" s="6" t="inlineStr">
        <is>
          <t>Interest received on MILA</t>
        </is>
      </c>
      <c r="B61" s="6" t="n"/>
      <c r="C61" s="6" t="n"/>
      <c r="D61" s="6" t="n"/>
      <c r="E61" s="6" t="n"/>
      <c r="F61" s="6" t="n">
        <v>4687</v>
      </c>
    </row>
    <row r="62">
      <c r="A62" s="6" t="inlineStr">
        <is>
          <t>Principal (repayment)/receipt of MILA</t>
        </is>
      </c>
      <c r="B62" s="6" t="n"/>
      <c r="C62" s="6" t="n"/>
      <c r="D62" s="6" t="n"/>
      <c r="E62" s="6" t="n"/>
      <c r="F62" s="6" t="n">
        <v>-14813</v>
      </c>
    </row>
    <row r="63">
      <c r="A63" s="6" t="inlineStr">
        <is>
          <t>Lease payments of principal</t>
        </is>
      </c>
      <c r="B63" s="6" t="n">
        <v>-411</v>
      </c>
      <c r="C63" s="6" t="n">
        <v>-561</v>
      </c>
      <c r="D63" s="6" t="n">
        <v>-517</v>
      </c>
      <c r="E63" s="6" t="n">
        <v>-399</v>
      </c>
      <c r="F63" s="6" t="n">
        <v>-293</v>
      </c>
    </row>
    <row r="64">
      <c r="A64" s="6" t="inlineStr">
        <is>
          <t>Lease interest paid</t>
        </is>
      </c>
      <c r="B64" s="6" t="n"/>
      <c r="C64" s="6" t="n"/>
      <c r="D64" s="6" t="n"/>
      <c r="E64" s="6" t="n"/>
      <c r="F64" s="6" t="n">
        <v>-52</v>
      </c>
    </row>
    <row r="65">
      <c r="A65" s="6" t="inlineStr">
        <is>
          <t>Receipts from issuance of subordinated liability</t>
        </is>
      </c>
      <c r="B65" s="6" t="n">
        <v>8000</v>
      </c>
      <c r="C65" s="6" t="n">
        <v>7000</v>
      </c>
      <c r="D65" s="6" t="n"/>
      <c r="E65" s="6" t="n"/>
      <c r="F65" s="6" t="n"/>
    </row>
    <row r="66">
      <c r="A66" s="5" t="inlineStr">
        <is>
          <t>Net cash generated from/(used in) financing activities</t>
        </is>
      </c>
      <c r="B66" s="5" t="n">
        <v>33606</v>
      </c>
      <c r="C66" s="5" t="n">
        <v>37192</v>
      </c>
      <c r="D66" s="5" t="n">
        <v>-18538</v>
      </c>
      <c r="E66" s="5" t="n">
        <v>-37169</v>
      </c>
      <c r="F66" s="5" t="n">
        <v>-10471</v>
      </c>
    </row>
    <row r="67">
      <c r="A67" s="5" t="inlineStr">
        <is>
          <t>Net increase/(decrease) in cash and cash equivalents</t>
        </is>
      </c>
      <c r="B67" s="5" t="n">
        <v>209842</v>
      </c>
      <c r="C67" s="5" t="n">
        <v>16761</v>
      </c>
      <c r="D67" s="5" t="n">
        <v>-43414</v>
      </c>
      <c r="E67" s="5" t="n">
        <v>89162</v>
      </c>
      <c r="F67" s="5" t="n">
        <v>22714</v>
      </c>
    </row>
    <row r="68">
      <c r="A68" s="6" t="inlineStr">
        <is>
          <t>Cash and cash equivalents at the beginning of the year</t>
        </is>
      </c>
      <c r="B68" s="6" t="n">
        <v>117053</v>
      </c>
      <c r="C68" s="6" t="n">
        <v>100292</v>
      </c>
      <c r="D68" s="6" t="n">
        <v>143706</v>
      </c>
      <c r="E68" s="6" t="n">
        <v>54544</v>
      </c>
      <c r="F68" s="6" t="n">
        <v>31830</v>
      </c>
    </row>
    <row r="69">
      <c r="A69" s="5" t="inlineStr">
        <is>
          <t>Cash and cash equivalents at the end of the year</t>
        </is>
      </c>
      <c r="B69" s="5" t="n">
        <v>326895</v>
      </c>
      <c r="C69" s="5" t="n">
        <v>117053</v>
      </c>
      <c r="D69" s="5" t="n">
        <v>100292</v>
      </c>
      <c r="E69" s="5" t="n">
        <v>143706</v>
      </c>
      <c r="F69" s="5" t="n">
        <v>54544</v>
      </c>
    </row>
    <row r="71" ht="280" customHeight="1">
      <c r="A71" s="8" t="inlineStr">
        <is>
          <t>Sources - all figures are Castle Trust Capital plc's own Company-only (solo) Statement of Cash Flows, £'000:
FY2025 (&amp; FY2024 comparative): Castle Trust Capital plc Annual financial statements, y/e 30 Sept 2025, p.59 - https://find-and-update.company-information.service.gov.uk/company/07454474/filing-history/MzUwMDY5OTYyMGFkaXF6a2N4/document?format=pdf&amp;download=0
FY2024 (&amp; FY2023 comparative): Castle Trust Capital plc Annual financial statements, y/e 30 Sept 2024, p.58 - https://find-and-update.company-information.service.gov.uk/company/07454474/filing-history/MzQ1MzY3NTE2MGFkaXF6a2N4/document?format=pdf&amp;download=0
FY2023 (&amp; FY2022 comparative): Castle Trust Capital plc Annual financial statements, y/e 30 Sept 2023, p.55 - https://find-and-update.company-information.service.gov.uk/company/07454474/filing-history/MzQxNTc2MDk1NGFkaXF6a2N4/document?format=pdf&amp;download=0
FY2022 (&amp; FY2021 comparative): Castle Trust Capital plc Annual financial statements, y/e 30 Sept 2022, p.48 - https://find-and-update.company-information.service.gov.uk/company/07454474/filing-history/MzM2MzAyNjk5NGFkaXF6a2N4/document?format=pdf&amp;download=0
FY2021 (&amp; FY2020 comparative): Castle Trust Capital plc Annual financial statements, y/e 30 Sept 2021, p.41 - https://find-and-update.company-information.service.gov.uk/company/07454474/filing-history/MzMzNDg3NzA5MWFkaXF6a2N4/document?format=pdf&amp;download=0
Castle Trust Capital plc (company 07454474, FRN 541910, trading as 'Castle Trust Bank') is a wholly-owned subsidiary of Castle Trust Holdings Limited ('CTH', company 12161224) and has availed itself of the exemption under s.400 Companies Act 2006 to not prepare group accounts - its own statutory accounts (sourced here) are solo/Company-only, not consolidated, and are a genuinely different document from CTH's own consolidated 'Annual report and financial statements' (also published on the bank's website) which cover the wider Group. Cash flow figures on this sheet are Castle Trust Capital plc solo, matching the Pillar 3 sheets' 'Bank' (not 'Group') columns - kept consistent throughout to avoid a cash-flow-vs-Pillar-3 basis mismatch. All 5 Companies House filings for this entity are fully scanned/image-only; figures were transcribed via page rendering and cross-checked against each year's own report where it appears again as the following year's comparative column.
One genuine cross-vintage discrepancy found, not silently resolved: the FY2022 Annual Report's own note states 'Certain items in operating activities have been reclassified in the prior year comparatives for presentational purposes. The changes had no impact on the net cashflows from operating activities' - but its FY2021 comparative operating-activities total is stated as £(57,981)k, which does NOT match FY2021's own originally-published total of £(62,617)k (a £4,636k difference), despite the note's claim of no impact. FY2021's own originally-published figure is used in the FY2021 column here, per project convention; the discrepancy itself is flagged here rather than silently reconciled either way. All other tail-chain closing/opening balances tie exactly year to year with no gap.</t>
        </is>
      </c>
    </row>
  </sheetData>
  <mergeCells count="1">
    <mergeCell ref="A71:F7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84719</v>
      </c>
      <c r="C4" s="6" t="n">
        <v>83107</v>
      </c>
      <c r="D4" s="6" t="n">
        <v>83177</v>
      </c>
      <c r="E4" s="6" t="n">
        <v>75267</v>
      </c>
      <c r="F4" s="6" t="n">
        <v>71677</v>
      </c>
    </row>
    <row r="5" ht="60" customHeight="1">
      <c r="A5" s="7" t="inlineStr">
        <is>
          <t>Note: No AT1 instruments in issue in any year to date, so CET1 = Tier 1 capital throughout.</t>
        </is>
      </c>
    </row>
    <row r="7" ht="170" customHeight="1">
      <c r="A7"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t>
        </is>
      </c>
    </row>
  </sheetData>
  <mergeCells count="2">
    <mergeCell ref="A5:F5"/>
    <mergeCell ref="A7:F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13.35%</t>
        </is>
      </c>
      <c r="C4" s="6" t="inlineStr">
        <is>
          <t>16.64%</t>
        </is>
      </c>
      <c r="D4" s="6" t="inlineStr">
        <is>
          <t>20.10%</t>
        </is>
      </c>
      <c r="E4" s="6" t="inlineStr">
        <is>
          <t>21.03%</t>
        </is>
      </c>
      <c r="F4" s="6" t="inlineStr">
        <is>
          <t>20.0%</t>
        </is>
      </c>
    </row>
    <row r="5" ht="60" customHeight="1">
      <c r="A5" s="7" t="inlineStr">
        <is>
          <t>Note: FY2021 sourced from the pre-KM1-template 'Appendix 4. Bank Disclosures' section of the FY2021 Pillar 3 document (own funds/RWA breakdown, not a KM1 template - this format was only introduced from 1 Jan 2022).</t>
        </is>
      </c>
    </row>
    <row r="7" ht="170" customHeight="1">
      <c r="A7"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t>
        </is>
      </c>
    </row>
  </sheetData>
  <mergeCells count="2">
    <mergeCell ref="A5:F5"/>
    <mergeCell ref="A7:F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84719</v>
      </c>
      <c r="C4" s="6" t="n">
        <v>83107</v>
      </c>
      <c r="D4" s="6" t="n">
        <v>83177</v>
      </c>
      <c r="E4" s="6" t="n">
        <v>75267</v>
      </c>
      <c r="F4" s="6" t="n">
        <v>71677</v>
      </c>
    </row>
    <row r="5" ht="60" customHeight="1">
      <c r="A5" s="7" t="inlineStr">
        <is>
          <t>Note: = CET1 capital (no AT1 instruments in issue in any year to date).</t>
        </is>
      </c>
    </row>
    <row r="7" ht="170" customHeight="1">
      <c r="A7"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t>
        </is>
      </c>
    </row>
  </sheetData>
  <mergeCells count="2">
    <mergeCell ref="A5:F5"/>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13.35%</t>
        </is>
      </c>
      <c r="C4" s="6" t="inlineStr">
        <is>
          <t>16.64%</t>
        </is>
      </c>
      <c r="D4" s="6" t="inlineStr">
        <is>
          <t>20.10%</t>
        </is>
      </c>
      <c r="E4" s="6" t="inlineStr">
        <is>
          <t>21.03%</t>
        </is>
      </c>
      <c r="F4" s="6" t="inlineStr">
        <is>
          <t>20.0%</t>
        </is>
      </c>
    </row>
    <row r="6" ht="170" customHeight="1">
      <c r="A6"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t>
        </is>
      </c>
    </row>
  </sheetData>
  <mergeCells count="1">
    <mergeCell ref="A6:F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99719</v>
      </c>
      <c r="C4" s="6" t="n">
        <v>90107</v>
      </c>
      <c r="D4" s="6" t="n">
        <v>83177</v>
      </c>
      <c r="E4" s="6" t="n">
        <v>75267</v>
      </c>
      <c r="F4" s="6" t="n">
        <v>71677</v>
      </c>
    </row>
    <row r="5" ht="60" customHeight="1">
      <c r="A5" s="7" t="inlineStr">
        <is>
          <t>Note: Total capital exceeds Tier 1 capital from FY2024 onward (Tier 2 instruments: £7.0m FY2024, £15.0m FY2025) - no Tier 2 in issue FY2021-FY2023, when Total Capital = CET1 = Tier 1.</t>
        </is>
      </c>
    </row>
    <row r="7" ht="170" customHeight="1">
      <c r="A7"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15.72%</t>
        </is>
      </c>
      <c r="C4" s="6" t="inlineStr">
        <is>
          <t>18.04%</t>
        </is>
      </c>
      <c r="D4" s="6" t="inlineStr">
        <is>
          <t>20.10%</t>
        </is>
      </c>
      <c r="E4" s="6" t="inlineStr">
        <is>
          <t>21.03%</t>
        </is>
      </c>
      <c r="F4" s="6" t="inlineStr">
        <is>
          <t>20.0%</t>
        </is>
      </c>
    </row>
    <row r="6" ht="170" customHeight="1">
      <c r="A6"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634489</v>
      </c>
      <c r="C4" s="6" t="n">
        <v>499532</v>
      </c>
      <c r="D4" s="6" t="n">
        <v>413907</v>
      </c>
      <c r="E4" s="6" t="n">
        <v>357870</v>
      </c>
      <c r="F4" s="6" t="n">
        <v>359249</v>
      </c>
    </row>
    <row r="6" ht="170" customHeight="1">
      <c r="A6"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 (£'000)</t>
        </is>
      </c>
      <c r="B4" s="6" t="n">
        <v>1173013</v>
      </c>
      <c r="C4" s="6" t="n">
        <v>860147</v>
      </c>
      <c r="D4" s="6" t="n">
        <v>930371</v>
      </c>
      <c r="E4" s="6" t="n">
        <v>821174</v>
      </c>
      <c r="F4" s="6" t="n">
        <v>647358</v>
      </c>
    </row>
    <row r="5">
      <c r="A5" s="6" t="inlineStr">
        <is>
          <t>Leverage ratio excluding claims on central banks (%)</t>
        </is>
      </c>
      <c r="B5" s="6" t="inlineStr">
        <is>
          <t>7.22%</t>
        </is>
      </c>
      <c r="C5" s="6" t="inlineStr">
        <is>
          <t>9.66%</t>
        </is>
      </c>
      <c r="D5" s="6" t="inlineStr">
        <is>
          <t>8.94%</t>
        </is>
      </c>
      <c r="E5" s="6" t="inlineStr">
        <is>
          <t>9.17%</t>
        </is>
      </c>
      <c r="F5" s="6" t="inlineStr">
        <is>
          <t>11.1%</t>
        </is>
      </c>
    </row>
    <row r="6" ht="60" customHeight="1">
      <c r="A6" s="7" t="inlineStr">
        <is>
          <t>Note: FY2021 figure/basis from the FY2021 Pillar 3 document's own 'Leverage Ratio' appendix table (pre-KM1 template, same underlying 'excluding claims on central banks' concept).</t>
        </is>
      </c>
    </row>
    <row r="8" ht="170" customHeight="1">
      <c r="A8"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t>
        </is>
      </c>
    </row>
  </sheetData>
  <mergeCells count="2">
    <mergeCell ref="A8:F8"/>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 average (£'000)</t>
        </is>
      </c>
      <c r="B4" s="6" t="n">
        <v>264609</v>
      </c>
      <c r="C4" s="6" t="n">
        <v>107626</v>
      </c>
      <c r="D4" s="6" t="n">
        <v>91141</v>
      </c>
      <c r="E4" s="6" t="n">
        <v>89542</v>
      </c>
      <c r="F4" s="6" t="n"/>
    </row>
    <row r="5">
      <c r="A5" s="6" t="inlineStr">
        <is>
          <t>Total net cash outflows, adjusted value (£'000)</t>
        </is>
      </c>
      <c r="B5" s="6" t="n">
        <v>139955</v>
      </c>
      <c r="C5" s="6" t="n">
        <v>36257</v>
      </c>
      <c r="D5" s="6" t="n">
        <v>28052</v>
      </c>
      <c r="E5" s="6" t="n">
        <v>22292</v>
      </c>
      <c r="F5" s="6" t="n"/>
    </row>
    <row r="6">
      <c r="A6" s="6" t="inlineStr">
        <is>
          <t>Liquidity Coverage Ratio (%)</t>
        </is>
      </c>
      <c r="B6" s="6" t="inlineStr">
        <is>
          <t>189.07%</t>
        </is>
      </c>
      <c r="C6" s="6" t="inlineStr">
        <is>
          <t>296.84%</t>
        </is>
      </c>
      <c r="D6" s="6" t="inlineStr">
        <is>
          <t>324.90%</t>
        </is>
      </c>
      <c r="E6" s="6" t="inlineStr">
        <is>
          <t>401.68%</t>
        </is>
      </c>
      <c r="F6" s="6" t="inlineStr">
        <is>
          <t>575.71%</t>
        </is>
      </c>
    </row>
    <row r="7" ht="60" customHeight="1">
      <c r="A7" s="7" t="inlineStr">
        <is>
          <t>Note: FY2021's own Pillar 3 document (pre-KM1 template) discloses no LCR figure for the Bank at all - the 575.71% shown here is FY2021's comparative column as it appears in the FY2022 Pillar 3 document's KM1 table (HQLA £77,922k, net cash outflows £13,535k), the earliest source in which it's disclosed. Flagged, not a same-year original disclosure.</t>
        </is>
      </c>
    </row>
    <row r="9" ht="170" customHeight="1">
      <c r="A9"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t>
        </is>
      </c>
    </row>
  </sheetData>
  <mergeCells count="2">
    <mergeCell ref="A7:F7"/>
    <mergeCell ref="A9:F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 (£'000)</t>
        </is>
      </c>
      <c r="B4" s="6" t="n">
        <v>1473649</v>
      </c>
      <c r="C4" s="6" t="n">
        <v>943517</v>
      </c>
      <c r="D4" s="6" t="n">
        <v>810485</v>
      </c>
      <c r="E4" s="6" t="n">
        <v>715551</v>
      </c>
      <c r="F4" s="6" t="n"/>
    </row>
    <row r="5">
      <c r="A5" s="6" t="inlineStr">
        <is>
          <t>Total required stable funding (£'000)</t>
        </is>
      </c>
      <c r="B5" s="6" t="n">
        <v>826660</v>
      </c>
      <c r="C5" s="6" t="n">
        <v>603108</v>
      </c>
      <c r="D5" s="6" t="n">
        <v>471300</v>
      </c>
      <c r="E5" s="6" t="n">
        <v>421346</v>
      </c>
      <c r="F5" s="6" t="n"/>
    </row>
    <row r="6">
      <c r="A6" s="6" t="inlineStr">
        <is>
          <t>Net Stable Funding Ratio (%)</t>
        </is>
      </c>
      <c r="B6" s="6" t="inlineStr">
        <is>
          <t>178.27%</t>
        </is>
      </c>
      <c r="C6" s="6" t="inlineStr">
        <is>
          <t>156.44%</t>
        </is>
      </c>
      <c r="D6" s="6" t="inlineStr">
        <is>
          <t>171.97%</t>
        </is>
      </c>
      <c r="E6" s="6" t="inlineStr">
        <is>
          <t>169.82%</t>
        </is>
      </c>
      <c r="F6" s="6" t="n"/>
    </row>
    <row r="7" ht="60" customHeight="1">
      <c r="A7" s="7" t="inlineStr">
        <is>
          <t>Note: Not disclosed for FY2021 in any source reviewed (marked 'N/A' even in the FY2022 Pillar 3 document's FY2021 comparative column) - the UK NSFR regime only took effect from 1 Jan 2022, partway through this entity's FY2021 (y/e 30 Sept 2021).</t>
        </is>
      </c>
    </row>
    <row r="9" ht="170" customHeight="1">
      <c r="A9"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t>
        </is>
      </c>
    </row>
  </sheetData>
  <mergeCells count="2">
    <mergeCell ref="A7:F7"/>
    <mergeCell ref="A9:F9"/>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Castle Trust Capital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found in any of the 5 Pillar 3 Disclosures documents reviewed - no MREL figure or exemption statement given at any point.</t>
        </is>
      </c>
    </row>
    <row r="7" ht="150" customHeight="1">
      <c r="A7" s="8" t="inlineStr">
        <is>
          <t>Sources - Castle Trust Bank Pillar 3 Disclosures, 'Key Metrics for the Bank' table (Castle Trust Capital plc solo basis, not the wider CTH Group):
FY2025: Pillar 3 Disclosures FY ended 30 Sept 2025, p.n/a - https://www.castletrust.co.uk/wp-content/uploads/fy-30_sept-2025-ctb-pillar-3-disclosures.pdf
FY2024: Pillar 3 Disclosures FY ended 30 Sept 2024, p.n/a - https://www.castletrust.co.uk/wp-content/uploads/fy-30_sept-2024-ctb-pillar-3-disclosures.pdf
FY2023: Pillar 3 Disclosures FY ended 30 Sept 2023, p.n/a - https://www.castletrust.co.uk/wp-content/uploads/fy-30-sept-2023-ctb-pillar-3-disclosures.pdf
FY2022: Pillar 3 Disclosures FY ended 30 Sept 2022, p.n/a - https://www.castletrust.co.uk/wp-content/uploads/fy-30-sept-2022-ctb-pillar-3-disclosures.pdf
FY2021: Pillar 3 Disclosures FY ended 30 Sept 2021 (pre-KM1 template - 'Appendix 4. Bank Disclosures'), p.40-43 - https://www.castletrust.co.uk/wp-content/uploads/fy-30-sept-2021-ctb-pillar-3-disclosures.pdf</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2026-08-27T22:59:47Z</dcterms:created>
  <dcterms:modified xsi:type="dcterms:W3CDTF">2026-08-27T22:59:47Z</dcterms:modified>
</cp:coreProperties>
</file>