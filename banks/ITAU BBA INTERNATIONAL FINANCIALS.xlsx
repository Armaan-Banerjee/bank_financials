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7896227</v>
      </c>
      <c r="C6" s="5" t="n">
        <v>8937146</v>
      </c>
      <c r="D6" s="5" t="n">
        <v>8085575</v>
      </c>
      <c r="E6" s="5" t="n">
        <v>6981727</v>
      </c>
      <c r="F6" s="5" t="n">
        <v>5963514</v>
      </c>
      <c r="G6" s="5" t="n">
        <v>5931078</v>
      </c>
      <c r="H6" s="5" t="n">
        <v>6177219</v>
      </c>
      <c r="I6" s="5" t="n">
        <v>6859779</v>
      </c>
      <c r="J6" s="5" t="n">
        <v>5953347</v>
      </c>
      <c r="K6" s="5" t="n">
        <v>5043006</v>
      </c>
      <c r="L6" s="5" t="n">
        <v>5868598</v>
      </c>
      <c r="M6" s="5" t="n">
        <v>5177420</v>
      </c>
      <c r="P6" t="inlineStr">
        <is>
          <t>Total Assets</t>
        </is>
      </c>
      <c r="Q6" t="n">
        <v>5177420</v>
      </c>
      <c r="R6" t="n">
        <v>5868598</v>
      </c>
      <c r="S6" t="n">
        <v>5043006</v>
      </c>
      <c r="T6" t="n">
        <v>5953347</v>
      </c>
      <c r="U6" t="n">
        <v>6859779</v>
      </c>
      <c r="V6" t="n">
        <v>6177219</v>
      </c>
      <c r="W6" t="n">
        <v>5931078</v>
      </c>
      <c r="X6" t="n">
        <v>5963514</v>
      </c>
      <c r="Y6" t="n">
        <v>6981727</v>
      </c>
      <c r="Z6" t="n">
        <v>8085575</v>
      </c>
      <c r="AA6" t="n">
        <v>8937146</v>
      </c>
      <c r="AB6" t="n">
        <v>7896227</v>
      </c>
      <c r="BX6" t="inlineStr">
        <is>
          <t>CET1 Ratio</t>
        </is>
      </c>
      <c r="BY6" t="n">
        <v>17.8</v>
      </c>
      <c r="BZ6" t="n">
        <v>17.9</v>
      </c>
      <c r="CA6" t="n">
        <v>18</v>
      </c>
      <c r="CB6" t="n">
        <v>19.4</v>
      </c>
      <c r="CC6" t="n">
        <v>19.2</v>
      </c>
      <c r="CD6" t="n">
        <v>19.9</v>
      </c>
      <c r="CE6" t="n">
        <v>23.9</v>
      </c>
      <c r="CF6" t="n">
        <v>22.6</v>
      </c>
      <c r="CG6" t="n">
        <v>19.6</v>
      </c>
      <c r="CH6" t="n">
        <v>27</v>
      </c>
      <c r="CI6" t="n">
        <v>23.9</v>
      </c>
      <c r="CJ6" t="n">
        <v>29</v>
      </c>
    </row>
    <row r="7">
      <c r="A7" s="5" t="inlineStr">
        <is>
          <t>Loans and advances to customers</t>
        </is>
      </c>
      <c r="B7" s="5" t="n">
        <v>4044575</v>
      </c>
      <c r="C7" s="5" t="n">
        <v>4104314</v>
      </c>
      <c r="D7" s="5" t="n">
        <v>3868767</v>
      </c>
      <c r="E7" s="5" t="n">
        <v>3604470</v>
      </c>
      <c r="F7" s="5" t="n">
        <v>3221895</v>
      </c>
      <c r="G7" s="5" t="n">
        <v>3181399</v>
      </c>
      <c r="H7" s="5" t="n">
        <v>3864886</v>
      </c>
      <c r="I7" s="5" t="n">
        <v>3779281</v>
      </c>
      <c r="J7" s="5" t="n">
        <v>3056151</v>
      </c>
      <c r="K7" s="5" t="n">
        <v>2782210</v>
      </c>
      <c r="L7" s="5" t="n">
        <v>3179457</v>
      </c>
      <c r="M7" s="5" t="n">
        <v>2855295</v>
      </c>
      <c r="P7" t="inlineStr">
        <is>
          <t>Loans and advances to customers</t>
        </is>
      </c>
      <c r="Q7" t="n">
        <v>2855295</v>
      </c>
      <c r="R7" t="n">
        <v>3179457</v>
      </c>
      <c r="S7" t="n">
        <v>2782210</v>
      </c>
      <c r="T7" t="n">
        <v>3056151</v>
      </c>
      <c r="U7" t="n">
        <v>3779281</v>
      </c>
      <c r="V7" t="n">
        <v>3864886</v>
      </c>
      <c r="W7" t="n">
        <v>3181399</v>
      </c>
      <c r="X7" t="n">
        <v>3221895</v>
      </c>
      <c r="Y7" t="n">
        <v>3604470</v>
      </c>
      <c r="Z7" t="n">
        <v>3868767</v>
      </c>
      <c r="AA7" t="n">
        <v>4104314</v>
      </c>
      <c r="AB7" t="n">
        <v>4044575</v>
      </c>
      <c r="BX7" t="inlineStr">
        <is>
          <t>Total Capital Ratio</t>
        </is>
      </c>
      <c r="BY7" t="n">
        <v>18.1</v>
      </c>
      <c r="BZ7" t="n">
        <v>18.1</v>
      </c>
      <c r="CA7" t="n">
        <v>18.2</v>
      </c>
      <c r="CB7" t="n">
        <v>19.5</v>
      </c>
      <c r="CC7" t="n">
        <v>19.2</v>
      </c>
      <c r="CD7" t="n">
        <v>19.9</v>
      </c>
      <c r="CE7" t="n">
        <v>23.9</v>
      </c>
      <c r="CF7" t="n">
        <v>22.6</v>
      </c>
      <c r="CG7" t="n">
        <v>19.6</v>
      </c>
      <c r="CH7" t="n">
        <v>27.1</v>
      </c>
      <c r="CI7" t="n">
        <v>23.9</v>
      </c>
      <c r="CJ7" t="n">
        <v>29</v>
      </c>
    </row>
    <row r="8">
      <c r="A8" s="5" t="inlineStr">
        <is>
          <t>Customer accounts</t>
        </is>
      </c>
      <c r="B8" s="5" t="n">
        <v>1740013</v>
      </c>
      <c r="C8" s="5" t="n">
        <v>2745061</v>
      </c>
      <c r="D8" s="5" t="n">
        <v>1709639</v>
      </c>
      <c r="E8" s="5" t="n">
        <v>1914084</v>
      </c>
      <c r="F8" s="5" t="n">
        <v>1751887</v>
      </c>
      <c r="G8" s="5" t="n">
        <v>1242218</v>
      </c>
      <c r="H8" s="5" t="n">
        <v>1304375</v>
      </c>
      <c r="I8" s="5" t="n">
        <v>1194983</v>
      </c>
      <c r="J8" s="5" t="n">
        <v>752508</v>
      </c>
      <c r="K8" s="5" t="n">
        <v>453090</v>
      </c>
      <c r="L8" s="5" t="n">
        <v>176000</v>
      </c>
      <c r="M8" s="5" t="n">
        <v>204392</v>
      </c>
      <c r="P8" t="inlineStr">
        <is>
          <t>Customer accounts</t>
        </is>
      </c>
      <c r="Q8" t="n">
        <v>204392</v>
      </c>
      <c r="R8" t="n">
        <v>176000</v>
      </c>
      <c r="S8" t="n">
        <v>453090</v>
      </c>
      <c r="T8" t="n">
        <v>752508</v>
      </c>
      <c r="U8" t="n">
        <v>1194983</v>
      </c>
      <c r="V8" t="n">
        <v>1304375</v>
      </c>
      <c r="W8" t="n">
        <v>1242218</v>
      </c>
      <c r="X8" t="n">
        <v>1751887</v>
      </c>
      <c r="Y8" t="n">
        <v>1914084</v>
      </c>
      <c r="Z8" t="n">
        <v>1709639</v>
      </c>
      <c r="AA8" t="n">
        <v>2745061</v>
      </c>
      <c r="AB8" t="n">
        <v>1740013</v>
      </c>
      <c r="BX8" t="inlineStr">
        <is>
          <t>Leverage Ratio</t>
        </is>
      </c>
      <c r="BY8" t="n">
        <v>10.5</v>
      </c>
      <c r="BZ8" t="n">
        <v>10.3</v>
      </c>
      <c r="CA8" t="n">
        <v>11.3</v>
      </c>
      <c r="CB8" t="n">
        <v>12.4</v>
      </c>
      <c r="CC8" t="n">
        <v>11.9</v>
      </c>
      <c r="CD8" t="n">
        <v>13.5</v>
      </c>
      <c r="CE8" t="n">
        <v>14.4</v>
      </c>
      <c r="CF8" t="n">
        <v>14.6</v>
      </c>
      <c r="CG8" t="n">
        <v>11.9</v>
      </c>
      <c r="CH8" t="n">
        <v>16.7</v>
      </c>
      <c r="CI8" t="n">
        <v>16.4</v>
      </c>
      <c r="CJ8" t="n">
        <v>19.1</v>
      </c>
    </row>
    <row r="9">
      <c r="A9" s="5" t="inlineStr">
        <is>
          <t>Total Equity</t>
        </is>
      </c>
      <c r="B9" s="5" t="n">
        <v>2154474</v>
      </c>
      <c r="C9" s="5" t="n">
        <v>2062914</v>
      </c>
      <c r="D9" s="5" t="n">
        <v>1963716</v>
      </c>
      <c r="E9" s="5" t="n">
        <v>1398537</v>
      </c>
      <c r="F9" s="5" t="n">
        <v>1329874</v>
      </c>
      <c r="G9" s="5" t="n">
        <v>1303897</v>
      </c>
      <c r="H9" s="5" t="n">
        <v>1298794</v>
      </c>
      <c r="I9" s="5" t="n">
        <v>1229438</v>
      </c>
      <c r="J9" s="5" t="n">
        <v>1122851</v>
      </c>
      <c r="K9" s="5" t="n">
        <v>1046209</v>
      </c>
      <c r="L9" s="5" t="n">
        <v>1023741</v>
      </c>
      <c r="M9" s="5" t="n">
        <v>1009878</v>
      </c>
      <c r="P9" t="inlineStr">
        <is>
          <t>Total Equity</t>
        </is>
      </c>
      <c r="Q9" t="n">
        <v>1009878</v>
      </c>
      <c r="R9" t="n">
        <v>1023741</v>
      </c>
      <c r="S9" t="n">
        <v>1046209</v>
      </c>
      <c r="T9" t="n">
        <v>1122851</v>
      </c>
      <c r="U9" t="n">
        <v>1229438</v>
      </c>
      <c r="V9" t="n">
        <v>1298794</v>
      </c>
      <c r="W9" t="n">
        <v>1303897</v>
      </c>
      <c r="X9" t="n">
        <v>1329874</v>
      </c>
      <c r="Y9" t="n">
        <v>1398537</v>
      </c>
      <c r="Z9" t="n">
        <v>1963716</v>
      </c>
      <c r="AA9" t="n">
        <v>2062914</v>
      </c>
      <c r="AB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157908</v>
      </c>
      <c r="C13" s="5" t="n">
        <v>163719</v>
      </c>
      <c r="D13" s="5" t="n">
        <v>121674</v>
      </c>
      <c r="E13" s="5" t="n">
        <v>117795</v>
      </c>
      <c r="F13" s="5" t="n">
        <v>70777</v>
      </c>
      <c r="G13" s="5" t="n">
        <v>64169</v>
      </c>
      <c r="H13" s="5" t="n">
        <v>123216</v>
      </c>
      <c r="I13" s="5" t="n">
        <v>164994</v>
      </c>
      <c r="J13" s="5" t="n">
        <v>124426</v>
      </c>
      <c r="K13" s="5" t="n">
        <v>77382</v>
      </c>
      <c r="L13" s="5" t="n">
        <v>78147</v>
      </c>
      <c r="M13" s="5" t="n">
        <v>80769</v>
      </c>
      <c r="AE13" t="inlineStr">
        <is>
          <t>Total operating income</t>
        </is>
      </c>
      <c r="AF13" t="n">
        <v>80769</v>
      </c>
      <c r="AG13" t="n">
        <v>78147</v>
      </c>
      <c r="AH13" t="n">
        <v>77382</v>
      </c>
      <c r="AI13" t="n">
        <v>124426</v>
      </c>
      <c r="AJ13" t="n">
        <v>164994</v>
      </c>
      <c r="AK13" t="n">
        <v>123216</v>
      </c>
      <c r="AL13" t="n">
        <v>64169</v>
      </c>
      <c r="AM13" t="n">
        <v>70777</v>
      </c>
      <c r="AN13" t="n">
        <v>117795</v>
      </c>
      <c r="AO13" t="n">
        <v>121674</v>
      </c>
      <c r="AP13" t="n">
        <v>163719</v>
      </c>
      <c r="AQ13" t="n">
        <v>157908</v>
      </c>
    </row>
    <row r="14">
      <c r="A14" s="5" t="inlineStr">
        <is>
          <t>Total operating expenses</t>
        </is>
      </c>
      <c r="B14" s="5" t="n">
        <v>-37805</v>
      </c>
      <c r="C14" s="5" t="n">
        <v>-32222</v>
      </c>
      <c r="D14" s="5" t="n">
        <v>-31480</v>
      </c>
      <c r="E14" s="5" t="n">
        <v>-33106</v>
      </c>
      <c r="F14" s="5" t="n">
        <v>-33053</v>
      </c>
      <c r="G14" s="5" t="n">
        <v>-35789</v>
      </c>
      <c r="H14" s="5" t="n">
        <v>-50247</v>
      </c>
      <c r="I14" s="5" t="n">
        <v>-48562</v>
      </c>
      <c r="J14" s="5" t="n">
        <v>-44874</v>
      </c>
      <c r="K14" s="5" t="n">
        <v>-44836</v>
      </c>
      <c r="L14" s="5" t="n">
        <v>-54145</v>
      </c>
      <c r="M14" s="5" t="n">
        <v>-66634</v>
      </c>
      <c r="AE14" t="inlineStr">
        <is>
          <t>Total operating expenses</t>
        </is>
      </c>
      <c r="AF14" t="n">
        <v>-66634</v>
      </c>
      <c r="AG14" t="n">
        <v>-54145</v>
      </c>
      <c r="AH14" t="n">
        <v>-44836</v>
      </c>
      <c r="AI14" t="n">
        <v>-44874</v>
      </c>
      <c r="AJ14" t="n">
        <v>-48562</v>
      </c>
      <c r="AK14" t="n">
        <v>-50247</v>
      </c>
      <c r="AL14" t="n">
        <v>-35789</v>
      </c>
      <c r="AM14" t="n">
        <v>-33053</v>
      </c>
      <c r="AN14" t="n">
        <v>-33106</v>
      </c>
      <c r="AO14" t="n">
        <v>-31480</v>
      </c>
      <c r="AP14" t="n">
        <v>-32222</v>
      </c>
      <c r="AQ14" t="n">
        <v>-37805</v>
      </c>
    </row>
    <row r="15">
      <c r="A15" s="5" t="inlineStr">
        <is>
          <t>Profit for the year</t>
        </is>
      </c>
      <c r="B15" s="5" t="n">
        <v>90082</v>
      </c>
      <c r="C15" s="5" t="n">
        <v>98827</v>
      </c>
      <c r="D15" s="5" t="n">
        <v>62794</v>
      </c>
      <c r="E15" s="5" t="n">
        <v>72745</v>
      </c>
      <c r="F15" s="5" t="n">
        <v>43010</v>
      </c>
      <c r="G15" s="5" t="n">
        <v>4758</v>
      </c>
      <c r="H15" s="5" t="n">
        <v>59336</v>
      </c>
      <c r="I15" s="5" t="n">
        <v>105541</v>
      </c>
      <c r="J15" s="5" t="n">
        <v>76963</v>
      </c>
      <c r="K15" s="5" t="n">
        <v>25279</v>
      </c>
      <c r="L15" s="5" t="n">
        <v>16660</v>
      </c>
      <c r="M15" s="5" t="n">
        <v>-6235</v>
      </c>
      <c r="AE15" t="inlineStr">
        <is>
          <t>Profit for the year</t>
        </is>
      </c>
      <c r="AF15" t="n">
        <v>-6235</v>
      </c>
      <c r="AG15" t="n">
        <v>16660</v>
      </c>
      <c r="AH15" t="n">
        <v>25279</v>
      </c>
      <c r="AI15" t="n">
        <v>76963</v>
      </c>
      <c r="AJ15" t="n">
        <v>105541</v>
      </c>
      <c r="AK15" t="n">
        <v>59336</v>
      </c>
      <c r="AL15" t="n">
        <v>4758</v>
      </c>
      <c r="AM15" t="n">
        <v>43010</v>
      </c>
      <c r="AN15" t="n">
        <v>72745</v>
      </c>
      <c r="AO15" t="n">
        <v>62794</v>
      </c>
      <c r="AP15" t="n">
        <v>98827</v>
      </c>
      <c r="AQ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2062914</v>
      </c>
      <c r="C19" s="5" t="n">
        <v>1963716</v>
      </c>
      <c r="D19" s="5" t="n">
        <v>1398537</v>
      </c>
      <c r="E19" s="5" t="n">
        <v>1329874</v>
      </c>
      <c r="F19" s="5" t="n">
        <v>1303897</v>
      </c>
      <c r="G19" s="5" t="n">
        <v>1298794</v>
      </c>
      <c r="H19" s="5" t="n">
        <v>1229438</v>
      </c>
      <c r="I19" s="5" t="n">
        <v>1122851</v>
      </c>
      <c r="J19" s="5" t="n">
        <v>1046209</v>
      </c>
      <c r="K19" s="5" t="n">
        <v>1023741</v>
      </c>
      <c r="L19" s="5" t="n">
        <v>1009878</v>
      </c>
      <c r="M19" s="5" t="n">
        <v>1012621</v>
      </c>
      <c r="AT19" t="inlineStr">
        <is>
          <t>Opening equity</t>
        </is>
      </c>
      <c r="AU19" t="n">
        <v>1012621</v>
      </c>
      <c r="AV19" t="n">
        <v>1009878</v>
      </c>
      <c r="AW19" t="n">
        <v>1023741</v>
      </c>
      <c r="AX19" t="n">
        <v>1046209</v>
      </c>
      <c r="AY19" t="n">
        <v>1122851</v>
      </c>
      <c r="AZ19" t="n">
        <v>1229438</v>
      </c>
      <c r="BA19" t="n">
        <v>1298794</v>
      </c>
      <c r="BB19" t="n">
        <v>1303897</v>
      </c>
      <c r="BC19" t="n">
        <v>1329874</v>
      </c>
      <c r="BD19" t="n">
        <v>1398537</v>
      </c>
      <c r="BE19" t="n">
        <v>1963716</v>
      </c>
      <c r="BF19" t="n">
        <v>2062914</v>
      </c>
    </row>
    <row r="20">
      <c r="A20" s="5" t="inlineStr">
        <is>
          <t>Total comprehensive income for the year</t>
        </is>
      </c>
      <c r="B20" s="5" t="n">
        <v>91560</v>
      </c>
      <c r="C20" s="5" t="n">
        <v>99198</v>
      </c>
      <c r="D20" s="5" t="n">
        <v>65179</v>
      </c>
      <c r="E20" s="5" t="n">
        <v>68663</v>
      </c>
      <c r="F20" s="5" t="n">
        <v>43063</v>
      </c>
      <c r="G20" s="5" t="n">
        <v>5103</v>
      </c>
      <c r="H20" s="5" t="n">
        <v>62264</v>
      </c>
      <c r="I20" s="5" t="n">
        <v>106491</v>
      </c>
      <c r="J20" s="5" t="n">
        <v>76642</v>
      </c>
      <c r="K20" s="5" t="n">
        <v>22468</v>
      </c>
      <c r="L20" s="5" t="n">
        <v>13863</v>
      </c>
      <c r="M20" s="5" t="n">
        <v>-2743</v>
      </c>
      <c r="AT20" t="inlineStr">
        <is>
          <t>Total comprehensive income for the year</t>
        </is>
      </c>
      <c r="AU20" t="n">
        <v>-2743</v>
      </c>
      <c r="AV20" t="n">
        <v>13863</v>
      </c>
      <c r="AW20" t="n">
        <v>22468</v>
      </c>
      <c r="AX20" t="n">
        <v>76642</v>
      </c>
      <c r="AY20" t="n">
        <v>106491</v>
      </c>
      <c r="AZ20" t="n">
        <v>62264</v>
      </c>
      <c r="BA20" t="n">
        <v>5103</v>
      </c>
      <c r="BB20" t="n">
        <v>43063</v>
      </c>
      <c r="BC20" t="n">
        <v>68663</v>
      </c>
      <c r="BD20" t="n">
        <v>65179</v>
      </c>
      <c r="BE20" t="n">
        <v>99198</v>
      </c>
      <c r="BF20" t="n">
        <v>91560</v>
      </c>
    </row>
    <row r="21">
      <c r="A21" s="5" t="inlineStr">
        <is>
          <t>Other equity movements, net</t>
        </is>
      </c>
      <c r="B21" s="5" t="n">
        <v>0</v>
      </c>
      <c r="C21" s="5" t="n">
        <v>0</v>
      </c>
      <c r="D21" s="5" t="n">
        <v>500000</v>
      </c>
      <c r="E21" s="5" t="n">
        <v>0</v>
      </c>
      <c r="F21" s="5" t="n">
        <v>-17086</v>
      </c>
      <c r="G21" s="5" t="n">
        <v>0</v>
      </c>
      <c r="H21" s="5" t="n">
        <v>7092</v>
      </c>
      <c r="I21" s="5" t="n">
        <v>96</v>
      </c>
      <c r="J21" s="5" t="n">
        <v>0</v>
      </c>
      <c r="K21" s="5" t="n">
        <v>0</v>
      </c>
      <c r="L21" s="5" t="n">
        <v>0</v>
      </c>
      <c r="M21" s="5" t="n">
        <v>0</v>
      </c>
      <c r="AT21" t="inlineStr">
        <is>
          <t>Other equity movements, net</t>
        </is>
      </c>
      <c r="AU21" t="n">
        <v>0</v>
      </c>
      <c r="AV21" t="n">
        <v>0</v>
      </c>
      <c r="AW21" t="n">
        <v>0</v>
      </c>
      <c r="AX21" t="n">
        <v>0</v>
      </c>
      <c r="AY21" t="n">
        <v>96</v>
      </c>
      <c r="AZ21" t="n">
        <v>7092</v>
      </c>
      <c r="BA21" t="n">
        <v>0</v>
      </c>
      <c r="BB21" t="n">
        <v>-17086</v>
      </c>
      <c r="BC21" t="n">
        <v>0</v>
      </c>
      <c r="BD21" t="n">
        <v>500000</v>
      </c>
      <c r="BE21" t="n">
        <v>0</v>
      </c>
      <c r="BF21" t="n">
        <v>0</v>
      </c>
    </row>
    <row r="22">
      <c r="A22" s="5" t="inlineStr">
        <is>
          <t>Closing equity</t>
        </is>
      </c>
      <c r="B22" s="5" t="n">
        <v>2154474</v>
      </c>
      <c r="C22" s="5" t="n">
        <v>2062914</v>
      </c>
      <c r="D22" s="5" t="n">
        <v>1963716</v>
      </c>
      <c r="E22" s="5" t="n">
        <v>1398537</v>
      </c>
      <c r="F22" s="5" t="n">
        <v>1329874</v>
      </c>
      <c r="G22" s="5" t="n">
        <v>1303897</v>
      </c>
      <c r="H22" s="5" t="n">
        <v>1298794</v>
      </c>
      <c r="I22" s="5" t="n">
        <v>1229438</v>
      </c>
      <c r="J22" s="5" t="n">
        <v>1122851</v>
      </c>
      <c r="K22" s="5" t="n">
        <v>1046209</v>
      </c>
      <c r="L22" s="5" t="n">
        <v>1023741</v>
      </c>
      <c r="M22" s="5" t="n">
        <v>1009878</v>
      </c>
      <c r="AT22" t="inlineStr">
        <is>
          <t>Closing equity</t>
        </is>
      </c>
      <c r="AU22" t="n">
        <v>1009878</v>
      </c>
      <c r="AV22" t="n">
        <v>1023741</v>
      </c>
      <c r="AW22" t="n">
        <v>1046209</v>
      </c>
      <c r="AX22" t="n">
        <v>1122851</v>
      </c>
      <c r="AY22" t="n">
        <v>1229438</v>
      </c>
      <c r="AZ22" t="n">
        <v>1298794</v>
      </c>
      <c r="BA22" t="n">
        <v>1303897</v>
      </c>
      <c r="BB22" t="n">
        <v>1329874</v>
      </c>
      <c r="BC22" t="n">
        <v>1398537</v>
      </c>
      <c r="BD22" t="n">
        <v>1963716</v>
      </c>
      <c r="BE22" t="n">
        <v>2062914</v>
      </c>
      <c r="BF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-823201</v>
      </c>
      <c r="C26" s="5" t="n">
        <v>202045</v>
      </c>
      <c r="D26" s="5" t="n">
        <v>896845</v>
      </c>
      <c r="E26" s="5" t="n">
        <v>977211</v>
      </c>
      <c r="F26" s="5" t="n">
        <v>183186</v>
      </c>
      <c r="G26" s="5" t="n">
        <v>185310</v>
      </c>
      <c r="H26" s="5" t="n">
        <v>-265920</v>
      </c>
      <c r="I26" s="5" t="n">
        <v>161184</v>
      </c>
      <c r="J26" s="5" t="n">
        <v>109779</v>
      </c>
      <c r="K26" s="5" t="n">
        <v>-20832</v>
      </c>
      <c r="L26" s="5" t="n">
        <v>-69031</v>
      </c>
      <c r="M26" s="5" t="n">
        <v>154213</v>
      </c>
      <c r="BI26" t="inlineStr">
        <is>
          <t>Net cash flow from operating activities</t>
        </is>
      </c>
      <c r="BJ26" t="n">
        <v>154213</v>
      </c>
      <c r="BK26" t="n">
        <v>-69031</v>
      </c>
      <c r="BL26" t="n">
        <v>-20832</v>
      </c>
      <c r="BM26" t="n">
        <v>109779</v>
      </c>
      <c r="BN26" t="n">
        <v>161184</v>
      </c>
      <c r="BO26" t="n">
        <v>-265920</v>
      </c>
      <c r="BP26" t="n">
        <v>185310</v>
      </c>
      <c r="BQ26" t="n">
        <v>183186</v>
      </c>
      <c r="BR26" t="n">
        <v>977211</v>
      </c>
      <c r="BS26" t="n">
        <v>896845</v>
      </c>
      <c r="BT26" t="n">
        <v>202045</v>
      </c>
      <c r="BU26" t="n">
        <v>-823201</v>
      </c>
    </row>
    <row r="27">
      <c r="A27" s="5" t="inlineStr">
        <is>
          <t>Net cash flow from investing activities</t>
        </is>
      </c>
      <c r="B27" s="5" t="n">
        <v>89783</v>
      </c>
      <c r="C27" s="5" t="n">
        <v>150189</v>
      </c>
      <c r="D27" s="5" t="n">
        <v>-918582</v>
      </c>
      <c r="E27" s="5" t="n">
        <v>-1169363</v>
      </c>
      <c r="F27" s="5" t="n">
        <v>-40817</v>
      </c>
      <c r="G27" s="5" t="n">
        <v>-51831</v>
      </c>
      <c r="H27" s="5" t="n">
        <v>-2032</v>
      </c>
      <c r="I27" s="5" t="n">
        <v>62821</v>
      </c>
      <c r="J27" s="5" t="n">
        <v>49617</v>
      </c>
      <c r="K27" s="5" t="n">
        <v>-28814</v>
      </c>
      <c r="L27" s="5" t="n">
        <v>-1307</v>
      </c>
      <c r="M27" s="5" t="n">
        <v>-66637</v>
      </c>
      <c r="BI27" t="inlineStr">
        <is>
          <t>Net cash flow from investing activities</t>
        </is>
      </c>
      <c r="BJ27" t="n">
        <v>-66637</v>
      </c>
      <c r="BK27" t="n">
        <v>-1307</v>
      </c>
      <c r="BL27" t="n">
        <v>-28814</v>
      </c>
      <c r="BM27" t="n">
        <v>49617</v>
      </c>
      <c r="BN27" t="n">
        <v>62821</v>
      </c>
      <c r="BO27" t="n">
        <v>-2032</v>
      </c>
      <c r="BP27" t="n">
        <v>-51831</v>
      </c>
      <c r="BQ27" t="n">
        <v>-40817</v>
      </c>
      <c r="BR27" t="n">
        <v>-1169363</v>
      </c>
      <c r="BS27" t="n">
        <v>-918582</v>
      </c>
      <c r="BT27" t="n">
        <v>150189</v>
      </c>
      <c r="BU27" t="n">
        <v>89783</v>
      </c>
    </row>
    <row r="28">
      <c r="A28" s="5" t="inlineStr">
        <is>
          <t>Net cash flow from financing activities</t>
        </is>
      </c>
      <c r="B28" s="5" t="n">
        <v>-862</v>
      </c>
      <c r="C28" s="5" t="n">
        <v>-838</v>
      </c>
      <c r="D28" s="5" t="n">
        <v>501619</v>
      </c>
      <c r="E28" s="5" t="n">
        <v>-926</v>
      </c>
      <c r="F28" s="5" t="n">
        <v>948</v>
      </c>
      <c r="G28" s="5" t="n">
        <v>-2238</v>
      </c>
      <c r="H28" s="5" t="n">
        <v>9582</v>
      </c>
      <c r="I28" s="5" t="n">
        <v>0</v>
      </c>
      <c r="J28" s="5" t="n">
        <v>-30128</v>
      </c>
      <c r="K28" s="5" t="n">
        <v>57</v>
      </c>
      <c r="L28" s="5" t="n">
        <v>16</v>
      </c>
      <c r="M28" s="5" t="n">
        <v>-221</v>
      </c>
      <c r="BI28" t="inlineStr">
        <is>
          <t>Net cash flow from financing activities</t>
        </is>
      </c>
      <c r="BJ28" t="n">
        <v>-221</v>
      </c>
      <c r="BK28" t="n">
        <v>16</v>
      </c>
      <c r="BL28" t="n">
        <v>57</v>
      </c>
      <c r="BM28" t="n">
        <v>-30128</v>
      </c>
      <c r="BN28" t="n">
        <v>0</v>
      </c>
      <c r="BO28" t="n">
        <v>9582</v>
      </c>
      <c r="BP28" t="n">
        <v>-2238</v>
      </c>
      <c r="BQ28" t="n">
        <v>948</v>
      </c>
      <c r="BR28" t="n">
        <v>-926</v>
      </c>
      <c r="BS28" t="n">
        <v>501619</v>
      </c>
      <c r="BT28" t="n">
        <v>-838</v>
      </c>
      <c r="BU28" t="n">
        <v>-862</v>
      </c>
    </row>
    <row r="29">
      <c r="A29" s="5" t="inlineStr">
        <is>
          <t>Cash and cash equivalents at end of year</t>
        </is>
      </c>
      <c r="B29" s="5" t="n">
        <v>460587</v>
      </c>
      <c r="C29" s="5" t="n">
        <v>1149307</v>
      </c>
      <c r="D29" s="5" t="n">
        <v>797911</v>
      </c>
      <c r="E29" s="5" t="n">
        <v>318029</v>
      </c>
      <c r="F29" s="5" t="n">
        <v>511107</v>
      </c>
      <c r="G29" s="5" t="n">
        <v>367790</v>
      </c>
      <c r="H29" s="5" t="n">
        <v>236549</v>
      </c>
      <c r="I29" s="5" t="n">
        <v>270914</v>
      </c>
      <c r="J29" s="5" t="n">
        <v>141646</v>
      </c>
      <c r="K29" s="5" t="n">
        <v>141646</v>
      </c>
      <c r="L29" s="5" t="n">
        <v>134322</v>
      </c>
      <c r="M29" s="5" t="n">
        <v>205351</v>
      </c>
      <c r="BI29" t="inlineStr">
        <is>
          <t>Cash and cash equivalents at end of year</t>
        </is>
      </c>
      <c r="BJ29" t="n">
        <v>205351</v>
      </c>
      <c r="BK29" t="n">
        <v>134322</v>
      </c>
      <c r="BL29" t="n">
        <v>141646</v>
      </c>
      <c r="BM29" t="n">
        <v>141646</v>
      </c>
      <c r="BN29" t="n">
        <v>270914</v>
      </c>
      <c r="BO29" t="n">
        <v>236549</v>
      </c>
      <c r="BP29" t="n">
        <v>367790</v>
      </c>
      <c r="BQ29" t="n">
        <v>511107</v>
      </c>
      <c r="BR29" t="n">
        <v>318029</v>
      </c>
      <c r="BS29" t="n">
        <v>797911</v>
      </c>
      <c r="BT29" t="n">
        <v>1149307</v>
      </c>
      <c r="BU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29.0%</t>
        </is>
      </c>
      <c r="C33" s="6" t="inlineStr">
        <is>
          <t>23.9%</t>
        </is>
      </c>
      <c r="D33" s="6" t="inlineStr">
        <is>
          <t>27.0%</t>
        </is>
      </c>
      <c r="E33" s="6" t="inlineStr">
        <is>
          <t>19.6%</t>
        </is>
      </c>
      <c r="F33" s="6" t="inlineStr">
        <is>
          <t>22.6%</t>
        </is>
      </c>
      <c r="G33" s="6" t="inlineStr">
        <is>
          <t>23.9%</t>
        </is>
      </c>
      <c r="H33" s="6" t="inlineStr">
        <is>
          <t>19.9%</t>
        </is>
      </c>
      <c r="I33" s="6" t="inlineStr">
        <is>
          <t>19.2%</t>
        </is>
      </c>
      <c r="J33" s="6" t="inlineStr">
        <is>
          <t>19.4%</t>
        </is>
      </c>
      <c r="K33" s="6" t="inlineStr">
        <is>
          <t>18.0%</t>
        </is>
      </c>
      <c r="L33" s="6" t="inlineStr">
        <is>
          <t>17.9%</t>
        </is>
      </c>
      <c r="M33" s="6" t="inlineStr">
        <is>
          <t>17.8%</t>
        </is>
      </c>
    </row>
    <row r="34">
      <c r="A34" s="6" t="inlineStr">
        <is>
          <t>Total Capital Ratio</t>
        </is>
      </c>
      <c r="B34" s="6" t="inlineStr">
        <is>
          <t>29.0%</t>
        </is>
      </c>
      <c r="C34" s="6" t="inlineStr">
        <is>
          <t>23.9%</t>
        </is>
      </c>
      <c r="D34" s="6" t="inlineStr">
        <is>
          <t>27.1%</t>
        </is>
      </c>
      <c r="E34" s="6" t="inlineStr">
        <is>
          <t>19.6%</t>
        </is>
      </c>
      <c r="F34" s="6" t="inlineStr">
        <is>
          <t>22.6%</t>
        </is>
      </c>
      <c r="G34" s="6" t="inlineStr">
        <is>
          <t>23.9%</t>
        </is>
      </c>
      <c r="H34" s="6" t="inlineStr">
        <is>
          <t>19.9%</t>
        </is>
      </c>
      <c r="I34" s="6" t="inlineStr">
        <is>
          <t>19.2%</t>
        </is>
      </c>
      <c r="J34" s="6" t="inlineStr">
        <is>
          <t>19.5%</t>
        </is>
      </c>
      <c r="K34" s="6" t="inlineStr">
        <is>
          <t>18.2%</t>
        </is>
      </c>
      <c r="L34" s="6" t="inlineStr">
        <is>
          <t>18.1%</t>
        </is>
      </c>
      <c r="M34" s="6" t="inlineStr">
        <is>
          <t>18.1%</t>
        </is>
      </c>
    </row>
    <row r="35">
      <c r="A35" s="6" t="inlineStr">
        <is>
          <t>Leverage Ratio</t>
        </is>
      </c>
      <c r="B35" s="6" t="inlineStr">
        <is>
          <t>19.1%</t>
        </is>
      </c>
      <c r="C35" s="6" t="inlineStr">
        <is>
          <t>16.4%</t>
        </is>
      </c>
      <c r="D35" s="6" t="inlineStr">
        <is>
          <t>16.7%</t>
        </is>
      </c>
      <c r="E35" s="6" t="inlineStr">
        <is>
          <t>11.9%</t>
        </is>
      </c>
      <c r="F35" s="6" t="inlineStr">
        <is>
          <t>14.6%</t>
        </is>
      </c>
      <c r="G35" s="6" t="inlineStr">
        <is>
          <t>14.4%</t>
        </is>
      </c>
      <c r="H35" s="6" t="inlineStr">
        <is>
          <t>13.5%</t>
        </is>
      </c>
      <c r="I35" s="6" t="inlineStr">
        <is>
          <t>11.9%</t>
        </is>
      </c>
      <c r="J35" s="6" t="inlineStr">
        <is>
          <t>12.4%</t>
        </is>
      </c>
      <c r="K35" s="6" t="inlineStr">
        <is>
          <t>11.3%</t>
        </is>
      </c>
      <c r="L35" s="6" t="inlineStr">
        <is>
          <t>10.3%</t>
        </is>
      </c>
      <c r="M35" s="6" t="inlineStr">
        <is>
          <t>10.5%</t>
        </is>
      </c>
    </row>
    <row r="37" ht="45"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(FY2023/FY2022/FY2021, and FY2023/FY2022 only for NSFR) via the standalone Pillar 3 Disclosures documents, not the full 5-year span this chart otherwise shows; see each metric's own sheet for the figures and detail.</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17</v>
      </c>
      <c r="C5" s="6" t="n">
        <v>16</v>
      </c>
      <c r="D5" s="6" t="n">
        <v>16</v>
      </c>
      <c r="E5" s="6" t="n">
        <v>15</v>
      </c>
      <c r="F5" s="6" t="n">
        <v>16</v>
      </c>
      <c r="G5" s="6" t="n">
        <v>15</v>
      </c>
      <c r="H5" s="6" t="n">
        <v>401875</v>
      </c>
      <c r="I5" s="6" t="n">
        <v>809786</v>
      </c>
      <c r="J5" s="6" t="n">
        <v>574246</v>
      </c>
      <c r="K5" s="6" t="n">
        <v>16750</v>
      </c>
      <c r="L5" s="6" t="n">
        <v>817</v>
      </c>
      <c r="M5" s="6" t="n">
        <v>1307</v>
      </c>
      <c r="N5" s="6" t="n">
        <v>1380</v>
      </c>
    </row>
    <row r="6">
      <c r="A6" s="6" t="inlineStr">
        <is>
          <t>Trading assets</t>
        </is>
      </c>
      <c r="B6" s="6" t="n">
        <v>10362</v>
      </c>
      <c r="C6" s="6" t="n">
        <v>6920</v>
      </c>
      <c r="D6" s="6" t="n">
        <v>11783</v>
      </c>
      <c r="E6" s="6" t="n">
        <v>12227</v>
      </c>
      <c r="F6" s="6" t="n">
        <v>20508</v>
      </c>
      <c r="G6" s="6" t="n">
        <v>27431</v>
      </c>
      <c r="H6" s="6" t="n">
        <v>49862</v>
      </c>
      <c r="I6" s="6" t="n">
        <v>49523</v>
      </c>
      <c r="J6" s="6" t="n">
        <v>140450</v>
      </c>
      <c r="K6" s="6" t="n">
        <v>163278</v>
      </c>
      <c r="L6" s="6" t="n">
        <v>105991</v>
      </c>
      <c r="M6" s="6" t="n">
        <v>195901</v>
      </c>
      <c r="N6" s="6" t="n">
        <v>158774</v>
      </c>
    </row>
    <row r="7">
      <c r="A7" s="6" t="inlineStr">
        <is>
          <t>Financial assets designated at fair value through profit or loss</t>
        </is>
      </c>
      <c r="B7" s="6" t="n"/>
      <c r="C7" s="6" t="n">
        <v>44509</v>
      </c>
      <c r="D7" s="6" t="n">
        <v>49259</v>
      </c>
      <c r="E7" s="6" t="n">
        <v>438169</v>
      </c>
      <c r="F7" s="6" t="n">
        <v>1022915</v>
      </c>
      <c r="G7" s="6" t="n">
        <v>1237426</v>
      </c>
      <c r="H7" s="6" t="n">
        <v>308020</v>
      </c>
      <c r="I7" s="6" t="n">
        <v>395983</v>
      </c>
      <c r="J7" s="6" t="n">
        <v>687126</v>
      </c>
      <c r="K7" s="6" t="n">
        <v>444390</v>
      </c>
      <c r="L7" s="6" t="n">
        <v>204368</v>
      </c>
      <c r="M7" s="6" t="n">
        <v>275784</v>
      </c>
      <c r="N7" s="6" t="n">
        <v>158276</v>
      </c>
    </row>
    <row r="8">
      <c r="A8" s="6" t="inlineStr">
        <is>
          <t>Financial assets measured at fair value through OCI</t>
        </is>
      </c>
      <c r="B8" s="6" t="n">
        <v>1735647</v>
      </c>
      <c r="C8" s="6" t="n">
        <v>1824171</v>
      </c>
      <c r="D8" s="6" t="n">
        <v>2029771</v>
      </c>
      <c r="E8" s="6" t="n">
        <v>1175521</v>
      </c>
      <c r="F8" s="6" t="n"/>
      <c r="G8" s="6" t="n">
        <v>0</v>
      </c>
      <c r="H8" s="6" t="n">
        <v>276047</v>
      </c>
      <c r="I8" s="6" t="n"/>
      <c r="J8" s="6" t="n"/>
      <c r="K8" s="6" t="n"/>
      <c r="L8" s="6" t="n"/>
      <c r="M8" s="6" t="n"/>
      <c r="N8" s="6" t="n"/>
    </row>
    <row r="9">
      <c r="A9" s="6" t="inlineStr">
        <is>
          <t>Financial assets available for sale</t>
        </is>
      </c>
      <c r="B9" s="6" t="n"/>
      <c r="C9" s="6" t="n"/>
      <c r="D9" s="6" t="n"/>
      <c r="E9" s="6" t="n"/>
      <c r="F9" s="6" t="n"/>
      <c r="G9" s="6" t="n"/>
      <c r="H9" s="6" t="n"/>
      <c r="I9" s="6" t="n">
        <v>0</v>
      </c>
      <c r="J9" s="6" t="n">
        <v>301336</v>
      </c>
      <c r="K9" s="6" t="n">
        <v>302717</v>
      </c>
      <c r="L9" s="6" t="n">
        <v>342258</v>
      </c>
      <c r="M9" s="6" t="n">
        <v>337948</v>
      </c>
      <c r="N9" s="6" t="n"/>
    </row>
    <row r="10">
      <c r="A10" s="6" t="inlineStr">
        <is>
          <t>Derivative financial instruments</t>
        </is>
      </c>
      <c r="B10" s="6" t="n">
        <v>402429</v>
      </c>
      <c r="C10" s="6" t="n">
        <v>489006</v>
      </c>
      <c r="D10" s="6" t="n">
        <v>264447</v>
      </c>
      <c r="E10" s="6" t="n">
        <v>414210</v>
      </c>
      <c r="F10" s="6" t="n">
        <v>402295</v>
      </c>
      <c r="G10" s="6" t="n">
        <v>335193</v>
      </c>
      <c r="H10" s="6" t="n">
        <v>216982</v>
      </c>
      <c r="I10" s="6" t="n">
        <v>244608</v>
      </c>
      <c r="J10" s="6" t="n">
        <v>315430</v>
      </c>
      <c r="K10" s="6" t="n">
        <v>231558</v>
      </c>
      <c r="L10" s="6" t="n">
        <v>542604</v>
      </c>
      <c r="M10" s="6" t="n">
        <v>452290</v>
      </c>
      <c r="N10" s="6" t="n">
        <v>251894</v>
      </c>
    </row>
    <row r="11">
      <c r="A11" s="6" t="inlineStr">
        <is>
          <t>Loans and advances to banks</t>
        </is>
      </c>
      <c r="B11" s="6" t="n">
        <v>890765</v>
      </c>
      <c r="C11" s="6" t="n">
        <v>1714874</v>
      </c>
      <c r="D11" s="6" t="n">
        <v>1122546</v>
      </c>
      <c r="E11" s="6" t="n">
        <v>665708</v>
      </c>
      <c r="F11" s="6" t="n">
        <v>658659</v>
      </c>
      <c r="G11" s="6" t="n">
        <v>553156</v>
      </c>
      <c r="H11" s="6" t="n">
        <v>513070</v>
      </c>
      <c r="I11" s="6" t="n">
        <v>696054</v>
      </c>
      <c r="J11" s="6" t="n">
        <v>349304</v>
      </c>
      <c r="K11" s="6" t="n">
        <v>573263</v>
      </c>
      <c r="L11" s="6" t="n">
        <v>927460</v>
      </c>
      <c r="M11" s="6" t="n">
        <v>489512</v>
      </c>
      <c r="N11" s="6" t="n">
        <v>1069983</v>
      </c>
    </row>
    <row r="12">
      <c r="A12" s="6" t="inlineStr">
        <is>
          <t>Loans and advances to customers</t>
        </is>
      </c>
      <c r="B12" s="6" t="n">
        <v>4044575</v>
      </c>
      <c r="C12" s="6" t="n">
        <v>4104314</v>
      </c>
      <c r="D12" s="6" t="n">
        <v>3868767</v>
      </c>
      <c r="E12" s="6" t="n">
        <v>3604470</v>
      </c>
      <c r="F12" s="6" t="n">
        <v>3221895</v>
      </c>
      <c r="G12" s="6" t="n">
        <v>3181399</v>
      </c>
      <c r="H12" s="6" t="n">
        <v>3864886</v>
      </c>
      <c r="I12" s="6" t="n">
        <v>3779281</v>
      </c>
      <c r="J12" s="6" t="n">
        <v>3056151</v>
      </c>
      <c r="K12" s="6" t="n">
        <v>2782210</v>
      </c>
      <c r="L12" s="6" t="n">
        <v>3179457</v>
      </c>
      <c r="M12" s="6" t="n">
        <v>2855295</v>
      </c>
      <c r="N12" s="6" t="n">
        <v>2334930</v>
      </c>
    </row>
    <row r="13">
      <c r="A13" s="6" t="inlineStr">
        <is>
          <t>Debt securities at amortised cost</t>
        </is>
      </c>
      <c r="B13" s="6" t="n"/>
      <c r="C13" s="6" t="n"/>
      <c r="D13" s="6" t="n">
        <v>2192</v>
      </c>
      <c r="E13" s="6" t="n"/>
      <c r="F13" s="6" t="n">
        <v>2192</v>
      </c>
      <c r="G13" s="6" t="n"/>
      <c r="H13" s="6" t="n"/>
      <c r="I13" s="6" t="n"/>
      <c r="J13" s="6" t="n"/>
      <c r="K13" s="6" t="n"/>
      <c r="L13" s="6" t="n"/>
      <c r="M13" s="6" t="n"/>
      <c r="N13" s="6" t="n"/>
    </row>
    <row r="14">
      <c r="A14" s="6" t="inlineStr">
        <is>
          <t>Property, plant and equipment</t>
        </is>
      </c>
      <c r="B14" s="6" t="n">
        <v>390</v>
      </c>
      <c r="C14" s="6" t="n">
        <v>1188</v>
      </c>
      <c r="D14" s="6" t="n">
        <v>2007</v>
      </c>
      <c r="E14" s="6" t="n">
        <v>570</v>
      </c>
      <c r="F14" s="6" t="n">
        <v>1672</v>
      </c>
      <c r="G14" s="6" t="n">
        <v>625</v>
      </c>
      <c r="H14" s="6" t="n">
        <v>4221</v>
      </c>
      <c r="I14" s="6" t="n">
        <v>4811</v>
      </c>
      <c r="J14" s="6" t="n">
        <v>4748</v>
      </c>
      <c r="K14" s="6" t="n">
        <v>7384</v>
      </c>
      <c r="L14" s="6" t="n">
        <v>9048</v>
      </c>
      <c r="M14" s="6" t="n">
        <v>9906</v>
      </c>
      <c r="N14" s="6" t="n">
        <v>10115</v>
      </c>
    </row>
    <row r="15">
      <c r="A15" s="6" t="inlineStr">
        <is>
          <t>Goodwill and intangible assets</t>
        </is>
      </c>
      <c r="B15" s="6" t="n">
        <v>7</v>
      </c>
      <c r="C15" s="6" t="n">
        <v>37</v>
      </c>
      <c r="D15" s="6" t="n">
        <v>7</v>
      </c>
      <c r="E15" s="6" t="n">
        <v>291</v>
      </c>
      <c r="F15" s="6" t="n">
        <v>183</v>
      </c>
      <c r="G15" s="6" t="n">
        <v>291</v>
      </c>
      <c r="H15" s="6" t="n">
        <v>297</v>
      </c>
      <c r="I15" s="6" t="n">
        <v>204</v>
      </c>
      <c r="J15" s="6" t="n">
        <v>261</v>
      </c>
      <c r="K15" s="6" t="n">
        <v>348</v>
      </c>
      <c r="L15" s="6" t="n">
        <v>658</v>
      </c>
      <c r="M15" s="6" t="n">
        <v>860</v>
      </c>
      <c r="N15" s="6" t="n">
        <v>642</v>
      </c>
    </row>
    <row r="16">
      <c r="A16" s="6" t="inlineStr">
        <is>
          <t>Investments in subsidiaries</t>
        </is>
      </c>
      <c r="B16" s="6" t="n">
        <v>803125</v>
      </c>
      <c r="C16" s="6" t="n">
        <v>743998</v>
      </c>
      <c r="D16" s="6" t="n">
        <v>719482</v>
      </c>
      <c r="E16" s="6" t="n">
        <v>629248</v>
      </c>
      <c r="F16" s="6" t="n">
        <v>627841</v>
      </c>
      <c r="G16" s="6" t="n">
        <v>585738</v>
      </c>
      <c r="H16" s="6" t="n">
        <v>531772</v>
      </c>
      <c r="I16" s="6" t="n">
        <v>512112</v>
      </c>
      <c r="J16" s="6" t="n">
        <v>512112</v>
      </c>
      <c r="K16" s="6" t="n">
        <v>512112</v>
      </c>
      <c r="L16" s="6" t="n">
        <v>538943</v>
      </c>
      <c r="M16" s="6" t="n">
        <v>541625</v>
      </c>
      <c r="N16" s="6" t="n">
        <v>473653</v>
      </c>
    </row>
    <row r="17">
      <c r="A17" s="6" t="inlineStr">
        <is>
          <t>Current tax assets</t>
        </is>
      </c>
      <c r="B17" s="6" t="n">
        <v>0</v>
      </c>
      <c r="C17" s="6" t="n">
        <v>1107</v>
      </c>
      <c r="D17" s="6" t="n">
        <v>1148</v>
      </c>
      <c r="E17" s="6" t="n">
        <v>55</v>
      </c>
      <c r="F17" s="6" t="n">
        <v>1143</v>
      </c>
      <c r="G17" s="6" t="n">
        <v>1836</v>
      </c>
      <c r="H17" s="6" t="n">
        <v>27</v>
      </c>
      <c r="I17" s="6" t="n">
        <v>0</v>
      </c>
      <c r="J17" s="6" t="n">
        <v>0</v>
      </c>
      <c r="K17" s="6" t="n">
        <v>333</v>
      </c>
      <c r="L17" s="6" t="n">
        <v>356</v>
      </c>
      <c r="M17" s="6" t="n">
        <v>921</v>
      </c>
      <c r="N17" s="6" t="n">
        <v>3449</v>
      </c>
    </row>
    <row r="18">
      <c r="A18" s="6" t="inlineStr">
        <is>
          <t>Deferred tax assets</t>
        </is>
      </c>
      <c r="B18" s="6" t="n">
        <v>2970</v>
      </c>
      <c r="C18" s="6" t="n">
        <v>2528</v>
      </c>
      <c r="D18" s="6" t="n">
        <v>2675</v>
      </c>
      <c r="E18" s="6" t="n">
        <v>2637</v>
      </c>
      <c r="F18" s="6" t="n">
        <v>1070</v>
      </c>
      <c r="G18" s="6" t="n">
        <v>1496</v>
      </c>
      <c r="H18" s="6" t="n">
        <v>1606</v>
      </c>
      <c r="I18" s="6" t="n">
        <v>1834</v>
      </c>
      <c r="J18" s="6" t="n">
        <v>2389</v>
      </c>
      <c r="K18" s="6" t="n">
        <v>2549</v>
      </c>
      <c r="L18" s="6" t="n">
        <v>2882</v>
      </c>
      <c r="M18" s="6" t="n">
        <v>4977</v>
      </c>
      <c r="N18" s="6" t="n">
        <v>2958</v>
      </c>
    </row>
    <row r="19">
      <c r="A19" s="6" t="inlineStr">
        <is>
          <t>Other assets</t>
        </is>
      </c>
      <c r="B19" s="6" t="n">
        <v>5947</v>
      </c>
      <c r="C19" s="6" t="n">
        <v>4515</v>
      </c>
      <c r="D19" s="6" t="n">
        <v>13667</v>
      </c>
      <c r="E19" s="6" t="n">
        <v>38860</v>
      </c>
      <c r="F19" s="6" t="n">
        <v>3125</v>
      </c>
      <c r="G19" s="6" t="n">
        <v>6472</v>
      </c>
      <c r="H19" s="6" t="n">
        <v>8554</v>
      </c>
      <c r="I19" s="6" t="n">
        <v>9439</v>
      </c>
      <c r="J19" s="6" t="n">
        <v>9794</v>
      </c>
      <c r="K19" s="6" t="n">
        <v>6114</v>
      </c>
      <c r="L19" s="6" t="n">
        <v>13756</v>
      </c>
      <c r="M19" s="6" t="n">
        <v>11094</v>
      </c>
      <c r="N19" s="6" t="n">
        <v>28878</v>
      </c>
    </row>
    <row r="20">
      <c r="A20" s="5" t="inlineStr">
        <is>
          <t>Total Assets</t>
        </is>
      </c>
      <c r="B20" s="5" t="n">
        <v>7896227</v>
      </c>
      <c r="C20" s="5" t="n">
        <v>8937146</v>
      </c>
      <c r="D20" s="5" t="n">
        <v>8085575</v>
      </c>
      <c r="E20" s="5" t="n">
        <v>6981727</v>
      </c>
      <c r="F20" s="5" t="n">
        <v>5963514</v>
      </c>
      <c r="G20" s="5" t="n">
        <v>5931078</v>
      </c>
      <c r="H20" s="5" t="n">
        <v>6177219</v>
      </c>
      <c r="I20" s="5" t="n">
        <v>6859779</v>
      </c>
      <c r="J20" s="5" t="n">
        <v>5953347</v>
      </c>
      <c r="K20" s="5" t="n">
        <v>5043006</v>
      </c>
      <c r="L20" s="5" t="n">
        <v>5868598</v>
      </c>
      <c r="M20" s="5" t="n">
        <v>5177420</v>
      </c>
      <c r="N20" s="5" t="n">
        <v>4804226</v>
      </c>
    </row>
    <row r="21">
      <c r="A21" s="5" t="inlineStr">
        <is>
          <t>Liabilities</t>
        </is>
      </c>
      <c r="B21" s="6" t="n"/>
      <c r="C21" s="6" t="n"/>
      <c r="D21" s="6" t="n"/>
      <c r="E21" s="6" t="n"/>
      <c r="F21" s="6" t="n"/>
      <c r="G21" s="6" t="n"/>
      <c r="H21" s="6" t="n"/>
      <c r="I21" s="6" t="n"/>
      <c r="J21" s="6" t="n"/>
      <c r="K21" s="6" t="n"/>
      <c r="L21" s="6" t="n"/>
      <c r="M21" s="6" t="n"/>
      <c r="N21" s="6" t="n"/>
    </row>
    <row r="22">
      <c r="A22" s="6" t="inlineStr">
        <is>
          <t>Trading liabilities</t>
        </is>
      </c>
      <c r="B22" s="6" t="n">
        <v>10306</v>
      </c>
      <c r="C22" s="6" t="n">
        <v>6911</v>
      </c>
      <c r="D22" s="6" t="n">
        <v>11786</v>
      </c>
      <c r="E22" s="6" t="n">
        <v>9587</v>
      </c>
      <c r="F22" s="6" t="n">
        <v>18584</v>
      </c>
      <c r="G22" s="6" t="n">
        <v>24694</v>
      </c>
      <c r="H22" s="6" t="n">
        <v>48864</v>
      </c>
      <c r="I22" s="6" t="n">
        <v>49476</v>
      </c>
      <c r="J22" s="6" t="n">
        <v>140419</v>
      </c>
      <c r="K22" s="6" t="n">
        <v>159266</v>
      </c>
      <c r="L22" s="6" t="n">
        <v>105497</v>
      </c>
      <c r="M22" s="6" t="n">
        <v>195787</v>
      </c>
      <c r="N22" s="6" t="n">
        <v>158541</v>
      </c>
    </row>
    <row r="23">
      <c r="A23" s="6" t="inlineStr">
        <is>
          <t>Financial liabilities designated at fair value through profit or loss</t>
        </is>
      </c>
      <c r="B23" s="6" t="n"/>
      <c r="C23" s="6" t="n">
        <v>44456</v>
      </c>
      <c r="D23" s="6" t="n">
        <v>49259</v>
      </c>
      <c r="E23" s="6" t="n"/>
      <c r="F23" s="6" t="n">
        <v>410</v>
      </c>
      <c r="G23" s="6" t="n">
        <v>1807</v>
      </c>
      <c r="H23" s="6" t="n">
        <v>5402</v>
      </c>
      <c r="I23" s="6" t="n">
        <v>12119</v>
      </c>
      <c r="J23" s="6" t="n">
        <v>17205</v>
      </c>
      <c r="K23" s="6" t="n"/>
      <c r="L23" s="6" t="n"/>
      <c r="M23" s="6" t="n"/>
      <c r="N23" s="6" t="n"/>
    </row>
    <row r="24">
      <c r="A24" s="6" t="inlineStr">
        <is>
          <t>Derivative financial instruments</t>
        </is>
      </c>
      <c r="B24" s="6" t="n">
        <v>526233</v>
      </c>
      <c r="C24" s="6" t="n">
        <v>462780</v>
      </c>
      <c r="D24" s="6" t="n">
        <v>278452</v>
      </c>
      <c r="E24" s="6" t="n">
        <v>404354</v>
      </c>
      <c r="F24" s="6" t="n">
        <v>405816</v>
      </c>
      <c r="G24" s="6" t="n">
        <v>351394</v>
      </c>
      <c r="H24" s="6" t="n">
        <v>228126</v>
      </c>
      <c r="I24" s="6" t="n">
        <v>245399</v>
      </c>
      <c r="J24" s="6" t="n">
        <v>315578</v>
      </c>
      <c r="K24" s="6" t="n">
        <v>241506</v>
      </c>
      <c r="L24" s="6" t="n">
        <v>544015</v>
      </c>
      <c r="M24" s="6" t="n">
        <v>442663</v>
      </c>
      <c r="N24" s="6" t="n">
        <v>287438</v>
      </c>
    </row>
    <row r="25">
      <c r="A25" s="6" t="inlineStr">
        <is>
          <t>Deposits from banks</t>
        </is>
      </c>
      <c r="B25" s="6" t="n">
        <v>1053183</v>
      </c>
      <c r="C25" s="6" t="n">
        <v>925795</v>
      </c>
      <c r="D25" s="6" t="n">
        <v>1358652</v>
      </c>
      <c r="E25" s="6" t="n">
        <v>837569</v>
      </c>
      <c r="F25" s="6" t="n">
        <v>851201</v>
      </c>
      <c r="G25" s="6" t="n">
        <v>1396331</v>
      </c>
      <c r="H25" s="6" t="n">
        <v>1431447</v>
      </c>
      <c r="I25" s="6" t="n">
        <v>2076646</v>
      </c>
      <c r="J25" s="6" t="n">
        <v>1490689</v>
      </c>
      <c r="K25" s="6" t="n">
        <v>804465</v>
      </c>
      <c r="L25" s="6" t="n">
        <v>1454042</v>
      </c>
      <c r="M25" s="6" t="n">
        <v>882495</v>
      </c>
      <c r="N25" s="6" t="n">
        <v>1110038</v>
      </c>
    </row>
    <row r="26">
      <c r="A26" s="6" t="inlineStr">
        <is>
          <t>Customer accounts</t>
        </is>
      </c>
      <c r="B26" s="6" t="n">
        <v>1740013</v>
      </c>
      <c r="C26" s="6" t="n">
        <v>2745061</v>
      </c>
      <c r="D26" s="6" t="n">
        <v>1709639</v>
      </c>
      <c r="E26" s="6" t="n">
        <v>1914084</v>
      </c>
      <c r="F26" s="6" t="n">
        <v>1751887</v>
      </c>
      <c r="G26" s="6" t="n">
        <v>1242218</v>
      </c>
      <c r="H26" s="6" t="n">
        <v>1304375</v>
      </c>
      <c r="I26" s="6" t="n">
        <v>1194983</v>
      </c>
      <c r="J26" s="6" t="n">
        <v>752508</v>
      </c>
      <c r="K26" s="6" t="n">
        <v>453090</v>
      </c>
      <c r="L26" s="6" t="n">
        <v>176000</v>
      </c>
      <c r="M26" s="6" t="n">
        <v>204392</v>
      </c>
      <c r="N26" s="6" t="n">
        <v>217286</v>
      </c>
    </row>
    <row r="27">
      <c r="A27" s="6" t="inlineStr">
        <is>
          <t>Debt securities in issue</t>
        </is>
      </c>
      <c r="B27" s="6" t="n">
        <v>2364797</v>
      </c>
      <c r="C27" s="6" t="n">
        <v>2613477</v>
      </c>
      <c r="D27" s="6" t="n">
        <v>2688433</v>
      </c>
      <c r="E27" s="6" t="n">
        <v>2373670</v>
      </c>
      <c r="F27" s="6" t="n">
        <v>1571907</v>
      </c>
      <c r="G27" s="6" t="n">
        <v>1580814</v>
      </c>
      <c r="H27" s="6" t="n">
        <v>1814008</v>
      </c>
      <c r="I27" s="6" t="n">
        <v>2014685</v>
      </c>
      <c r="J27" s="6" t="n">
        <v>2083476</v>
      </c>
      <c r="K27" s="6" t="n">
        <v>2266682</v>
      </c>
      <c r="L27" s="6" t="n">
        <v>2502404</v>
      </c>
      <c r="M27" s="6" t="n">
        <v>2259901</v>
      </c>
      <c r="N27" s="6" t="n">
        <v>1904488</v>
      </c>
    </row>
    <row r="28">
      <c r="A28" s="6" t="inlineStr">
        <is>
          <t>Provisions</t>
        </is>
      </c>
      <c r="B28" s="6" t="n">
        <v>236</v>
      </c>
      <c r="C28" s="6" t="n">
        <v>258</v>
      </c>
      <c r="D28" s="6" t="n">
        <v>319</v>
      </c>
      <c r="E28" s="6" t="n">
        <v>525</v>
      </c>
      <c r="F28" s="6" t="n">
        <v>428</v>
      </c>
      <c r="G28" s="6" t="n">
        <v>2937</v>
      </c>
      <c r="H28" s="6" t="n">
        <v>1181</v>
      </c>
      <c r="I28" s="6" t="n">
        <v>587</v>
      </c>
      <c r="J28" s="6" t="n">
        <v>1596</v>
      </c>
      <c r="K28" s="6" t="n">
        <v>1330</v>
      </c>
      <c r="L28" s="6" t="n">
        <v>183</v>
      </c>
      <c r="M28" s="6" t="n">
        <v>308</v>
      </c>
      <c r="N28" s="6" t="n">
        <v>163</v>
      </c>
    </row>
    <row r="29">
      <c r="A29" s="6" t="inlineStr">
        <is>
          <t>Current tax liabilities</t>
        </is>
      </c>
      <c r="B29" s="6" t="n">
        <v>285</v>
      </c>
      <c r="C29" s="6" t="n">
        <v>1186</v>
      </c>
      <c r="D29" s="6" t="n">
        <v>0</v>
      </c>
      <c r="E29" s="6" t="n">
        <v>15</v>
      </c>
      <c r="F29" s="6" t="n">
        <v>580</v>
      </c>
      <c r="G29" s="6" t="n">
        <v>43</v>
      </c>
      <c r="H29" s="6" t="n">
        <v>6745</v>
      </c>
      <c r="I29" s="6" t="n">
        <v>6617</v>
      </c>
      <c r="J29" s="6" t="n">
        <v>3576</v>
      </c>
      <c r="K29" s="6" t="n">
        <v>3354</v>
      </c>
      <c r="L29" s="6" t="n">
        <v>883</v>
      </c>
      <c r="M29" s="6" t="n">
        <v>413</v>
      </c>
      <c r="N29" s="6" t="n">
        <v>27</v>
      </c>
    </row>
    <row r="30">
      <c r="A30" s="6" t="inlineStr">
        <is>
          <t>Deferred tax liabilities</t>
        </is>
      </c>
      <c r="B30" s="6" t="n">
        <v>54</v>
      </c>
      <c r="C30" s="6" t="n">
        <v>101</v>
      </c>
      <c r="D30" s="6" t="n">
        <v>315</v>
      </c>
      <c r="E30" s="6" t="n">
        <v>20</v>
      </c>
      <c r="F30" s="6" t="n">
        <v>29</v>
      </c>
      <c r="G30" s="6" t="n">
        <v>16</v>
      </c>
      <c r="H30" s="6" t="n">
        <v>16</v>
      </c>
      <c r="I30" s="6" t="n">
        <v>18</v>
      </c>
      <c r="J30" s="6" t="n">
        <v>0</v>
      </c>
      <c r="K30" s="6" t="n">
        <v>144</v>
      </c>
      <c r="L30" s="6" t="n">
        <v>260</v>
      </c>
      <c r="M30" s="6" t="n">
        <v>240</v>
      </c>
      <c r="N30" s="6" t="n"/>
    </row>
    <row r="31">
      <c r="A31" s="6" t="inlineStr">
        <is>
          <t>Subordinated liabilities</t>
        </is>
      </c>
      <c r="B31" s="6" t="n"/>
      <c r="C31" s="6" t="n"/>
      <c r="D31" s="6" t="n"/>
      <c r="E31" s="6" t="n"/>
      <c r="F31" s="6" t="n"/>
      <c r="G31" s="6" t="n"/>
      <c r="H31" s="6" t="n"/>
      <c r="I31" s="6" t="n"/>
      <c r="J31" s="6" t="n"/>
      <c r="K31" s="6" t="n">
        <v>30128</v>
      </c>
      <c r="L31" s="6" t="n">
        <v>30071</v>
      </c>
      <c r="M31" s="6" t="n">
        <v>30055</v>
      </c>
      <c r="N31" s="6" t="n">
        <v>30059</v>
      </c>
    </row>
    <row r="32">
      <c r="A32" s="6" t="inlineStr">
        <is>
          <t>Other liabilities</t>
        </is>
      </c>
      <c r="B32" s="6" t="n">
        <v>46646</v>
      </c>
      <c r="C32" s="6" t="n">
        <v>74207</v>
      </c>
      <c r="D32" s="6" t="n">
        <v>25004</v>
      </c>
      <c r="E32" s="6" t="n">
        <v>43366</v>
      </c>
      <c r="F32" s="6" t="n">
        <v>32798</v>
      </c>
      <c r="G32" s="6" t="n">
        <v>26927</v>
      </c>
      <c r="H32" s="6" t="n">
        <v>37261</v>
      </c>
      <c r="I32" s="6" t="n">
        <v>29811</v>
      </c>
      <c r="J32" s="6" t="n">
        <v>25449</v>
      </c>
      <c r="K32" s="6" t="n">
        <v>36832</v>
      </c>
      <c r="L32" s="6" t="n">
        <v>31502</v>
      </c>
      <c r="M32" s="6" t="n">
        <v>151288</v>
      </c>
      <c r="N32" s="6" t="n">
        <v>83565</v>
      </c>
    </row>
    <row r="33">
      <c r="A33" s="5" t="inlineStr">
        <is>
          <t>Total Liabilities</t>
        </is>
      </c>
      <c r="B33" s="5" t="n">
        <v>5741753</v>
      </c>
      <c r="C33" s="5" t="n">
        <v>6874232</v>
      </c>
      <c r="D33" s="5" t="n">
        <v>6121859</v>
      </c>
      <c r="E33" s="5" t="n">
        <v>5583190</v>
      </c>
      <c r="F33" s="5" t="n">
        <v>4633640</v>
      </c>
      <c r="G33" s="5" t="n">
        <v>4627181</v>
      </c>
      <c r="H33" s="5" t="n">
        <v>4878425</v>
      </c>
      <c r="I33" s="5" t="n">
        <v>5630341</v>
      </c>
      <c r="J33" s="5" t="n">
        <v>4830496</v>
      </c>
      <c r="K33" s="5" t="n">
        <v>3996797</v>
      </c>
      <c r="L33" s="5" t="n">
        <v>4844857</v>
      </c>
      <c r="M33" s="5" t="n">
        <v>4167542</v>
      </c>
      <c r="N33" s="5" t="n">
        <v>3791605</v>
      </c>
    </row>
    <row r="34">
      <c r="A34" s="5" t="inlineStr">
        <is>
          <t>Equity</t>
        </is>
      </c>
      <c r="B34" s="6" t="n"/>
      <c r="C34" s="6" t="n"/>
      <c r="D34" s="6" t="n"/>
      <c r="E34" s="6" t="n"/>
      <c r="F34" s="6" t="n"/>
      <c r="G34" s="6" t="n"/>
      <c r="H34" s="6" t="n"/>
      <c r="I34" s="6" t="n"/>
      <c r="J34" s="6" t="n"/>
      <c r="K34" s="6" t="n"/>
      <c r="L34" s="6" t="n"/>
      <c r="M34" s="6" t="n"/>
      <c r="N34" s="6" t="n"/>
    </row>
    <row r="35">
      <c r="A35" s="6" t="inlineStr">
        <is>
          <t>Called-up share capital</t>
        </is>
      </c>
      <c r="B35" s="6" t="n">
        <v>1221034</v>
      </c>
      <c r="C35" s="6" t="n">
        <v>1221034</v>
      </c>
      <c r="D35" s="6" t="n">
        <v>1221034</v>
      </c>
      <c r="E35" s="6" t="n">
        <v>935000</v>
      </c>
      <c r="F35" s="6" t="n">
        <v>600000</v>
      </c>
      <c r="G35" s="6" t="n">
        <v>600000</v>
      </c>
      <c r="H35" s="6" t="n">
        <v>600000</v>
      </c>
      <c r="I35" s="6" t="n">
        <v>600000</v>
      </c>
      <c r="J35" s="6" t="n">
        <v>600000</v>
      </c>
      <c r="K35" s="6" t="n">
        <v>600000</v>
      </c>
      <c r="L35" s="6" t="n">
        <v>600000</v>
      </c>
      <c r="M35" s="6" t="n">
        <v>600000</v>
      </c>
      <c r="N35" s="6" t="n">
        <v>600000</v>
      </c>
    </row>
    <row r="36">
      <c r="A36" s="6" t="inlineStr">
        <is>
          <t>Share premium</t>
        </is>
      </c>
      <c r="B36" s="6" t="n">
        <v>213966</v>
      </c>
      <c r="C36" s="6" t="n">
        <v>213966</v>
      </c>
      <c r="D36" s="6" t="n">
        <v>213966</v>
      </c>
      <c r="E36" s="6" t="n">
        <v>0</v>
      </c>
      <c r="F36" s="6" t="n">
        <v>0</v>
      </c>
      <c r="G36" s="6" t="n"/>
      <c r="H36" s="6" t="n"/>
      <c r="I36" s="6" t="n"/>
      <c r="J36" s="6" t="n"/>
      <c r="K36" s="6" t="n"/>
      <c r="L36" s="6" t="n"/>
      <c r="M36" s="6" t="n"/>
      <c r="N36" s="6" t="n"/>
    </row>
    <row r="37">
      <c r="A37" s="6" t="inlineStr">
        <is>
          <t>Revaluation reserves</t>
        </is>
      </c>
      <c r="B37" s="6" t="n">
        <v>205</v>
      </c>
      <c r="C37" s="6" t="n">
        <v>-1273</v>
      </c>
      <c r="D37" s="6" t="n">
        <v>-1644</v>
      </c>
      <c r="E37" s="6" t="n">
        <v>-4029</v>
      </c>
      <c r="F37" s="6" t="n">
        <v>53</v>
      </c>
      <c r="G37" s="6" t="n">
        <v>0</v>
      </c>
      <c r="H37" s="6" t="n">
        <v>-345</v>
      </c>
      <c r="I37" s="6" t="n">
        <v>-3273</v>
      </c>
      <c r="J37" s="6" t="n">
        <v>-4223</v>
      </c>
      <c r="K37" s="6" t="n">
        <v>-3902</v>
      </c>
      <c r="L37" s="6" t="n">
        <v>-1091</v>
      </c>
      <c r="M37" s="6" t="n">
        <v>1706</v>
      </c>
      <c r="N37" s="6" t="n">
        <v>-1786</v>
      </c>
    </row>
    <row r="38">
      <c r="A38" s="6" t="inlineStr">
        <is>
          <t>Other reserves</t>
        </is>
      </c>
      <c r="B38" s="6" t="n"/>
      <c r="C38" s="6" t="n"/>
      <c r="D38" s="6" t="n"/>
      <c r="E38" s="6" t="n">
        <v>0</v>
      </c>
      <c r="F38" s="6" t="n">
        <v>332948</v>
      </c>
      <c r="G38" s="6" t="n">
        <v>332948</v>
      </c>
      <c r="H38" s="6" t="n">
        <v>332948</v>
      </c>
      <c r="I38" s="6" t="n">
        <v>324856</v>
      </c>
      <c r="J38" s="6" t="n">
        <v>324856</v>
      </c>
      <c r="K38" s="6" t="n">
        <v>324856</v>
      </c>
      <c r="L38" s="6" t="n">
        <v>324856</v>
      </c>
      <c r="M38" s="6" t="n">
        <v>324856</v>
      </c>
      <c r="N38" s="6" t="n">
        <v>324856</v>
      </c>
    </row>
    <row r="39">
      <c r="A39" s="6" t="inlineStr">
        <is>
          <t>Retained earnings (including profit for the year)</t>
        </is>
      </c>
      <c r="B39" s="6" t="n">
        <v>719269</v>
      </c>
      <c r="C39" s="6" t="n">
        <v>629187</v>
      </c>
      <c r="D39" s="6" t="n">
        <v>530360</v>
      </c>
      <c r="E39" s="6" t="n">
        <v>467566</v>
      </c>
      <c r="F39" s="6" t="n">
        <v>396873</v>
      </c>
      <c r="G39" s="6" t="n">
        <v>370949</v>
      </c>
      <c r="H39" s="6" t="n">
        <v>366191</v>
      </c>
      <c r="I39" s="6" t="n">
        <v>307855</v>
      </c>
      <c r="J39" s="6" t="n">
        <v>202218</v>
      </c>
      <c r="K39" s="6" t="n">
        <v>125255</v>
      </c>
      <c r="L39" s="6" t="n">
        <v>99976</v>
      </c>
      <c r="M39" s="6" t="n">
        <v>83316</v>
      </c>
      <c r="N39" s="6" t="n">
        <v>89551</v>
      </c>
    </row>
    <row r="40">
      <c r="A40" s="5" t="inlineStr">
        <is>
          <t>Total Equity</t>
        </is>
      </c>
      <c r="B40" s="5" t="n">
        <v>2154474</v>
      </c>
      <c r="C40" s="5" t="n">
        <v>2062914</v>
      </c>
      <c r="D40" s="5" t="n">
        <v>1963716</v>
      </c>
      <c r="E40" s="5" t="n">
        <v>1398537</v>
      </c>
      <c r="F40" s="5" t="n">
        <v>1329874</v>
      </c>
      <c r="G40" s="5" t="n">
        <v>1303897</v>
      </c>
      <c r="H40" s="5" t="n">
        <v>1298794</v>
      </c>
      <c r="I40" s="5" t="n">
        <v>1229438</v>
      </c>
      <c r="J40" s="5" t="n">
        <v>1122851</v>
      </c>
      <c r="K40" s="5" t="n">
        <v>1046209</v>
      </c>
      <c r="L40" s="5" t="n">
        <v>1023741</v>
      </c>
      <c r="M40" s="5" t="n">
        <v>1009878</v>
      </c>
      <c r="N40" s="5" t="n">
        <v>1012621</v>
      </c>
    </row>
    <row r="41">
      <c r="A41" s="5" t="inlineStr">
        <is>
          <t>Total Liabilities and Equity</t>
        </is>
      </c>
      <c r="B41" s="5" t="n">
        <v>7896227</v>
      </c>
      <c r="C41" s="5" t="n">
        <v>8937146</v>
      </c>
      <c r="D41" s="5" t="n">
        <v>8085575</v>
      </c>
      <c r="E41" s="5" t="n">
        <v>6981727</v>
      </c>
      <c r="F41" s="5" t="n">
        <v>5963514</v>
      </c>
      <c r="G41" s="5" t="n">
        <v>5931078</v>
      </c>
      <c r="H41" s="5" t="n">
        <v>6177219</v>
      </c>
      <c r="I41" s="5" t="n">
        <v>6859779</v>
      </c>
      <c r="J41" s="5" t="n">
        <v>5953347</v>
      </c>
      <c r="K41" s="5" t="n">
        <v>5043006</v>
      </c>
      <c r="L41" s="5" t="n">
        <v>5868598</v>
      </c>
      <c r="M41" s="5" t="n">
        <v>5177420</v>
      </c>
      <c r="N41" s="5" t="n">
        <v>4804226</v>
      </c>
    </row>
    <row r="43" ht="190" customHeight="1">
      <c r="A43"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p.30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(the Bank-solo standalone report within the combined filing) and, per HD-072 (2026-09-06), its own FY2013 comparative column on the same page. 'Financial assets available for sale' is this era's label for what later becomes 'Financial assets measured at fair value through OCI' post-IFRS 9 (1 Jan 2018) - shown as separate rows since the categories aren't identical, not merged. 'Subordinated liabilities' is present FY2013-2016 and genuinely absent from FY2017 onward (a real repayment/maturity event, not an omission) - confirmed by reading each year's own note in full. 'Financial liabilities designated at fair value through profit or loss' is genuinely absent as a distinct Balance Sheet line in FY2013 (this era's Balance Sheet did not break it out separately) - not an omission. 'Deferred tax liabilities' is genuinely nil/blank for FY2013 per the source's own '-' entry.</t>
        </is>
      </c>
    </row>
  </sheetData>
  <mergeCells count="1">
    <mergeCell ref="A43:N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355575</v>
      </c>
      <c r="C5" s="6" t="n">
        <v>419820</v>
      </c>
      <c r="D5" s="6" t="n">
        <v>365401</v>
      </c>
      <c r="E5" s="6" t="n">
        <v>148478</v>
      </c>
      <c r="F5" s="6" t="n">
        <v>87382</v>
      </c>
      <c r="G5" s="6" t="n">
        <v>123207</v>
      </c>
      <c r="H5" s="6" t="n">
        <v>185078</v>
      </c>
      <c r="I5" s="6" t="n">
        <v>178374</v>
      </c>
      <c r="J5" s="6" t="n">
        <v>137523</v>
      </c>
      <c r="K5" s="6" t="n">
        <v>150124</v>
      </c>
      <c r="L5" s="6" t="n">
        <v>133084</v>
      </c>
      <c r="M5" s="6" t="n">
        <v>100510</v>
      </c>
      <c r="N5" s="6" t="n">
        <v>79959</v>
      </c>
    </row>
    <row r="6">
      <c r="A6" s="6" t="inlineStr">
        <is>
          <t>Interest expense</t>
        </is>
      </c>
      <c r="B6" s="6" t="n">
        <v>-280371</v>
      </c>
      <c r="C6" s="6" t="n">
        <v>-317737</v>
      </c>
      <c r="D6" s="6" t="n">
        <v>-278379</v>
      </c>
      <c r="E6" s="6" t="n">
        <v>-94759</v>
      </c>
      <c r="F6" s="6" t="n">
        <v>-47981</v>
      </c>
      <c r="G6" s="6" t="n">
        <v>-87133</v>
      </c>
      <c r="H6" s="6" t="n">
        <v>-139462</v>
      </c>
      <c r="I6" s="6" t="n">
        <v>-119963</v>
      </c>
      <c r="J6" s="6" t="n">
        <v>-77860</v>
      </c>
      <c r="K6" s="6" t="n">
        <v>-92584</v>
      </c>
      <c r="L6" s="6" t="n">
        <v>-73742</v>
      </c>
      <c r="M6" s="6" t="n">
        <v>-58667</v>
      </c>
      <c r="N6" s="6" t="n">
        <v>-48510</v>
      </c>
    </row>
    <row r="7">
      <c r="A7" s="5" t="inlineStr">
        <is>
          <t>Net interest income</t>
        </is>
      </c>
      <c r="B7" s="5" t="n">
        <v>75204</v>
      </c>
      <c r="C7" s="5" t="n">
        <v>102083</v>
      </c>
      <c r="D7" s="5" t="n">
        <v>87022</v>
      </c>
      <c r="E7" s="5" t="n">
        <v>53719</v>
      </c>
      <c r="F7" s="5" t="n">
        <v>39401</v>
      </c>
      <c r="G7" s="5" t="n">
        <v>36074</v>
      </c>
      <c r="H7" s="5" t="n">
        <v>45616</v>
      </c>
      <c r="I7" s="5" t="n">
        <v>58411</v>
      </c>
      <c r="J7" s="5" t="n">
        <v>59663</v>
      </c>
      <c r="K7" s="5" t="n">
        <v>57540</v>
      </c>
      <c r="L7" s="5" t="n">
        <v>59342</v>
      </c>
      <c r="M7" s="5" t="n">
        <v>41843</v>
      </c>
      <c r="N7" s="5" t="n">
        <v>31449</v>
      </c>
    </row>
    <row r="8">
      <c r="A8" s="6" t="inlineStr">
        <is>
          <t>Fee and commission income</t>
        </is>
      </c>
      <c r="B8" s="6" t="n">
        <v>9457</v>
      </c>
      <c r="C8" s="6" t="n">
        <v>11268</v>
      </c>
      <c r="D8" s="6" t="n">
        <v>10932</v>
      </c>
      <c r="E8" s="6" t="n">
        <v>13581</v>
      </c>
      <c r="F8" s="6" t="n">
        <v>12554</v>
      </c>
      <c r="G8" s="6" t="n">
        <v>8449</v>
      </c>
      <c r="H8" s="6" t="n">
        <v>8437</v>
      </c>
      <c r="I8" s="6" t="n">
        <v>14478</v>
      </c>
      <c r="J8" s="6" t="n">
        <v>7173</v>
      </c>
      <c r="K8" s="6" t="n">
        <v>11576</v>
      </c>
      <c r="L8" s="6" t="n">
        <v>9859</v>
      </c>
      <c r="M8" s="6" t="n">
        <v>13152</v>
      </c>
      <c r="N8" s="6" t="n">
        <v>12485</v>
      </c>
    </row>
    <row r="9">
      <c r="A9" s="6" t="inlineStr">
        <is>
          <t>Fee and commission expense</t>
        </is>
      </c>
      <c r="B9" s="6" t="n">
        <v>-6329</v>
      </c>
      <c r="C9" s="6" t="n">
        <v>-8787</v>
      </c>
      <c r="D9" s="6" t="n">
        <v>-11488</v>
      </c>
      <c r="E9" s="6" t="n">
        <v>-12687</v>
      </c>
      <c r="F9" s="6" t="n">
        <v>-17808</v>
      </c>
      <c r="G9" s="6" t="n">
        <v>-11279</v>
      </c>
      <c r="H9" s="6" t="n">
        <v>-9369</v>
      </c>
      <c r="I9" s="6" t="n">
        <v>-8638</v>
      </c>
      <c r="J9" s="6" t="n">
        <v>-12275</v>
      </c>
      <c r="K9" s="6" t="n">
        <v>-13792</v>
      </c>
      <c r="L9" s="6" t="n">
        <v>-9460</v>
      </c>
      <c r="M9" s="6" t="n">
        <v>-3488</v>
      </c>
      <c r="N9" s="6" t="n">
        <v>-4199</v>
      </c>
    </row>
    <row r="10">
      <c r="A10" s="5" t="inlineStr">
        <is>
          <t>Net fee and commission income / (expense)</t>
        </is>
      </c>
      <c r="B10" s="5" t="n">
        <v>3128</v>
      </c>
      <c r="C10" s="5" t="n">
        <v>2481</v>
      </c>
      <c r="D10" s="5" t="n">
        <v>-556</v>
      </c>
      <c r="E10" s="5" t="n">
        <v>894</v>
      </c>
      <c r="F10" s="5" t="n">
        <v>-5254</v>
      </c>
      <c r="G10" s="5" t="n">
        <v>-2830</v>
      </c>
      <c r="H10" s="5" t="n">
        <v>-932</v>
      </c>
      <c r="I10" s="5" t="n">
        <v>5840</v>
      </c>
      <c r="J10" s="5" t="n">
        <v>-5102</v>
      </c>
      <c r="K10" s="5" t="n">
        <v>-2216</v>
      </c>
      <c r="L10" s="5" t="n">
        <v>399</v>
      </c>
      <c r="M10" s="5" t="n">
        <v>9664</v>
      </c>
      <c r="N10" s="5" t="n">
        <v>8286</v>
      </c>
    </row>
    <row r="11">
      <c r="A11" s="6" t="inlineStr">
        <is>
          <t>Net income on financial assets and liabilities at fair value through profit or loss</t>
        </is>
      </c>
      <c r="B11" s="6" t="n">
        <v>66407</v>
      </c>
      <c r="C11" s="6" t="n">
        <v>45201</v>
      </c>
      <c r="D11" s="6" t="n">
        <v>19474</v>
      </c>
      <c r="E11" s="6" t="n">
        <v>32120</v>
      </c>
      <c r="F11" s="6" t="n"/>
      <c r="G11" s="6" t="n">
        <v>14485</v>
      </c>
      <c r="H11" s="6" t="n">
        <v>39915</v>
      </c>
      <c r="I11" s="6" t="n">
        <v>20035</v>
      </c>
      <c r="J11" s="6" t="n">
        <v>11255</v>
      </c>
      <c r="K11" s="6" t="n">
        <v>9854</v>
      </c>
      <c r="L11" s="6" t="n">
        <v>7041</v>
      </c>
      <c r="M11" s="6" t="n">
        <v>9434</v>
      </c>
      <c r="N11" s="6" t="n">
        <v>16656</v>
      </c>
    </row>
    <row r="12">
      <c r="A12" s="6" t="inlineStr">
        <is>
          <t>Net income / (expense) on financial assets at fair value through OCI</t>
        </is>
      </c>
      <c r="B12" s="6" t="n">
        <v>-89</v>
      </c>
      <c r="C12" s="6" t="n">
        <v>-778</v>
      </c>
      <c r="D12" s="6" t="n">
        <v>985</v>
      </c>
      <c r="E12" s="6" t="n">
        <v>-57</v>
      </c>
      <c r="F12" s="6" t="n"/>
      <c r="G12" s="6" t="n">
        <v>2492</v>
      </c>
      <c r="H12" s="6" t="n">
        <v>20</v>
      </c>
      <c r="I12" s="6" t="n">
        <v>-174</v>
      </c>
      <c r="J12" s="6" t="n">
        <v>-305</v>
      </c>
      <c r="K12" s="6" t="n">
        <v>1716</v>
      </c>
      <c r="L12" s="6" t="n">
        <v>1857</v>
      </c>
      <c r="M12" s="6" t="n">
        <v>605</v>
      </c>
      <c r="N12" s="6" t="n">
        <v>441</v>
      </c>
    </row>
    <row r="13">
      <c r="A13" s="6" t="inlineStr">
        <is>
          <t>Dividend income</t>
        </is>
      </c>
      <c r="B13" s="6" t="n"/>
      <c r="C13" s="6" t="n">
        <v>5</v>
      </c>
      <c r="D13" s="6" t="n">
        <v>0</v>
      </c>
      <c r="E13" s="6" t="n">
        <v>20004</v>
      </c>
      <c r="F13" s="6" t="n">
        <v>23797</v>
      </c>
      <c r="G13" s="6" t="n">
        <v>5</v>
      </c>
      <c r="H13" s="6" t="n">
        <v>20004</v>
      </c>
      <c r="I13" s="6" t="n">
        <v>64500</v>
      </c>
      <c r="J13" s="6" t="n">
        <v>50000</v>
      </c>
      <c r="K13" s="6" t="n"/>
      <c r="L13" s="6" t="n"/>
      <c r="M13" s="6" t="n">
        <v>6474</v>
      </c>
      <c r="N13" s="6" t="n">
        <v>85962</v>
      </c>
    </row>
    <row r="14">
      <c r="A14" s="6" t="inlineStr">
        <is>
          <t>Net income on other financial operations</t>
        </is>
      </c>
      <c r="B14" s="6" t="n">
        <v>8208</v>
      </c>
      <c r="C14" s="6" t="n">
        <v>9387</v>
      </c>
      <c r="D14" s="6" t="n">
        <v>7943</v>
      </c>
      <c r="E14" s="6" t="n">
        <v>4469</v>
      </c>
      <c r="F14" s="6" t="n">
        <v>5590</v>
      </c>
      <c r="G14" s="6" t="n">
        <v>5339</v>
      </c>
      <c r="H14" s="6" t="n">
        <v>7110</v>
      </c>
      <c r="I14" s="6" t="n">
        <v>5206</v>
      </c>
      <c r="J14" s="6" t="n">
        <v>-22</v>
      </c>
      <c r="K14" s="6" t="n">
        <v>2326</v>
      </c>
      <c r="L14" s="6" t="n">
        <v>3147</v>
      </c>
      <c r="M14" s="6" t="n">
        <v>2617</v>
      </c>
      <c r="N14" s="6" t="n">
        <v>2773</v>
      </c>
    </row>
    <row r="15">
      <c r="A15" s="5" t="inlineStr">
        <is>
          <t>Net income on financial operations</t>
        </is>
      </c>
      <c r="B15" s="5" t="n">
        <v>74526</v>
      </c>
      <c r="C15" s="5" t="n">
        <v>53811</v>
      </c>
      <c r="D15" s="5" t="n">
        <v>28402</v>
      </c>
      <c r="E15" s="5" t="n">
        <v>56536</v>
      </c>
      <c r="F15" s="5" t="n">
        <v>29192</v>
      </c>
      <c r="G15" s="5" t="n">
        <v>22321</v>
      </c>
      <c r="H15" s="5" t="n">
        <v>67049</v>
      </c>
      <c r="I15" s="5" t="n">
        <v>89567</v>
      </c>
      <c r="J15" s="5" t="n">
        <v>60928</v>
      </c>
      <c r="K15" s="5" t="n">
        <v>13896</v>
      </c>
      <c r="L15" s="5" t="n">
        <v>12045</v>
      </c>
      <c r="M15" s="5" t="n">
        <v>19130</v>
      </c>
      <c r="N15" s="5" t="n">
        <v>105832</v>
      </c>
    </row>
    <row r="16">
      <c r="A16" s="6" t="inlineStr">
        <is>
          <t>Other operating income</t>
        </is>
      </c>
      <c r="B16" s="6" t="n">
        <v>5050</v>
      </c>
      <c r="C16" s="6" t="n">
        <v>5344</v>
      </c>
      <c r="D16" s="6" t="n">
        <v>6806</v>
      </c>
      <c r="E16" s="6" t="n">
        <v>6646</v>
      </c>
      <c r="F16" s="6" t="n">
        <v>7438</v>
      </c>
      <c r="G16" s="6" t="n">
        <v>8604</v>
      </c>
      <c r="H16" s="6" t="n">
        <v>11483</v>
      </c>
      <c r="I16" s="6" t="n">
        <v>11176</v>
      </c>
      <c r="J16" s="6" t="n">
        <v>8937</v>
      </c>
      <c r="K16" s="6" t="n">
        <v>8162</v>
      </c>
      <c r="L16" s="6" t="n">
        <v>6361</v>
      </c>
      <c r="M16" s="6" t="n">
        <v>10132</v>
      </c>
      <c r="N16" s="6" t="n">
        <v>2149</v>
      </c>
    </row>
    <row r="17">
      <c r="A17" s="5" t="inlineStr">
        <is>
          <t>Total operating income</t>
        </is>
      </c>
      <c r="B17" s="5" t="n">
        <v>157908</v>
      </c>
      <c r="C17" s="5" t="n">
        <v>163719</v>
      </c>
      <c r="D17" s="5" t="n">
        <v>121674</v>
      </c>
      <c r="E17" s="5" t="n">
        <v>117795</v>
      </c>
      <c r="F17" s="5" t="n">
        <v>70777</v>
      </c>
      <c r="G17" s="5" t="n">
        <v>64169</v>
      </c>
      <c r="H17" s="5" t="n">
        <v>123216</v>
      </c>
      <c r="I17" s="5" t="n">
        <v>164994</v>
      </c>
      <c r="J17" s="5" t="n">
        <v>124426</v>
      </c>
      <c r="K17" s="5" t="n">
        <v>77382</v>
      </c>
      <c r="L17" s="5" t="n">
        <v>78147</v>
      </c>
      <c r="M17" s="5" t="n">
        <v>80769</v>
      </c>
      <c r="N17" s="5" t="n">
        <v>147716</v>
      </c>
    </row>
    <row r="18">
      <c r="A18" s="6" t="inlineStr">
        <is>
          <t>Credit impairment reversals / (charges) and other provisions</t>
        </is>
      </c>
      <c r="B18" s="6" t="n">
        <v>64</v>
      </c>
      <c r="C18" s="6" t="n">
        <v>306</v>
      </c>
      <c r="D18" s="6" t="n">
        <v>-6669</v>
      </c>
      <c r="E18" s="6" t="n">
        <v>4188</v>
      </c>
      <c r="F18" s="6" t="n">
        <v>9753</v>
      </c>
      <c r="G18" s="6" t="n">
        <v>-22264</v>
      </c>
      <c r="H18" s="6" t="n">
        <v>-1893</v>
      </c>
      <c r="I18" s="6" t="n">
        <v>1272</v>
      </c>
      <c r="J18" s="6" t="n">
        <v>3702</v>
      </c>
      <c r="K18" s="6" t="n">
        <v>-651</v>
      </c>
      <c r="L18" s="6" t="n">
        <v>-2531</v>
      </c>
      <c r="M18" s="6" t="n">
        <v>-20294</v>
      </c>
      <c r="N18" s="6" t="n">
        <v>-4845</v>
      </c>
    </row>
    <row r="19">
      <c r="A19" s="5" t="inlineStr">
        <is>
          <t>Net operating income</t>
        </is>
      </c>
      <c r="B19" s="5" t="n">
        <v>157972</v>
      </c>
      <c r="C19" s="5" t="n">
        <v>164025</v>
      </c>
      <c r="D19" s="5" t="n">
        <v>115005</v>
      </c>
      <c r="E19" s="5" t="n">
        <v>121983</v>
      </c>
      <c r="F19" s="5" t="n">
        <v>80530</v>
      </c>
      <c r="G19" s="5" t="n">
        <v>41905</v>
      </c>
      <c r="H19" s="5" t="n">
        <v>121688</v>
      </c>
      <c r="I19" s="5" t="n">
        <v>166266</v>
      </c>
      <c r="J19" s="5" t="n">
        <v>128128</v>
      </c>
      <c r="K19" s="5" t="n">
        <v>76731</v>
      </c>
      <c r="L19" s="5" t="n">
        <v>75616</v>
      </c>
      <c r="M19" s="5" t="n">
        <v>60475</v>
      </c>
      <c r="N19" s="5" t="n">
        <v>142871</v>
      </c>
    </row>
    <row r="20">
      <c r="A20" s="5" t="inlineStr">
        <is>
          <t>Operating expenses</t>
        </is>
      </c>
      <c r="B20" s="6" t="n"/>
      <c r="C20" s="6" t="n"/>
      <c r="D20" s="6" t="n"/>
      <c r="E20" s="6" t="n"/>
      <c r="F20" s="6" t="n"/>
      <c r="G20" s="6" t="n"/>
      <c r="H20" s="6" t="n"/>
      <c r="I20" s="6" t="n"/>
      <c r="J20" s="6" t="n"/>
      <c r="K20" s="6" t="n"/>
      <c r="L20" s="6" t="n"/>
      <c r="M20" s="6" t="n"/>
      <c r="N20" s="6" t="n"/>
    </row>
    <row r="21">
      <c r="A21" s="6" t="inlineStr">
        <is>
          <t>Staff costs</t>
        </is>
      </c>
      <c r="B21" s="6" t="n">
        <v>-20143</v>
      </c>
      <c r="C21" s="6" t="n">
        <v>-15973</v>
      </c>
      <c r="D21" s="6" t="n">
        <v>-17838</v>
      </c>
      <c r="E21" s="6" t="n">
        <v>-19576</v>
      </c>
      <c r="F21" s="6" t="n">
        <v>-19475</v>
      </c>
      <c r="G21" s="6" t="n">
        <v>-25591</v>
      </c>
      <c r="H21" s="6" t="n">
        <v>-37325</v>
      </c>
      <c r="I21" s="6" t="n">
        <v>-34865</v>
      </c>
      <c r="J21" s="6" t="n">
        <v>-29637</v>
      </c>
      <c r="K21" s="6" t="n">
        <v>-30945</v>
      </c>
      <c r="L21" s="6" t="n">
        <v>-36441</v>
      </c>
      <c r="M21" s="6" t="n">
        <v>-45380</v>
      </c>
      <c r="N21" s="6" t="n">
        <v>-34830</v>
      </c>
    </row>
    <row r="22">
      <c r="A22" s="6" t="inlineStr">
        <is>
          <t>General and administrative expenses</t>
        </is>
      </c>
      <c r="B22" s="6" t="n">
        <v>-16306</v>
      </c>
      <c r="C22" s="6" t="n">
        <v>-14730</v>
      </c>
      <c r="D22" s="6" t="n">
        <v>-12211</v>
      </c>
      <c r="E22" s="6" t="n">
        <v>-11842</v>
      </c>
      <c r="F22" s="6" t="n">
        <v>-11634</v>
      </c>
      <c r="G22" s="6" t="n">
        <v>-7305</v>
      </c>
      <c r="H22" s="6" t="n">
        <v>-9143</v>
      </c>
      <c r="I22" s="6" t="n">
        <v>-10962</v>
      </c>
      <c r="J22" s="6" t="n">
        <v>-10920</v>
      </c>
      <c r="K22" s="6" t="n">
        <v>-10531</v>
      </c>
      <c r="L22" s="6" t="n">
        <v>-14065</v>
      </c>
      <c r="M22" s="6" t="n">
        <v>-17895</v>
      </c>
      <c r="N22" s="6" t="n">
        <v>-13146</v>
      </c>
    </row>
    <row r="23">
      <c r="A23" s="6" t="inlineStr">
        <is>
          <t>Depreciation and impairment of property, plant and equipment</t>
        </is>
      </c>
      <c r="B23" s="6" t="n">
        <v>-831</v>
      </c>
      <c r="C23" s="6" t="n">
        <v>-852</v>
      </c>
      <c r="D23" s="6" t="n">
        <v>-969</v>
      </c>
      <c r="E23" s="6" t="n">
        <v>-1135</v>
      </c>
      <c r="F23" s="6" t="n">
        <v>-1107</v>
      </c>
      <c r="G23" s="6" t="n">
        <v>-1301</v>
      </c>
      <c r="H23" s="6" t="n">
        <v>-2743</v>
      </c>
      <c r="I23" s="6" t="n">
        <v>-1487</v>
      </c>
      <c r="J23" s="6" t="n">
        <v>-2861</v>
      </c>
      <c r="K23" s="6" t="n">
        <v>-1748</v>
      </c>
      <c r="L23" s="6" t="n">
        <v>-1725</v>
      </c>
      <c r="M23" s="6" t="n">
        <v>-1689</v>
      </c>
      <c r="N23" s="6" t="n">
        <v>-1352</v>
      </c>
    </row>
    <row r="24">
      <c r="A24" s="6" t="inlineStr">
        <is>
          <t>Amortisation and impairment of intangible assets</t>
        </is>
      </c>
      <c r="B24" s="6" t="n"/>
      <c r="C24" s="6" t="n">
        <v>-7</v>
      </c>
      <c r="D24" s="6" t="n">
        <v>-30</v>
      </c>
      <c r="E24" s="6" t="n">
        <v>-145</v>
      </c>
      <c r="F24" s="6" t="n">
        <v>-169</v>
      </c>
      <c r="G24" s="6" t="n">
        <v>-170</v>
      </c>
      <c r="H24" s="6" t="n">
        <v>-129</v>
      </c>
      <c r="I24" s="6" t="n">
        <v>-187</v>
      </c>
      <c r="J24" s="6" t="n">
        <v>-245</v>
      </c>
      <c r="K24" s="6" t="n">
        <v>-387</v>
      </c>
      <c r="L24" s="6" t="n">
        <v>-477</v>
      </c>
      <c r="M24" s="6" t="n">
        <v>-507</v>
      </c>
      <c r="N24" s="6" t="n">
        <v>-427</v>
      </c>
    </row>
    <row r="25">
      <c r="A25" s="6" t="inlineStr">
        <is>
          <t>Other operating expenses</t>
        </is>
      </c>
      <c r="B25" s="6" t="n">
        <v>-525</v>
      </c>
      <c r="C25" s="6" t="n">
        <v>-660</v>
      </c>
      <c r="D25" s="6" t="n">
        <v>-432</v>
      </c>
      <c r="E25" s="6" t="n">
        <v>-408</v>
      </c>
      <c r="F25" s="6" t="n">
        <v>-668</v>
      </c>
      <c r="G25" s="6" t="n">
        <v>-1422</v>
      </c>
      <c r="H25" s="6" t="n">
        <v>-907</v>
      </c>
      <c r="I25" s="6" t="n">
        <v>-1061</v>
      </c>
      <c r="J25" s="6" t="n">
        <v>-1211</v>
      </c>
      <c r="K25" s="6" t="n">
        <v>-1225</v>
      </c>
      <c r="L25" s="6" t="n">
        <v>-1437</v>
      </c>
      <c r="M25" s="6" t="n">
        <v>-1163</v>
      </c>
      <c r="N25" s="6" t="n">
        <v>-2067</v>
      </c>
    </row>
    <row r="26">
      <c r="A26" s="5" t="inlineStr">
        <is>
          <t>Total operating expenses</t>
        </is>
      </c>
      <c r="B26" s="5" t="n">
        <v>-37805</v>
      </c>
      <c r="C26" s="5" t="n">
        <v>-32222</v>
      </c>
      <c r="D26" s="5" t="n">
        <v>-31480</v>
      </c>
      <c r="E26" s="5" t="n">
        <v>-33106</v>
      </c>
      <c r="F26" s="5" t="n">
        <v>-33053</v>
      </c>
      <c r="G26" s="5" t="n">
        <v>-35789</v>
      </c>
      <c r="H26" s="5" t="n">
        <v>-50247</v>
      </c>
      <c r="I26" s="5" t="n">
        <v>-48562</v>
      </c>
      <c r="J26" s="5" t="n">
        <v>-44874</v>
      </c>
      <c r="K26" s="5" t="n">
        <v>-44836</v>
      </c>
      <c r="L26" s="5" t="n">
        <v>-54145</v>
      </c>
      <c r="M26" s="5" t="n">
        <v>-66634</v>
      </c>
      <c r="N26" s="5" t="n">
        <v>-51822</v>
      </c>
    </row>
    <row r="27">
      <c r="A27" s="5" t="inlineStr">
        <is>
          <t>Profit before tax</t>
        </is>
      </c>
      <c r="B27" s="5" t="n">
        <v>120167</v>
      </c>
      <c r="C27" s="5" t="n">
        <v>131803</v>
      </c>
      <c r="D27" s="5" t="n">
        <v>83525</v>
      </c>
      <c r="E27" s="5" t="n">
        <v>88877</v>
      </c>
      <c r="F27" s="5" t="n">
        <v>47477</v>
      </c>
      <c r="G27" s="5" t="n">
        <v>6116</v>
      </c>
      <c r="H27" s="5" t="n">
        <v>71441</v>
      </c>
      <c r="I27" s="5" t="n">
        <v>117704</v>
      </c>
      <c r="J27" s="5" t="n">
        <v>83254</v>
      </c>
      <c r="K27" s="5" t="n">
        <v>31895</v>
      </c>
      <c r="L27" s="5" t="n">
        <v>21471</v>
      </c>
      <c r="M27" s="5" t="n">
        <v>-6159</v>
      </c>
      <c r="N27" s="5" t="n">
        <v>91049</v>
      </c>
    </row>
    <row r="28">
      <c r="A28" s="6" t="inlineStr">
        <is>
          <t>Income tax</t>
        </is>
      </c>
      <c r="B28" s="6" t="n">
        <v>-30085</v>
      </c>
      <c r="C28" s="6" t="n">
        <v>-32976</v>
      </c>
      <c r="D28" s="6" t="n">
        <v>-20731</v>
      </c>
      <c r="E28" s="6" t="n">
        <v>-16132</v>
      </c>
      <c r="F28" s="6" t="n">
        <v>-4467</v>
      </c>
      <c r="G28" s="6" t="n">
        <v>-1358</v>
      </c>
      <c r="H28" s="6" t="n">
        <v>-12105</v>
      </c>
      <c r="I28" s="6" t="n">
        <v>-12163</v>
      </c>
      <c r="J28" s="6" t="n">
        <v>-6291</v>
      </c>
      <c r="K28" s="6" t="n">
        <v>-6616</v>
      </c>
      <c r="L28" s="6" t="n">
        <v>-4811</v>
      </c>
      <c r="M28" s="6" t="n">
        <v>-76</v>
      </c>
      <c r="N28" s="6" t="n">
        <v>-1623</v>
      </c>
    </row>
    <row r="29">
      <c r="A29" s="5" t="inlineStr">
        <is>
          <t>Profit for the year</t>
        </is>
      </c>
      <c r="B29" s="5" t="n">
        <v>90082</v>
      </c>
      <c r="C29" s="5" t="n">
        <v>98827</v>
      </c>
      <c r="D29" s="5" t="n">
        <v>62794</v>
      </c>
      <c r="E29" s="5" t="n">
        <v>72745</v>
      </c>
      <c r="F29" s="5" t="n">
        <v>43010</v>
      </c>
      <c r="G29" s="5" t="n">
        <v>4758</v>
      </c>
      <c r="H29" s="5" t="n">
        <v>59336</v>
      </c>
      <c r="I29" s="5" t="n">
        <v>105541</v>
      </c>
      <c r="J29" s="5" t="n">
        <v>76963</v>
      </c>
      <c r="K29" s="5" t="n">
        <v>25279</v>
      </c>
      <c r="L29" s="5" t="n">
        <v>16660</v>
      </c>
      <c r="M29" s="5" t="n">
        <v>-6235</v>
      </c>
      <c r="N29" s="5" t="n">
        <v>89426</v>
      </c>
    </row>
    <row r="31" ht="170"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
Source — Itau BBA International plc Bank (solo, not Group) financial statements, 2020 Annual Report, p.43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p.31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Dividend income of USD 64,500k (2018) and USD 50,000k (2017) reflects real related-party dividends from subsidiaries, not an anomaly - confirmed against the Investments in subsidiaries note.
Source — Itau BBA International plc Bank (solo, not Group) financial statements, 2016 Annual Report, p.25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p.28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and, per HD-072 (2026-09-06), its own FY2013 comparative column on the same page. FY2014's Profit/(loss) for the year of USD (6,235)k is a genuine Bank-level loss, driven by a USD 20,294k credit impairment charge against a much smaller dividend income than FY2013's own one-off USD 85,962k dividend (the latter reflecting a large distribution ahead of the 2013 merger) - confirmed by reading the note in full, not a transcription anomaly.</t>
        </is>
      </c>
    </row>
  </sheetData>
  <mergeCells count="1">
    <mergeCell ref="A31:N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2013 (Bank)</t>
        </is>
      </c>
      <c r="B4" s="5" t="n">
        <v>200000</v>
      </c>
      <c r="C4" s="5" t="n"/>
      <c r="D4" s="5" t="n">
        <v>0</v>
      </c>
      <c r="E4" s="5" t="n">
        <v>0</v>
      </c>
      <c r="F4" s="5" t="n">
        <v>125</v>
      </c>
      <c r="G4" s="5" t="n">
        <v>200125</v>
      </c>
    </row>
    <row r="5">
      <c r="A5" s="6" t="inlineStr">
        <is>
          <t>Profit for the year</t>
        </is>
      </c>
      <c r="B5" s="6" t="n"/>
      <c r="C5" s="6" t="n"/>
      <c r="D5" s="6" t="n"/>
      <c r="E5" s="6" t="n"/>
      <c r="F5" s="6" t="n">
        <v>89426</v>
      </c>
      <c r="G5" s="6" t="n">
        <v>89426</v>
      </c>
    </row>
    <row r="6">
      <c r="A6" s="6" t="inlineStr">
        <is>
          <t>Other comprehensive expense for the year (revaluation reserves)</t>
        </is>
      </c>
      <c r="B6" s="6" t="n"/>
      <c r="C6" s="6" t="n"/>
      <c r="D6" s="6" t="n">
        <v>-1786</v>
      </c>
      <c r="E6" s="6" t="n"/>
      <c r="F6" s="6" t="n"/>
      <c r="G6" s="6" t="n">
        <v>-1786</v>
      </c>
    </row>
    <row r="7">
      <c r="A7" s="6" t="inlineStr">
        <is>
          <t>Share capital of the acquiree on the merger (Note 39/Directors' Report - see source note)</t>
        </is>
      </c>
      <c r="B7" s="6" t="n">
        <v>725771</v>
      </c>
      <c r="C7" s="6" t="n"/>
      <c r="D7" s="6" t="n"/>
      <c r="E7" s="6" t="n"/>
      <c r="F7" s="6" t="n"/>
      <c r="G7" s="6" t="n">
        <v>725771</v>
      </c>
    </row>
    <row r="8">
      <c r="A8" s="6" t="inlineStr">
        <is>
          <t>Post-merger capital reallocation</t>
        </is>
      </c>
      <c r="B8" s="6" t="n">
        <v>-325771</v>
      </c>
      <c r="C8" s="6" t="n"/>
      <c r="D8" s="6" t="n"/>
      <c r="E8" s="6" t="n">
        <v>325771</v>
      </c>
      <c r="F8" s="6" t="n"/>
      <c r="G8" s="6" t="n">
        <v>0</v>
      </c>
    </row>
    <row r="9">
      <c r="A9" s="6" t="inlineStr">
        <is>
          <t>Other movements (reserves)</t>
        </is>
      </c>
      <c r="B9" s="6" t="n"/>
      <c r="C9" s="6" t="n"/>
      <c r="D9" s="6" t="n"/>
      <c r="E9" s="6" t="n">
        <v>-915</v>
      </c>
      <c r="F9" s="6" t="n"/>
      <c r="G9" s="6" t="n">
        <v>-915</v>
      </c>
    </row>
    <row r="10">
      <c r="A10" s="5" t="inlineStr">
        <is>
          <t>Balance as at 31 December 2013 / 1 January 2014 (Bank)</t>
        </is>
      </c>
      <c r="B10" s="5" t="n">
        <v>600000</v>
      </c>
      <c r="C10" s="5" t="n"/>
      <c r="D10" s="5" t="n">
        <v>-1786</v>
      </c>
      <c r="E10" s="5" t="n">
        <v>324856</v>
      </c>
      <c r="F10" s="5" t="n">
        <v>89551</v>
      </c>
      <c r="G10" s="5" t="n">
        <v>1012621</v>
      </c>
    </row>
    <row r="11">
      <c r="A11" s="6" t="inlineStr">
        <is>
          <t>Loss for the year</t>
        </is>
      </c>
      <c r="B11" s="6" t="n"/>
      <c r="C11" s="6" t="n"/>
      <c r="D11" s="6" t="n"/>
      <c r="E11" s="6" t="n"/>
      <c r="F11" s="6" t="n">
        <v>-6235</v>
      </c>
      <c r="G11" s="6" t="n">
        <v>-6235</v>
      </c>
    </row>
    <row r="12">
      <c r="A12" s="6" t="inlineStr">
        <is>
          <t>Other comprehensive income for the year (revaluation reserves)</t>
        </is>
      </c>
      <c r="B12" s="6" t="n"/>
      <c r="C12" s="6" t="n"/>
      <c r="D12" s="6" t="n">
        <v>3492</v>
      </c>
      <c r="E12" s="6" t="n"/>
      <c r="F12" s="6" t="n"/>
      <c r="G12" s="6" t="n">
        <v>3492</v>
      </c>
    </row>
    <row r="13">
      <c r="A13" s="5" t="inlineStr">
        <is>
          <t>Balance as at 31 December 2014</t>
        </is>
      </c>
      <c r="B13" s="5" t="n">
        <v>600000</v>
      </c>
      <c r="C13" s="5" t="n"/>
      <c r="D13" s="5" t="n">
        <v>1706</v>
      </c>
      <c r="E13" s="5" t="n">
        <v>324856</v>
      </c>
      <c r="F13" s="5" t="n">
        <v>83316</v>
      </c>
      <c r="G13" s="5" t="n">
        <v>1009878</v>
      </c>
    </row>
    <row r="14">
      <c r="A14" s="6" t="inlineStr">
        <is>
          <t>Profit for the year</t>
        </is>
      </c>
      <c r="B14" s="6" t="n"/>
      <c r="C14" s="6" t="n"/>
      <c r="D14" s="6" t="n"/>
      <c r="E14" s="6" t="n"/>
      <c r="F14" s="6" t="n">
        <v>16660</v>
      </c>
      <c r="G14" s="6" t="n">
        <v>16660</v>
      </c>
    </row>
    <row r="15">
      <c r="A15" s="6" t="inlineStr">
        <is>
          <t>Other comprehensive expense for the year (revaluation reserves)</t>
        </is>
      </c>
      <c r="B15" s="6" t="n"/>
      <c r="C15" s="6" t="n"/>
      <c r="D15" s="6" t="n">
        <v>-2797</v>
      </c>
      <c r="E15" s="6" t="n"/>
      <c r="F15" s="6" t="n"/>
      <c r="G15" s="6" t="n">
        <v>-2797</v>
      </c>
    </row>
    <row r="16">
      <c r="A16" s="5" t="inlineStr">
        <is>
          <t>Balance as at 31 December 2015</t>
        </is>
      </c>
      <c r="B16" s="5" t="n">
        <v>600000</v>
      </c>
      <c r="C16" s="5" t="n"/>
      <c r="D16" s="5" t="n">
        <v>-1091</v>
      </c>
      <c r="E16" s="5" t="n">
        <v>324856</v>
      </c>
      <c r="F16" s="5" t="n">
        <v>99976</v>
      </c>
      <c r="G16" s="5" t="n">
        <v>1023741</v>
      </c>
    </row>
    <row r="17">
      <c r="A17" s="6" t="inlineStr">
        <is>
          <t>Profit for the year</t>
        </is>
      </c>
      <c r="B17" s="6" t="n"/>
      <c r="C17" s="6" t="n"/>
      <c r="D17" s="6" t="n"/>
      <c r="E17" s="6" t="n"/>
      <c r="F17" s="6" t="n">
        <v>25279</v>
      </c>
      <c r="G17" s="6" t="n">
        <v>25279</v>
      </c>
    </row>
    <row r="18">
      <c r="A18" s="6" t="inlineStr">
        <is>
          <t>Other comprehensive expense for the year (revaluation reserves)</t>
        </is>
      </c>
      <c r="B18" s="6" t="n"/>
      <c r="C18" s="6" t="n"/>
      <c r="D18" s="6" t="n">
        <v>-2811</v>
      </c>
      <c r="E18" s="6" t="n"/>
      <c r="F18" s="6" t="n"/>
      <c r="G18" s="6" t="n">
        <v>-2811</v>
      </c>
    </row>
    <row r="19">
      <c r="A19" s="5" t="inlineStr">
        <is>
          <t>Balance as at 31 December 2016</t>
        </is>
      </c>
      <c r="B19" s="5" t="n">
        <v>600000</v>
      </c>
      <c r="C19" s="5" t="n"/>
      <c r="D19" s="5" t="n">
        <v>-3902</v>
      </c>
      <c r="E19" s="5" t="n">
        <v>324856</v>
      </c>
      <c r="F19" s="5" t="n">
        <v>125255</v>
      </c>
      <c r="G19" s="5" t="n">
        <v>1046209</v>
      </c>
    </row>
    <row r="20">
      <c r="A20" s="6" t="inlineStr">
        <is>
          <t>Profit for the year</t>
        </is>
      </c>
      <c r="B20" s="6" t="n"/>
      <c r="C20" s="6" t="n"/>
      <c r="D20" s="6" t="n"/>
      <c r="E20" s="6" t="n"/>
      <c r="F20" s="6" t="n">
        <v>76963</v>
      </c>
      <c r="G20" s="6" t="n">
        <v>76963</v>
      </c>
    </row>
    <row r="21">
      <c r="A21" s="6" t="inlineStr">
        <is>
          <t>Other comprehensive expense for the year (revaluation reserves)</t>
        </is>
      </c>
      <c r="B21" s="6" t="n"/>
      <c r="C21" s="6" t="n"/>
      <c r="D21" s="6" t="n">
        <v>-321</v>
      </c>
      <c r="E21" s="6" t="n"/>
      <c r="F21" s="6" t="n"/>
      <c r="G21" s="6" t="n">
        <v>-321</v>
      </c>
    </row>
    <row r="22">
      <c r="A22" s="5" t="inlineStr">
        <is>
          <t>Balance as at 31 December 2017</t>
        </is>
      </c>
      <c r="B22" s="5" t="n">
        <v>600000</v>
      </c>
      <c r="C22" s="5" t="n"/>
      <c r="D22" s="5" t="n">
        <v>-4223</v>
      </c>
      <c r="E22" s="5" t="n">
        <v>324856</v>
      </c>
      <c r="F22" s="5" t="n">
        <v>202218</v>
      </c>
      <c r="G22" s="5" t="n">
        <v>1122851</v>
      </c>
    </row>
    <row r="23">
      <c r="A23" s="6" t="inlineStr">
        <is>
          <t>Impact of initial application of IFRS 9 (Note 2)</t>
        </is>
      </c>
      <c r="B23" s="6" t="n"/>
      <c r="C23" s="6" t="n"/>
      <c r="D23" s="6" t="n"/>
      <c r="E23" s="6" t="n"/>
      <c r="F23" s="6" t="n">
        <v>96</v>
      </c>
      <c r="G23" s="6" t="n">
        <v>96</v>
      </c>
    </row>
    <row r="24">
      <c r="A24" s="5" t="inlineStr">
        <is>
          <t>Balance as at 1 January 2018 (IFRS 9 transition)</t>
        </is>
      </c>
      <c r="B24" s="5" t="n">
        <v>600000</v>
      </c>
      <c r="C24" s="5" t="n"/>
      <c r="D24" s="5" t="n">
        <v>-4223</v>
      </c>
      <c r="E24" s="5" t="n">
        <v>324856</v>
      </c>
      <c r="F24" s="5" t="n">
        <v>202314</v>
      </c>
      <c r="G24" s="5" t="n">
        <v>1122947</v>
      </c>
    </row>
    <row r="25">
      <c r="A25" s="6" t="inlineStr">
        <is>
          <t>Profit for the year</t>
        </is>
      </c>
      <c r="B25" s="6" t="n"/>
      <c r="C25" s="6" t="n"/>
      <c r="D25" s="6" t="n"/>
      <c r="E25" s="6" t="n"/>
      <c r="F25" s="6" t="n">
        <v>105541</v>
      </c>
      <c r="G25" s="6" t="n">
        <v>105541</v>
      </c>
    </row>
    <row r="26">
      <c r="A26" s="6" t="inlineStr">
        <is>
          <t>Other comprehensive income for the year (revaluation reserves)</t>
        </is>
      </c>
      <c r="B26" s="6" t="n"/>
      <c r="C26" s="6" t="n"/>
      <c r="D26" s="6" t="n">
        <v>950</v>
      </c>
      <c r="E26" s="6" t="n"/>
      <c r="F26" s="6" t="n"/>
      <c r="G26" s="6" t="n">
        <v>950</v>
      </c>
    </row>
    <row r="27">
      <c r="A27" s="5" t="inlineStr">
        <is>
          <t>Balance as at 31 December 2018</t>
        </is>
      </c>
      <c r="B27" s="5" t="n">
        <v>600000</v>
      </c>
      <c r="C27" s="5" t="n"/>
      <c r="D27" s="5" t="n">
        <v>-3273</v>
      </c>
      <c r="E27" s="5" t="n">
        <v>324856</v>
      </c>
      <c r="F27" s="5" t="n">
        <v>307855</v>
      </c>
      <c r="G27" s="5" t="n">
        <v>1229438</v>
      </c>
    </row>
    <row r="28">
      <c r="A28" s="6" t="inlineStr">
        <is>
          <t>Profit for the year</t>
        </is>
      </c>
      <c r="B28" s="6" t="n"/>
      <c r="C28" s="6" t="n"/>
      <c r="D28" s="6" t="n"/>
      <c r="E28" s="6" t="n"/>
      <c r="F28" s="6" t="n">
        <v>59336</v>
      </c>
      <c r="G28" s="6" t="n">
        <v>59336</v>
      </c>
    </row>
    <row r="29">
      <c r="A29" s="6" t="inlineStr">
        <is>
          <t>Other comprehensive income for the year (revaluation reserves)</t>
        </is>
      </c>
      <c r="B29" s="6" t="n"/>
      <c r="C29" s="6" t="n"/>
      <c r="D29" s="6" t="n">
        <v>2928</v>
      </c>
      <c r="E29" s="6" t="n"/>
      <c r="F29" s="6" t="n"/>
      <c r="G29" s="6" t="n">
        <v>2928</v>
      </c>
    </row>
    <row r="30">
      <c r="A30" s="6" t="inlineStr">
        <is>
          <t>Dividend distribution</t>
        </is>
      </c>
      <c r="B30" s="6" t="n"/>
      <c r="C30" s="6" t="n"/>
      <c r="D30" s="6" t="n"/>
      <c r="E30" s="6" t="n"/>
      <c r="F30" s="6" t="n">
        <v>-1000</v>
      </c>
      <c r="G30" s="6" t="n">
        <v>-1000</v>
      </c>
    </row>
    <row r="31">
      <c r="A31" s="6" t="inlineStr">
        <is>
          <t>Merger with IPI and IEI (Note 27)</t>
        </is>
      </c>
      <c r="B31" s="6" t="n"/>
      <c r="C31" s="6" t="n"/>
      <c r="D31" s="6" t="n"/>
      <c r="E31" s="6" t="n">
        <v>8092</v>
      </c>
      <c r="F31" s="6" t="n"/>
      <c r="G31" s="6" t="n">
        <v>8092</v>
      </c>
    </row>
    <row r="32">
      <c r="A32" s="5" t="inlineStr">
        <is>
          <t>Balance as at 31 December 2019</t>
        </is>
      </c>
      <c r="B32" s="5" t="n">
        <v>600000</v>
      </c>
      <c r="C32" s="5" t="n"/>
      <c r="D32" s="5" t="n">
        <v>-345</v>
      </c>
      <c r="E32" s="5" t="n">
        <v>332948</v>
      </c>
      <c r="F32" s="5" t="n">
        <v>366191</v>
      </c>
      <c r="G32" s="5" t="n">
        <v>1298794</v>
      </c>
    </row>
    <row r="33">
      <c r="A33" s="6" t="inlineStr">
        <is>
          <t>Profit for the year</t>
        </is>
      </c>
      <c r="B33" s="6" t="n"/>
      <c r="C33" s="6" t="n"/>
      <c r="D33" s="6" t="n"/>
      <c r="E33" s="6" t="n"/>
      <c r="F33" s="6" t="n">
        <v>4758</v>
      </c>
      <c r="G33" s="6" t="n">
        <v>4758</v>
      </c>
    </row>
    <row r="34">
      <c r="A34" s="6" t="inlineStr">
        <is>
          <t>Other comprehensive income for the year (revaluation reserves)</t>
        </is>
      </c>
      <c r="B34" s="6" t="n"/>
      <c r="C34" s="6" t="n"/>
      <c r="D34" s="6" t="n">
        <v>345</v>
      </c>
      <c r="E34" s="6" t="n"/>
      <c r="F34" s="6" t="n"/>
      <c r="G34" s="6" t="n">
        <v>345</v>
      </c>
    </row>
    <row r="35">
      <c r="A35" s="5" t="inlineStr">
        <is>
          <t>Balance as at 31 December 2020 (FY2020 closing, Bank)</t>
        </is>
      </c>
      <c r="B35" s="5" t="n">
        <v>600000</v>
      </c>
      <c r="C35" s="5" t="n"/>
      <c r="D35" s="5" t="n">
        <v>0</v>
      </c>
      <c r="E35" s="5" t="n">
        <v>332948</v>
      </c>
      <c r="F35" s="5" t="n">
        <v>370949</v>
      </c>
      <c r="G35" s="5" t="n">
        <v>1303897</v>
      </c>
    </row>
    <row r="36">
      <c r="A36" s="6" t="inlineStr">
        <is>
          <t>Profit for the year</t>
        </is>
      </c>
      <c r="B36" s="6" t="n"/>
      <c r="C36" s="6" t="n"/>
      <c r="D36" s="6" t="n"/>
      <c r="E36" s="6" t="n"/>
      <c r="F36" s="6" t="n">
        <v>43010</v>
      </c>
      <c r="G36" s="6" t="n">
        <v>43010</v>
      </c>
    </row>
    <row r="37">
      <c r="A37" s="6" t="inlineStr">
        <is>
          <t>Other comprehensive income for the year (cash flow hedge reserve)</t>
        </is>
      </c>
      <c r="B37" s="6" t="n"/>
      <c r="C37" s="6" t="n"/>
      <c r="D37" s="6" t="n">
        <v>53</v>
      </c>
      <c r="E37" s="6" t="n"/>
      <c r="F37" s="6" t="n"/>
      <c r="G37" s="6" t="n">
        <v>53</v>
      </c>
    </row>
    <row r="38">
      <c r="A38" s="6" t="inlineStr">
        <is>
          <t>Dividend distribution</t>
        </is>
      </c>
      <c r="B38" s="6" t="n"/>
      <c r="C38" s="6" t="n"/>
      <c r="D38" s="6" t="n"/>
      <c r="E38" s="6" t="n"/>
      <c r="F38" s="6" t="n">
        <v>-17086</v>
      </c>
      <c r="G38" s="6" t="n">
        <v>-17086</v>
      </c>
    </row>
    <row r="39">
      <c r="A39"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39" s="5" t="n">
        <v>600000</v>
      </c>
      <c r="C39" s="5" t="n"/>
      <c r="D39" s="5" t="n">
        <v>53</v>
      </c>
      <c r="E39" s="5" t="n">
        <v>332948</v>
      </c>
      <c r="F39" s="5" t="n">
        <v>396873</v>
      </c>
      <c r="G39" s="5" t="n">
        <v>1329874</v>
      </c>
    </row>
    <row r="40">
      <c r="A40" s="6" t="inlineStr">
        <is>
          <t>Profit for the year</t>
        </is>
      </c>
      <c r="B40" s="6" t="n"/>
      <c r="C40" s="6" t="n"/>
      <c r="D40" s="6" t="n"/>
      <c r="E40" s="6" t="n"/>
      <c r="F40" s="6" t="n">
        <v>72745</v>
      </c>
      <c r="G40" s="6" t="n">
        <v>72745</v>
      </c>
    </row>
    <row r="41">
      <c r="A41" s="6" t="inlineStr">
        <is>
          <t>Other comprehensive income for the year (FVOCI reserves)</t>
        </is>
      </c>
      <c r="B41" s="6" t="n"/>
      <c r="C41" s="6" t="n"/>
      <c r="D41" s="6" t="n">
        <v>-4029</v>
      </c>
      <c r="E41" s="6" t="n"/>
      <c r="F41" s="6" t="n"/>
      <c r="G41" s="6" t="n">
        <v>-4029</v>
      </c>
    </row>
    <row r="42">
      <c r="A42" s="6" t="inlineStr">
        <is>
          <t>Capitalisation of reserves and retained earnings</t>
        </is>
      </c>
      <c r="B42" s="6" t="n">
        <v>335000</v>
      </c>
      <c r="C42" s="6" t="n"/>
      <c r="D42" s="6" t="n"/>
      <c r="E42" s="6" t="n">
        <v>-332948</v>
      </c>
      <c r="F42" s="6" t="n">
        <v>-2052</v>
      </c>
      <c r="G42" s="6" t="n">
        <v>0</v>
      </c>
    </row>
    <row r="43">
      <c r="A43" s="5" t="inlineStr">
        <is>
          <t>Balance as at 31 December 2022 (per FY2023's own restated comparative)</t>
        </is>
      </c>
      <c r="B43" s="5" t="n">
        <v>935000</v>
      </c>
      <c r="C43" s="5" t="n"/>
      <c r="D43" s="5" t="n">
        <v>-4029</v>
      </c>
      <c r="E43" s="5" t="n">
        <v>0</v>
      </c>
      <c r="F43" s="5" t="n">
        <v>467566</v>
      </c>
      <c r="G43" s="5" t="n">
        <v>1398537</v>
      </c>
    </row>
    <row r="44">
      <c r="A44" s="6" t="inlineStr">
        <is>
          <t>Profit for the year</t>
        </is>
      </c>
      <c r="B44" s="6" t="n"/>
      <c r="C44" s="6" t="n"/>
      <c r="D44" s="6" t="n"/>
      <c r="E44" s="6" t="n"/>
      <c r="F44" s="6" t="n">
        <v>62794</v>
      </c>
      <c r="G44" s="6" t="n">
        <v>62794</v>
      </c>
    </row>
    <row r="45">
      <c r="A45" s="6" t="inlineStr">
        <is>
          <t>Other comprehensive income for the year (FVOCI + cash flow hedge)</t>
        </is>
      </c>
      <c r="B45" s="6" t="n"/>
      <c r="C45" s="6" t="n"/>
      <c r="D45" s="6" t="n">
        <v>2385</v>
      </c>
      <c r="E45" s="6" t="n"/>
      <c r="F45" s="6" t="n"/>
      <c r="G45" s="6" t="n">
        <v>2385</v>
      </c>
    </row>
    <row r="46">
      <c r="A46" s="6" t="inlineStr">
        <is>
          <t>Share capital increase</t>
        </is>
      </c>
      <c r="B46" s="6" t="n">
        <v>286034</v>
      </c>
      <c r="C46" s="6" t="n">
        <v>213966</v>
      </c>
      <c r="D46" s="6" t="n"/>
      <c r="E46" s="6" t="n"/>
      <c r="F46" s="6" t="n"/>
      <c r="G46" s="6" t="n">
        <v>500000</v>
      </c>
    </row>
    <row r="47">
      <c r="A47" s="5" t="inlineStr">
        <is>
          <t>Balance as at 31 December 2023</t>
        </is>
      </c>
      <c r="B47" s="5" t="n">
        <v>1221034</v>
      </c>
      <c r="C47" s="5" t="n">
        <v>213966</v>
      </c>
      <c r="D47" s="5" t="n">
        <v>-1644</v>
      </c>
      <c r="E47" s="5" t="n">
        <v>0</v>
      </c>
      <c r="F47" s="5" t="n">
        <v>530360</v>
      </c>
      <c r="G47" s="5" t="n">
        <v>1963716</v>
      </c>
    </row>
    <row r="48">
      <c r="A48" s="6" t="inlineStr">
        <is>
          <t>Profit for the year</t>
        </is>
      </c>
      <c r="B48" s="6" t="n"/>
      <c r="C48" s="6" t="n"/>
      <c r="D48" s="6" t="n"/>
      <c r="E48" s="6" t="n"/>
      <c r="F48" s="6" t="n">
        <v>98827</v>
      </c>
      <c r="G48" s="6" t="n">
        <v>98827</v>
      </c>
    </row>
    <row r="49">
      <c r="A49" s="6" t="inlineStr">
        <is>
          <t>Other comprehensive income for the year (FVOCI + own credit + cash flow hedge)</t>
        </is>
      </c>
      <c r="B49" s="6" t="n"/>
      <c r="C49" s="6" t="n"/>
      <c r="D49" s="6" t="n">
        <v>371</v>
      </c>
      <c r="E49" s="6" t="n"/>
      <c r="F49" s="6" t="n"/>
      <c r="G49" s="6" t="n">
        <v>371</v>
      </c>
    </row>
    <row r="50">
      <c r="A50" s="5" t="inlineStr">
        <is>
          <t>Balance as at 31 December 2024</t>
        </is>
      </c>
      <c r="B50" s="5" t="n">
        <v>1221034</v>
      </c>
      <c r="C50" s="5" t="n">
        <v>213966</v>
      </c>
      <c r="D50" s="5" t="n">
        <v>-1273</v>
      </c>
      <c r="E50" s="5" t="n">
        <v>0</v>
      </c>
      <c r="F50" s="5" t="n">
        <v>629187</v>
      </c>
      <c r="G50" s="5" t="n">
        <v>2062914</v>
      </c>
    </row>
    <row r="51">
      <c r="A51" s="6" t="inlineStr">
        <is>
          <t>Profit for the year</t>
        </is>
      </c>
      <c r="B51" s="6" t="n"/>
      <c r="C51" s="6" t="n"/>
      <c r="D51" s="6" t="n"/>
      <c r="E51" s="6" t="n"/>
      <c r="F51" s="6" t="n">
        <v>90082</v>
      </c>
      <c r="G51" s="6" t="n">
        <v>90082</v>
      </c>
    </row>
    <row r="52">
      <c r="A52" s="6" t="inlineStr">
        <is>
          <t>Other comprehensive income for the year (FVOCI + own credit + cash flow hedge)</t>
        </is>
      </c>
      <c r="B52" s="6" t="n"/>
      <c r="C52" s="6" t="n"/>
      <c r="D52" s="6" t="n">
        <v>1478</v>
      </c>
      <c r="E52" s="6" t="n"/>
      <c r="F52" s="6" t="n"/>
      <c r="G52" s="6" t="n">
        <v>1478</v>
      </c>
    </row>
    <row r="53">
      <c r="A53" s="5" t="inlineStr">
        <is>
          <t>Balance as at 31 December 2025</t>
        </is>
      </c>
      <c r="B53" s="5" t="n">
        <v>1221034</v>
      </c>
      <c r="C53" s="5" t="n">
        <v>213966</v>
      </c>
      <c r="D53" s="5" t="n">
        <v>205</v>
      </c>
      <c r="E53" s="5" t="n">
        <v>0</v>
      </c>
      <c r="F53" s="5" t="n">
        <v>719269</v>
      </c>
      <c r="G53" s="5" t="n">
        <v>2154474</v>
      </c>
    </row>
    <row r="55" ht="190" customHeight="1">
      <c r="A55"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
Source — Itau BBA International plc Bank (solo, not Group) financial statements, 2020 Annual Report, p.45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movements, incl. FY2019's genuine USD 1,000,000k dividend distribution to the Bank's then-sole shareholder ('IIH') and the FY2019 'Merger with IPI and IEI' capital reorganisation (Note 27), both confirmed against the source's own footnotes.
Source — Itau BBA International plc Bank (solo, not Group) financial statements, 2018 Annual Report, p.34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FY2017/FY2018 movements, including the 1 Jan 2018 IFRS 9 transition impact (adjustment to fair value of financial assets +94; remeasurement of modified assets +41; remeasurement of ECL allowance (19); deferred taxes on the above (20); total impact +96 to retained earnings) - a genuine one-off transition entry per the source's own Note 2, not a data anomaly.
Source — Itau BBA International plc Bank (solo, not Group) financial statements, 2016 Annual Report, p.27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FY2015/FY2016 movements.
Source — Itau BBA International plc Bank (solo, not Group) financial statements, 2014 Annual Report, p.29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movements (Bank-solo standalone report within the combined filing) and, per HD-072 (2026-09-06), its own FY2013 opening balance and movements from the same page's second (FY2013) table. FY2013 was the year Itau BBA International plc merged with its former sister entity - the pre-merger opening balance of USD 200,125k (Share Capital 200,000 + Retained earnings 125) grows to USD 1,012,621k by 31 Dec 2013 via a genuine one-off 'Share capital of the acquiree on the merger' contribution of USD 725,771k (immediately reallocated from Share Capital to Other reserves per 'Post-merger capital reallocation'), not a data anomaly - confirmed against the Balance Sheet's own FY2013 Total Equity and the Directors' Report's own results/dividends note on the same 2014 Annual Report. Reconciliation ladder confirmed end to end: every year's own closing balance from FY2013 through FY2020 ties exactly to both the next year's own reported opening balance and that year's own Balance Sheet Total Equity, with no year skipped.</t>
        </is>
      </c>
    </row>
  </sheetData>
  <mergeCells count="1">
    <mergeCell ref="A55:G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Cash flows from operating activities (indirect method, FY2015-FY2025)</t>
        </is>
      </c>
      <c r="B4" s="6" t="n"/>
      <c r="C4" s="6" t="n"/>
      <c r="D4" s="6" t="n"/>
      <c r="E4" s="6" t="n"/>
      <c r="F4" s="6" t="n"/>
      <c r="G4" s="6" t="n"/>
      <c r="H4" s="6" t="n"/>
      <c r="I4" s="6" t="n"/>
      <c r="J4" s="6" t="n"/>
      <c r="K4" s="6" t="n"/>
      <c r="L4" s="6" t="n"/>
      <c r="M4" s="6" t="n"/>
      <c r="N4" s="6" t="n"/>
    </row>
    <row r="5">
      <c r="A5" s="6" t="inlineStr">
        <is>
          <t>Profit before tax and dividends</t>
        </is>
      </c>
      <c r="B5" s="6" t="n">
        <v>120167</v>
      </c>
      <c r="C5" s="6" t="n">
        <v>131803</v>
      </c>
      <c r="D5" s="6" t="n">
        <v>83525</v>
      </c>
      <c r="E5" s="6" t="n">
        <v>68873</v>
      </c>
      <c r="F5" s="6" t="n">
        <v>23680</v>
      </c>
      <c r="G5" s="6" t="n">
        <v>6111</v>
      </c>
      <c r="H5" s="6" t="n">
        <v>51437</v>
      </c>
      <c r="I5" s="6" t="n">
        <v>53203</v>
      </c>
      <c r="J5" s="6" t="n">
        <v>33254</v>
      </c>
      <c r="K5" s="6" t="n">
        <v>31895</v>
      </c>
      <c r="L5" s="6" t="n">
        <v>21471</v>
      </c>
      <c r="M5" s="6" t="n"/>
      <c r="N5" s="6" t="n"/>
    </row>
    <row r="6">
      <c r="A6" s="6" t="inlineStr">
        <is>
          <t>Credit impairment charges and other provisions</t>
        </is>
      </c>
      <c r="B6" s="6" t="n">
        <v>-64</v>
      </c>
      <c r="C6" s="6" t="n">
        <v>-306</v>
      </c>
      <c r="D6" s="6" t="n">
        <v>6669</v>
      </c>
      <c r="E6" s="6" t="n">
        <v>-4188</v>
      </c>
      <c r="F6" s="6" t="n">
        <v>-9753</v>
      </c>
      <c r="G6" s="6" t="n">
        <v>22264</v>
      </c>
      <c r="H6" s="6" t="n">
        <v>1893</v>
      </c>
      <c r="I6" s="6" t="n">
        <v>-1272</v>
      </c>
      <c r="J6" s="6" t="n">
        <v>-3702</v>
      </c>
      <c r="K6" s="6" t="n">
        <v>651</v>
      </c>
      <c r="L6" s="6" t="n">
        <v>2531</v>
      </c>
      <c r="M6" s="6" t="n"/>
      <c r="N6" s="6" t="n"/>
    </row>
    <row r="7">
      <c r="A7" s="6" t="inlineStr">
        <is>
          <t>Depreciation, amortisation and impairment of property, plant, equipment and intangibles</t>
        </is>
      </c>
      <c r="B7" s="6" t="n">
        <v>831</v>
      </c>
      <c r="C7" s="6" t="n">
        <v>852</v>
      </c>
      <c r="D7" s="6" t="n">
        <v>999</v>
      </c>
      <c r="E7" s="6" t="n">
        <v>1280</v>
      </c>
      <c r="F7" s="6" t="n">
        <v>1276</v>
      </c>
      <c r="G7" s="6" t="n">
        <v>1472</v>
      </c>
      <c r="H7" s="6" t="n">
        <v>2872</v>
      </c>
      <c r="I7" s="6" t="n">
        <v>1674</v>
      </c>
      <c r="J7" s="6" t="n">
        <v>3106</v>
      </c>
      <c r="K7" s="6" t="n">
        <v>2135</v>
      </c>
      <c r="L7" s="6" t="n">
        <v>2203</v>
      </c>
      <c r="M7" s="6" t="n"/>
      <c r="N7" s="6" t="n"/>
    </row>
    <row r="8">
      <c r="A8" s="6" t="inlineStr">
        <is>
          <t>Other non-cash movements</t>
        </is>
      </c>
      <c r="B8" s="6" t="n">
        <v>-104138</v>
      </c>
      <c r="C8" s="6" t="n">
        <v>31363</v>
      </c>
      <c r="D8" s="6" t="n">
        <v>-33091</v>
      </c>
      <c r="E8" s="6" t="n">
        <v>9264</v>
      </c>
      <c r="F8" s="6" t="n">
        <v>1017</v>
      </c>
      <c r="G8" s="6" t="n">
        <v>67</v>
      </c>
      <c r="H8" s="6" t="n">
        <v>0</v>
      </c>
      <c r="I8" s="6" t="n">
        <v>0</v>
      </c>
      <c r="J8" s="6" t="n">
        <v>0</v>
      </c>
      <c r="K8" s="6" t="n">
        <v>-1429</v>
      </c>
      <c r="L8" s="6" t="n">
        <v>0</v>
      </c>
      <c r="M8" s="6" t="n"/>
      <c r="N8" s="6" t="n"/>
    </row>
    <row r="9">
      <c r="A9" s="6" t="inlineStr">
        <is>
          <t>Trading assets and financial assets designated at fair value</t>
        </is>
      </c>
      <c r="B9" s="6" t="n">
        <v>124541</v>
      </c>
      <c r="C9" s="6" t="n">
        <v>-213757</v>
      </c>
      <c r="D9" s="6" t="n">
        <v>501113</v>
      </c>
      <c r="E9" s="6" t="n">
        <v>629204</v>
      </c>
      <c r="F9" s="6" t="n">
        <v>156038</v>
      </c>
      <c r="G9" s="6" t="n">
        <v>-749221</v>
      </c>
      <c r="H9" s="6" t="n">
        <v>196346</v>
      </c>
      <c r="I9" s="6" t="n">
        <v>400641</v>
      </c>
      <c r="J9" s="6" t="n">
        <v>-300159</v>
      </c>
      <c r="K9" s="6" t="n">
        <v>49417</v>
      </c>
      <c r="L9" s="6" t="n">
        <v>60768</v>
      </c>
      <c r="M9" s="6" t="n"/>
      <c r="N9" s="6" t="n"/>
    </row>
    <row r="10">
      <c r="A10" s="6" t="inlineStr">
        <is>
          <t>Loans and advances to banks</t>
        </is>
      </c>
      <c r="B10" s="6" t="n">
        <v>135096</v>
      </c>
      <c r="C10" s="6" t="n">
        <v>-240931</v>
      </c>
      <c r="D10" s="6" t="n">
        <v>23043</v>
      </c>
      <c r="E10" s="6" t="n">
        <v>-200127</v>
      </c>
      <c r="F10" s="6" t="n">
        <v>37815</v>
      </c>
      <c r="G10" s="6" t="n">
        <v>91151</v>
      </c>
      <c r="H10" s="6" t="n">
        <v>-75375</v>
      </c>
      <c r="I10" s="6" t="n">
        <v>-122750</v>
      </c>
      <c r="J10" s="6" t="n">
        <v>353239</v>
      </c>
      <c r="K10" s="6" t="n">
        <v>361529</v>
      </c>
      <c r="L10" s="6" t="n">
        <v>-508984</v>
      </c>
      <c r="M10" s="6" t="n"/>
      <c r="N10" s="6" t="n"/>
    </row>
    <row r="11">
      <c r="A11" s="6" t="inlineStr">
        <is>
          <t>Balances at central banks (mandatory reserves)</t>
        </is>
      </c>
      <c r="B11" s="6" t="n"/>
      <c r="C11" s="6" t="n"/>
      <c r="D11" s="6" t="n"/>
      <c r="E11" s="6" t="n"/>
      <c r="F11" s="6" t="n">
        <v>0</v>
      </c>
      <c r="G11" s="6" t="n">
        <v>401863</v>
      </c>
      <c r="H11" s="6" t="n">
        <v>407900</v>
      </c>
      <c r="I11" s="6" t="n">
        <v>-235535</v>
      </c>
      <c r="J11" s="6" t="n">
        <v>-557507</v>
      </c>
      <c r="K11" s="6" t="n">
        <v>-15940</v>
      </c>
      <c r="L11" s="6" t="n">
        <v>498</v>
      </c>
      <c r="M11" s="6" t="n"/>
      <c r="N11" s="6" t="n"/>
    </row>
    <row r="12">
      <c r="A12" s="6" t="inlineStr">
        <is>
          <t>Loans and advances to customers</t>
        </is>
      </c>
      <c r="B12" s="6" t="n">
        <v>60053</v>
      </c>
      <c r="C12" s="6" t="n">
        <v>-235192</v>
      </c>
      <c r="D12" s="6" t="n">
        <v>-263283</v>
      </c>
      <c r="E12" s="6" t="n">
        <v>-378299</v>
      </c>
      <c r="F12" s="6" t="n">
        <v>-32696</v>
      </c>
      <c r="G12" s="6" t="n">
        <v>662957</v>
      </c>
      <c r="H12" s="6" t="n">
        <v>-86994</v>
      </c>
      <c r="I12" s="6" t="n">
        <v>-722973</v>
      </c>
      <c r="J12" s="6" t="n">
        <v>-270184</v>
      </c>
      <c r="K12" s="6" t="n">
        <v>397743</v>
      </c>
      <c r="L12" s="6" t="n">
        <v>-323835</v>
      </c>
      <c r="M12" s="6" t="n"/>
      <c r="N12" s="6" t="n"/>
    </row>
    <row r="13">
      <c r="A13" s="6" t="inlineStr">
        <is>
          <t>Derivatives designated as hedging instruments (assets)</t>
        </is>
      </c>
      <c r="B13" s="6" t="n">
        <v>3103</v>
      </c>
      <c r="C13" s="6" t="n">
        <v>-1190</v>
      </c>
      <c r="D13" s="6" t="n">
        <v>38012</v>
      </c>
      <c r="E13" s="6" t="n">
        <v>-48100</v>
      </c>
      <c r="F13" s="6" t="n">
        <v>-1705</v>
      </c>
      <c r="G13" s="6" t="n">
        <v>530</v>
      </c>
      <c r="H13" s="6" t="n">
        <v>2655</v>
      </c>
      <c r="I13" s="6" t="n">
        <v>-1334</v>
      </c>
      <c r="J13" s="6" t="n">
        <v>-2541</v>
      </c>
      <c r="K13" s="6" t="n">
        <v>201</v>
      </c>
      <c r="L13" s="6" t="n">
        <v>428</v>
      </c>
      <c r="M13" s="6" t="n"/>
      <c r="N13" s="6" t="n"/>
    </row>
    <row r="14">
      <c r="A14" s="6" t="inlineStr">
        <is>
          <t>Other operating assets</t>
        </is>
      </c>
      <c r="B14" s="6" t="n">
        <v>17431</v>
      </c>
      <c r="C14" s="6" t="n">
        <v>12645</v>
      </c>
      <c r="D14" s="6" t="n">
        <v>22312</v>
      </c>
      <c r="E14" s="6" t="n">
        <v>-33257</v>
      </c>
      <c r="F14" s="6" t="n">
        <v>3638</v>
      </c>
      <c r="G14" s="6" t="n">
        <v>391</v>
      </c>
      <c r="H14" s="6" t="n">
        <v>2780</v>
      </c>
      <c r="I14" s="6" t="n">
        <v>96</v>
      </c>
      <c r="J14" s="6" t="n">
        <v>-3448</v>
      </c>
      <c r="K14" s="6" t="n">
        <v>6007</v>
      </c>
      <c r="L14" s="6" t="n">
        <v>-2662</v>
      </c>
      <c r="M14" s="6" t="n"/>
      <c r="N14" s="6" t="n"/>
    </row>
    <row r="15">
      <c r="A15" s="6" t="inlineStr">
        <is>
          <t>Trading liabilities</t>
        </is>
      </c>
      <c r="B15" s="6" t="n">
        <v>71537</v>
      </c>
      <c r="C15" s="6" t="n">
        <v>178116</v>
      </c>
      <c r="D15" s="6" t="n">
        <v>-113085</v>
      </c>
      <c r="E15" s="6" t="n">
        <v>-37506</v>
      </c>
      <c r="F15" s="6" t="n">
        <v>56410</v>
      </c>
      <c r="G15" s="6" t="n">
        <v>90494</v>
      </c>
      <c r="H15" s="6" t="n">
        <v>-21840</v>
      </c>
      <c r="I15" s="6" t="n">
        <v>-160709</v>
      </c>
      <c r="J15" s="6" t="n">
        <v>55887</v>
      </c>
      <c r="K15" s="6" t="n">
        <v>-246796</v>
      </c>
      <c r="L15" s="6" t="n">
        <v>12109</v>
      </c>
      <c r="M15" s="6" t="n"/>
      <c r="N15" s="6" t="n"/>
    </row>
    <row r="16">
      <c r="A16" s="6" t="inlineStr">
        <is>
          <t>Financial liabilities designated at fair value</t>
        </is>
      </c>
      <c r="B16" s="6" t="n">
        <v>-44456</v>
      </c>
      <c r="C16" s="6" t="n">
        <v>-4802</v>
      </c>
      <c r="D16" s="6" t="n">
        <v>49259</v>
      </c>
      <c r="E16" s="6" t="n">
        <v>-410</v>
      </c>
      <c r="F16" s="6" t="n">
        <v>-1396</v>
      </c>
      <c r="G16" s="6" t="n">
        <v>-3595</v>
      </c>
      <c r="H16" s="6" t="n">
        <v>-6717</v>
      </c>
      <c r="I16" s="6" t="n">
        <v>-5087</v>
      </c>
      <c r="J16" s="6" t="n">
        <v>17205</v>
      </c>
      <c r="K16" s="6" t="n"/>
      <c r="L16" s="6" t="n"/>
      <c r="M16" s="6" t="n"/>
      <c r="N16" s="6" t="n"/>
    </row>
    <row r="17">
      <c r="A17" s="6" t="inlineStr">
        <is>
          <t>Deposits from banks</t>
        </is>
      </c>
      <c r="B17" s="6" t="n">
        <v>127432</v>
      </c>
      <c r="C17" s="6" t="n">
        <v>-432800</v>
      </c>
      <c r="D17" s="6" t="n">
        <v>521131</v>
      </c>
      <c r="E17" s="6" t="n">
        <v>-13577</v>
      </c>
      <c r="F17" s="6" t="n">
        <v>-545052</v>
      </c>
      <c r="G17" s="6" t="n">
        <v>-35409</v>
      </c>
      <c r="H17" s="6" t="n">
        <v>-645198</v>
      </c>
      <c r="I17" s="6" t="n">
        <v>585957</v>
      </c>
      <c r="J17" s="6" t="n">
        <v>686223</v>
      </c>
      <c r="K17" s="6" t="n">
        <v>-649576</v>
      </c>
      <c r="L17" s="6" t="n">
        <v>571546</v>
      </c>
      <c r="M17" s="6" t="n"/>
      <c r="N17" s="6" t="n"/>
    </row>
    <row r="18">
      <c r="A18" s="6" t="inlineStr">
        <is>
          <t>Customer accounts</t>
        </is>
      </c>
      <c r="B18" s="6" t="n">
        <v>-994100</v>
      </c>
      <c r="C18" s="6" t="n">
        <v>1035388</v>
      </c>
      <c r="D18" s="6" t="n">
        <v>-204474</v>
      </c>
      <c r="E18" s="6" t="n">
        <v>162167</v>
      </c>
      <c r="F18" s="6" t="n">
        <v>509622</v>
      </c>
      <c r="G18" s="6" t="n">
        <v>-61975</v>
      </c>
      <c r="H18" s="6" t="n">
        <v>109392</v>
      </c>
      <c r="I18" s="6" t="n">
        <v>442475</v>
      </c>
      <c r="J18" s="6" t="n">
        <v>299418</v>
      </c>
      <c r="K18" s="6" t="n">
        <v>277090</v>
      </c>
      <c r="L18" s="6" t="n">
        <v>-28392</v>
      </c>
      <c r="M18" s="6" t="n"/>
      <c r="N18" s="6" t="n"/>
    </row>
    <row r="19">
      <c r="A19" s="6" t="inlineStr">
        <is>
          <t>Debt securities in issue</t>
        </is>
      </c>
      <c r="B19" s="6" t="n">
        <v>-259630</v>
      </c>
      <c r="C19" s="6" t="n">
        <v>-75268</v>
      </c>
      <c r="D19" s="6" t="n">
        <v>314516</v>
      </c>
      <c r="E19" s="6" t="n">
        <v>802330</v>
      </c>
      <c r="F19" s="6" t="n">
        <v>-8907</v>
      </c>
      <c r="G19" s="6" t="n">
        <v>-233194</v>
      </c>
      <c r="H19" s="6" t="n">
        <v>-200677</v>
      </c>
      <c r="I19" s="6" t="n">
        <v>-68791</v>
      </c>
      <c r="J19" s="6" t="n">
        <v>-183206</v>
      </c>
      <c r="K19" s="6" t="n">
        <v>-235722</v>
      </c>
      <c r="L19" s="6" t="n">
        <v>242504</v>
      </c>
      <c r="M19" s="6" t="n"/>
      <c r="N19" s="6" t="n"/>
    </row>
    <row r="20">
      <c r="A20" s="6" t="inlineStr">
        <is>
          <t>Derivatives designated as hedging instruments (liabilities)</t>
        </is>
      </c>
      <c r="B20" s="6" t="n">
        <v>-4690</v>
      </c>
      <c r="C20" s="6" t="n">
        <v>1337</v>
      </c>
      <c r="D20" s="6" t="n">
        <v>-10618</v>
      </c>
      <c r="E20" s="6" t="n">
        <v>27046</v>
      </c>
      <c r="F20" s="6" t="n">
        <v>-8097</v>
      </c>
      <c r="G20" s="6" t="n">
        <v>7603</v>
      </c>
      <c r="H20" s="6" t="n">
        <v>4954</v>
      </c>
      <c r="I20" s="6" t="n">
        <v>-412</v>
      </c>
      <c r="J20" s="6" t="n">
        <v>-663</v>
      </c>
      <c r="K20" s="6" t="n">
        <v>-1944</v>
      </c>
      <c r="L20" s="6" t="n">
        <v>-1047</v>
      </c>
      <c r="M20" s="6" t="n"/>
      <c r="N20" s="6" t="n"/>
    </row>
    <row r="21">
      <c r="A21" s="6" t="inlineStr">
        <is>
          <t>Other operating liabilities</t>
        </is>
      </c>
      <c r="B21" s="6" t="n">
        <v>-45452</v>
      </c>
      <c r="C21" s="6" t="n">
        <v>46702</v>
      </c>
      <c r="D21" s="6" t="n">
        <v>-16839</v>
      </c>
      <c r="E21" s="6" t="n">
        <v>8370</v>
      </c>
      <c r="F21" s="6" t="n">
        <v>4105</v>
      </c>
      <c r="G21" s="6" t="n">
        <v>-6409</v>
      </c>
      <c r="H21" s="6" t="n">
        <v>3016</v>
      </c>
      <c r="I21" s="6" t="n">
        <v>4636</v>
      </c>
      <c r="J21" s="6" t="n">
        <v>-11654</v>
      </c>
      <c r="K21" s="6" t="n">
        <v>6970</v>
      </c>
      <c r="L21" s="6" t="n">
        <v>-117103</v>
      </c>
      <c r="M21" s="6" t="n"/>
      <c r="N21" s="6" t="n"/>
    </row>
    <row r="22">
      <c r="A22" s="5" t="inlineStr">
        <is>
          <t>Net cash flow from operating activities before payment of income tax</t>
        </is>
      </c>
      <c r="B22" s="5" t="n">
        <v>-792339</v>
      </c>
      <c r="C22" s="5" t="n">
        <v>233967</v>
      </c>
      <c r="D22" s="5" t="n">
        <v>919189</v>
      </c>
      <c r="E22" s="5" t="n">
        <v>993070</v>
      </c>
      <c r="F22" s="5" t="n">
        <v>185995</v>
      </c>
      <c r="G22" s="5" t="n">
        <v>195100</v>
      </c>
      <c r="H22" s="5" t="n">
        <v>-253556</v>
      </c>
      <c r="I22" s="5" t="n">
        <v>169819</v>
      </c>
      <c r="J22" s="5" t="n">
        <v>115268</v>
      </c>
      <c r="K22" s="5" t="n">
        <v>-17769</v>
      </c>
      <c r="L22" s="5" t="n">
        <v>-67965</v>
      </c>
      <c r="M22" s="5" t="n"/>
      <c r="N22" s="5" t="n"/>
    </row>
    <row r="23">
      <c r="A23" s="6" t="inlineStr">
        <is>
          <t>Income tax paid</t>
        </is>
      </c>
      <c r="B23" s="6" t="n">
        <v>-30862</v>
      </c>
      <c r="C23" s="6" t="n">
        <v>-31922</v>
      </c>
      <c r="D23" s="6" t="n">
        <v>-22344</v>
      </c>
      <c r="E23" s="6" t="n">
        <v>-15859</v>
      </c>
      <c r="F23" s="6" t="n">
        <v>-2809</v>
      </c>
      <c r="G23" s="6" t="n">
        <v>-9790</v>
      </c>
      <c r="H23" s="6" t="n">
        <v>-12364</v>
      </c>
      <c r="I23" s="6" t="n">
        <v>-8635</v>
      </c>
      <c r="J23" s="6" t="n">
        <v>-5489</v>
      </c>
      <c r="K23" s="6" t="n">
        <v>-3063</v>
      </c>
      <c r="L23" s="6" t="n">
        <v>-1066</v>
      </c>
      <c r="M23" s="6" t="n"/>
      <c r="N23" s="6" t="n"/>
    </row>
    <row r="24">
      <c r="A24" s="5" t="inlineStr">
        <is>
          <t>Net cash flow from operating activities</t>
        </is>
      </c>
      <c r="B24" s="5" t="n">
        <v>-823201</v>
      </c>
      <c r="C24" s="5" t="n">
        <v>202045</v>
      </c>
      <c r="D24" s="5" t="n">
        <v>896845</v>
      </c>
      <c r="E24" s="5" t="n">
        <v>977211</v>
      </c>
      <c r="F24" s="5" t="n">
        <v>183186</v>
      </c>
      <c r="G24" s="5" t="n">
        <v>185310</v>
      </c>
      <c r="H24" s="5" t="n">
        <v>-265920</v>
      </c>
      <c r="I24" s="5" t="n">
        <v>161184</v>
      </c>
      <c r="J24" s="5" t="n">
        <v>109779</v>
      </c>
      <c r="K24" s="5" t="n">
        <v>-20832</v>
      </c>
      <c r="L24" s="5" t="n">
        <v>-69031</v>
      </c>
      <c r="M24" s="5" t="n"/>
      <c r="N24" s="5" t="n"/>
    </row>
    <row r="25">
      <c r="A25" s="5" t="inlineStr">
        <is>
          <t>Cash flows from investing activities (FY2015-FY2025)</t>
        </is>
      </c>
      <c r="B25" s="6" t="n"/>
      <c r="C25" s="6" t="n"/>
      <c r="D25" s="6" t="n"/>
      <c r="E25" s="6" t="n"/>
      <c r="F25" s="6" t="n"/>
      <c r="G25" s="6" t="n"/>
      <c r="H25" s="6" t="n"/>
      <c r="I25" s="6" t="n"/>
      <c r="J25" s="6" t="n"/>
      <c r="K25" s="6" t="n"/>
      <c r="L25" s="6" t="n"/>
      <c r="M25" s="6" t="n"/>
      <c r="N25" s="6" t="n"/>
    </row>
    <row r="26">
      <c r="A26" s="6" t="inlineStr">
        <is>
          <t>Sales/(Purchases) of debt investments at amortised cost</t>
        </is>
      </c>
      <c r="B26" s="6" t="n"/>
      <c r="C26" s="6" t="n"/>
      <c r="D26" s="6" t="n"/>
      <c r="E26" s="6" t="n">
        <v>2192</v>
      </c>
      <c r="F26" s="6" t="n">
        <v>-2192</v>
      </c>
      <c r="G26" s="6" t="n"/>
      <c r="H26" s="6" t="n"/>
      <c r="I26" s="6" t="n"/>
      <c r="J26" s="6" t="n"/>
      <c r="K26" s="6" t="n"/>
      <c r="L26" s="6" t="n"/>
      <c r="M26" s="6" t="n"/>
      <c r="N26" s="6" t="n"/>
    </row>
    <row r="27">
      <c r="A27" s="6" t="inlineStr">
        <is>
          <t>Purchases of financial assets measured at fair value through OCI</t>
        </is>
      </c>
      <c r="B27" s="6" t="n">
        <v>90366</v>
      </c>
      <c r="C27" s="6" t="n">
        <v>206101</v>
      </c>
      <c r="D27" s="6" t="n">
        <v>-851115</v>
      </c>
      <c r="E27" s="6" t="n">
        <v>-1180856</v>
      </c>
      <c r="F27" s="6" t="n"/>
      <c r="G27" s="6" t="n"/>
      <c r="H27" s="6" t="n"/>
      <c r="I27" s="6" t="n"/>
      <c r="J27" s="6" t="n"/>
      <c r="K27" s="6" t="n"/>
      <c r="L27" s="6" t="n"/>
      <c r="M27" s="6" t="n"/>
      <c r="N27" s="6" t="n"/>
    </row>
    <row r="28">
      <c r="A28" s="6" t="inlineStr">
        <is>
          <t>Sales/(Purchases) of subsidiaries</t>
        </is>
      </c>
      <c r="B28" s="6" t="n">
        <v>-550</v>
      </c>
      <c r="C28" s="6" t="n">
        <v>-55880</v>
      </c>
      <c r="D28" s="6" t="n">
        <v>-65061</v>
      </c>
      <c r="E28" s="6" t="n">
        <v>-10670</v>
      </c>
      <c r="F28" s="6" t="n">
        <v>-45297</v>
      </c>
      <c r="G28" s="6" t="n">
        <v>-53697</v>
      </c>
      <c r="H28" s="6" t="n">
        <v>-19660</v>
      </c>
      <c r="I28" s="6" t="n"/>
      <c r="J28" s="6" t="n"/>
      <c r="K28" s="6" t="n"/>
      <c r="L28" s="6" t="n"/>
      <c r="M28" s="6" t="n"/>
      <c r="N28" s="6" t="n"/>
    </row>
    <row r="29">
      <c r="A29" s="6" t="inlineStr">
        <is>
          <t>Dividends received</t>
        </is>
      </c>
      <c r="B29" s="6" t="n"/>
      <c r="C29" s="6" t="n">
        <v>1</v>
      </c>
      <c r="D29" s="6" t="n"/>
      <c r="E29" s="6" t="n">
        <v>20004</v>
      </c>
      <c r="F29" s="6" t="n">
        <v>8888</v>
      </c>
      <c r="G29" s="6" t="n">
        <v>5</v>
      </c>
      <c r="H29" s="6" t="n">
        <v>20004</v>
      </c>
      <c r="I29" s="6" t="n">
        <v>64500</v>
      </c>
      <c r="J29" s="6" t="n">
        <v>50000</v>
      </c>
      <c r="K29" s="6" t="n"/>
      <c r="L29" s="6" t="n"/>
      <c r="M29" s="6" t="n"/>
      <c r="N29" s="6" t="n"/>
    </row>
    <row r="30">
      <c r="A30" s="6" t="inlineStr">
        <is>
          <t>Sales of fixed assets (initial disposal, source's own duplicate 'Purchases/Sales of fixed assets' label)</t>
        </is>
      </c>
      <c r="B30" s="6" t="n"/>
      <c r="C30" s="6" t="n"/>
      <c r="D30" s="6" t="n"/>
      <c r="E30" s="6" t="n"/>
      <c r="F30" s="6" t="n"/>
      <c r="G30" s="6" t="n"/>
      <c r="H30" s="6" t="n"/>
      <c r="I30" s="6" t="n"/>
      <c r="J30" s="6" t="n"/>
      <c r="K30" s="6" t="n">
        <v>28975</v>
      </c>
      <c r="L30" s="6" t="n"/>
      <c r="M30" s="6" t="n"/>
      <c r="N30" s="6" t="n"/>
    </row>
    <row r="31">
      <c r="A31" s="6" t="inlineStr">
        <is>
          <t>Purchases of intangible assets</t>
        </is>
      </c>
      <c r="B31" s="6" t="n"/>
      <c r="C31" s="6" t="n"/>
      <c r="D31" s="6" t="n"/>
      <c r="E31" s="6" t="n"/>
      <c r="F31" s="6" t="n">
        <v>-61</v>
      </c>
      <c r="G31" s="6" t="n">
        <v>-164</v>
      </c>
      <c r="H31" s="6" t="n">
        <v>-222</v>
      </c>
      <c r="I31" s="6" t="n">
        <v>-129</v>
      </c>
      <c r="J31" s="6" t="n">
        <v>-158</v>
      </c>
      <c r="K31" s="6" t="n">
        <v>-77</v>
      </c>
      <c r="L31" s="6" t="n"/>
      <c r="M31" s="6" t="n"/>
      <c r="N31" s="6" t="n"/>
    </row>
    <row r="32">
      <c r="A32" s="6" t="inlineStr">
        <is>
          <t>Sales/(Purchases) of fixed assets</t>
        </is>
      </c>
      <c r="B32" s="6" t="n">
        <v>-33</v>
      </c>
      <c r="C32" s="6" t="n">
        <v>-33</v>
      </c>
      <c r="D32" s="6" t="n">
        <v>-2406</v>
      </c>
      <c r="E32" s="6" t="n">
        <v>-33</v>
      </c>
      <c r="F32" s="6" t="n">
        <v>-2155</v>
      </c>
      <c r="G32" s="6" t="n">
        <v>2295</v>
      </c>
      <c r="H32" s="6" t="n">
        <v>-2154</v>
      </c>
      <c r="I32" s="6" t="n">
        <v>-1550</v>
      </c>
      <c r="J32" s="6" t="n">
        <v>-225</v>
      </c>
      <c r="K32" s="6" t="n">
        <v>-84</v>
      </c>
      <c r="L32" s="6" t="n">
        <v>-1307</v>
      </c>
      <c r="M32" s="6" t="n"/>
      <c r="N32" s="6" t="n"/>
    </row>
    <row r="33">
      <c r="A33" s="5" t="inlineStr">
        <is>
          <t>Net cash flow from investing activities</t>
        </is>
      </c>
      <c r="B33" s="5" t="n">
        <v>89783</v>
      </c>
      <c r="C33" s="5" t="n">
        <v>150189</v>
      </c>
      <c r="D33" s="5" t="n">
        <v>-918582</v>
      </c>
      <c r="E33" s="5" t="n">
        <v>-1169363</v>
      </c>
      <c r="F33" s="5" t="n">
        <v>-40817</v>
      </c>
      <c r="G33" s="5" t="n">
        <v>-51831</v>
      </c>
      <c r="H33" s="5" t="n">
        <v>-2032</v>
      </c>
      <c r="I33" s="5" t="n">
        <v>62821</v>
      </c>
      <c r="J33" s="5" t="n">
        <v>49617</v>
      </c>
      <c r="K33" s="5" t="n">
        <v>-28814</v>
      </c>
      <c r="L33" s="5" t="n">
        <v>-1307</v>
      </c>
      <c r="M33" s="5" t="n"/>
      <c r="N33" s="5" t="n"/>
    </row>
    <row r="34">
      <c r="A34" s="5" t="inlineStr">
        <is>
          <t>Cash flows from financing activities (FY2015-FY2025)</t>
        </is>
      </c>
      <c r="B34" s="6" t="n"/>
      <c r="C34" s="6" t="n"/>
      <c r="D34" s="6" t="n"/>
      <c r="E34" s="6" t="n"/>
      <c r="F34" s="6" t="n"/>
      <c r="G34" s="6" t="n"/>
      <c r="H34" s="6" t="n"/>
      <c r="I34" s="6" t="n"/>
      <c r="J34" s="6" t="n"/>
      <c r="K34" s="6" t="n"/>
      <c r="L34" s="6" t="n"/>
      <c r="M34" s="6" t="n"/>
      <c r="N34" s="6" t="n"/>
    </row>
    <row r="35">
      <c r="A35" s="6" t="inlineStr">
        <is>
          <t>Dividends paid (financing activities)</t>
        </is>
      </c>
      <c r="B35" s="6" t="n"/>
      <c r="C35" s="6" t="n"/>
      <c r="D35" s="6" t="n"/>
      <c r="E35" s="6" t="n"/>
      <c r="F35" s="6" t="n"/>
      <c r="G35" s="6" t="n"/>
      <c r="H35" s="6" t="n">
        <v>-1000</v>
      </c>
      <c r="I35" s="6" t="n"/>
      <c r="J35" s="6" t="n"/>
      <c r="K35" s="6" t="n"/>
      <c r="L35" s="6" t="n"/>
      <c r="M35" s="6" t="n"/>
      <c r="N35" s="6" t="n"/>
    </row>
    <row r="36">
      <c r="A36" s="6" t="inlineStr">
        <is>
          <t>Merger with IEI and IPI (financing activities, Note 27)</t>
        </is>
      </c>
      <c r="B36" s="6" t="n"/>
      <c r="C36" s="6" t="n"/>
      <c r="D36" s="6" t="n"/>
      <c r="E36" s="6" t="n"/>
      <c r="F36" s="6" t="n"/>
      <c r="G36" s="6" t="n"/>
      <c r="H36" s="6" t="n">
        <v>8092</v>
      </c>
      <c r="I36" s="6" t="n"/>
      <c r="J36" s="6" t="n"/>
      <c r="K36" s="6" t="n"/>
      <c r="L36" s="6" t="n"/>
      <c r="M36" s="6" t="n"/>
      <c r="N36" s="6" t="n"/>
    </row>
    <row r="37">
      <c r="A37" s="6" t="inlineStr">
        <is>
          <t>Leasing Contracts</t>
        </is>
      </c>
      <c r="B37" s="6" t="n">
        <v>-862</v>
      </c>
      <c r="C37" s="6" t="n">
        <v>-838</v>
      </c>
      <c r="D37" s="6" t="n">
        <v>1619</v>
      </c>
      <c r="E37" s="6" t="n">
        <v>-926</v>
      </c>
      <c r="F37" s="6" t="n">
        <v>948</v>
      </c>
      <c r="G37" s="6" t="n">
        <v>-4131</v>
      </c>
      <c r="H37" s="6" t="n">
        <v>4383</v>
      </c>
      <c r="I37" s="6" t="n"/>
      <c r="J37" s="6" t="n"/>
      <c r="K37" s="6" t="n"/>
      <c r="L37" s="6" t="n"/>
      <c r="M37" s="6" t="n"/>
      <c r="N37" s="6" t="n"/>
    </row>
    <row r="38">
      <c r="A38" s="6" t="inlineStr">
        <is>
          <t>Sub-Lease Contracts</t>
        </is>
      </c>
      <c r="B38" s="6" t="n"/>
      <c r="C38" s="6" t="n"/>
      <c r="D38" s="6" t="n"/>
      <c r="E38" s="6" t="n"/>
      <c r="F38" s="6" t="n"/>
      <c r="G38" s="6" t="n">
        <v>1893</v>
      </c>
      <c r="H38" s="6" t="n">
        <v>-1893</v>
      </c>
      <c r="I38" s="6" t="n"/>
      <c r="J38" s="6" t="n"/>
      <c r="K38" s="6" t="n"/>
      <c r="L38" s="6" t="n"/>
      <c r="M38" s="6" t="n"/>
      <c r="N38" s="6" t="n"/>
    </row>
    <row r="39">
      <c r="A39" s="6" t="inlineStr">
        <is>
          <t>Issue/(Repayment) of subordinated debt</t>
        </is>
      </c>
      <c r="B39" s="6" t="n"/>
      <c r="C39" s="6" t="n"/>
      <c r="D39" s="6" t="n"/>
      <c r="E39" s="6" t="n"/>
      <c r="F39" s="6" t="n"/>
      <c r="G39" s="6" t="n"/>
      <c r="H39" s="6" t="n"/>
      <c r="I39" s="6" t="n">
        <v>0</v>
      </c>
      <c r="J39" s="6" t="n">
        <v>-30000</v>
      </c>
      <c r="K39" s="6" t="n"/>
      <c r="L39" s="6" t="n"/>
      <c r="M39" s="6" t="n"/>
      <c r="N39" s="6" t="n"/>
    </row>
    <row r="40">
      <c r="A40" s="6" t="inlineStr">
        <is>
          <t>Interest from financing activities</t>
        </is>
      </c>
      <c r="B40" s="6" t="n"/>
      <c r="C40" s="6" t="n"/>
      <c r="D40" s="6" t="n"/>
      <c r="E40" s="6" t="n"/>
      <c r="F40" s="6" t="n"/>
      <c r="G40" s="6" t="n"/>
      <c r="H40" s="6" t="n"/>
      <c r="I40" s="6" t="n">
        <v>0</v>
      </c>
      <c r="J40" s="6" t="n">
        <v>-128</v>
      </c>
      <c r="K40" s="6" t="n">
        <v>57</v>
      </c>
      <c r="L40" s="6" t="n">
        <v>16</v>
      </c>
      <c r="M40" s="6" t="n"/>
      <c r="N40" s="6" t="n"/>
    </row>
    <row r="41">
      <c r="A41" s="6" t="inlineStr">
        <is>
          <t>Share Capital Increase</t>
        </is>
      </c>
      <c r="B41" s="6" t="n"/>
      <c r="C41" s="6" t="n"/>
      <c r="D41" s="6" t="n">
        <v>500000</v>
      </c>
      <c r="E41" s="6" t="n"/>
      <c r="F41" s="6" t="n"/>
      <c r="G41" s="6" t="n"/>
      <c r="H41" s="6" t="n"/>
      <c r="I41" s="6" t="n"/>
      <c r="J41" s="6" t="n"/>
      <c r="K41" s="6" t="n"/>
      <c r="L41" s="6" t="n"/>
      <c r="M41" s="6" t="n"/>
      <c r="N41" s="6" t="n"/>
    </row>
    <row r="42">
      <c r="A42" s="5" t="inlineStr">
        <is>
          <t>Net cash flow from financing activities</t>
        </is>
      </c>
      <c r="B42" s="5" t="n">
        <v>-862</v>
      </c>
      <c r="C42" s="5" t="n">
        <v>-838</v>
      </c>
      <c r="D42" s="5" t="n">
        <v>501619</v>
      </c>
      <c r="E42" s="5" t="n">
        <v>-926</v>
      </c>
      <c r="F42" s="5" t="n">
        <v>948</v>
      </c>
      <c r="G42" s="5" t="n">
        <v>-2238</v>
      </c>
      <c r="H42" s="5" t="n">
        <v>9582</v>
      </c>
      <c r="I42" s="5" t="n">
        <v>0</v>
      </c>
      <c r="J42" s="5" t="n">
        <v>-30128</v>
      </c>
      <c r="K42" s="5" t="n">
        <v>57</v>
      </c>
      <c r="L42" s="5" t="n">
        <v>16</v>
      </c>
      <c r="M42" s="5" t="n"/>
      <c r="N42" s="5" t="n"/>
    </row>
    <row r="43">
      <c r="A43" s="5" t="inlineStr">
        <is>
          <t>Increase/(decrease) in cash and cash equivalents</t>
        </is>
      </c>
      <c r="B43" s="5" t="n">
        <v>-734280</v>
      </c>
      <c r="C43" s="5" t="n">
        <v>351396</v>
      </c>
      <c r="D43" s="5" t="n">
        <v>479882</v>
      </c>
      <c r="E43" s="5" t="n">
        <v>-193078</v>
      </c>
      <c r="F43" s="5" t="n">
        <v>143317</v>
      </c>
      <c r="G43" s="5" t="n">
        <v>131241</v>
      </c>
      <c r="H43" s="5" t="n">
        <v>-258370</v>
      </c>
      <c r="I43" s="5" t="n">
        <v>224005</v>
      </c>
      <c r="J43" s="5" t="n">
        <v>129268</v>
      </c>
      <c r="K43" s="5" t="n">
        <v>7324</v>
      </c>
      <c r="L43" s="5" t="n">
        <v>-71029</v>
      </c>
      <c r="M43" s="5" t="n"/>
      <c r="N43" s="5" t="n"/>
    </row>
    <row r="44">
      <c r="A44" s="6" t="inlineStr">
        <is>
          <t>Cash and cash equivalents at beginning of year</t>
        </is>
      </c>
      <c r="B44" s="6" t="n">
        <v>1149307</v>
      </c>
      <c r="C44" s="6" t="n">
        <v>797911</v>
      </c>
      <c r="D44" s="6" t="n">
        <v>318029</v>
      </c>
      <c r="E44" s="6" t="n">
        <v>511107</v>
      </c>
      <c r="F44" s="6" t="n">
        <v>367790</v>
      </c>
      <c r="G44" s="6" t="n">
        <v>236549</v>
      </c>
      <c r="H44" s="6" t="n">
        <v>494919</v>
      </c>
      <c r="I44" s="6" t="n">
        <v>270914</v>
      </c>
      <c r="J44" s="6" t="n">
        <v>141646</v>
      </c>
      <c r="K44" s="6" t="n">
        <v>134322</v>
      </c>
      <c r="L44" s="6" t="n">
        <v>205351</v>
      </c>
      <c r="M44" s="6" t="n"/>
      <c r="N44" s="6" t="n"/>
    </row>
    <row r="45">
      <c r="A45" s="6" t="inlineStr">
        <is>
          <t>Effects of exchange rate change on cash and cash equivalents</t>
        </is>
      </c>
      <c r="B45" s="6" t="n">
        <v>45560</v>
      </c>
      <c r="C45" s="6" t="n">
        <v>0</v>
      </c>
      <c r="D45" s="6" t="n"/>
      <c r="E45" s="6" t="n"/>
      <c r="F45" s="6" t="n">
        <v>0</v>
      </c>
      <c r="G45" s="6" t="n"/>
      <c r="H45" s="6" t="n"/>
      <c r="I45" s="6" t="n"/>
      <c r="J45" s="6" t="n"/>
      <c r="K45" s="6" t="n"/>
      <c r="L45" s="6" t="n"/>
      <c r="M45" s="6" t="n"/>
      <c r="N45" s="6" t="n"/>
    </row>
    <row r="46">
      <c r="A46" s="5" t="inlineStr">
        <is>
          <t>Cash and cash equivalents at end of year</t>
        </is>
      </c>
      <c r="B46" s="5" t="n">
        <v>460587</v>
      </c>
      <c r="C46" s="5" t="n">
        <v>1149307</v>
      </c>
      <c r="D46" s="5" t="n">
        <v>797911</v>
      </c>
      <c r="E46" s="5" t="n">
        <v>318029</v>
      </c>
      <c r="F46" s="5" t="n">
        <v>511107</v>
      </c>
      <c r="G46" s="5" t="n">
        <v>367790</v>
      </c>
      <c r="H46" s="5" t="n">
        <v>236549</v>
      </c>
      <c r="I46" s="5" t="n">
        <v>270914</v>
      </c>
      <c r="J46" s="5" t="n">
        <v>141646</v>
      </c>
      <c r="K46" s="5" t="n">
        <v>141646</v>
      </c>
      <c r="L46" s="5" t="n">
        <v>134322</v>
      </c>
      <c r="M46" s="5" t="n"/>
      <c r="N46" s="5" t="n"/>
    </row>
    <row r="47">
      <c r="A47" s="5" t="inlineStr">
        <is>
          <t>Cash and cash equivalents comprise (FY2015-FY2025)</t>
        </is>
      </c>
      <c r="B47" s="6" t="n"/>
      <c r="C47" s="6" t="n"/>
      <c r="D47" s="6" t="n"/>
      <c r="E47" s="6" t="n"/>
      <c r="F47" s="6" t="n"/>
      <c r="G47" s="6" t="n"/>
      <c r="H47" s="6" t="n"/>
      <c r="I47" s="6" t="n"/>
      <c r="J47" s="6" t="n"/>
      <c r="K47" s="6" t="n"/>
      <c r="L47" s="6" t="n"/>
      <c r="M47" s="6" t="n"/>
      <c r="N47" s="6" t="n"/>
    </row>
    <row r="48">
      <c r="A48" s="6" t="inlineStr">
        <is>
          <t>Cash and balances at Central Banks</t>
        </is>
      </c>
      <c r="B48" s="6" t="n">
        <v>17</v>
      </c>
      <c r="C48" s="6" t="n">
        <v>16</v>
      </c>
      <c r="D48" s="6" t="n">
        <v>16</v>
      </c>
      <c r="E48" s="6" t="n">
        <v>15</v>
      </c>
      <c r="F48" s="6" t="n">
        <v>16</v>
      </c>
      <c r="G48" s="6" t="n">
        <v>15</v>
      </c>
      <c r="H48" s="6" t="n">
        <v>12</v>
      </c>
      <c r="I48" s="6" t="n">
        <v>23</v>
      </c>
      <c r="J48" s="6" t="n">
        <v>17</v>
      </c>
      <c r="K48" s="6" t="n">
        <v>29</v>
      </c>
      <c r="L48" s="6" t="n">
        <v>36</v>
      </c>
      <c r="M48" s="6" t="n"/>
      <c r="N48" s="6" t="n"/>
    </row>
    <row r="49">
      <c r="A49" s="6" t="inlineStr">
        <is>
          <t>Loans and advances to banks with original maturity less than three months</t>
        </is>
      </c>
      <c r="B49" s="6" t="n">
        <v>460570</v>
      </c>
      <c r="C49" s="6" t="n">
        <v>1149291</v>
      </c>
      <c r="D49" s="6" t="n">
        <v>797895</v>
      </c>
      <c r="E49" s="6" t="n">
        <v>318014</v>
      </c>
      <c r="F49" s="6" t="n">
        <v>511091</v>
      </c>
      <c r="G49" s="6" t="n">
        <v>367775</v>
      </c>
      <c r="H49" s="6" t="n">
        <v>236537</v>
      </c>
      <c r="I49" s="6" t="n">
        <v>494896</v>
      </c>
      <c r="J49" s="6" t="n">
        <v>270897</v>
      </c>
      <c r="K49" s="6" t="n">
        <v>141617</v>
      </c>
      <c r="L49" s="6" t="n">
        <v>134286</v>
      </c>
      <c r="M49" s="6" t="n"/>
      <c r="N49" s="6" t="n"/>
    </row>
    <row r="50">
      <c r="A50" s="5" t="inlineStr">
        <is>
          <t>Cash and cash equivalents at end of year</t>
        </is>
      </c>
      <c r="B50" s="5" t="n">
        <v>460587</v>
      </c>
      <c r="C50" s="5" t="n">
        <v>1149307</v>
      </c>
      <c r="D50" s="5" t="n">
        <v>797911</v>
      </c>
      <c r="E50" s="5" t="n">
        <v>318029</v>
      </c>
      <c r="F50" s="5" t="n">
        <v>511107</v>
      </c>
      <c r="G50" s="5" t="n">
        <v>367790</v>
      </c>
      <c r="H50" s="5" t="n">
        <v>236549</v>
      </c>
      <c r="I50" s="5" t="n">
        <v>270914</v>
      </c>
      <c r="J50" s="5" t="n">
        <v>141646</v>
      </c>
      <c r="K50" s="5" t="n">
        <v>141646</v>
      </c>
      <c r="L50" s="5" t="n">
        <v>134322</v>
      </c>
      <c r="M50" s="5" t="n"/>
      <c r="N50" s="5" t="n"/>
    </row>
    <row r="51">
      <c r="A51" s="5" t="inlineStr">
        <is>
          <t>Cash flows from operating activities (FY2013-FY2014 - DIRECT method; see DATA QUALITY / METHODOLOGY NOTE in the source citation below)</t>
        </is>
      </c>
      <c r="B51" s="6" t="n"/>
      <c r="C51" s="6" t="n"/>
      <c r="D51" s="6" t="n"/>
      <c r="E51" s="6" t="n"/>
      <c r="F51" s="6" t="n"/>
      <c r="G51" s="6" t="n"/>
      <c r="H51" s="6" t="n"/>
      <c r="I51" s="6" t="n"/>
      <c r="J51" s="6" t="n"/>
      <c r="K51" s="6" t="n"/>
      <c r="L51" s="6" t="n"/>
      <c r="M51" s="6" t="n"/>
      <c r="N51" s="6" t="n"/>
    </row>
    <row r="52">
      <c r="A52" s="6" t="inlineStr">
        <is>
          <t>Interest and commissions received</t>
        </is>
      </c>
      <c r="B52" s="6" t="n"/>
      <c r="C52" s="6" t="n"/>
      <c r="D52" s="6" t="n"/>
      <c r="E52" s="6" t="n"/>
      <c r="F52" s="6" t="n"/>
      <c r="G52" s="6" t="n"/>
      <c r="H52" s="6" t="n"/>
      <c r="I52" s="6" t="n"/>
      <c r="J52" s="6" t="n"/>
      <c r="K52" s="6" t="n"/>
      <c r="L52" s="6" t="n"/>
      <c r="M52" s="6" t="n">
        <v>112779</v>
      </c>
      <c r="N52" s="6" t="n">
        <v>93454</v>
      </c>
    </row>
    <row r="53">
      <c r="A53" s="6" t="inlineStr">
        <is>
          <t>Interest and commissions paid</t>
        </is>
      </c>
      <c r="B53" s="6" t="n"/>
      <c r="C53" s="6" t="n"/>
      <c r="D53" s="6" t="n"/>
      <c r="E53" s="6" t="n"/>
      <c r="F53" s="6" t="n"/>
      <c r="G53" s="6" t="n"/>
      <c r="H53" s="6" t="n"/>
      <c r="I53" s="6" t="n"/>
      <c r="J53" s="6" t="n"/>
      <c r="K53" s="6" t="n"/>
      <c r="L53" s="6" t="n"/>
      <c r="M53" s="6" t="n">
        <v>-72127</v>
      </c>
      <c r="N53" s="6" t="n">
        <v>-77380</v>
      </c>
    </row>
    <row r="54">
      <c r="A54" s="6" t="inlineStr">
        <is>
          <t>Payments to employees and suppliers</t>
        </is>
      </c>
      <c r="B54" s="6" t="n"/>
      <c r="C54" s="6" t="n"/>
      <c r="D54" s="6" t="n"/>
      <c r="E54" s="6" t="n"/>
      <c r="F54" s="6" t="n"/>
      <c r="G54" s="6" t="n"/>
      <c r="H54" s="6" t="n"/>
      <c r="I54" s="6" t="n"/>
      <c r="J54" s="6" t="n"/>
      <c r="K54" s="6" t="n"/>
      <c r="L54" s="6" t="n"/>
      <c r="M54" s="6" t="n">
        <v>-60385</v>
      </c>
      <c r="N54" s="6" t="n">
        <v>-59699</v>
      </c>
    </row>
    <row r="55">
      <c r="A55" s="5" t="inlineStr">
        <is>
          <t>Operating income before changes in operating assets and liabilities</t>
        </is>
      </c>
      <c r="B55" s="5" t="n"/>
      <c r="C55" s="5" t="n"/>
      <c r="D55" s="5" t="n"/>
      <c r="E55" s="5" t="n"/>
      <c r="F55" s="5" t="n"/>
      <c r="G55" s="5" t="n"/>
      <c r="H55" s="5" t="n"/>
      <c r="I55" s="5" t="n"/>
      <c r="J55" s="5" t="n"/>
      <c r="K55" s="5" t="n"/>
      <c r="L55" s="5" t="n"/>
      <c r="M55" s="5" t="n">
        <v>-19733</v>
      </c>
      <c r="N55" s="5" t="n">
        <v>-43625</v>
      </c>
    </row>
    <row r="56">
      <c r="A56" s="6" t="inlineStr">
        <is>
          <t>Trading assets and Financial assets available for sale</t>
        </is>
      </c>
      <c r="B56" s="6" t="n"/>
      <c r="C56" s="6" t="n"/>
      <c r="D56" s="6" t="n"/>
      <c r="E56" s="6" t="n"/>
      <c r="F56" s="6" t="n"/>
      <c r="G56" s="6" t="n"/>
      <c r="H56" s="6" t="n"/>
      <c r="I56" s="6" t="n"/>
      <c r="J56" s="6" t="n"/>
      <c r="K56" s="6" t="n"/>
      <c r="L56" s="6" t="n"/>
      <c r="M56" s="6" t="n">
        <v>-373900</v>
      </c>
      <c r="N56" s="6" t="n">
        <v>89046</v>
      </c>
    </row>
    <row r="57">
      <c r="A57" s="6" t="inlineStr">
        <is>
          <t>Loans and advances to banks (direct-method)</t>
        </is>
      </c>
      <c r="B57" s="6" t="n"/>
      <c r="C57" s="6" t="n"/>
      <c r="D57" s="6" t="n"/>
      <c r="E57" s="6" t="n"/>
      <c r="F57" s="6" t="n"/>
      <c r="G57" s="6" t="n"/>
      <c r="H57" s="6" t="n"/>
      <c r="I57" s="6" t="n"/>
      <c r="J57" s="6" t="n"/>
      <c r="K57" s="6" t="n"/>
      <c r="L57" s="6" t="n"/>
      <c r="M57" s="6" t="n">
        <v>722948</v>
      </c>
      <c r="N57" s="6" t="n">
        <v>-320626</v>
      </c>
    </row>
    <row r="58">
      <c r="A58" s="6" t="inlineStr">
        <is>
          <t>Balances at central banks (direct-method)</t>
        </is>
      </c>
      <c r="B58" s="6" t="n"/>
      <c r="C58" s="6" t="n"/>
      <c r="D58" s="6" t="n"/>
      <c r="E58" s="6" t="n"/>
      <c r="F58" s="6" t="n"/>
      <c r="G58" s="6" t="n"/>
      <c r="H58" s="6" t="n"/>
      <c r="I58" s="6" t="n"/>
      <c r="J58" s="6" t="n"/>
      <c r="K58" s="6" t="n"/>
      <c r="L58" s="6" t="n"/>
      <c r="M58" s="6" t="n">
        <v>80</v>
      </c>
      <c r="N58" s="6" t="n">
        <v>-442</v>
      </c>
    </row>
    <row r="59">
      <c r="A59" s="6" t="inlineStr">
        <is>
          <t>Loans and advances to customers (direct-method)</t>
        </is>
      </c>
      <c r="B59" s="6" t="n"/>
      <c r="C59" s="6" t="n"/>
      <c r="D59" s="6" t="n"/>
      <c r="E59" s="6" t="n"/>
      <c r="F59" s="6" t="n"/>
      <c r="G59" s="6" t="n"/>
      <c r="H59" s="6" t="n"/>
      <c r="I59" s="6" t="n"/>
      <c r="J59" s="6" t="n"/>
      <c r="K59" s="6" t="n"/>
      <c r="L59" s="6" t="n"/>
      <c r="M59" s="6" t="n">
        <v>-520992</v>
      </c>
      <c r="N59" s="6" t="n">
        <v>16120</v>
      </c>
    </row>
    <row r="60">
      <c r="A60" s="6" t="inlineStr">
        <is>
          <t>Other operating assets (direct-method)</t>
        </is>
      </c>
      <c r="B60" s="6" t="n"/>
      <c r="C60" s="6" t="n"/>
      <c r="D60" s="6" t="n"/>
      <c r="E60" s="6" t="n"/>
      <c r="F60" s="6" t="n"/>
      <c r="G60" s="6" t="n"/>
      <c r="H60" s="6" t="n"/>
      <c r="I60" s="6" t="n"/>
      <c r="J60" s="6" t="n"/>
      <c r="K60" s="6" t="n"/>
      <c r="L60" s="6" t="n"/>
      <c r="M60" s="6" t="n">
        <v>28278</v>
      </c>
      <c r="N60" s="6" t="n">
        <v>20124</v>
      </c>
    </row>
    <row r="61">
      <c r="A61" s="6" t="inlineStr">
        <is>
          <t>Trading liabilities (direct-method)</t>
        </is>
      </c>
      <c r="B61" s="6" t="n"/>
      <c r="C61" s="6" t="n"/>
      <c r="D61" s="6" t="n"/>
      <c r="E61" s="6" t="n"/>
      <c r="F61" s="6" t="n"/>
      <c r="G61" s="6" t="n"/>
      <c r="H61" s="6" t="n"/>
      <c r="I61" s="6" t="n"/>
      <c r="J61" s="6" t="n"/>
      <c r="K61" s="6" t="n"/>
      <c r="L61" s="6" t="n"/>
      <c r="M61" s="6" t="n">
        <v>197152</v>
      </c>
      <c r="N61" s="6" t="n">
        <v>-119239</v>
      </c>
    </row>
    <row r="62">
      <c r="A62" s="6" t="inlineStr">
        <is>
          <t>Deposits from banks (direct-method)</t>
        </is>
      </c>
      <c r="B62" s="6" t="n"/>
      <c r="C62" s="6" t="n"/>
      <c r="D62" s="6" t="n"/>
      <c r="E62" s="6" t="n"/>
      <c r="F62" s="6" t="n"/>
      <c r="G62" s="6" t="n"/>
      <c r="H62" s="6" t="n"/>
      <c r="I62" s="6" t="n"/>
      <c r="J62" s="6" t="n"/>
      <c r="K62" s="6" t="n"/>
      <c r="L62" s="6" t="n"/>
      <c r="M62" s="6" t="n">
        <v>-224432</v>
      </c>
      <c r="N62" s="6" t="n">
        <v>414450</v>
      </c>
    </row>
    <row r="63">
      <c r="A63" s="6" t="inlineStr">
        <is>
          <t>Customer accounts (direct-method)</t>
        </is>
      </c>
      <c r="B63" s="6" t="n"/>
      <c r="C63" s="6" t="n"/>
      <c r="D63" s="6" t="n"/>
      <c r="E63" s="6" t="n"/>
      <c r="F63" s="6" t="n"/>
      <c r="G63" s="6" t="n"/>
      <c r="H63" s="6" t="n"/>
      <c r="I63" s="6" t="n"/>
      <c r="J63" s="6" t="n"/>
      <c r="K63" s="6" t="n"/>
      <c r="L63" s="6" t="n"/>
      <c r="M63" s="6" t="n">
        <v>-12851</v>
      </c>
      <c r="N63" s="6" t="n">
        <v>48120</v>
      </c>
    </row>
    <row r="64">
      <c r="A64" s="6" t="inlineStr">
        <is>
          <t>Debt securities in issue (direct-method)</t>
        </is>
      </c>
      <c r="B64" s="6" t="n"/>
      <c r="C64" s="6" t="n"/>
      <c r="D64" s="6" t="n"/>
      <c r="E64" s="6" t="n"/>
      <c r="F64" s="6" t="n"/>
      <c r="G64" s="6" t="n"/>
      <c r="H64" s="6" t="n"/>
      <c r="I64" s="6" t="n"/>
      <c r="J64" s="6" t="n"/>
      <c r="K64" s="6" t="n"/>
      <c r="L64" s="6" t="n"/>
      <c r="M64" s="6" t="n">
        <v>362448</v>
      </c>
      <c r="N64" s="6" t="n">
        <v>-194761</v>
      </c>
    </row>
    <row r="65">
      <c r="A65" s="6" t="inlineStr">
        <is>
          <t>Other operating liabilities (direct-method)</t>
        </is>
      </c>
      <c r="B65" s="6" t="n"/>
      <c r="C65" s="6" t="n"/>
      <c r="D65" s="6" t="n"/>
      <c r="E65" s="6" t="n"/>
      <c r="F65" s="6" t="n"/>
      <c r="G65" s="6" t="n"/>
      <c r="H65" s="6" t="n"/>
      <c r="I65" s="6" t="n"/>
      <c r="J65" s="6" t="n"/>
      <c r="K65" s="6" t="n"/>
      <c r="L65" s="6" t="n"/>
      <c r="M65" s="6" t="n">
        <v>-4666</v>
      </c>
      <c r="N65" s="6" t="n">
        <v>63371</v>
      </c>
    </row>
    <row r="66">
      <c r="A66" s="5" t="inlineStr">
        <is>
          <t>Changes in operating assets and liabilities</t>
        </is>
      </c>
      <c r="B66" s="5" t="n"/>
      <c r="C66" s="5" t="n"/>
      <c r="D66" s="5" t="n"/>
      <c r="E66" s="5" t="n"/>
      <c r="F66" s="5" t="n"/>
      <c r="G66" s="5" t="n"/>
      <c r="H66" s="5" t="n"/>
      <c r="I66" s="5" t="n"/>
      <c r="J66" s="5" t="n"/>
      <c r="K66" s="5" t="n"/>
      <c r="L66" s="5" t="n"/>
      <c r="M66" s="5" t="n">
        <v>174065</v>
      </c>
      <c r="N66" s="5" t="n">
        <v>16163</v>
      </c>
    </row>
    <row r="67">
      <c r="A67" s="5" t="inlineStr">
        <is>
          <t>Net cash flow from operating activities before payment of income tax (direct-method)</t>
        </is>
      </c>
      <c r="B67" s="5" t="n"/>
      <c r="C67" s="5" t="n"/>
      <c r="D67" s="5" t="n"/>
      <c r="E67" s="5" t="n"/>
      <c r="F67" s="5" t="n"/>
      <c r="G67" s="5" t="n"/>
      <c r="H67" s="5" t="n"/>
      <c r="I67" s="5" t="n"/>
      <c r="J67" s="5" t="n"/>
      <c r="K67" s="5" t="n"/>
      <c r="L67" s="5" t="n"/>
      <c r="M67" s="5" t="n">
        <v>154332</v>
      </c>
      <c r="N67" s="5" t="n">
        <v>-27462</v>
      </c>
    </row>
    <row r="68">
      <c r="A68" s="6" t="inlineStr">
        <is>
          <t>Income tax (direct-method)</t>
        </is>
      </c>
      <c r="B68" s="6" t="n"/>
      <c r="C68" s="6" t="n"/>
      <c r="D68" s="6" t="n"/>
      <c r="E68" s="6" t="n"/>
      <c r="F68" s="6" t="n"/>
      <c r="G68" s="6" t="n"/>
      <c r="H68" s="6" t="n"/>
      <c r="I68" s="6" t="n"/>
      <c r="J68" s="6" t="n"/>
      <c r="K68" s="6" t="n"/>
      <c r="L68" s="6" t="n"/>
      <c r="M68" s="6" t="n">
        <v>-119</v>
      </c>
      <c r="N68" s="6" t="n">
        <v>2640</v>
      </c>
    </row>
    <row r="69">
      <c r="A69" s="5" t="inlineStr">
        <is>
          <t>Net cash flow from operating activities (direct-method)</t>
        </is>
      </c>
      <c r="B69" s="5" t="n"/>
      <c r="C69" s="5" t="n"/>
      <c r="D69" s="5" t="n"/>
      <c r="E69" s="5" t="n"/>
      <c r="F69" s="5" t="n"/>
      <c r="G69" s="5" t="n"/>
      <c r="H69" s="5" t="n"/>
      <c r="I69" s="5" t="n"/>
      <c r="J69" s="5" t="n"/>
      <c r="K69" s="5" t="n"/>
      <c r="L69" s="5" t="n"/>
      <c r="M69" s="5" t="n">
        <v>154213</v>
      </c>
      <c r="N69" s="5" t="n">
        <v>-24822</v>
      </c>
    </row>
    <row r="70">
      <c r="A70" s="5" t="inlineStr">
        <is>
          <t>Cash flows from investing activities (FY2013-FY2014)</t>
        </is>
      </c>
      <c r="B70" s="6" t="n"/>
      <c r="C70" s="6" t="n"/>
      <c r="D70" s="6" t="n"/>
      <c r="E70" s="6" t="n"/>
      <c r="F70" s="6" t="n"/>
      <c r="G70" s="6" t="n"/>
      <c r="H70" s="6" t="n"/>
      <c r="I70" s="6" t="n"/>
      <c r="J70" s="6" t="n"/>
      <c r="K70" s="6" t="n"/>
      <c r="L70" s="6" t="n"/>
      <c r="M70" s="6" t="n"/>
      <c r="N70" s="6" t="n"/>
    </row>
    <row r="71">
      <c r="A71" s="6" t="inlineStr">
        <is>
          <t>Cash and equivalents acquired in the merger</t>
        </is>
      </c>
      <c r="B71" s="6" t="n"/>
      <c r="C71" s="6" t="n"/>
      <c r="D71" s="6" t="n"/>
      <c r="E71" s="6" t="n"/>
      <c r="F71" s="6" t="n"/>
      <c r="G71" s="6" t="n"/>
      <c r="H71" s="6" t="n"/>
      <c r="I71" s="6" t="n"/>
      <c r="J71" s="6" t="n"/>
      <c r="K71" s="6" t="n"/>
      <c r="L71" s="6" t="n"/>
      <c r="M71" s="6" t="n">
        <v>0</v>
      </c>
      <c r="N71" s="6" t="n">
        <v>46358</v>
      </c>
    </row>
    <row r="72">
      <c r="A72" s="6" t="inlineStr">
        <is>
          <t>Dissolution of subsidiaries</t>
        </is>
      </c>
      <c r="B72" s="6" t="n"/>
      <c r="C72" s="6" t="n"/>
      <c r="D72" s="6" t="n"/>
      <c r="E72" s="6" t="n"/>
      <c r="F72" s="6" t="n"/>
      <c r="G72" s="6" t="n"/>
      <c r="H72" s="6" t="n"/>
      <c r="I72" s="6" t="n"/>
      <c r="J72" s="6" t="n"/>
      <c r="K72" s="6" t="n"/>
      <c r="L72" s="6" t="n"/>
      <c r="M72" s="6" t="n">
        <v>104</v>
      </c>
      <c r="N72" s="6" t="n">
        <v>0</v>
      </c>
    </row>
    <row r="73">
      <c r="A73" s="6" t="inlineStr">
        <is>
          <t>Subsidiaries' capital increase</t>
        </is>
      </c>
      <c r="B73" s="6" t="n"/>
      <c r="C73" s="6" t="n"/>
      <c r="D73" s="6" t="n"/>
      <c r="E73" s="6" t="n"/>
      <c r="F73" s="6" t="n"/>
      <c r="G73" s="6" t="n"/>
      <c r="H73" s="6" t="n"/>
      <c r="I73" s="6" t="n"/>
      <c r="J73" s="6" t="n"/>
      <c r="K73" s="6" t="n"/>
      <c r="L73" s="6" t="n"/>
      <c r="M73" s="6" t="n">
        <v>-70000</v>
      </c>
      <c r="N73" s="6" t="n">
        <v>0</v>
      </c>
    </row>
    <row r="74">
      <c r="A74" s="6" t="inlineStr">
        <is>
          <t>Dividends received (direct-method section)</t>
        </is>
      </c>
      <c r="B74" s="6" t="n"/>
      <c r="C74" s="6" t="n"/>
      <c r="D74" s="6" t="n"/>
      <c r="E74" s="6" t="n"/>
      <c r="F74" s="6" t="n"/>
      <c r="G74" s="6" t="n"/>
      <c r="H74" s="6" t="n"/>
      <c r="I74" s="6" t="n"/>
      <c r="J74" s="6" t="n"/>
      <c r="K74" s="6" t="n"/>
      <c r="L74" s="6" t="n"/>
      <c r="M74" s="6" t="n">
        <v>6474</v>
      </c>
      <c r="N74" s="6" t="n">
        <v>85962</v>
      </c>
    </row>
    <row r="75">
      <c r="A75" s="6" t="inlineStr">
        <is>
          <t>Purchase of fixed assets (direct-method section)</t>
        </is>
      </c>
      <c r="B75" s="6" t="n"/>
      <c r="C75" s="6" t="n"/>
      <c r="D75" s="6" t="n"/>
      <c r="E75" s="6" t="n"/>
      <c r="F75" s="6" t="n"/>
      <c r="G75" s="6" t="n"/>
      <c r="H75" s="6" t="n"/>
      <c r="I75" s="6" t="n"/>
      <c r="J75" s="6" t="n"/>
      <c r="K75" s="6" t="n"/>
      <c r="L75" s="6" t="n"/>
      <c r="M75" s="6" t="n">
        <v>-3215</v>
      </c>
      <c r="N75" s="6" t="n">
        <v>-4417</v>
      </c>
    </row>
    <row r="76">
      <c r="A76" s="5" t="inlineStr">
        <is>
          <t>Net cash flow from investing activities (direct-method section)</t>
        </is>
      </c>
      <c r="B76" s="5" t="n"/>
      <c r="C76" s="5" t="n"/>
      <c r="D76" s="5" t="n"/>
      <c r="E76" s="5" t="n"/>
      <c r="F76" s="5" t="n"/>
      <c r="G76" s="5" t="n"/>
      <c r="H76" s="5" t="n"/>
      <c r="I76" s="5" t="n"/>
      <c r="J76" s="5" t="n"/>
      <c r="K76" s="5" t="n"/>
      <c r="L76" s="5" t="n"/>
      <c r="M76" s="5" t="n">
        <v>-66637</v>
      </c>
      <c r="N76" s="5" t="n">
        <v>127903</v>
      </c>
    </row>
    <row r="77">
      <c r="A77" s="5" t="inlineStr">
        <is>
          <t>Cash flows from financing activities (FY2013-FY2014)</t>
        </is>
      </c>
      <c r="B77" s="6" t="n"/>
      <c r="C77" s="6" t="n"/>
      <c r="D77" s="6" t="n"/>
      <c r="E77" s="6" t="n"/>
      <c r="F77" s="6" t="n"/>
      <c r="G77" s="6" t="n"/>
      <c r="H77" s="6" t="n"/>
      <c r="I77" s="6" t="n"/>
      <c r="J77" s="6" t="n"/>
      <c r="K77" s="6" t="n"/>
      <c r="L77" s="6" t="n"/>
      <c r="M77" s="6" t="n"/>
      <c r="N77" s="6" t="n"/>
    </row>
    <row r="78">
      <c r="A78" s="6" t="inlineStr">
        <is>
          <t>Purchases/(Sales) of subordinated debt (direct-method section)</t>
        </is>
      </c>
      <c r="B78" s="6" t="n"/>
      <c r="C78" s="6" t="n"/>
      <c r="D78" s="6" t="n"/>
      <c r="E78" s="6" t="n"/>
      <c r="F78" s="6" t="n"/>
      <c r="G78" s="6" t="n"/>
      <c r="H78" s="6" t="n"/>
      <c r="I78" s="6" t="n"/>
      <c r="J78" s="6" t="n"/>
      <c r="K78" s="6" t="n"/>
      <c r="L78" s="6" t="n"/>
      <c r="M78" s="6" t="n">
        <v>0</v>
      </c>
      <c r="N78" s="6" t="n">
        <v>30000</v>
      </c>
    </row>
    <row r="79">
      <c r="A79" s="6" t="inlineStr">
        <is>
          <t>Interest paid from financing activities (direct-method section)</t>
        </is>
      </c>
      <c r="B79" s="6" t="n"/>
      <c r="C79" s="6" t="n"/>
      <c r="D79" s="6" t="n"/>
      <c r="E79" s="6" t="n"/>
      <c r="F79" s="6" t="n"/>
      <c r="G79" s="6" t="n"/>
      <c r="H79" s="6" t="n"/>
      <c r="I79" s="6" t="n"/>
      <c r="J79" s="6" t="n"/>
      <c r="K79" s="6" t="n"/>
      <c r="L79" s="6" t="n"/>
      <c r="M79" s="6" t="n">
        <v>-221</v>
      </c>
      <c r="N79" s="6" t="n">
        <v>-142</v>
      </c>
    </row>
    <row r="80">
      <c r="A80" s="5" t="inlineStr">
        <is>
          <t>Net cash flow from financing activities (direct-method section)</t>
        </is>
      </c>
      <c r="B80" s="5" t="n"/>
      <c r="C80" s="5" t="n"/>
      <c r="D80" s="5" t="n"/>
      <c r="E80" s="5" t="n"/>
      <c r="F80" s="5" t="n"/>
      <c r="G80" s="5" t="n"/>
      <c r="H80" s="5" t="n"/>
      <c r="I80" s="5" t="n"/>
      <c r="J80" s="5" t="n"/>
      <c r="K80" s="5" t="n"/>
      <c r="L80" s="5" t="n"/>
      <c r="M80" s="5" t="n">
        <v>-221</v>
      </c>
      <c r="N80" s="5" t="n">
        <v>29858</v>
      </c>
    </row>
    <row r="81">
      <c r="A81" s="6" t="inlineStr">
        <is>
          <t>Effects of exchange rate change on cash and cash equivalents (direct-method section)</t>
        </is>
      </c>
      <c r="B81" s="6" t="n"/>
      <c r="C81" s="6" t="n"/>
      <c r="D81" s="6" t="n"/>
      <c r="E81" s="6" t="n"/>
      <c r="F81" s="6" t="n"/>
      <c r="G81" s="6" t="n"/>
      <c r="H81" s="6" t="n"/>
      <c r="I81" s="6" t="n"/>
      <c r="J81" s="6" t="n"/>
      <c r="K81" s="6" t="n"/>
      <c r="L81" s="6" t="n"/>
      <c r="M81" s="6" t="n">
        <v>-13823</v>
      </c>
      <c r="N81" s="6" t="n">
        <v>-1120</v>
      </c>
    </row>
    <row r="82">
      <c r="A82" s="5" t="inlineStr">
        <is>
          <t>Increase/(decrease) in cash and cash equivalents (direct-method section)</t>
        </is>
      </c>
      <c r="B82" s="5" t="n"/>
      <c r="C82" s="5" t="n"/>
      <c r="D82" s="5" t="n"/>
      <c r="E82" s="5" t="n"/>
      <c r="F82" s="5" t="n"/>
      <c r="G82" s="5" t="n"/>
      <c r="H82" s="5" t="n"/>
      <c r="I82" s="5" t="n"/>
      <c r="J82" s="5" t="n"/>
      <c r="K82" s="5" t="n"/>
      <c r="L82" s="5" t="n"/>
      <c r="M82" s="5" t="n">
        <v>73532</v>
      </c>
      <c r="N82" s="5" t="n">
        <v>131819</v>
      </c>
    </row>
    <row r="83">
      <c r="A83" s="6" t="inlineStr">
        <is>
          <t>Cash and cash equivalents at beginning of year (direct-method section)</t>
        </is>
      </c>
      <c r="B83" s="6" t="n"/>
      <c r="C83" s="6" t="n"/>
      <c r="D83" s="6" t="n"/>
      <c r="E83" s="6" t="n"/>
      <c r="F83" s="6" t="n"/>
      <c r="G83" s="6" t="n"/>
      <c r="H83" s="6" t="n"/>
      <c r="I83" s="6" t="n"/>
      <c r="J83" s="6" t="n"/>
      <c r="K83" s="6" t="n"/>
      <c r="L83" s="6" t="n"/>
      <c r="M83" s="6" t="n">
        <v>131819</v>
      </c>
      <c r="N83" s="6" t="n">
        <v>0</v>
      </c>
    </row>
    <row r="84">
      <c r="A84" s="5" t="inlineStr">
        <is>
          <t>Cash and cash equivalents at end of year (direct-method section)</t>
        </is>
      </c>
      <c r="B84" s="5" t="n"/>
      <c r="C84" s="5" t="n"/>
      <c r="D84" s="5" t="n"/>
      <c r="E84" s="5" t="n"/>
      <c r="F84" s="5" t="n"/>
      <c r="G84" s="5" t="n"/>
      <c r="H84" s="5" t="n"/>
      <c r="I84" s="5" t="n"/>
      <c r="J84" s="5" t="n"/>
      <c r="K84" s="5" t="n"/>
      <c r="L84" s="5" t="n"/>
      <c r="M84" s="5" t="n">
        <v>205351</v>
      </c>
      <c r="N84" s="5" t="n">
        <v>131819</v>
      </c>
    </row>
    <row r="85">
      <c r="A85" s="5" t="inlineStr">
        <is>
          <t>Cash and cash equivalents comprise (FY2013-FY2014)</t>
        </is>
      </c>
      <c r="B85" s="6" t="n"/>
      <c r="C85" s="6" t="n"/>
      <c r="D85" s="6" t="n"/>
      <c r="E85" s="6" t="n"/>
      <c r="F85" s="6" t="n"/>
      <c r="G85" s="6" t="n"/>
      <c r="H85" s="6" t="n"/>
      <c r="I85" s="6" t="n"/>
      <c r="J85" s="6" t="n"/>
      <c r="K85" s="6" t="n"/>
      <c r="L85" s="6" t="n"/>
      <c r="M85" s="6" t="n"/>
      <c r="N85" s="6" t="n"/>
    </row>
    <row r="86">
      <c r="A86" s="6" t="inlineStr">
        <is>
          <t>Cash (direct-method section)</t>
        </is>
      </c>
      <c r="B86" s="6" t="n"/>
      <c r="C86" s="6" t="n"/>
      <c r="D86" s="6" t="n"/>
      <c r="E86" s="6" t="n"/>
      <c r="F86" s="6" t="n"/>
      <c r="G86" s="6" t="n"/>
      <c r="H86" s="6" t="n"/>
      <c r="I86" s="6" t="n"/>
      <c r="J86" s="6" t="n"/>
      <c r="K86" s="6" t="n"/>
      <c r="L86" s="6" t="n"/>
      <c r="M86" s="6" t="n">
        <v>29</v>
      </c>
      <c r="N86" s="6" t="n">
        <v>22</v>
      </c>
    </row>
    <row r="87">
      <c r="A87" s="6" t="inlineStr">
        <is>
          <t>Loans and advances to banks repayable on demand (direct-method section)</t>
        </is>
      </c>
      <c r="B87" s="6" t="n"/>
      <c r="C87" s="6" t="n"/>
      <c r="D87" s="6" t="n"/>
      <c r="E87" s="6" t="n"/>
      <c r="F87" s="6" t="n"/>
      <c r="G87" s="6" t="n"/>
      <c r="H87" s="6" t="n"/>
      <c r="I87" s="6" t="n"/>
      <c r="J87" s="6" t="n"/>
      <c r="K87" s="6" t="n"/>
      <c r="L87" s="6" t="n"/>
      <c r="M87" s="6" t="n">
        <v>205322</v>
      </c>
      <c r="N87" s="6" t="n">
        <v>131797</v>
      </c>
    </row>
    <row r="88">
      <c r="A88" s="5" t="inlineStr">
        <is>
          <t>Cash and cash equivalents at end of year (direct-method section, comprise)</t>
        </is>
      </c>
      <c r="B88" s="5" t="n"/>
      <c r="C88" s="5" t="n"/>
      <c r="D88" s="5" t="n"/>
      <c r="E88" s="5" t="n"/>
      <c r="F88" s="5" t="n"/>
      <c r="G88" s="5" t="n"/>
      <c r="H88" s="5" t="n"/>
      <c r="I88" s="5" t="n"/>
      <c r="J88" s="5" t="n"/>
      <c r="K88" s="5" t="n"/>
      <c r="L88" s="5" t="n"/>
      <c r="M88" s="5" t="n">
        <v>205351</v>
      </c>
      <c r="N88" s="5" t="n">
        <v>131819</v>
      </c>
    </row>
    <row r="90" ht="170" customHeight="1">
      <c r="A90"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a dash ('-') in the source is shown as 0. All 5 years' opening cash balances tie exactly to the prior year's closing balance.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
HD-052 (2026-09-05) extension to FY2014-FY2020, Bank/solo basis, USD'000, from Companies House filing-history scans (image-only PDFs, OCR'd + page-rendered for reading; no live itau.co.uk/itaubba.co.uk source was reachable, same constraint as the FY2021-2025 years above):
FY2020 &amp; FY2019: 2020 Annual Report, p.46 (Statement of Cash Flows) — https://find-and-update.company-information.service.gov.uk/company/07425398/filing-history/MzMyNTUwMDk3NmFkaXF6a2N4/document?format=pdf&amp;download=0
FY2018 &amp; FY2017: 2018 Annual Report, p.35 (Statement of Cash Flows) — https://find-and-update.company-information.service.gov.uk/company/07425398/filing-history/MzI0ODY3MjA2N2FkaXF6a2N4/document?format=pdf&amp;download=0
FY2016 &amp; FY2015: 2016 Annual Report, p.28 (Statement of Cash Flows) — https://find-and-update.company-information.service.gov.uk/company/07425398/filing-history/MzE3NTM0ODg3NmFkaXF6a2N4/document?format=pdf&amp;download=0
FY2014 &amp; FY2013: 2014 Annual Report (the Bank-solo standalone report; the Companies House filing bundles this together with a separate '2014 Consolidated Annual Report' covering the Group — only the Bank-solo report is used, matching this sheet's entity basis), p.30 (Statement of Cash Flows) — https://find-and-update.company-information.service.gov.uk/company/07425398/filing-history/MzEyNTM4MDgyMGFkaXF6a2N4/document?format=pdf&amp;download=0
HD-072 (2026-09-06): FY2013 added (Balance Sheet/P&amp;L/Equity/Cash Flow only, per that ticket's scope) as the 2014 Annual Report's own FY2013 comparative column on the same p.30 Statement of Cash Flows — same source document already downloaded for FY2014, re-read for its comparative column.
DATA QUALITY / METHODOLOGY NOTE: both FY2014's and FY2013's own Statement of Cash Flows are presented under the DIRECT method (interest/commissions received and paid, payments to employees and suppliers, etc.) — genuinely different from the INDIRECT method (reconciliation from profit before tax) used in every FY2015-2025 report. Rather than force these two years' direct-method lines into the indirect-method row structure, FY2013-FY2014 are shown in their own section below with their own line items; the indirect-method rows are blank for FY2013/FY2014 only. All methods reconcile to the same cash position with no year skipped: FY2013's own closing cash of USD 131,819k ties exactly to FY2014's own opening cash of USD 131,819k, and FY2014's own closing cash of USD 205,351k ties exactly to FY2015's own opening cash of USD 205,351k (via the 2016 Annual Report's own FY2015 column). FY2013's own 'Cash and cash equivalents at beginning of year' is genuinely blank ('-') in the source — 2013 was the year Itau BBA International plc merged with its former sister entity (see the Statement of Changes in Equity sheet's 'Share capital of the acquiree on the merger' row and this sheet's own 'Cash and equivalents acquired in the merger' line of USD 46,358k) — the pre-merger entity's own opening cash position is not disclosed as a comparative in this statement, not an omission here. DATA QUALITY NOTE: summing FY2020's own individually-transcribed Bank investing-activities line items gives USD (51,561)k, a USD 270k gap against the figure the source itself prints for 'Net cash flow from investing activities' (USD (51,831)k, used here) - every individual line item ties exactly to the source page, so this is an internal inconsistency in the source document itself, not a transcription error; flagged rather than silently adjusted, per this project's convention. FY2016's own source table prints the label '(Purchases) / Sales of fixed assets' twice with different values in the same investing-activities section (Bank: 28,975 and (84)) - both are transcribed as separate lines here (the first labeled 'initial disposal' for clarity), but summing all of FY2016's own individually-transcribed Bank investing-activities lines gives +USD 28,814k, the exact MAGNITUDE of the source's own printed 'Net cash flow from investing activities' subtotal but with the OPPOSITE SIGN (source prints USD (28,814)k) - every individual line ties exactly to the source page, so this is a sign inconsistency in the source document's own subtotal, not a transcription error; the source's own printed subtotal (negative) is used here and flagged rather than silently corrected.</t>
        </is>
      </c>
    </row>
  </sheetData>
  <mergeCells count="1">
    <mergeCell ref="A90:N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guarantees and commitments, by IFRS 9 stage</t>
        </is>
      </c>
      <c r="B4" s="6" t="n"/>
      <c r="C4" s="6" t="n"/>
      <c r="D4" s="6" t="n"/>
      <c r="E4" s="6" t="n"/>
      <c r="F4" s="6" t="n"/>
      <c r="G4" s="6" t="n"/>
      <c r="H4" s="6" t="n"/>
      <c r="I4" s="6" t="n"/>
      <c r="J4" s="6" t="n"/>
      <c r="K4" s="6" t="n"/>
      <c r="L4" s="6" t="n"/>
      <c r="M4" s="6" t="n"/>
    </row>
    <row r="5">
      <c r="A5" s="6" t="inlineStr">
        <is>
          <t>Stage 1 gross maximum exposure</t>
        </is>
      </c>
      <c r="B5" s="6" t="n">
        <v>4433270</v>
      </c>
      <c r="C5" s="6" t="n">
        <v>4784996</v>
      </c>
      <c r="D5" s="6" t="n">
        <v>4407196</v>
      </c>
      <c r="E5" s="6" t="n">
        <v>3926594</v>
      </c>
      <c r="F5" s="6" t="n">
        <v>3347695</v>
      </c>
      <c r="G5" s="6" t="n">
        <v>3133226</v>
      </c>
      <c r="H5" s="6" t="n">
        <v>4594070</v>
      </c>
      <c r="I5" s="6" t="n">
        <v>4477123</v>
      </c>
      <c r="J5" s="6" t="n"/>
      <c r="K5" s="6" t="n"/>
      <c r="L5" s="6" t="n"/>
      <c r="M5" s="6" t="n"/>
    </row>
    <row r="6">
      <c r="A6" s="6" t="inlineStr">
        <is>
          <t>Stage 1 ECL provisions</t>
        </is>
      </c>
      <c r="B6" s="6" t="n">
        <v>-1071</v>
      </c>
      <c r="C6" s="6" t="n">
        <v>-1135</v>
      </c>
      <c r="D6" s="6" t="n">
        <v>-1441</v>
      </c>
      <c r="E6" s="6" t="n">
        <v>-2657</v>
      </c>
      <c r="F6" s="6" t="n">
        <v>-3212</v>
      </c>
      <c r="G6" s="6" t="n">
        <v>-2251</v>
      </c>
      <c r="H6" s="6" t="n">
        <v>-1856</v>
      </c>
      <c r="I6" s="6" t="n">
        <v>-1474</v>
      </c>
      <c r="J6" s="6" t="n"/>
      <c r="K6" s="6" t="n"/>
      <c r="L6" s="6" t="n"/>
      <c r="M6" s="6" t="n"/>
    </row>
    <row r="7">
      <c r="A7" s="6" t="inlineStr">
        <is>
          <t>Stage 1 cash collateral</t>
        </is>
      </c>
      <c r="B7" s="6" t="n">
        <v>-850</v>
      </c>
      <c r="C7" s="6" t="n">
        <v>-7303</v>
      </c>
      <c r="D7" s="6" t="n">
        <v>-15535</v>
      </c>
      <c r="E7" s="6" t="n">
        <v>-47791</v>
      </c>
      <c r="F7" s="6" t="n">
        <v>-196179</v>
      </c>
      <c r="G7" s="6" t="n">
        <v>-471424</v>
      </c>
      <c r="H7" s="6" t="n">
        <v>-719479</v>
      </c>
      <c r="I7" s="6" t="n">
        <v>-895973</v>
      </c>
      <c r="J7" s="6" t="n"/>
      <c r="K7" s="6" t="n"/>
      <c r="L7" s="6" t="n"/>
      <c r="M7" s="6" t="n"/>
    </row>
    <row r="8">
      <c r="A8" s="5" t="inlineStr">
        <is>
          <t>Stage 1 net exposure</t>
        </is>
      </c>
      <c r="B8" s="5" t="n">
        <v>4431349</v>
      </c>
      <c r="C8" s="5" t="n">
        <v>4776558</v>
      </c>
      <c r="D8" s="5" t="n">
        <v>4390220</v>
      </c>
      <c r="E8" s="5" t="n">
        <v>3876146</v>
      </c>
      <c r="F8" s="5" t="n">
        <v>3148304</v>
      </c>
      <c r="G8" s="5" t="n">
        <v>2661802</v>
      </c>
      <c r="H8" s="5" t="n">
        <v>3874591</v>
      </c>
      <c r="I8" s="5" t="n">
        <v>3581150</v>
      </c>
      <c r="J8" s="5" t="n"/>
      <c r="K8" s="5" t="n"/>
      <c r="L8" s="5" t="n"/>
      <c r="M8" s="5" t="n"/>
    </row>
    <row r="9">
      <c r="A9" s="6" t="inlineStr">
        <is>
          <t>Stage 2 gross maximum exposure</t>
        </is>
      </c>
      <c r="B9" s="6" t="n">
        <v>38424</v>
      </c>
      <c r="C9" s="6" t="n">
        <v>41564</v>
      </c>
      <c r="D9" s="6" t="n">
        <v>15922</v>
      </c>
      <c r="E9" s="6" t="n">
        <v>152346</v>
      </c>
      <c r="F9" s="6" t="n">
        <v>249586</v>
      </c>
      <c r="G9" s="6" t="n">
        <v>563149</v>
      </c>
      <c r="H9" s="6" t="n">
        <v>32094</v>
      </c>
      <c r="I9" s="6" t="n">
        <v>12824</v>
      </c>
      <c r="J9" s="6" t="n"/>
      <c r="K9" s="6" t="n"/>
      <c r="L9" s="6" t="n"/>
      <c r="M9" s="6" t="n"/>
    </row>
    <row r="10">
      <c r="A10" s="6" t="inlineStr">
        <is>
          <t>Stage 2 ECL provisions</t>
        </is>
      </c>
      <c r="B10" s="6" t="n"/>
      <c r="C10" s="6" t="n"/>
      <c r="D10" s="6" t="n"/>
      <c r="E10" s="6" t="n">
        <v>-32</v>
      </c>
      <c r="F10" s="6" t="n">
        <v>-3665</v>
      </c>
      <c r="G10" s="6" t="n">
        <v>-14380</v>
      </c>
      <c r="H10" s="6" t="n">
        <v>-1153</v>
      </c>
      <c r="I10" s="6" t="n">
        <v>-7</v>
      </c>
      <c r="J10" s="6" t="n"/>
      <c r="K10" s="6" t="n"/>
      <c r="L10" s="6" t="n"/>
      <c r="M10" s="6" t="n"/>
    </row>
    <row r="11">
      <c r="A11" s="6" t="inlineStr">
        <is>
          <t>Stage 2 cash collateral</t>
        </is>
      </c>
      <c r="B11" s="6" t="n"/>
      <c r="C11" s="6" t="n">
        <v>-5627</v>
      </c>
      <c r="D11" s="6" t="n"/>
      <c r="E11" s="6" t="n"/>
      <c r="F11" s="6" t="n"/>
      <c r="G11" s="6" t="n">
        <v>-101442</v>
      </c>
      <c r="H11" s="6" t="n">
        <v>-17871</v>
      </c>
      <c r="I11" s="6" t="n"/>
      <c r="J11" s="6" t="n"/>
      <c r="K11" s="6" t="n"/>
      <c r="L11" s="6" t="n"/>
      <c r="M11" s="6" t="n"/>
    </row>
    <row r="12">
      <c r="A12" s="5" t="inlineStr">
        <is>
          <t>Stage 2 net exposure</t>
        </is>
      </c>
      <c r="B12" s="5" t="n">
        <v>38424</v>
      </c>
      <c r="C12" s="5" t="n">
        <v>35937</v>
      </c>
      <c r="D12" s="5" t="n">
        <v>15922</v>
      </c>
      <c r="E12" s="5" t="n">
        <v>152314</v>
      </c>
      <c r="F12" s="5" t="n">
        <v>245921</v>
      </c>
      <c r="G12" s="5" t="n">
        <v>461707</v>
      </c>
      <c r="H12" s="5" t="n">
        <v>14223</v>
      </c>
      <c r="I12" s="5" t="n">
        <v>12824</v>
      </c>
      <c r="J12" s="5" t="n"/>
      <c r="K12" s="5" t="n"/>
      <c r="L12" s="5" t="n"/>
      <c r="M12" s="5" t="n"/>
    </row>
    <row r="13">
      <c r="A13" s="6" t="inlineStr">
        <is>
          <t>Stage 3 gross maximum exposure</t>
        </is>
      </c>
      <c r="B13" s="6" t="n">
        <v>91484</v>
      </c>
      <c r="C13" s="6" t="n"/>
      <c r="D13" s="6" t="n"/>
      <c r="E13" s="6" t="n"/>
      <c r="F13" s="6" t="n"/>
      <c r="G13" s="6" t="n"/>
      <c r="H13" s="6" t="n"/>
      <c r="I13" s="6" t="n"/>
      <c r="J13" s="6" t="n"/>
      <c r="K13" s="6" t="n"/>
      <c r="L13" s="6" t="n"/>
      <c r="M13" s="6" t="n"/>
    </row>
    <row r="14">
      <c r="A14" s="6" t="inlineStr">
        <is>
          <t>Stage 3 cash collateral</t>
        </is>
      </c>
      <c r="B14" s="6" t="n">
        <v>-250</v>
      </c>
      <c r="C14" s="6" t="n"/>
      <c r="D14" s="6" t="n"/>
      <c r="E14" s="6" t="n"/>
      <c r="F14" s="6" t="n"/>
      <c r="G14" s="6" t="n"/>
      <c r="H14" s="6" t="n"/>
      <c r="I14" s="6" t="n"/>
      <c r="J14" s="6" t="n"/>
      <c r="K14" s="6" t="n"/>
      <c r="L14" s="6" t="n"/>
      <c r="M14" s="6" t="n"/>
    </row>
    <row r="15">
      <c r="A15" s="5" t="inlineStr">
        <is>
          <t>Stage 3 net exposure</t>
        </is>
      </c>
      <c r="B15" s="5" t="n">
        <v>91234</v>
      </c>
      <c r="C15" s="5" t="n"/>
      <c r="D15" s="5" t="n"/>
      <c r="E15" s="5" t="n"/>
      <c r="F15" s="5" t="n"/>
      <c r="G15" s="5" t="n"/>
      <c r="H15" s="5" t="n"/>
      <c r="I15" s="5" t="n"/>
      <c r="J15" s="5" t="n"/>
      <c r="K15" s="5" t="n"/>
      <c r="L15" s="5" t="n"/>
      <c r="M15" s="5" t="n"/>
    </row>
    <row r="16">
      <c r="A16" s="5" t="inlineStr">
        <is>
          <t>Total gross maximum exposure</t>
        </is>
      </c>
      <c r="B16" s="5" t="n">
        <v>4563178</v>
      </c>
      <c r="C16" s="5" t="n">
        <v>4826560</v>
      </c>
      <c r="D16" s="5" t="n">
        <v>4423118</v>
      </c>
      <c r="E16" s="5" t="n">
        <v>4078940</v>
      </c>
      <c r="F16" s="5" t="n">
        <v>3597281</v>
      </c>
      <c r="G16" s="5" t="n">
        <v>3696375</v>
      </c>
      <c r="H16" s="5" t="n">
        <v>4626164</v>
      </c>
      <c r="I16" s="5" t="n">
        <v>4489947</v>
      </c>
      <c r="J16" s="5" t="n"/>
      <c r="K16" s="5" t="n"/>
      <c r="L16" s="5" t="n"/>
      <c r="M16" s="5" t="n"/>
    </row>
    <row r="17">
      <c r="A17" s="5" t="inlineStr">
        <is>
          <t>Total ECL provisions</t>
        </is>
      </c>
      <c r="B17" s="5" t="n">
        <v>-1071</v>
      </c>
      <c r="C17" s="5" t="n">
        <v>-1135</v>
      </c>
      <c r="D17" s="5" t="n">
        <v>-1441</v>
      </c>
      <c r="E17" s="5" t="n">
        <v>-2689</v>
      </c>
      <c r="F17" s="5" t="n">
        <v>-6877</v>
      </c>
      <c r="G17" s="5" t="n">
        <v>-16631</v>
      </c>
      <c r="H17" s="5" t="n">
        <v>-3009</v>
      </c>
      <c r="I17" s="5" t="n">
        <v>-1481</v>
      </c>
      <c r="J17" s="5" t="n"/>
      <c r="K17" s="5" t="n"/>
      <c r="L17" s="5" t="n"/>
      <c r="M17" s="5" t="n"/>
    </row>
    <row r="18">
      <c r="A18" s="5" t="inlineStr">
        <is>
          <t>Total cash collateral</t>
        </is>
      </c>
      <c r="B18" s="5" t="n">
        <v>-1100</v>
      </c>
      <c r="C18" s="5" t="n">
        <v>-12930</v>
      </c>
      <c r="D18" s="5" t="n">
        <v>-15535</v>
      </c>
      <c r="E18" s="5" t="n">
        <v>-47791</v>
      </c>
      <c r="F18" s="5" t="n">
        <v>-196179</v>
      </c>
      <c r="G18" s="5" t="n">
        <v>-572866</v>
      </c>
      <c r="H18" s="5" t="n">
        <v>-737350</v>
      </c>
      <c r="I18" s="5" t="n">
        <v>-895973</v>
      </c>
      <c r="J18" s="5" t="n"/>
      <c r="K18" s="5" t="n"/>
      <c r="L18" s="5" t="n"/>
      <c r="M18" s="5" t="n"/>
    </row>
    <row r="19">
      <c r="A19" s="5" t="inlineStr">
        <is>
          <t>Total net exposure</t>
        </is>
      </c>
      <c r="B19" s="5" t="n">
        <v>4561007</v>
      </c>
      <c r="C19" s="5" t="n">
        <v>4812495</v>
      </c>
      <c r="D19" s="5" t="n">
        <v>4406142</v>
      </c>
      <c r="E19" s="5" t="n">
        <v>4028460</v>
      </c>
      <c r="F19" s="5" t="n">
        <v>3394225</v>
      </c>
      <c r="G19" s="5" t="n">
        <v>3123509</v>
      </c>
      <c r="H19" s="5" t="n">
        <v>3888814</v>
      </c>
      <c r="I19" s="5" t="n">
        <v>3593974</v>
      </c>
      <c r="J19" s="5" t="n"/>
      <c r="K19" s="5" t="n"/>
      <c r="L19" s="5" t="n"/>
      <c r="M19" s="5" t="n"/>
    </row>
    <row r="20">
      <c r="A20" s="5" t="inlineStr">
        <is>
          <t>Loans and advances to customers, by IAS 39 category (Bank) - FY2014-FY2016, pre-IFRS 9 (transition 1 Jan 2018); figures as disclosed by the source, USD m (not USD'000 like the rest of this sheet - see source note)</t>
        </is>
      </c>
      <c r="B20" s="6" t="n"/>
      <c r="C20" s="6" t="n"/>
      <c r="D20" s="6" t="n"/>
      <c r="E20" s="6" t="n"/>
      <c r="F20" s="6" t="n"/>
      <c r="G20" s="6" t="n"/>
      <c r="H20" s="6" t="n"/>
      <c r="I20" s="6" t="n"/>
      <c r="J20" s="6" t="n"/>
      <c r="K20" s="6" t="n"/>
      <c r="L20" s="6" t="n"/>
      <c r="M20" s="6" t="n"/>
    </row>
    <row r="21">
      <c r="A21" s="6" t="inlineStr">
        <is>
          <t>Neither past due nor impaired (USD m)</t>
        </is>
      </c>
      <c r="B21" s="6" t="n"/>
      <c r="C21" s="6" t="n"/>
      <c r="D21" s="6" t="n"/>
      <c r="E21" s="6" t="n"/>
      <c r="F21" s="6" t="n"/>
      <c r="G21" s="6" t="n"/>
      <c r="H21" s="6" t="n"/>
      <c r="I21" s="6" t="n"/>
      <c r="J21" s="6" t="n"/>
      <c r="K21" s="6" t="n">
        <v>2800</v>
      </c>
      <c r="L21" s="6" t="n">
        <v>3198</v>
      </c>
      <c r="M21" s="6" t="n">
        <v>2868</v>
      </c>
    </row>
    <row r="22">
      <c r="A22" s="6" t="inlineStr">
        <is>
          <t>Past due but not impaired (USD m)</t>
        </is>
      </c>
      <c r="B22" s="6" t="n"/>
      <c r="C22" s="6" t="n"/>
      <c r="D22" s="6" t="n"/>
      <c r="E22" s="6" t="n"/>
      <c r="F22" s="6" t="n"/>
      <c r="G22" s="6" t="n"/>
      <c r="H22" s="6" t="n"/>
      <c r="I22" s="6" t="n"/>
      <c r="J22" s="6" t="n"/>
      <c r="K22" s="6" t="n">
        <v>0</v>
      </c>
      <c r="L22" s="6" t="n">
        <v>0</v>
      </c>
      <c r="M22" s="6" t="n">
        <v>4</v>
      </c>
    </row>
    <row r="23">
      <c r="A23" s="6" t="inlineStr">
        <is>
          <t>Impaired (USD m)</t>
        </is>
      </c>
      <c r="B23" s="6" t="n"/>
      <c r="C23" s="6" t="n"/>
      <c r="D23" s="6" t="n"/>
      <c r="E23" s="6" t="n"/>
      <c r="F23" s="6" t="n"/>
      <c r="G23" s="6" t="n"/>
      <c r="H23" s="6" t="n"/>
      <c r="I23" s="6" t="n"/>
      <c r="J23" s="6" t="n"/>
      <c r="K23" s="6" t="n">
        <v>6</v>
      </c>
      <c r="L23" s="6" t="n">
        <v>8</v>
      </c>
      <c r="M23" s="6" t="n">
        <v>8</v>
      </c>
    </row>
    <row r="24">
      <c r="A24" s="6" t="inlineStr">
        <is>
          <t>Commissions related to amortised cost, net (USD m)</t>
        </is>
      </c>
      <c r="B24" s="6" t="n"/>
      <c r="C24" s="6" t="n"/>
      <c r="D24" s="6" t="n"/>
      <c r="E24" s="6" t="n"/>
      <c r="F24" s="6" t="n"/>
      <c r="G24" s="6" t="n"/>
      <c r="H24" s="6" t="n"/>
      <c r="I24" s="6" t="n"/>
      <c r="J24" s="6" t="n"/>
      <c r="K24" s="6" t="n">
        <v>-13</v>
      </c>
      <c r="L24" s="6" t="n">
        <v>-15</v>
      </c>
      <c r="M24" s="6" t="n">
        <v>-13</v>
      </c>
    </row>
    <row r="25">
      <c r="A25" s="5" t="inlineStr">
        <is>
          <t>Gross amount of loans and advances to customers (USD m)</t>
        </is>
      </c>
      <c r="B25" s="5" t="n"/>
      <c r="C25" s="5" t="n"/>
      <c r="D25" s="5" t="n"/>
      <c r="E25" s="5" t="n"/>
      <c r="F25" s="5" t="n"/>
      <c r="G25" s="5" t="n"/>
      <c r="H25" s="5" t="n"/>
      <c r="I25" s="5" t="n"/>
      <c r="J25" s="5" t="n"/>
      <c r="K25" s="5" t="n">
        <v>2793</v>
      </c>
      <c r="L25" s="5" t="n">
        <v>3191</v>
      </c>
      <c r="M25" s="5" t="n">
        <v>2867</v>
      </c>
    </row>
    <row r="26">
      <c r="A26" s="6" t="inlineStr">
        <is>
          <t>Loan impairment (USD m)</t>
        </is>
      </c>
      <c r="B26" s="6" t="n"/>
      <c r="C26" s="6" t="n"/>
      <c r="D26" s="6" t="n"/>
      <c r="E26" s="6" t="n"/>
      <c r="F26" s="6" t="n"/>
      <c r="G26" s="6" t="n"/>
      <c r="H26" s="6" t="n"/>
      <c r="I26" s="6" t="n"/>
      <c r="J26" s="6" t="n"/>
      <c r="K26" s="6" t="n">
        <v>-11</v>
      </c>
      <c r="L26" s="6" t="n">
        <v>-12</v>
      </c>
      <c r="M26" s="6" t="n">
        <v>-12</v>
      </c>
    </row>
    <row r="27">
      <c r="A27" s="5" t="inlineStr">
        <is>
          <t>Net amount of loans and advances to customers (USD m)</t>
        </is>
      </c>
      <c r="B27" s="5" t="n"/>
      <c r="C27" s="5" t="n"/>
      <c r="D27" s="5" t="n"/>
      <c r="E27" s="5" t="n"/>
      <c r="F27" s="5" t="n"/>
      <c r="G27" s="5" t="n"/>
      <c r="H27" s="5" t="n"/>
      <c r="I27" s="5" t="n"/>
      <c r="J27" s="5" t="n"/>
      <c r="K27" s="5" t="n">
        <v>2782</v>
      </c>
      <c r="L27" s="5" t="n">
        <v>3179</v>
      </c>
      <c r="M27" s="5" t="n">
        <v>2855</v>
      </c>
    </row>
    <row r="29" ht="190" customHeight="1">
      <c r="A29"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(same IFRS 9 stage table).
Source — Itau BBA International plc Bank (solo, not Group) financial statements, 2018 Annual Report, p.35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 only (same IFRS 9 stage table; this is the first year under the new IFRS 9 stage-based note format - the FY2018 Annual Report does not restate FY2017 to this categorisation, IFRS 9 permitting no restatement of prior-year ECL disclosures). SELF-SKIP: FY2017 Asset Quality is left blank for this reason - the FY2018 Annual Report's own note only shows 31.12.18, and no FY2017-native filing was downloaded this session to source the old IAS 39-format comparative directly (FY2017's Balance Sheet/Income Statement/Equity/Pillar 3 figures ARE populated, sourced from this same FY2018 Annual Report's comparative column - only this one sheet's FY2017 column is affected).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 pre-IFRS 9 (transition 1 Jan 2018), 'Quality of the portfolio of Loans and advances to customers' note (a narrower population than the IFRS 9-era note above - customers only, no guarantees/commitments - and disclosed in USD m, not USD'000; both figures tie exactly to this sheet's Balance Sheet Loans and advances to customers line when rounded to the nearest USD m).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same pre-IFRS 9 note, USD m). FY2014's one impaired loan (USD 8m) is fully identified in the source's own text as a single loan to an insolvent subsidiary of a Spanish company, 100% impaired as at 31 Dec 2014 - not a residual/unexplained balance.</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2276</v>
      </c>
      <c r="C4" s="6" t="n">
        <v>2073</v>
      </c>
      <c r="D4" s="6" t="n">
        <v>1939</v>
      </c>
      <c r="E4" s="6" t="n">
        <v>1334</v>
      </c>
      <c r="F4" s="6" t="n">
        <v>1318</v>
      </c>
      <c r="G4" s="6" t="n">
        <v>1291</v>
      </c>
      <c r="H4" s="6" t="n">
        <v>1210</v>
      </c>
      <c r="I4" s="6" t="n">
        <v>1127</v>
      </c>
      <c r="J4" s="6" t="n">
        <v>1049</v>
      </c>
      <c r="K4" s="6" t="n">
        <v>992</v>
      </c>
      <c r="L4" s="6" t="n">
        <v>945</v>
      </c>
      <c r="M4" s="6" t="n">
        <v>933</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Annual Report 'Regulatory Capital composition' table, Group basis — FY2020/FY2019: 2020 Annual Report, p.136 — https://find-and-update.company-information.service.gov.uk/company/07425398/filing-history/MzMyNTUwMDk3NmFkaXF6a2N4/document?format=pdf&amp;download=0; FY2018/FY2017: 2018 Annual Report, p.124 — https://find-and-update.company-information.service.gov.uk/company/07425398/filing-history/MzI0ODY3MjA2N2FkaXF6a2N4/document?format=pdf&amp;download=0; FY2016/FY2015: 2016 Annual Report, p.102 — https://find-and-update.company-information.service.gov.uk/company/07425398/filing-history/MzE3NTM0ODg3NmFkaXF6a2N4/document?format=pdf&amp;download=0; FY2014: 2014 Consolidated Annual Report, p.10 (FY2013 comparative not used) — https://find-and-update.company-information.service.gov.uk/company/07425398/filing-history/MzEyNTM4MDgyMGFkaXF6a2N4/document?format=pdf&amp;download=0.</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29.0%</t>
        </is>
      </c>
      <c r="C4" s="6" t="inlineStr">
        <is>
          <t>23.9%</t>
        </is>
      </c>
      <c r="D4" s="6" t="inlineStr">
        <is>
          <t>27.0%</t>
        </is>
      </c>
      <c r="E4" s="6" t="inlineStr">
        <is>
          <t>19.6%</t>
        </is>
      </c>
      <c r="F4" s="6" t="inlineStr">
        <is>
          <t>22.6%</t>
        </is>
      </c>
      <c r="G4" s="6" t="inlineStr">
        <is>
          <t>23.9%</t>
        </is>
      </c>
      <c r="H4" s="6" t="inlineStr">
        <is>
          <t>19.9%</t>
        </is>
      </c>
      <c r="I4" s="6" t="inlineStr">
        <is>
          <t>19.2%</t>
        </is>
      </c>
      <c r="J4" s="6" t="inlineStr">
        <is>
          <t>19.4%</t>
        </is>
      </c>
      <c r="K4" s="6" t="inlineStr">
        <is>
          <t>18.0%</t>
        </is>
      </c>
      <c r="L4" s="6" t="inlineStr">
        <is>
          <t>17.9%</t>
        </is>
      </c>
      <c r="M4" s="6" t="inlineStr">
        <is>
          <t>17.8%</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c r="C4" s="6" t="n"/>
      <c r="D4" s="6" t="n">
        <v>1939</v>
      </c>
      <c r="E4" s="6" t="n">
        <v>1334</v>
      </c>
      <c r="F4" s="6" t="n">
        <v>1318</v>
      </c>
      <c r="G4" s="6" t="n"/>
      <c r="H4" s="6" t="n"/>
      <c r="I4" s="6" t="n"/>
      <c r="J4" s="6" t="n"/>
      <c r="K4" s="6" t="n"/>
      <c r="L4" s="6" t="n"/>
      <c r="M4" s="6" t="n"/>
    </row>
    <row r="5" ht="60" customHeight="1">
      <c r="A5" s="7" t="inlineStr">
        <is>
          <t>Note: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FY2024/FY2025 remain blank — no Pillar 3 Disclosures document for either year was found this session. HD-052 (2026-09-05): FY2014-FY2020 also remain blank — no standalone Pillar 3 Disclosures document for any of those years was searched for this session (out of scope for this batch); the Annual Report's own Tier 2 capital line for every one of those years (see the RWA Breakdown/Total Capital sheets) is small relative to CET1 capital, consistent with the same Tier 1 = CET1 pattern confirmed for FY2021-2023, but not independently confirmed for FY2014-FY2020.</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n"/>
      <c r="C4" s="6" t="n"/>
      <c r="D4" s="6" t="inlineStr">
        <is>
          <t>27.0%</t>
        </is>
      </c>
      <c r="E4" s="6" t="inlineStr">
        <is>
          <t>19.6%</t>
        </is>
      </c>
      <c r="F4" s="6" t="inlineStr">
        <is>
          <t>22.6%</t>
        </is>
      </c>
      <c r="G4" s="6" t="n"/>
      <c r="H4" s="6" t="n"/>
      <c r="I4" s="6" t="n"/>
      <c r="J4" s="6" t="n"/>
      <c r="K4" s="6" t="n"/>
      <c r="L4" s="6" t="n"/>
      <c r="M4" s="6" t="n"/>
    </row>
    <row r="5" ht="60" customHeight="1">
      <c r="A5" s="7" t="inlineStr">
        <is>
          <t>Note: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FY2024/FY2025 remain blank — no Pillar 3 Disclosures document for either year was found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2276</v>
      </c>
      <c r="C4" s="6" t="n">
        <v>2073</v>
      </c>
      <c r="D4" s="6" t="n">
        <v>1940</v>
      </c>
      <c r="E4" s="6" t="n">
        <v>1334</v>
      </c>
      <c r="F4" s="6" t="n">
        <v>1318</v>
      </c>
      <c r="G4" s="6" t="n">
        <v>1291</v>
      </c>
      <c r="H4" s="6" t="n">
        <v>1212</v>
      </c>
      <c r="I4" s="6" t="n">
        <v>1129</v>
      </c>
      <c r="J4" s="6" t="n">
        <v>1051</v>
      </c>
      <c r="K4" s="6" t="n">
        <v>1000</v>
      </c>
      <c r="L4" s="6" t="n">
        <v>955</v>
      </c>
      <c r="M4" s="6" t="n">
        <v>949</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29.0%</t>
        </is>
      </c>
      <c r="C4" s="6" t="inlineStr">
        <is>
          <t>23.9%</t>
        </is>
      </c>
      <c r="D4" s="6" t="inlineStr">
        <is>
          <t>27.1%</t>
        </is>
      </c>
      <c r="E4" s="6" t="inlineStr">
        <is>
          <t>19.6%</t>
        </is>
      </c>
      <c r="F4" s="6" t="inlineStr">
        <is>
          <t>22.6%</t>
        </is>
      </c>
      <c r="G4" s="6" t="inlineStr">
        <is>
          <t>23.9%</t>
        </is>
      </c>
      <c r="H4" s="6" t="inlineStr">
        <is>
          <t>19.9%</t>
        </is>
      </c>
      <c r="I4" s="6" t="inlineStr">
        <is>
          <t>19.2%</t>
        </is>
      </c>
      <c r="J4" s="6" t="inlineStr">
        <is>
          <t>19.5%</t>
        </is>
      </c>
      <c r="K4" s="6" t="inlineStr">
        <is>
          <t>18.2%</t>
        </is>
      </c>
      <c r="L4" s="6" t="inlineStr">
        <is>
          <t>18.1%</t>
        </is>
      </c>
      <c r="M4" s="6" t="inlineStr">
        <is>
          <t>18.1%</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Risk-weighted assets (RWA)</t>
        </is>
      </c>
      <c r="B4" s="6" t="n">
        <v>7855</v>
      </c>
      <c r="C4" s="6" t="n">
        <v>8660</v>
      </c>
      <c r="D4" s="6" t="n">
        <v>7170</v>
      </c>
      <c r="E4" s="6" t="n">
        <v>6812</v>
      </c>
      <c r="F4" s="6" t="n">
        <v>5836</v>
      </c>
      <c r="G4" s="6" t="n">
        <v>5408</v>
      </c>
      <c r="H4" s="6" t="n">
        <v>6089</v>
      </c>
      <c r="I4" s="6" t="n">
        <v>5879</v>
      </c>
      <c r="J4" s="6" t="n">
        <v>5399</v>
      </c>
      <c r="K4" s="6" t="n">
        <v>5506</v>
      </c>
      <c r="L4" s="6" t="n">
        <v>5280</v>
      </c>
      <c r="M4" s="6" t="n">
        <v>5232</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c r="G3" s="4" t="inlineStr">
        <is>
          <t>FY2020 (USD m)</t>
        </is>
      </c>
      <c r="H3" s="4" t="inlineStr">
        <is>
          <t>FY2019 (USD m)</t>
        </is>
      </c>
      <c r="I3" s="4" t="inlineStr">
        <is>
          <t>FY2018 (USD m)</t>
        </is>
      </c>
      <c r="J3" s="4" t="inlineStr">
        <is>
          <t>FY2017 (USD m)</t>
        </is>
      </c>
      <c r="K3" s="4" t="inlineStr">
        <is>
          <t>FY2016 (USD m)</t>
        </is>
      </c>
      <c r="L3" s="4" t="inlineStr">
        <is>
          <t>FY2015 (USD m)</t>
        </is>
      </c>
      <c r="M3" s="4" t="inlineStr">
        <is>
          <t>FY2014 (USD m)</t>
        </is>
      </c>
    </row>
    <row r="4">
      <c r="A4" s="6" t="inlineStr">
        <is>
          <t>Credit Risk (Standardised Approach; incl. counterparty credit risk)</t>
        </is>
      </c>
      <c r="B4" s="6" t="n">
        <v>6987.5</v>
      </c>
      <c r="C4" s="6" t="n">
        <v>7875</v>
      </c>
      <c r="D4" s="6" t="n">
        <v>6525</v>
      </c>
      <c r="E4" s="6" t="n">
        <v>6250</v>
      </c>
      <c r="F4" s="6" t="n">
        <v>5362.5</v>
      </c>
      <c r="G4" s="6" t="n">
        <v>4875</v>
      </c>
      <c r="H4" s="6" t="n">
        <v>5562.5</v>
      </c>
      <c r="I4" s="6" t="n">
        <v>5362.5</v>
      </c>
      <c r="J4" s="6" t="n">
        <v>4862.5</v>
      </c>
      <c r="K4" s="6" t="n">
        <v>4962.5</v>
      </c>
      <c r="L4" s="6" t="n">
        <v>4800</v>
      </c>
      <c r="M4" s="6" t="n">
        <v>4725</v>
      </c>
    </row>
    <row r="5">
      <c r="A5" s="6" t="inlineStr">
        <is>
          <t>Credit Valuation Adjustment Risk</t>
        </is>
      </c>
      <c r="B5" s="6" t="n">
        <v>62.5</v>
      </c>
      <c r="C5" s="6" t="n">
        <v>37.5</v>
      </c>
      <c r="D5" s="6" t="n">
        <v>25</v>
      </c>
      <c r="E5" s="6" t="n">
        <v>50</v>
      </c>
      <c r="F5" s="6" t="n">
        <v>25</v>
      </c>
      <c r="G5" s="6" t="n">
        <v>12.5</v>
      </c>
      <c r="H5" s="6" t="n">
        <v>25</v>
      </c>
      <c r="I5" s="6" t="n">
        <v>12.5</v>
      </c>
      <c r="J5" s="6" t="n">
        <v>25</v>
      </c>
      <c r="K5" s="6" t="n">
        <v>12.5</v>
      </c>
      <c r="L5" s="6" t="n">
        <v>25</v>
      </c>
      <c r="M5" s="6" t="n">
        <v>25</v>
      </c>
    </row>
    <row r="6">
      <c r="A6" s="6" t="inlineStr">
        <is>
          <t>Market Risk</t>
        </is>
      </c>
      <c r="B6" s="6" t="n">
        <v>12.5</v>
      </c>
      <c r="C6" s="6" t="n">
        <v>50</v>
      </c>
      <c r="D6" s="6" t="n">
        <v>62.5</v>
      </c>
      <c r="E6" s="6" t="n">
        <v>25</v>
      </c>
      <c r="F6" s="6" t="n">
        <v>25</v>
      </c>
      <c r="G6" s="6" t="n">
        <v>62.5</v>
      </c>
      <c r="H6" s="6" t="n">
        <v>12.5</v>
      </c>
      <c r="I6" s="6" t="n">
        <v>37.5</v>
      </c>
      <c r="J6" s="6" t="n">
        <v>75</v>
      </c>
      <c r="K6" s="6" t="n">
        <v>100</v>
      </c>
      <c r="L6" s="6" t="n">
        <v>37.5</v>
      </c>
      <c r="M6" s="6" t="n">
        <v>100</v>
      </c>
    </row>
    <row r="7">
      <c r="A7" s="6" t="inlineStr">
        <is>
          <t>Operational Risk (Basic Indicator Approach)</t>
        </is>
      </c>
      <c r="B7" s="6" t="n">
        <v>787.5</v>
      </c>
      <c r="C7" s="6" t="n">
        <v>700</v>
      </c>
      <c r="D7" s="6" t="n">
        <v>562.5</v>
      </c>
      <c r="E7" s="6" t="n">
        <v>487.5</v>
      </c>
      <c r="F7" s="6" t="n">
        <v>425</v>
      </c>
      <c r="G7" s="6" t="n">
        <v>462.5</v>
      </c>
      <c r="H7" s="6" t="n">
        <v>487.5</v>
      </c>
      <c r="I7" s="6" t="n">
        <v>462.5</v>
      </c>
      <c r="J7" s="6" t="n">
        <v>437.5</v>
      </c>
      <c r="K7" s="6" t="n">
        <v>425</v>
      </c>
      <c r="L7" s="6" t="n">
        <v>412.5</v>
      </c>
      <c r="M7" s="6" t="n">
        <v>387.5</v>
      </c>
    </row>
    <row r="8">
      <c r="A8" s="5" t="inlineStr">
        <is>
          <t>Total RWA (derived, sum of above)</t>
        </is>
      </c>
      <c r="B8" s="5" t="n">
        <v>7850</v>
      </c>
      <c r="C8" s="5" t="n">
        <v>8662.5</v>
      </c>
      <c r="D8" s="5" t="n">
        <v>7175</v>
      </c>
      <c r="E8" s="5" t="n">
        <v>6812.5</v>
      </c>
      <c r="F8" s="5" t="n">
        <v>5837.5</v>
      </c>
      <c r="G8" s="5" t="n">
        <v>5412.5</v>
      </c>
      <c r="H8" s="5" t="n">
        <v>6087.5</v>
      </c>
      <c r="I8" s="5" t="n">
        <v>5875</v>
      </c>
      <c r="J8" s="5" t="n">
        <v>5400</v>
      </c>
      <c r="K8" s="5" t="n">
        <v>5500</v>
      </c>
      <c r="L8" s="5" t="n">
        <v>5275</v>
      </c>
      <c r="M8" s="5" t="n">
        <v>5237.5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
HD-052 (2026-09-05) FY2014-FY2020, same DERIVED methodology, Group basis, from each year's own Annual Report 'Capital requirements By Risk Type' table — FY2020/FY2019: 2020 Annual Report, p.137 — https://find-and-update.company-information.service.gov.uk/company/07425398/filing-history/MzMyNTUwMDk3NmFkaXF6a2N4/document?format=pdf&amp;download=0; FY2018/FY2017: 2018 Annual Report, p.125 — https://find-and-update.company-information.service.gov.uk/company/07425398/filing-history/MzI0ODY3MjA2N2FkaXF6a2N4/document?format=pdf&amp;download=0; FY2016/FY2015: 2016 Annual Report, p.103 — https://find-and-update.company-information.service.gov.uk/company/07425398/filing-history/MzE3NTM0ODg3NmFkaXF6a2N4/document?format=pdf&amp;download=0; FY2014: 2014 Consolidated Annual Report, p.11 — https://find-and-update.company-information.service.gov.uk/company/07425398/filing-history/MzEyNTM4MDgyMGFkaXF6a2N4/document?format=pdf&amp;download=0. FY2014's own table nests 'Credit Value Adjustment' (USD 2m) as a sub-line of 'Market Risk' (USD 10m total) rather than as its own top-level category (introduced as a separate line from the 2016 report onward) - split out here for consistency with later years (Market Risk shown as USD 8m ex-CVA, CVA as USD 2m), an apportionment not a data change; both derived figures sum to the source's own USD 10m Market Risk total exactly.</t>
        </is>
      </c>
    </row>
  </sheetData>
  <mergeCells count="1">
    <mergeCell ref="A10:M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19.1%</t>
        </is>
      </c>
      <c r="C4" s="6" t="inlineStr">
        <is>
          <t>16.4%</t>
        </is>
      </c>
      <c r="D4" s="6" t="inlineStr">
        <is>
          <t>16.7%</t>
        </is>
      </c>
      <c r="E4" s="6" t="inlineStr">
        <is>
          <t>11.9%</t>
        </is>
      </c>
      <c r="F4" s="6" t="inlineStr">
        <is>
          <t>14.6%</t>
        </is>
      </c>
      <c r="G4" s="6" t="inlineStr">
        <is>
          <t>14.4%</t>
        </is>
      </c>
      <c r="H4" s="6" t="inlineStr">
        <is>
          <t>13.5%</t>
        </is>
      </c>
      <c r="I4" s="6" t="inlineStr">
        <is>
          <t>11.9%</t>
        </is>
      </c>
      <c r="J4" s="6" t="inlineStr">
        <is>
          <t>12.4%</t>
        </is>
      </c>
      <c r="K4" s="6" t="inlineStr">
        <is>
          <t>11.3%</t>
        </is>
      </c>
      <c r="L4" s="6" t="inlineStr">
        <is>
          <t>10.3%</t>
        </is>
      </c>
      <c r="M4" s="6" t="inlineStr">
        <is>
          <t>10.5%</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The Leverage Ratio is quoted in the Capital section's narrative text (not the composition table) each year.
HD-052 (2026-09-05) FY2014-FY2020: same Annual Reports' own Key Performance Indicators tables.</t>
        </is>
      </c>
    </row>
  </sheetData>
  <mergeCells count="1">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n"/>
      <c r="C4" s="6" t="n"/>
      <c r="D4" s="6" t="inlineStr">
        <is>
          <t>208%</t>
        </is>
      </c>
      <c r="E4" s="6" t="inlineStr">
        <is>
          <t>188%</t>
        </is>
      </c>
      <c r="F4" s="6" t="inlineStr">
        <is>
          <t>169%</t>
        </is>
      </c>
      <c r="G4" s="6" t="inlineStr">
        <is>
          <t>153%</t>
        </is>
      </c>
      <c r="H4" s="6" t="inlineStr">
        <is>
          <t>267%</t>
        </is>
      </c>
      <c r="I4" s="6" t="inlineStr">
        <is>
          <t>181%</t>
        </is>
      </c>
      <c r="J4" s="6" t="inlineStr">
        <is>
          <t>129%</t>
        </is>
      </c>
      <c r="K4" s="6" t="inlineStr">
        <is>
          <t>289%</t>
        </is>
      </c>
      <c r="L4" s="6" t="inlineStr">
        <is>
          <t>307%</t>
        </is>
      </c>
      <c r="M4" s="6" t="n"/>
    </row>
    <row r="5" ht="60" customHeight="1">
      <c r="A5" s="7" t="inlineStr">
        <is>
          <t>Note: Not found anywhere in the Annual Report's own pages (Strategic Report or Notes) —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 HD-052 (2026-09-05): FY2020-FY2015 were found directly in each year's own Annual Report Key Performance Indicators table (a point-in-time figure, not the trailing average the Pillar 3 documents disclose for FY2021-2023 — a genuine presentation difference between the two source types, not a data error). FY2014 is genuinely blank — no LCR appears anywhere in the 2014 Annual Report, consistent with the CRD IV LCR phase-in only beginning in 2015 (confirmed against this project's own finding for other banks, e.g. Bank of Ireland UK).</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n"/>
      <c r="C4" s="6" t="n"/>
      <c r="D4" s="6" t="inlineStr">
        <is>
          <t>161%</t>
        </is>
      </c>
      <c r="E4" s="6" t="inlineStr">
        <is>
          <t>150%</t>
        </is>
      </c>
      <c r="F4" s="6" t="n"/>
      <c r="G4" s="6" t="n"/>
      <c r="H4" s="6" t="n"/>
      <c r="I4" s="6" t="n"/>
      <c r="J4" s="6" t="n"/>
      <c r="K4" s="6" t="n"/>
      <c r="L4" s="6" t="n"/>
      <c r="M4" s="6" t="n"/>
    </row>
    <row r="5" ht="60" customHeight="1">
      <c r="A5" s="7" t="inlineStr">
        <is>
          <t>Note: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 HD-052 (2026-09-05): FY2014-FY2020 also remain blank for the same reason — NSFR was not yet a PRA reporting requirement, and no NSFR % appears in any of those years' own Annual Reports (searched in full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resolution-strategy discussion was found in the Annual Report's own pages; deferred to the unreachable standalone Pillar 3 report, same as LCR/NSFR. FY2013 is left blank (not "Not publicly disclosed") per HD-072 (2026-09-06) - Pillar 3 is out of scope for that ticket's FY2013 extension, so this sheet's dict is intentionally not extended to FY2013, same as every other Pillar 3 sheet.</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2026-09-06T20:46:41Z</dcterms:created>
  <dcterms:modified xmlns:dcterms="http://purl.org/dc/terms/" xmlns:xsi="http://www.w3.org/2001/XMLSchema-instance" xsi:type="dcterms:W3CDTF">2026-09-06T20:46:41Z</dcterms:modified>
</cp:coreProperties>
</file>