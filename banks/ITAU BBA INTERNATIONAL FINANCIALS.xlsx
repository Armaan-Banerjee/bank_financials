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KM1 Key Metrics" sheetId="7" state="visible" r:id="rId7"/>
    <sheet xmlns:r="http://schemas.openxmlformats.org/officeDocument/2006/relationships" name="CET1 Capital" sheetId="8" state="visible" r:id="rId8"/>
    <sheet xmlns:r="http://schemas.openxmlformats.org/officeDocument/2006/relationships" name="CET1 Ratio" sheetId="9" state="visible" r:id="rId9"/>
    <sheet xmlns:r="http://schemas.openxmlformats.org/officeDocument/2006/relationships" name="Tier 1 Capital" sheetId="10" state="visible" r:id="rId10"/>
    <sheet xmlns:r="http://schemas.openxmlformats.org/officeDocument/2006/relationships" name="Tier 1 Ratio" sheetId="11" state="visible" r:id="rId11"/>
    <sheet xmlns:r="http://schemas.openxmlformats.org/officeDocument/2006/relationships" name="Total Capital" sheetId="12" state="visible" r:id="rId12"/>
    <sheet xmlns:r="http://schemas.openxmlformats.org/officeDocument/2006/relationships" name="Total Capital Ratio" sheetId="13" state="visible" r:id="rId13"/>
    <sheet xmlns:r="http://schemas.openxmlformats.org/officeDocument/2006/relationships" name="Total RWAs" sheetId="14" state="visible" r:id="rId14"/>
    <sheet xmlns:r="http://schemas.openxmlformats.org/officeDocument/2006/relationships" name="RWA Breakdown" sheetId="15" state="visible" r:id="rId15"/>
    <sheet xmlns:r="http://schemas.openxmlformats.org/officeDocument/2006/relationships" name="Leverage Ratio" sheetId="16" state="visible" r:id="rId16"/>
    <sheet xmlns:r="http://schemas.openxmlformats.org/officeDocument/2006/relationships" name="LCR" sheetId="17" state="visible" r:id="rId17"/>
    <sheet xmlns:r="http://schemas.openxmlformats.org/officeDocument/2006/relationships" name="NSFR" sheetId="18" state="visible" r:id="rId18"/>
    <sheet xmlns:r="http://schemas.openxmlformats.org/officeDocument/2006/relationships" name="MREL Ratio" sheetId="19" state="visible" r:id="rId1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F58220"/>
        <bgColor rgb="00F5822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Itau BBA International plc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'Overview'!P6</f>
            </strRef>
          </tx>
          <spPr>
            <a:ln xmlns:a="http://schemas.openxmlformats.org/drawingml/2006/main">
              <a:prstDash val="solid"/>
            </a:ln>
          </spPr>
          <cat>
            <numRef>
              <f>'Overview'!$Q$5:$AB$5</f>
            </numRef>
          </cat>
          <val>
            <numRef>
              <f>'Overview'!$Q$6:$AB$6</f>
            </numRef>
          </val>
        </ser>
        <ser>
          <idx val="1"/>
          <order val="1"/>
          <tx>
            <strRef>
              <f>'Overview'!P7</f>
            </strRef>
          </tx>
          <spPr>
            <a:ln xmlns:a="http://schemas.openxmlformats.org/drawingml/2006/main">
              <a:prstDash val="solid"/>
            </a:ln>
          </spPr>
          <cat>
            <numRef>
              <f>'Overview'!$Q$5:$AB$5</f>
            </numRef>
          </cat>
          <val>
            <numRef>
              <f>'Overview'!$Q$7:$AB$7</f>
            </numRef>
          </val>
        </ser>
        <ser>
          <idx val="2"/>
          <order val="2"/>
          <tx>
            <strRef>
              <f>'Overview'!P8</f>
            </strRef>
          </tx>
          <spPr>
            <a:ln xmlns:a="http://schemas.openxmlformats.org/drawingml/2006/main">
              <a:prstDash val="solid"/>
            </a:ln>
          </spPr>
          <cat>
            <numRef>
              <f>'Overview'!$Q$5:$AB$5</f>
            </numRef>
          </cat>
          <val>
            <numRef>
              <f>'Overview'!$Q$8:$AB$8</f>
            </numRef>
          </val>
        </ser>
        <ser>
          <idx val="3"/>
          <order val="3"/>
          <tx>
            <strRef>
              <f>'Overview'!P9</f>
            </strRef>
          </tx>
          <spPr>
            <a:ln xmlns:a="http://schemas.openxmlformats.org/drawingml/2006/main">
              <a:prstDash val="solid"/>
            </a:ln>
          </spPr>
          <cat>
            <numRef>
              <f>'Overview'!$Q$5:$AB$5</f>
            </numRef>
          </cat>
          <val>
            <numRef>
              <f>'Overview'!$Q$9:$AB$9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USD'000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Itau BBA International plc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'Overview'!AE13</f>
            </strRef>
          </tx>
          <spPr>
            <a:ln xmlns:a="http://schemas.openxmlformats.org/drawingml/2006/main">
              <a:prstDash val="solid"/>
            </a:ln>
          </spPr>
          <cat>
            <numRef>
              <f>'Overview'!$AF$12:$AQ$12</f>
            </numRef>
          </cat>
          <val>
            <numRef>
              <f>'Overview'!$AF$13:$AQ$13</f>
            </numRef>
          </val>
        </ser>
        <ser>
          <idx val="1"/>
          <order val="1"/>
          <tx>
            <strRef>
              <f>'Overview'!AE14</f>
            </strRef>
          </tx>
          <spPr>
            <a:ln xmlns:a="http://schemas.openxmlformats.org/drawingml/2006/main">
              <a:prstDash val="solid"/>
            </a:ln>
          </spPr>
          <cat>
            <numRef>
              <f>'Overview'!$AF$12:$AQ$12</f>
            </numRef>
          </cat>
          <val>
            <numRef>
              <f>'Overview'!$AF$14:$AQ$14</f>
            </numRef>
          </val>
        </ser>
        <ser>
          <idx val="2"/>
          <order val="2"/>
          <tx>
            <strRef>
              <f>'Overview'!AE15</f>
            </strRef>
          </tx>
          <spPr>
            <a:ln xmlns:a="http://schemas.openxmlformats.org/drawingml/2006/main">
              <a:prstDash val="solid"/>
            </a:ln>
          </spPr>
          <cat>
            <numRef>
              <f>'Overview'!$AF$12:$AQ$12</f>
            </numRef>
          </cat>
          <val>
            <numRef>
              <f>'Overview'!$AF$15:$AQ$15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USD'000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Itau BBA International plc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'Overview'!AT19</f>
            </strRef>
          </tx>
          <spPr>
            <a:ln xmlns:a="http://schemas.openxmlformats.org/drawingml/2006/main">
              <a:prstDash val="solid"/>
            </a:ln>
          </spPr>
          <cat>
            <numRef>
              <f>'Overview'!$AU$18:$BF$18</f>
            </numRef>
          </cat>
          <val>
            <numRef>
              <f>'Overview'!$AU$19:$BF$19</f>
            </numRef>
          </val>
        </ser>
        <ser>
          <idx val="1"/>
          <order val="1"/>
          <tx>
            <strRef>
              <f>'Overview'!AT20</f>
            </strRef>
          </tx>
          <spPr>
            <a:ln xmlns:a="http://schemas.openxmlformats.org/drawingml/2006/main">
              <a:prstDash val="solid"/>
            </a:ln>
          </spPr>
          <cat>
            <numRef>
              <f>'Overview'!$AU$18:$BF$18</f>
            </numRef>
          </cat>
          <val>
            <numRef>
              <f>'Overview'!$AU$20:$BF$20</f>
            </numRef>
          </val>
        </ser>
        <ser>
          <idx val="2"/>
          <order val="2"/>
          <tx>
            <strRef>
              <f>'Overview'!AT21</f>
            </strRef>
          </tx>
          <spPr>
            <a:ln xmlns:a="http://schemas.openxmlformats.org/drawingml/2006/main">
              <a:prstDash val="solid"/>
            </a:ln>
          </spPr>
          <cat>
            <numRef>
              <f>'Overview'!$AU$18:$BF$18</f>
            </numRef>
          </cat>
          <val>
            <numRef>
              <f>'Overview'!$AU$21:$BF$21</f>
            </numRef>
          </val>
        </ser>
        <ser>
          <idx val="3"/>
          <order val="3"/>
          <tx>
            <strRef>
              <f>'Overview'!AT22</f>
            </strRef>
          </tx>
          <spPr>
            <a:ln xmlns:a="http://schemas.openxmlformats.org/drawingml/2006/main">
              <a:prstDash val="solid"/>
            </a:ln>
          </spPr>
          <cat>
            <numRef>
              <f>'Overview'!$AU$18:$BF$18</f>
            </numRef>
          </cat>
          <val>
            <numRef>
              <f>'Overview'!$AU$22:$BF$22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USD'000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Itau BBA International plc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'Overview'!BI26</f>
            </strRef>
          </tx>
          <spPr>
            <a:ln xmlns:a="http://schemas.openxmlformats.org/drawingml/2006/main">
              <a:prstDash val="solid"/>
            </a:ln>
          </spPr>
          <cat>
            <numRef>
              <f>'Overview'!$BJ$25:$BU$25</f>
            </numRef>
          </cat>
          <val>
            <numRef>
              <f>'Overview'!$BJ$26:$BU$26</f>
            </numRef>
          </val>
        </ser>
        <ser>
          <idx val="1"/>
          <order val="1"/>
          <tx>
            <strRef>
              <f>'Overview'!BI27</f>
            </strRef>
          </tx>
          <spPr>
            <a:ln xmlns:a="http://schemas.openxmlformats.org/drawingml/2006/main">
              <a:prstDash val="solid"/>
            </a:ln>
          </spPr>
          <cat>
            <numRef>
              <f>'Overview'!$BJ$25:$BU$25</f>
            </numRef>
          </cat>
          <val>
            <numRef>
              <f>'Overview'!$BJ$27:$BU$27</f>
            </numRef>
          </val>
        </ser>
        <ser>
          <idx val="2"/>
          <order val="2"/>
          <tx>
            <strRef>
              <f>'Overview'!BI28</f>
            </strRef>
          </tx>
          <spPr>
            <a:ln xmlns:a="http://schemas.openxmlformats.org/drawingml/2006/main">
              <a:prstDash val="solid"/>
            </a:ln>
          </spPr>
          <cat>
            <numRef>
              <f>'Overview'!$BJ$25:$BU$25</f>
            </numRef>
          </cat>
          <val>
            <numRef>
              <f>'Overview'!$BJ$28:$BU$28</f>
            </numRef>
          </val>
        </ser>
        <ser>
          <idx val="3"/>
          <order val="3"/>
          <tx>
            <strRef>
              <f>'Overview'!BI29</f>
            </strRef>
          </tx>
          <spPr>
            <a:ln xmlns:a="http://schemas.openxmlformats.org/drawingml/2006/main">
              <a:prstDash val="solid"/>
            </a:ln>
          </spPr>
          <cat>
            <numRef>
              <f>'Overview'!$BJ$25:$BU$25</f>
            </numRef>
          </cat>
          <val>
            <numRef>
              <f>'Overview'!$BJ$29:$BU$29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USD'000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Itau BBA International plc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'Overview'!BX6</f>
            </strRef>
          </tx>
          <spPr>
            <a:ln xmlns:a="http://schemas.openxmlformats.org/drawingml/2006/main">
              <a:prstDash val="solid"/>
            </a:ln>
          </spPr>
          <marker>
            <symbol val="none"/>
            <spPr>
              <a:ln xmlns:a="http://schemas.openxmlformats.org/drawingml/2006/main">
                <a:prstDash val="solid"/>
              </a:ln>
            </spPr>
          </marker>
          <cat>
            <numRef>
              <f>'Overview'!$BY$5:$CJ$5</f>
            </numRef>
          </cat>
          <val>
            <numRef>
              <f>'Overview'!$BY$6:$CJ$6</f>
            </numRef>
          </val>
          <smooth val="0"/>
        </ser>
        <ser>
          <idx val="1"/>
          <order val="1"/>
          <tx>
            <strRef>
              <f>'Overview'!BX7</f>
            </strRef>
          </tx>
          <spPr>
            <a:ln xmlns:a="http://schemas.openxmlformats.org/drawingml/2006/main">
              <a:prstDash val="solid"/>
            </a:ln>
          </spPr>
          <marker>
            <symbol val="none"/>
            <spPr>
              <a:ln xmlns:a="http://schemas.openxmlformats.org/drawingml/2006/main">
                <a:prstDash val="solid"/>
              </a:ln>
            </spPr>
          </marker>
          <cat>
            <numRef>
              <f>'Overview'!$BY$5:$CJ$5</f>
            </numRef>
          </cat>
          <val>
            <numRef>
              <f>'Overview'!$BY$7:$CJ$7</f>
            </numRef>
          </val>
          <smooth val="0"/>
        </ser>
        <ser>
          <idx val="2"/>
          <order val="2"/>
          <tx>
            <strRef>
              <f>'Overview'!BX8</f>
            </strRef>
          </tx>
          <spPr>
            <a:ln xmlns:a="http://schemas.openxmlformats.org/drawingml/2006/main">
              <a:prstDash val="solid"/>
            </a:ln>
          </spPr>
          <marker>
            <symbol val="none"/>
            <spPr>
              <a:ln xmlns:a="http://schemas.openxmlformats.org/drawingml/2006/main">
                <a:prstDash val="solid"/>
              </a:ln>
            </spPr>
          </marker>
          <cat>
            <numRef>
              <f>'Overview'!$BY$5:$CJ$5</f>
            </numRef>
          </cat>
          <val>
            <numRef>
              <f>'Overview'!$BY$8:$CJ$8</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39</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61</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83</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105</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127</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CJ37"/>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 hidden="1" width="13" customWidth="1" min="67" max="67"/>
    <col hidden="1" width="13" customWidth="1" min="68" max="68"/>
    <col hidden="1" width="13" customWidth="1" min="69" max="69"/>
    <col hidden="1" width="13" customWidth="1" min="70" max="70"/>
    <col hidden="1" width="13" customWidth="1" min="71" max="71"/>
    <col hidden="1" width="13" customWidth="1" min="72" max="72"/>
    <col hidden="1" width="13" customWidth="1" min="73" max="73"/>
    <col hidden="1" width="13" customWidth="1" min="74" max="74"/>
    <col hidden="1" width="13" customWidth="1" min="75" max="75"/>
    <col hidden="1" width="13" customWidth="1" min="76" max="76"/>
    <col hidden="1" width="13" customWidth="1" min="77" max="77"/>
    <col hidden="1" width="13" customWidth="1" min="78" max="78"/>
    <col hidden="1" width="13" customWidth="1" min="79" max="79"/>
    <col hidden="1" width="13" customWidth="1" min="80" max="80"/>
    <col hidden="1" width="13" customWidth="1" min="81" max="81"/>
    <col hidden="1" width="13" customWidth="1" min="82" max="82"/>
    <col hidden="1" width="13" customWidth="1" min="83" max="83"/>
    <col hidden="1" width="13" customWidth="1" min="84" max="84"/>
    <col hidden="1" width="13" customWidth="1" min="85" max="85"/>
    <col hidden="1" width="13" customWidth="1" min="86" max="86"/>
    <col hidden="1" width="13" customWidth="1" min="87" max="87"/>
    <col hidden="1" width="13" customWidth="1" min="88" max="88"/>
  </cols>
  <sheetData>
    <row r="1">
      <c r="A1" s="1" t="inlineStr">
        <is>
          <t>Itau BBA International plc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(USD'000)</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H5" s="4" t="inlineStr">
        <is>
          <t>FY2019</t>
        </is>
      </c>
      <c r="I5" s="4" t="inlineStr">
        <is>
          <t>FY2018</t>
        </is>
      </c>
      <c r="J5" s="4" t="inlineStr">
        <is>
          <t>FY2017</t>
        </is>
      </c>
      <c r="K5" s="4" t="inlineStr">
        <is>
          <t>FY2016</t>
        </is>
      </c>
      <c r="L5" s="4" t="inlineStr">
        <is>
          <t>FY2015</t>
        </is>
      </c>
      <c r="M5" s="4" t="inlineStr">
        <is>
          <t>FY2014</t>
        </is>
      </c>
      <c r="Q5" t="inlineStr">
        <is>
          <t>FY2014</t>
        </is>
      </c>
      <c r="R5" t="inlineStr">
        <is>
          <t>FY2015</t>
        </is>
      </c>
      <c r="S5" t="inlineStr">
        <is>
          <t>FY2016</t>
        </is>
      </c>
      <c r="T5" t="inlineStr">
        <is>
          <t>FY2017</t>
        </is>
      </c>
      <c r="U5" t="inlineStr">
        <is>
          <t>FY2018</t>
        </is>
      </c>
      <c r="V5" t="inlineStr">
        <is>
          <t>FY2019</t>
        </is>
      </c>
      <c r="W5" t="inlineStr">
        <is>
          <t>FY2020</t>
        </is>
      </c>
      <c r="X5" t="inlineStr">
        <is>
          <t>FY2021</t>
        </is>
      </c>
      <c r="Y5" t="inlineStr">
        <is>
          <t>FY2022</t>
        </is>
      </c>
      <c r="Z5" t="inlineStr">
        <is>
          <t>FY2023</t>
        </is>
      </c>
      <c r="AA5" t="inlineStr">
        <is>
          <t>FY2024</t>
        </is>
      </c>
      <c r="AB5" t="inlineStr">
        <is>
          <t>FY2025</t>
        </is>
      </c>
      <c r="BY5" t="inlineStr">
        <is>
          <t>FY2014</t>
        </is>
      </c>
      <c r="BZ5" t="inlineStr">
        <is>
          <t>FY2015</t>
        </is>
      </c>
      <c r="CA5" t="inlineStr">
        <is>
          <t>FY2016</t>
        </is>
      </c>
      <c r="CB5" t="inlineStr">
        <is>
          <t>FY2017</t>
        </is>
      </c>
      <c r="CC5" t="inlineStr">
        <is>
          <t>FY2018</t>
        </is>
      </c>
      <c r="CD5" t="inlineStr">
        <is>
          <t>FY2019</t>
        </is>
      </c>
      <c r="CE5" t="inlineStr">
        <is>
          <t>FY2020</t>
        </is>
      </c>
      <c r="CF5" t="inlineStr">
        <is>
          <t>FY2021</t>
        </is>
      </c>
      <c r="CG5" t="inlineStr">
        <is>
          <t>FY2022</t>
        </is>
      </c>
      <c r="CH5" t="inlineStr">
        <is>
          <t>FY2023</t>
        </is>
      </c>
      <c r="CI5" t="inlineStr">
        <is>
          <t>FY2024</t>
        </is>
      </c>
      <c r="CJ5" t="inlineStr">
        <is>
          <t>FY2025</t>
        </is>
      </c>
    </row>
    <row r="6">
      <c r="A6" s="5" t="inlineStr">
        <is>
          <t>Total Assets</t>
        </is>
      </c>
      <c r="B6" s="5" t="n">
        <v>7896227</v>
      </c>
      <c r="C6" s="5" t="n">
        <v>8937146</v>
      </c>
      <c r="D6" s="5" t="n">
        <v>8085575</v>
      </c>
      <c r="E6" s="5" t="n">
        <v>6981727</v>
      </c>
      <c r="F6" s="5" t="n">
        <v>5963514</v>
      </c>
      <c r="G6" s="5" t="n">
        <v>5931078</v>
      </c>
      <c r="H6" s="5" t="n">
        <v>6177219</v>
      </c>
      <c r="I6" s="5" t="n">
        <v>6859779</v>
      </c>
      <c r="J6" s="5" t="n">
        <v>5953347</v>
      </c>
      <c r="K6" s="5" t="n">
        <v>5043006</v>
      </c>
      <c r="L6" s="5" t="n">
        <v>5868598</v>
      </c>
      <c r="M6" s="5" t="n">
        <v>5177420</v>
      </c>
      <c r="P6" t="inlineStr">
        <is>
          <t>Total Assets</t>
        </is>
      </c>
      <c r="Q6" t="n">
        <v>5177420</v>
      </c>
      <c r="R6" t="n">
        <v>5868598</v>
      </c>
      <c r="S6" t="n">
        <v>5043006</v>
      </c>
      <c r="T6" t="n">
        <v>5953347</v>
      </c>
      <c r="U6" t="n">
        <v>6859779</v>
      </c>
      <c r="V6" t="n">
        <v>6177219</v>
      </c>
      <c r="W6" t="n">
        <v>5931078</v>
      </c>
      <c r="X6" t="n">
        <v>5963514</v>
      </c>
      <c r="Y6" t="n">
        <v>6981727</v>
      </c>
      <c r="Z6" t="n">
        <v>8085575</v>
      </c>
      <c r="AA6" t="n">
        <v>8937146</v>
      </c>
      <c r="AB6" t="n">
        <v>7896227</v>
      </c>
      <c r="BX6" t="inlineStr">
        <is>
          <t>CET1 Ratio</t>
        </is>
      </c>
      <c r="BY6" t="n">
        <v>17.8</v>
      </c>
      <c r="BZ6" t="n">
        <v>17.9</v>
      </c>
      <c r="CA6" t="n">
        <v>18</v>
      </c>
      <c r="CB6" t="n">
        <v>19.4</v>
      </c>
      <c r="CC6" t="n">
        <v>19.2</v>
      </c>
      <c r="CD6" t="n">
        <v>19.9</v>
      </c>
      <c r="CE6" t="n">
        <v>23.9</v>
      </c>
      <c r="CF6" t="n">
        <v>22.6</v>
      </c>
      <c r="CG6" t="n">
        <v>19.6</v>
      </c>
      <c r="CH6" t="n">
        <v>27</v>
      </c>
      <c r="CI6" t="n">
        <v>23.9</v>
      </c>
      <c r="CJ6" t="n">
        <v>29</v>
      </c>
    </row>
    <row r="7">
      <c r="A7" s="5" t="inlineStr">
        <is>
          <t>Loans and advances to customers</t>
        </is>
      </c>
      <c r="B7" s="5" t="n">
        <v>4044575</v>
      </c>
      <c r="C7" s="5" t="n">
        <v>4104314</v>
      </c>
      <c r="D7" s="5" t="n">
        <v>3868767</v>
      </c>
      <c r="E7" s="5" t="n">
        <v>3604470</v>
      </c>
      <c r="F7" s="5" t="n">
        <v>3221895</v>
      </c>
      <c r="G7" s="5" t="n">
        <v>3181399</v>
      </c>
      <c r="H7" s="5" t="n">
        <v>3864886</v>
      </c>
      <c r="I7" s="5" t="n">
        <v>3779281</v>
      </c>
      <c r="J7" s="5" t="n">
        <v>3056151</v>
      </c>
      <c r="K7" s="5" t="n">
        <v>2782210</v>
      </c>
      <c r="L7" s="5" t="n">
        <v>3179457</v>
      </c>
      <c r="M7" s="5" t="n">
        <v>2855295</v>
      </c>
      <c r="P7" t="inlineStr">
        <is>
          <t>Loans and advances to customers</t>
        </is>
      </c>
      <c r="Q7" t="n">
        <v>2855295</v>
      </c>
      <c r="R7" t="n">
        <v>3179457</v>
      </c>
      <c r="S7" t="n">
        <v>2782210</v>
      </c>
      <c r="T7" t="n">
        <v>3056151</v>
      </c>
      <c r="U7" t="n">
        <v>3779281</v>
      </c>
      <c r="V7" t="n">
        <v>3864886</v>
      </c>
      <c r="W7" t="n">
        <v>3181399</v>
      </c>
      <c r="X7" t="n">
        <v>3221895</v>
      </c>
      <c r="Y7" t="n">
        <v>3604470</v>
      </c>
      <c r="Z7" t="n">
        <v>3868767</v>
      </c>
      <c r="AA7" t="n">
        <v>4104314</v>
      </c>
      <c r="AB7" t="n">
        <v>4044575</v>
      </c>
      <c r="BX7" t="inlineStr">
        <is>
          <t>Total Capital Ratio</t>
        </is>
      </c>
      <c r="BY7" t="n">
        <v>18.1</v>
      </c>
      <c r="BZ7" t="n">
        <v>18.1</v>
      </c>
      <c r="CA7" t="n">
        <v>18.2</v>
      </c>
      <c r="CB7" t="n">
        <v>19.5</v>
      </c>
      <c r="CC7" t="n">
        <v>19.2</v>
      </c>
      <c r="CD7" t="n">
        <v>19.9</v>
      </c>
      <c r="CE7" t="n">
        <v>23.9</v>
      </c>
      <c r="CF7" t="n">
        <v>22.6</v>
      </c>
      <c r="CG7" t="n">
        <v>19.6</v>
      </c>
      <c r="CH7" t="n">
        <v>27.1</v>
      </c>
      <c r="CI7" t="n">
        <v>23.9</v>
      </c>
      <c r="CJ7" t="n">
        <v>29</v>
      </c>
    </row>
    <row r="8">
      <c r="A8" s="5" t="inlineStr">
        <is>
          <t>Customer accounts</t>
        </is>
      </c>
      <c r="B8" s="5" t="n">
        <v>1740013</v>
      </c>
      <c r="C8" s="5" t="n">
        <v>2745061</v>
      </c>
      <c r="D8" s="5" t="n">
        <v>1709639</v>
      </c>
      <c r="E8" s="5" t="n">
        <v>1914084</v>
      </c>
      <c r="F8" s="5" t="n">
        <v>1751887</v>
      </c>
      <c r="G8" s="5" t="n">
        <v>1242218</v>
      </c>
      <c r="H8" s="5" t="n">
        <v>1304375</v>
      </c>
      <c r="I8" s="5" t="n">
        <v>1194983</v>
      </c>
      <c r="J8" s="5" t="n">
        <v>752508</v>
      </c>
      <c r="K8" s="5" t="n">
        <v>453090</v>
      </c>
      <c r="L8" s="5" t="n">
        <v>176000</v>
      </c>
      <c r="M8" s="5" t="n">
        <v>204392</v>
      </c>
      <c r="P8" t="inlineStr">
        <is>
          <t>Customer accounts</t>
        </is>
      </c>
      <c r="Q8" t="n">
        <v>204392</v>
      </c>
      <c r="R8" t="n">
        <v>176000</v>
      </c>
      <c r="S8" t="n">
        <v>453090</v>
      </c>
      <c r="T8" t="n">
        <v>752508</v>
      </c>
      <c r="U8" t="n">
        <v>1194983</v>
      </c>
      <c r="V8" t="n">
        <v>1304375</v>
      </c>
      <c r="W8" t="n">
        <v>1242218</v>
      </c>
      <c r="X8" t="n">
        <v>1751887</v>
      </c>
      <c r="Y8" t="n">
        <v>1914084</v>
      </c>
      <c r="Z8" t="n">
        <v>1709639</v>
      </c>
      <c r="AA8" t="n">
        <v>2745061</v>
      </c>
      <c r="AB8" t="n">
        <v>1740013</v>
      </c>
      <c r="BX8" t="inlineStr">
        <is>
          <t>Leverage Ratio</t>
        </is>
      </c>
      <c r="BY8" t="n">
        <v>10.5</v>
      </c>
      <c r="BZ8" t="n">
        <v>10.3</v>
      </c>
      <c r="CA8" t="n">
        <v>11.3</v>
      </c>
      <c r="CB8" t="n">
        <v>12.4</v>
      </c>
      <c r="CC8" t="n">
        <v>11.9</v>
      </c>
      <c r="CD8" t="n">
        <v>13.5</v>
      </c>
      <c r="CE8" t="n">
        <v>14.4</v>
      </c>
      <c r="CF8" t="n">
        <v>14.6</v>
      </c>
      <c r="CG8" t="n">
        <v>11.9</v>
      </c>
      <c r="CH8" t="n">
        <v>16.7</v>
      </c>
      <c r="CI8" t="n">
        <v>16.4</v>
      </c>
      <c r="CJ8" t="n">
        <v>19.1</v>
      </c>
    </row>
    <row r="9">
      <c r="A9" s="5" t="inlineStr">
        <is>
          <t>Total Equity</t>
        </is>
      </c>
      <c r="B9" s="5" t="n">
        <v>2154474</v>
      </c>
      <c r="C9" s="5" t="n">
        <v>2062914</v>
      </c>
      <c r="D9" s="5" t="n">
        <v>1963716</v>
      </c>
      <c r="E9" s="5" t="n">
        <v>1398537</v>
      </c>
      <c r="F9" s="5" t="n">
        <v>1329874</v>
      </c>
      <c r="G9" s="5" t="n">
        <v>1303897</v>
      </c>
      <c r="H9" s="5" t="n">
        <v>1298794</v>
      </c>
      <c r="I9" s="5" t="n">
        <v>1229438</v>
      </c>
      <c r="J9" s="5" t="n">
        <v>1122851</v>
      </c>
      <c r="K9" s="5" t="n">
        <v>1046209</v>
      </c>
      <c r="L9" s="5" t="n">
        <v>1023741</v>
      </c>
      <c r="M9" s="5" t="n">
        <v>1009878</v>
      </c>
      <c r="P9" t="inlineStr">
        <is>
          <t>Total Equity</t>
        </is>
      </c>
      <c r="Q9" t="n">
        <v>1009878</v>
      </c>
      <c r="R9" t="n">
        <v>1023741</v>
      </c>
      <c r="S9" t="n">
        <v>1046209</v>
      </c>
      <c r="T9" t="n">
        <v>1122851</v>
      </c>
      <c r="U9" t="n">
        <v>1229438</v>
      </c>
      <c r="V9" t="n">
        <v>1298794</v>
      </c>
      <c r="W9" t="n">
        <v>1303897</v>
      </c>
      <c r="X9" t="n">
        <v>1329874</v>
      </c>
      <c r="Y9" t="n">
        <v>1398537</v>
      </c>
      <c r="Z9" t="n">
        <v>1963716</v>
      </c>
      <c r="AA9" t="n">
        <v>2062914</v>
      </c>
      <c r="AB9" t="n">
        <v>2154474</v>
      </c>
    </row>
    <row r="11">
      <c r="A11" s="3" t="inlineStr">
        <is>
          <t>Profit &amp; Loss Summary (USD'000)</t>
        </is>
      </c>
    </row>
    <row r="12">
      <c r="A12" s="4" t="inlineStr">
        <is>
          <t>Line item</t>
        </is>
      </c>
      <c r="B12" s="4" t="inlineStr">
        <is>
          <t>FY2025</t>
        </is>
      </c>
      <c r="C12" s="4" t="inlineStr">
        <is>
          <t>FY2024</t>
        </is>
      </c>
      <c r="D12" s="4" t="inlineStr">
        <is>
          <t>FY2023</t>
        </is>
      </c>
      <c r="E12" s="4" t="inlineStr">
        <is>
          <t>FY2022</t>
        </is>
      </c>
      <c r="F12" s="4" t="inlineStr">
        <is>
          <t>FY2021</t>
        </is>
      </c>
      <c r="G12" s="4" t="inlineStr">
        <is>
          <t>FY2020</t>
        </is>
      </c>
      <c r="H12" s="4" t="inlineStr">
        <is>
          <t>FY2019</t>
        </is>
      </c>
      <c r="I12" s="4" t="inlineStr">
        <is>
          <t>FY2018</t>
        </is>
      </c>
      <c r="J12" s="4" t="inlineStr">
        <is>
          <t>FY2017</t>
        </is>
      </c>
      <c r="K12" s="4" t="inlineStr">
        <is>
          <t>FY2016</t>
        </is>
      </c>
      <c r="L12" s="4" t="inlineStr">
        <is>
          <t>FY2015</t>
        </is>
      </c>
      <c r="M12" s="4" t="inlineStr">
        <is>
          <t>FY2014</t>
        </is>
      </c>
      <c r="AF12" t="inlineStr">
        <is>
          <t>FY2014</t>
        </is>
      </c>
      <c r="AG12" t="inlineStr">
        <is>
          <t>FY2015</t>
        </is>
      </c>
      <c r="AH12" t="inlineStr">
        <is>
          <t>FY2016</t>
        </is>
      </c>
      <c r="AI12" t="inlineStr">
        <is>
          <t>FY2017</t>
        </is>
      </c>
      <c r="AJ12" t="inlineStr">
        <is>
          <t>FY2018</t>
        </is>
      </c>
      <c r="AK12" t="inlineStr">
        <is>
          <t>FY2019</t>
        </is>
      </c>
      <c r="AL12" t="inlineStr">
        <is>
          <t>FY2020</t>
        </is>
      </c>
      <c r="AM12" t="inlineStr">
        <is>
          <t>FY2021</t>
        </is>
      </c>
      <c r="AN12" t="inlineStr">
        <is>
          <t>FY2022</t>
        </is>
      </c>
      <c r="AO12" t="inlineStr">
        <is>
          <t>FY2023</t>
        </is>
      </c>
      <c r="AP12" t="inlineStr">
        <is>
          <t>FY2024</t>
        </is>
      </c>
      <c r="AQ12" t="inlineStr">
        <is>
          <t>FY2025</t>
        </is>
      </c>
    </row>
    <row r="13">
      <c r="A13" s="5" t="inlineStr">
        <is>
          <t>Total operating income</t>
        </is>
      </c>
      <c r="B13" s="5" t="n">
        <v>157908</v>
      </c>
      <c r="C13" s="5" t="n">
        <v>163719</v>
      </c>
      <c r="D13" s="5" t="n">
        <v>121674</v>
      </c>
      <c r="E13" s="5" t="n">
        <v>117795</v>
      </c>
      <c r="F13" s="5" t="n">
        <v>70777</v>
      </c>
      <c r="G13" s="5" t="n">
        <v>64169</v>
      </c>
      <c r="H13" s="5" t="n">
        <v>123216</v>
      </c>
      <c r="I13" s="5" t="n">
        <v>164994</v>
      </c>
      <c r="J13" s="5" t="n">
        <v>124426</v>
      </c>
      <c r="K13" s="5" t="n">
        <v>77382</v>
      </c>
      <c r="L13" s="5" t="n">
        <v>78147</v>
      </c>
      <c r="M13" s="5" t="n">
        <v>80769</v>
      </c>
      <c r="AE13" t="inlineStr">
        <is>
          <t>Total operating income</t>
        </is>
      </c>
      <c r="AF13" t="n">
        <v>80769</v>
      </c>
      <c r="AG13" t="n">
        <v>78147</v>
      </c>
      <c r="AH13" t="n">
        <v>77382</v>
      </c>
      <c r="AI13" t="n">
        <v>124426</v>
      </c>
      <c r="AJ13" t="n">
        <v>164994</v>
      </c>
      <c r="AK13" t="n">
        <v>123216</v>
      </c>
      <c r="AL13" t="n">
        <v>64169</v>
      </c>
      <c r="AM13" t="n">
        <v>70777</v>
      </c>
      <c r="AN13" t="n">
        <v>117795</v>
      </c>
      <c r="AO13" t="n">
        <v>121674</v>
      </c>
      <c r="AP13" t="n">
        <v>163719</v>
      </c>
      <c r="AQ13" t="n">
        <v>157908</v>
      </c>
    </row>
    <row r="14">
      <c r="A14" s="5" t="inlineStr">
        <is>
          <t>Total operating expenses</t>
        </is>
      </c>
      <c r="B14" s="5" t="n">
        <v>-37805</v>
      </c>
      <c r="C14" s="5" t="n">
        <v>-32222</v>
      </c>
      <c r="D14" s="5" t="n">
        <v>-31480</v>
      </c>
      <c r="E14" s="5" t="n">
        <v>-33106</v>
      </c>
      <c r="F14" s="5" t="n">
        <v>-33053</v>
      </c>
      <c r="G14" s="5" t="n">
        <v>-35789</v>
      </c>
      <c r="H14" s="5" t="n">
        <v>-50247</v>
      </c>
      <c r="I14" s="5" t="n">
        <v>-48562</v>
      </c>
      <c r="J14" s="5" t="n">
        <v>-44874</v>
      </c>
      <c r="K14" s="5" t="n">
        <v>-44836</v>
      </c>
      <c r="L14" s="5" t="n">
        <v>-54145</v>
      </c>
      <c r="M14" s="5" t="n">
        <v>-66634</v>
      </c>
      <c r="AE14" t="inlineStr">
        <is>
          <t>Total operating expenses</t>
        </is>
      </c>
      <c r="AF14" t="n">
        <v>-66634</v>
      </c>
      <c r="AG14" t="n">
        <v>-54145</v>
      </c>
      <c r="AH14" t="n">
        <v>-44836</v>
      </c>
      <c r="AI14" t="n">
        <v>-44874</v>
      </c>
      <c r="AJ14" t="n">
        <v>-48562</v>
      </c>
      <c r="AK14" t="n">
        <v>-50247</v>
      </c>
      <c r="AL14" t="n">
        <v>-35789</v>
      </c>
      <c r="AM14" t="n">
        <v>-33053</v>
      </c>
      <c r="AN14" t="n">
        <v>-33106</v>
      </c>
      <c r="AO14" t="n">
        <v>-31480</v>
      </c>
      <c r="AP14" t="n">
        <v>-32222</v>
      </c>
      <c r="AQ14" t="n">
        <v>-37805</v>
      </c>
    </row>
    <row r="15">
      <c r="A15" s="5" t="inlineStr">
        <is>
          <t>Profit for the year</t>
        </is>
      </c>
      <c r="B15" s="5" t="n">
        <v>90082</v>
      </c>
      <c r="C15" s="5" t="n">
        <v>98827</v>
      </c>
      <c r="D15" s="5" t="n">
        <v>62794</v>
      </c>
      <c r="E15" s="5" t="n">
        <v>72745</v>
      </c>
      <c r="F15" s="5" t="n">
        <v>43010</v>
      </c>
      <c r="G15" s="5" t="n">
        <v>4758</v>
      </c>
      <c r="H15" s="5" t="n">
        <v>59336</v>
      </c>
      <c r="I15" s="5" t="n">
        <v>105541</v>
      </c>
      <c r="J15" s="5" t="n">
        <v>76963</v>
      </c>
      <c r="K15" s="5" t="n">
        <v>25279</v>
      </c>
      <c r="L15" s="5" t="n">
        <v>16660</v>
      </c>
      <c r="M15" s="5" t="n">
        <v>-6235</v>
      </c>
      <c r="AE15" t="inlineStr">
        <is>
          <t>Profit for the year</t>
        </is>
      </c>
      <c r="AF15" t="n">
        <v>-6235</v>
      </c>
      <c r="AG15" t="n">
        <v>16660</v>
      </c>
      <c r="AH15" t="n">
        <v>25279</v>
      </c>
      <c r="AI15" t="n">
        <v>76963</v>
      </c>
      <c r="AJ15" t="n">
        <v>105541</v>
      </c>
      <c r="AK15" t="n">
        <v>59336</v>
      </c>
      <c r="AL15" t="n">
        <v>4758</v>
      </c>
      <c r="AM15" t="n">
        <v>43010</v>
      </c>
      <c r="AN15" t="n">
        <v>72745</v>
      </c>
      <c r="AO15" t="n">
        <v>62794</v>
      </c>
      <c r="AP15" t="n">
        <v>98827</v>
      </c>
      <c r="AQ15" t="n">
        <v>90082</v>
      </c>
    </row>
    <row r="17">
      <c r="A17" s="3" t="inlineStr">
        <is>
          <t>Statement of Changes in Equity Summary (USD'000)</t>
        </is>
      </c>
    </row>
    <row r="18">
      <c r="A18" s="4" t="inlineStr">
        <is>
          <t>Line item</t>
        </is>
      </c>
      <c r="B18" s="4" t="inlineStr">
        <is>
          <t>FY2025</t>
        </is>
      </c>
      <c r="C18" s="4" t="inlineStr">
        <is>
          <t>FY2024</t>
        </is>
      </c>
      <c r="D18" s="4" t="inlineStr">
        <is>
          <t>FY2023</t>
        </is>
      </c>
      <c r="E18" s="4" t="inlineStr">
        <is>
          <t>FY2022</t>
        </is>
      </c>
      <c r="F18" s="4" t="inlineStr">
        <is>
          <t>FY2021</t>
        </is>
      </c>
      <c r="G18" s="4" t="inlineStr">
        <is>
          <t>FY2020</t>
        </is>
      </c>
      <c r="H18" s="4" t="inlineStr">
        <is>
          <t>FY2019</t>
        </is>
      </c>
      <c r="I18" s="4" t="inlineStr">
        <is>
          <t>FY2018</t>
        </is>
      </c>
      <c r="J18" s="4" t="inlineStr">
        <is>
          <t>FY2017</t>
        </is>
      </c>
      <c r="K18" s="4" t="inlineStr">
        <is>
          <t>FY2016</t>
        </is>
      </c>
      <c r="L18" s="4" t="inlineStr">
        <is>
          <t>FY2015</t>
        </is>
      </c>
      <c r="M18" s="4" t="inlineStr">
        <is>
          <t>FY2014</t>
        </is>
      </c>
      <c r="AU18" t="inlineStr">
        <is>
          <t>FY2014</t>
        </is>
      </c>
      <c r="AV18" t="inlineStr">
        <is>
          <t>FY2015</t>
        </is>
      </c>
      <c r="AW18" t="inlineStr">
        <is>
          <t>FY2016</t>
        </is>
      </c>
      <c r="AX18" t="inlineStr">
        <is>
          <t>FY2017</t>
        </is>
      </c>
      <c r="AY18" t="inlineStr">
        <is>
          <t>FY2018</t>
        </is>
      </c>
      <c r="AZ18" t="inlineStr">
        <is>
          <t>FY2019</t>
        </is>
      </c>
      <c r="BA18" t="inlineStr">
        <is>
          <t>FY2020</t>
        </is>
      </c>
      <c r="BB18" t="inlineStr">
        <is>
          <t>FY2021</t>
        </is>
      </c>
      <c r="BC18" t="inlineStr">
        <is>
          <t>FY2022</t>
        </is>
      </c>
      <c r="BD18" t="inlineStr">
        <is>
          <t>FY2023</t>
        </is>
      </c>
      <c r="BE18" t="inlineStr">
        <is>
          <t>FY2024</t>
        </is>
      </c>
      <c r="BF18" t="inlineStr">
        <is>
          <t>FY2025</t>
        </is>
      </c>
    </row>
    <row r="19">
      <c r="A19" s="5" t="inlineStr">
        <is>
          <t>Opening equity</t>
        </is>
      </c>
      <c r="B19" s="5" t="n">
        <v>2062914</v>
      </c>
      <c r="C19" s="5" t="n">
        <v>1963716</v>
      </c>
      <c r="D19" s="5" t="n">
        <v>1398537</v>
      </c>
      <c r="E19" s="5" t="n">
        <v>1329874</v>
      </c>
      <c r="F19" s="5" t="n">
        <v>1303897</v>
      </c>
      <c r="G19" s="5" t="n">
        <v>1298794</v>
      </c>
      <c r="H19" s="5" t="n">
        <v>1229438</v>
      </c>
      <c r="I19" s="5" t="n">
        <v>1122851</v>
      </c>
      <c r="J19" s="5" t="n">
        <v>1046209</v>
      </c>
      <c r="K19" s="5" t="n">
        <v>1023741</v>
      </c>
      <c r="L19" s="5" t="n">
        <v>1009878</v>
      </c>
      <c r="M19" s="5" t="n">
        <v>1012621</v>
      </c>
      <c r="AT19" t="inlineStr">
        <is>
          <t>Opening equity</t>
        </is>
      </c>
      <c r="AU19" t="n">
        <v>1012621</v>
      </c>
      <c r="AV19" t="n">
        <v>1009878</v>
      </c>
      <c r="AW19" t="n">
        <v>1023741</v>
      </c>
      <c r="AX19" t="n">
        <v>1046209</v>
      </c>
      <c r="AY19" t="n">
        <v>1122851</v>
      </c>
      <c r="AZ19" t="n">
        <v>1229438</v>
      </c>
      <c r="BA19" t="n">
        <v>1298794</v>
      </c>
      <c r="BB19" t="n">
        <v>1303897</v>
      </c>
      <c r="BC19" t="n">
        <v>1329874</v>
      </c>
      <c r="BD19" t="n">
        <v>1398537</v>
      </c>
      <c r="BE19" t="n">
        <v>1963716</v>
      </c>
      <c r="BF19" t="n">
        <v>2062914</v>
      </c>
    </row>
    <row r="20">
      <c r="A20" s="5" t="inlineStr">
        <is>
          <t>Total comprehensive income for the year</t>
        </is>
      </c>
      <c r="B20" s="5" t="n">
        <v>91560</v>
      </c>
      <c r="C20" s="5" t="n">
        <v>99198</v>
      </c>
      <c r="D20" s="5" t="n">
        <v>65179</v>
      </c>
      <c r="E20" s="5" t="n">
        <v>68663</v>
      </c>
      <c r="F20" s="5" t="n">
        <v>43063</v>
      </c>
      <c r="G20" s="5" t="n">
        <v>5103</v>
      </c>
      <c r="H20" s="5" t="n">
        <v>62264</v>
      </c>
      <c r="I20" s="5" t="n">
        <v>106491</v>
      </c>
      <c r="J20" s="5" t="n">
        <v>76642</v>
      </c>
      <c r="K20" s="5" t="n">
        <v>22468</v>
      </c>
      <c r="L20" s="5" t="n">
        <v>13863</v>
      </c>
      <c r="M20" s="5" t="n">
        <v>-2743</v>
      </c>
      <c r="AT20" t="inlineStr">
        <is>
          <t>Total comprehensive income for the year</t>
        </is>
      </c>
      <c r="AU20" t="n">
        <v>-2743</v>
      </c>
      <c r="AV20" t="n">
        <v>13863</v>
      </c>
      <c r="AW20" t="n">
        <v>22468</v>
      </c>
      <c r="AX20" t="n">
        <v>76642</v>
      </c>
      <c r="AY20" t="n">
        <v>106491</v>
      </c>
      <c r="AZ20" t="n">
        <v>62264</v>
      </c>
      <c r="BA20" t="n">
        <v>5103</v>
      </c>
      <c r="BB20" t="n">
        <v>43063</v>
      </c>
      <c r="BC20" t="n">
        <v>68663</v>
      </c>
      <c r="BD20" t="n">
        <v>65179</v>
      </c>
      <c r="BE20" t="n">
        <v>99198</v>
      </c>
      <c r="BF20" t="n">
        <v>91560</v>
      </c>
    </row>
    <row r="21">
      <c r="A21" s="5" t="inlineStr">
        <is>
          <t>Other equity movements, net</t>
        </is>
      </c>
      <c r="B21" s="5" t="n">
        <v>0</v>
      </c>
      <c r="C21" s="5" t="n">
        <v>0</v>
      </c>
      <c r="D21" s="5" t="n">
        <v>500000</v>
      </c>
      <c r="E21" s="5" t="n">
        <v>0</v>
      </c>
      <c r="F21" s="5" t="n">
        <v>-17086</v>
      </c>
      <c r="G21" s="5" t="n">
        <v>0</v>
      </c>
      <c r="H21" s="5" t="n">
        <v>7092</v>
      </c>
      <c r="I21" s="5" t="n">
        <v>96</v>
      </c>
      <c r="J21" s="5" t="n">
        <v>0</v>
      </c>
      <c r="K21" s="5" t="n">
        <v>0</v>
      </c>
      <c r="L21" s="5" t="n">
        <v>0</v>
      </c>
      <c r="M21" s="5" t="n">
        <v>0</v>
      </c>
      <c r="AT21" t="inlineStr">
        <is>
          <t>Other equity movements, net</t>
        </is>
      </c>
      <c r="AU21" t="n">
        <v>0</v>
      </c>
      <c r="AV21" t="n">
        <v>0</v>
      </c>
      <c r="AW21" t="n">
        <v>0</v>
      </c>
      <c r="AX21" t="n">
        <v>0</v>
      </c>
      <c r="AY21" t="n">
        <v>96</v>
      </c>
      <c r="AZ21" t="n">
        <v>7092</v>
      </c>
      <c r="BA21" t="n">
        <v>0</v>
      </c>
      <c r="BB21" t="n">
        <v>-17086</v>
      </c>
      <c r="BC21" t="n">
        <v>0</v>
      </c>
      <c r="BD21" t="n">
        <v>500000</v>
      </c>
      <c r="BE21" t="n">
        <v>0</v>
      </c>
      <c r="BF21" t="n">
        <v>0</v>
      </c>
    </row>
    <row r="22">
      <c r="A22" s="5" t="inlineStr">
        <is>
          <t>Closing equity</t>
        </is>
      </c>
      <c r="B22" s="5" t="n">
        <v>2154474</v>
      </c>
      <c r="C22" s="5" t="n">
        <v>2062914</v>
      </c>
      <c r="D22" s="5" t="n">
        <v>1963716</v>
      </c>
      <c r="E22" s="5" t="n">
        <v>1398537</v>
      </c>
      <c r="F22" s="5" t="n">
        <v>1329874</v>
      </c>
      <c r="G22" s="5" t="n">
        <v>1303897</v>
      </c>
      <c r="H22" s="5" t="n">
        <v>1298794</v>
      </c>
      <c r="I22" s="5" t="n">
        <v>1229438</v>
      </c>
      <c r="J22" s="5" t="n">
        <v>1122851</v>
      </c>
      <c r="K22" s="5" t="n">
        <v>1046209</v>
      </c>
      <c r="L22" s="5" t="n">
        <v>1023741</v>
      </c>
      <c r="M22" s="5" t="n">
        <v>1009878</v>
      </c>
      <c r="AT22" t="inlineStr">
        <is>
          <t>Closing equity</t>
        </is>
      </c>
      <c r="AU22" t="n">
        <v>1009878</v>
      </c>
      <c r="AV22" t="n">
        <v>1023741</v>
      </c>
      <c r="AW22" t="n">
        <v>1046209</v>
      </c>
      <c r="AX22" t="n">
        <v>1122851</v>
      </c>
      <c r="AY22" t="n">
        <v>1229438</v>
      </c>
      <c r="AZ22" t="n">
        <v>1298794</v>
      </c>
      <c r="BA22" t="n">
        <v>1303897</v>
      </c>
      <c r="BB22" t="n">
        <v>1329874</v>
      </c>
      <c r="BC22" t="n">
        <v>1398537</v>
      </c>
      <c r="BD22" t="n">
        <v>1963716</v>
      </c>
      <c r="BE22" t="n">
        <v>2062914</v>
      </c>
      <c r="BF22" t="n">
        <v>2154474</v>
      </c>
    </row>
    <row r="24">
      <c r="A24" s="3" t="inlineStr">
        <is>
          <t>Cash Flow Summary (USD'000)</t>
        </is>
      </c>
    </row>
    <row r="25">
      <c r="A25" s="4" t="inlineStr">
        <is>
          <t>Line item</t>
        </is>
      </c>
      <c r="B25" s="4" t="inlineStr">
        <is>
          <t>FY2025</t>
        </is>
      </c>
      <c r="C25" s="4" t="inlineStr">
        <is>
          <t>FY2024</t>
        </is>
      </c>
      <c r="D25" s="4" t="inlineStr">
        <is>
          <t>FY2023</t>
        </is>
      </c>
      <c r="E25" s="4" t="inlineStr">
        <is>
          <t>FY2022</t>
        </is>
      </c>
      <c r="F25" s="4" t="inlineStr">
        <is>
          <t>FY2021</t>
        </is>
      </c>
      <c r="G25" s="4" t="inlineStr">
        <is>
          <t>FY2020</t>
        </is>
      </c>
      <c r="H25" s="4" t="inlineStr">
        <is>
          <t>FY2019</t>
        </is>
      </c>
      <c r="I25" s="4" t="inlineStr">
        <is>
          <t>FY2018</t>
        </is>
      </c>
      <c r="J25" s="4" t="inlineStr">
        <is>
          <t>FY2017</t>
        </is>
      </c>
      <c r="K25" s="4" t="inlineStr">
        <is>
          <t>FY2016</t>
        </is>
      </c>
      <c r="L25" s="4" t="inlineStr">
        <is>
          <t>FY2015</t>
        </is>
      </c>
      <c r="M25" s="4" t="inlineStr">
        <is>
          <t>FY2014</t>
        </is>
      </c>
      <c r="BJ25" t="inlineStr">
        <is>
          <t>FY2014</t>
        </is>
      </c>
      <c r="BK25" t="inlineStr">
        <is>
          <t>FY2015</t>
        </is>
      </c>
      <c r="BL25" t="inlineStr">
        <is>
          <t>FY2016</t>
        </is>
      </c>
      <c r="BM25" t="inlineStr">
        <is>
          <t>FY2017</t>
        </is>
      </c>
      <c r="BN25" t="inlineStr">
        <is>
          <t>FY2018</t>
        </is>
      </c>
      <c r="BO25" t="inlineStr">
        <is>
          <t>FY2019</t>
        </is>
      </c>
      <c r="BP25" t="inlineStr">
        <is>
          <t>FY2020</t>
        </is>
      </c>
      <c r="BQ25" t="inlineStr">
        <is>
          <t>FY2021</t>
        </is>
      </c>
      <c r="BR25" t="inlineStr">
        <is>
          <t>FY2022</t>
        </is>
      </c>
      <c r="BS25" t="inlineStr">
        <is>
          <t>FY2023</t>
        </is>
      </c>
      <c r="BT25" t="inlineStr">
        <is>
          <t>FY2024</t>
        </is>
      </c>
      <c r="BU25" t="inlineStr">
        <is>
          <t>FY2025</t>
        </is>
      </c>
    </row>
    <row r="26">
      <c r="A26" s="5" t="inlineStr">
        <is>
          <t>Net cash flow from operating activities</t>
        </is>
      </c>
      <c r="B26" s="5" t="n">
        <v>-823201</v>
      </c>
      <c r="C26" s="5" t="n">
        <v>202045</v>
      </c>
      <c r="D26" s="5" t="n">
        <v>896845</v>
      </c>
      <c r="E26" s="5" t="n">
        <v>977211</v>
      </c>
      <c r="F26" s="5" t="n">
        <v>183186</v>
      </c>
      <c r="G26" s="5" t="n">
        <v>185310</v>
      </c>
      <c r="H26" s="5" t="n">
        <v>-265920</v>
      </c>
      <c r="I26" s="5" t="n">
        <v>161184</v>
      </c>
      <c r="J26" s="5" t="n">
        <v>109779</v>
      </c>
      <c r="K26" s="5" t="n">
        <v>-20832</v>
      </c>
      <c r="L26" s="5" t="n">
        <v>-69031</v>
      </c>
      <c r="M26" s="5" t="n">
        <v>154213</v>
      </c>
      <c r="BI26" t="inlineStr">
        <is>
          <t>Net cash flow from operating activities</t>
        </is>
      </c>
      <c r="BJ26" t="n">
        <v>154213</v>
      </c>
      <c r="BK26" t="n">
        <v>-69031</v>
      </c>
      <c r="BL26" t="n">
        <v>-20832</v>
      </c>
      <c r="BM26" t="n">
        <v>109779</v>
      </c>
      <c r="BN26" t="n">
        <v>161184</v>
      </c>
      <c r="BO26" t="n">
        <v>-265920</v>
      </c>
      <c r="BP26" t="n">
        <v>185310</v>
      </c>
      <c r="BQ26" t="n">
        <v>183186</v>
      </c>
      <c r="BR26" t="n">
        <v>977211</v>
      </c>
      <c r="BS26" t="n">
        <v>896845</v>
      </c>
      <c r="BT26" t="n">
        <v>202045</v>
      </c>
      <c r="BU26" t="n">
        <v>-823201</v>
      </c>
    </row>
    <row r="27">
      <c r="A27" s="5" t="inlineStr">
        <is>
          <t>Net cash flow from investing activities</t>
        </is>
      </c>
      <c r="B27" s="5" t="n">
        <v>89783</v>
      </c>
      <c r="C27" s="5" t="n">
        <v>150189</v>
      </c>
      <c r="D27" s="5" t="n">
        <v>-918582</v>
      </c>
      <c r="E27" s="5" t="n">
        <v>-1169363</v>
      </c>
      <c r="F27" s="5" t="n">
        <v>-40817</v>
      </c>
      <c r="G27" s="5" t="n">
        <v>-51831</v>
      </c>
      <c r="H27" s="5" t="n">
        <v>-2032</v>
      </c>
      <c r="I27" s="5" t="n">
        <v>62821</v>
      </c>
      <c r="J27" s="5" t="n">
        <v>49617</v>
      </c>
      <c r="K27" s="5" t="n">
        <v>-28814</v>
      </c>
      <c r="L27" s="5" t="n">
        <v>-1307</v>
      </c>
      <c r="M27" s="5" t="n">
        <v>-66637</v>
      </c>
      <c r="BI27" t="inlineStr">
        <is>
          <t>Net cash flow from investing activities</t>
        </is>
      </c>
      <c r="BJ27" t="n">
        <v>-66637</v>
      </c>
      <c r="BK27" t="n">
        <v>-1307</v>
      </c>
      <c r="BL27" t="n">
        <v>-28814</v>
      </c>
      <c r="BM27" t="n">
        <v>49617</v>
      </c>
      <c r="BN27" t="n">
        <v>62821</v>
      </c>
      <c r="BO27" t="n">
        <v>-2032</v>
      </c>
      <c r="BP27" t="n">
        <v>-51831</v>
      </c>
      <c r="BQ27" t="n">
        <v>-40817</v>
      </c>
      <c r="BR27" t="n">
        <v>-1169363</v>
      </c>
      <c r="BS27" t="n">
        <v>-918582</v>
      </c>
      <c r="BT27" t="n">
        <v>150189</v>
      </c>
      <c r="BU27" t="n">
        <v>89783</v>
      </c>
    </row>
    <row r="28">
      <c r="A28" s="5" t="inlineStr">
        <is>
          <t>Net cash flow from financing activities</t>
        </is>
      </c>
      <c r="B28" s="5" t="n">
        <v>-862</v>
      </c>
      <c r="C28" s="5" t="n">
        <v>-838</v>
      </c>
      <c r="D28" s="5" t="n">
        <v>501619</v>
      </c>
      <c r="E28" s="5" t="n">
        <v>-926</v>
      </c>
      <c r="F28" s="5" t="n">
        <v>948</v>
      </c>
      <c r="G28" s="5" t="n">
        <v>-2238</v>
      </c>
      <c r="H28" s="5" t="n">
        <v>9582</v>
      </c>
      <c r="I28" s="5" t="inlineStr">
        <is>
          <t>-</t>
        </is>
      </c>
      <c r="J28" s="5" t="n">
        <v>-30128</v>
      </c>
      <c r="K28" s="5" t="n">
        <v>57</v>
      </c>
      <c r="L28" s="5" t="n">
        <v>16</v>
      </c>
      <c r="M28" s="5" t="n">
        <v>-221</v>
      </c>
      <c r="BI28" t="inlineStr">
        <is>
          <t>Net cash flow from financing activities</t>
        </is>
      </c>
      <c r="BJ28" t="n">
        <v>-221</v>
      </c>
      <c r="BK28" t="n">
        <v>16</v>
      </c>
      <c r="BL28" t="n">
        <v>57</v>
      </c>
      <c r="BM28" t="n">
        <v>-30128</v>
      </c>
      <c r="BN28" t="inlineStr">
        <is>
          <t>-</t>
        </is>
      </c>
      <c r="BO28" t="n">
        <v>9582</v>
      </c>
      <c r="BP28" t="n">
        <v>-2238</v>
      </c>
      <c r="BQ28" t="n">
        <v>948</v>
      </c>
      <c r="BR28" t="n">
        <v>-926</v>
      </c>
      <c r="BS28" t="n">
        <v>501619</v>
      </c>
      <c r="BT28" t="n">
        <v>-838</v>
      </c>
      <c r="BU28" t="n">
        <v>-862</v>
      </c>
    </row>
    <row r="29">
      <c r="A29" s="5" t="inlineStr">
        <is>
          <t>Cash and cash equivalents at end of year</t>
        </is>
      </c>
      <c r="B29" s="5" t="n">
        <v>460587</v>
      </c>
      <c r="C29" s="5" t="n">
        <v>1149307</v>
      </c>
      <c r="D29" s="5" t="n">
        <v>797911</v>
      </c>
      <c r="E29" s="5" t="n">
        <v>318029</v>
      </c>
      <c r="F29" s="5" t="n">
        <v>511107</v>
      </c>
      <c r="G29" s="5" t="n">
        <v>367790</v>
      </c>
      <c r="H29" s="5" t="n">
        <v>236549</v>
      </c>
      <c r="I29" s="5" t="n">
        <v>494919</v>
      </c>
      <c r="J29" s="5" t="n">
        <v>270914</v>
      </c>
      <c r="K29" s="5" t="n">
        <v>141646</v>
      </c>
      <c r="L29" s="5" t="n">
        <v>134322</v>
      </c>
      <c r="M29" s="5" t="n">
        <v>205351</v>
      </c>
      <c r="BI29" t="inlineStr">
        <is>
          <t>Cash and cash equivalents at end of year</t>
        </is>
      </c>
      <c r="BJ29" t="n">
        <v>205351</v>
      </c>
      <c r="BK29" t="n">
        <v>134322</v>
      </c>
      <c r="BL29" t="n">
        <v>141646</v>
      </c>
      <c r="BM29" t="n">
        <v>270914</v>
      </c>
      <c r="BN29" t="n">
        <v>494919</v>
      </c>
      <c r="BO29" t="n">
        <v>236549</v>
      </c>
      <c r="BP29" t="n">
        <v>367790</v>
      </c>
      <c r="BQ29" t="n">
        <v>511107</v>
      </c>
      <c r="BR29" t="n">
        <v>318029</v>
      </c>
      <c r="BS29" t="n">
        <v>797911</v>
      </c>
      <c r="BT29" t="n">
        <v>1149307</v>
      </c>
      <c r="BU29" t="n">
        <v>460587</v>
      </c>
    </row>
    <row r="31">
      <c r="A31" s="3" t="inlineStr">
        <is>
          <t>Pillar 3 Key Metrics</t>
        </is>
      </c>
    </row>
    <row r="32">
      <c r="A32" s="4" t="inlineStr">
        <is>
          <t>Line item</t>
        </is>
      </c>
      <c r="B32" s="4" t="inlineStr">
        <is>
          <t>FY2025</t>
        </is>
      </c>
      <c r="C32" s="4" t="inlineStr">
        <is>
          <t>FY2024</t>
        </is>
      </c>
      <c r="D32" s="4" t="inlineStr">
        <is>
          <t>FY2023</t>
        </is>
      </c>
      <c r="E32" s="4" t="inlineStr">
        <is>
          <t>FY2022</t>
        </is>
      </c>
      <c r="F32" s="4" t="inlineStr">
        <is>
          <t>FY2021</t>
        </is>
      </c>
      <c r="G32" s="4" t="inlineStr">
        <is>
          <t>FY2020</t>
        </is>
      </c>
      <c r="H32" s="4" t="inlineStr">
        <is>
          <t>FY2019</t>
        </is>
      </c>
      <c r="I32" s="4" t="inlineStr">
        <is>
          <t>FY2018</t>
        </is>
      </c>
      <c r="J32" s="4" t="inlineStr">
        <is>
          <t>FY2017</t>
        </is>
      </c>
      <c r="K32" s="4" t="inlineStr">
        <is>
          <t>FY2016</t>
        </is>
      </c>
      <c r="L32" s="4" t="inlineStr">
        <is>
          <t>FY2015</t>
        </is>
      </c>
      <c r="M32" s="4" t="inlineStr">
        <is>
          <t>FY2014</t>
        </is>
      </c>
    </row>
    <row r="33">
      <c r="A33" s="6" t="inlineStr">
        <is>
          <t>CET1 Ratio</t>
        </is>
      </c>
      <c r="B33" s="6" t="inlineStr">
        <is>
          <t>29.0%</t>
        </is>
      </c>
      <c r="C33" s="6" t="inlineStr">
        <is>
          <t>23.9%</t>
        </is>
      </c>
      <c r="D33" s="6" t="inlineStr">
        <is>
          <t>27.0%</t>
        </is>
      </c>
      <c r="E33" s="6" t="inlineStr">
        <is>
          <t>19.6%</t>
        </is>
      </c>
      <c r="F33" s="6" t="inlineStr">
        <is>
          <t>22.6%</t>
        </is>
      </c>
      <c r="G33" s="6" t="inlineStr">
        <is>
          <t>23.9%</t>
        </is>
      </c>
      <c r="H33" s="6" t="inlineStr">
        <is>
          <t>19.9%</t>
        </is>
      </c>
      <c r="I33" s="6" t="inlineStr">
        <is>
          <t>19.2%</t>
        </is>
      </c>
      <c r="J33" s="6" t="inlineStr">
        <is>
          <t>19.4%</t>
        </is>
      </c>
      <c r="K33" s="6" t="inlineStr">
        <is>
          <t>18.0%</t>
        </is>
      </c>
      <c r="L33" s="6" t="inlineStr">
        <is>
          <t>17.9%</t>
        </is>
      </c>
      <c r="M33" s="6" t="inlineStr">
        <is>
          <t>17.8%</t>
        </is>
      </c>
    </row>
    <row r="34">
      <c r="A34" s="6" t="inlineStr">
        <is>
          <t>Total Capital Ratio</t>
        </is>
      </c>
      <c r="B34" s="6" t="inlineStr">
        <is>
          <t>29.0%</t>
        </is>
      </c>
      <c r="C34" s="6" t="inlineStr">
        <is>
          <t>23.9%</t>
        </is>
      </c>
      <c r="D34" s="6" t="inlineStr">
        <is>
          <t>27.1%</t>
        </is>
      </c>
      <c r="E34" s="6" t="inlineStr">
        <is>
          <t>19.6%</t>
        </is>
      </c>
      <c r="F34" s="6" t="inlineStr">
        <is>
          <t>22.6%</t>
        </is>
      </c>
      <c r="G34" s="6" t="inlineStr">
        <is>
          <t>23.9%</t>
        </is>
      </c>
      <c r="H34" s="6" t="inlineStr">
        <is>
          <t>19.9%</t>
        </is>
      </c>
      <c r="I34" s="6" t="inlineStr">
        <is>
          <t>19.2%</t>
        </is>
      </c>
      <c r="J34" s="6" t="inlineStr">
        <is>
          <t>19.5%</t>
        </is>
      </c>
      <c r="K34" s="6" t="inlineStr">
        <is>
          <t>18.2%</t>
        </is>
      </c>
      <c r="L34" s="6" t="inlineStr">
        <is>
          <t>18.1%</t>
        </is>
      </c>
      <c r="M34" s="6" t="inlineStr">
        <is>
          <t>18.1%</t>
        </is>
      </c>
    </row>
    <row r="35">
      <c r="A35" s="6" t="inlineStr">
        <is>
          <t>Leverage Ratio</t>
        </is>
      </c>
      <c r="B35" s="6" t="inlineStr">
        <is>
          <t>19.1%</t>
        </is>
      </c>
      <c r="C35" s="6" t="inlineStr">
        <is>
          <t>16.4%</t>
        </is>
      </c>
      <c r="D35" s="6" t="inlineStr">
        <is>
          <t>16.7%</t>
        </is>
      </c>
      <c r="E35" s="6" t="inlineStr">
        <is>
          <t>11.9%</t>
        </is>
      </c>
      <c r="F35" s="6" t="inlineStr">
        <is>
          <t>14.6%</t>
        </is>
      </c>
      <c r="G35" s="6" t="inlineStr">
        <is>
          <t>14.4%</t>
        </is>
      </c>
      <c r="H35" s="6" t="inlineStr">
        <is>
          <t>13.5%</t>
        </is>
      </c>
      <c r="I35" s="6" t="inlineStr">
        <is>
          <t>11.9%</t>
        </is>
      </c>
      <c r="J35" s="6" t="inlineStr">
        <is>
          <t>12.4%</t>
        </is>
      </c>
      <c r="K35" s="6" t="inlineStr">
        <is>
          <t>11.3%</t>
        </is>
      </c>
      <c r="L35" s="6" t="inlineStr">
        <is>
          <t>10.3%</t>
        </is>
      </c>
      <c r="M35" s="6" t="inlineStr">
        <is>
          <t>10.5%</t>
        </is>
      </c>
    </row>
    <row r="37" ht="52" customHeight="1">
      <c r="A37" s="7" t="inlineStr">
        <is>
          <t>Note: Figures are duplicated from the detail sheets for at-a-glance trend viewing; see each sheet's own source citation for the underlying document/page. Cash flow figures are Bank/solo basis; capital ratios are Group/consolidated basis (the only basis the Annual Report discloses for capital). Tier 1 Ratio, LCR and NSFR are omitted from this chart — each is only available for a subset of years. UPDATED 2026-09-18 (GA-018): the subset is no longer the one this note used to state. The LCR now runs FY2025-FY2015 and the NSFR FY2025-FY2024 plus FY2023-FY2022, because each year's own Annual Report was found to disclose both ratios after all; but the two metrics still cross a basis break mid-series (Annual Report point-in-time vs Pillar 3 trailing average — see those sheets' notes), which is now the reason they stay off a single trend chart. Tier 1 Ratio remains FY2025-FY2021 only, via the standalone Pillar 3 Disclosures documents, not the full 5-year span this chart otherwise shows; see each metric's own sheet for the figures and detail.</t>
        </is>
      </c>
    </row>
  </sheetData>
  <mergeCells count="1">
    <mergeCell ref="A37:M37"/>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N4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Itau BBA International plc — Balance Sheet (Bank, solo)</t>
        </is>
      </c>
    </row>
    <row r="2">
      <c r="A2" s="2" t="inlineStr">
        <is>
          <t>Itau BBA International plc (Bank/solo basis, not Group), USD'000 unless stated</t>
        </is>
      </c>
    </row>
    <row r="3">
      <c r="A3" s="4" t="inlineStr">
        <is>
          <t>Line item</t>
        </is>
      </c>
      <c r="B3" s="4" t="inlineStr">
        <is>
          <t>FY2025 (USD'000)</t>
        </is>
      </c>
      <c r="C3" s="4" t="inlineStr">
        <is>
          <t>FY2024 (USD'000)</t>
        </is>
      </c>
      <c r="D3" s="4" t="inlineStr">
        <is>
          <t>FY2023 (USD'000)</t>
        </is>
      </c>
      <c r="E3" s="4" t="inlineStr">
        <is>
          <t>FY2022 (USD'000)</t>
        </is>
      </c>
      <c r="F3" s="4" t="inlineStr">
        <is>
          <t>FY2021 (USD'000)</t>
        </is>
      </c>
      <c r="G3" s="4" t="inlineStr">
        <is>
          <t>FY2020 (USD'000)</t>
        </is>
      </c>
      <c r="H3" s="4" t="inlineStr">
        <is>
          <t>FY2019 (USD'000)</t>
        </is>
      </c>
      <c r="I3" s="4" t="inlineStr">
        <is>
          <t>FY2018 (USD'000)</t>
        </is>
      </c>
      <c r="J3" s="4" t="inlineStr">
        <is>
          <t>FY2017 (USD'000)</t>
        </is>
      </c>
      <c r="K3" s="4" t="inlineStr">
        <is>
          <t>FY2016 (USD'000)</t>
        </is>
      </c>
      <c r="L3" s="4" t="inlineStr">
        <is>
          <t>FY2015 (USD'000)</t>
        </is>
      </c>
      <c r="M3" s="4" t="inlineStr">
        <is>
          <t>FY2014 (USD'000)</t>
        </is>
      </c>
      <c r="N3" s="4" t="inlineStr">
        <is>
          <t>FY2013 (USD'000)</t>
        </is>
      </c>
    </row>
    <row r="4">
      <c r="A4" s="5" t="inlineStr">
        <is>
          <t>Assets</t>
        </is>
      </c>
      <c r="B4" s="6" t="n"/>
      <c r="C4" s="6" t="n"/>
      <c r="D4" s="6" t="n"/>
      <c r="E4" s="6" t="n"/>
      <c r="F4" s="6" t="n"/>
      <c r="G4" s="6" t="n"/>
      <c r="H4" s="6" t="n"/>
      <c r="I4" s="6" t="n"/>
      <c r="J4" s="6" t="n"/>
      <c r="K4" s="6" t="n"/>
      <c r="L4" s="6" t="n"/>
      <c r="M4" s="6" t="n"/>
      <c r="N4" s="6" t="n"/>
    </row>
    <row r="5">
      <c r="A5" s="6" t="inlineStr">
        <is>
          <t>Cash and balances at central banks</t>
        </is>
      </c>
      <c r="B5" s="6" t="n">
        <v>17</v>
      </c>
      <c r="C5" s="6" t="n">
        <v>16</v>
      </c>
      <c r="D5" s="6" t="n">
        <v>16</v>
      </c>
      <c r="E5" s="6" t="n">
        <v>15</v>
      </c>
      <c r="F5" s="6" t="n">
        <v>16</v>
      </c>
      <c r="G5" s="6" t="n">
        <v>15</v>
      </c>
      <c r="H5" s="6" t="n">
        <v>401875</v>
      </c>
      <c r="I5" s="6" t="n">
        <v>809786</v>
      </c>
      <c r="J5" s="6" t="n">
        <v>574246</v>
      </c>
      <c r="K5" s="6" t="n">
        <v>16750</v>
      </c>
      <c r="L5" s="6" t="n">
        <v>817</v>
      </c>
      <c r="M5" s="6" t="n">
        <v>1307</v>
      </c>
      <c r="N5" s="6" t="n">
        <v>1380</v>
      </c>
    </row>
    <row r="6">
      <c r="A6" s="6" t="inlineStr">
        <is>
          <t>Trading assets</t>
        </is>
      </c>
      <c r="B6" s="6" t="n">
        <v>10362</v>
      </c>
      <c r="C6" s="6" t="n">
        <v>6920</v>
      </c>
      <c r="D6" s="6" t="n">
        <v>11783</v>
      </c>
      <c r="E6" s="6" t="n">
        <v>12227</v>
      </c>
      <c r="F6" s="6" t="n">
        <v>20508</v>
      </c>
      <c r="G6" s="6" t="n">
        <v>27431</v>
      </c>
      <c r="H6" s="6" t="n">
        <v>49862</v>
      </c>
      <c r="I6" s="6" t="n">
        <v>49523</v>
      </c>
      <c r="J6" s="6" t="n">
        <v>140450</v>
      </c>
      <c r="K6" s="6" t="n">
        <v>163278</v>
      </c>
      <c r="L6" s="6" t="n">
        <v>105991</v>
      </c>
      <c r="M6" s="6" t="n">
        <v>195901</v>
      </c>
      <c r="N6" s="6" t="n">
        <v>158774</v>
      </c>
    </row>
    <row r="7">
      <c r="A7" s="6" t="inlineStr">
        <is>
          <t>Financial assets designated at fair value through profit or loss</t>
        </is>
      </c>
      <c r="B7" s="6" t="n"/>
      <c r="C7" s="6" t="n">
        <v>44509</v>
      </c>
      <c r="D7" s="6" t="n">
        <v>49259</v>
      </c>
      <c r="E7" s="6" t="n">
        <v>438169</v>
      </c>
      <c r="F7" s="6" t="n">
        <v>1022915</v>
      </c>
      <c r="G7" s="6" t="n">
        <v>1237426</v>
      </c>
      <c r="H7" s="6" t="n">
        <v>308020</v>
      </c>
      <c r="I7" s="6" t="n">
        <v>395983</v>
      </c>
      <c r="J7" s="6" t="n">
        <v>687126</v>
      </c>
      <c r="K7" s="6" t="n">
        <v>444390</v>
      </c>
      <c r="L7" s="6" t="n">
        <v>204368</v>
      </c>
      <c r="M7" s="6" t="n">
        <v>275784</v>
      </c>
      <c r="N7" s="6" t="n">
        <v>158276</v>
      </c>
    </row>
    <row r="8">
      <c r="A8" s="6" t="inlineStr">
        <is>
          <t>Financial assets measured at fair value through OCI</t>
        </is>
      </c>
      <c r="B8" s="6" t="n">
        <v>1735647</v>
      </c>
      <c r="C8" s="6" t="n">
        <v>1824171</v>
      </c>
      <c r="D8" s="6" t="n">
        <v>2029771</v>
      </c>
      <c r="E8" s="6" t="n">
        <v>1175521</v>
      </c>
      <c r="F8" s="6" t="n"/>
      <c r="G8" s="6" t="n">
        <v>0</v>
      </c>
      <c r="H8" s="6" t="n">
        <v>276047</v>
      </c>
      <c r="I8" s="6" t="n"/>
      <c r="J8" s="6" t="n"/>
      <c r="K8" s="6" t="n"/>
      <c r="L8" s="6" t="n"/>
      <c r="M8" s="6" t="n"/>
      <c r="N8" s="6" t="n"/>
    </row>
    <row r="9">
      <c r="A9" s="6" t="inlineStr">
        <is>
          <t>Financial assets available for sale</t>
        </is>
      </c>
      <c r="B9" s="6" t="n"/>
      <c r="C9" s="6" t="n"/>
      <c r="D9" s="6" t="n"/>
      <c r="E9" s="6" t="n"/>
      <c r="F9" s="6" t="n"/>
      <c r="G9" s="6" t="n"/>
      <c r="H9" s="6" t="n"/>
      <c r="I9" s="6" t="n">
        <v>0</v>
      </c>
      <c r="J9" s="6" t="n">
        <v>301336</v>
      </c>
      <c r="K9" s="6" t="n">
        <v>302717</v>
      </c>
      <c r="L9" s="6" t="n">
        <v>342258</v>
      </c>
      <c r="M9" s="6" t="n">
        <v>337948</v>
      </c>
      <c r="N9" s="6" t="n"/>
    </row>
    <row r="10">
      <c r="A10" s="6" t="inlineStr">
        <is>
          <t>Derivative financial instruments</t>
        </is>
      </c>
      <c r="B10" s="6" t="n">
        <v>402429</v>
      </c>
      <c r="C10" s="6" t="n">
        <v>489006</v>
      </c>
      <c r="D10" s="6" t="n">
        <v>264447</v>
      </c>
      <c r="E10" s="6" t="n">
        <v>414210</v>
      </c>
      <c r="F10" s="6" t="n">
        <v>402295</v>
      </c>
      <c r="G10" s="6" t="n">
        <v>335193</v>
      </c>
      <c r="H10" s="6" t="n">
        <v>216982</v>
      </c>
      <c r="I10" s="6" t="n">
        <v>244608</v>
      </c>
      <c r="J10" s="6" t="n">
        <v>315430</v>
      </c>
      <c r="K10" s="6" t="n">
        <v>231558</v>
      </c>
      <c r="L10" s="6" t="n">
        <v>542604</v>
      </c>
      <c r="M10" s="6" t="n">
        <v>452290</v>
      </c>
      <c r="N10" s="6" t="n">
        <v>251894</v>
      </c>
    </row>
    <row r="11">
      <c r="A11" s="6" t="inlineStr">
        <is>
          <t>Loans and advances to banks</t>
        </is>
      </c>
      <c r="B11" s="6" t="n">
        <v>890765</v>
      </c>
      <c r="C11" s="6" t="n">
        <v>1714874</v>
      </c>
      <c r="D11" s="6" t="n">
        <v>1122546</v>
      </c>
      <c r="E11" s="6" t="n">
        <v>665708</v>
      </c>
      <c r="F11" s="6" t="n">
        <v>658659</v>
      </c>
      <c r="G11" s="6" t="n">
        <v>553156</v>
      </c>
      <c r="H11" s="6" t="n">
        <v>513070</v>
      </c>
      <c r="I11" s="6" t="n">
        <v>696054</v>
      </c>
      <c r="J11" s="6" t="n">
        <v>349304</v>
      </c>
      <c r="K11" s="6" t="n">
        <v>573263</v>
      </c>
      <c r="L11" s="6" t="n">
        <v>927460</v>
      </c>
      <c r="M11" s="6" t="n">
        <v>489512</v>
      </c>
      <c r="N11" s="6" t="n">
        <v>1069983</v>
      </c>
    </row>
    <row r="12">
      <c r="A12" s="6" t="inlineStr">
        <is>
          <t>Loans and advances to customers</t>
        </is>
      </c>
      <c r="B12" s="6" t="n">
        <v>4044575</v>
      </c>
      <c r="C12" s="6" t="n">
        <v>4104314</v>
      </c>
      <c r="D12" s="6" t="n">
        <v>3868767</v>
      </c>
      <c r="E12" s="6" t="n">
        <v>3604470</v>
      </c>
      <c r="F12" s="6" t="n">
        <v>3221895</v>
      </c>
      <c r="G12" s="6" t="n">
        <v>3181399</v>
      </c>
      <c r="H12" s="6" t="n">
        <v>3864886</v>
      </c>
      <c r="I12" s="6" t="n">
        <v>3779281</v>
      </c>
      <c r="J12" s="6" t="n">
        <v>3056151</v>
      </c>
      <c r="K12" s="6" t="n">
        <v>2782210</v>
      </c>
      <c r="L12" s="6" t="n">
        <v>3179457</v>
      </c>
      <c r="M12" s="6" t="n">
        <v>2855295</v>
      </c>
      <c r="N12" s="6" t="n">
        <v>2334930</v>
      </c>
    </row>
    <row r="13">
      <c r="A13" s="6" t="inlineStr">
        <is>
          <t>Debt securities at amortised cost</t>
        </is>
      </c>
      <c r="B13" s="6" t="n"/>
      <c r="C13" s="6" t="n"/>
      <c r="D13" s="6" t="n">
        <v>2192</v>
      </c>
      <c r="E13" s="6" t="n"/>
      <c r="F13" s="6" t="n">
        <v>2192</v>
      </c>
      <c r="G13" s="6" t="n"/>
      <c r="H13" s="6" t="n"/>
      <c r="I13" s="6" t="n"/>
      <c r="J13" s="6" t="n"/>
      <c r="K13" s="6" t="n"/>
      <c r="L13" s="6" t="n"/>
      <c r="M13" s="6" t="n"/>
      <c r="N13" s="6" t="n"/>
    </row>
    <row r="14">
      <c r="A14" s="6" t="inlineStr">
        <is>
          <t>Property, plant and equipment</t>
        </is>
      </c>
      <c r="B14" s="6" t="n">
        <v>390</v>
      </c>
      <c r="C14" s="6" t="n">
        <v>1188</v>
      </c>
      <c r="D14" s="6" t="n">
        <v>2007</v>
      </c>
      <c r="E14" s="6" t="n">
        <v>570</v>
      </c>
      <c r="F14" s="6" t="n">
        <v>1672</v>
      </c>
      <c r="G14" s="6" t="n">
        <v>625</v>
      </c>
      <c r="H14" s="6" t="n">
        <v>4221</v>
      </c>
      <c r="I14" s="6" t="n">
        <v>4811</v>
      </c>
      <c r="J14" s="6" t="n">
        <v>4748</v>
      </c>
      <c r="K14" s="6" t="n">
        <v>7384</v>
      </c>
      <c r="L14" s="6" t="n">
        <v>9048</v>
      </c>
      <c r="M14" s="6" t="n">
        <v>9906</v>
      </c>
      <c r="N14" s="6" t="n">
        <v>10115</v>
      </c>
    </row>
    <row r="15">
      <c r="A15" s="6" t="inlineStr">
        <is>
          <t>Goodwill and intangible assets</t>
        </is>
      </c>
      <c r="B15" s="6" t="n">
        <v>7</v>
      </c>
      <c r="C15" s="6" t="n">
        <v>37</v>
      </c>
      <c r="D15" s="6" t="n">
        <v>7</v>
      </c>
      <c r="E15" s="6" t="n">
        <v>291</v>
      </c>
      <c r="F15" s="6" t="n">
        <v>183</v>
      </c>
      <c r="G15" s="6" t="n">
        <v>291</v>
      </c>
      <c r="H15" s="6" t="n">
        <v>297</v>
      </c>
      <c r="I15" s="6" t="n">
        <v>204</v>
      </c>
      <c r="J15" s="6" t="n">
        <v>261</v>
      </c>
      <c r="K15" s="6" t="n">
        <v>348</v>
      </c>
      <c r="L15" s="6" t="n">
        <v>658</v>
      </c>
      <c r="M15" s="6" t="n">
        <v>860</v>
      </c>
      <c r="N15" s="6" t="n">
        <v>642</v>
      </c>
    </row>
    <row r="16">
      <c r="A16" s="6" t="inlineStr">
        <is>
          <t>Investments in subsidiaries</t>
        </is>
      </c>
      <c r="B16" s="6" t="n">
        <v>803125</v>
      </c>
      <c r="C16" s="6" t="n">
        <v>743998</v>
      </c>
      <c r="D16" s="6" t="n">
        <v>719482</v>
      </c>
      <c r="E16" s="6" t="n">
        <v>629248</v>
      </c>
      <c r="F16" s="6" t="n">
        <v>627841</v>
      </c>
      <c r="G16" s="6" t="n">
        <v>585738</v>
      </c>
      <c r="H16" s="6" t="n">
        <v>531772</v>
      </c>
      <c r="I16" s="6" t="n">
        <v>512112</v>
      </c>
      <c r="J16" s="6" t="n">
        <v>512112</v>
      </c>
      <c r="K16" s="6" t="n">
        <v>512112</v>
      </c>
      <c r="L16" s="6" t="n">
        <v>538943</v>
      </c>
      <c r="M16" s="6" t="n">
        <v>541625</v>
      </c>
      <c r="N16" s="6" t="n">
        <v>473653</v>
      </c>
    </row>
    <row r="17">
      <c r="A17" s="6" t="inlineStr">
        <is>
          <t>Current tax assets</t>
        </is>
      </c>
      <c r="B17" s="6" t="n">
        <v>0</v>
      </c>
      <c r="C17" s="6" t="n">
        <v>1107</v>
      </c>
      <c r="D17" s="6" t="n">
        <v>1148</v>
      </c>
      <c r="E17" s="6" t="n">
        <v>55</v>
      </c>
      <c r="F17" s="6" t="n">
        <v>1143</v>
      </c>
      <c r="G17" s="6" t="n">
        <v>1836</v>
      </c>
      <c r="H17" s="6" t="n">
        <v>27</v>
      </c>
      <c r="I17" s="6" t="n">
        <v>0</v>
      </c>
      <c r="J17" s="6" t="n">
        <v>0</v>
      </c>
      <c r="K17" s="6" t="n">
        <v>333</v>
      </c>
      <c r="L17" s="6" t="n">
        <v>356</v>
      </c>
      <c r="M17" s="6" t="n">
        <v>921</v>
      </c>
      <c r="N17" s="6" t="n">
        <v>3449</v>
      </c>
    </row>
    <row r="18">
      <c r="A18" s="6" t="inlineStr">
        <is>
          <t>Deferred tax assets</t>
        </is>
      </c>
      <c r="B18" s="6" t="n">
        <v>2970</v>
      </c>
      <c r="C18" s="6" t="n">
        <v>2528</v>
      </c>
      <c r="D18" s="6" t="n">
        <v>2675</v>
      </c>
      <c r="E18" s="6" t="n">
        <v>2637</v>
      </c>
      <c r="F18" s="6" t="n">
        <v>1070</v>
      </c>
      <c r="G18" s="6" t="n">
        <v>1496</v>
      </c>
      <c r="H18" s="6" t="n">
        <v>1606</v>
      </c>
      <c r="I18" s="6" t="n">
        <v>1834</v>
      </c>
      <c r="J18" s="6" t="n">
        <v>2389</v>
      </c>
      <c r="K18" s="6" t="n">
        <v>2549</v>
      </c>
      <c r="L18" s="6" t="n">
        <v>2882</v>
      </c>
      <c r="M18" s="6" t="n">
        <v>4977</v>
      </c>
      <c r="N18" s="6" t="n">
        <v>2958</v>
      </c>
    </row>
    <row r="19">
      <c r="A19" s="6" t="inlineStr">
        <is>
          <t>Other assets</t>
        </is>
      </c>
      <c r="B19" s="6" t="n">
        <v>5947</v>
      </c>
      <c r="C19" s="6" t="n">
        <v>4515</v>
      </c>
      <c r="D19" s="6" t="n">
        <v>13667</v>
      </c>
      <c r="E19" s="6" t="n">
        <v>38860</v>
      </c>
      <c r="F19" s="6" t="n">
        <v>3125</v>
      </c>
      <c r="G19" s="6" t="n">
        <v>6472</v>
      </c>
      <c r="H19" s="6" t="n">
        <v>8554</v>
      </c>
      <c r="I19" s="6" t="n">
        <v>9439</v>
      </c>
      <c r="J19" s="6" t="n">
        <v>9794</v>
      </c>
      <c r="K19" s="6" t="n">
        <v>6114</v>
      </c>
      <c r="L19" s="6" t="n">
        <v>13756</v>
      </c>
      <c r="M19" s="6" t="n">
        <v>11094</v>
      </c>
      <c r="N19" s="6" t="n">
        <v>28878</v>
      </c>
    </row>
    <row r="20">
      <c r="A20" s="5" t="inlineStr">
        <is>
          <t>Total Assets</t>
        </is>
      </c>
      <c r="B20" s="5" t="n">
        <v>7896227</v>
      </c>
      <c r="C20" s="5" t="n">
        <v>8937146</v>
      </c>
      <c r="D20" s="5" t="n">
        <v>8085575</v>
      </c>
      <c r="E20" s="5" t="n">
        <v>6981727</v>
      </c>
      <c r="F20" s="5" t="n">
        <v>5963514</v>
      </c>
      <c r="G20" s="5" t="n">
        <v>5931078</v>
      </c>
      <c r="H20" s="5" t="n">
        <v>6177219</v>
      </c>
      <c r="I20" s="5" t="n">
        <v>6859779</v>
      </c>
      <c r="J20" s="5" t="n">
        <v>5953347</v>
      </c>
      <c r="K20" s="5" t="n">
        <v>5043006</v>
      </c>
      <c r="L20" s="5" t="n">
        <v>5868598</v>
      </c>
      <c r="M20" s="5" t="n">
        <v>5177420</v>
      </c>
      <c r="N20" s="5" t="n">
        <v>4804226</v>
      </c>
    </row>
    <row r="21">
      <c r="A21" s="5" t="inlineStr">
        <is>
          <t>Liabilities</t>
        </is>
      </c>
      <c r="B21" s="6" t="n"/>
      <c r="C21" s="6" t="n"/>
      <c r="D21" s="6" t="n"/>
      <c r="E21" s="6" t="n"/>
      <c r="F21" s="6" t="n"/>
      <c r="G21" s="6" t="n"/>
      <c r="H21" s="6" t="n"/>
      <c r="I21" s="6" t="n"/>
      <c r="J21" s="6" t="n"/>
      <c r="K21" s="6" t="n"/>
      <c r="L21" s="6" t="n"/>
      <c r="M21" s="6" t="n"/>
      <c r="N21" s="6" t="n"/>
    </row>
    <row r="22">
      <c r="A22" s="6" t="inlineStr">
        <is>
          <t>Trading liabilities</t>
        </is>
      </c>
      <c r="B22" s="6" t="n">
        <v>10306</v>
      </c>
      <c r="C22" s="6" t="n">
        <v>6911</v>
      </c>
      <c r="D22" s="6" t="n">
        <v>11786</v>
      </c>
      <c r="E22" s="6" t="n">
        <v>9587</v>
      </c>
      <c r="F22" s="6" t="n">
        <v>18584</v>
      </c>
      <c r="G22" s="6" t="n">
        <v>24694</v>
      </c>
      <c r="H22" s="6" t="n">
        <v>48864</v>
      </c>
      <c r="I22" s="6" t="n">
        <v>49476</v>
      </c>
      <c r="J22" s="6" t="n">
        <v>140419</v>
      </c>
      <c r="K22" s="6" t="n">
        <v>159266</v>
      </c>
      <c r="L22" s="6" t="n">
        <v>105497</v>
      </c>
      <c r="M22" s="6" t="n">
        <v>195787</v>
      </c>
      <c r="N22" s="6" t="n">
        <v>158541</v>
      </c>
    </row>
    <row r="23">
      <c r="A23" s="6" t="inlineStr">
        <is>
          <t>Financial liabilities designated at fair value through profit or loss</t>
        </is>
      </c>
      <c r="B23" s="6" t="n"/>
      <c r="C23" s="6" t="n">
        <v>44456</v>
      </c>
      <c r="D23" s="6" t="n">
        <v>49259</v>
      </c>
      <c r="E23" s="6" t="n"/>
      <c r="F23" s="6" t="n">
        <v>410</v>
      </c>
      <c r="G23" s="6" t="n">
        <v>1807</v>
      </c>
      <c r="H23" s="6" t="n">
        <v>5402</v>
      </c>
      <c r="I23" s="6" t="n">
        <v>12119</v>
      </c>
      <c r="J23" s="6" t="n">
        <v>17205</v>
      </c>
      <c r="K23" s="6" t="n"/>
      <c r="L23" s="6" t="n"/>
      <c r="M23" s="6" t="n"/>
      <c r="N23" s="6" t="n"/>
    </row>
    <row r="24">
      <c r="A24" s="6" t="inlineStr">
        <is>
          <t>Derivative financial instruments</t>
        </is>
      </c>
      <c r="B24" s="6" t="n">
        <v>526233</v>
      </c>
      <c r="C24" s="6" t="n">
        <v>462780</v>
      </c>
      <c r="D24" s="6" t="n">
        <v>278452</v>
      </c>
      <c r="E24" s="6" t="n">
        <v>404354</v>
      </c>
      <c r="F24" s="6" t="n">
        <v>405816</v>
      </c>
      <c r="G24" s="6" t="n">
        <v>351394</v>
      </c>
      <c r="H24" s="6" t="n">
        <v>228126</v>
      </c>
      <c r="I24" s="6" t="n">
        <v>245399</v>
      </c>
      <c r="J24" s="6" t="n">
        <v>315578</v>
      </c>
      <c r="K24" s="6" t="n">
        <v>241506</v>
      </c>
      <c r="L24" s="6" t="n">
        <v>544015</v>
      </c>
      <c r="M24" s="6" t="n">
        <v>442663</v>
      </c>
      <c r="N24" s="6" t="n">
        <v>287438</v>
      </c>
    </row>
    <row r="25">
      <c r="A25" s="6" t="inlineStr">
        <is>
          <t>Deposits from banks</t>
        </is>
      </c>
      <c r="B25" s="6" t="n">
        <v>1053183</v>
      </c>
      <c r="C25" s="6" t="n">
        <v>925795</v>
      </c>
      <c r="D25" s="6" t="n">
        <v>1358652</v>
      </c>
      <c r="E25" s="6" t="n">
        <v>837569</v>
      </c>
      <c r="F25" s="6" t="n">
        <v>851201</v>
      </c>
      <c r="G25" s="6" t="n">
        <v>1396331</v>
      </c>
      <c r="H25" s="6" t="n">
        <v>1431447</v>
      </c>
      <c r="I25" s="6" t="n">
        <v>2076646</v>
      </c>
      <c r="J25" s="6" t="n">
        <v>1490689</v>
      </c>
      <c r="K25" s="6" t="n">
        <v>804465</v>
      </c>
      <c r="L25" s="6" t="n">
        <v>1454042</v>
      </c>
      <c r="M25" s="6" t="n">
        <v>882495</v>
      </c>
      <c r="N25" s="6" t="n">
        <v>1110038</v>
      </c>
    </row>
    <row r="26">
      <c r="A26" s="6" t="inlineStr">
        <is>
          <t>Customer accounts</t>
        </is>
      </c>
      <c r="B26" s="6" t="n">
        <v>1740013</v>
      </c>
      <c r="C26" s="6" t="n">
        <v>2745061</v>
      </c>
      <c r="D26" s="6" t="n">
        <v>1709639</v>
      </c>
      <c r="E26" s="6" t="n">
        <v>1914084</v>
      </c>
      <c r="F26" s="6" t="n">
        <v>1751887</v>
      </c>
      <c r="G26" s="6" t="n">
        <v>1242218</v>
      </c>
      <c r="H26" s="6" t="n">
        <v>1304375</v>
      </c>
      <c r="I26" s="6" t="n">
        <v>1194983</v>
      </c>
      <c r="J26" s="6" t="n">
        <v>752508</v>
      </c>
      <c r="K26" s="6" t="n">
        <v>453090</v>
      </c>
      <c r="L26" s="6" t="n">
        <v>176000</v>
      </c>
      <c r="M26" s="6" t="n">
        <v>204392</v>
      </c>
      <c r="N26" s="6" t="n">
        <v>217286</v>
      </c>
    </row>
    <row r="27">
      <c r="A27" s="6" t="inlineStr">
        <is>
          <t>Debt securities in issue</t>
        </is>
      </c>
      <c r="B27" s="6" t="n">
        <v>2364797</v>
      </c>
      <c r="C27" s="6" t="n">
        <v>2613477</v>
      </c>
      <c r="D27" s="6" t="n">
        <v>2688433</v>
      </c>
      <c r="E27" s="6" t="n">
        <v>2373670</v>
      </c>
      <c r="F27" s="6" t="n">
        <v>1571907</v>
      </c>
      <c r="G27" s="6" t="n">
        <v>1580814</v>
      </c>
      <c r="H27" s="6" t="n">
        <v>1814008</v>
      </c>
      <c r="I27" s="6" t="n">
        <v>2014685</v>
      </c>
      <c r="J27" s="6" t="n">
        <v>2083476</v>
      </c>
      <c r="K27" s="6" t="n">
        <v>2266682</v>
      </c>
      <c r="L27" s="6" t="n">
        <v>2502404</v>
      </c>
      <c r="M27" s="6" t="n">
        <v>2259901</v>
      </c>
      <c r="N27" s="6" t="n">
        <v>1904488</v>
      </c>
    </row>
    <row r="28">
      <c r="A28" s="6" t="inlineStr">
        <is>
          <t>Provisions</t>
        </is>
      </c>
      <c r="B28" s="6" t="n">
        <v>236</v>
      </c>
      <c r="C28" s="6" t="n">
        <v>258</v>
      </c>
      <c r="D28" s="6" t="n">
        <v>319</v>
      </c>
      <c r="E28" s="6" t="n">
        <v>525</v>
      </c>
      <c r="F28" s="6" t="n">
        <v>428</v>
      </c>
      <c r="G28" s="6" t="n">
        <v>2937</v>
      </c>
      <c r="H28" s="6" t="n">
        <v>1181</v>
      </c>
      <c r="I28" s="6" t="n">
        <v>587</v>
      </c>
      <c r="J28" s="6" t="n">
        <v>1596</v>
      </c>
      <c r="K28" s="6" t="n">
        <v>1330</v>
      </c>
      <c r="L28" s="6" t="n">
        <v>183</v>
      </c>
      <c r="M28" s="6" t="n">
        <v>308</v>
      </c>
      <c r="N28" s="6" t="n">
        <v>163</v>
      </c>
    </row>
    <row r="29">
      <c r="A29" s="6" t="inlineStr">
        <is>
          <t>Current tax liabilities</t>
        </is>
      </c>
      <c r="B29" s="6" t="n">
        <v>285</v>
      </c>
      <c r="C29" s="6" t="n">
        <v>1186</v>
      </c>
      <c r="D29" s="6" t="n">
        <v>0</v>
      </c>
      <c r="E29" s="6" t="n">
        <v>15</v>
      </c>
      <c r="F29" s="6" t="n">
        <v>580</v>
      </c>
      <c r="G29" s="6" t="n">
        <v>43</v>
      </c>
      <c r="H29" s="6" t="n">
        <v>6745</v>
      </c>
      <c r="I29" s="6" t="n">
        <v>6617</v>
      </c>
      <c r="J29" s="6" t="n">
        <v>3576</v>
      </c>
      <c r="K29" s="6" t="n">
        <v>3354</v>
      </c>
      <c r="L29" s="6" t="n">
        <v>883</v>
      </c>
      <c r="M29" s="6" t="n">
        <v>413</v>
      </c>
      <c r="N29" s="6" t="n">
        <v>27</v>
      </c>
    </row>
    <row r="30">
      <c r="A30" s="6" t="inlineStr">
        <is>
          <t>Deferred tax liabilities</t>
        </is>
      </c>
      <c r="B30" s="6" t="n">
        <v>54</v>
      </c>
      <c r="C30" s="6" t="n">
        <v>101</v>
      </c>
      <c r="D30" s="6" t="n">
        <v>315</v>
      </c>
      <c r="E30" s="6" t="n">
        <v>20</v>
      </c>
      <c r="F30" s="6" t="n">
        <v>29</v>
      </c>
      <c r="G30" s="6" t="n">
        <v>16</v>
      </c>
      <c r="H30" s="6" t="n">
        <v>16</v>
      </c>
      <c r="I30" s="6" t="n">
        <v>18</v>
      </c>
      <c r="J30" s="6" t="n">
        <v>0</v>
      </c>
      <c r="K30" s="6" t="n">
        <v>144</v>
      </c>
      <c r="L30" s="6" t="n">
        <v>260</v>
      </c>
      <c r="M30" s="6" t="n">
        <v>240</v>
      </c>
      <c r="N30" s="6" t="n"/>
    </row>
    <row r="31">
      <c r="A31" s="6" t="inlineStr">
        <is>
          <t>Subordinated liabilities</t>
        </is>
      </c>
      <c r="B31" s="6" t="n"/>
      <c r="C31" s="6" t="n"/>
      <c r="D31" s="6" t="n"/>
      <c r="E31" s="6" t="n"/>
      <c r="F31" s="6" t="n"/>
      <c r="G31" s="6" t="n"/>
      <c r="H31" s="6" t="n"/>
      <c r="I31" s="6" t="n"/>
      <c r="J31" s="6" t="n"/>
      <c r="K31" s="6" t="n">
        <v>30128</v>
      </c>
      <c r="L31" s="6" t="n">
        <v>30071</v>
      </c>
      <c r="M31" s="6" t="n">
        <v>30055</v>
      </c>
      <c r="N31" s="6" t="n">
        <v>30059</v>
      </c>
    </row>
    <row r="32">
      <c r="A32" s="6" t="inlineStr">
        <is>
          <t>Other liabilities</t>
        </is>
      </c>
      <c r="B32" s="6" t="n">
        <v>46646</v>
      </c>
      <c r="C32" s="6" t="n">
        <v>74207</v>
      </c>
      <c r="D32" s="6" t="n">
        <v>25004</v>
      </c>
      <c r="E32" s="6" t="n">
        <v>43366</v>
      </c>
      <c r="F32" s="6" t="n">
        <v>32798</v>
      </c>
      <c r="G32" s="6" t="n">
        <v>26927</v>
      </c>
      <c r="H32" s="6" t="n">
        <v>37261</v>
      </c>
      <c r="I32" s="6" t="n">
        <v>29811</v>
      </c>
      <c r="J32" s="6" t="n">
        <v>25449</v>
      </c>
      <c r="K32" s="6" t="n">
        <v>36832</v>
      </c>
      <c r="L32" s="6" t="n">
        <v>31502</v>
      </c>
      <c r="M32" s="6" t="n">
        <v>151288</v>
      </c>
      <c r="N32" s="6" t="n">
        <v>83565</v>
      </c>
    </row>
    <row r="33">
      <c r="A33" s="5" t="inlineStr">
        <is>
          <t>Total Liabilities</t>
        </is>
      </c>
      <c r="B33" s="5" t="n">
        <v>5741753</v>
      </c>
      <c r="C33" s="5" t="n">
        <v>6874232</v>
      </c>
      <c r="D33" s="5" t="n">
        <v>6121859</v>
      </c>
      <c r="E33" s="5" t="n">
        <v>5583190</v>
      </c>
      <c r="F33" s="5" t="n">
        <v>4633640</v>
      </c>
      <c r="G33" s="5" t="n">
        <v>4627181</v>
      </c>
      <c r="H33" s="5" t="n">
        <v>4878425</v>
      </c>
      <c r="I33" s="5" t="n">
        <v>5630341</v>
      </c>
      <c r="J33" s="5" t="n">
        <v>4830496</v>
      </c>
      <c r="K33" s="5" t="n">
        <v>3996797</v>
      </c>
      <c r="L33" s="5" t="n">
        <v>4844857</v>
      </c>
      <c r="M33" s="5" t="n">
        <v>4167542</v>
      </c>
      <c r="N33" s="5" t="n">
        <v>3791605</v>
      </c>
    </row>
    <row r="34">
      <c r="A34" s="5" t="inlineStr">
        <is>
          <t>Equity</t>
        </is>
      </c>
      <c r="B34" s="6" t="n"/>
      <c r="C34" s="6" t="n"/>
      <c r="D34" s="6" t="n"/>
      <c r="E34" s="6" t="n"/>
      <c r="F34" s="6" t="n"/>
      <c r="G34" s="6" t="n"/>
      <c r="H34" s="6" t="n"/>
      <c r="I34" s="6" t="n"/>
      <c r="J34" s="6" t="n"/>
      <c r="K34" s="6" t="n"/>
      <c r="L34" s="6" t="n"/>
      <c r="M34" s="6" t="n"/>
      <c r="N34" s="6" t="n"/>
    </row>
    <row r="35">
      <c r="A35" s="6" t="inlineStr">
        <is>
          <t>Called-up share capital</t>
        </is>
      </c>
      <c r="B35" s="6" t="n">
        <v>1221034</v>
      </c>
      <c r="C35" s="6" t="n">
        <v>1221034</v>
      </c>
      <c r="D35" s="6" t="n">
        <v>1221034</v>
      </c>
      <c r="E35" s="6" t="n">
        <v>935000</v>
      </c>
      <c r="F35" s="6" t="n">
        <v>600000</v>
      </c>
      <c r="G35" s="6" t="n">
        <v>600000</v>
      </c>
      <c r="H35" s="6" t="n">
        <v>600000</v>
      </c>
      <c r="I35" s="6" t="n">
        <v>600000</v>
      </c>
      <c r="J35" s="6" t="n">
        <v>600000</v>
      </c>
      <c r="K35" s="6" t="n">
        <v>600000</v>
      </c>
      <c r="L35" s="6" t="n">
        <v>600000</v>
      </c>
      <c r="M35" s="6" t="n">
        <v>600000</v>
      </c>
      <c r="N35" s="6" t="n">
        <v>600000</v>
      </c>
    </row>
    <row r="36">
      <c r="A36" s="6" t="inlineStr">
        <is>
          <t>Share premium</t>
        </is>
      </c>
      <c r="B36" s="6" t="n">
        <v>213966</v>
      </c>
      <c r="C36" s="6" t="n">
        <v>213966</v>
      </c>
      <c r="D36" s="6" t="n">
        <v>213966</v>
      </c>
      <c r="E36" s="6" t="n">
        <v>0</v>
      </c>
      <c r="F36" s="6" t="n">
        <v>0</v>
      </c>
      <c r="G36" s="6" t="n"/>
      <c r="H36" s="6" t="n"/>
      <c r="I36" s="6" t="n"/>
      <c r="J36" s="6" t="n"/>
      <c r="K36" s="6" t="n"/>
      <c r="L36" s="6" t="n"/>
      <c r="M36" s="6" t="n"/>
      <c r="N36" s="6" t="n"/>
    </row>
    <row r="37">
      <c r="A37" s="6" t="inlineStr">
        <is>
          <t>Revaluation reserves</t>
        </is>
      </c>
      <c r="B37" s="6" t="n">
        <v>205</v>
      </c>
      <c r="C37" s="6" t="n">
        <v>-1273</v>
      </c>
      <c r="D37" s="6" t="n">
        <v>-1644</v>
      </c>
      <c r="E37" s="6" t="n">
        <v>-4029</v>
      </c>
      <c r="F37" s="6" t="n">
        <v>53</v>
      </c>
      <c r="G37" s="6" t="n">
        <v>0</v>
      </c>
      <c r="H37" s="6" t="n">
        <v>-345</v>
      </c>
      <c r="I37" s="6" t="n">
        <v>-3273</v>
      </c>
      <c r="J37" s="6" t="n">
        <v>-4223</v>
      </c>
      <c r="K37" s="6" t="n">
        <v>-3902</v>
      </c>
      <c r="L37" s="6" t="n">
        <v>-1091</v>
      </c>
      <c r="M37" s="6" t="n">
        <v>1706</v>
      </c>
      <c r="N37" s="6" t="n">
        <v>-1786</v>
      </c>
    </row>
    <row r="38">
      <c r="A38" s="6" t="inlineStr">
        <is>
          <t>Other reserves</t>
        </is>
      </c>
      <c r="B38" s="6" t="n"/>
      <c r="C38" s="6" t="n"/>
      <c r="D38" s="6" t="n"/>
      <c r="E38" s="6" t="n">
        <v>0</v>
      </c>
      <c r="F38" s="6" t="n">
        <v>332948</v>
      </c>
      <c r="G38" s="6" t="n">
        <v>332948</v>
      </c>
      <c r="H38" s="6" t="n">
        <v>332948</v>
      </c>
      <c r="I38" s="6" t="n">
        <v>324856</v>
      </c>
      <c r="J38" s="6" t="n">
        <v>324856</v>
      </c>
      <c r="K38" s="6" t="n">
        <v>324856</v>
      </c>
      <c r="L38" s="6" t="n">
        <v>324856</v>
      </c>
      <c r="M38" s="6" t="n">
        <v>324856</v>
      </c>
      <c r="N38" s="6" t="n">
        <v>324856</v>
      </c>
    </row>
    <row r="39">
      <c r="A39" s="6" t="inlineStr">
        <is>
          <t>Retained earnings (including profit for the year)</t>
        </is>
      </c>
      <c r="B39" s="6" t="n">
        <v>719269</v>
      </c>
      <c r="C39" s="6" t="n">
        <v>629187</v>
      </c>
      <c r="D39" s="6" t="n">
        <v>530360</v>
      </c>
      <c r="E39" s="6" t="n">
        <v>467566</v>
      </c>
      <c r="F39" s="6" t="n">
        <v>396873</v>
      </c>
      <c r="G39" s="6" t="n">
        <v>370949</v>
      </c>
      <c r="H39" s="6" t="n">
        <v>366191</v>
      </c>
      <c r="I39" s="6" t="n">
        <v>307855</v>
      </c>
      <c r="J39" s="6" t="n">
        <v>202218</v>
      </c>
      <c r="K39" s="6" t="n">
        <v>125255</v>
      </c>
      <c r="L39" s="6" t="n">
        <v>99976</v>
      </c>
      <c r="M39" s="6" t="n">
        <v>83316</v>
      </c>
      <c r="N39" s="6" t="n">
        <v>89551</v>
      </c>
    </row>
    <row r="40">
      <c r="A40" s="5" t="inlineStr">
        <is>
          <t>Total Equity</t>
        </is>
      </c>
      <c r="B40" s="5" t="n">
        <v>2154474</v>
      </c>
      <c r="C40" s="5" t="n">
        <v>2062914</v>
      </c>
      <c r="D40" s="5" t="n">
        <v>1963716</v>
      </c>
      <c r="E40" s="5" t="n">
        <v>1398537</v>
      </c>
      <c r="F40" s="5" t="n">
        <v>1329874</v>
      </c>
      <c r="G40" s="5" t="n">
        <v>1303897</v>
      </c>
      <c r="H40" s="5" t="n">
        <v>1298794</v>
      </c>
      <c r="I40" s="5" t="n">
        <v>1229438</v>
      </c>
      <c r="J40" s="5" t="n">
        <v>1122851</v>
      </c>
      <c r="K40" s="5" t="n">
        <v>1046209</v>
      </c>
      <c r="L40" s="5" t="n">
        <v>1023741</v>
      </c>
      <c r="M40" s="5" t="n">
        <v>1009878</v>
      </c>
      <c r="N40" s="5" t="n">
        <v>1012621</v>
      </c>
    </row>
    <row r="41">
      <c r="A41" s="5" t="inlineStr">
        <is>
          <t>Total Liabilities and Equity</t>
        </is>
      </c>
      <c r="B41" s="5" t="n">
        <v>7896227</v>
      </c>
      <c r="C41" s="5" t="n">
        <v>8937146</v>
      </c>
      <c r="D41" s="5" t="n">
        <v>8085575</v>
      </c>
      <c r="E41" s="5" t="n">
        <v>6981727</v>
      </c>
      <c r="F41" s="5" t="n">
        <v>5963514</v>
      </c>
      <c r="G41" s="5" t="n">
        <v>5931078</v>
      </c>
      <c r="H41" s="5" t="n">
        <v>6177219</v>
      </c>
      <c r="I41" s="5" t="n">
        <v>6859779</v>
      </c>
      <c r="J41" s="5" t="n">
        <v>5953347</v>
      </c>
      <c r="K41" s="5" t="n">
        <v>5043006</v>
      </c>
      <c r="L41" s="5" t="n">
        <v>5868598</v>
      </c>
      <c r="M41" s="5" t="n">
        <v>5177420</v>
      </c>
      <c r="N41" s="5" t="n">
        <v>4804226</v>
      </c>
    </row>
    <row r="43" ht="390" customHeight="1">
      <c r="A43" s="8" t="inlineStr">
        <is>
          <t>Source — Itau BBA International plc Bank (solo, not Group) financial statements, 2025 Annual Report, p.61 — https://find-and-update.company-information.service.gov.uk/company/07425398/filing-history/MzUyNjQ0MDA3MmFkaXF6a2N4/document?format=pdf&amp;download=0
All 3 statement sheets (Balance Sheet, Profit &amp; Loss, Statement of Changes in Equity) use the Bank/solo column (not Group/consolidated), matching the entity basis already used for this workbook's Cash Flow Statement. Asset Quality also uses the Bank column. Pillar 3 metric sheets (CET1/Tier 1/Total Capital, ratios, Total RWAs, Leverage Ratio) remain Group/consolidated basis, matching how the Annual Report's own 'Capital' section is presented (Group level only, all 5 years) - this is a pre-existing, unchanged choice.
Source — Itau BBA International plc Bank (solo, not Group) financial statements, 2023 Annual Report, p.53 — https://find-and-update.company-information.service.gov.uk/company/07425398/filing-history/MzQyMDE3MTk5NWFkaXF6a2N4/document?format=pdf&amp;download=0
All 3 statement sheets (Balance Sheet, Profit &amp; Loss, Statement of Changes in Equity) use the Bank/solo column (not Group/consolidated), matching the entity basis already used for this workbook's Cash Flow Statement. Asset Quality also uses the Bank column. Pillar 3 metric sheets (CET1/Tier 1/Total Capital, ratios, Total RWAs, Leverage Ratio) remain Group/consolidated basis, matching how the Annual Report's own 'Capital' section is presented (Group level only, all 5 years) - this is a pre-existing, unchanged choice. Covers FY2023/FY2022.
Source — Itau BBA International plc Bank (solo, not Group) financial statements, 2021 Annual Report, p.52 — https://find-and-update.company-information.service.gov.uk/company/07425398/filing-history/MzMzODgwNTQxMWFkaXF6a2N4/document?format=pdf&amp;download=0
All 3 statement sheets (Balance Sheet, Profit &amp; Loss, Statement of Changes in Equity) use the Bank/solo column (not Group/consolidated), matching the entity basis already used for this workbook's Cash Flow Statement. Asset Quality also uses the Bank column. Pillar 3 metric sheets (CET1/Tier 1/Total Capital, ratios, Total RWAs, Leverage Ratio) remain Group/consolidated basis, matching how the Annual Report's own 'Capital' section is presented (Group level only, all 5 years) - this is a pre-existing, unchanged choice. Covers FY2021 (FY2020 comparative not used). 'Other reserves' only appears as a distinct line for FY2021 - subsequently merged/relabelled; 'Financial assets designated at fair value through profit or loss' and 'Debt securities at amortised cost' are genuinely nil/blank for FY2025 and FY2022/FY2023/FY2020 respectively per each year's own disclosure, not omissions.
Source — Itau BBA International plc Bank (solo, not Group) financial statements, 2020 Annual Report, p.46 — https://find-and-update.company-information.service.gov.uk/company/07425398/filing-history/MzI5ODk0OTk0OGFkaXF6a2N4/document?format=pdf&amp;download=0
All 3 statement sheets (Balance Sheet, Profit &amp; Loss, Statement of Changes in Equity) use the Bank/solo column (not Group/consolidated), matching the entity basis already used for this workbook's Cash Flow Statement. Asset Quality also uses the Bank column. Pillar 3 metric sheets (CET1/Tier 1/Total Capital, ratios, Total RWAs, Leverage Ratio) remain Group/consolidated basis, matching how the Annual Report's own 'Capital' section is presented (Group level only, all 5 years) - this is a pre-existing, unchanged choice. Covers FY2020/FY2019.
Source — Itau BBA International plc Bank (solo, not Group) financial statements, 2018 Annual Report, p.30 — https://find-and-update.company-information.service.gov.uk/company/07425398/filing-history/MzIzMzkyNDA5MmFkaXF6a2N4/document?format=pdf&amp;download=0
All 3 statement sheets (Balance Sheet, Profit &amp; Loss, Statement of Changes in Equity) use the Bank/solo column (not Group/consolidated), matching the entity basis already used for this workbook's Cash Flow Statement. Asset Quality also uses the Bank column. Pillar 3 metric sheets (CET1/Tier 1/Total Capital, ratios, Total RWAs, Leverage Ratio) remain Group/consolidated basis, matching how the Annual Report's own 'Capital' section is presented (Group level only, all 5 years) - this is a pre-existing, unchanged choice. Covers FY2018/FY2017.
Source — Itau BBA International plc Bank (solo, not Group) financial statements, 2016 Annual Report, p.24 — https://find-and-update.company-information.service.gov.uk/company/07425398/filing-history/MzE3NTM0ODg3NmFkaXF6a2N4/document?format=pdf&amp;download=0
All 3 statement sheets (Balance Sheet, Profit &amp; Loss, Statement of Changes in Equity) use the Bank/solo column (not Group/consolidated), matching the entity basis already used for this workbook's Cash Flow Statement. Asset Quality also uses the Bank column. Pillar 3 metric sheets (CET1/Tier 1/Total Capital, ratios, Total RWAs, Leverage Ratio) remain Group/consolidated basis, matching how the Annual Report's own 'Capital' section is presented (Group level only, all 5 years) - this is a pre-existing, unchanged choice. Covers FY2016/FY2015.
Source — Itau BBA International plc Bank (solo, not Group) financial statements, 2014 Annual Report, p.27 — https://find-and-update.company-information.service.gov.uk/company/07425398/filing-history/MzEyNTM4MDgyMGFkaXF6a2N4/document?format=pdf&amp;download=0
All 3 statement sheets (Balance Sheet, Profit &amp; Loss, Statement of Changes in Equity) use the Bank/solo column (not Group/consolidated), matching the entity basis already used for this workbook's Cash Flow Statement. Asset Quality also uses the Bank column. Pillar 3 metric sheets (CET1/Tier 1/Total Capital, ratios, Total RWAs, Leverage Ratio) remain Group/consolidated basis, matching how the Annual Report's own 'Capital' section is presented (Group level only, all 5 years) - this is a pre-existing, unchanged choice. Covers FY2014 (the Bank-solo standalone report within the combined filing) and, per HD-072 (2026-09-06), its own FY2013 comparative column on the same page. 'Financial assets available for sale' is this era's label for what later becomes 'Financial assets measured at fair value through OCI' post-IFRS 9 (1 Jan 2018) - shown as separate rows since the categories aren't identical, not merged. 'Subordinated liabilities' is present FY2013-2016 and genuinely absent from FY2017 onward (a real repayment/maturity event, not an omission) - confirmed by reading each year's own note in full. 'Financial liabilities designated at fair value through profit or loss' is genuinely absent as a distinct Balance Sheet line in FY2013 (this era's Balance Sheet did not break it out separately) - not an omission. 'Deferred tax liabilities' is genuinely nil/blank for FY2013 per the source's own '-' entry.</t>
        </is>
      </c>
    </row>
  </sheetData>
  <mergeCells count="1">
    <mergeCell ref="A43:N4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Itau BBA International plc — Income Statement (Bank, solo)</t>
        </is>
      </c>
    </row>
    <row r="2">
      <c r="A2" s="2" t="inlineStr">
        <is>
          <t>Itau BBA International plc (Bank/solo basis, not Group), USD'000 unless stated</t>
        </is>
      </c>
    </row>
    <row r="3">
      <c r="A3" s="4" t="inlineStr">
        <is>
          <t>Line item</t>
        </is>
      </c>
      <c r="B3" s="4" t="inlineStr">
        <is>
          <t>FY2025 (USD'000)</t>
        </is>
      </c>
      <c r="C3" s="4" t="inlineStr">
        <is>
          <t>FY2024 (USD'000)</t>
        </is>
      </c>
      <c r="D3" s="4" t="inlineStr">
        <is>
          <t>FY2023 (USD'000)</t>
        </is>
      </c>
      <c r="E3" s="4" t="inlineStr">
        <is>
          <t>FY2022 (USD'000)</t>
        </is>
      </c>
      <c r="F3" s="4" t="inlineStr">
        <is>
          <t>FY2021 (USD'000)</t>
        </is>
      </c>
      <c r="G3" s="4" t="inlineStr">
        <is>
          <t>FY2020 (USD'000)</t>
        </is>
      </c>
      <c r="H3" s="4" t="inlineStr">
        <is>
          <t>FY2019 (USD'000)</t>
        </is>
      </c>
      <c r="I3" s="4" t="inlineStr">
        <is>
          <t>FY2018 (USD'000)</t>
        </is>
      </c>
      <c r="J3" s="4" t="inlineStr">
        <is>
          <t>FY2017 (USD'000)</t>
        </is>
      </c>
      <c r="K3" s="4" t="inlineStr">
        <is>
          <t>FY2016 (USD'000)</t>
        </is>
      </c>
      <c r="L3" s="4" t="inlineStr">
        <is>
          <t>FY2015 (USD'000)</t>
        </is>
      </c>
      <c r="M3" s="4" t="inlineStr">
        <is>
          <t>FY2014 (USD'000)</t>
        </is>
      </c>
      <c r="N3" s="4" t="inlineStr">
        <is>
          <t>FY2013 (USD'000)</t>
        </is>
      </c>
    </row>
    <row r="4">
      <c r="A4" s="5" t="inlineStr">
        <is>
          <t>Income</t>
        </is>
      </c>
      <c r="B4" s="6" t="n"/>
      <c r="C4" s="6" t="n"/>
      <c r="D4" s="6" t="n"/>
      <c r="E4" s="6" t="n"/>
      <c r="F4" s="6" t="n"/>
      <c r="G4" s="6" t="n"/>
      <c r="H4" s="6" t="n"/>
      <c r="I4" s="6" t="n"/>
      <c r="J4" s="6" t="n"/>
      <c r="K4" s="6" t="n"/>
      <c r="L4" s="6" t="n"/>
      <c r="M4" s="6" t="n"/>
      <c r="N4" s="6" t="n"/>
    </row>
    <row r="5">
      <c r="A5" s="6" t="inlineStr">
        <is>
          <t>Interest income</t>
        </is>
      </c>
      <c r="B5" s="6" t="n">
        <v>355575</v>
      </c>
      <c r="C5" s="6" t="n">
        <v>419820</v>
      </c>
      <c r="D5" s="6" t="n">
        <v>365401</v>
      </c>
      <c r="E5" s="6" t="n">
        <v>148478</v>
      </c>
      <c r="F5" s="6" t="n">
        <v>87382</v>
      </c>
      <c r="G5" s="6" t="n">
        <v>123207</v>
      </c>
      <c r="H5" s="6" t="n">
        <v>185078</v>
      </c>
      <c r="I5" s="6" t="n">
        <v>178374</v>
      </c>
      <c r="J5" s="6" t="n">
        <v>137523</v>
      </c>
      <c r="K5" s="6" t="n">
        <v>150124</v>
      </c>
      <c r="L5" s="6" t="n">
        <v>133084</v>
      </c>
      <c r="M5" s="6" t="n">
        <v>100510</v>
      </c>
      <c r="N5" s="6" t="n">
        <v>79959</v>
      </c>
    </row>
    <row r="6">
      <c r="A6" s="6" t="inlineStr">
        <is>
          <t>Interest expense</t>
        </is>
      </c>
      <c r="B6" s="6" t="n">
        <v>-280371</v>
      </c>
      <c r="C6" s="6" t="n">
        <v>-317737</v>
      </c>
      <c r="D6" s="6" t="n">
        <v>-278379</v>
      </c>
      <c r="E6" s="6" t="n">
        <v>-94759</v>
      </c>
      <c r="F6" s="6" t="n">
        <v>-47981</v>
      </c>
      <c r="G6" s="6" t="n">
        <v>-87133</v>
      </c>
      <c r="H6" s="6" t="n">
        <v>-139462</v>
      </c>
      <c r="I6" s="6" t="n">
        <v>-119963</v>
      </c>
      <c r="J6" s="6" t="n">
        <v>-77860</v>
      </c>
      <c r="K6" s="6" t="n">
        <v>-92584</v>
      </c>
      <c r="L6" s="6" t="n">
        <v>-73742</v>
      </c>
      <c r="M6" s="6" t="n">
        <v>-58667</v>
      </c>
      <c r="N6" s="6" t="n">
        <v>-48510</v>
      </c>
    </row>
    <row r="7">
      <c r="A7" s="5" t="inlineStr">
        <is>
          <t>Net interest income</t>
        </is>
      </c>
      <c r="B7" s="5" t="n">
        <v>75204</v>
      </c>
      <c r="C7" s="5" t="n">
        <v>102083</v>
      </c>
      <c r="D7" s="5" t="n">
        <v>87022</v>
      </c>
      <c r="E7" s="5" t="n">
        <v>53719</v>
      </c>
      <c r="F7" s="5" t="n">
        <v>39401</v>
      </c>
      <c r="G7" s="5" t="n">
        <v>36074</v>
      </c>
      <c r="H7" s="5" t="n">
        <v>45616</v>
      </c>
      <c r="I7" s="5" t="n">
        <v>58411</v>
      </c>
      <c r="J7" s="5" t="n">
        <v>59663</v>
      </c>
      <c r="K7" s="5" t="n">
        <v>57540</v>
      </c>
      <c r="L7" s="5" t="n">
        <v>59342</v>
      </c>
      <c r="M7" s="5" t="n">
        <v>41843</v>
      </c>
      <c r="N7" s="5" t="n">
        <v>31449</v>
      </c>
    </row>
    <row r="8">
      <c r="A8" s="6" t="inlineStr">
        <is>
          <t>Fee and commission income</t>
        </is>
      </c>
      <c r="B8" s="6" t="n">
        <v>9457</v>
      </c>
      <c r="C8" s="6" t="n">
        <v>11268</v>
      </c>
      <c r="D8" s="6" t="n">
        <v>10932</v>
      </c>
      <c r="E8" s="6" t="n">
        <v>13581</v>
      </c>
      <c r="F8" s="6" t="n">
        <v>12554</v>
      </c>
      <c r="G8" s="6" t="n">
        <v>8449</v>
      </c>
      <c r="H8" s="6" t="n">
        <v>8437</v>
      </c>
      <c r="I8" s="6" t="n">
        <v>14478</v>
      </c>
      <c r="J8" s="6" t="n">
        <v>7173</v>
      </c>
      <c r="K8" s="6" t="n">
        <v>11576</v>
      </c>
      <c r="L8" s="6" t="n">
        <v>9859</v>
      </c>
      <c r="M8" s="6" t="n">
        <v>13152</v>
      </c>
      <c r="N8" s="6" t="n">
        <v>12485</v>
      </c>
    </row>
    <row r="9">
      <c r="A9" s="6" t="inlineStr">
        <is>
          <t>Fee and commission expense</t>
        </is>
      </c>
      <c r="B9" s="6" t="n">
        <v>-6329</v>
      </c>
      <c r="C9" s="6" t="n">
        <v>-8787</v>
      </c>
      <c r="D9" s="6" t="n">
        <v>-11488</v>
      </c>
      <c r="E9" s="6" t="n">
        <v>-12687</v>
      </c>
      <c r="F9" s="6" t="n">
        <v>-17808</v>
      </c>
      <c r="G9" s="6" t="n">
        <v>-11279</v>
      </c>
      <c r="H9" s="6" t="n">
        <v>-9369</v>
      </c>
      <c r="I9" s="6" t="n">
        <v>-8638</v>
      </c>
      <c r="J9" s="6" t="n">
        <v>-12275</v>
      </c>
      <c r="K9" s="6" t="n">
        <v>-13792</v>
      </c>
      <c r="L9" s="6" t="n">
        <v>-9460</v>
      </c>
      <c r="M9" s="6" t="n">
        <v>-3488</v>
      </c>
      <c r="N9" s="6" t="n">
        <v>-4199</v>
      </c>
    </row>
    <row r="10">
      <c r="A10" s="5" t="inlineStr">
        <is>
          <t>Net fee and commission income / (expense)</t>
        </is>
      </c>
      <c r="B10" s="5" t="n">
        <v>3128</v>
      </c>
      <c r="C10" s="5" t="n">
        <v>2481</v>
      </c>
      <c r="D10" s="5" t="n">
        <v>-556</v>
      </c>
      <c r="E10" s="5" t="n">
        <v>894</v>
      </c>
      <c r="F10" s="5" t="n">
        <v>-5254</v>
      </c>
      <c r="G10" s="5" t="n">
        <v>-2830</v>
      </c>
      <c r="H10" s="5" t="n">
        <v>-932</v>
      </c>
      <c r="I10" s="5" t="n">
        <v>5840</v>
      </c>
      <c r="J10" s="5" t="n">
        <v>-5102</v>
      </c>
      <c r="K10" s="5" t="n">
        <v>-2216</v>
      </c>
      <c r="L10" s="5" t="n">
        <v>399</v>
      </c>
      <c r="M10" s="5" t="n">
        <v>9664</v>
      </c>
      <c r="N10" s="5" t="n">
        <v>8286</v>
      </c>
    </row>
    <row r="11">
      <c r="A11" s="6" t="inlineStr">
        <is>
          <t>Net income on financial assets and liabilities at fair value through profit or loss</t>
        </is>
      </c>
      <c r="B11" s="6" t="n">
        <v>66407</v>
      </c>
      <c r="C11" s="6" t="n">
        <v>45201</v>
      </c>
      <c r="D11" s="6" t="n">
        <v>19474</v>
      </c>
      <c r="E11" s="6" t="n">
        <v>32120</v>
      </c>
      <c r="F11" s="6" t="n"/>
      <c r="G11" s="6" t="n">
        <v>14485</v>
      </c>
      <c r="H11" s="6" t="n">
        <v>39915</v>
      </c>
      <c r="I11" s="6" t="n">
        <v>20035</v>
      </c>
      <c r="J11" s="6" t="n">
        <v>11255</v>
      </c>
      <c r="K11" s="6" t="n">
        <v>9854</v>
      </c>
      <c r="L11" s="6" t="n">
        <v>7041</v>
      </c>
      <c r="M11" s="6" t="n">
        <v>9434</v>
      </c>
      <c r="N11" s="6" t="n">
        <v>16656</v>
      </c>
    </row>
    <row r="12">
      <c r="A12" s="6" t="inlineStr">
        <is>
          <t>Net income / (expense) on financial assets at fair value through OCI</t>
        </is>
      </c>
      <c r="B12" s="6" t="n">
        <v>-89</v>
      </c>
      <c r="C12" s="6" t="n">
        <v>-778</v>
      </c>
      <c r="D12" s="6" t="n">
        <v>985</v>
      </c>
      <c r="E12" s="6" t="n">
        <v>-57</v>
      </c>
      <c r="F12" s="6" t="n"/>
      <c r="G12" s="6" t="n">
        <v>2492</v>
      </c>
      <c r="H12" s="6" t="n">
        <v>20</v>
      </c>
      <c r="I12" s="6" t="n">
        <v>-174</v>
      </c>
      <c r="J12" s="6" t="n">
        <v>-305</v>
      </c>
      <c r="K12" s="6" t="n">
        <v>1716</v>
      </c>
      <c r="L12" s="6" t="n">
        <v>1857</v>
      </c>
      <c r="M12" s="6" t="n">
        <v>605</v>
      </c>
      <c r="N12" s="6" t="n">
        <v>441</v>
      </c>
    </row>
    <row r="13">
      <c r="A13" s="6" t="inlineStr">
        <is>
          <t>Dividend income</t>
        </is>
      </c>
      <c r="B13" s="6" t="n"/>
      <c r="C13" s="6" t="n">
        <v>5</v>
      </c>
      <c r="D13" s="6" t="n">
        <v>0</v>
      </c>
      <c r="E13" s="6" t="n">
        <v>20004</v>
      </c>
      <c r="F13" s="6" t="n">
        <v>23797</v>
      </c>
      <c r="G13" s="6" t="n">
        <v>5</v>
      </c>
      <c r="H13" s="6" t="n">
        <v>20004</v>
      </c>
      <c r="I13" s="6" t="n">
        <v>64500</v>
      </c>
      <c r="J13" s="6" t="n">
        <v>50000</v>
      </c>
      <c r="K13" s="6" t="n"/>
      <c r="L13" s="6" t="n"/>
      <c r="M13" s="6" t="n">
        <v>6474</v>
      </c>
      <c r="N13" s="6" t="n">
        <v>85962</v>
      </c>
    </row>
    <row r="14">
      <c r="A14" s="6" t="inlineStr">
        <is>
          <t>Net income on other financial operations</t>
        </is>
      </c>
      <c r="B14" s="6" t="n">
        <v>8208</v>
      </c>
      <c r="C14" s="6" t="n">
        <v>9387</v>
      </c>
      <c r="D14" s="6" t="n">
        <v>7943</v>
      </c>
      <c r="E14" s="6" t="n">
        <v>4469</v>
      </c>
      <c r="F14" s="6" t="n">
        <v>5590</v>
      </c>
      <c r="G14" s="6" t="n">
        <v>5339</v>
      </c>
      <c r="H14" s="6" t="n">
        <v>7110</v>
      </c>
      <c r="I14" s="6" t="n">
        <v>5206</v>
      </c>
      <c r="J14" s="6" t="n">
        <v>-22</v>
      </c>
      <c r="K14" s="6" t="n">
        <v>2326</v>
      </c>
      <c r="L14" s="6" t="n">
        <v>3147</v>
      </c>
      <c r="M14" s="6" t="n">
        <v>2617</v>
      </c>
      <c r="N14" s="6" t="n">
        <v>2773</v>
      </c>
    </row>
    <row r="15">
      <c r="A15" s="5" t="inlineStr">
        <is>
          <t>Net income on financial operations</t>
        </is>
      </c>
      <c r="B15" s="5" t="n">
        <v>74526</v>
      </c>
      <c r="C15" s="5" t="n">
        <v>53811</v>
      </c>
      <c r="D15" s="5" t="n">
        <v>28402</v>
      </c>
      <c r="E15" s="5" t="n">
        <v>56536</v>
      </c>
      <c r="F15" s="5" t="n">
        <v>29192</v>
      </c>
      <c r="G15" s="5" t="n">
        <v>22321</v>
      </c>
      <c r="H15" s="5" t="n">
        <v>67049</v>
      </c>
      <c r="I15" s="5" t="n">
        <v>89567</v>
      </c>
      <c r="J15" s="5" t="n">
        <v>60928</v>
      </c>
      <c r="K15" s="5" t="n">
        <v>13896</v>
      </c>
      <c r="L15" s="5" t="n">
        <v>12045</v>
      </c>
      <c r="M15" s="5" t="n">
        <v>19130</v>
      </c>
      <c r="N15" s="5" t="n">
        <v>105832</v>
      </c>
    </row>
    <row r="16">
      <c r="A16" s="6" t="inlineStr">
        <is>
          <t>Other operating income</t>
        </is>
      </c>
      <c r="B16" s="6" t="n">
        <v>5050</v>
      </c>
      <c r="C16" s="6" t="n">
        <v>5344</v>
      </c>
      <c r="D16" s="6" t="n">
        <v>6806</v>
      </c>
      <c r="E16" s="6" t="n">
        <v>6646</v>
      </c>
      <c r="F16" s="6" t="n">
        <v>7438</v>
      </c>
      <c r="G16" s="6" t="n">
        <v>8604</v>
      </c>
      <c r="H16" s="6" t="n">
        <v>11483</v>
      </c>
      <c r="I16" s="6" t="n">
        <v>11176</v>
      </c>
      <c r="J16" s="6" t="n">
        <v>8937</v>
      </c>
      <c r="K16" s="6" t="n">
        <v>8162</v>
      </c>
      <c r="L16" s="6" t="n">
        <v>6361</v>
      </c>
      <c r="M16" s="6" t="n">
        <v>10132</v>
      </c>
      <c r="N16" s="6" t="n">
        <v>2149</v>
      </c>
    </row>
    <row r="17">
      <c r="A17" s="5" t="inlineStr">
        <is>
          <t>Total operating income</t>
        </is>
      </c>
      <c r="B17" s="5" t="n">
        <v>157908</v>
      </c>
      <c r="C17" s="5" t="n">
        <v>163719</v>
      </c>
      <c r="D17" s="5" t="n">
        <v>121674</v>
      </c>
      <c r="E17" s="5" t="n">
        <v>117795</v>
      </c>
      <c r="F17" s="5" t="n">
        <v>70777</v>
      </c>
      <c r="G17" s="5" t="n">
        <v>64169</v>
      </c>
      <c r="H17" s="5" t="n">
        <v>123216</v>
      </c>
      <c r="I17" s="5" t="n">
        <v>164994</v>
      </c>
      <c r="J17" s="5" t="n">
        <v>124426</v>
      </c>
      <c r="K17" s="5" t="n">
        <v>77382</v>
      </c>
      <c r="L17" s="5" t="n">
        <v>78147</v>
      </c>
      <c r="M17" s="5" t="n">
        <v>80769</v>
      </c>
      <c r="N17" s="5" t="n">
        <v>147716</v>
      </c>
    </row>
    <row r="18">
      <c r="A18" s="6" t="inlineStr">
        <is>
          <t>Credit impairment reversals / (charges) and other provisions</t>
        </is>
      </c>
      <c r="B18" s="6" t="n">
        <v>64</v>
      </c>
      <c r="C18" s="6" t="n">
        <v>306</v>
      </c>
      <c r="D18" s="6" t="n">
        <v>-6669</v>
      </c>
      <c r="E18" s="6" t="n">
        <v>4188</v>
      </c>
      <c r="F18" s="6" t="n">
        <v>9753</v>
      </c>
      <c r="G18" s="6" t="n">
        <v>-22264</v>
      </c>
      <c r="H18" s="6" t="n">
        <v>-1893</v>
      </c>
      <c r="I18" s="6" t="n">
        <v>1272</v>
      </c>
      <c r="J18" s="6" t="n">
        <v>3702</v>
      </c>
      <c r="K18" s="6" t="n">
        <v>-651</v>
      </c>
      <c r="L18" s="6" t="n">
        <v>-2531</v>
      </c>
      <c r="M18" s="6" t="n">
        <v>-20294</v>
      </c>
      <c r="N18" s="6" t="n">
        <v>-4845</v>
      </c>
    </row>
    <row r="19">
      <c r="A19" s="5" t="inlineStr">
        <is>
          <t>Net operating income</t>
        </is>
      </c>
      <c r="B19" s="5" t="n">
        <v>157972</v>
      </c>
      <c r="C19" s="5" t="n">
        <v>164025</v>
      </c>
      <c r="D19" s="5" t="n">
        <v>115005</v>
      </c>
      <c r="E19" s="5" t="n">
        <v>121983</v>
      </c>
      <c r="F19" s="5" t="n">
        <v>80530</v>
      </c>
      <c r="G19" s="5" t="n">
        <v>41905</v>
      </c>
      <c r="H19" s="5" t="n">
        <v>121688</v>
      </c>
      <c r="I19" s="5" t="n">
        <v>166266</v>
      </c>
      <c r="J19" s="5" t="n">
        <v>128128</v>
      </c>
      <c r="K19" s="5" t="n">
        <v>76731</v>
      </c>
      <c r="L19" s="5" t="n">
        <v>75616</v>
      </c>
      <c r="M19" s="5" t="n">
        <v>60475</v>
      </c>
      <c r="N19" s="5" t="n">
        <v>142871</v>
      </c>
    </row>
    <row r="20">
      <c r="A20" s="5" t="inlineStr">
        <is>
          <t>Operating expenses</t>
        </is>
      </c>
      <c r="B20" s="6" t="n"/>
      <c r="C20" s="6" t="n"/>
      <c r="D20" s="6" t="n"/>
      <c r="E20" s="6" t="n"/>
      <c r="F20" s="6" t="n"/>
      <c r="G20" s="6" t="n"/>
      <c r="H20" s="6" t="n"/>
      <c r="I20" s="6" t="n"/>
      <c r="J20" s="6" t="n"/>
      <c r="K20" s="6" t="n"/>
      <c r="L20" s="6" t="n"/>
      <c r="M20" s="6" t="n"/>
      <c r="N20" s="6" t="n"/>
    </row>
    <row r="21">
      <c r="A21" s="6" t="inlineStr">
        <is>
          <t>Staff costs</t>
        </is>
      </c>
      <c r="B21" s="6" t="n">
        <v>-20143</v>
      </c>
      <c r="C21" s="6" t="n">
        <v>-15973</v>
      </c>
      <c r="D21" s="6" t="n">
        <v>-17838</v>
      </c>
      <c r="E21" s="6" t="n">
        <v>-19576</v>
      </c>
      <c r="F21" s="6" t="n">
        <v>-19475</v>
      </c>
      <c r="G21" s="6" t="n">
        <v>-25591</v>
      </c>
      <c r="H21" s="6" t="n">
        <v>-37325</v>
      </c>
      <c r="I21" s="6" t="n">
        <v>-34865</v>
      </c>
      <c r="J21" s="6" t="n">
        <v>-29637</v>
      </c>
      <c r="K21" s="6" t="n">
        <v>-30945</v>
      </c>
      <c r="L21" s="6" t="n">
        <v>-36441</v>
      </c>
      <c r="M21" s="6" t="n">
        <v>-45380</v>
      </c>
      <c r="N21" s="6" t="n">
        <v>-34830</v>
      </c>
    </row>
    <row r="22">
      <c r="A22" s="6" t="inlineStr">
        <is>
          <t>General and administrative expenses</t>
        </is>
      </c>
      <c r="B22" s="6" t="n">
        <v>-16306</v>
      </c>
      <c r="C22" s="6" t="n">
        <v>-14730</v>
      </c>
      <c r="D22" s="6" t="n">
        <v>-12211</v>
      </c>
      <c r="E22" s="6" t="n">
        <v>-11842</v>
      </c>
      <c r="F22" s="6" t="n">
        <v>-11634</v>
      </c>
      <c r="G22" s="6" t="n">
        <v>-7305</v>
      </c>
      <c r="H22" s="6" t="n">
        <v>-9143</v>
      </c>
      <c r="I22" s="6" t="n">
        <v>-10962</v>
      </c>
      <c r="J22" s="6" t="n">
        <v>-10920</v>
      </c>
      <c r="K22" s="6" t="n">
        <v>-10531</v>
      </c>
      <c r="L22" s="6" t="n">
        <v>-14065</v>
      </c>
      <c r="M22" s="6" t="n">
        <v>-17895</v>
      </c>
      <c r="N22" s="6" t="n">
        <v>-13146</v>
      </c>
    </row>
    <row r="23">
      <c r="A23" s="6" t="inlineStr">
        <is>
          <t>Depreciation and impairment of property, plant and equipment</t>
        </is>
      </c>
      <c r="B23" s="6" t="n">
        <v>-831</v>
      </c>
      <c r="C23" s="6" t="n">
        <v>-852</v>
      </c>
      <c r="D23" s="6" t="n">
        <v>-969</v>
      </c>
      <c r="E23" s="6" t="n">
        <v>-1135</v>
      </c>
      <c r="F23" s="6" t="n">
        <v>-1107</v>
      </c>
      <c r="G23" s="6" t="n">
        <v>-1301</v>
      </c>
      <c r="H23" s="6" t="n">
        <v>-2743</v>
      </c>
      <c r="I23" s="6" t="n">
        <v>-1487</v>
      </c>
      <c r="J23" s="6" t="n">
        <v>-2861</v>
      </c>
      <c r="K23" s="6" t="n">
        <v>-1748</v>
      </c>
      <c r="L23" s="6" t="n">
        <v>-1725</v>
      </c>
      <c r="M23" s="6" t="n">
        <v>-1689</v>
      </c>
      <c r="N23" s="6" t="n">
        <v>-1352</v>
      </c>
    </row>
    <row r="24">
      <c r="A24" s="6" t="inlineStr">
        <is>
          <t>Amortisation and impairment of intangible assets</t>
        </is>
      </c>
      <c r="B24" s="6" t="n"/>
      <c r="C24" s="6" t="n">
        <v>-7</v>
      </c>
      <c r="D24" s="6" t="n">
        <v>-30</v>
      </c>
      <c r="E24" s="6" t="n">
        <v>-145</v>
      </c>
      <c r="F24" s="6" t="n">
        <v>-169</v>
      </c>
      <c r="G24" s="6" t="n">
        <v>-170</v>
      </c>
      <c r="H24" s="6" t="n">
        <v>-129</v>
      </c>
      <c r="I24" s="6" t="n">
        <v>-187</v>
      </c>
      <c r="J24" s="6" t="n">
        <v>-245</v>
      </c>
      <c r="K24" s="6" t="n">
        <v>-387</v>
      </c>
      <c r="L24" s="6" t="n">
        <v>-477</v>
      </c>
      <c r="M24" s="6" t="n">
        <v>-507</v>
      </c>
      <c r="N24" s="6" t="n">
        <v>-427</v>
      </c>
    </row>
    <row r="25">
      <c r="A25" s="6" t="inlineStr">
        <is>
          <t>Other operating expenses</t>
        </is>
      </c>
      <c r="B25" s="6" t="n">
        <v>-525</v>
      </c>
      <c r="C25" s="6" t="n">
        <v>-660</v>
      </c>
      <c r="D25" s="6" t="n">
        <v>-432</v>
      </c>
      <c r="E25" s="6" t="n">
        <v>-408</v>
      </c>
      <c r="F25" s="6" t="n">
        <v>-668</v>
      </c>
      <c r="G25" s="6" t="n">
        <v>-1422</v>
      </c>
      <c r="H25" s="6" t="n">
        <v>-907</v>
      </c>
      <c r="I25" s="6" t="n">
        <v>-1061</v>
      </c>
      <c r="J25" s="6" t="n">
        <v>-1211</v>
      </c>
      <c r="K25" s="6" t="n">
        <v>-1225</v>
      </c>
      <c r="L25" s="6" t="n">
        <v>-1437</v>
      </c>
      <c r="M25" s="6" t="n">
        <v>-1163</v>
      </c>
      <c r="N25" s="6" t="n">
        <v>-2067</v>
      </c>
    </row>
    <row r="26">
      <c r="A26" s="5" t="inlineStr">
        <is>
          <t>Total operating expenses</t>
        </is>
      </c>
      <c r="B26" s="5" t="n">
        <v>-37805</v>
      </c>
      <c r="C26" s="5" t="n">
        <v>-32222</v>
      </c>
      <c r="D26" s="5" t="n">
        <v>-31480</v>
      </c>
      <c r="E26" s="5" t="n">
        <v>-33106</v>
      </c>
      <c r="F26" s="5" t="n">
        <v>-33053</v>
      </c>
      <c r="G26" s="5" t="n">
        <v>-35789</v>
      </c>
      <c r="H26" s="5" t="n">
        <v>-50247</v>
      </c>
      <c r="I26" s="5" t="n">
        <v>-48562</v>
      </c>
      <c r="J26" s="5" t="n">
        <v>-44874</v>
      </c>
      <c r="K26" s="5" t="n">
        <v>-44836</v>
      </c>
      <c r="L26" s="5" t="n">
        <v>-54145</v>
      </c>
      <c r="M26" s="5" t="n">
        <v>-66634</v>
      </c>
      <c r="N26" s="5" t="n">
        <v>-51822</v>
      </c>
    </row>
    <row r="27">
      <c r="A27" s="5" t="inlineStr">
        <is>
          <t>Profit before tax</t>
        </is>
      </c>
      <c r="B27" s="5" t="n">
        <v>120167</v>
      </c>
      <c r="C27" s="5" t="n">
        <v>131803</v>
      </c>
      <c r="D27" s="5" t="n">
        <v>83525</v>
      </c>
      <c r="E27" s="5" t="n">
        <v>88877</v>
      </c>
      <c r="F27" s="5" t="n">
        <v>47477</v>
      </c>
      <c r="G27" s="5" t="n">
        <v>6116</v>
      </c>
      <c r="H27" s="5" t="n">
        <v>71441</v>
      </c>
      <c r="I27" s="5" t="n">
        <v>117704</v>
      </c>
      <c r="J27" s="5" t="n">
        <v>83254</v>
      </c>
      <c r="K27" s="5" t="n">
        <v>31895</v>
      </c>
      <c r="L27" s="5" t="n">
        <v>21471</v>
      </c>
      <c r="M27" s="5" t="n">
        <v>-6159</v>
      </c>
      <c r="N27" s="5" t="n">
        <v>91049</v>
      </c>
    </row>
    <row r="28">
      <c r="A28" s="6" t="inlineStr">
        <is>
          <t>Income tax</t>
        </is>
      </c>
      <c r="B28" s="6" t="n">
        <v>-30085</v>
      </c>
      <c r="C28" s="6" t="n">
        <v>-32976</v>
      </c>
      <c r="D28" s="6" t="n">
        <v>-20731</v>
      </c>
      <c r="E28" s="6" t="n">
        <v>-16132</v>
      </c>
      <c r="F28" s="6" t="n">
        <v>-4467</v>
      </c>
      <c r="G28" s="6" t="n">
        <v>-1358</v>
      </c>
      <c r="H28" s="6" t="n">
        <v>-12105</v>
      </c>
      <c r="I28" s="6" t="n">
        <v>-12163</v>
      </c>
      <c r="J28" s="6" t="n">
        <v>-6291</v>
      </c>
      <c r="K28" s="6" t="n">
        <v>-6616</v>
      </c>
      <c r="L28" s="6" t="n">
        <v>-4811</v>
      </c>
      <c r="M28" s="6" t="n">
        <v>-76</v>
      </c>
      <c r="N28" s="6" t="n">
        <v>-1623</v>
      </c>
    </row>
    <row r="29">
      <c r="A29" s="5" t="inlineStr">
        <is>
          <t>Profit for the year</t>
        </is>
      </c>
      <c r="B29" s="5" t="n">
        <v>90082</v>
      </c>
      <c r="C29" s="5" t="n">
        <v>98827</v>
      </c>
      <c r="D29" s="5" t="n">
        <v>62794</v>
      </c>
      <c r="E29" s="5" t="n">
        <v>72745</v>
      </c>
      <c r="F29" s="5" t="n">
        <v>43010</v>
      </c>
      <c r="G29" s="5" t="n">
        <v>4758</v>
      </c>
      <c r="H29" s="5" t="n">
        <v>59336</v>
      </c>
      <c r="I29" s="5" t="n">
        <v>105541</v>
      </c>
      <c r="J29" s="5" t="n">
        <v>76963</v>
      </c>
      <c r="K29" s="5" t="n">
        <v>25279</v>
      </c>
      <c r="L29" s="5" t="n">
        <v>16660</v>
      </c>
      <c r="M29" s="5" t="n">
        <v>-6235</v>
      </c>
      <c r="N29" s="5" t="n">
        <v>89426</v>
      </c>
    </row>
    <row r="31" ht="364" customHeight="1">
      <c r="A31" s="8" t="inlineStr">
        <is>
          <t>Source — Itau BBA International plc Bank (solo, not Group) financial statements, 2025 Annual Report, p.62 — https://find-and-update.company-information.service.gov.uk/company/07425398/filing-history/MzUyNjQ0MDA3MmFkaXF6a2N4/document?format=pdf&amp;download=0
All 3 statement sheets (Balance Sheet, Profit &amp; Loss, Statement of Changes in Equity) use the Bank/solo column (not Group/consolidated), matching the entity basis already used for this workbook's Cash Flow Statement. Asset Quality also uses the Bank column. Pillar 3 metric sheets (CET1/Tier 1/Total Capital, ratios, Total RWAs, Leverage Ratio) remain Group/consolidated basis, matching how the Annual Report's own 'Capital' section is presented (Group level only, all 5 years) - this is a pre-existing, unchanged choice.
Source — Itau BBA International plc Bank (solo, not Group) financial statements, 2023 Annual Report, p.54 — https://find-and-update.company-information.service.gov.uk/company/07425398/filing-history/MzQyMDE3MTk5NWFkaXF6a2N4/document?format=pdf&amp;download=0
All 3 statement sheets (Balance Sheet, Profit &amp; Loss, Statement of Changes in Equity) use the Bank/solo column (not Group/consolidated), matching the entity basis already used for this workbook's Cash Flow Statement. Asset Quality also uses the Bank column. Pillar 3 metric sheets (CET1/Tier 1/Total Capital, ratios, Total RWAs, Leverage Ratio) remain Group/consolidated basis, matching how the Annual Report's own 'Capital' section is presented (Group level only, all 5 years) - this is a pre-existing, unchanged choice. Covers FY2023/FY2022.
Source — Itau BBA International plc Bank (solo, not Group) financial statements, 2021 Annual Report, p.53 — https://find-and-update.company-information.service.gov.uk/company/07425398/filing-history/MzMzODgwNTQxMWFkaXF6a2N4/document?format=pdf&amp;download=0
All 3 statement sheets (Balance Sheet, Profit &amp; Loss, Statement of Changes in Equity) use the Bank/solo column (not Group/consolidated), matching the entity basis already used for this workbook's Cash Flow Statement. Asset Quality also uses the Bank column. Pillar 3 metric sheets (CET1/Tier 1/Total Capital, ratios, Total RWAs, Leverage Ratio) remain Group/consolidated basis, matching how the Annual Report's own 'Capital' section is presented (Group level only, all 5 years) - this is a pre-existing, unchanged choice. Covers FY2021. FY2021's report structures Interest income/expense as single lines (no 'using effective interest rate method' sub-split shown from FY2022 onward) - both years' Net interest income tie exactly regardless.
Source — Itau BBA International plc Bank (solo, not Group) financial statements, 2020 Annual Report, p.43 — https://find-and-update.company-information.service.gov.uk/company/07425398/filing-history/MzI5ODk0OTk0OGFkaXF6a2N4/document?format=pdf&amp;download=0
All 3 statement sheets (Balance Sheet, Profit &amp; Loss, Statement of Changes in Equity) use the Bank/solo column (not Group/consolidated), matching the entity basis already used for this workbook's Cash Flow Statement. Asset Quality also uses the Bank column. Pillar 3 metric sheets (CET1/Tier 1/Total Capital, ratios, Total RWAs, Leverage Ratio) remain Group/consolidated basis, matching how the Annual Report's own 'Capital' section is presented (Group level only, all 5 years) - this is a pre-existing, unchanged choice. Covers FY2020/FY2019.
Source — Itau BBA International plc Bank (solo, not Group) financial statements, 2018 Annual Report, p.31 — https://find-and-update.company-information.service.gov.uk/company/07425398/filing-history/MzIzMzkyNDA5MmFkaXF6a2N4/document?format=pdf&amp;download=0
All 3 statement sheets (Balance Sheet, Profit &amp; Loss, Statement of Changes in Equity) use the Bank/solo column (not Group/consolidated), matching the entity basis already used for this workbook's Cash Flow Statement. Asset Quality also uses the Bank column. Pillar 3 metric sheets (CET1/Tier 1/Total Capital, ratios, Total RWAs, Leverage Ratio) remain Group/consolidated basis, matching how the Annual Report's own 'Capital' section is presented (Group level only, all 5 years) - this is a pre-existing, unchanged choice. Covers FY2018/FY2017. Dividend income of USD 64,500k (2018) and USD 50,000k (2017) reflects real related-party dividends from subsidiaries, not an anomaly - confirmed against the Investments in subsidiaries note.
Source — Itau BBA International plc Bank (solo, not Group) financial statements, 2016 Annual Report, p.25 — https://find-and-update.company-information.service.gov.uk/company/07425398/filing-history/MzE3NTM0ODg3NmFkaXF6a2N4/document?format=pdf&amp;download=0
All 3 statement sheets (Balance Sheet, Profit &amp; Loss, Statement of Changes in Equity) use the Bank/solo column (not Group/consolidated), matching the entity basis already used for this workbook's Cash Flow Statement. Asset Quality also uses the Bank column. Pillar 3 metric sheets (CET1/Tier 1/Total Capital, ratios, Total RWAs, Leverage Ratio) remain Group/consolidated basis, matching how the Annual Report's own 'Capital' section is presented (Group level only, all 5 years) - this is a pre-existing, unchanged choice. Covers FY2016/FY2015.
Source — Itau BBA International plc Bank (solo, not Group) financial statements, 2014 Annual Report, p.28 — https://find-and-update.company-information.service.gov.uk/company/07425398/filing-history/MzEyNTM4MDgyMGFkaXF6a2N4/document?format=pdf&amp;download=0
All 3 statement sheets (Balance Sheet, Profit &amp; Loss, Statement of Changes in Equity) use the Bank/solo column (not Group/consolidated), matching the entity basis already used for this workbook's Cash Flow Statement. Asset Quality also uses the Bank column. Pillar 3 metric sheets (CET1/Tier 1/Total Capital, ratios, Total RWAs, Leverage Ratio) remain Group/consolidated basis, matching how the Annual Report's own 'Capital' section is presented (Group level only, all 5 years) - this is a pre-existing, unchanged choice. Covers FY2014 (Bank-solo standalone report) and, per HD-072 (2026-09-06), its own FY2013 comparative column on the same page. FY2014's Profit/(loss) for the year of USD (6,235)k is a genuine Bank-level loss, driven by a USD 20,294k credit impairment charge against a much smaller dividend income than FY2013's own one-off USD 85,962k dividend (the latter reflecting a large distribution ahead of the 2013 merger) - confirmed by reading the note in full, not a transcription anomaly.</t>
        </is>
      </c>
    </row>
  </sheetData>
  <mergeCells count="1">
    <mergeCell ref="A31:N3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7"/>
  <sheetViews>
    <sheetView workbookViewId="0">
      <pane ySplit="4" topLeftCell="A5" activePane="bottomLeft" state="frozen"/>
      <selection pane="bottomLeft" activeCell="A1" sqref="A1"/>
    </sheetView>
  </sheetViews>
  <sheetFormatPr baseColWidth="8" defaultRowHeight="15"/>
  <cols>
    <col width="7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Itau BBA International plc — Statement of Changes in Equity (Bank, solo)</t>
        </is>
      </c>
    </row>
    <row r="2">
      <c r="A2" s="2" t="inlineStr">
        <is>
          <t>Itau BBA International plc (Bank/solo basis, not Group), chronological roll-forward, USD'000</t>
        </is>
      </c>
    </row>
    <row r="3">
      <c r="A3" s="4" t="inlineStr">
        <is>
          <t>Movement</t>
        </is>
      </c>
      <c r="B3" s="4" t="inlineStr">
        <is>
          <t>Called-up share capital</t>
        </is>
      </c>
      <c r="C3" s="4" t="inlineStr">
        <is>
          <t>Share premium</t>
        </is>
      </c>
      <c r="D3" s="4" t="inlineStr">
        <is>
          <t>Revaluation reserves</t>
        </is>
      </c>
      <c r="E3" s="4" t="inlineStr">
        <is>
          <t>Other reserves</t>
        </is>
      </c>
      <c r="F3" s="4" t="inlineStr">
        <is>
          <t>Retained earnings</t>
        </is>
      </c>
      <c r="G3" s="4" t="inlineStr">
        <is>
          <t>Total equity</t>
        </is>
      </c>
    </row>
    <row r="4">
      <c r="A4" s="5" t="inlineStr">
        <is>
          <t>Balance as at 1 January 2013 (Bank)</t>
        </is>
      </c>
      <c r="B4" s="5" t="n">
        <v>200000</v>
      </c>
      <c r="C4" s="5" t="n"/>
      <c r="D4" s="5" t="n">
        <v>0</v>
      </c>
      <c r="E4" s="5" t="n">
        <v>0</v>
      </c>
      <c r="F4" s="5" t="n">
        <v>125</v>
      </c>
      <c r="G4" s="5" t="n">
        <v>200125</v>
      </c>
    </row>
    <row r="5">
      <c r="A5" s="6" t="inlineStr">
        <is>
          <t>Profit for the year</t>
        </is>
      </c>
      <c r="B5" s="6" t="n"/>
      <c r="C5" s="6" t="n"/>
      <c r="D5" s="6" t="n"/>
      <c r="E5" s="6" t="n"/>
      <c r="F5" s="6" t="n">
        <v>89426</v>
      </c>
      <c r="G5" s="6" t="n">
        <v>89426</v>
      </c>
    </row>
    <row r="6">
      <c r="A6" s="6" t="inlineStr">
        <is>
          <t>Other comprehensive expense for the year (revaluation reserves)</t>
        </is>
      </c>
      <c r="B6" s="6" t="n"/>
      <c r="C6" s="6" t="n"/>
      <c r="D6" s="6" t="n">
        <v>-1786</v>
      </c>
      <c r="E6" s="6" t="n"/>
      <c r="F6" s="6" t="n"/>
      <c r="G6" s="6" t="n">
        <v>-1786</v>
      </c>
    </row>
    <row r="7">
      <c r="A7" s="6" t="inlineStr">
        <is>
          <t>Share capital of the acquiree on the merger (Note 39/Directors' Report - see source note)</t>
        </is>
      </c>
      <c r="B7" s="6" t="n">
        <v>725771</v>
      </c>
      <c r="C7" s="6" t="n"/>
      <c r="D7" s="6" t="n"/>
      <c r="E7" s="6" t="n"/>
      <c r="F7" s="6" t="n"/>
      <c r="G7" s="6" t="n">
        <v>725771</v>
      </c>
    </row>
    <row r="8">
      <c r="A8" s="6" t="inlineStr">
        <is>
          <t>Post-merger capital reallocation</t>
        </is>
      </c>
      <c r="B8" s="6" t="n">
        <v>-325771</v>
      </c>
      <c r="C8" s="6" t="n"/>
      <c r="D8" s="6" t="n"/>
      <c r="E8" s="6" t="n">
        <v>325771</v>
      </c>
      <c r="F8" s="6" t="n"/>
      <c r="G8" s="6" t="n">
        <v>0</v>
      </c>
    </row>
    <row r="9">
      <c r="A9" s="6" t="inlineStr">
        <is>
          <t>Other movements (reserves)</t>
        </is>
      </c>
      <c r="B9" s="6" t="n"/>
      <c r="C9" s="6" t="n"/>
      <c r="D9" s="6" t="n"/>
      <c r="E9" s="6" t="n">
        <v>-915</v>
      </c>
      <c r="F9" s="6" t="n"/>
      <c r="G9" s="6" t="n">
        <v>-915</v>
      </c>
    </row>
    <row r="10">
      <c r="A10" s="5" t="inlineStr">
        <is>
          <t>Balance as at 31 December 2013 / 1 January 2014 (Bank)</t>
        </is>
      </c>
      <c r="B10" s="5" t="n">
        <v>600000</v>
      </c>
      <c r="C10" s="5" t="n"/>
      <c r="D10" s="5" t="n">
        <v>-1786</v>
      </c>
      <c r="E10" s="5" t="n">
        <v>324856</v>
      </c>
      <c r="F10" s="5" t="n">
        <v>89551</v>
      </c>
      <c r="G10" s="5" t="n">
        <v>1012621</v>
      </c>
    </row>
    <row r="11">
      <c r="A11" s="6" t="inlineStr">
        <is>
          <t>Loss for the year</t>
        </is>
      </c>
      <c r="B11" s="6" t="n"/>
      <c r="C11" s="6" t="n"/>
      <c r="D11" s="6" t="n"/>
      <c r="E11" s="6" t="n"/>
      <c r="F11" s="6" t="n">
        <v>-6235</v>
      </c>
      <c r="G11" s="6" t="n">
        <v>-6235</v>
      </c>
    </row>
    <row r="12">
      <c r="A12" s="6" t="inlineStr">
        <is>
          <t>Other comprehensive income for the year (revaluation reserves)</t>
        </is>
      </c>
      <c r="B12" s="6" t="n"/>
      <c r="C12" s="6" t="n"/>
      <c r="D12" s="6" t="n">
        <v>3492</v>
      </c>
      <c r="E12" s="6" t="n"/>
      <c r="F12" s="6" t="n"/>
      <c r="G12" s="6" t="n">
        <v>3492</v>
      </c>
    </row>
    <row r="13">
      <c r="A13" s="5" t="inlineStr">
        <is>
          <t>Balance as at 31 December 2014</t>
        </is>
      </c>
      <c r="B13" s="5" t="n">
        <v>600000</v>
      </c>
      <c r="C13" s="5" t="n"/>
      <c r="D13" s="5" t="n">
        <v>1706</v>
      </c>
      <c r="E13" s="5" t="n">
        <v>324856</v>
      </c>
      <c r="F13" s="5" t="n">
        <v>83316</v>
      </c>
      <c r="G13" s="5" t="n">
        <v>1009878</v>
      </c>
    </row>
    <row r="14">
      <c r="A14" s="6" t="inlineStr">
        <is>
          <t>Profit for the year</t>
        </is>
      </c>
      <c r="B14" s="6" t="n"/>
      <c r="C14" s="6" t="n"/>
      <c r="D14" s="6" t="n"/>
      <c r="E14" s="6" t="n"/>
      <c r="F14" s="6" t="n">
        <v>16660</v>
      </c>
      <c r="G14" s="6" t="n">
        <v>16660</v>
      </c>
    </row>
    <row r="15">
      <c r="A15" s="6" t="inlineStr">
        <is>
          <t>Other comprehensive expense for the year (revaluation reserves)</t>
        </is>
      </c>
      <c r="B15" s="6" t="n"/>
      <c r="C15" s="6" t="n"/>
      <c r="D15" s="6" t="n">
        <v>-2797</v>
      </c>
      <c r="E15" s="6" t="n"/>
      <c r="F15" s="6" t="n"/>
      <c r="G15" s="6" t="n">
        <v>-2797</v>
      </c>
    </row>
    <row r="16">
      <c r="A16" s="5" t="inlineStr">
        <is>
          <t>Balance as at 31 December 2015</t>
        </is>
      </c>
      <c r="B16" s="5" t="n">
        <v>600000</v>
      </c>
      <c r="C16" s="5" t="n"/>
      <c r="D16" s="5" t="n">
        <v>-1091</v>
      </c>
      <c r="E16" s="5" t="n">
        <v>324856</v>
      </c>
      <c r="F16" s="5" t="n">
        <v>99976</v>
      </c>
      <c r="G16" s="5" t="n">
        <v>1023741</v>
      </c>
    </row>
    <row r="17">
      <c r="A17" s="6" t="inlineStr">
        <is>
          <t>Profit for the year</t>
        </is>
      </c>
      <c r="B17" s="6" t="n"/>
      <c r="C17" s="6" t="n"/>
      <c r="D17" s="6" t="n"/>
      <c r="E17" s="6" t="n"/>
      <c r="F17" s="6" t="n">
        <v>25279</v>
      </c>
      <c r="G17" s="6" t="n">
        <v>25279</v>
      </c>
    </row>
    <row r="18">
      <c r="A18" s="6" t="inlineStr">
        <is>
          <t>Other comprehensive expense for the year (revaluation reserves)</t>
        </is>
      </c>
      <c r="B18" s="6" t="n"/>
      <c r="C18" s="6" t="n"/>
      <c r="D18" s="6" t="n">
        <v>-2811</v>
      </c>
      <c r="E18" s="6" t="n"/>
      <c r="F18" s="6" t="n"/>
      <c r="G18" s="6" t="n">
        <v>-2811</v>
      </c>
    </row>
    <row r="19">
      <c r="A19" s="5" t="inlineStr">
        <is>
          <t>Balance as at 31 December 2016</t>
        </is>
      </c>
      <c r="B19" s="5" t="n">
        <v>600000</v>
      </c>
      <c r="C19" s="5" t="n"/>
      <c r="D19" s="5" t="n">
        <v>-3902</v>
      </c>
      <c r="E19" s="5" t="n">
        <v>324856</v>
      </c>
      <c r="F19" s="5" t="n">
        <v>125255</v>
      </c>
      <c r="G19" s="5" t="n">
        <v>1046209</v>
      </c>
    </row>
    <row r="20">
      <c r="A20" s="6" t="inlineStr">
        <is>
          <t>Profit for the year</t>
        </is>
      </c>
      <c r="B20" s="6" t="n"/>
      <c r="C20" s="6" t="n"/>
      <c r="D20" s="6" t="n"/>
      <c r="E20" s="6" t="n"/>
      <c r="F20" s="6" t="n">
        <v>76963</v>
      </c>
      <c r="G20" s="6" t="n">
        <v>76963</v>
      </c>
    </row>
    <row r="21">
      <c r="A21" s="6" t="inlineStr">
        <is>
          <t>Other comprehensive expense for the year (revaluation reserves)</t>
        </is>
      </c>
      <c r="B21" s="6" t="n"/>
      <c r="C21" s="6" t="n"/>
      <c r="D21" s="6" t="n">
        <v>-321</v>
      </c>
      <c r="E21" s="6" t="n"/>
      <c r="F21" s="6" t="n"/>
      <c r="G21" s="6" t="n">
        <v>-321</v>
      </c>
    </row>
    <row r="22">
      <c r="A22" s="5" t="inlineStr">
        <is>
          <t>Balance as at 31 December 2017</t>
        </is>
      </c>
      <c r="B22" s="5" t="n">
        <v>600000</v>
      </c>
      <c r="C22" s="5" t="n"/>
      <c r="D22" s="5" t="n">
        <v>-4223</v>
      </c>
      <c r="E22" s="5" t="n">
        <v>324856</v>
      </c>
      <c r="F22" s="5" t="n">
        <v>202218</v>
      </c>
      <c r="G22" s="5" t="n">
        <v>1122851</v>
      </c>
    </row>
    <row r="23">
      <c r="A23" s="6" t="inlineStr">
        <is>
          <t>Impact of initial application of IFRS 9 (Note 2)</t>
        </is>
      </c>
      <c r="B23" s="6" t="n"/>
      <c r="C23" s="6" t="n"/>
      <c r="D23" s="6" t="n"/>
      <c r="E23" s="6" t="n"/>
      <c r="F23" s="6" t="n">
        <v>96</v>
      </c>
      <c r="G23" s="6" t="n">
        <v>96</v>
      </c>
    </row>
    <row r="24">
      <c r="A24" s="5" t="inlineStr">
        <is>
          <t>Balance as at 1 January 2018 (IFRS 9 transition)</t>
        </is>
      </c>
      <c r="B24" s="5" t="n">
        <v>600000</v>
      </c>
      <c r="C24" s="5" t="n"/>
      <c r="D24" s="5" t="n">
        <v>-4223</v>
      </c>
      <c r="E24" s="5" t="n">
        <v>324856</v>
      </c>
      <c r="F24" s="5" t="n">
        <v>202314</v>
      </c>
      <c r="G24" s="5" t="n">
        <v>1122947</v>
      </c>
    </row>
    <row r="25">
      <c r="A25" s="6" t="inlineStr">
        <is>
          <t>Profit for the year</t>
        </is>
      </c>
      <c r="B25" s="6" t="n"/>
      <c r="C25" s="6" t="n"/>
      <c r="D25" s="6" t="n"/>
      <c r="E25" s="6" t="n"/>
      <c r="F25" s="6" t="n">
        <v>105541</v>
      </c>
      <c r="G25" s="6" t="n">
        <v>105541</v>
      </c>
    </row>
    <row r="26">
      <c r="A26" s="6" t="inlineStr">
        <is>
          <t>Other comprehensive income for the year (revaluation reserves)</t>
        </is>
      </c>
      <c r="B26" s="6" t="n"/>
      <c r="C26" s="6" t="n"/>
      <c r="D26" s="6" t="n">
        <v>950</v>
      </c>
      <c r="E26" s="6" t="n"/>
      <c r="F26" s="6" t="n"/>
      <c r="G26" s="6" t="n">
        <v>950</v>
      </c>
    </row>
    <row r="27">
      <c r="A27" s="5" t="inlineStr">
        <is>
          <t>Balance as at 31 December 2018</t>
        </is>
      </c>
      <c r="B27" s="5" t="n">
        <v>600000</v>
      </c>
      <c r="C27" s="5" t="n"/>
      <c r="D27" s="5" t="n">
        <v>-3273</v>
      </c>
      <c r="E27" s="5" t="n">
        <v>324856</v>
      </c>
      <c r="F27" s="5" t="n">
        <v>307855</v>
      </c>
      <c r="G27" s="5" t="n">
        <v>1229438</v>
      </c>
    </row>
    <row r="28">
      <c r="A28" s="6" t="inlineStr">
        <is>
          <t>Profit for the year</t>
        </is>
      </c>
      <c r="B28" s="6" t="n"/>
      <c r="C28" s="6" t="n"/>
      <c r="D28" s="6" t="n"/>
      <c r="E28" s="6" t="n"/>
      <c r="F28" s="6" t="n">
        <v>59336</v>
      </c>
      <c r="G28" s="6" t="n">
        <v>59336</v>
      </c>
    </row>
    <row r="29">
      <c r="A29" s="6" t="inlineStr">
        <is>
          <t>Other comprehensive income for the year (revaluation reserves)</t>
        </is>
      </c>
      <c r="B29" s="6" t="n"/>
      <c r="C29" s="6" t="n"/>
      <c r="D29" s="6" t="n">
        <v>2928</v>
      </c>
      <c r="E29" s="6" t="n"/>
      <c r="F29" s="6" t="n"/>
      <c r="G29" s="6" t="n">
        <v>2928</v>
      </c>
    </row>
    <row r="30">
      <c r="A30" s="6" t="inlineStr">
        <is>
          <t>Dividend distribution</t>
        </is>
      </c>
      <c r="B30" s="6" t="n"/>
      <c r="C30" s="6" t="n"/>
      <c r="D30" s="6" t="n"/>
      <c r="E30" s="6" t="n"/>
      <c r="F30" s="6" t="n">
        <v>-1000</v>
      </c>
      <c r="G30" s="6" t="n">
        <v>-1000</v>
      </c>
    </row>
    <row r="31">
      <c r="A31" s="6" t="inlineStr">
        <is>
          <t>Merger with IPI and IEI (Note 27)</t>
        </is>
      </c>
      <c r="B31" s="6" t="n"/>
      <c r="C31" s="6" t="n"/>
      <c r="D31" s="6" t="n"/>
      <c r="E31" s="6" t="n">
        <v>8092</v>
      </c>
      <c r="F31" s="6" t="n"/>
      <c r="G31" s="6" t="n">
        <v>8092</v>
      </c>
    </row>
    <row r="32">
      <c r="A32" s="5" t="inlineStr">
        <is>
          <t>Balance as at 31 December 2019</t>
        </is>
      </c>
      <c r="B32" s="5" t="n">
        <v>600000</v>
      </c>
      <c r="C32" s="5" t="n"/>
      <c r="D32" s="5" t="n">
        <v>-345</v>
      </c>
      <c r="E32" s="5" t="n">
        <v>332948</v>
      </c>
      <c r="F32" s="5" t="n">
        <v>366191</v>
      </c>
      <c r="G32" s="5" t="n">
        <v>1298794</v>
      </c>
    </row>
    <row r="33">
      <c r="A33" s="6" t="inlineStr">
        <is>
          <t>Profit for the year</t>
        </is>
      </c>
      <c r="B33" s="6" t="n"/>
      <c r="C33" s="6" t="n"/>
      <c r="D33" s="6" t="n"/>
      <c r="E33" s="6" t="n"/>
      <c r="F33" s="6" t="n">
        <v>4758</v>
      </c>
      <c r="G33" s="6" t="n">
        <v>4758</v>
      </c>
    </row>
    <row r="34">
      <c r="A34" s="6" t="inlineStr">
        <is>
          <t>Other comprehensive income for the year (revaluation reserves)</t>
        </is>
      </c>
      <c r="B34" s="6" t="n"/>
      <c r="C34" s="6" t="n"/>
      <c r="D34" s="6" t="n">
        <v>345</v>
      </c>
      <c r="E34" s="6" t="n"/>
      <c r="F34" s="6" t="n"/>
      <c r="G34" s="6" t="n">
        <v>345</v>
      </c>
    </row>
    <row r="35">
      <c r="A35" s="5" t="inlineStr">
        <is>
          <t>Balance as at 31 December 2020 (FY2020 closing, Bank)</t>
        </is>
      </c>
      <c r="B35" s="5" t="n">
        <v>600000</v>
      </c>
      <c r="C35" s="5" t="n"/>
      <c r="D35" s="5" t="n">
        <v>0</v>
      </c>
      <c r="E35" s="5" t="n">
        <v>332948</v>
      </c>
      <c r="F35" s="5" t="n">
        <v>370949</v>
      </c>
      <c r="G35" s="5" t="n">
        <v>1303897</v>
      </c>
    </row>
    <row r="36">
      <c r="A36" s="6" t="inlineStr">
        <is>
          <t>Profit for the year</t>
        </is>
      </c>
      <c r="B36" s="6" t="n"/>
      <c r="C36" s="6" t="n"/>
      <c r="D36" s="6" t="n"/>
      <c r="E36" s="6" t="n"/>
      <c r="F36" s="6" t="n">
        <v>43010</v>
      </c>
      <c r="G36" s="6" t="n">
        <v>43010</v>
      </c>
    </row>
    <row r="37">
      <c r="A37" s="6" t="inlineStr">
        <is>
          <t>Other comprehensive income for the year (cash flow hedge reserve)</t>
        </is>
      </c>
      <c r="B37" s="6" t="n"/>
      <c r="C37" s="6" t="n"/>
      <c r="D37" s="6" t="n">
        <v>53</v>
      </c>
      <c r="E37" s="6" t="n"/>
      <c r="F37" s="6" t="n"/>
      <c r="G37" s="6" t="n">
        <v>53</v>
      </c>
    </row>
    <row r="38">
      <c r="A38" s="6" t="inlineStr">
        <is>
          <t>Dividend distribution</t>
        </is>
      </c>
      <c r="B38" s="6" t="n"/>
      <c r="C38" s="6" t="n"/>
      <c r="D38" s="6" t="n"/>
      <c r="E38" s="6" t="n"/>
      <c r="F38" s="6" t="n">
        <v>-17086</v>
      </c>
      <c r="G38" s="6" t="n">
        <v>-17086</v>
      </c>
    </row>
    <row r="39">
      <c r="A39" s="5" t="inlineStr">
        <is>
          <t>Balance as at 31 December 2021 (source labels this row "31 December 2020" in the Bank's own equity statement - a genuine labelling error in the primary source, not a transcription error here; the movements above are unambiguously FY2021's own, and this closing total ties exactly to AR2023's own restated "Balances at 1 January 2022" row)</t>
        </is>
      </c>
      <c r="B39" s="5" t="n">
        <v>600000</v>
      </c>
      <c r="C39" s="5" t="n"/>
      <c r="D39" s="5" t="n">
        <v>53</v>
      </c>
      <c r="E39" s="5" t="n">
        <v>332948</v>
      </c>
      <c r="F39" s="5" t="n">
        <v>396873</v>
      </c>
      <c r="G39" s="5" t="n">
        <v>1329874</v>
      </c>
    </row>
    <row r="40">
      <c r="A40" s="6" t="inlineStr">
        <is>
          <t>Profit for the year</t>
        </is>
      </c>
      <c r="B40" s="6" t="n"/>
      <c r="C40" s="6" t="n"/>
      <c r="D40" s="6" t="n"/>
      <c r="E40" s="6" t="n"/>
      <c r="F40" s="6" t="n">
        <v>72745</v>
      </c>
      <c r="G40" s="6" t="n">
        <v>72745</v>
      </c>
    </row>
    <row r="41">
      <c r="A41" s="6" t="inlineStr">
        <is>
          <t>Other comprehensive income for the year (FVOCI reserves)</t>
        </is>
      </c>
      <c r="B41" s="6" t="n"/>
      <c r="C41" s="6" t="n"/>
      <c r="D41" s="6" t="n">
        <v>-4029</v>
      </c>
      <c r="E41" s="6" t="n"/>
      <c r="F41" s="6" t="n"/>
      <c r="G41" s="6" t="n">
        <v>-4029</v>
      </c>
    </row>
    <row r="42">
      <c r="A42" s="6" t="inlineStr">
        <is>
          <t>Capitalisation of reserves and retained earnings</t>
        </is>
      </c>
      <c r="B42" s="6" t="n">
        <v>335000</v>
      </c>
      <c r="C42" s="6" t="n"/>
      <c r="D42" s="6" t="n"/>
      <c r="E42" s="6" t="n">
        <v>-332948</v>
      </c>
      <c r="F42" s="6" t="n">
        <v>-2052</v>
      </c>
      <c r="G42" s="6" t="n">
        <v>0</v>
      </c>
    </row>
    <row r="43">
      <c r="A43" s="5" t="inlineStr">
        <is>
          <t>Balance as at 31 December 2022 (per FY2023's own restated comparative)</t>
        </is>
      </c>
      <c r="B43" s="5" t="n">
        <v>935000</v>
      </c>
      <c r="C43" s="5" t="n"/>
      <c r="D43" s="5" t="n">
        <v>-4029</v>
      </c>
      <c r="E43" s="5" t="n">
        <v>0</v>
      </c>
      <c r="F43" s="5" t="n">
        <v>467566</v>
      </c>
      <c r="G43" s="5" t="n">
        <v>1398537</v>
      </c>
    </row>
    <row r="44">
      <c r="A44" s="6" t="inlineStr">
        <is>
          <t>Profit for the year</t>
        </is>
      </c>
      <c r="B44" s="6" t="n"/>
      <c r="C44" s="6" t="n"/>
      <c r="D44" s="6" t="n"/>
      <c r="E44" s="6" t="n"/>
      <c r="F44" s="6" t="n">
        <v>62794</v>
      </c>
      <c r="G44" s="6" t="n">
        <v>62794</v>
      </c>
    </row>
    <row r="45">
      <c r="A45" s="6" t="inlineStr">
        <is>
          <t>Other comprehensive income for the year (FVOCI + cash flow hedge)</t>
        </is>
      </c>
      <c r="B45" s="6" t="n"/>
      <c r="C45" s="6" t="n"/>
      <c r="D45" s="6" t="n">
        <v>2385</v>
      </c>
      <c r="E45" s="6" t="n"/>
      <c r="F45" s="6" t="n"/>
      <c r="G45" s="6" t="n">
        <v>2385</v>
      </c>
    </row>
    <row r="46">
      <c r="A46" s="6" t="inlineStr">
        <is>
          <t>Share capital increase</t>
        </is>
      </c>
      <c r="B46" s="6" t="n">
        <v>286034</v>
      </c>
      <c r="C46" s="6" t="n">
        <v>213966</v>
      </c>
      <c r="D46" s="6" t="n"/>
      <c r="E46" s="6" t="n"/>
      <c r="F46" s="6" t="n"/>
      <c r="G46" s="6" t="n">
        <v>500000</v>
      </c>
    </row>
    <row r="47">
      <c r="A47" s="5" t="inlineStr">
        <is>
          <t>Balance as at 31 December 2023</t>
        </is>
      </c>
      <c r="B47" s="5" t="n">
        <v>1221034</v>
      </c>
      <c r="C47" s="5" t="n">
        <v>213966</v>
      </c>
      <c r="D47" s="5" t="n">
        <v>-1644</v>
      </c>
      <c r="E47" s="5" t="n">
        <v>0</v>
      </c>
      <c r="F47" s="5" t="n">
        <v>530360</v>
      </c>
      <c r="G47" s="5" t="n">
        <v>1963716</v>
      </c>
    </row>
    <row r="48">
      <c r="A48" s="6" t="inlineStr">
        <is>
          <t>Profit for the year</t>
        </is>
      </c>
      <c r="B48" s="6" t="n"/>
      <c r="C48" s="6" t="n"/>
      <c r="D48" s="6" t="n"/>
      <c r="E48" s="6" t="n"/>
      <c r="F48" s="6" t="n">
        <v>98827</v>
      </c>
      <c r="G48" s="6" t="n">
        <v>98827</v>
      </c>
    </row>
    <row r="49">
      <c r="A49" s="6" t="inlineStr">
        <is>
          <t>Other comprehensive income for the year (FVOCI + own credit + cash flow hedge)</t>
        </is>
      </c>
      <c r="B49" s="6" t="n"/>
      <c r="C49" s="6" t="n"/>
      <c r="D49" s="6" t="n">
        <v>371</v>
      </c>
      <c r="E49" s="6" t="n"/>
      <c r="F49" s="6" t="n"/>
      <c r="G49" s="6" t="n">
        <v>371</v>
      </c>
    </row>
    <row r="50">
      <c r="A50" s="5" t="inlineStr">
        <is>
          <t>Balance as at 31 December 2024</t>
        </is>
      </c>
      <c r="B50" s="5" t="n">
        <v>1221034</v>
      </c>
      <c r="C50" s="5" t="n">
        <v>213966</v>
      </c>
      <c r="D50" s="5" t="n">
        <v>-1273</v>
      </c>
      <c r="E50" s="5" t="n">
        <v>0</v>
      </c>
      <c r="F50" s="5" t="n">
        <v>629187</v>
      </c>
      <c r="G50" s="5" t="n">
        <v>2062914</v>
      </c>
    </row>
    <row r="51">
      <c r="A51" s="6" t="inlineStr">
        <is>
          <t>Profit for the year</t>
        </is>
      </c>
      <c r="B51" s="6" t="n"/>
      <c r="C51" s="6" t="n"/>
      <c r="D51" s="6" t="n"/>
      <c r="E51" s="6" t="n"/>
      <c r="F51" s="6" t="n">
        <v>90082</v>
      </c>
      <c r="G51" s="6" t="n">
        <v>90082</v>
      </c>
    </row>
    <row r="52">
      <c r="A52" s="6" t="inlineStr">
        <is>
          <t>Other comprehensive income for the year (FVOCI + own credit + cash flow hedge)</t>
        </is>
      </c>
      <c r="B52" s="6" t="n"/>
      <c r="C52" s="6" t="n"/>
      <c r="D52" s="6" t="n">
        <v>1478</v>
      </c>
      <c r="E52" s="6" t="n"/>
      <c r="F52" s="6" t="n"/>
      <c r="G52" s="6" t="n">
        <v>1478</v>
      </c>
    </row>
    <row r="53">
      <c r="A53" s="5" t="inlineStr">
        <is>
          <t>Balance as at 31 December 2025</t>
        </is>
      </c>
      <c r="B53" s="5" t="n">
        <v>1221034</v>
      </c>
      <c r="C53" s="5" t="n">
        <v>213966</v>
      </c>
      <c r="D53" s="5" t="n">
        <v>205</v>
      </c>
      <c r="E53" s="5" t="n">
        <v>0</v>
      </c>
      <c r="F53" s="5" t="n">
        <v>719269</v>
      </c>
      <c r="G53" s="5" t="n">
        <v>2154474</v>
      </c>
    </row>
    <row r="55" ht="390" customHeight="1">
      <c r="A55" s="8" t="inlineStr">
        <is>
          <t>Source — Itau BBA International plc Bank (solo, not Group) financial statements, 2025 Annual Report, p.64 — https://find-and-update.company-information.service.gov.uk/company/07425398/filing-history/MzUyNjQ0MDA3MmFkaXF6a2N4/document?format=pdf&amp;download=0
All 3 statement sheets (Balance Sheet, Profit &amp; Loss, Statement of Changes in Equity) use the Bank/solo column (not Group/consolidated), matching the entity basis already used for this workbook's Cash Flow Statement. Asset Quality also uses the Bank column. Pillar 3 metric sheets (CET1/Tier 1/Total Capital, ratios, Total RWAs, Leverage Ratio) remain Group/consolidated basis, matching how the Annual Report's own 'Capital' section is presented (Group level only, all 5 years) - this is a pre-existing, unchanged choice.
Source — Itau BBA International plc Bank (solo, not Group) financial statements, 2023 Annual Report, p.56 — https://find-and-update.company-information.service.gov.uk/company/07425398/filing-history/MzQyMDE3MTk5NWFkaXF6a2N4/document?format=pdf&amp;download=0
All 3 statement sheets (Balance Sheet, Profit &amp; Loss, Statement of Changes in Equity) use the Bank/solo column (not Group/consolidated), matching the entity basis already used for this workbook's Cash Flow Statement. Asset Quality also uses the Bank column. Pillar 3 metric sheets (CET1/Tier 1/Total Capital, ratios, Total RWAs, Leverage Ratio) remain Group/consolidated basis, matching how the Annual Report's own 'Capital' section is presented (Group level only, all 5 years) - this is a pre-existing, unchanged choice. Covers FY2022/FY2023 movements.
Source — Itau BBA International plc Bank (solo, not Group) financial statements, 2021 Annual Report, p.55 — https://find-and-update.company-information.service.gov.uk/company/07425398/filing-history/MzMzODgwNTQxMWFkaXF6a2N4/document?format=pdf&amp;download=0
All 3 statement sheets (Balance Sheet, Profit &amp; Loss, Statement of Changes in Equity) use the Bank/solo column (not Group/consolidated), matching the entity basis already used for this workbook's Cash Flow Statement. Asset Quality also uses the Bank column. Pillar 3 metric sheets (CET1/Tier 1/Total Capital, ratios, Total RWAs, Leverage Ratio) remain Group/consolidated basis, matching how the Annual Report's own 'Capital' section is presented (Group level only, all 5 years) - this is a pre-existing, unchanged choice. Covers FY2021 movements. Reconciliation ladder confirmed: every year's own closing balance ties exactly to both the next year's own reported opening balance and that year's own Balance Sheet Total equity, with one exception reproduced as disclosed - the FY2021 Annual Report's own equity statement mislabels its final closing-balance row "Balances at 31 December 2020" (should read 2021; the movements above it are unambiguously FY2021's, and the closing total of USD 1,329,874k ties exactly to AR2023's own restated "Balances at 1 January 2022" row) - a genuine source-document labelling error, not a transcription error here.
Source — Itau BBA International plc Bank (solo, not Group) financial statements, 2020 Annual Report, p.45 — https://find-and-update.company-information.service.gov.uk/company/07425398/filing-history/MzI5ODk0OTk0OGFkaXF6a2N4/document?format=pdf&amp;download=0
All 3 statement sheets (Balance Sheet, Profit &amp; Loss, Statement of Changes in Equity) use the Bank/solo column (not Group/consolidated), matching the entity basis already used for this workbook's Cash Flow Statement. Asset Quality also uses the Bank column. Pillar 3 metric sheets (CET1/Tier 1/Total Capital, ratios, Total RWAs, Leverage Ratio) remain Group/consolidated basis, matching how the Annual Report's own 'Capital' section is presented (Group level only, all 5 years) - this is a pre-existing, unchanged choice. Covers FY2020/FY2019 movements, incl. FY2019's genuine USD 1,000,000k dividend distribution to the Bank's then-sole shareholder ('IIH') and the FY2019 'Merger with IPI and IEI' capital reorganisation (Note 27), both confirmed against the source's own footnotes.
Source — Itau BBA International plc Bank (solo, not Group) financial statements, 2018 Annual Report, p.34 — https://find-and-update.company-information.service.gov.uk/company/07425398/filing-history/MzIzMzkyNDA5MmFkaXF6a2N4/document?format=pdf&amp;download=0</t>
        </is>
      </c>
    </row>
    <row r="57" ht="273" customHeight="1">
      <c r="A57" s="8" t="inlineStr">
        <is>
          <t>(continued)
All 3 statement sheets (Balance Sheet, Profit &amp; Loss, Statement of Changes in Equity) use the Bank/solo column (not Group/consolidated), matching the entity basis already used for this workbook's Cash Flow Statement. Asset Quality also uses the Bank column. Pillar 3 metric sheets (CET1/Tier 1/Total Capital, ratios, Total RWAs, Leverage Ratio) remain Group/consolidated basis, matching how the Annual Report's own 'Capital' section is presented (Group level only, all 5 years) - this is a pre-existing, unchanged choice. Covers FY2017/FY2018 movements, including the 1 Jan 2018 IFRS 9 transition impact (adjustment to fair value of financial assets +94; remeasurement of modified assets +41; remeasurement of ECL allowance (19); deferred taxes on the above (20); total impact +96 to retained earnings) - a genuine one-off transition entry per the source's own Note 2, not a data anomaly.
Source — Itau BBA International plc Bank (solo, not Group) financial statements, 2016 Annual Report, p.27 — https://find-and-update.company-information.service.gov.uk/company/07425398/filing-history/MzE3NTM0ODg3NmFkaXF6a2N4/document?format=pdf&amp;download=0
All 3 statement sheets (Balance Sheet, Profit &amp; Loss, Statement of Changes in Equity) use the Bank/solo column (not Group/consolidated), matching the entity basis already used for this workbook's Cash Flow Statement. Asset Quality also uses the Bank column. Pillar 3 metric sheets (CET1/Tier 1/Total Capital, ratios, Total RWAs, Leverage Ratio) remain Group/consolidated basis, matching how the Annual Report's own 'Capital' section is presented (Group level only, all 5 years) - this is a pre-existing, unchanged choice. Covers FY2015/FY2016 movements.
Source — Itau BBA International plc Bank (solo, not Group) financial statements, 2014 Annual Report, p.29 — https://find-and-update.company-information.service.gov.uk/company/07425398/filing-history/MzEyNTM4MDgyMGFkaXF6a2N4/document?format=pdf&amp;download=0
All 3 statement sheets (Balance Sheet, Profit &amp; Loss, Statement of Changes in Equity) use the Bank/solo column (not Group/consolidated), matching the entity basis already used for this workbook's Cash Flow Statement. Asset Quality also uses the Bank column. Pillar 3 metric sheets (CET1/Tier 1/Total Capital, ratios, Total RWAs, Leverage Ratio) remain Group/consolidated basis, matching how the Annual Report's own 'Capital' section is presented (Group level only, all 5 years) - this is a pre-existing, unchanged choice. Covers FY2014 movements (Bank-solo standalone report within the combined filing) and, per HD-072 (2026-09-06), its own FY2013 opening balance and movements from the same page's second (FY2013) table. FY2013 was the year Itau BBA International plc merged with its former sister entity - the pre-merger opening balance of USD 200,125k (Share Capital 200,000 + Retained earnings 125) grows to USD 1,012,621k by 31 Dec 2013 via a genuine one-off 'Share capital of the acquiree on the merger' contribution of USD 725,771k (immediately reallocated from Share Capital to Other reserves per 'Post-merger capital reallocation'), not a data anomaly - confirmed against the Balance Sheet's own FY2013 Total Equity and the Directors' Report's own results/dividends note on the same 2014 Annual Report. Reconciliation ladder confirmed end to end: every year's own closing balance from FY2013 through FY2020 ties exactly to both the next year's own reported opening balance and that year's own Balance Sheet Total Equity, with no year skipped.</t>
        </is>
      </c>
    </row>
  </sheetData>
  <mergeCells count="2">
    <mergeCell ref="A57:G57"/>
    <mergeCell ref="A55:G5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9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Itau BBA International plc — Statement of Cash Flows (Bank, solo)</t>
        </is>
      </c>
    </row>
    <row r="2">
      <c r="A2" s="2" t="inlineStr">
        <is>
          <t>Itau BBA International plc (Bank/solo basis, not Group), USD'000 unless stated</t>
        </is>
      </c>
    </row>
    <row r="3">
      <c r="A3" s="4" t="inlineStr">
        <is>
          <t>Line item</t>
        </is>
      </c>
      <c r="B3" s="4" t="inlineStr">
        <is>
          <t>FY2025 (USD'000)</t>
        </is>
      </c>
      <c r="C3" s="4" t="inlineStr">
        <is>
          <t>FY2024 (USD'000)</t>
        </is>
      </c>
      <c r="D3" s="4" t="inlineStr">
        <is>
          <t>FY2023 (USD'000)</t>
        </is>
      </c>
      <c r="E3" s="4" t="inlineStr">
        <is>
          <t>FY2022 (USD'000)</t>
        </is>
      </c>
      <c r="F3" s="4" t="inlineStr">
        <is>
          <t>FY2021 (USD'000)</t>
        </is>
      </c>
      <c r="G3" s="4" t="inlineStr">
        <is>
          <t>FY2020 (USD'000)</t>
        </is>
      </c>
      <c r="H3" s="4" t="inlineStr">
        <is>
          <t>FY2019 (USD'000)</t>
        </is>
      </c>
      <c r="I3" s="4" t="inlineStr">
        <is>
          <t>FY2018 (USD'000)</t>
        </is>
      </c>
      <c r="J3" s="4" t="inlineStr">
        <is>
          <t>FY2017 (USD'000)</t>
        </is>
      </c>
      <c r="K3" s="4" t="inlineStr">
        <is>
          <t>FY2016 (USD'000)</t>
        </is>
      </c>
      <c r="L3" s="4" t="inlineStr">
        <is>
          <t>FY2015 (USD'000)</t>
        </is>
      </c>
      <c r="M3" s="4" t="inlineStr">
        <is>
          <t>FY2014 (USD'000)</t>
        </is>
      </c>
      <c r="N3" s="4" t="inlineStr">
        <is>
          <t>FY2013 (USD'000)</t>
        </is>
      </c>
    </row>
    <row r="4">
      <c r="A4" s="5" t="inlineStr">
        <is>
          <t>Cash flows from operating activities (indirect method, FY2015-FY2025)</t>
        </is>
      </c>
      <c r="B4" s="6" t="n"/>
      <c r="C4" s="6" t="n"/>
      <c r="D4" s="6" t="n"/>
      <c r="E4" s="6" t="n"/>
      <c r="F4" s="6" t="n"/>
      <c r="G4" s="6" t="n"/>
      <c r="H4" s="6" t="n"/>
      <c r="I4" s="6" t="n"/>
      <c r="J4" s="6" t="n"/>
      <c r="K4" s="6" t="n"/>
      <c r="L4" s="6" t="n"/>
      <c r="M4" s="6" t="n"/>
      <c r="N4" s="6" t="n"/>
    </row>
    <row r="5">
      <c r="A5" s="6" t="inlineStr">
        <is>
          <t>Profit before tax and dividends</t>
        </is>
      </c>
      <c r="B5" s="6" t="n">
        <v>120167</v>
      </c>
      <c r="C5" s="6" t="n">
        <v>131803</v>
      </c>
      <c r="D5" s="6" t="n">
        <v>83525</v>
      </c>
      <c r="E5" s="6" t="n">
        <v>68873</v>
      </c>
      <c r="F5" s="6" t="n">
        <v>23680</v>
      </c>
      <c r="G5" s="6" t="n">
        <v>6111</v>
      </c>
      <c r="H5" s="6" t="n">
        <v>51437</v>
      </c>
      <c r="I5" s="6" t="n">
        <v>53203</v>
      </c>
      <c r="J5" s="6" t="n">
        <v>33254</v>
      </c>
      <c r="K5" s="6" t="n">
        <v>31895</v>
      </c>
      <c r="L5" s="6" t="n">
        <v>21471</v>
      </c>
      <c r="M5" s="6" t="n"/>
      <c r="N5" s="6" t="n"/>
    </row>
    <row r="6">
      <c r="A6" s="6" t="inlineStr">
        <is>
          <t>Credit impairment charges and other provisions</t>
        </is>
      </c>
      <c r="B6" s="6" t="n">
        <v>-64</v>
      </c>
      <c r="C6" s="6" t="n">
        <v>-306</v>
      </c>
      <c r="D6" s="6" t="n">
        <v>6669</v>
      </c>
      <c r="E6" s="6" t="n">
        <v>-4188</v>
      </c>
      <c r="F6" s="6" t="n">
        <v>-9753</v>
      </c>
      <c r="G6" s="6" t="n">
        <v>22264</v>
      </c>
      <c r="H6" s="6" t="n">
        <v>1893</v>
      </c>
      <c r="I6" s="6" t="n">
        <v>-1272</v>
      </c>
      <c r="J6" s="6" t="n">
        <v>-3702</v>
      </c>
      <c r="K6" s="6" t="n">
        <v>651</v>
      </c>
      <c r="L6" s="6" t="n">
        <v>2531</v>
      </c>
      <c r="M6" s="6" t="n"/>
      <c r="N6" s="6" t="n"/>
    </row>
    <row r="7">
      <c r="A7" s="6" t="inlineStr">
        <is>
          <t>Depreciation, amortisation and impairment of property, plant, equipment and intangibles</t>
        </is>
      </c>
      <c r="B7" s="6" t="n">
        <v>831</v>
      </c>
      <c r="C7" s="6" t="n">
        <v>852</v>
      </c>
      <c r="D7" s="6" t="n">
        <v>999</v>
      </c>
      <c r="E7" s="6" t="n">
        <v>1280</v>
      </c>
      <c r="F7" s="6" t="n">
        <v>1276</v>
      </c>
      <c r="G7" s="6" t="n">
        <v>1472</v>
      </c>
      <c r="H7" s="6" t="n">
        <v>2872</v>
      </c>
      <c r="I7" s="6" t="n">
        <v>1674</v>
      </c>
      <c r="J7" s="6" t="n">
        <v>3106</v>
      </c>
      <c r="K7" s="6" t="n">
        <v>2135</v>
      </c>
      <c r="L7" s="6" t="n">
        <v>2203</v>
      </c>
      <c r="M7" s="6" t="n"/>
      <c r="N7" s="6" t="n"/>
    </row>
    <row r="8">
      <c r="A8" s="6" t="inlineStr">
        <is>
          <t>Other non-cash movements</t>
        </is>
      </c>
      <c r="B8" s="6" t="n">
        <v>-104138</v>
      </c>
      <c r="C8" s="6" t="n">
        <v>31363</v>
      </c>
      <c r="D8" s="6" t="n">
        <v>-33091</v>
      </c>
      <c r="E8" s="6" t="n">
        <v>9264</v>
      </c>
      <c r="F8" s="6" t="n">
        <v>1017</v>
      </c>
      <c r="G8" s="6" t="n">
        <v>67</v>
      </c>
      <c r="H8" s="6" t="inlineStr">
        <is>
          <t>-</t>
        </is>
      </c>
      <c r="I8" s="6" t="inlineStr">
        <is>
          <t>-</t>
        </is>
      </c>
      <c r="J8" s="6" t="inlineStr">
        <is>
          <t>-</t>
        </is>
      </c>
      <c r="K8" s="6" t="n">
        <v>-1429</v>
      </c>
      <c r="L8" s="6" t="inlineStr">
        <is>
          <t>-</t>
        </is>
      </c>
      <c r="M8" s="6" t="n"/>
      <c r="N8" s="6" t="n"/>
    </row>
    <row r="9">
      <c r="A9" s="6" t="inlineStr">
        <is>
          <t>Trading assets and financial assets designated at fair value</t>
        </is>
      </c>
      <c r="B9" s="6" t="n">
        <v>124541</v>
      </c>
      <c r="C9" s="6" t="n">
        <v>-213757</v>
      </c>
      <c r="D9" s="6" t="n">
        <v>501113</v>
      </c>
      <c r="E9" s="6" t="n">
        <v>629204</v>
      </c>
      <c r="F9" s="6" t="n">
        <v>156038</v>
      </c>
      <c r="G9" s="6" t="n">
        <v>-749221</v>
      </c>
      <c r="H9" s="6" t="n">
        <v>196346</v>
      </c>
      <c r="I9" s="6" t="n">
        <v>400641</v>
      </c>
      <c r="J9" s="6" t="n">
        <v>-300159</v>
      </c>
      <c r="K9" s="6" t="n">
        <v>49417</v>
      </c>
      <c r="L9" s="6" t="n">
        <v>60768</v>
      </c>
      <c r="M9" s="6" t="n"/>
      <c r="N9" s="6" t="n"/>
    </row>
    <row r="10">
      <c r="A10" s="6" t="inlineStr">
        <is>
          <t>Loans and advances to banks</t>
        </is>
      </c>
      <c r="B10" s="6" t="n">
        <v>135096</v>
      </c>
      <c r="C10" s="6" t="n">
        <v>-240931</v>
      </c>
      <c r="D10" s="6" t="n">
        <v>23043</v>
      </c>
      <c r="E10" s="6" t="n">
        <v>-200127</v>
      </c>
      <c r="F10" s="6" t="n">
        <v>37815</v>
      </c>
      <c r="G10" s="6" t="n">
        <v>91151</v>
      </c>
      <c r="H10" s="6" t="n">
        <v>-75375</v>
      </c>
      <c r="I10" s="6" t="n">
        <v>-122750</v>
      </c>
      <c r="J10" s="6" t="n">
        <v>353239</v>
      </c>
      <c r="K10" s="6" t="n">
        <v>361529</v>
      </c>
      <c r="L10" s="6" t="n">
        <v>-508984</v>
      </c>
      <c r="M10" s="6" t="n"/>
      <c r="N10" s="6" t="n"/>
    </row>
    <row r="11">
      <c r="A11" s="6" t="inlineStr">
        <is>
          <t>Balances at central banks (mandatory reserves)</t>
        </is>
      </c>
      <c r="B11" s="6" t="n"/>
      <c r="C11" s="6" t="n"/>
      <c r="D11" s="6" t="n"/>
      <c r="E11" s="6" t="n"/>
      <c r="F11" s="6" t="inlineStr">
        <is>
          <t>-</t>
        </is>
      </c>
      <c r="G11" s="6" t="n">
        <v>401863</v>
      </c>
      <c r="H11" s="6" t="n">
        <v>407900</v>
      </c>
      <c r="I11" s="6" t="n">
        <v>-235535</v>
      </c>
      <c r="J11" s="6" t="n">
        <v>-557507</v>
      </c>
      <c r="K11" s="6" t="n">
        <v>-15940</v>
      </c>
      <c r="L11" s="6" t="n">
        <v>498</v>
      </c>
      <c r="M11" s="6" t="n"/>
      <c r="N11" s="6" t="n"/>
    </row>
    <row r="12">
      <c r="A12" s="6" t="inlineStr">
        <is>
          <t>Loans and advances to customers</t>
        </is>
      </c>
      <c r="B12" s="6" t="n">
        <v>60053</v>
      </c>
      <c r="C12" s="6" t="n">
        <v>-235192</v>
      </c>
      <c r="D12" s="6" t="n">
        <v>-263283</v>
      </c>
      <c r="E12" s="6" t="n">
        <v>-378299</v>
      </c>
      <c r="F12" s="6" t="n">
        <v>-32696</v>
      </c>
      <c r="G12" s="6" t="n">
        <v>662957</v>
      </c>
      <c r="H12" s="6" t="n">
        <v>-86994</v>
      </c>
      <c r="I12" s="6" t="n">
        <v>-722973</v>
      </c>
      <c r="J12" s="6" t="n">
        <v>-270184</v>
      </c>
      <c r="K12" s="6" t="n">
        <v>397743</v>
      </c>
      <c r="L12" s="6" t="n">
        <v>-323835</v>
      </c>
      <c r="M12" s="6" t="n"/>
      <c r="N12" s="6" t="n"/>
    </row>
    <row r="13">
      <c r="A13" s="6" t="inlineStr">
        <is>
          <t>Derivatives designated as hedging instruments (assets)</t>
        </is>
      </c>
      <c r="B13" s="6" t="n">
        <v>3103</v>
      </c>
      <c r="C13" s="6" t="n">
        <v>-1190</v>
      </c>
      <c r="D13" s="6" t="n">
        <v>38012</v>
      </c>
      <c r="E13" s="6" t="n">
        <v>-48100</v>
      </c>
      <c r="F13" s="6" t="n">
        <v>-1705</v>
      </c>
      <c r="G13" s="6" t="n">
        <v>530</v>
      </c>
      <c r="H13" s="6" t="n">
        <v>2655</v>
      </c>
      <c r="I13" s="6" t="n">
        <v>-1334</v>
      </c>
      <c r="J13" s="6" t="n">
        <v>-2541</v>
      </c>
      <c r="K13" s="6" t="n">
        <v>201</v>
      </c>
      <c r="L13" s="6" t="n">
        <v>428</v>
      </c>
      <c r="M13" s="6" t="n"/>
      <c r="N13" s="6" t="n"/>
    </row>
    <row r="14">
      <c r="A14" s="6" t="inlineStr">
        <is>
          <t>Other operating assets</t>
        </is>
      </c>
      <c r="B14" s="6" t="n">
        <v>17431</v>
      </c>
      <c r="C14" s="6" t="n">
        <v>12645</v>
      </c>
      <c r="D14" s="6" t="n">
        <v>22312</v>
      </c>
      <c r="E14" s="6" t="n">
        <v>-33257</v>
      </c>
      <c r="F14" s="6" t="n">
        <v>3638</v>
      </c>
      <c r="G14" s="6" t="n">
        <v>391</v>
      </c>
      <c r="H14" s="6" t="n">
        <v>2780</v>
      </c>
      <c r="I14" s="6" t="n">
        <v>96</v>
      </c>
      <c r="J14" s="6" t="n">
        <v>-3448</v>
      </c>
      <c r="K14" s="6" t="n">
        <v>6007</v>
      </c>
      <c r="L14" s="6" t="n">
        <v>-2662</v>
      </c>
      <c r="M14" s="6" t="n"/>
      <c r="N14" s="6" t="n"/>
    </row>
    <row r="15">
      <c r="A15" s="6" t="inlineStr">
        <is>
          <t>Trading liabilities</t>
        </is>
      </c>
      <c r="B15" s="6" t="n">
        <v>71537</v>
      </c>
      <c r="C15" s="6" t="n">
        <v>178116</v>
      </c>
      <c r="D15" s="6" t="n">
        <v>-113085</v>
      </c>
      <c r="E15" s="6" t="n">
        <v>-37506</v>
      </c>
      <c r="F15" s="6" t="n">
        <v>56410</v>
      </c>
      <c r="G15" s="6" t="n">
        <v>90494</v>
      </c>
      <c r="H15" s="6" t="n">
        <v>-21840</v>
      </c>
      <c r="I15" s="6" t="n">
        <v>-160709</v>
      </c>
      <c r="J15" s="6" t="n">
        <v>55887</v>
      </c>
      <c r="K15" s="6" t="n">
        <v>-246796</v>
      </c>
      <c r="L15" s="6" t="n">
        <v>12109</v>
      </c>
      <c r="M15" s="6" t="n"/>
      <c r="N15" s="6" t="n"/>
    </row>
    <row r="16">
      <c r="A16" s="6" t="inlineStr">
        <is>
          <t>Financial liabilities designated at fair value</t>
        </is>
      </c>
      <c r="B16" s="6" t="n">
        <v>-44456</v>
      </c>
      <c r="C16" s="6" t="n">
        <v>-4802</v>
      </c>
      <c r="D16" s="6" t="n">
        <v>49259</v>
      </c>
      <c r="E16" s="6" t="n">
        <v>-410</v>
      </c>
      <c r="F16" s="6" t="n">
        <v>-1396</v>
      </c>
      <c r="G16" s="6" t="n">
        <v>-3595</v>
      </c>
      <c r="H16" s="6" t="n">
        <v>-6717</v>
      </c>
      <c r="I16" s="6" t="n">
        <v>-5087</v>
      </c>
      <c r="J16" s="6" t="n">
        <v>17205</v>
      </c>
      <c r="K16" s="6" t="n"/>
      <c r="L16" s="6" t="n"/>
      <c r="M16" s="6" t="n"/>
      <c r="N16" s="6" t="n"/>
    </row>
    <row r="17">
      <c r="A17" s="6" t="inlineStr">
        <is>
          <t>Deposits from banks</t>
        </is>
      </c>
      <c r="B17" s="6" t="n">
        <v>127432</v>
      </c>
      <c r="C17" s="6" t="n">
        <v>-432800</v>
      </c>
      <c r="D17" s="6" t="n">
        <v>521131</v>
      </c>
      <c r="E17" s="6" t="n">
        <v>-13577</v>
      </c>
      <c r="F17" s="6" t="n">
        <v>-545052</v>
      </c>
      <c r="G17" s="6" t="n">
        <v>-35409</v>
      </c>
      <c r="H17" s="6" t="n">
        <v>-645198</v>
      </c>
      <c r="I17" s="6" t="n">
        <v>585957</v>
      </c>
      <c r="J17" s="6" t="n">
        <v>686223</v>
      </c>
      <c r="K17" s="6" t="n">
        <v>-649576</v>
      </c>
      <c r="L17" s="6" t="n">
        <v>571546</v>
      </c>
      <c r="M17" s="6" t="n"/>
      <c r="N17" s="6" t="n"/>
    </row>
    <row r="18">
      <c r="A18" s="6" t="inlineStr">
        <is>
          <t>Customer accounts</t>
        </is>
      </c>
      <c r="B18" s="6" t="n">
        <v>-994100</v>
      </c>
      <c r="C18" s="6" t="n">
        <v>1035388</v>
      </c>
      <c r="D18" s="6" t="n">
        <v>-204474</v>
      </c>
      <c r="E18" s="6" t="n">
        <v>162167</v>
      </c>
      <c r="F18" s="6" t="n">
        <v>509622</v>
      </c>
      <c r="G18" s="6" t="n">
        <v>-61975</v>
      </c>
      <c r="H18" s="6" t="n">
        <v>109392</v>
      </c>
      <c r="I18" s="6" t="n">
        <v>442475</v>
      </c>
      <c r="J18" s="6" t="n">
        <v>299418</v>
      </c>
      <c r="K18" s="6" t="n">
        <v>277090</v>
      </c>
      <c r="L18" s="6" t="n">
        <v>-28392</v>
      </c>
      <c r="M18" s="6" t="n"/>
      <c r="N18" s="6" t="n"/>
    </row>
    <row r="19">
      <c r="A19" s="6" t="inlineStr">
        <is>
          <t>Debt securities in issue</t>
        </is>
      </c>
      <c r="B19" s="6" t="n">
        <v>-259630</v>
      </c>
      <c r="C19" s="6" t="n">
        <v>-75268</v>
      </c>
      <c r="D19" s="6" t="n">
        <v>314516</v>
      </c>
      <c r="E19" s="6" t="n">
        <v>802330</v>
      </c>
      <c r="F19" s="6" t="n">
        <v>-8907</v>
      </c>
      <c r="G19" s="6" t="n">
        <v>-233194</v>
      </c>
      <c r="H19" s="6" t="n">
        <v>-200677</v>
      </c>
      <c r="I19" s="6" t="n">
        <v>-68791</v>
      </c>
      <c r="J19" s="6" t="n">
        <v>-183206</v>
      </c>
      <c r="K19" s="6" t="n">
        <v>-235722</v>
      </c>
      <c r="L19" s="6" t="n">
        <v>242504</v>
      </c>
      <c r="M19" s="6" t="n"/>
      <c r="N19" s="6" t="n"/>
    </row>
    <row r="20">
      <c r="A20" s="6" t="inlineStr">
        <is>
          <t>Derivatives designated as hedging instruments (liabilities)</t>
        </is>
      </c>
      <c r="B20" s="6" t="n">
        <v>-4690</v>
      </c>
      <c r="C20" s="6" t="n">
        <v>1337</v>
      </c>
      <c r="D20" s="6" t="n">
        <v>-10618</v>
      </c>
      <c r="E20" s="6" t="n">
        <v>27046</v>
      </c>
      <c r="F20" s="6" t="n">
        <v>-8097</v>
      </c>
      <c r="G20" s="6" t="n">
        <v>7603</v>
      </c>
      <c r="H20" s="6" t="n">
        <v>4954</v>
      </c>
      <c r="I20" s="6" t="n">
        <v>-412</v>
      </c>
      <c r="J20" s="6" t="n">
        <v>-663</v>
      </c>
      <c r="K20" s="6" t="n">
        <v>-1944</v>
      </c>
      <c r="L20" s="6" t="n">
        <v>-1047</v>
      </c>
      <c r="M20" s="6" t="n"/>
      <c r="N20" s="6" t="n"/>
    </row>
    <row r="21">
      <c r="A21" s="6" t="inlineStr">
        <is>
          <t>Other operating liabilities</t>
        </is>
      </c>
      <c r="B21" s="6" t="n">
        <v>-45452</v>
      </c>
      <c r="C21" s="6" t="n">
        <v>46702</v>
      </c>
      <c r="D21" s="6" t="n">
        <v>-16839</v>
      </c>
      <c r="E21" s="6" t="n">
        <v>8370</v>
      </c>
      <c r="F21" s="6" t="n">
        <v>4105</v>
      </c>
      <c r="G21" s="6" t="n">
        <v>-6409</v>
      </c>
      <c r="H21" s="6" t="n">
        <v>3016</v>
      </c>
      <c r="I21" s="6" t="n">
        <v>4636</v>
      </c>
      <c r="J21" s="6" t="n">
        <v>-11654</v>
      </c>
      <c r="K21" s="6" t="n">
        <v>6970</v>
      </c>
      <c r="L21" s="6" t="n">
        <v>-117103</v>
      </c>
      <c r="M21" s="6" t="n"/>
      <c r="N21" s="6" t="n"/>
    </row>
    <row r="22">
      <c r="A22" s="5" t="inlineStr">
        <is>
          <t>Net cash flow from operating activities before payment of income tax</t>
        </is>
      </c>
      <c r="B22" s="5" t="n">
        <v>-792339</v>
      </c>
      <c r="C22" s="5" t="n">
        <v>233967</v>
      </c>
      <c r="D22" s="5" t="n">
        <v>919189</v>
      </c>
      <c r="E22" s="5" t="n">
        <v>993070</v>
      </c>
      <c r="F22" s="5" t="n">
        <v>185995</v>
      </c>
      <c r="G22" s="5" t="n">
        <v>195100</v>
      </c>
      <c r="H22" s="5" t="n">
        <v>-253556</v>
      </c>
      <c r="I22" s="5" t="n">
        <v>169819</v>
      </c>
      <c r="J22" s="5" t="n">
        <v>115268</v>
      </c>
      <c r="K22" s="5" t="n">
        <v>-17769</v>
      </c>
      <c r="L22" s="5" t="n">
        <v>-67965</v>
      </c>
      <c r="M22" s="5" t="n"/>
      <c r="N22" s="5" t="n"/>
    </row>
    <row r="23">
      <c r="A23" s="6" t="inlineStr">
        <is>
          <t>Income tax paid</t>
        </is>
      </c>
      <c r="B23" s="6" t="n">
        <v>-30862</v>
      </c>
      <c r="C23" s="6" t="n">
        <v>-31922</v>
      </c>
      <c r="D23" s="6" t="n">
        <v>-22344</v>
      </c>
      <c r="E23" s="6" t="n">
        <v>-15859</v>
      </c>
      <c r="F23" s="6" t="n">
        <v>-2809</v>
      </c>
      <c r="G23" s="6" t="n">
        <v>-9790</v>
      </c>
      <c r="H23" s="6" t="n">
        <v>-12364</v>
      </c>
      <c r="I23" s="6" t="n">
        <v>-8635</v>
      </c>
      <c r="J23" s="6" t="n">
        <v>-5489</v>
      </c>
      <c r="K23" s="6" t="n">
        <v>-3063</v>
      </c>
      <c r="L23" s="6" t="n">
        <v>-1066</v>
      </c>
      <c r="M23" s="6" t="n"/>
      <c r="N23" s="6" t="n"/>
    </row>
    <row r="24">
      <c r="A24" s="5" t="inlineStr">
        <is>
          <t>Net cash flow from operating activities</t>
        </is>
      </c>
      <c r="B24" s="5" t="n">
        <v>-823201</v>
      </c>
      <c r="C24" s="5" t="n">
        <v>202045</v>
      </c>
      <c r="D24" s="5" t="n">
        <v>896845</v>
      </c>
      <c r="E24" s="5" t="n">
        <v>977211</v>
      </c>
      <c r="F24" s="5" t="n">
        <v>183186</v>
      </c>
      <c r="G24" s="5" t="n">
        <v>185310</v>
      </c>
      <c r="H24" s="5" t="n">
        <v>-265920</v>
      </c>
      <c r="I24" s="5" t="n">
        <v>161184</v>
      </c>
      <c r="J24" s="5" t="n">
        <v>109779</v>
      </c>
      <c r="K24" s="5" t="n">
        <v>-20832</v>
      </c>
      <c r="L24" s="5" t="n">
        <v>-69031</v>
      </c>
      <c r="M24" s="5" t="n"/>
      <c r="N24" s="5" t="n"/>
    </row>
    <row r="25">
      <c r="A25" s="5" t="inlineStr">
        <is>
          <t>Cash flows from investing activities (FY2015-FY2025)</t>
        </is>
      </c>
      <c r="B25" s="6" t="n"/>
      <c r="C25" s="6" t="n"/>
      <c r="D25" s="6" t="n"/>
      <c r="E25" s="6" t="n"/>
      <c r="F25" s="6" t="n"/>
      <c r="G25" s="6" t="n"/>
      <c r="H25" s="6" t="n"/>
      <c r="I25" s="6" t="n"/>
      <c r="J25" s="6" t="n"/>
      <c r="K25" s="6" t="n"/>
      <c r="L25" s="6" t="n"/>
      <c r="M25" s="6" t="n"/>
      <c r="N25" s="6" t="n"/>
    </row>
    <row r="26">
      <c r="A26" s="6" t="inlineStr">
        <is>
          <t>Sales/(Purchases) of debt investments at amortised cost</t>
        </is>
      </c>
      <c r="B26" s="6" t="n"/>
      <c r="C26" s="6" t="n"/>
      <c r="D26" s="6" t="n"/>
      <c r="E26" s="6" t="n">
        <v>2192</v>
      </c>
      <c r="F26" s="6" t="n">
        <v>-2192</v>
      </c>
      <c r="G26" s="6" t="n"/>
      <c r="H26" s="6" t="n"/>
      <c r="I26" s="6" t="n"/>
      <c r="J26" s="6" t="n"/>
      <c r="K26" s="6" t="n"/>
      <c r="L26" s="6" t="n"/>
      <c r="M26" s="6" t="n"/>
      <c r="N26" s="6" t="n"/>
    </row>
    <row r="27">
      <c r="A27" s="6" t="inlineStr">
        <is>
          <t>Purchases of financial assets measured at fair value through OCI</t>
        </is>
      </c>
      <c r="B27" s="6" t="n">
        <v>90366</v>
      </c>
      <c r="C27" s="6" t="n">
        <v>206101</v>
      </c>
      <c r="D27" s="6" t="n">
        <v>-851115</v>
      </c>
      <c r="E27" s="6" t="n">
        <v>-1180856</v>
      </c>
      <c r="F27" s="6" t="n"/>
      <c r="G27" s="6" t="n"/>
      <c r="H27" s="6" t="n"/>
      <c r="I27" s="6" t="n"/>
      <c r="J27" s="6" t="n"/>
      <c r="K27" s="6" t="n"/>
      <c r="L27" s="6" t="n"/>
      <c r="M27" s="6" t="n"/>
      <c r="N27" s="6" t="n"/>
    </row>
    <row r="28">
      <c r="A28" s="6" t="inlineStr">
        <is>
          <t>Sales/(Purchases) of subsidiaries</t>
        </is>
      </c>
      <c r="B28" s="6" t="n">
        <v>-550</v>
      </c>
      <c r="C28" s="6" t="n">
        <v>-55880</v>
      </c>
      <c r="D28" s="6" t="n">
        <v>-65061</v>
      </c>
      <c r="E28" s="6" t="n">
        <v>-10670</v>
      </c>
      <c r="F28" s="6" t="n">
        <v>-45297</v>
      </c>
      <c r="G28" s="6" t="n">
        <v>-53697</v>
      </c>
      <c r="H28" s="6" t="n">
        <v>-19660</v>
      </c>
      <c r="I28" s="6" t="n"/>
      <c r="J28" s="6" t="n"/>
      <c r="K28" s="6" t="n"/>
      <c r="L28" s="6" t="n"/>
      <c r="M28" s="6" t="n"/>
      <c r="N28" s="6" t="n"/>
    </row>
    <row r="29">
      <c r="A29" s="6" t="inlineStr">
        <is>
          <t>Dividends received</t>
        </is>
      </c>
      <c r="B29" s="6" t="n"/>
      <c r="C29" s="6" t="n">
        <v>1</v>
      </c>
      <c r="D29" s="6" t="n"/>
      <c r="E29" s="6" t="n">
        <v>20004</v>
      </c>
      <c r="F29" s="6" t="n">
        <v>8888</v>
      </c>
      <c r="G29" s="6" t="n">
        <v>5</v>
      </c>
      <c r="H29" s="6" t="n">
        <v>20004</v>
      </c>
      <c r="I29" s="6" t="n">
        <v>64500</v>
      </c>
      <c r="J29" s="6" t="n">
        <v>50000</v>
      </c>
      <c r="K29" s="6" t="n"/>
      <c r="L29" s="6" t="n"/>
      <c r="M29" s="6" t="n"/>
      <c r="N29" s="6" t="n"/>
    </row>
    <row r="30">
      <c r="A30" s="6" t="inlineStr">
        <is>
          <t>Sales of fixed assets (initial disposal, source's own duplicate 'Purchases/Sales of fixed assets' label)</t>
        </is>
      </c>
      <c r="B30" s="6" t="n"/>
      <c r="C30" s="6" t="n"/>
      <c r="D30" s="6" t="n"/>
      <c r="E30" s="6" t="n"/>
      <c r="F30" s="6" t="n"/>
      <c r="G30" s="6" t="n"/>
      <c r="H30" s="6" t="n"/>
      <c r="I30" s="6" t="n"/>
      <c r="J30" s="6" t="n"/>
      <c r="K30" s="6" t="n">
        <v>28975</v>
      </c>
      <c r="L30" s="6" t="n"/>
      <c r="M30" s="6" t="n"/>
      <c r="N30" s="6" t="n"/>
    </row>
    <row r="31">
      <c r="A31" s="6" t="inlineStr">
        <is>
          <t>Purchases of intangible assets</t>
        </is>
      </c>
      <c r="B31" s="6" t="n"/>
      <c r="C31" s="6" t="n"/>
      <c r="D31" s="6" t="n"/>
      <c r="E31" s="6" t="n"/>
      <c r="F31" s="6" t="n">
        <v>-61</v>
      </c>
      <c r="G31" s="6" t="n">
        <v>-164</v>
      </c>
      <c r="H31" s="6" t="n">
        <v>-222</v>
      </c>
      <c r="I31" s="6" t="n">
        <v>-129</v>
      </c>
      <c r="J31" s="6" t="n">
        <v>-158</v>
      </c>
      <c r="K31" s="6" t="n">
        <v>-77</v>
      </c>
      <c r="L31" s="6" t="n"/>
      <c r="M31" s="6" t="n"/>
      <c r="N31" s="6" t="n"/>
    </row>
    <row r="32">
      <c r="A32" s="6" t="inlineStr">
        <is>
          <t>Sales/(Purchases) of fixed assets</t>
        </is>
      </c>
      <c r="B32" s="6" t="n">
        <v>-33</v>
      </c>
      <c r="C32" s="6" t="n">
        <v>-33</v>
      </c>
      <c r="D32" s="6" t="n">
        <v>-2406</v>
      </c>
      <c r="E32" s="6" t="n">
        <v>-33</v>
      </c>
      <c r="F32" s="6" t="n">
        <v>-2155</v>
      </c>
      <c r="G32" s="6" t="n">
        <v>2295</v>
      </c>
      <c r="H32" s="6" t="n">
        <v>-2154</v>
      </c>
      <c r="I32" s="6" t="n">
        <v>-1550</v>
      </c>
      <c r="J32" s="6" t="n">
        <v>-225</v>
      </c>
      <c r="K32" s="6" t="n">
        <v>-84</v>
      </c>
      <c r="L32" s="6" t="n">
        <v>-1307</v>
      </c>
      <c r="M32" s="6" t="n"/>
      <c r="N32" s="6" t="n"/>
    </row>
    <row r="33">
      <c r="A33" s="5" t="inlineStr">
        <is>
          <t>Net cash flow from investing activities</t>
        </is>
      </c>
      <c r="B33" s="5" t="n">
        <v>89783</v>
      </c>
      <c r="C33" s="5" t="n">
        <v>150189</v>
      </c>
      <c r="D33" s="5" t="n">
        <v>-918582</v>
      </c>
      <c r="E33" s="5" t="n">
        <v>-1169363</v>
      </c>
      <c r="F33" s="5" t="n">
        <v>-40817</v>
      </c>
      <c r="G33" s="5" t="n">
        <v>-51831</v>
      </c>
      <c r="H33" s="5" t="n">
        <v>-2032</v>
      </c>
      <c r="I33" s="5" t="n">
        <v>62821</v>
      </c>
      <c r="J33" s="5" t="n">
        <v>49617</v>
      </c>
      <c r="K33" s="5" t="n">
        <v>-28814</v>
      </c>
      <c r="L33" s="5" t="n">
        <v>-1307</v>
      </c>
      <c r="M33" s="5" t="n"/>
      <c r="N33" s="5" t="n"/>
    </row>
    <row r="34">
      <c r="A34" s="5" t="inlineStr">
        <is>
          <t>Cash flows from financing activities (FY2015-FY2025)</t>
        </is>
      </c>
      <c r="B34" s="6" t="n"/>
      <c r="C34" s="6" t="n"/>
      <c r="D34" s="6" t="n"/>
      <c r="E34" s="6" t="n"/>
      <c r="F34" s="6" t="n"/>
      <c r="G34" s="6" t="n"/>
      <c r="H34" s="6" t="n"/>
      <c r="I34" s="6" t="n"/>
      <c r="J34" s="6" t="n"/>
      <c r="K34" s="6" t="n"/>
      <c r="L34" s="6" t="n"/>
      <c r="M34" s="6" t="n"/>
      <c r="N34" s="6" t="n"/>
    </row>
    <row r="35">
      <c r="A35" s="6" t="inlineStr">
        <is>
          <t>Dividends paid (financing activities)</t>
        </is>
      </c>
      <c r="B35" s="6" t="n"/>
      <c r="C35" s="6" t="n"/>
      <c r="D35" s="6" t="n"/>
      <c r="E35" s="6" t="n"/>
      <c r="F35" s="6" t="n"/>
      <c r="G35" s="6" t="n"/>
      <c r="H35" s="6" t="n">
        <v>-1000</v>
      </c>
      <c r="I35" s="6" t="n"/>
      <c r="J35" s="6" t="n"/>
      <c r="K35" s="6" t="n"/>
      <c r="L35" s="6" t="n"/>
      <c r="M35" s="6" t="n"/>
      <c r="N35" s="6" t="n"/>
    </row>
    <row r="36">
      <c r="A36" s="6" t="inlineStr">
        <is>
          <t>Merger with IEI and IPI (financing activities, Note 27)</t>
        </is>
      </c>
      <c r="B36" s="6" t="n"/>
      <c r="C36" s="6" t="n"/>
      <c r="D36" s="6" t="n"/>
      <c r="E36" s="6" t="n"/>
      <c r="F36" s="6" t="n"/>
      <c r="G36" s="6" t="n"/>
      <c r="H36" s="6" t="n">
        <v>8092</v>
      </c>
      <c r="I36" s="6" t="n"/>
      <c r="J36" s="6" t="n"/>
      <c r="K36" s="6" t="n"/>
      <c r="L36" s="6" t="n"/>
      <c r="M36" s="6" t="n"/>
      <c r="N36" s="6" t="n"/>
    </row>
    <row r="37">
      <c r="A37" s="6" t="inlineStr">
        <is>
          <t>Leasing Contracts</t>
        </is>
      </c>
      <c r="B37" s="6" t="n">
        <v>-862</v>
      </c>
      <c r="C37" s="6" t="n">
        <v>-838</v>
      </c>
      <c r="D37" s="6" t="n">
        <v>1619</v>
      </c>
      <c r="E37" s="6" t="n">
        <v>-926</v>
      </c>
      <c r="F37" s="6" t="n">
        <v>948</v>
      </c>
      <c r="G37" s="6" t="n">
        <v>-4131</v>
      </c>
      <c r="H37" s="6" t="n">
        <v>4383</v>
      </c>
      <c r="I37" s="6" t="n"/>
      <c r="J37" s="6" t="n"/>
      <c r="K37" s="6" t="n"/>
      <c r="L37" s="6" t="n"/>
      <c r="M37" s="6" t="n"/>
      <c r="N37" s="6" t="n"/>
    </row>
    <row r="38">
      <c r="A38" s="6" t="inlineStr">
        <is>
          <t>Sub-Lease Contracts</t>
        </is>
      </c>
      <c r="B38" s="6" t="n"/>
      <c r="C38" s="6" t="n"/>
      <c r="D38" s="6" t="n"/>
      <c r="E38" s="6" t="n"/>
      <c r="F38" s="6" t="n"/>
      <c r="G38" s="6" t="n">
        <v>1893</v>
      </c>
      <c r="H38" s="6" t="n">
        <v>-1893</v>
      </c>
      <c r="I38" s="6" t="n"/>
      <c r="J38" s="6" t="n"/>
      <c r="K38" s="6" t="n"/>
      <c r="L38" s="6" t="n"/>
      <c r="M38" s="6" t="n"/>
      <c r="N38" s="6" t="n"/>
    </row>
    <row r="39">
      <c r="A39" s="6" t="inlineStr">
        <is>
          <t>Issue/(Repayment) of subordinated debt</t>
        </is>
      </c>
      <c r="B39" s="6" t="n"/>
      <c r="C39" s="6" t="n"/>
      <c r="D39" s="6" t="n"/>
      <c r="E39" s="6" t="n"/>
      <c r="F39" s="6" t="n"/>
      <c r="G39" s="6" t="n"/>
      <c r="H39" s="6" t="n"/>
      <c r="I39" s="6" t="inlineStr">
        <is>
          <t>-</t>
        </is>
      </c>
      <c r="J39" s="6" t="n">
        <v>-30000</v>
      </c>
      <c r="K39" s="6" t="n"/>
      <c r="L39" s="6" t="n"/>
      <c r="M39" s="6" t="n"/>
      <c r="N39" s="6" t="n"/>
    </row>
    <row r="40">
      <c r="A40" s="6" t="inlineStr">
        <is>
          <t>Interest from financing activities</t>
        </is>
      </c>
      <c r="B40" s="6" t="n"/>
      <c r="C40" s="6" t="n"/>
      <c r="D40" s="6" t="n"/>
      <c r="E40" s="6" t="n"/>
      <c r="F40" s="6" t="n"/>
      <c r="G40" s="6" t="n"/>
      <c r="H40" s="6" t="n"/>
      <c r="I40" s="6" t="inlineStr">
        <is>
          <t>-</t>
        </is>
      </c>
      <c r="J40" s="6" t="n">
        <v>-128</v>
      </c>
      <c r="K40" s="6" t="n">
        <v>57</v>
      </c>
      <c r="L40" s="6" t="n">
        <v>16</v>
      </c>
      <c r="M40" s="6" t="n"/>
      <c r="N40" s="6" t="n"/>
    </row>
    <row r="41">
      <c r="A41" s="6" t="inlineStr">
        <is>
          <t>Share Capital Increase</t>
        </is>
      </c>
      <c r="B41" s="6" t="n"/>
      <c r="C41" s="6" t="n"/>
      <c r="D41" s="6" t="n">
        <v>500000</v>
      </c>
      <c r="E41" s="6" t="n"/>
      <c r="F41" s="6" t="n"/>
      <c r="G41" s="6" t="n"/>
      <c r="H41" s="6" t="n"/>
      <c r="I41" s="6" t="n"/>
      <c r="J41" s="6" t="n"/>
      <c r="K41" s="6" t="n"/>
      <c r="L41" s="6" t="n"/>
      <c r="M41" s="6" t="n"/>
      <c r="N41" s="6" t="n"/>
    </row>
    <row r="42">
      <c r="A42" s="5" t="inlineStr">
        <is>
          <t>Net cash flow from financing activities</t>
        </is>
      </c>
      <c r="B42" s="5" t="n">
        <v>-862</v>
      </c>
      <c r="C42" s="5" t="n">
        <v>-838</v>
      </c>
      <c r="D42" s="5" t="n">
        <v>501619</v>
      </c>
      <c r="E42" s="5" t="n">
        <v>-926</v>
      </c>
      <c r="F42" s="5" t="n">
        <v>948</v>
      </c>
      <c r="G42" s="5" t="n">
        <v>-2238</v>
      </c>
      <c r="H42" s="5" t="n">
        <v>9582</v>
      </c>
      <c r="I42" s="5" t="inlineStr">
        <is>
          <t>-</t>
        </is>
      </c>
      <c r="J42" s="5" t="n">
        <v>-30128</v>
      </c>
      <c r="K42" s="5" t="n">
        <v>57</v>
      </c>
      <c r="L42" s="5" t="n">
        <v>16</v>
      </c>
      <c r="M42" s="5" t="n"/>
      <c r="N42" s="5" t="n"/>
    </row>
    <row r="43">
      <c r="A43" s="5" t="inlineStr">
        <is>
          <t>Increase/(decrease) in cash and cash equivalents</t>
        </is>
      </c>
      <c r="B43" s="5" t="n">
        <v>-734280</v>
      </c>
      <c r="C43" s="5" t="n">
        <v>351396</v>
      </c>
      <c r="D43" s="5" t="n">
        <v>479882</v>
      </c>
      <c r="E43" s="5" t="n">
        <v>-193078</v>
      </c>
      <c r="F43" s="5" t="n">
        <v>143317</v>
      </c>
      <c r="G43" s="5" t="n">
        <v>131241</v>
      </c>
      <c r="H43" s="5" t="n">
        <v>-258370</v>
      </c>
      <c r="I43" s="5" t="n">
        <v>224005</v>
      </c>
      <c r="J43" s="5" t="n">
        <v>129268</v>
      </c>
      <c r="K43" s="5" t="n">
        <v>7324</v>
      </c>
      <c r="L43" s="5" t="n">
        <v>-71029</v>
      </c>
      <c r="M43" s="5" t="n"/>
      <c r="N43" s="5" t="n"/>
    </row>
    <row r="44">
      <c r="A44" s="6" t="inlineStr">
        <is>
          <t>Cash and cash equivalents at beginning of year</t>
        </is>
      </c>
      <c r="B44" s="6" t="n">
        <v>1149307</v>
      </c>
      <c r="C44" s="6" t="n">
        <v>797911</v>
      </c>
      <c r="D44" s="6" t="n">
        <v>318029</v>
      </c>
      <c r="E44" s="6" t="n">
        <v>511107</v>
      </c>
      <c r="F44" s="6" t="n">
        <v>367790</v>
      </c>
      <c r="G44" s="6" t="n">
        <v>236549</v>
      </c>
      <c r="H44" s="6" t="n">
        <v>494919</v>
      </c>
      <c r="I44" s="6" t="n">
        <v>270914</v>
      </c>
      <c r="J44" s="6" t="n">
        <v>141646</v>
      </c>
      <c r="K44" s="6" t="n">
        <v>134322</v>
      </c>
      <c r="L44" s="6" t="n">
        <v>205351</v>
      </c>
      <c r="M44" s="6" t="n"/>
      <c r="N44" s="6" t="n"/>
    </row>
    <row r="45">
      <c r="A45" s="6" t="inlineStr">
        <is>
          <t>Effects of exchange rate change on cash and cash equivalents</t>
        </is>
      </c>
      <c r="B45" s="6" t="n">
        <v>45560</v>
      </c>
      <c r="C45" s="6" t="inlineStr">
        <is>
          <t>-</t>
        </is>
      </c>
      <c r="D45" s="6" t="inlineStr">
        <is>
          <t>-</t>
        </is>
      </c>
      <c r="E45" s="6" t="n"/>
      <c r="F45" s="6" t="inlineStr">
        <is>
          <t>-</t>
        </is>
      </c>
      <c r="G45" s="6" t="inlineStr">
        <is>
          <t>-</t>
        </is>
      </c>
      <c r="H45" s="6" t="inlineStr">
        <is>
          <t>-</t>
        </is>
      </c>
      <c r="I45" s="6" t="inlineStr">
        <is>
          <t>-</t>
        </is>
      </c>
      <c r="J45" s="6" t="inlineStr">
        <is>
          <t>-</t>
        </is>
      </c>
      <c r="K45" s="6" t="n"/>
      <c r="L45" s="6" t="n"/>
      <c r="M45" s="6" t="n"/>
      <c r="N45" s="6" t="n"/>
    </row>
    <row r="46">
      <c r="A46" s="5" t="inlineStr">
        <is>
          <t>Cash and cash equivalents at end of year</t>
        </is>
      </c>
      <c r="B46" s="5" t="n">
        <v>460587</v>
      </c>
      <c r="C46" s="5" t="n">
        <v>1149307</v>
      </c>
      <c r="D46" s="5" t="n">
        <v>797911</v>
      </c>
      <c r="E46" s="5" t="n">
        <v>318029</v>
      </c>
      <c r="F46" s="5" t="n">
        <v>511107</v>
      </c>
      <c r="G46" s="5" t="n">
        <v>367790</v>
      </c>
      <c r="H46" s="5" t="n">
        <v>236549</v>
      </c>
      <c r="I46" s="5" t="n">
        <v>494919</v>
      </c>
      <c r="J46" s="5" t="n">
        <v>270914</v>
      </c>
      <c r="K46" s="5" t="n">
        <v>141646</v>
      </c>
      <c r="L46" s="5" t="n">
        <v>134322</v>
      </c>
      <c r="M46" s="5" t="n"/>
      <c r="N46" s="5" t="n"/>
    </row>
    <row r="47">
      <c r="A47" s="5" t="inlineStr">
        <is>
          <t>Cash and cash equivalents comprise (FY2015-FY2025)</t>
        </is>
      </c>
      <c r="B47" s="6" t="n"/>
      <c r="C47" s="6" t="n"/>
      <c r="D47" s="6" t="n"/>
      <c r="E47" s="6" t="n"/>
      <c r="F47" s="6" t="n"/>
      <c r="G47" s="6" t="n"/>
      <c r="H47" s="6" t="n"/>
      <c r="I47" s="6" t="n"/>
      <c r="J47" s="6" t="n"/>
      <c r="K47" s="6" t="n"/>
      <c r="L47" s="6" t="n"/>
      <c r="M47" s="6" t="n"/>
      <c r="N47" s="6" t="n"/>
    </row>
    <row r="48">
      <c r="A48" s="6" t="inlineStr">
        <is>
          <t>Cash and balances at Central Banks</t>
        </is>
      </c>
      <c r="B48" s="6" t="n">
        <v>17</v>
      </c>
      <c r="C48" s="6" t="n">
        <v>16</v>
      </c>
      <c r="D48" s="6" t="n">
        <v>16</v>
      </c>
      <c r="E48" s="6" t="n">
        <v>15</v>
      </c>
      <c r="F48" s="6" t="n">
        <v>16</v>
      </c>
      <c r="G48" s="6" t="n">
        <v>15</v>
      </c>
      <c r="H48" s="6" t="n">
        <v>12</v>
      </c>
      <c r="I48" s="6" t="n">
        <v>23</v>
      </c>
      <c r="J48" s="6" t="n">
        <v>17</v>
      </c>
      <c r="K48" s="6" t="n">
        <v>29</v>
      </c>
      <c r="L48" s="6" t="n">
        <v>36</v>
      </c>
      <c r="M48" s="6" t="n"/>
      <c r="N48" s="6" t="n"/>
    </row>
    <row r="49">
      <c r="A49" s="6" t="inlineStr">
        <is>
          <t>Loans and advances to banks with original maturity less than three months</t>
        </is>
      </c>
      <c r="B49" s="6" t="n">
        <v>460570</v>
      </c>
      <c r="C49" s="6" t="n">
        <v>1149291</v>
      </c>
      <c r="D49" s="6" t="n">
        <v>797895</v>
      </c>
      <c r="E49" s="6" t="n">
        <v>318014</v>
      </c>
      <c r="F49" s="6" t="n">
        <v>511091</v>
      </c>
      <c r="G49" s="6" t="n">
        <v>367775</v>
      </c>
      <c r="H49" s="6" t="n">
        <v>236537</v>
      </c>
      <c r="I49" s="6" t="n">
        <v>494896</v>
      </c>
      <c r="J49" s="6" t="n">
        <v>270897</v>
      </c>
      <c r="K49" s="6" t="n">
        <v>141617</v>
      </c>
      <c r="L49" s="6" t="n">
        <v>134286</v>
      </c>
      <c r="M49" s="6" t="n"/>
      <c r="N49" s="6" t="n"/>
    </row>
    <row r="50">
      <c r="A50" s="5" t="inlineStr">
        <is>
          <t>Cash and cash equivalents at end of year</t>
        </is>
      </c>
      <c r="B50" s="5" t="n">
        <v>460587</v>
      </c>
      <c r="C50" s="5" t="n">
        <v>1149307</v>
      </c>
      <c r="D50" s="5" t="n">
        <v>797911</v>
      </c>
      <c r="E50" s="5" t="n">
        <v>318029</v>
      </c>
      <c r="F50" s="5" t="n">
        <v>511107</v>
      </c>
      <c r="G50" s="5" t="n">
        <v>367790</v>
      </c>
      <c r="H50" s="5" t="n">
        <v>236549</v>
      </c>
      <c r="I50" s="5" t="n">
        <v>494919</v>
      </c>
      <c r="J50" s="5" t="n">
        <v>270914</v>
      </c>
      <c r="K50" s="5" t="n">
        <v>141646</v>
      </c>
      <c r="L50" s="5" t="n">
        <v>134322</v>
      </c>
      <c r="M50" s="5" t="n"/>
      <c r="N50" s="5" t="n"/>
    </row>
    <row r="51">
      <c r="A51" s="5" t="inlineStr">
        <is>
          <t>Cash flows from operating activities (FY2013-FY2014 - DIRECT method; see DATA QUALITY / METHODOLOGY NOTE in the source citation below)</t>
        </is>
      </c>
      <c r="B51" s="6" t="n"/>
      <c r="C51" s="6" t="n"/>
      <c r="D51" s="6" t="n"/>
      <c r="E51" s="6" t="n"/>
      <c r="F51" s="6" t="n"/>
      <c r="G51" s="6" t="n"/>
      <c r="H51" s="6" t="n"/>
      <c r="I51" s="6" t="n"/>
      <c r="J51" s="6" t="n"/>
      <c r="K51" s="6" t="n"/>
      <c r="L51" s="6" t="n"/>
      <c r="M51" s="6" t="n"/>
      <c r="N51" s="6" t="n"/>
    </row>
    <row r="52">
      <c r="A52" s="6" t="inlineStr">
        <is>
          <t>Interest and commissions received</t>
        </is>
      </c>
      <c r="B52" s="6" t="n"/>
      <c r="C52" s="6" t="n"/>
      <c r="D52" s="6" t="n"/>
      <c r="E52" s="6" t="n"/>
      <c r="F52" s="6" t="n"/>
      <c r="G52" s="6" t="n"/>
      <c r="H52" s="6" t="n"/>
      <c r="I52" s="6" t="n"/>
      <c r="J52" s="6" t="n"/>
      <c r="K52" s="6" t="n"/>
      <c r="L52" s="6" t="n"/>
      <c r="M52" s="6" t="n">
        <v>112779</v>
      </c>
      <c r="N52" s="6" t="n">
        <v>93454</v>
      </c>
    </row>
    <row r="53">
      <c r="A53" s="6" t="inlineStr">
        <is>
          <t>Interest and commissions paid</t>
        </is>
      </c>
      <c r="B53" s="6" t="n"/>
      <c r="C53" s="6" t="n"/>
      <c r="D53" s="6" t="n"/>
      <c r="E53" s="6" t="n"/>
      <c r="F53" s="6" t="n"/>
      <c r="G53" s="6" t="n"/>
      <c r="H53" s="6" t="n"/>
      <c r="I53" s="6" t="n"/>
      <c r="J53" s="6" t="n"/>
      <c r="K53" s="6" t="n"/>
      <c r="L53" s="6" t="n"/>
      <c r="M53" s="6" t="n">
        <v>-72127</v>
      </c>
      <c r="N53" s="6" t="n">
        <v>-77380</v>
      </c>
    </row>
    <row r="54">
      <c r="A54" s="6" t="inlineStr">
        <is>
          <t>Payments to employees and suppliers</t>
        </is>
      </c>
      <c r="B54" s="6" t="n"/>
      <c r="C54" s="6" t="n"/>
      <c r="D54" s="6" t="n"/>
      <c r="E54" s="6" t="n"/>
      <c r="F54" s="6" t="n"/>
      <c r="G54" s="6" t="n"/>
      <c r="H54" s="6" t="n"/>
      <c r="I54" s="6" t="n"/>
      <c r="J54" s="6" t="n"/>
      <c r="K54" s="6" t="n"/>
      <c r="L54" s="6" t="n"/>
      <c r="M54" s="6" t="n">
        <v>-60385</v>
      </c>
      <c r="N54" s="6" t="n">
        <v>-59699</v>
      </c>
    </row>
    <row r="55">
      <c r="A55" s="5" t="inlineStr">
        <is>
          <t>Operating income before changes in operating assets and liabilities</t>
        </is>
      </c>
      <c r="B55" s="5" t="n"/>
      <c r="C55" s="5" t="n"/>
      <c r="D55" s="5" t="n"/>
      <c r="E55" s="5" t="n"/>
      <c r="F55" s="5" t="n"/>
      <c r="G55" s="5" t="n"/>
      <c r="H55" s="5" t="n"/>
      <c r="I55" s="5" t="n"/>
      <c r="J55" s="5" t="n"/>
      <c r="K55" s="5" t="n"/>
      <c r="L55" s="5" t="n"/>
      <c r="M55" s="5" t="n">
        <v>-19733</v>
      </c>
      <c r="N55" s="5" t="n">
        <v>-43625</v>
      </c>
    </row>
    <row r="56">
      <c r="A56" s="6" t="inlineStr">
        <is>
          <t>Trading assets and Financial assets available for sale</t>
        </is>
      </c>
      <c r="B56" s="6" t="n"/>
      <c r="C56" s="6" t="n"/>
      <c r="D56" s="6" t="n"/>
      <c r="E56" s="6" t="n"/>
      <c r="F56" s="6" t="n"/>
      <c r="G56" s="6" t="n"/>
      <c r="H56" s="6" t="n"/>
      <c r="I56" s="6" t="n"/>
      <c r="J56" s="6" t="n"/>
      <c r="K56" s="6" t="n"/>
      <c r="L56" s="6" t="n"/>
      <c r="M56" s="6" t="n">
        <v>-373900</v>
      </c>
      <c r="N56" s="6" t="n">
        <v>89046</v>
      </c>
    </row>
    <row r="57">
      <c r="A57" s="6" t="inlineStr">
        <is>
          <t>Loans and advances to banks (direct-method)</t>
        </is>
      </c>
      <c r="B57" s="6" t="n"/>
      <c r="C57" s="6" t="n"/>
      <c r="D57" s="6" t="n"/>
      <c r="E57" s="6" t="n"/>
      <c r="F57" s="6" t="n"/>
      <c r="G57" s="6" t="n"/>
      <c r="H57" s="6" t="n"/>
      <c r="I57" s="6" t="n"/>
      <c r="J57" s="6" t="n"/>
      <c r="K57" s="6" t="n"/>
      <c r="L57" s="6" t="n"/>
      <c r="M57" s="6" t="n">
        <v>722948</v>
      </c>
      <c r="N57" s="6" t="n">
        <v>-320626</v>
      </c>
    </row>
    <row r="58">
      <c r="A58" s="6" t="inlineStr">
        <is>
          <t>Balances at central banks (direct-method)</t>
        </is>
      </c>
      <c r="B58" s="6" t="n"/>
      <c r="C58" s="6" t="n"/>
      <c r="D58" s="6" t="n"/>
      <c r="E58" s="6" t="n"/>
      <c r="F58" s="6" t="n"/>
      <c r="G58" s="6" t="n"/>
      <c r="H58" s="6" t="n"/>
      <c r="I58" s="6" t="n"/>
      <c r="J58" s="6" t="n"/>
      <c r="K58" s="6" t="n"/>
      <c r="L58" s="6" t="n"/>
      <c r="M58" s="6" t="n">
        <v>80</v>
      </c>
      <c r="N58" s="6" t="n">
        <v>-442</v>
      </c>
    </row>
    <row r="59">
      <c r="A59" s="6" t="inlineStr">
        <is>
          <t>Loans and advances to customers (direct-method)</t>
        </is>
      </c>
      <c r="B59" s="6" t="n"/>
      <c r="C59" s="6" t="n"/>
      <c r="D59" s="6" t="n"/>
      <c r="E59" s="6" t="n"/>
      <c r="F59" s="6" t="n"/>
      <c r="G59" s="6" t="n"/>
      <c r="H59" s="6" t="n"/>
      <c r="I59" s="6" t="n"/>
      <c r="J59" s="6" t="n"/>
      <c r="K59" s="6" t="n"/>
      <c r="L59" s="6" t="n"/>
      <c r="M59" s="6" t="n">
        <v>-520992</v>
      </c>
      <c r="N59" s="6" t="n">
        <v>16120</v>
      </c>
    </row>
    <row r="60">
      <c r="A60" s="6" t="inlineStr">
        <is>
          <t>Other operating assets (direct-method)</t>
        </is>
      </c>
      <c r="B60" s="6" t="n"/>
      <c r="C60" s="6" t="n"/>
      <c r="D60" s="6" t="n"/>
      <c r="E60" s="6" t="n"/>
      <c r="F60" s="6" t="n"/>
      <c r="G60" s="6" t="n"/>
      <c r="H60" s="6" t="n"/>
      <c r="I60" s="6" t="n"/>
      <c r="J60" s="6" t="n"/>
      <c r="K60" s="6" t="n"/>
      <c r="L60" s="6" t="n"/>
      <c r="M60" s="6" t="n">
        <v>28278</v>
      </c>
      <c r="N60" s="6" t="n">
        <v>20124</v>
      </c>
    </row>
    <row r="61">
      <c r="A61" s="6" t="inlineStr">
        <is>
          <t>Trading liabilities (direct-method)</t>
        </is>
      </c>
      <c r="B61" s="6" t="n"/>
      <c r="C61" s="6" t="n"/>
      <c r="D61" s="6" t="n"/>
      <c r="E61" s="6" t="n"/>
      <c r="F61" s="6" t="n"/>
      <c r="G61" s="6" t="n"/>
      <c r="H61" s="6" t="n"/>
      <c r="I61" s="6" t="n"/>
      <c r="J61" s="6" t="n"/>
      <c r="K61" s="6" t="n"/>
      <c r="L61" s="6" t="n"/>
      <c r="M61" s="6" t="n">
        <v>197152</v>
      </c>
      <c r="N61" s="6" t="n">
        <v>-119239</v>
      </c>
    </row>
    <row r="62">
      <c r="A62" s="6" t="inlineStr">
        <is>
          <t>Deposits from banks (direct-method)</t>
        </is>
      </c>
      <c r="B62" s="6" t="n"/>
      <c r="C62" s="6" t="n"/>
      <c r="D62" s="6" t="n"/>
      <c r="E62" s="6" t="n"/>
      <c r="F62" s="6" t="n"/>
      <c r="G62" s="6" t="n"/>
      <c r="H62" s="6" t="n"/>
      <c r="I62" s="6" t="n"/>
      <c r="J62" s="6" t="n"/>
      <c r="K62" s="6" t="n"/>
      <c r="L62" s="6" t="n"/>
      <c r="M62" s="6" t="n">
        <v>-224432</v>
      </c>
      <c r="N62" s="6" t="n">
        <v>414450</v>
      </c>
    </row>
    <row r="63">
      <c r="A63" s="6" t="inlineStr">
        <is>
          <t>Customer accounts (direct-method)</t>
        </is>
      </c>
      <c r="B63" s="6" t="n"/>
      <c r="C63" s="6" t="n"/>
      <c r="D63" s="6" t="n"/>
      <c r="E63" s="6" t="n"/>
      <c r="F63" s="6" t="n"/>
      <c r="G63" s="6" t="n"/>
      <c r="H63" s="6" t="n"/>
      <c r="I63" s="6" t="n"/>
      <c r="J63" s="6" t="n"/>
      <c r="K63" s="6" t="n"/>
      <c r="L63" s="6" t="n"/>
      <c r="M63" s="6" t="n">
        <v>-12851</v>
      </c>
      <c r="N63" s="6" t="n">
        <v>48120</v>
      </c>
    </row>
    <row r="64">
      <c r="A64" s="6" t="inlineStr">
        <is>
          <t>Debt securities in issue (direct-method)</t>
        </is>
      </c>
      <c r="B64" s="6" t="n"/>
      <c r="C64" s="6" t="n"/>
      <c r="D64" s="6" t="n"/>
      <c r="E64" s="6" t="n"/>
      <c r="F64" s="6" t="n"/>
      <c r="G64" s="6" t="n"/>
      <c r="H64" s="6" t="n"/>
      <c r="I64" s="6" t="n"/>
      <c r="J64" s="6" t="n"/>
      <c r="K64" s="6" t="n"/>
      <c r="L64" s="6" t="n"/>
      <c r="M64" s="6" t="n">
        <v>362448</v>
      </c>
      <c r="N64" s="6" t="n">
        <v>-194761</v>
      </c>
    </row>
    <row r="65">
      <c r="A65" s="6" t="inlineStr">
        <is>
          <t>Other operating liabilities (direct-method)</t>
        </is>
      </c>
      <c r="B65" s="6" t="n"/>
      <c r="C65" s="6" t="n"/>
      <c r="D65" s="6" t="n"/>
      <c r="E65" s="6" t="n"/>
      <c r="F65" s="6" t="n"/>
      <c r="G65" s="6" t="n"/>
      <c r="H65" s="6" t="n"/>
      <c r="I65" s="6" t="n"/>
      <c r="J65" s="6" t="n"/>
      <c r="K65" s="6" t="n"/>
      <c r="L65" s="6" t="n"/>
      <c r="M65" s="6" t="n">
        <v>-4666</v>
      </c>
      <c r="N65" s="6" t="n">
        <v>63371</v>
      </c>
    </row>
    <row r="66">
      <c r="A66" s="5" t="inlineStr">
        <is>
          <t>Changes in operating assets and liabilities</t>
        </is>
      </c>
      <c r="B66" s="5" t="n"/>
      <c r="C66" s="5" t="n"/>
      <c r="D66" s="5" t="n"/>
      <c r="E66" s="5" t="n"/>
      <c r="F66" s="5" t="n"/>
      <c r="G66" s="5" t="n"/>
      <c r="H66" s="5" t="n"/>
      <c r="I66" s="5" t="n"/>
      <c r="J66" s="5" t="n"/>
      <c r="K66" s="5" t="n"/>
      <c r="L66" s="5" t="n"/>
      <c r="M66" s="5" t="n">
        <v>174065</v>
      </c>
      <c r="N66" s="5" t="n">
        <v>16163</v>
      </c>
    </row>
    <row r="67">
      <c r="A67" s="5" t="inlineStr">
        <is>
          <t>Net cash flow from operating activities before payment of income tax (direct-method)</t>
        </is>
      </c>
      <c r="B67" s="5" t="n"/>
      <c r="C67" s="5" t="n"/>
      <c r="D67" s="5" t="n"/>
      <c r="E67" s="5" t="n"/>
      <c r="F67" s="5" t="n"/>
      <c r="G67" s="5" t="n"/>
      <c r="H67" s="5" t="n"/>
      <c r="I67" s="5" t="n"/>
      <c r="J67" s="5" t="n"/>
      <c r="K67" s="5" t="n"/>
      <c r="L67" s="5" t="n"/>
      <c r="M67" s="5" t="n">
        <v>154332</v>
      </c>
      <c r="N67" s="5" t="n">
        <v>-27462</v>
      </c>
    </row>
    <row r="68">
      <c r="A68" s="6" t="inlineStr">
        <is>
          <t>Income tax (direct-method)</t>
        </is>
      </c>
      <c r="B68" s="6" t="n"/>
      <c r="C68" s="6" t="n"/>
      <c r="D68" s="6" t="n"/>
      <c r="E68" s="6" t="n"/>
      <c r="F68" s="6" t="n"/>
      <c r="G68" s="6" t="n"/>
      <c r="H68" s="6" t="n"/>
      <c r="I68" s="6" t="n"/>
      <c r="J68" s="6" t="n"/>
      <c r="K68" s="6" t="n"/>
      <c r="L68" s="6" t="n"/>
      <c r="M68" s="6" t="n">
        <v>-119</v>
      </c>
      <c r="N68" s="6" t="n">
        <v>2640</v>
      </c>
    </row>
    <row r="69">
      <c r="A69" s="5" t="inlineStr">
        <is>
          <t>Net cash flow from operating activities (direct-method)</t>
        </is>
      </c>
      <c r="B69" s="5" t="n"/>
      <c r="C69" s="5" t="n"/>
      <c r="D69" s="5" t="n"/>
      <c r="E69" s="5" t="n"/>
      <c r="F69" s="5" t="n"/>
      <c r="G69" s="5" t="n"/>
      <c r="H69" s="5" t="n"/>
      <c r="I69" s="5" t="n"/>
      <c r="J69" s="5" t="n"/>
      <c r="K69" s="5" t="n"/>
      <c r="L69" s="5" t="n"/>
      <c r="M69" s="5" t="n">
        <v>154213</v>
      </c>
      <c r="N69" s="5" t="n">
        <v>-24822</v>
      </c>
    </row>
    <row r="70">
      <c r="A70" s="5" t="inlineStr">
        <is>
          <t>Cash flows from investing activities (FY2013-FY2014)</t>
        </is>
      </c>
      <c r="B70" s="6" t="n"/>
      <c r="C70" s="6" t="n"/>
      <c r="D70" s="6" t="n"/>
      <c r="E70" s="6" t="n"/>
      <c r="F70" s="6" t="n"/>
      <c r="G70" s="6" t="n"/>
      <c r="H70" s="6" t="n"/>
      <c r="I70" s="6" t="n"/>
      <c r="J70" s="6" t="n"/>
      <c r="K70" s="6" t="n"/>
      <c r="L70" s="6" t="n"/>
      <c r="M70" s="6" t="n"/>
      <c r="N70" s="6" t="n"/>
    </row>
    <row r="71">
      <c r="A71" s="6" t="inlineStr">
        <is>
          <t>Cash and equivalents acquired in the merger</t>
        </is>
      </c>
      <c r="B71" s="6" t="n"/>
      <c r="C71" s="6" t="n"/>
      <c r="D71" s="6" t="n"/>
      <c r="E71" s="6" t="n"/>
      <c r="F71" s="6" t="n"/>
      <c r="G71" s="6" t="n"/>
      <c r="H71" s="6" t="n"/>
      <c r="I71" s="6" t="n"/>
      <c r="J71" s="6" t="n"/>
      <c r="K71" s="6" t="n"/>
      <c r="L71" s="6" t="n"/>
      <c r="M71" s="6" t="inlineStr">
        <is>
          <t>-</t>
        </is>
      </c>
      <c r="N71" s="6" t="n">
        <v>46358</v>
      </c>
    </row>
    <row r="72">
      <c r="A72" s="6" t="inlineStr">
        <is>
          <t>Dissolution of subsidiaries</t>
        </is>
      </c>
      <c r="B72" s="6" t="n"/>
      <c r="C72" s="6" t="n"/>
      <c r="D72" s="6" t="n"/>
      <c r="E72" s="6" t="n"/>
      <c r="F72" s="6" t="n"/>
      <c r="G72" s="6" t="n"/>
      <c r="H72" s="6" t="n"/>
      <c r="I72" s="6" t="n"/>
      <c r="J72" s="6" t="n"/>
      <c r="K72" s="6" t="n"/>
      <c r="L72" s="6" t="n"/>
      <c r="M72" s="6" t="n">
        <v>104</v>
      </c>
      <c r="N72" s="6" t="inlineStr">
        <is>
          <t>-</t>
        </is>
      </c>
    </row>
    <row r="73">
      <c r="A73" s="6" t="inlineStr">
        <is>
          <t>Subsidiaries' capital increase</t>
        </is>
      </c>
      <c r="B73" s="6" t="n"/>
      <c r="C73" s="6" t="n"/>
      <c r="D73" s="6" t="n"/>
      <c r="E73" s="6" t="n"/>
      <c r="F73" s="6" t="n"/>
      <c r="G73" s="6" t="n"/>
      <c r="H73" s="6" t="n"/>
      <c r="I73" s="6" t="n"/>
      <c r="J73" s="6" t="n"/>
      <c r="K73" s="6" t="n"/>
      <c r="L73" s="6" t="n"/>
      <c r="M73" s="6" t="n">
        <v>-70000</v>
      </c>
      <c r="N73" s="6" t="inlineStr">
        <is>
          <t>-</t>
        </is>
      </c>
    </row>
    <row r="74">
      <c r="A74" s="6" t="inlineStr">
        <is>
          <t>Dividends received (direct-method section)</t>
        </is>
      </c>
      <c r="B74" s="6" t="n"/>
      <c r="C74" s="6" t="n"/>
      <c r="D74" s="6" t="n"/>
      <c r="E74" s="6" t="n"/>
      <c r="F74" s="6" t="n"/>
      <c r="G74" s="6" t="n"/>
      <c r="H74" s="6" t="n"/>
      <c r="I74" s="6" t="n"/>
      <c r="J74" s="6" t="n"/>
      <c r="K74" s="6" t="n"/>
      <c r="L74" s="6" t="n"/>
      <c r="M74" s="6" t="n">
        <v>6474</v>
      </c>
      <c r="N74" s="6" t="n">
        <v>85962</v>
      </c>
    </row>
    <row r="75">
      <c r="A75" s="6" t="inlineStr">
        <is>
          <t>Purchase of fixed assets (direct-method section)</t>
        </is>
      </c>
      <c r="B75" s="6" t="n"/>
      <c r="C75" s="6" t="n"/>
      <c r="D75" s="6" t="n"/>
      <c r="E75" s="6" t="n"/>
      <c r="F75" s="6" t="n"/>
      <c r="G75" s="6" t="n"/>
      <c r="H75" s="6" t="n"/>
      <c r="I75" s="6" t="n"/>
      <c r="J75" s="6" t="n"/>
      <c r="K75" s="6" t="n"/>
      <c r="L75" s="6" t="n"/>
      <c r="M75" s="6" t="n">
        <v>-3215</v>
      </c>
      <c r="N75" s="6" t="n">
        <v>-4417</v>
      </c>
    </row>
    <row r="76">
      <c r="A76" s="5" t="inlineStr">
        <is>
          <t>Net cash flow from investing activities (direct-method section)</t>
        </is>
      </c>
      <c r="B76" s="5" t="n"/>
      <c r="C76" s="5" t="n"/>
      <c r="D76" s="5" t="n"/>
      <c r="E76" s="5" t="n"/>
      <c r="F76" s="5" t="n"/>
      <c r="G76" s="5" t="n"/>
      <c r="H76" s="5" t="n"/>
      <c r="I76" s="5" t="n"/>
      <c r="J76" s="5" t="n"/>
      <c r="K76" s="5" t="n"/>
      <c r="L76" s="5" t="n"/>
      <c r="M76" s="5" t="n">
        <v>-66637</v>
      </c>
      <c r="N76" s="5" t="n">
        <v>127903</v>
      </c>
    </row>
    <row r="77">
      <c r="A77" s="5" t="inlineStr">
        <is>
          <t>Cash flows from financing activities (FY2013-FY2014)</t>
        </is>
      </c>
      <c r="B77" s="6" t="n"/>
      <c r="C77" s="6" t="n"/>
      <c r="D77" s="6" t="n"/>
      <c r="E77" s="6" t="n"/>
      <c r="F77" s="6" t="n"/>
      <c r="G77" s="6" t="n"/>
      <c r="H77" s="6" t="n"/>
      <c r="I77" s="6" t="n"/>
      <c r="J77" s="6" t="n"/>
      <c r="K77" s="6" t="n"/>
      <c r="L77" s="6" t="n"/>
      <c r="M77" s="6" t="n"/>
      <c r="N77" s="6" t="n"/>
    </row>
    <row r="78">
      <c r="A78" s="6" t="inlineStr">
        <is>
          <t>Purchases/(Sales) of subordinated debt (direct-method section)</t>
        </is>
      </c>
      <c r="B78" s="6" t="n"/>
      <c r="C78" s="6" t="n"/>
      <c r="D78" s="6" t="n"/>
      <c r="E78" s="6" t="n"/>
      <c r="F78" s="6" t="n"/>
      <c r="G78" s="6" t="n"/>
      <c r="H78" s="6" t="n"/>
      <c r="I78" s="6" t="n"/>
      <c r="J78" s="6" t="n"/>
      <c r="K78" s="6" t="n"/>
      <c r="L78" s="6" t="n"/>
      <c r="M78" s="6" t="inlineStr">
        <is>
          <t>-</t>
        </is>
      </c>
      <c r="N78" s="6" t="n">
        <v>30000</v>
      </c>
    </row>
    <row r="79">
      <c r="A79" s="6" t="inlineStr">
        <is>
          <t>Interest paid from financing activities (direct-method section)</t>
        </is>
      </c>
      <c r="B79" s="6" t="n"/>
      <c r="C79" s="6" t="n"/>
      <c r="D79" s="6" t="n"/>
      <c r="E79" s="6" t="n"/>
      <c r="F79" s="6" t="n"/>
      <c r="G79" s="6" t="n"/>
      <c r="H79" s="6" t="n"/>
      <c r="I79" s="6" t="n"/>
      <c r="J79" s="6" t="n"/>
      <c r="K79" s="6" t="n"/>
      <c r="L79" s="6" t="n"/>
      <c r="M79" s="6" t="n">
        <v>-221</v>
      </c>
      <c r="N79" s="6" t="n">
        <v>-142</v>
      </c>
    </row>
    <row r="80">
      <c r="A80" s="5" t="inlineStr">
        <is>
          <t>Net cash flow from financing activities (direct-method section)</t>
        </is>
      </c>
      <c r="B80" s="5" t="n"/>
      <c r="C80" s="5" t="n"/>
      <c r="D80" s="5" t="n"/>
      <c r="E80" s="5" t="n"/>
      <c r="F80" s="5" t="n"/>
      <c r="G80" s="5" t="n"/>
      <c r="H80" s="5" t="n"/>
      <c r="I80" s="5" t="n"/>
      <c r="J80" s="5" t="n"/>
      <c r="K80" s="5" t="n"/>
      <c r="L80" s="5" t="n"/>
      <c r="M80" s="5" t="n">
        <v>-221</v>
      </c>
      <c r="N80" s="5" t="n">
        <v>29858</v>
      </c>
    </row>
    <row r="81">
      <c r="A81" s="6" t="inlineStr">
        <is>
          <t>Effects of exchange rate change on cash and cash equivalents (direct-method section)</t>
        </is>
      </c>
      <c r="B81" s="6" t="n"/>
      <c r="C81" s="6" t="n"/>
      <c r="D81" s="6" t="n"/>
      <c r="E81" s="6" t="n"/>
      <c r="F81" s="6" t="n"/>
      <c r="G81" s="6" t="n"/>
      <c r="H81" s="6" t="n"/>
      <c r="I81" s="6" t="n"/>
      <c r="J81" s="6" t="n"/>
      <c r="K81" s="6" t="n"/>
      <c r="L81" s="6" t="n"/>
      <c r="M81" s="6" t="n">
        <v>-13823</v>
      </c>
      <c r="N81" s="6" t="n">
        <v>-1120</v>
      </c>
    </row>
    <row r="82">
      <c r="A82" s="5" t="inlineStr">
        <is>
          <t>Increase/(decrease) in cash and cash equivalents (direct-method section)</t>
        </is>
      </c>
      <c r="B82" s="5" t="n"/>
      <c r="C82" s="5" t="n"/>
      <c r="D82" s="5" t="n"/>
      <c r="E82" s="5" t="n"/>
      <c r="F82" s="5" t="n"/>
      <c r="G82" s="5" t="n"/>
      <c r="H82" s="5" t="n"/>
      <c r="I82" s="5" t="n"/>
      <c r="J82" s="5" t="n"/>
      <c r="K82" s="5" t="n"/>
      <c r="L82" s="5" t="n"/>
      <c r="M82" s="5" t="n">
        <v>73532</v>
      </c>
      <c r="N82" s="5" t="n">
        <v>131819</v>
      </c>
    </row>
    <row r="83">
      <c r="A83" s="6" t="inlineStr">
        <is>
          <t>Cash and cash equivalents at beginning of year (direct-method section)</t>
        </is>
      </c>
      <c r="B83" s="6" t="n"/>
      <c r="C83" s="6" t="n"/>
      <c r="D83" s="6" t="n"/>
      <c r="E83" s="6" t="n"/>
      <c r="F83" s="6" t="n"/>
      <c r="G83" s="6" t="n"/>
      <c r="H83" s="6" t="n"/>
      <c r="I83" s="6" t="n"/>
      <c r="J83" s="6" t="n"/>
      <c r="K83" s="6" t="n"/>
      <c r="L83" s="6" t="n"/>
      <c r="M83" s="6" t="n">
        <v>131819</v>
      </c>
      <c r="N83" s="6" t="inlineStr">
        <is>
          <t>-</t>
        </is>
      </c>
    </row>
    <row r="84">
      <c r="A84" s="5" t="inlineStr">
        <is>
          <t>Cash and cash equivalents at end of year (direct-method section)</t>
        </is>
      </c>
      <c r="B84" s="5" t="n"/>
      <c r="C84" s="5" t="n"/>
      <c r="D84" s="5" t="n"/>
      <c r="E84" s="5" t="n"/>
      <c r="F84" s="5" t="n"/>
      <c r="G84" s="5" t="n"/>
      <c r="H84" s="5" t="n"/>
      <c r="I84" s="5" t="n"/>
      <c r="J84" s="5" t="n"/>
      <c r="K84" s="5" t="n"/>
      <c r="L84" s="5" t="n"/>
      <c r="M84" s="5" t="n">
        <v>205351</v>
      </c>
      <c r="N84" s="5" t="n">
        <v>131819</v>
      </c>
    </row>
    <row r="85">
      <c r="A85" s="5" t="inlineStr">
        <is>
          <t>Cash and cash equivalents comprise (FY2013-FY2014)</t>
        </is>
      </c>
      <c r="B85" s="6" t="n"/>
      <c r="C85" s="6" t="n"/>
      <c r="D85" s="6" t="n"/>
      <c r="E85" s="6" t="n"/>
      <c r="F85" s="6" t="n"/>
      <c r="G85" s="6" t="n"/>
      <c r="H85" s="6" t="n"/>
      <c r="I85" s="6" t="n"/>
      <c r="J85" s="6" t="n"/>
      <c r="K85" s="6" t="n"/>
      <c r="L85" s="6" t="n"/>
      <c r="M85" s="6" t="n"/>
      <c r="N85" s="6" t="n"/>
    </row>
    <row r="86">
      <c r="A86" s="6" t="inlineStr">
        <is>
          <t>Cash (direct-method section)</t>
        </is>
      </c>
      <c r="B86" s="6" t="n"/>
      <c r="C86" s="6" t="n"/>
      <c r="D86" s="6" t="n"/>
      <c r="E86" s="6" t="n"/>
      <c r="F86" s="6" t="n"/>
      <c r="G86" s="6" t="n"/>
      <c r="H86" s="6" t="n"/>
      <c r="I86" s="6" t="n"/>
      <c r="J86" s="6" t="n"/>
      <c r="K86" s="6" t="n"/>
      <c r="L86" s="6" t="n"/>
      <c r="M86" s="6" t="n">
        <v>29</v>
      </c>
      <c r="N86" s="6" t="n">
        <v>22</v>
      </c>
    </row>
    <row r="87">
      <c r="A87" s="6" t="inlineStr">
        <is>
          <t>Loans and advances to banks repayable on demand (direct-method section)</t>
        </is>
      </c>
      <c r="B87" s="6" t="n"/>
      <c r="C87" s="6" t="n"/>
      <c r="D87" s="6" t="n"/>
      <c r="E87" s="6" t="n"/>
      <c r="F87" s="6" t="n"/>
      <c r="G87" s="6" t="n"/>
      <c r="H87" s="6" t="n"/>
      <c r="I87" s="6" t="n"/>
      <c r="J87" s="6" t="n"/>
      <c r="K87" s="6" t="n"/>
      <c r="L87" s="6" t="n"/>
      <c r="M87" s="6" t="n">
        <v>205322</v>
      </c>
      <c r="N87" s="6" t="n">
        <v>131797</v>
      </c>
    </row>
    <row r="88">
      <c r="A88" s="5" t="inlineStr">
        <is>
          <t>Cash and cash equivalents at end of year (direct-method section, comprise)</t>
        </is>
      </c>
      <c r="B88" s="5" t="n"/>
      <c r="C88" s="5" t="n"/>
      <c r="D88" s="5" t="n"/>
      <c r="E88" s="5" t="n"/>
      <c r="F88" s="5" t="n"/>
      <c r="G88" s="5" t="n"/>
      <c r="H88" s="5" t="n"/>
      <c r="I88" s="5" t="n"/>
      <c r="J88" s="5" t="n"/>
      <c r="K88" s="5" t="n"/>
      <c r="L88" s="5" t="n"/>
      <c r="M88" s="5" t="n">
        <v>205351</v>
      </c>
      <c r="N88" s="5" t="n">
        <v>131819</v>
      </c>
    </row>
    <row r="90" ht="390" customHeight="1">
      <c r="A90" s="8" t="inlineStr">
        <is>
          <t>Sources — all figures are Itau BBA International plc ("IBBAInt"/"the Bank") solo-entity (Bank, not Group) Statement of Cash Flows, USD'000:
FY2025 &amp; FY2024: 2025 Annual Report, p.65 (Statements of Cash Flows) — https://find-and-update.company-information.service.gov.uk/company/07425398/filing-history/MzUyNjQ0MDA3MmFkaXF6a2N4/document?format=pdf&amp;download=0
FY2023 &amp; FY2022: 2023 Annual Report, p.57 (Statement of Cash Flows) — https://find-and-update.company-information.service.gov.uk/company/07425398/filing-history/MzQyMDE3MTk5NWFkaXF6a2N4/document?format=pdf&amp;download=0
FY2021: 2021 Annual Report, p.56 (Statement of Cash Flows) — https://find-and-update.company-information.service.gov.uk/company/07425398/filing-history/MzMzODgwNTQxMWFkaXF6a2N4/document?format=pdf&amp;download=0
Note: these are Companies House filing copies (fully scanned/image-only PDFs, no text layer — transcribed via page-render + manual reading). The bank's own site (itau.co.uk) returned HTTP 403 to every fetch, and the domain referenced throughout the Annual Report for further disclosures (www.itaubba.co.uk) was unreachable this session (connection refused/timed out, and no usable Wayback Machine snapshot was found — a genuine Internet Archive-side outage, not bank-specific), so Companies House was the only available source. [CORRECTED 2026-09-18, GA-018: 'connection refused/timed out' describes only port 443. The host is ALIVE — DNS resolves to 94.126.169.4 and PORT 80 returns HTTP 302 (nginx/1.22.1) redirecting to https://www.itau.com.br/itaubba-en/international, which then returns 403. Companies House remaining the practical source is unaffected; the description of the host is. Full measurements in BLOCKED_HOST_NOTE on the Pillar 3 sheets.] The source labels 'Derivatives designated as hedging instruments' twice per year (once within operating assets, once within operating liabilities) — disambiguated here as '(assets)' / '(liabilities)' for clarity; this is a labeling change only, not a data change. 'Purchases of financial assets measured at fair value through OCI' is printed with an inconsistent sign convention across report vintages (positive in the FY2025 report's own FY2025/FY2024 columns, negative in the FY2023 report's own FY2023/FY2022 columns) — transcribed exactly as each source year printed it, not normalized. Blank cells indicate that year's report did not disclose that specific line. CONVENTION DEFECT, PART-REMEDIED 2026-09-19 FROM THE SOURCE. This sheet was transcribed under a since-retired convention that printed a source dash ('-') as 0, contradicting the project's 2026-09-18 rule that a printed dash is published content and must be carried as a literal '-'. When that was found, the sheet held 15 zero cells and NO literal dashes, and which zeros were dashes was NOT recoverable from the workbook - so nothing was reinterpreted, because back-solving that mapping is what this project forbids. It was instead resolved the only legitimate way, by RE-READING THE SOURCE: p.35 of the 2018 Annual Report (Bank columns, 31.12.18 and 31.12.17) prints a DASH for 'Other non-cash movements' in both years, and for 'Issue/(Repayment) of subordinated debt', 'Interest from financing activities' and 'Net cash flow from financing activities' at 31.12.18. Those five cells now carry a literal '-' instead of 0. The same page prints a DASH for 'Effects of exchange rate change on cash and cash equivalents' in both Bank years, where this sheet had been BLANK - the opposite half of the same defect, a published dash lost as an absence - so those two cells are now '-' as well. THE REMAINING 10 ZEROS, RESOLVED 2026-09-19 FROM EACH YEAR'S OWN EDITION (Bank columns, read off 300dpi page renders, no OCR): ALL TEN ARE PRINTED DASHES and now carry a literal '-'; none was a printed zero and none a real figure. (1) FY2024 'Effects of exchange rate change on cash and cash equivalents': 2024 Annual Report (Companies House filing 12 May 2025, document MzQ2NTc1NjI1M2FkaXF6a2N4), p.58, Bank '2024' - the 2025 edition's comparative (p.65) also prints a dash. (2)-(3) FY2021 'Balances at central banks (mandatory reserves)' and 'Effects of exchange rate change...': 2021 Annual Report p.56, Bank '31.12.21'. (4) FY2019 'Other non-cash movements': 2019 Annual Report (filing 09 Jul 2020, document MzI3MjczNTQwNGFkaXF6a2N4), p.39, Bank '31.12.19'. (5) FY2015 'Other non-cash movements': the 2015 Annual Report (filing 02 Jun 2016, document MzE0OTg1MTU0N2FkaXF6a2N4, p.33) prints NO such line at all, so its own edition says nothing either way; the dash is taken, as a STATED FALLBACK, from the 2016 Annual Report's Bank '31.12.15' comparative on p.28, the declared source of this sheet's FY2015 column. (6)-(7) FY2014 'Cash and equivalents acquired in the merger' and 'Purchases/(Sales) of subordinated debt': 2014 Annual Report, Bank-solo standalone report, printed p.30 (PDF p.129 of the filing), column '31.12.14'. (8) FY2013 'Cash and cash equivalents at beginning of year': 2013 Annual Report (filing 20 Jun 2014, document MzEwMjExOTI2OGFkaXF6a2N4), p.33, column '31.12.13' - the 2014 edition's comparative agrees. (9)-(10) FY2013 'Dissolution of subsidiaries' and 'Subsidiaries' capital increase': the 2013 edition prints NEITHER line, so the dash is taken, as a STATED FALLBACK, from the 2014 Bank-solo report's '31.12.13' comparative (printed p.30), the declared source of this sheet's FY2013 column. Nothing on this sheet remains UNREACHED from this defect, and the sheet now holds no zero cells. BLANK-FOR-DASH FOLLOW-UP, RESOLVED 2026-09-19 FROM EACH YEAR'S OWN EDITION (GA-008): the Bank columns print a dash for 'Effects of exchange rate change on cash and cash equivalents' at 31.12.23, 31.12.20 and 31.12.19, where this sheet's cells had been BLANK - the same blank-for-dash half of the defect as FY2018/FY2017 above. Each was read off a page render of its OWN edition (Companies House scans, image-only - 0 hits for ' the ' under pdftotext - so no text search was relied on): FY2023 - 2023 Annual Report (document MzQyMDE3MTk5NWFkaXF6a2N4) p.57, Bank '2023' prints '-' (Group prints 1 647); FY2020 - 2020 Annual Report (document MzI5ODk0OTk0OGFkaXF6a2N4) p.46, Bank 'Year ended 31.12.20' prints '-' (Group prints (49)); FY2019 - 2019 Annual Report (document MzI3MjczNTQwNGFkaXF6a2N4) p.39, Bank '31.12.19' prints '-' (Group prints (956)). All three cells now carry a literal '-'. Each own edition agrees with the later edition's comparative (2024 p.58, 2021 p.56, 2020 p.46). OBSERVED, NOT ACTED ON (outside that approved scope): the 2023 Annual Report p.57 also prints a dash in the Bank '2022' comparative column on this row, and this sheet's FY2022 cell - whose declared source is that page - is BLANK; the FY2022 edition's own page has not been read for it. CASH ROLL-FORWARD: A TRANSCRIPTION DEFECT, FOUND AND CORRECTED 2026-09-19. This passage previously asserted that all 5 years' opening cash balances tie exactly to the prior year's closing balance - true when written, for FY2025-FY2021, but STALE once HD-052 extended the sheet to 13 years. Re-measured across all 13 columns, 8 boundaries tied, 2 broke and 2 were unscorable (FY2014/FY2013 hold no figures on these rows). The tell was not the magnitude: FY2018's opening EQUALED its own closing (both 270,914) and FY2017's opening EQUALED its own closing (both 141,646), i.e. exactly zero net cash movement two years running, which a real roll-forward does not do. p.35 of the 2018 Annual Report settles it - the Bank columns print cash and cash equivalents AT END OF YEAR of 494,919 (31.12.18) and 270,914 (31.12.17). Both cells had been filled with that year's OPENING balance instead. Corrected to the printed figures, on three rows (the statement total, the 'comprise' subtotal, and the Overview sheet's copy). This is a READ, not a back-solve, and the workbook was already overdetermined against it: the comprise components on this sheet (23 + 494,896 and 17 + 270,897) and the printed Increase/(decrease) rows (224,005 and 129,268 on openings of 270,914 and 141,646) both give the same two figures. Every other FY2018/FY2017 value on this sheet - more than thirty of them - already reproduced p.35 exactly, so the defect was confined to those cells. All 13 boundaries now tie or are unscorable; none breaks. CITATION DEFECT FOUND IN THE SAME PASS, CORRECTED: the URLs cited here for the 2018 and 2020 Annual Reports pointed at the WRONG FILINGS - a PSC04 (change of person with significant control, filed 06/11/2019) and a TM01 (termination of a director appointment, filed 03/01/2022) respectively. Both were live 200-response PDFs, so a status check could never have caught them; only opening them could. They are replaced with the accounts filings themselves (FY2018 accounts filed 08 May 2019; FY2020 accounts filed 28 Apr 2021). The page references were always right - it was only the document ids that were wrong. DATA QUALITY NOTE: summing FY2024's own individually-transcribed line items gives USD 233,960k for 'Net cash flow from operating activities before payment of income tax', a USD 7k gap against the figure the source itself prints for that subtotal (USD 233,967k, used here) — an immaterial rounding artifact within the source document, not a transcription error (every individual line item ties exactly to the source page); flagged rather than silently adjusted, per this project's convention.
HD-052 (2026-09-05) extension to FY2014-FY2020, Bank/solo basis, USD'000, from Companies House filing-history scans (image-only PDFs, OCR'd + page-rendered for reading; no live itau.co.uk/itaubba.co.uk source was reachable, same constraint as the FY2021-2025 years above):
FY2020 &amp; FY2019: 2020 Annual Report, p.46 (Statement of Cash Flows) — https://find-and-update.company-information.service.gov.uk/company/07425398/filing-history/MzI5ODk0OTk0OGFkaXF6a2N4/document?format=pdf&amp;download=0
FY2018 &amp; FY2017: 2018 Annual Report, p.35 (Statement of Cash Flows) — https://find-and-update.company-information.service.gov.uk/company/07425398/filing-history/MzIzMzkyNDA5MmFkaXF6a2N4/document?format=pdf&amp;download=0</t>
        </is>
      </c>
    </row>
    <row r="92" ht="170" customHeight="1">
      <c r="A92" s="8" t="inlineStr">
        <is>
          <t>(continued)
FY2016 &amp; FY2015: 2016 Annual Report, p.28 (Statement of Cash Flows) — https://find-and-update.company-information.service.gov.uk/company/07425398/filing-history/MzE3NTM0ODg3NmFkaXF6a2N4/document?format=pdf&amp;download=0
FY2014 &amp; FY2013: 2014 Annual Report (the Bank-solo standalone report; the Companies House filing bundles this together with a separate '2014 Consolidated Annual Report' covering the Group — only the Bank-solo report is used, matching this sheet's entity basis), p.30 (Statement of Cash Flows) — https://find-and-update.company-information.service.gov.uk/company/07425398/filing-history/MzEyNTM4MDgyMGFkaXF6a2N4/document?format=pdf&amp;download=0
HD-072 (2026-09-06): FY2013 added (Balance Sheet/P&amp;L/Equity/Cash Flow only, per that ticket's scope) as the 2014 Annual Report's own FY2013 comparative column on the same p.30 Statement of Cash Flows — same source document already downloaded for FY2014, re-read for its comparative column.
DATA QUALITY / METHODOLOGY NOTE: both FY2014's and FY2013's own Statement of Cash Flows are presented under the DIRECT method (interest/commissions received and paid, payments to employees and suppliers, etc.) — genuinely different from the INDIRECT method (reconciliation from profit before tax) used in every FY2015-2025 report. Rather than force these two years' direct-method lines into the indirect-method row structure, FY2013-FY2014 are shown in their own section below with their own line items; the indirect-method rows are blank for FY2013/FY2014 only. All methods reconcile to the same cash position with no year skipped: FY2013's own closing cash of USD 131,819k ties exactly to FY2014's own opening cash of USD 131,819k, and FY2014's own closing cash of USD 205,351k ties exactly to FY2015's own opening cash of USD 205,351k (via the 2016 Annual Report's own FY2015 column). FY2013's own 'Cash and cash equivalents at beginning of year' is genuinely blank ('-') in the source — 2013 was the year Itau BBA International plc merged with its former sister entity (see the Statement of Changes in Equity sheet's 'Share capital of the acquiree on the merger' row and this sheet's own 'Cash and equivalents acquired in the merger' line of USD 46,358k) — the pre-merger entity's own opening cash position is not disclosed as a comparative in this statement, not an omission here. DATA QUALITY NOTE: summing FY2020's own individually-transcribed Bank investing-activities line items gives USD (51,561)k, a USD 270k gap against the figure the source itself prints for 'Net cash flow from investing activities' (USD (51,831)k, used here) - every individual line item ties exactly to the source page, so this is an internal inconsistency in the source document itself, not a transcription error; flagged rather than silently adjusted, per this project's convention. FY2016's own source table prints the label '(Purchases) / Sales of fixed assets' twice with different values in the same investing-activities section (Bank: 28,975 and (84)) - both are transcribed as separate lines here (the first labeled 'initial disposal' for clarity), but summing all of FY2016's own individually-transcribed Bank investing-activities lines gives +USD 28,814k, the exact MAGNITUDE of the source's own printed 'Net cash flow from investing activities' subtotal but with the OPPOSITE SIGN (source prints USD (28,814)k) - every individual line ties exactly to the source page, so this is a sign inconsistency in the source document's own subtotal, not a transcription error; the source's own printed subtotal (negative) is used here and flagged rather than silently corrected.</t>
        </is>
      </c>
    </row>
  </sheetData>
  <mergeCells count="2">
    <mergeCell ref="A90:N90"/>
    <mergeCell ref="A92:N9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3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Itau BBA International plc — Asset Quality (Bank, solo)</t>
        </is>
      </c>
    </row>
    <row r="2">
      <c r="A2" s="2" t="inlineStr">
        <is>
          <t>Itau BBA International plc (Bank/solo basis, not Group), USD'000 - covers loans and advances to customers PLUS off-balance-sheet guarantees and commitments (the Bank's own disclosed population for this note), not just the on-balance loan book, so totals will not tie exactly to the Balance Sheet's own 'Loans and advances to customers' line</t>
        </is>
      </c>
    </row>
    <row r="3">
      <c r="A3" s="4" t="inlineStr">
        <is>
          <t>Line item</t>
        </is>
      </c>
      <c r="B3" s="4" t="inlineStr">
        <is>
          <t>FY2025 (USD'000)</t>
        </is>
      </c>
      <c r="C3" s="4" t="inlineStr">
        <is>
          <t>FY2024 (USD'000)</t>
        </is>
      </c>
      <c r="D3" s="4" t="inlineStr">
        <is>
          <t>FY2023 (USD'000)</t>
        </is>
      </c>
      <c r="E3" s="4" t="inlineStr">
        <is>
          <t>FY2022 (USD'000)</t>
        </is>
      </c>
      <c r="F3" s="4" t="inlineStr">
        <is>
          <t>FY2021 (USD'000)</t>
        </is>
      </c>
      <c r="G3" s="4" t="inlineStr">
        <is>
          <t>FY2020 (USD'000)</t>
        </is>
      </c>
      <c r="H3" s="4" t="inlineStr">
        <is>
          <t>FY2019 (USD'000)</t>
        </is>
      </c>
      <c r="I3" s="4" t="inlineStr">
        <is>
          <t>FY2018 (USD'000)</t>
        </is>
      </c>
      <c r="J3" s="4" t="inlineStr">
        <is>
          <t>FY2017 (USD'000)</t>
        </is>
      </c>
      <c r="K3" s="4" t="inlineStr">
        <is>
          <t>FY2016 (USD'000)</t>
        </is>
      </c>
      <c r="L3" s="4" t="inlineStr">
        <is>
          <t>FY2015 (USD'000)</t>
        </is>
      </c>
      <c r="M3" s="4" t="inlineStr">
        <is>
          <t>FY2014 (USD'000)</t>
        </is>
      </c>
    </row>
    <row r="4">
      <c r="A4" s="5" t="inlineStr">
        <is>
          <t>Loans and advances to customers, guarantees and commitments, by IFRS 9 stage</t>
        </is>
      </c>
      <c r="B4" s="6" t="n"/>
      <c r="C4" s="6" t="n"/>
      <c r="D4" s="6" t="n"/>
      <c r="E4" s="6" t="n"/>
      <c r="F4" s="6" t="n"/>
      <c r="G4" s="6" t="n"/>
      <c r="H4" s="6" t="n"/>
      <c r="I4" s="6" t="n"/>
      <c r="J4" s="6" t="n"/>
      <c r="K4" s="6" t="n"/>
      <c r="L4" s="6" t="n"/>
      <c r="M4" s="6" t="n"/>
    </row>
    <row r="5">
      <c r="A5" s="6" t="inlineStr">
        <is>
          <t>Stage 1 gross maximum exposure</t>
        </is>
      </c>
      <c r="B5" s="6" t="n">
        <v>4433270</v>
      </c>
      <c r="C5" s="6" t="n">
        <v>4784996</v>
      </c>
      <c r="D5" s="6" t="n">
        <v>4407196</v>
      </c>
      <c r="E5" s="6" t="n">
        <v>3926594</v>
      </c>
      <c r="F5" s="6" t="n">
        <v>3347695</v>
      </c>
      <c r="G5" s="6" t="n">
        <v>3133226</v>
      </c>
      <c r="H5" s="6" t="n">
        <v>4594070</v>
      </c>
      <c r="I5" s="6" t="n">
        <v>4477123</v>
      </c>
      <c r="J5" s="6" t="n"/>
      <c r="K5" s="6" t="n"/>
      <c r="L5" s="6" t="n"/>
      <c r="M5" s="6" t="n"/>
    </row>
    <row r="6">
      <c r="A6" s="6" t="inlineStr">
        <is>
          <t>Stage 1 ECL provisions</t>
        </is>
      </c>
      <c r="B6" s="6" t="n">
        <v>-1071</v>
      </c>
      <c r="C6" s="6" t="n">
        <v>-1135</v>
      </c>
      <c r="D6" s="6" t="n">
        <v>-1441</v>
      </c>
      <c r="E6" s="6" t="n">
        <v>-2657</v>
      </c>
      <c r="F6" s="6" t="n">
        <v>-3212</v>
      </c>
      <c r="G6" s="6" t="n">
        <v>-2251</v>
      </c>
      <c r="H6" s="6" t="n">
        <v>-1856</v>
      </c>
      <c r="I6" s="6" t="n">
        <v>-1474</v>
      </c>
      <c r="J6" s="6" t="n"/>
      <c r="K6" s="6" t="n"/>
      <c r="L6" s="6" t="n"/>
      <c r="M6" s="6" t="n"/>
    </row>
    <row r="7">
      <c r="A7" s="6" t="inlineStr">
        <is>
          <t>Stage 1 cash collateral</t>
        </is>
      </c>
      <c r="B7" s="6" t="n">
        <v>-850</v>
      </c>
      <c r="C7" s="6" t="n">
        <v>-7303</v>
      </c>
      <c r="D7" s="6" t="n">
        <v>-15535</v>
      </c>
      <c r="E7" s="6" t="n">
        <v>-47791</v>
      </c>
      <c r="F7" s="6" t="n">
        <v>-196179</v>
      </c>
      <c r="G7" s="6" t="n">
        <v>-471424</v>
      </c>
      <c r="H7" s="6" t="n">
        <v>-719479</v>
      </c>
      <c r="I7" s="6" t="n">
        <v>-895973</v>
      </c>
      <c r="J7" s="6" t="n"/>
      <c r="K7" s="6" t="n"/>
      <c r="L7" s="6" t="n"/>
      <c r="M7" s="6" t="n"/>
    </row>
    <row r="8">
      <c r="A8" s="5" t="inlineStr">
        <is>
          <t>Stage 1 net exposure</t>
        </is>
      </c>
      <c r="B8" s="5" t="n">
        <v>4431349</v>
      </c>
      <c r="C8" s="5" t="n">
        <v>4776558</v>
      </c>
      <c r="D8" s="5" t="n">
        <v>4390220</v>
      </c>
      <c r="E8" s="5" t="n">
        <v>3876146</v>
      </c>
      <c r="F8" s="5" t="n">
        <v>3148304</v>
      </c>
      <c r="G8" s="5" t="n">
        <v>2661802</v>
      </c>
      <c r="H8" s="5" t="n">
        <v>3874591</v>
      </c>
      <c r="I8" s="5" t="n">
        <v>3581150</v>
      </c>
      <c r="J8" s="5" t="n"/>
      <c r="K8" s="5" t="n"/>
      <c r="L8" s="5" t="n"/>
      <c r="M8" s="5" t="n"/>
    </row>
    <row r="9">
      <c r="A9" s="6" t="inlineStr">
        <is>
          <t>Stage 2 gross maximum exposure</t>
        </is>
      </c>
      <c r="B9" s="6" t="n">
        <v>38424</v>
      </c>
      <c r="C9" s="6" t="n">
        <v>41564</v>
      </c>
      <c r="D9" s="6" t="n">
        <v>15922</v>
      </c>
      <c r="E9" s="6" t="n">
        <v>152346</v>
      </c>
      <c r="F9" s="6" t="n">
        <v>249586</v>
      </c>
      <c r="G9" s="6" t="n">
        <v>563149</v>
      </c>
      <c r="H9" s="6" t="n">
        <v>32094</v>
      </c>
      <c r="I9" s="6" t="n">
        <v>12824</v>
      </c>
      <c r="J9" s="6" t="n"/>
      <c r="K9" s="6" t="n"/>
      <c r="L9" s="6" t="n"/>
      <c r="M9" s="6" t="n"/>
    </row>
    <row r="10">
      <c r="A10" s="6" t="inlineStr">
        <is>
          <t>Stage 2 ECL provisions</t>
        </is>
      </c>
      <c r="B10" s="6" t="n"/>
      <c r="C10" s="6" t="n"/>
      <c r="D10" s="6" t="n"/>
      <c r="E10" s="6" t="n">
        <v>-32</v>
      </c>
      <c r="F10" s="6" t="n">
        <v>-3665</v>
      </c>
      <c r="G10" s="6" t="n">
        <v>-14380</v>
      </c>
      <c r="H10" s="6" t="n">
        <v>-1153</v>
      </c>
      <c r="I10" s="6" t="n">
        <v>-7</v>
      </c>
      <c r="J10" s="6" t="n"/>
      <c r="K10" s="6" t="n"/>
      <c r="L10" s="6" t="n"/>
      <c r="M10" s="6" t="n"/>
    </row>
    <row r="11">
      <c r="A11" s="6" t="inlineStr">
        <is>
          <t>Stage 2 cash collateral</t>
        </is>
      </c>
      <c r="B11" s="6" t="n"/>
      <c r="C11" s="6" t="n">
        <v>-5627</v>
      </c>
      <c r="D11" s="6" t="n"/>
      <c r="E11" s="6" t="n"/>
      <c r="F11" s="6" t="n"/>
      <c r="G11" s="6" t="n">
        <v>-101442</v>
      </c>
      <c r="H11" s="6" t="n">
        <v>-17871</v>
      </c>
      <c r="I11" s="6" t="n"/>
      <c r="J11" s="6" t="n"/>
      <c r="K11" s="6" t="n"/>
      <c r="L11" s="6" t="n"/>
      <c r="M11" s="6" t="n"/>
    </row>
    <row r="12">
      <c r="A12" s="5" t="inlineStr">
        <is>
          <t>Stage 2 net exposure</t>
        </is>
      </c>
      <c r="B12" s="5" t="n">
        <v>38424</v>
      </c>
      <c r="C12" s="5" t="n">
        <v>35937</v>
      </c>
      <c r="D12" s="5" t="n">
        <v>15922</v>
      </c>
      <c r="E12" s="5" t="n">
        <v>152314</v>
      </c>
      <c r="F12" s="5" t="n">
        <v>245921</v>
      </c>
      <c r="G12" s="5" t="n">
        <v>461707</v>
      </c>
      <c r="H12" s="5" t="n">
        <v>14223</v>
      </c>
      <c r="I12" s="5" t="n">
        <v>12824</v>
      </c>
      <c r="J12" s="5" t="n"/>
      <c r="K12" s="5" t="n"/>
      <c r="L12" s="5" t="n"/>
      <c r="M12" s="5" t="n"/>
    </row>
    <row r="13">
      <c r="A13" s="6" t="inlineStr">
        <is>
          <t>Stage 3 gross maximum exposure</t>
        </is>
      </c>
      <c r="B13" s="6" t="n">
        <v>91484</v>
      </c>
      <c r="C13" s="6" t="n"/>
      <c r="D13" s="6" t="n"/>
      <c r="E13" s="6" t="n"/>
      <c r="F13" s="6" t="n"/>
      <c r="G13" s="6" t="n"/>
      <c r="H13" s="6" t="n"/>
      <c r="I13" s="6" t="n"/>
      <c r="J13" s="6" t="n"/>
      <c r="K13" s="6" t="n"/>
      <c r="L13" s="6" t="n"/>
      <c r="M13" s="6" t="n"/>
    </row>
    <row r="14">
      <c r="A14" s="6" t="inlineStr">
        <is>
          <t>Stage 3 cash collateral</t>
        </is>
      </c>
      <c r="B14" s="6" t="n">
        <v>-250</v>
      </c>
      <c r="C14" s="6" t="n"/>
      <c r="D14" s="6" t="n"/>
      <c r="E14" s="6" t="n"/>
      <c r="F14" s="6" t="n"/>
      <c r="G14" s="6" t="n"/>
      <c r="H14" s="6" t="n"/>
      <c r="I14" s="6" t="n"/>
      <c r="J14" s="6" t="n"/>
      <c r="K14" s="6" t="n"/>
      <c r="L14" s="6" t="n"/>
      <c r="M14" s="6" t="n"/>
    </row>
    <row r="15">
      <c r="A15" s="5" t="inlineStr">
        <is>
          <t>Stage 3 net exposure</t>
        </is>
      </c>
      <c r="B15" s="5" t="n">
        <v>91234</v>
      </c>
      <c r="C15" s="5" t="n"/>
      <c r="D15" s="5" t="n"/>
      <c r="E15" s="5" t="n"/>
      <c r="F15" s="5" t="n"/>
      <c r="G15" s="5" t="n"/>
      <c r="H15" s="5" t="n"/>
      <c r="I15" s="5" t="n"/>
      <c r="J15" s="5" t="n"/>
      <c r="K15" s="5" t="n"/>
      <c r="L15" s="5" t="n"/>
      <c r="M15" s="5" t="n"/>
    </row>
    <row r="16">
      <c r="A16" s="5" t="inlineStr">
        <is>
          <t>Total gross maximum exposure</t>
        </is>
      </c>
      <c r="B16" s="5" t="n">
        <v>4563178</v>
      </c>
      <c r="C16" s="5" t="n">
        <v>4826560</v>
      </c>
      <c r="D16" s="5" t="n">
        <v>4423118</v>
      </c>
      <c r="E16" s="5" t="n">
        <v>4078940</v>
      </c>
      <c r="F16" s="5" t="n">
        <v>3597281</v>
      </c>
      <c r="G16" s="5" t="n">
        <v>3696375</v>
      </c>
      <c r="H16" s="5" t="n">
        <v>4626164</v>
      </c>
      <c r="I16" s="5" t="n">
        <v>4489947</v>
      </c>
      <c r="J16" s="5" t="n"/>
      <c r="K16" s="5" t="n"/>
      <c r="L16" s="5" t="n"/>
      <c r="M16" s="5" t="n"/>
    </row>
    <row r="17">
      <c r="A17" s="5" t="inlineStr">
        <is>
          <t>Total ECL provisions</t>
        </is>
      </c>
      <c r="B17" s="5" t="n">
        <v>-1071</v>
      </c>
      <c r="C17" s="5" t="n">
        <v>-1135</v>
      </c>
      <c r="D17" s="5" t="n">
        <v>-1441</v>
      </c>
      <c r="E17" s="5" t="n">
        <v>-2689</v>
      </c>
      <c r="F17" s="5" t="n">
        <v>-6877</v>
      </c>
      <c r="G17" s="5" t="n">
        <v>-16631</v>
      </c>
      <c r="H17" s="5" t="n">
        <v>-3009</v>
      </c>
      <c r="I17" s="5" t="n">
        <v>-1481</v>
      </c>
      <c r="J17" s="5" t="n"/>
      <c r="K17" s="5" t="n"/>
      <c r="L17" s="5" t="n"/>
      <c r="M17" s="5" t="n"/>
    </row>
    <row r="18">
      <c r="A18" s="5" t="inlineStr">
        <is>
          <t>Total cash collateral</t>
        </is>
      </c>
      <c r="B18" s="5" t="n">
        <v>-1100</v>
      </c>
      <c r="C18" s="5" t="n">
        <v>-12930</v>
      </c>
      <c r="D18" s="5" t="n">
        <v>-15535</v>
      </c>
      <c r="E18" s="5" t="n">
        <v>-47791</v>
      </c>
      <c r="F18" s="5" t="n">
        <v>-196179</v>
      </c>
      <c r="G18" s="5" t="n">
        <v>-572866</v>
      </c>
      <c r="H18" s="5" t="n">
        <v>-737350</v>
      </c>
      <c r="I18" s="5" t="n">
        <v>-895973</v>
      </c>
      <c r="J18" s="5" t="n"/>
      <c r="K18" s="5" t="n"/>
      <c r="L18" s="5" t="n"/>
      <c r="M18" s="5" t="n"/>
    </row>
    <row r="19">
      <c r="A19" s="5" t="inlineStr">
        <is>
          <t>Total net exposure</t>
        </is>
      </c>
      <c r="B19" s="5" t="n">
        <v>4561007</v>
      </c>
      <c r="C19" s="5" t="n">
        <v>4812495</v>
      </c>
      <c r="D19" s="5" t="n">
        <v>4406142</v>
      </c>
      <c r="E19" s="5" t="n">
        <v>4028460</v>
      </c>
      <c r="F19" s="5" t="n">
        <v>3394225</v>
      </c>
      <c r="G19" s="5" t="n">
        <v>3123509</v>
      </c>
      <c r="H19" s="5" t="n">
        <v>3888814</v>
      </c>
      <c r="I19" s="5" t="n">
        <v>3593974</v>
      </c>
      <c r="J19" s="5" t="n"/>
      <c r="K19" s="5" t="n"/>
      <c r="L19" s="5" t="n"/>
      <c r="M19" s="5" t="n"/>
    </row>
    <row r="20">
      <c r="A20" s="5" t="inlineStr">
        <is>
          <t>Loans and advances to customers, by IAS 39 category (Bank) - FY2014-FY2017, pre-IFRS 9 (transition 1 Jan 2018); figures as disclosed by the source, USD m (not USD'000 like the rest of this sheet - see source note)</t>
        </is>
      </c>
      <c r="B20" s="6" t="n"/>
      <c r="C20" s="6" t="n"/>
      <c r="D20" s="6" t="n"/>
      <c r="E20" s="6" t="n"/>
      <c r="F20" s="6" t="n"/>
      <c r="G20" s="6" t="n"/>
      <c r="H20" s="6" t="n"/>
      <c r="I20" s="6" t="n"/>
      <c r="J20" s="6" t="n"/>
      <c r="K20" s="6" t="n"/>
      <c r="L20" s="6" t="n"/>
      <c r="M20" s="6" t="n"/>
    </row>
    <row r="21">
      <c r="A21" s="6" t="inlineStr">
        <is>
          <t>Neither past due nor impaired (USD m)</t>
        </is>
      </c>
      <c r="B21" s="6" t="n"/>
      <c r="C21" s="6" t="n"/>
      <c r="D21" s="6" t="n"/>
      <c r="E21" s="6" t="n"/>
      <c r="F21" s="6" t="n"/>
      <c r="G21" s="6" t="n"/>
      <c r="H21" s="6" t="n"/>
      <c r="I21" s="6" t="n"/>
      <c r="J21" s="6" t="n">
        <v>3069</v>
      </c>
      <c r="K21" s="6" t="n">
        <v>2800</v>
      </c>
      <c r="L21" s="6" t="n">
        <v>3198</v>
      </c>
      <c r="M21" s="6" t="n">
        <v>2868</v>
      </c>
    </row>
    <row r="22">
      <c r="A22" s="6" t="inlineStr">
        <is>
          <t>Past due but not impaired (USD m)</t>
        </is>
      </c>
      <c r="B22" s="6" t="n"/>
      <c r="C22" s="6" t="n"/>
      <c r="D22" s="6" t="n"/>
      <c r="E22" s="6" t="n"/>
      <c r="F22" s="6" t="n"/>
      <c r="G22" s="6" t="n"/>
      <c r="H22" s="6" t="n"/>
      <c r="I22" s="6" t="n"/>
      <c r="J22" s="6" t="inlineStr">
        <is>
          <t>-</t>
        </is>
      </c>
      <c r="K22" s="6" t="n">
        <v>0</v>
      </c>
      <c r="L22" s="6" t="n">
        <v>0</v>
      </c>
      <c r="M22" s="6" t="n">
        <v>4</v>
      </c>
    </row>
    <row r="23">
      <c r="A23" s="6" t="inlineStr">
        <is>
          <t>Impaired (USD m)</t>
        </is>
      </c>
      <c r="B23" s="6" t="n"/>
      <c r="C23" s="6" t="n"/>
      <c r="D23" s="6" t="n"/>
      <c r="E23" s="6" t="n"/>
      <c r="F23" s="6" t="n"/>
      <c r="G23" s="6" t="n"/>
      <c r="H23" s="6" t="n"/>
      <c r="I23" s="6" t="n"/>
      <c r="J23" s="6" t="inlineStr">
        <is>
          <t>-</t>
        </is>
      </c>
      <c r="K23" s="6" t="n">
        <v>6</v>
      </c>
      <c r="L23" s="6" t="n">
        <v>8</v>
      </c>
      <c r="M23" s="6" t="n">
        <v>8</v>
      </c>
    </row>
    <row r="24">
      <c r="A24" s="6" t="inlineStr">
        <is>
          <t>Commissions related to amortised cost, net (USD m)</t>
        </is>
      </c>
      <c r="B24" s="6" t="n"/>
      <c r="C24" s="6" t="n"/>
      <c r="D24" s="6" t="n"/>
      <c r="E24" s="6" t="n"/>
      <c r="F24" s="6" t="n"/>
      <c r="G24" s="6" t="n"/>
      <c r="H24" s="6" t="n"/>
      <c r="I24" s="6" t="n"/>
      <c r="J24" s="6" t="n">
        <v>-12</v>
      </c>
      <c r="K24" s="6" t="n">
        <v>-13</v>
      </c>
      <c r="L24" s="6" t="n">
        <v>-15</v>
      </c>
      <c r="M24" s="6" t="n">
        <v>-13</v>
      </c>
    </row>
    <row r="25">
      <c r="A25" s="5" t="inlineStr">
        <is>
          <t>Gross amount of loans and advances to customers (USD m)</t>
        </is>
      </c>
      <c r="B25" s="5" t="n"/>
      <c r="C25" s="5" t="n"/>
      <c r="D25" s="5" t="n"/>
      <c r="E25" s="5" t="n"/>
      <c r="F25" s="5" t="n"/>
      <c r="G25" s="5" t="n"/>
      <c r="H25" s="5" t="n"/>
      <c r="I25" s="5" t="n"/>
      <c r="J25" s="5" t="n">
        <v>3057</v>
      </c>
      <c r="K25" s="5" t="n">
        <v>2793</v>
      </c>
      <c r="L25" s="5" t="n">
        <v>3191</v>
      </c>
      <c r="M25" s="5" t="n">
        <v>2867</v>
      </c>
    </row>
    <row r="26">
      <c r="A26" s="6" t="inlineStr">
        <is>
          <t>Loan impairment (USD m)</t>
        </is>
      </c>
      <c r="B26" s="6" t="n"/>
      <c r="C26" s="6" t="n"/>
      <c r="D26" s="6" t="n"/>
      <c r="E26" s="6" t="n"/>
      <c r="F26" s="6" t="n"/>
      <c r="G26" s="6" t="n"/>
      <c r="H26" s="6" t="n"/>
      <c r="I26" s="6" t="n"/>
      <c r="J26" s="6" t="n">
        <v>-1</v>
      </c>
      <c r="K26" s="6" t="n">
        <v>-11</v>
      </c>
      <c r="L26" s="6" t="n">
        <v>-12</v>
      </c>
      <c r="M26" s="6" t="n">
        <v>-12</v>
      </c>
    </row>
    <row r="27">
      <c r="A27" s="5" t="inlineStr">
        <is>
          <t>Net amount of loans and advances to customers (USD m)</t>
        </is>
      </c>
      <c r="B27" s="5" t="n"/>
      <c r="C27" s="5" t="n"/>
      <c r="D27" s="5" t="n"/>
      <c r="E27" s="5" t="n"/>
      <c r="F27" s="5" t="n"/>
      <c r="G27" s="5" t="n"/>
      <c r="H27" s="5" t="n"/>
      <c r="I27" s="5" t="n"/>
      <c r="J27" s="5" t="n">
        <v>3056</v>
      </c>
      <c r="K27" s="5" t="n">
        <v>2782</v>
      </c>
      <c r="L27" s="5" t="n">
        <v>3179</v>
      </c>
      <c r="M27" s="5" t="n">
        <v>2855</v>
      </c>
    </row>
    <row r="29" ht="390" customHeight="1">
      <c r="A29" s="8" t="inlineStr">
        <is>
          <t>Source — Itau BBA International plc Bank (solo, not Group) financial statements, 2025 Annual Report, p.151 — https://find-and-update.company-information.service.gov.uk/company/07425398/filing-history/MzUyNjQ0MDA3MmFkaXF6a2N4/document?format=pdf&amp;download=0
All 3 statement sheets (Balance Sheet, Profit &amp; Loss, Statement of Changes in Equity) use the Bank/solo column (not Group/consolidated), matching the entity basis already used for this workbook's Cash Flow Statement. Asset Quality also uses the Bank column. Pillar 3 metric sheets (CET1/Tier 1/Total Capital, ratios, Total RWAs, Leverage Ratio) remain Group/consolidated basis, matching how the Annual Report's own 'Capital' section is presented (Group level only, all 5 years) - this is a pre-existing, unchanged choice. 'Quality of the portfolio of Loans and advances to customers, guarantees and committments' table.
Source — Itau BBA International plc Bank (solo, not Group) financial statements, 2023 Annual Report, p.162 — https://find-and-update.company-information.service.gov.uk/company/07425398/filing-history/MzQyMDE3MTk5NWFkaXF6a2N4/document?format=pdf&amp;download=0
All 3 statement sheets (Balance Sheet, Profit &amp; Loss, Statement of Changes in Equity) use the Bank/solo column (not Group/consolidated), matching the entity basis already used for this workbook's Cash Flow Statement. Asset Quality also uses the Bank column. Pillar 3 metric sheets (CET1/Tier 1/Total Capital, ratios, Total RWAs, Leverage Ratio) remain Group/consolidated basis, matching how the Annual Report's own 'Capital' section is presented (Group level only, all 5 years) - this is a pre-existing, unchanged choice. Covers FY2023/FY2022 (same table).
Source — Itau BBA International plc Bank (solo, not Group) financial statements, 2021 Annual Report, p.143 — https://find-and-update.company-information.service.gov.uk/company/07425398/filing-history/MzMzODgwNTQxMWFkaXF6a2N4/document?format=pdf&amp;download=0
All 3 statement sheets (Balance Sheet, Profit &amp; Loss, Statement of Changes in Equity) use the Bank/solo column (not Group/consolidated), matching the entity basis already used for this workbook's Cash Flow Statement. Asset Quality also uses the Bank column. Pillar 3 metric sheets (CET1/Tier 1/Total Capital, ratios, Total RWAs, Leverage Ratio) remain Group/consolidated basis, matching how the Annual Report's own 'Capital' section is presented (Group level only, all 5 years) - this is a pre-existing, unchanged choice. Covers FY2021 (same table; FY2020 comparative not used). As of every year end covered, the Bank had zero Stage 3 exposure except FY2025 (confirmed by reading each year's own note in full - not a gap, a genuine feature until FY2025's one impaired loan, covered by guarantees per the Bank's own disclosure).
Source — Itau BBA International plc Bank (solo, not Group) financial statements, 2020 Annual Report, p.46 — https://find-and-update.company-information.service.gov.uk/company/07425398/filing-history/MzI5ODk0OTk0OGFkaXF6a2N4/document?format=pdf&amp;download=0
All 3 statement sheets (Balance Sheet, Profit &amp; Loss, Statement of Changes in Equity) use the Bank/solo column (not Group/consolidated), matching the entity basis already used for this workbook's Cash Flow Statement. Asset Quality also uses the Bank column. Pillar 3 metric sheets (CET1/Tier 1/Total Capital, ratios, Total RWAs, Leverage Ratio) remain Group/consolidated basis, matching how the Annual Report's own 'Capital' section is presented (Group level only, all 5 years) - this is a pre-existing, unchanged choice. Covers FY2020/FY2019 (same IFRS 9 stage table).
Source — Itau BBA International plc Bank (solo, not Group) financial statements, 2018 Annual Report, p.35 — https://find-and-update.company-information.service.gov.uk/company/07425398/filing-history/MzIzMzkyNDA5MmFkaXF6a2N4/document?format=pdf&amp;download=0
All 3 statement sheets (Balance Sheet, Profit &amp; Loss, Statement of Changes in Equity) use the Bank/solo column (not Group/consolidated), matching the entity basis already used for this workbook's Cash Flow Statement. Asset Quality also uses the Bank column. Pillar 3 metric sheets (CET1/Tier 1/Total Capital, ratios, Total RWAs, Leverage Ratio) remain Group/consolidated basis, matching how the Annual Report's own 'Capital' section is presented (Group level only, all 5 years) - this is a pre-existing, unchanged choice. Covers FY2018 only (same IFRS 9 stage table; this is the first year under the new IFRS 9 stage-based note format - the FY2018 Annual Report does not restate FY2017 to this categorisation, IFRS 9 permitting no restatement of prior-year ECL disclosures). The FY2018 edition's own note therefore shows 31.12.18 only, which is why FY2017 cannot be sourced from it and is taken from FY2017's own filing instead - see the FY2017 entry below.
Source — Itau BBA International plc Bank (solo, not Group) financial statements, 2017 Annual Report, p.90 — https://find-and-update.company-information.service.gov.uk/company/07425398/filing-history/MzIwMzU0NzY5NGFkaXF6a2N4/document?format=pdf&amp;download=0
All 3 statement sheets (Balance Sheet, Profit &amp; Loss, Statement of Changes in Equity) use the Bank/solo column (not Group/consolidated), matching the entity basis already used for this workbook's Cash Flow Statement. Asset Quality also uses the Bank column. Pillar 3 metric sheets (CET1/Tier 1/Total Capital, ratios, Total RWAs, Leverage Ratio) remain Group/consolidated basis, matching how the Annual Report's own 'Capital' section is presented (Group level only, all 5 years) - this is a pre-existing, unchanged choice. Covers FY2017/FY2016 on the OLD IAS 39 basis, table 'Quality of the portfolio of Loans and advances to customers', Bank column at 31.12.17. SUPERSEDES A PRIOR SELF-SKIP: this sheet's FY2017 column was previously left blank with the note that 'no FY2017-native filing was downloaded this session'. That was an access limit, not a non-disclosure, and it is now closed - the filing is on PAGE 8 of the Companies House filing history (filed 26 Apr 2018), which is why a search of page 1 found nothing. THE DOCUMENT IS AN IMAGE-ONLY SCAN with no text layer: a text search of it returns nothing whatever it contains (richness control before OCR: 0 hits for ' the '; after OCR: 1,440). Every figure was OCR'd and then confirmed against a 200 dpi render of printed p.90. VALIDATION: this edition's own FY2016 comparative column reproduces this workbook's existing FY2016 column figure-for-figure (2,800 / - / 6 / (13) / 2,793 / (11) / 2,782), and the FY2017 column foots to its own printed totals (3,069 - 12 = 3,057 gross; 3,057 - 1 = 3,056 net). BASIS: Bank column, not Group - the Group column prints 4,869 / 4,858 / 4,857, and this sheet is Bank-solo throughout. DASH: 'Past due but not impaired' and 'Impaired' are printed as DASHES at 31.12.17 and are carried as literal '-' per the user's 2026-09-18 decision. NOTE THE INCONSISTENCY WITH THE ROW BESIDE THEM, LEFT AS IS RATHER THAN HARMONISED: this workbook's FY2016/FY2015 cells on those rows hold 0, while this edition prints the FY2016 comparative as a dash. Whether the FY2016 edition itself printed a 0 or a dash was not re-checked, so no existing figure was changed.</t>
        </is>
      </c>
    </row>
    <row r="31" ht="190" customHeight="1">
      <c r="A31" s="8" t="inlineStr">
        <is>
          <t>(continued)
Source — Itau BBA International plc Bank (solo, not Group) financial statements, 2016 Annual Report, p.24 — https://find-and-update.company-information.service.gov.uk/company/07425398/filing-history/MzE3NTM0ODg3NmFkaXF6a2N4/document?format=pdf&amp;download=0
All 3 statement sheets (Balance Sheet, Profit &amp; Loss, Statement of Changes in Equity) use the Bank/solo column (not Group/consolidated), matching the entity basis already used for this workbook's Cash Flow Statement. Asset Quality also uses the Bank column. Pillar 3 metric sheets (CET1/Tier 1/Total Capital, ratios, Total RWAs, Leverage Ratio) remain Group/consolidated basis, matching how the Annual Report's own 'Capital' section is presented (Group level only, all 5 years) - this is a pre-existing, unchanged choice. Covers FY2016/FY2015 - pre-IFRS 9 (transition 1 Jan 2018), 'Quality of the portfolio of Loans and advances to customers' note (a narrower population than the IFRS 9-era note above - customers only, no guarantees/commitments - and disclosed in USD m, not USD'000; both figures tie exactly to this sheet's Balance Sheet Loans and advances to customers line when rounded to the nearest USD m).
Source — Itau BBA International plc Bank (solo, not Group) financial statements, 2014 Annual Report, p.27 — https://find-and-update.company-information.service.gov.uk/company/07425398/filing-history/MzEyNTM4MDgyMGFkaXF6a2N4/document?format=pdf&amp;download=0
All 3 statement sheets (Balance Sheet, Profit &amp; Loss, Statement of Changes in Equity) use the Bank/solo column (not Group/consolidated), matching the entity basis already used for this workbook's Cash Flow Statement. Asset Quality also uses the Bank column. Pillar 3 metric sheets (CET1/Tier 1/Total Capital, ratios, Total RWAs, Leverage Ratio) remain Group/consolidated basis, matching how the Annual Report's own 'Capital' section is presented (Group level only, all 5 years) - this is a pre-existing, unchanged choice. Covers FY2014 (Bank-solo standalone report; same pre-IFRS 9 note, USD m). FY2014's one impaired loan (USD 8m) is fully identified in the source's own text as a single loan to an insolvent subsidiary of a Spanish company, 100% impaired as at 31 Dec 2014 - not a residual/unexplained balance.</t>
        </is>
      </c>
    </row>
  </sheetData>
  <mergeCells count="2">
    <mergeCell ref="A31:M31"/>
    <mergeCell ref="A29:M2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04" customWidth="1" min="1" max="1"/>
    <col width="15" customWidth="1" min="2" max="2"/>
    <col width="15" customWidth="1" min="3" max="3"/>
    <col width="15" customWidth="1" min="4" max="4"/>
    <col width="15" customWidth="1" min="5" max="5"/>
    <col width="15" customWidth="1" min="6" max="6"/>
  </cols>
  <sheetData>
    <row r="1">
      <c r="A1" s="1" t="inlineStr">
        <is>
          <t>Itau BBA International plc — UK KM1 Key Metrics Template</t>
        </is>
      </c>
    </row>
    <row r="2">
      <c r="A2" s="2" t="inlineStr">
        <is>
          <t>IBBAInt Group (consolidated basis), as published. Amounts in USD'000; ratios as printed.</t>
        </is>
      </c>
    </row>
    <row r="3">
      <c r="A3" s="4" t="inlineStr">
        <is>
          <t>Line item</t>
        </is>
      </c>
      <c r="B3" s="4" t="inlineStr">
        <is>
          <t>FY2025</t>
        </is>
      </c>
      <c r="C3" s="4" t="inlineStr">
        <is>
          <t>FY2024</t>
        </is>
      </c>
      <c r="D3" s="4" t="inlineStr">
        <is>
          <t>FY2023</t>
        </is>
      </c>
      <c r="E3" s="4" t="inlineStr">
        <is>
          <t>FY2022</t>
        </is>
      </c>
      <c r="F3" s="4" t="inlineStr">
        <is>
          <t>FY2021</t>
        </is>
      </c>
    </row>
    <row r="4">
      <c r="A4" s="5" t="inlineStr">
        <is>
          <t>Available own funds (amounts)</t>
        </is>
      </c>
      <c r="B4" s="6" t="n"/>
      <c r="C4" s="6" t="n"/>
      <c r="D4" s="6" t="n"/>
      <c r="E4" s="6" t="n"/>
      <c r="F4" s="6" t="n"/>
    </row>
    <row r="5">
      <c r="A5" s="6" t="inlineStr">
        <is>
          <t>1 Common Equity Tier 1 (CET1) capital (USD'000)</t>
        </is>
      </c>
      <c r="B5" s="6" t="n">
        <v>2275812</v>
      </c>
      <c r="C5" s="6" t="n">
        <v>2073400</v>
      </c>
      <c r="D5" s="6" t="n">
        <v>1938639</v>
      </c>
      <c r="E5" s="6" t="n">
        <v>1334422</v>
      </c>
      <c r="F5" s="6" t="n">
        <v>1317685</v>
      </c>
    </row>
    <row r="6">
      <c r="A6" s="6" t="inlineStr">
        <is>
          <t>2 Tier 1 capital (USD'000)</t>
        </is>
      </c>
      <c r="B6" s="6" t="n">
        <v>2275812</v>
      </c>
      <c r="C6" s="6" t="n">
        <v>2073400</v>
      </c>
      <c r="D6" s="6" t="n">
        <v>1938639</v>
      </c>
      <c r="E6" s="6" t="n">
        <v>1334422</v>
      </c>
      <c r="F6" s="6" t="n">
        <v>1317685</v>
      </c>
    </row>
    <row r="7">
      <c r="A7" s="6" t="inlineStr">
        <is>
          <t>3 Total capital (USD'000)</t>
        </is>
      </c>
      <c r="B7" s="6" t="n">
        <v>2275812</v>
      </c>
      <c r="C7" s="6" t="n">
        <v>2073400</v>
      </c>
      <c r="D7" s="6" t="n">
        <v>1939956</v>
      </c>
      <c r="E7" s="6" t="n">
        <v>1334422</v>
      </c>
      <c r="F7" s="6" t="n">
        <v>1317685</v>
      </c>
    </row>
    <row r="8">
      <c r="A8" s="5" t="inlineStr">
        <is>
          <t>Risk-weighted exposure amounts</t>
        </is>
      </c>
      <c r="B8" s="6" t="n"/>
      <c r="C8" s="6" t="n"/>
      <c r="D8" s="6" t="n"/>
      <c r="E8" s="6" t="n"/>
      <c r="F8" s="6" t="n"/>
    </row>
    <row r="9">
      <c r="A9" s="6" t="inlineStr">
        <is>
          <t>4 Total risk-weighted exposure amount (USD'000)</t>
        </is>
      </c>
      <c r="B9" s="6" t="n">
        <v>7854786</v>
      </c>
      <c r="C9" s="6" t="n">
        <v>8659758</v>
      </c>
      <c r="D9" s="6" t="n">
        <v>7170116</v>
      </c>
      <c r="E9" s="6" t="n">
        <v>6811769</v>
      </c>
      <c r="F9" s="6" t="n">
        <v>5835714</v>
      </c>
    </row>
    <row r="10">
      <c r="A10" s="5" t="inlineStr">
        <is>
          <t>Capital ratios (as a percentage of risk-weighted exposure amount)</t>
        </is>
      </c>
      <c r="B10" s="6" t="n"/>
      <c r="C10" s="6" t="n"/>
      <c r="D10" s="6" t="n"/>
      <c r="E10" s="6" t="n"/>
      <c r="F10" s="6" t="n"/>
    </row>
    <row r="11">
      <c r="A11" s="6" t="inlineStr">
        <is>
          <t>5 Common Equity Tier 1 ratio (%)</t>
        </is>
      </c>
      <c r="B11" s="6" t="inlineStr">
        <is>
          <t>28.97%</t>
        </is>
      </c>
      <c r="C11" s="6" t="inlineStr">
        <is>
          <t>23.94%</t>
        </is>
      </c>
      <c r="D11" s="6" t="inlineStr">
        <is>
          <t>27.04%</t>
        </is>
      </c>
      <c r="E11" s="6" t="inlineStr">
        <is>
          <t>19.59%</t>
        </is>
      </c>
      <c r="F11" s="6" t="inlineStr">
        <is>
          <t>22.58%</t>
        </is>
      </c>
    </row>
    <row r="12">
      <c r="A12" s="6" t="inlineStr">
        <is>
          <t>6 Tier 1 ratio (%)</t>
        </is>
      </c>
      <c r="B12" s="6" t="inlineStr">
        <is>
          <t>28.97%</t>
        </is>
      </c>
      <c r="C12" s="6" t="inlineStr">
        <is>
          <t>23.94%</t>
        </is>
      </c>
      <c r="D12" s="6" t="inlineStr">
        <is>
          <t>27.04%</t>
        </is>
      </c>
      <c r="E12" s="6" t="inlineStr">
        <is>
          <t>19.59%</t>
        </is>
      </c>
      <c r="F12" s="6" t="inlineStr">
        <is>
          <t>22.58%</t>
        </is>
      </c>
    </row>
    <row r="13">
      <c r="A13" s="6" t="inlineStr">
        <is>
          <t>7 Total capital ratio (%)</t>
        </is>
      </c>
      <c r="B13" s="6" t="inlineStr">
        <is>
          <t>28.97%</t>
        </is>
      </c>
      <c r="C13" s="6" t="inlineStr">
        <is>
          <t>23.94%</t>
        </is>
      </c>
      <c r="D13" s="6" t="inlineStr">
        <is>
          <t>27.06%</t>
        </is>
      </c>
      <c r="E13" s="6" t="inlineStr">
        <is>
          <t>19.59%</t>
        </is>
      </c>
      <c r="F13" s="6" t="inlineStr">
        <is>
          <t>22.58%</t>
        </is>
      </c>
    </row>
    <row r="14">
      <c r="A14" s="5" t="inlineStr">
        <is>
          <t>Additional own funds requirements based on SREP (as a percentage of risk-weighted exposure amount)</t>
        </is>
      </c>
      <c r="B14" s="6" t="n"/>
      <c r="C14" s="6" t="n"/>
      <c r="D14" s="6" t="n"/>
      <c r="E14" s="6" t="n"/>
      <c r="F14" s="6" t="n"/>
    </row>
    <row r="15">
      <c r="A15" s="6" t="inlineStr">
        <is>
          <t>UK 7a Additional CET1 SREP requirements (%)</t>
        </is>
      </c>
      <c r="B15" s="6" t="inlineStr">
        <is>
          <t>1.93%</t>
        </is>
      </c>
      <c r="C15" s="6" t="inlineStr">
        <is>
          <t>2.15%</t>
        </is>
      </c>
      <c r="D15" s="6" t="inlineStr">
        <is>
          <t>2.16%</t>
        </is>
      </c>
      <c r="E15" s="6" t="inlineStr">
        <is>
          <t>2.13%</t>
        </is>
      </c>
      <c r="F15" s="6" t="inlineStr">
        <is>
          <t>2.23%</t>
        </is>
      </c>
    </row>
    <row r="16">
      <c r="A16" s="6" t="inlineStr">
        <is>
          <t>UK 7b Additional AT1 SREP requirements (%)</t>
        </is>
      </c>
      <c r="B16" s="6" t="inlineStr">
        <is>
          <t>0.64%</t>
        </is>
      </c>
      <c r="C16" s="6" t="inlineStr">
        <is>
          <t>0.71%</t>
        </is>
      </c>
      <c r="D16" s="6" t="inlineStr">
        <is>
          <t>0.71%</t>
        </is>
      </c>
      <c r="E16" s="6" t="inlineStr">
        <is>
          <t>0.00%</t>
        </is>
      </c>
      <c r="F16" s="6" t="inlineStr">
        <is>
          <t>0.00%</t>
        </is>
      </c>
    </row>
    <row r="17">
      <c r="A17" s="6" t="inlineStr">
        <is>
          <t>UK 7c Additional T2 SREP requirements (%)</t>
        </is>
      </c>
      <c r="B17" s="6" t="inlineStr">
        <is>
          <t>0.86%</t>
        </is>
      </c>
      <c r="C17" s="6" t="inlineStr">
        <is>
          <t>0.96%</t>
        </is>
      </c>
      <c r="D17" s="6" t="inlineStr">
        <is>
          <t>0.96%</t>
        </is>
      </c>
      <c r="E17" s="6" t="inlineStr">
        <is>
          <t>0.00%</t>
        </is>
      </c>
      <c r="F17" s="6" t="inlineStr">
        <is>
          <t>0.00%</t>
        </is>
      </c>
    </row>
    <row r="18">
      <c r="A18" s="6" t="inlineStr">
        <is>
          <t>UK 7d Total SREP own funds requirements (%)</t>
        </is>
      </c>
      <c r="B18" s="6" t="inlineStr">
        <is>
          <t>11.43%</t>
        </is>
      </c>
      <c r="C18" s="6" t="inlineStr">
        <is>
          <t>11.82%</t>
        </is>
      </c>
      <c r="D18" s="6" t="inlineStr">
        <is>
          <t>11.83%</t>
        </is>
      </c>
      <c r="E18" s="6" t="inlineStr">
        <is>
          <t>11.83%</t>
        </is>
      </c>
      <c r="F18" s="6" t="inlineStr">
        <is>
          <t>12.03%</t>
        </is>
      </c>
    </row>
    <row r="19">
      <c r="A19" s="5" t="inlineStr">
        <is>
          <t>Combined buffer requirement (as a percentage of risk-weighted exposure amount)</t>
        </is>
      </c>
      <c r="B19" s="6" t="n"/>
      <c r="C19" s="6" t="n"/>
      <c r="D19" s="6" t="n"/>
      <c r="E19" s="6" t="n"/>
      <c r="F19" s="6" t="n"/>
    </row>
    <row r="20">
      <c r="A20" s="6" t="inlineStr">
        <is>
          <t>8 Capital conservation buffer (%)</t>
        </is>
      </c>
      <c r="B20" s="6" t="inlineStr">
        <is>
          <t>2.50%</t>
        </is>
      </c>
      <c r="C20" s="6" t="inlineStr">
        <is>
          <t>2.50%</t>
        </is>
      </c>
      <c r="D20" s="6" t="inlineStr">
        <is>
          <t>2.50%</t>
        </is>
      </c>
      <c r="E20" s="6" t="inlineStr">
        <is>
          <t>2.50%</t>
        </is>
      </c>
      <c r="F20" s="6" t="inlineStr">
        <is>
          <t>2.50%</t>
        </is>
      </c>
    </row>
    <row r="21">
      <c r="A21" s="6" t="inlineStr">
        <is>
          <t>UK 8a Conservation buffer due to macro-prudential or systemic risk identified at the level of a Member State (%)</t>
        </is>
      </c>
      <c r="B21" s="6" t="n"/>
      <c r="C21" s="6" t="n"/>
      <c r="D21" s="6" t="n"/>
      <c r="E21" s="6" t="inlineStr">
        <is>
          <t>0.00%</t>
        </is>
      </c>
      <c r="F21" s="6" t="inlineStr">
        <is>
          <t>0.00%</t>
        </is>
      </c>
    </row>
    <row r="22">
      <c r="A22" s="6" t="inlineStr">
        <is>
          <t>9 Institution specific countercyclical capital buffer (%)</t>
        </is>
      </c>
      <c r="B22" s="6" t="inlineStr">
        <is>
          <t>0.15%</t>
        </is>
      </c>
      <c r="C22" s="6" t="inlineStr">
        <is>
          <t>0.12911%</t>
        </is>
      </c>
      <c r="D22" s="6" t="inlineStr">
        <is>
          <t>0.00964%</t>
        </is>
      </c>
      <c r="E22" s="6" t="inlineStr">
        <is>
          <t>0.0045%</t>
        </is>
      </c>
      <c r="F22" s="6" t="inlineStr">
        <is>
          <t>0.00171%</t>
        </is>
      </c>
    </row>
    <row r="23">
      <c r="A23" s="6" t="inlineStr">
        <is>
          <t>UK 9a Systemic risk buffer (%)</t>
        </is>
      </c>
      <c r="B23" s="6" t="inlineStr">
        <is>
          <t>0.00%</t>
        </is>
      </c>
      <c r="C23" s="6" t="inlineStr">
        <is>
          <t>0.00%</t>
        </is>
      </c>
      <c r="D23" s="6" t="inlineStr">
        <is>
          <t>0.00%</t>
        </is>
      </c>
      <c r="E23" s="6" t="inlineStr">
        <is>
          <t>0.00%</t>
        </is>
      </c>
      <c r="F23" s="6" t="inlineStr">
        <is>
          <t>0.00%</t>
        </is>
      </c>
    </row>
    <row r="24">
      <c r="A24" s="6" t="inlineStr">
        <is>
          <t>10 Global Systemically Important Institution buffer (%)</t>
        </is>
      </c>
      <c r="B24" s="6" t="inlineStr">
        <is>
          <t>0.00%</t>
        </is>
      </c>
      <c r="C24" s="6" t="inlineStr">
        <is>
          <t>0.00%</t>
        </is>
      </c>
      <c r="D24" s="6" t="inlineStr">
        <is>
          <t>0.00%</t>
        </is>
      </c>
      <c r="E24" s="6" t="inlineStr">
        <is>
          <t>0.00%</t>
        </is>
      </c>
      <c r="F24" s="6" t="inlineStr">
        <is>
          <t>0.00%</t>
        </is>
      </c>
    </row>
    <row r="25">
      <c r="A25" s="6" t="inlineStr">
        <is>
          <t>UK 10a Other Systemically Important Institution buffer</t>
        </is>
      </c>
      <c r="B25" s="6" t="inlineStr">
        <is>
          <t>0.00%</t>
        </is>
      </c>
      <c r="C25" s="6" t="inlineStr">
        <is>
          <t>0.00%</t>
        </is>
      </c>
      <c r="D25" s="6" t="inlineStr">
        <is>
          <t>0.00%</t>
        </is>
      </c>
      <c r="E25" s="6" t="inlineStr">
        <is>
          <t>0.00%</t>
        </is>
      </c>
      <c r="F25" s="6" t="inlineStr">
        <is>
          <t>0.00%</t>
        </is>
      </c>
    </row>
    <row r="26">
      <c r="A26" s="6" t="inlineStr">
        <is>
          <t>11 Combined buffer requirement (%)</t>
        </is>
      </c>
      <c r="B26" s="6" t="inlineStr">
        <is>
          <t>2.65%</t>
        </is>
      </c>
      <c r="C26" s="6" t="inlineStr">
        <is>
          <t>2.63%</t>
        </is>
      </c>
      <c r="D26" s="6" t="inlineStr">
        <is>
          <t>2.51%</t>
        </is>
      </c>
      <c r="E26" s="6" t="inlineStr">
        <is>
          <t>2.50%</t>
        </is>
      </c>
      <c r="F26" s="6" t="inlineStr">
        <is>
          <t>2.50%</t>
        </is>
      </c>
    </row>
    <row r="27">
      <c r="A27" s="6" t="inlineStr">
        <is>
          <t>UK 11a Overall capital requirements (%)</t>
        </is>
      </c>
      <c r="B27" s="6" t="inlineStr">
        <is>
          <t>14.08%</t>
        </is>
      </c>
      <c r="C27" s="6" t="inlineStr">
        <is>
          <t>14.45%</t>
        </is>
      </c>
      <c r="D27" s="6" t="inlineStr">
        <is>
          <t>14.34%</t>
        </is>
      </c>
      <c r="E27" s="6" t="inlineStr">
        <is>
          <t>14.34%</t>
        </is>
      </c>
      <c r="F27" s="6" t="inlineStr">
        <is>
          <t>14.53%</t>
        </is>
      </c>
    </row>
    <row r="28">
      <c r="A28" s="6" t="inlineStr">
        <is>
          <t>12 CET1 available after meeting the total SREP own funds requirements (%)</t>
        </is>
      </c>
      <c r="B28" s="6" t="inlineStr">
        <is>
          <t>22.57%</t>
        </is>
      </c>
      <c r="C28" s="6" t="inlineStr">
        <is>
          <t>17.32%</t>
        </is>
      </c>
      <c r="D28" s="6" t="inlineStr">
        <is>
          <t>20.41%</t>
        </is>
      </c>
      <c r="E28" s="6" t="inlineStr">
        <is>
          <t>12.96%</t>
        </is>
      </c>
      <c r="F28" s="6" t="inlineStr">
        <is>
          <t>15.84%</t>
        </is>
      </c>
    </row>
    <row r="29">
      <c r="A29" s="5" t="inlineStr">
        <is>
          <t>Leverage ratio — 2023 edition caption ('excluding claims on central banks')</t>
        </is>
      </c>
      <c r="B29" s="6" t="n"/>
      <c r="C29" s="6" t="n"/>
      <c r="D29" s="6" t="n"/>
      <c r="E29" s="6" t="n"/>
      <c r="F29" s="6" t="n"/>
    </row>
    <row r="30">
      <c r="A30" s="6" t="inlineStr">
        <is>
          <t>13 Total exposure measure excluding claims on central banks (USD'000)</t>
        </is>
      </c>
      <c r="B30" s="6" t="n">
        <v>11923853</v>
      </c>
      <c r="C30" s="6" t="n">
        <v>12383352</v>
      </c>
      <c r="D30" s="6" t="n">
        <v>11582569</v>
      </c>
      <c r="E30" s="6" t="n"/>
      <c r="F30" s="6" t="n"/>
    </row>
    <row r="31">
      <c r="A31" s="6" t="inlineStr">
        <is>
          <t>14 Leverage ratio excluding claims on central banks (%)</t>
        </is>
      </c>
      <c r="B31" s="6" t="inlineStr">
        <is>
          <t>19.09%</t>
        </is>
      </c>
      <c r="C31" s="6" t="inlineStr">
        <is>
          <t>16.74%</t>
        </is>
      </c>
      <c r="D31" s="6" t="inlineStr">
        <is>
          <t>16.74%</t>
        </is>
      </c>
      <c r="E31" s="6" t="n"/>
      <c r="F31" s="6" t="n"/>
    </row>
    <row r="32">
      <c r="A32" s="5" t="inlineStr">
        <is>
          <t>Leverage ratio — 2022 edition caption (total exposure measure, no central-bank exclusion stated)</t>
        </is>
      </c>
      <c r="B32" s="6" t="n"/>
      <c r="C32" s="6" t="n"/>
      <c r="D32" s="6" t="n"/>
      <c r="E32" s="6" t="n"/>
      <c r="F32" s="6" t="n"/>
    </row>
    <row r="33">
      <c r="A33" s="6" t="inlineStr">
        <is>
          <t>13 Leverage ratio total exposure measure (USD'000)</t>
        </is>
      </c>
      <c r="B33" s="6" t="n"/>
      <c r="C33" s="6" t="n"/>
      <c r="D33" s="6" t="n"/>
      <c r="E33" s="6" t="n">
        <v>11217813</v>
      </c>
      <c r="F33" s="6" t="n">
        <v>9007527</v>
      </c>
    </row>
    <row r="34">
      <c r="A34" s="6" t="inlineStr">
        <is>
          <t>14 Leverage ratio (%)</t>
        </is>
      </c>
      <c r="B34" s="6" t="n"/>
      <c r="C34" s="6" t="n"/>
      <c r="D34" s="6" t="n"/>
      <c r="E34" s="6" t="inlineStr">
        <is>
          <t>11.90%</t>
        </is>
      </c>
      <c r="F34" s="6" t="inlineStr">
        <is>
          <t>14.63%</t>
        </is>
      </c>
    </row>
    <row r="35">
      <c r="A35" s="5" t="inlineStr">
        <is>
          <t>Additional leverage ratio disclosure requirements — 2023 edition block</t>
        </is>
      </c>
      <c r="B35" s="6" t="n"/>
      <c r="C35" s="6" t="n"/>
      <c r="D35" s="6" t="n"/>
      <c r="E35" s="6" t="n"/>
      <c r="F35" s="6" t="n"/>
    </row>
    <row r="36">
      <c r="A36" s="6" t="inlineStr">
        <is>
          <t>UK 14a Fully loaded ECL accounting model leverage ratio excluding claims on central banks (%)</t>
        </is>
      </c>
      <c r="B36" s="6" t="inlineStr">
        <is>
          <t>19.09%</t>
        </is>
      </c>
      <c r="C36" s="6" t="inlineStr">
        <is>
          <t>16.74%</t>
        </is>
      </c>
      <c r="D36" s="6" t="inlineStr">
        <is>
          <t>16.74%</t>
        </is>
      </c>
      <c r="E36" s="6" t="n"/>
      <c r="F36" s="6" t="n"/>
    </row>
    <row r="37">
      <c r="A37" s="6" t="inlineStr">
        <is>
          <t>UK 14b Leverage ratio including claims on central banks (%)</t>
        </is>
      </c>
      <c r="B37" s="6" t="inlineStr">
        <is>
          <t>19.09%</t>
        </is>
      </c>
      <c r="C37" s="6" t="inlineStr">
        <is>
          <t>16.74%</t>
        </is>
      </c>
      <c r="D37" s="6" t="inlineStr">
        <is>
          <t>16.74%</t>
        </is>
      </c>
      <c r="E37" s="6" t="n"/>
      <c r="F37" s="6" t="n"/>
    </row>
    <row r="38">
      <c r="A38" s="6" t="inlineStr">
        <is>
          <t>UK 14c Average leverage ratio excluding claims on central banks (%)</t>
        </is>
      </c>
      <c r="B38" s="6" t="inlineStr">
        <is>
          <t>-</t>
        </is>
      </c>
      <c r="C38" s="6" t="inlineStr">
        <is>
          <t>-</t>
        </is>
      </c>
      <c r="D38" s="6" t="n"/>
      <c r="E38" s="6" t="n"/>
      <c r="F38" s="6" t="n"/>
    </row>
    <row r="39">
      <c r="A39" s="6" t="inlineStr">
        <is>
          <t>UK 14d Average leverage ratio including claims on central banks (%)</t>
        </is>
      </c>
      <c r="B39" s="6" t="inlineStr">
        <is>
          <t>-</t>
        </is>
      </c>
      <c r="C39" s="6" t="inlineStr">
        <is>
          <t>-</t>
        </is>
      </c>
      <c r="D39" s="6" t="n"/>
      <c r="E39" s="6" t="n"/>
      <c r="F39" s="6" t="n"/>
    </row>
    <row r="40">
      <c r="A40" s="6" t="inlineStr">
        <is>
          <t>UK 14e Countercyclical leverage ratio buffer (%)</t>
        </is>
      </c>
      <c r="B40" s="6" t="inlineStr">
        <is>
          <t>-</t>
        </is>
      </c>
      <c r="C40" s="6" t="inlineStr">
        <is>
          <t>-</t>
        </is>
      </c>
      <c r="D40" s="6" t="n"/>
      <c r="E40" s="6" t="n"/>
      <c r="F40" s="6" t="n"/>
    </row>
    <row r="41">
      <c r="A41" s="5" t="inlineStr">
        <is>
          <t>Additional own funds requirements to address risks of excessive leverage (as a percentage of leverage ratio total exposure amount) — 2022 edition block</t>
        </is>
      </c>
      <c r="B41" s="6" t="n"/>
      <c r="C41" s="6" t="n"/>
      <c r="D41" s="6" t="n"/>
      <c r="E41" s="6" t="n"/>
      <c r="F41" s="6" t="n"/>
    </row>
    <row r="42">
      <c r="A42" s="6" t="inlineStr">
        <is>
          <t>UK 14a Additional CET1 leverage ratio requirements (%) [2022 edition block]</t>
        </is>
      </c>
      <c r="B42" s="6" t="n"/>
      <c r="C42" s="6" t="n"/>
      <c r="D42" s="6" t="n"/>
      <c r="E42" s="6" t="inlineStr">
        <is>
          <t>0.00%</t>
        </is>
      </c>
      <c r="F42" s="6" t="inlineStr">
        <is>
          <t>0.00%</t>
        </is>
      </c>
    </row>
    <row r="43">
      <c r="A43" s="6" t="inlineStr">
        <is>
          <t>UK 14b Additional AT1 leverage ratio requirements (%) [2022 edition block]</t>
        </is>
      </c>
      <c r="B43" s="6" t="n"/>
      <c r="C43" s="6" t="n"/>
      <c r="D43" s="6" t="n"/>
      <c r="E43" s="6" t="inlineStr">
        <is>
          <t>0.00%</t>
        </is>
      </c>
      <c r="F43" s="6" t="inlineStr">
        <is>
          <t>0.00%</t>
        </is>
      </c>
    </row>
    <row r="44">
      <c r="A44" s="6" t="inlineStr">
        <is>
          <t>UK 14c Additional T2 leverage ratio requirements (%) [2022 edition block]</t>
        </is>
      </c>
      <c r="B44" s="6" t="n"/>
      <c r="C44" s="6" t="n"/>
      <c r="D44" s="6" t="n"/>
      <c r="E44" s="6" t="inlineStr">
        <is>
          <t>0.00%</t>
        </is>
      </c>
      <c r="F44" s="6" t="inlineStr">
        <is>
          <t>0.00%</t>
        </is>
      </c>
    </row>
    <row r="45">
      <c r="A45" s="6" t="inlineStr">
        <is>
          <t>UK 14d Total SREP leverage ratio requirements (%) [2022 edition block]</t>
        </is>
      </c>
      <c r="B45" s="6" t="n"/>
      <c r="C45" s="6" t="n"/>
      <c r="D45" s="6" t="n"/>
      <c r="E45" s="6" t="inlineStr">
        <is>
          <t>0.00%</t>
        </is>
      </c>
      <c r="F45" s="6" t="inlineStr">
        <is>
          <t>0.00%</t>
        </is>
      </c>
    </row>
    <row r="46">
      <c r="A46" s="6" t="inlineStr">
        <is>
          <t>UK 14e Applicable leverage buffer [2022 edition block]</t>
        </is>
      </c>
      <c r="B46" s="6" t="n"/>
      <c r="C46" s="6" t="n"/>
      <c r="D46" s="6" t="n"/>
      <c r="E46" s="6" t="inlineStr">
        <is>
          <t>0.00%</t>
        </is>
      </c>
      <c r="F46" s="6" t="inlineStr">
        <is>
          <t>0.00%</t>
        </is>
      </c>
    </row>
    <row r="47">
      <c r="A47" s="6" t="inlineStr">
        <is>
          <t>UK 14f Overall leverage ratio requirements (%) [2022 edition block]</t>
        </is>
      </c>
      <c r="B47" s="6" t="n"/>
      <c r="C47" s="6" t="n"/>
      <c r="D47" s="6" t="n"/>
      <c r="E47" s="6" t="inlineStr">
        <is>
          <t>0.00%</t>
        </is>
      </c>
      <c r="F47" s="6" t="inlineStr">
        <is>
          <t>0.00%</t>
        </is>
      </c>
    </row>
    <row r="48">
      <c r="A48" s="5" t="inlineStr">
        <is>
          <t>Liquidity Coverage Ratio (trailing average of 12 month-end observations)</t>
        </is>
      </c>
      <c r="B48" s="6" t="n"/>
      <c r="C48" s="6" t="n"/>
      <c r="D48" s="6" t="n"/>
      <c r="E48" s="6" t="n"/>
      <c r="F48" s="6" t="n"/>
    </row>
    <row r="49">
      <c r="A49" s="6" t="inlineStr">
        <is>
          <t>15 Total high-quality liquid assets (HQLA) (Weighted value - average) (USD'000)</t>
        </is>
      </c>
      <c r="B49" s="6" t="n">
        <v>2013632</v>
      </c>
      <c r="C49" s="6" t="n">
        <v>1704545</v>
      </c>
      <c r="D49" s="6" t="n">
        <v>1705730</v>
      </c>
      <c r="E49" s="6" t="n">
        <v>1767960</v>
      </c>
      <c r="F49" s="6" t="n">
        <v>1484567</v>
      </c>
    </row>
    <row r="50">
      <c r="A50" s="6" t="inlineStr">
        <is>
          <t>UK 16a Cash outflows - Total weighted value (USD'000)</t>
        </is>
      </c>
      <c r="B50" s="6" t="n">
        <v>1822356</v>
      </c>
      <c r="C50" s="6" t="n">
        <v>1489127</v>
      </c>
      <c r="D50" s="6" t="n">
        <v>1436296</v>
      </c>
      <c r="E50" s="6" t="n">
        <v>1612829</v>
      </c>
      <c r="F50" s="6" t="n">
        <v>1459720</v>
      </c>
    </row>
    <row r="51">
      <c r="A51" s="6" t="inlineStr">
        <is>
          <t>UK 16b Cash inflows - Total weighted value (USD'000)</t>
        </is>
      </c>
      <c r="B51" s="6" t="n">
        <v>953307</v>
      </c>
      <c r="C51" s="6" t="n">
        <v>795261</v>
      </c>
      <c r="D51" s="6" t="n">
        <v>616585</v>
      </c>
      <c r="E51" s="6" t="n">
        <v>674593</v>
      </c>
      <c r="F51" s="6" t="n">
        <v>580600</v>
      </c>
    </row>
    <row r="52">
      <c r="A52" s="6" t="inlineStr">
        <is>
          <t>16 Total net cash outflows (adjusted value) (USD'000)</t>
        </is>
      </c>
      <c r="B52" s="6" t="n">
        <v>875582</v>
      </c>
      <c r="C52" s="6" t="n">
        <v>695043</v>
      </c>
      <c r="D52" s="6" t="n">
        <v>819710</v>
      </c>
      <c r="E52" s="6" t="n">
        <v>938236</v>
      </c>
      <c r="F52" s="6" t="n">
        <v>879120</v>
      </c>
    </row>
    <row r="53">
      <c r="A53" s="6" t="inlineStr">
        <is>
          <t>17 Liquidity coverage ratio (%)</t>
        </is>
      </c>
      <c r="B53" s="6" t="inlineStr">
        <is>
          <t>230%</t>
        </is>
      </c>
      <c r="C53" s="6" t="inlineStr">
        <is>
          <t>245%</t>
        </is>
      </c>
      <c r="D53" s="6" t="inlineStr">
        <is>
          <t>208%</t>
        </is>
      </c>
      <c r="E53" s="6" t="inlineStr">
        <is>
          <t>188%</t>
        </is>
      </c>
      <c r="F53" s="6" t="inlineStr">
        <is>
          <t>169%</t>
        </is>
      </c>
    </row>
    <row r="54">
      <c r="A54" s="5" t="inlineStr">
        <is>
          <t>Net Stable Funding Ratio (trailing average of the last four quarter-ends)</t>
        </is>
      </c>
      <c r="B54" s="6" t="n"/>
      <c r="C54" s="6" t="n"/>
      <c r="D54" s="6" t="n"/>
      <c r="E54" s="6" t="n"/>
      <c r="F54" s="6" t="n"/>
    </row>
    <row r="55">
      <c r="A55" s="6" t="inlineStr">
        <is>
          <t>18 Total available stable funding (USD'000)</t>
        </is>
      </c>
      <c r="B55" s="6" t="n">
        <v>7640751</v>
      </c>
      <c r="C55" s="6" t="n">
        <v>7019120</v>
      </c>
      <c r="D55" s="6" t="n">
        <v>6583126</v>
      </c>
      <c r="E55" s="6" t="n">
        <v>6022050</v>
      </c>
      <c r="F55" s="6" t="n"/>
    </row>
    <row r="56">
      <c r="A56" s="6" t="inlineStr">
        <is>
          <t>19 Total required stable funding (USD'000)</t>
        </is>
      </c>
      <c r="B56" s="6" t="n">
        <v>4342293</v>
      </c>
      <c r="C56" s="6" t="n">
        <v>4425438</v>
      </c>
      <c r="D56" s="6" t="n">
        <v>4097473</v>
      </c>
      <c r="E56" s="6" t="n">
        <v>4007354</v>
      </c>
      <c r="F56" s="6" t="n"/>
    </row>
    <row r="57">
      <c r="A57" s="6" t="inlineStr">
        <is>
          <t>20 NSFR ratio (%)</t>
        </is>
      </c>
      <c r="B57" s="6" t="inlineStr">
        <is>
          <t>176%</t>
        </is>
      </c>
      <c r="C57" s="6" t="inlineStr">
        <is>
          <t>159%</t>
        </is>
      </c>
      <c r="D57" s="6" t="inlineStr">
        <is>
          <t>161%</t>
        </is>
      </c>
      <c r="E57" s="6" t="inlineStr">
        <is>
          <t>150%</t>
        </is>
      </c>
      <c r="F57" s="6" t="n"/>
    </row>
    <row r="59" ht="380" customHeight="1">
      <c r="A59" s="8" t="inlineStr">
        <is>
          <t>Sources — Itau BBA International plc's own 'Template UK KM1: Key Metrics', reproduced as published. IBBAInt Group (consolidated basis — the document states the disclosures refer to the IBBAInt Group, comprising the Bank and its subsidiaries), amounts in thousands of US dollars, the unit the template itself is printed in.
FY2025: 'Market Discipline – 2025 Pillar 3', Section 10 'Key Metrics', Template UK KM1: Key Metrics, p.41, column 'Dec 2025', its OWN reporting year — live: https://www.itau.com.br/media/dam/m/70996afd168ff52f/original/IBBAI_Pillar-3-2025_Final.pdf (no Wayback capture exists)
FY2024: 'Market Discipline – 2024 Pillar III', Section 10 'Key Metrics', Template UK KM1: Key Metrics, p.42, column 'Dez 24', its OWN reporting year — live: https://www.itau.com.br/media/dam/m/4c36b133120fa793/original/IBBAI-Pillar-3-2024-Final.pdf (no Wayback capture exists)
FY2023: 'Market Discipline - 2023 Pillar III' (2023 Pillar 3 Disclosures), Section 10 'Key Metrics', Template UK KM1, p.41, its OWN reporting year — live: https://www.itau.com.br/media/dam/m/11e1e216dd5df1fd/original/Pillar-3-2023.pdf — archived: https://web.archive.org/web/20240812211731id_/https://www.itau.com.br/media/dam/m/11e1e216dd5df1fd/original/Pillar-3-2023.pdf
FY2022: '2022 Pillar 3 Disclosures', Section 10 'Key Metrics', Template UK KM1, p.44, its OWN reporting year — live: https://www.itau.com.br/media/dam/m/58b090bc84eddb94/original/Pillar-3-2022.pdf — archived: https://web.archive.org/web/20230502054346id_/https://www.itau.com.br/media/dam/m/58b090bc84eddb94/original/Pillar-3-2022.pdf
FY2021: NOT from a FY2021 KM1 — the 2021 Pillar 3 Disclosures document predates the template and prints none (see the sheet note). The FY2021 column here is the 2022 edition's own 'Dez 21' COMPARATIVE column, p.44 — live: https://www.itau.com.br/media/dam/m/58b090bc84eddb94/original/Pillar-3-2022.pdf — archived: https://web.archive.org/web/20230502054346id_/https://www.itau.com.br/media/dam/m/58b090bc84eddb94/original/Pillar-3-2022.pdf
The columns carry the template's own reference letters 'a' (reporting date) and 'e' (comparative), and the bank heads them 'Dez 22' / 'Dez 21' in Portuguese-style abbreviation; both are 31 December dates.
BLOCKED SOURCE HOST - NOT A DEAD LINK (recorded 2026-09-16). The three standalone Pillar 3 documents cited on this sheet are hosted on itau.com.br, which refuses automated clients: re-tested 2026-09-16, each URL returns HTTP 403 with a short (~438-458 byte) text/html body, a Cloudflare/WAF bot challenge. A 403 is explicitly an UNKNOWN state, NOT evidence of removal - it records that the host declined to serve this project's automated fetcher, and the documents may well still be retrievable by a human browser or from a different network. For that reason the publisher's own live URL remains the PRIMARY citation for every figure on this sheet and has deliberately NOT been replaced. The Wayback Machine snapshot shown next to it is a LABELLED FALLBACK, provided only so the figure stays verifiable when the host refuses the reader as it refused this session. Fallbacks are given in the 'id_' form (https://web.archive.org/web/&lt;timestamp&gt;id_/&lt;original URL&gt;), which returns the original archived bytes rather than the Wayback viewer page, and each was fetched and verified on 2026-09-16: FY2021 1,803,996 bytes / 54pp; FY2022 1,036,900 bytes / 67pp; FY2023 1,144,738 bytes / 62pp. All three begin '%PDF', all three name 'Itau BBA International plc' and their stated year on the cover, and in all three the final page still renders, confirming none is a truncated capture. No figure was changed.
HOST-REACH CORRECTION, MEASURED 2026-09-18 (GA-018, feeding GA-013) - THE CLAIM ABOVE THAT itau.com.br 'REFUSES AUTOMATED CLIENTS' IS TOO STRONG AND IS CORRECTED HERE. It was an inference drawn from repeated failure, which is km1/map.md rule 9's own defect class. What actually happens, measured against a VERBATIM URL already cited in this script (the FY2023 document, .../11e1e216dd5df1fd/original/Pillar-3-2023.pdf - no slug was guessed):
  • Full Chrome header set INCLUDING Referer and Sec-Fetch-Dest/Mode/Site/User, over HTTP/1.1 -&gt; HTTP 200, Content-Type application/pdf, 1,043,167 bytes. The document served.
  • The SAME URL over HTTP/2, same minute -&gt; HTTP 403 (458-byte text/html).
  • A bare browser user-agent with only Accept, over HTTP/1.1 -&gt; HTTP 403.
So the discriminator is PROTOCOL plus HEADER COMPLETENESS, precisely the Paragon finding in rule 9: try --http1.1 with a complete header set before writing any sentence about what a host does.
  • HONEST QUALIFIER, recorded because it changes what may be concluded: a REPEAT of the identical winning rung minutes later returned 403 again. The host is INTERMITTENT, not simply unlocked. One 200 is enough to refute 'refuses every request'; it is NOT enough to call the host reachable, and a future session should expect to retry rather than to succeed first time.</t>
        </is>
      </c>
    </row>
    <row r="61" ht="390" customHeight="1">
      <c r="A61" s="8" t="inlineStr">
        <is>
          <t>(continued)
• www.itaubba.co.uk - the domain this bank's own Annual Report names as the home of the Pillar 3 Disclosures - is ALIVE, contrary to the 'connection refused/timed out' wording elsewhere in this script. DNS resolves (94.126.169.4 on both apex and www). Port 443 times out on every rung tried. PORT 80 ANSWERS: HTTP 302, Server nginx/1.22.1, X-Powered-By PHP/7.2.2, Location https://www.itau.com.br/itaubba-en/international. That redirect target is an HTML page on a different path from the DAM file host, and it returned 403 to every rung including the winning one, which is why the FY2024 and FY2025 Pillar 3 URLs still could not be listed. [SUPERSEDED 2026-09-19: over HTTP/2 with a full Chrome header set the same index page returned HTTP 200 and linked both editions, which were then downloaded - see the KM1 Key Metrics sheet. HTTP/1.1 got 403 the same minute, the reverse of the 2026-09-18 result, so neither protocol is reliably the winning one on this host.]
  • The Internet Archive was DEGRADED during this session (an 'Internet Archive: Temporarily Offline' page, and HTTP 429 on the availability API), so its silence is an OUTAGE and carries no evidential weight either way.
ROWS 1, 2 AND 3 ARE EQUAL IN THE SOURCE FOR FY2022 AND FY2021 - READ FROM THE DOCUMENTS ON 2026-09-18 AND RECORDED HERE SO THE QUESTION IS NOT RE-OPENED. The Pillar 3 2022 edition prints 1,334,422 on rows 1, 2 and 3 for 2022 and 1,317,685 for 2021, and that edition's CC1 row 59, 'Total capital (TC = T1 + T2)', prints the same 1,334,422 as its row 29 CET1. The FY2021 edition states the reason outright - 'IBBAInt holds no Tier 2 capital instrument as of December 2021' - with its Tier 2 capital row printed as a dash. FY2023 is DISTINCT in the source (CET1 1,938,639 against Total capital 1,939,956) and is held that way here. UNIT NOTE, recorded because it is not otherwise visible on this sheet: the FY2021 edition prints these amounts in GBP millions (1,319) while the FY2022 edition prints the same date in GBP thousands (1,317,685), and the figure carried here is the FY2022 edition's comparative column.
FY2025 AND FY2024 TRANSCRIBED 2026-09-19 (GA-020 second pass), EACH FROM ITS OWN EDITION (rule 1). FY2025 comes from 'Market Discipline – 2025 Pillar 3', Template UK KM1: Key Metrics, printed p.41, column 'Dec 2025'. FY2024 comes from 'Market Discipline – 2024 Pillar III', Template UK KM1, printed p.42, column 'Dez 24'. In both PDFs the table is an EMBEDDED IMAGE inside an otherwise text-native document (rule 13: pdftotext returns the heading and nothing else). Every figure was therefore read twice, once from a 300 dpi page render and once from the embedded bitmap at native resolution, and the two readings agreed digit for digit. The entity and basis are the same as the other columns: IBBAInt Group, consolidated, USD'000. Both editions print the same row set as the 2023 edition (no UK 8a; the 2023 leverage captions and UK 14a-14e block), so both years sit in the 2023-caption blocks. Both editions print UK 14c, 14d and 14e as a hyphen '-', and those cells carry '-' (rule 2). The FY2023 cells on those rows are still blank as built earlier (a GA-008 item, not changed here). Row 9 keeps each edition's own precision: 0.15% in the 2025 edition and 0.12911% in the 2024 edition. The 2025 edition's Dec 2024 comparative prints 0.13%, which is the same figure rounded. CROSS-EDITION CHECK: on every other row, the 2025 edition's Dec 2024 column agrees with the 2024 edition's own column. The 2024 edition's Dez 23 column agrees with every FY2023 figure on this sheet, and it prints a dash on UK 14c-14e. The status row that stood above row 1 existed only to carry the 'Unreached today' outcome for these two years, so it has been removed. HOW THE EDITIONS WERE REACHED: the live index https://www.itau.com.br/itaubba-en/international returned HTTP 200 over HTTP/2 with a full Chrome header set (Accept, Accept-Language, Sec-Fetch-*, sec-ch-ua). With the same headers over HTTP/1.1 it returned 403 in the same minute. The PDFs were then fetched over HTTP/2 with the index as Referer.
DIVERGENCES FROM THE SINGLE-METRIC SHEETS, recorded and NOT reconciled: (a) row 17 prints LCRs of 230% (FY2025) and 245% (FY2024), as 12-month trailing averages. The LCR sheet carries the Annual Report's point-in-time 172% and 302%. (b) Row 20 prints NSFRs of 176% and 159%, as four-quarter averages. The NSFR sheet carries 168% and 155%. Both are the basis break those sheets already document. (c) For FY2024, row 14 prints 16.74%, while the Leverage Ratio sheet carries 16.4% from the Annual Report. The 2025 edition's own narrative (p.40) also says 'December 2024: 16.7%'. The Annual Report figure has not been re-read here, and neither figure has been changed. (d) The 2025 edition's narrative on p.40 gives RWAs as 'USD 6,933.8bn'. That is the edition's own UK OV1 row 1 credit-risk figure (p.47). Its KM1 row 4 and its OV1 total both print 7,854,786, which is what this sheet carries. The narrative figure is recorded as a source defect (rule 7).
HISTORY, SUPERSEDED BY THE PARAGRAPH ABOVE: FY2025 AND FY2024 WERE BLANK BECAUSE NO PILLAR 3 DOCUMENT FOR EITHER YEAR COULD BE LOCATED — NOT BECAUSE THE BANK IS KNOWN NOT TO PUBLISH ONE. This is an unknown, not a finding. itau.com.br, which hosts the three documents cited above, refused every automated request this session (HTTP 403 with a short text/html WAF body, re-tested with browser user-agent, Accept and Referer headers); itaubba.com timed out; itau.co.uk returned 403; and the Internet Archive was itself unavailable for part of the session (HTTP 503 'temporarily offline', then HTTP 429). A blocked host is never evidence of absence.</t>
        </is>
      </c>
    </row>
    <row r="63" ht="390" customHeight="1">
      <c r="A63" s="8" t="inlineStr">
        <is>
          <t>(continued)
UPDATED 2026-09-18 (GA-018): the conclusion — these two years are an UNKNOWN, not a finding — is UNCHANGED and the cells stay EMPTY so the gap remains visible. Two of the supporting claims are not, and the corrected measurements are in the host-reach correction at the end of this note: itau.com.br did serve a cited Pillar 3 PDF (HTTP 200, 1,043,167 bytes) on an HTTP/1.1 request with a complete browser header set, though only intermittently; and www.itaubba.co.uk is alive on port 80 (HTTP 302 to itau.com.br/itaubba-en/international) rather than refusing connections. POSITIVE EVIDENCE THAT THE DOCUMENTS EXIST, which strengthens the case for leaving these blank rather than declaring an absence: the FY2025 Annual Report's own front matter states that the Group presents regulatory capital and risk information 'in a separate document ("Pillar 3 Disclosures")' and that these 'are published on www.itaubba.co.uk', and its Audit Committee report records that the Committee 'Reviewed the ILAAP, the ICAAP, the Pillar 3 Disclosures, and recommended their approval to the Board'. A FY2025 Pillar 3 was therefore prepared and approved; this project could not then reach it.
GA-020 FIRST PASS (2026-09-19), SUPERSEDED BY THE SECOND PASS ABOVE: THE TWO EMPTY COLUMNS THEN SAID WHY, IN THE CELLS. The first row, 'Pillar 3 edition status for this year', is NOT a template row - the bank prints no such line - and exists only to carry the outcome for FY2025 and FY2024: 'Unreached today', i.e. a limit on this project's reach and not a finding about the bank. No KM1 figure was added for either year. What was tried, in order: (1) the attempts recorded above (itau.com.br 403 WAF responses, itaubba.com timeouts, itau.co.uk 403, Internet Archive 503/429 outage; then GA-018's HTTP/1.1 full-header rung, which served a cited 2023 PDF once but not the index page); (2) on 2026-09-19, the live index https://www.itau.com.br/itaubba-en/international over HTTP/1.1 with a complete Chrome header set, twice: HTTP 403 both times; www.itaubba.co.uk on port 80: HTTP 302 to that same page, and no connection on 443; (3) the Wayback CDX API over every itau.com.br path filtered for 'Pillar': it holds this bank's 2015, 2017, 2018, 2019 ('IBB-PILAR3.pdf'), 2020, 2021, 2022 and 2023 editions and NO 2024 or 2025 edition (the only 2024 Pillar 3 captured is Itau BBA Europe's, a different, Portuguese entity); the 2026-09-09 capture of the index page links Pillar 3 editions only to 2021. The FY2025 Annual Report states on printed p.2 that the Pillar 3 Disclosures 'are published on www.itaubba.co.uk', and its Audit Committee report (p.34) records reviewing them.
FY2021 IS FILLED FROM A COMPARATIVE. The 2021 Pillar 3 Disclosures document prints no UK KM1 template at all — it predates it, disclosing liquidity instead through its own 'Table 26: Liquidity Coverage Ratio'. A full-text search of that document for 'KM1' and 'key metric' returns nothing while the same document returns healthy counts on neighbouring prudential terms (countercyclical 9, own funds 5, liquidity coverage ratio 4, Common Equity Tier 1 4), so the zero is a fact about the document rather than about the search. Since there is no own-edition table for FY2021 to displace, the column here is the 2022 edition's own Dez 21 comparative.
THE LEVERAGE CAPTIONS CHANGE BETWEEN THE TWO EDITIONS AND ARE NOT MERGED. The 2022 edition captions row 13 'Leverage ratio total exposure measure' and row 14 'Leverage ratio'; the 2023 edition captions the same row numbers 'Total exposure measure excluding claims on central banks' and 'Leverage ratio excluding claims on central banks'. These are two different exposure bases, so they are shown as two separate caption blocks with nothing carried across them, even though the row numbers are identical.
THE UK 14 BLOCK IS A DIFFERENT BLOCK IN EACH EDITION, FOR THE SAME REASON. The 2022 edition prints UK 14a-14f under the heading 'Additional own funds requirements to address risks of excessive leverage', all six as an explicit 0.00%. The 2023 edition prints UK 14a-14e under a different heading, 'Additional leverage ratio disclosure requirements', with entirely different row meanings (fully-loaded and including-central-bank leverage ratios, average leverage ratios, and a countercyclical leverage buffer). Same numbers, different metrics — they are kept apart. In the 2023 block, UK 14c, 14d and 14e are printed as a dash and are therefore left BLANK; the 2022 block's zeros are printed zeros and are kept as zeros.
Row UK 8a appears only in the 2022 edition (printed 0.00%); the 2023 edition omits it. The bank prints the countercyclical buffer to five decimal places (0.00449%, 0.00171%, 0.00964%) and the LCR and NSFR as whole percentages; both precisions are its own and are reproduced unchanged. The 2022 edition's NSFR comparative for Dez 21 is blank with the footnote 'No prior comparative available', the NSFR having only become a PRA requirement on 1 January 2022 — blank here, not zero. LCR is a trailing average of 12 month-end observations and NSFR a trailing average of the last four quarter-ends, per each edition's own footnotes.</t>
        </is>
      </c>
    </row>
  </sheetData>
  <mergeCells count="3">
    <mergeCell ref="A61:F61"/>
    <mergeCell ref="A63:F63"/>
    <mergeCell ref="A59:F5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Itau BBA International plc — CET1 Capital</t>
        </is>
      </c>
    </row>
    <row r="2">
      <c r="A2" s="2" t="inlineStr">
        <is>
          <t>Group/consolidated basis, USD 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Common equity tier 1 (CET1) capital</t>
        </is>
      </c>
      <c r="B4" s="6" t="n">
        <v>2276</v>
      </c>
      <c r="C4" s="6" t="n">
        <v>2073</v>
      </c>
      <c r="D4" s="6" t="n">
        <v>1939</v>
      </c>
      <c r="E4" s="6" t="n">
        <v>1334</v>
      </c>
      <c r="F4" s="6" t="n">
        <v>1318</v>
      </c>
      <c r="G4" s="6" t="n">
        <v>1291</v>
      </c>
      <c r="H4" s="6" t="n">
        <v>1210</v>
      </c>
      <c r="I4" s="6" t="n">
        <v>1127</v>
      </c>
      <c r="J4" s="6" t="n">
        <v>1049</v>
      </c>
      <c r="K4" s="6" t="n">
        <v>992</v>
      </c>
      <c r="L4" s="6" t="n">
        <v>945</v>
      </c>
      <c r="M4" s="6" t="n">
        <v>933</v>
      </c>
    </row>
    <row r="6" ht="150" customHeight="1">
      <c r="A6" s="8" t="inlineStr">
        <is>
          <t>Source — Itau BBA International plc Group (consolidated) regulatory capital summary, 2025 Annual Report, p.21 ('Capital' section of the Strategic Report) — https://find-and-update.company-information.service.gov.uk/company/07425398/filing-history/MzUyNjQ0MDA3MmFkaXF6a2N4/document?format=pdf&amp;download=0
The Annual Report states in full that additional Pillar 3 Disclosures (capital detail, LCR, NSFR, MREL) are published as a separate, standalone unaudited document on www.itaubba.co.uk — that site was unreachable this session (connection refused/timed out; no usable Wayback Machine snapshot found), so only the summary figures printed directly in the Annual Report's own 'Capital' section are used here. The FY2013 column added in this pass is instead read directly from the standalone 2013 Pillar 3 Disclosure, p.11 (capital resources table) — https://www.itau.com.br/content/dam/ibba/en/IBBAInt_Cons_Pillar3_2013_FINAL_20140625.pdf. Figures are Group/consolidated basis (the Annual Report's Capital section is presented at Group level only, not solo Bank level, throughout all 5 years).
HD-052 (2026-09-05) FY2014-FY2020: same Annual Report 'Regulatory Capital composition' table, Group basis — FY2020/FY2019: 2020 Annual Report, p.136 — https://find-and-update.company-information.service.gov.uk/company/07425398/filing-history/MzI5ODk0OTk0OGFkaXF6a2N4/document?format=pdf&amp;download=0; FY2018/FY2017: 2018 Annual Report, p.124 — https://find-and-update.company-information.service.gov.uk/company/07425398/filing-history/MzIzMzkyNDA5MmFkaXF6a2N4/document?format=pdf&amp;download=0; FY2016/FY2015: 2016 Annual Report, p.102 — https://find-and-update.company-information.service.gov.uk/company/07425398/filing-history/MzE3NTM0ODg3NmFkaXF6a2N4/document?format=pdf&amp;download=0; FY2014: 2014 Consolidated Annual Report, p.10 (FY2013 comparative not used) — https://find-and-update.company-information.service.gov.uk/company/07425398/filing-history/MzEyNTM4MDgyMGFkaXF6a2N4/document?format=pdf&amp;download=0.</t>
        </is>
      </c>
    </row>
  </sheetData>
  <mergeCells count="1">
    <mergeCell ref="A6:M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Itau BBA International plc — CET1 Ratio</t>
        </is>
      </c>
    </row>
    <row r="2">
      <c r="A2" s="2" t="inlineStr">
        <is>
          <t>Group/consolidated basis, %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Common equity tier 1 ratio</t>
        </is>
      </c>
      <c r="B4" s="6" t="inlineStr">
        <is>
          <t>29.0%</t>
        </is>
      </c>
      <c r="C4" s="6" t="inlineStr">
        <is>
          <t>23.9%</t>
        </is>
      </c>
      <c r="D4" s="6" t="inlineStr">
        <is>
          <t>27.0%</t>
        </is>
      </c>
      <c r="E4" s="6" t="inlineStr">
        <is>
          <t>19.6%</t>
        </is>
      </c>
      <c r="F4" s="6" t="inlineStr">
        <is>
          <t>22.6%</t>
        </is>
      </c>
      <c r="G4" s="6" t="inlineStr">
        <is>
          <t>23.9%</t>
        </is>
      </c>
      <c r="H4" s="6" t="inlineStr">
        <is>
          <t>19.9%</t>
        </is>
      </c>
      <c r="I4" s="6" t="inlineStr">
        <is>
          <t>19.2%</t>
        </is>
      </c>
      <c r="J4" s="6" t="inlineStr">
        <is>
          <t>19.4%</t>
        </is>
      </c>
      <c r="K4" s="6" t="inlineStr">
        <is>
          <t>18.0%</t>
        </is>
      </c>
      <c r="L4" s="6" t="inlineStr">
        <is>
          <t>17.9%</t>
        </is>
      </c>
      <c r="M4" s="6" t="inlineStr">
        <is>
          <t>17.8%</t>
        </is>
      </c>
    </row>
    <row r="6" ht="150" customHeight="1">
      <c r="A6" s="8" t="inlineStr">
        <is>
          <t>Source — Itau BBA International plc Group (consolidated) regulatory capital summary, 2025 Annual Report, p.21 ('Capital' section of the Strategic Report) — https://find-and-update.company-information.service.gov.uk/company/07425398/filing-history/MzUyNjQ0MDA3MmFkaXF6a2N4/document?format=pdf&amp;download=0
The Annual Report states in full that additional Pillar 3 Disclosures (capital detail, LCR, NSFR, MREL) are published as a separate, standalone unaudited document on www.itaubba.co.uk — that site was unreachable this session (connection refused/timed out; no usable Wayback Machine snapshot found), so only the summary figures printed directly in the Annual Report's own 'Capital' section are used here. The FY2013 column added in this pass is instead read directly from the standalone 2013 Pillar 3 Disclosure, p.11 (capital resources table) — https://www.itau.com.br/content/dam/ibba/en/IBBAInt_Cons_Pillar3_2013_FINAL_20140625.pdf. Figures are Group/consolidated basis (the Annual Report's Capital section is presented at Group level only, not solo Bank level, throughout all 5 years).
HD-052 (2026-09-05) FY2014-FY2020: same source as the CET1 Capital sheet.</t>
        </is>
      </c>
    </row>
  </sheetData>
  <mergeCells count="1">
    <mergeCell ref="A6:M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Itau BBA International plc — Tier 1 Capital</t>
        </is>
      </c>
    </row>
    <row r="2">
      <c r="A2" s="2" t="inlineStr">
        <is>
          <t>Group/consolidated basis, USD m</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capital</t>
        </is>
      </c>
      <c r="B4" s="6" t="n">
        <v>2275.812</v>
      </c>
      <c r="C4" s="6" t="n">
        <v>2073.4</v>
      </c>
      <c r="D4" s="6" t="n">
        <v>1938.639</v>
      </c>
      <c r="E4" s="6" t="n">
        <v>1334.422</v>
      </c>
      <c r="F4" s="6" t="n">
        <v>1317.685</v>
      </c>
    </row>
    <row r="5" ht="260" customHeight="1">
      <c r="A5" s="7" t="inlineStr">
        <is>
          <t>Note: EXACT KM1 VALUES, 2026-09-19 (user decision). FY2025-FY2021 are each year's printed Template UK KM1 row 2 'Tier 1 capital' (USD'000), IBBAInt Group consolidated, converted to this sheet's USD m by dividing by 1,000 - a pure scale change with NO rounding (e.g. 2,275,812 -&gt; 2275.812). Printed values: FY2025 2,275,812 FY2024 2,073,400 FY2023 1,938,639 FY2022 1,334,422 FY2021 1,317,685. Citations: FY2025: 'Market Discipline – 2025 Pillar 3', Template UK KM1: Key Metrics, printed p.41, row 2, column 'Dec 2025'. FY2024: 'Market Discipline – 2024 Pillar III', Template UK KM1: Key Metrics, printed p.42, row 2, column 'Dez 24'. FY2023: 'Market Discipline – 2023 Pillar III', Template UK KM1: Key Metrics, printed p.41, row 2, column 'Dez 23'. FY2022: '2022 Pillar 3 Disclosures', Template UK KM1: Key Metrics, printed p.44, row 2, column 'Dez 22'. FY2021: '2022 Pillar 3 Disclosures', Template UK KM1: Key Metrics, printed p.44 (comparative column; the 2021 document predates the template), row 2, column 'Dez 21'. These are the same figures transcribed on the KM1 Key Metrics sheet. PREVIOUSLY these cells held the Annual Report's rounded USD m figures (2276, 2073, 1939, 1334, 1318): FY2025/FY2024 were the Annual Report's CET1 figure carried over by arithmetic (Tier 1 = CET1 because CET1 = Total), and FY2023-FY2021 were the KM1 figure rounded to USD m. Superseded text follows for the record. No distinct Tier 1 capital figure is broken out in the Annual Report's own 'Capital' section in any year (only 'Common equity tier 1 capital' and 'Total regulatory capital' are shown there — see the CET1 Capital and Total Capital sheets), but the standalone Pillar 3 Disclosures documents' Template UK KM1 table does disclose a distinct 'Tier 1 capital' line for FY2023/FY2022/FY2021 — identical to CET1 capital in every one of those years (Tier 2 capital is nil), confirming the earlier inference. FY2025/FY2024 added 2026-09-15 and are NOT estimates: no Pillar 3 Disclosures document for either year had then been obtained (both were obtained 2026-09-19; their KM1 row 2 prints 2,275,812 and 2,073,400 USD'000 - see the KM1 Key Metrics sheet), but in both years the Annual Report's own Capital section states CET1 capital and Total regulatory capital as the SAME figure (FY2025: USD 2,276m; FY2024: USD 2,073m — see the CET1 Capital and Total Capital sheets). Since Tier 1 = CET1 + AT1 and Total = Tier 1 + Tier 2, both AT1 and Tier 2 must be nil and Tier 1 capital was set by that arithmetic to the same figure [superseded 2026-09-19: now the printed KM1 row 2 value, see above]. This is the same Tier 1 = CET1 = Total pattern the FY2021-FY2023 Pillar 3 KM1 tables confirm directly, and it is consistent with FY2023, where CET1 (1,939) and Total (1,940) differ by exactly the 1 of Tier 2 and Tier 1 is the disclosed 1,939. HD-052 (2026-09-05): FY2014-FY2020 also remain blank — no standalone Pillar 3 Disclosures document for any of those years was searched for this session (out of scope for this batch); the Annual Report's own Tier 2 capital line for every one of those years (see the RWA Breakdown/Total Capital sheets) is small relative to CET1 capital, consistent with the same Tier 1 = CET1 pattern confirmed for FY2021-2023, but not independently confirmed for FY2014-FY2020.</t>
        </is>
      </c>
    </row>
    <row r="7" ht="299" customHeight="1">
      <c r="A7" s="8" t="inlineStr">
        <is>
          <t>Source — Itau BBA International plc Group (consolidated) standalone Pillar 3 Disclosures documents — these are the same documents the Annual Report's own 'Capital' section refers readers to via www.itaubba.co.uk (see the p3_sources note on this workbook's other Pillar 3 sheets); that domain, and itau.co.uk, were unreachable this session, but the documents themselves were located on itau.com.br (the Brazilian parent Itau Unibanco's investor-relations site). Live fetches of itau.com.br also returned HTTP 403 this session (Cloudflare bot-challenge), so all figures below were retrieved via Wayback Machine archive snapshots instead:
FY2023: 'Market Discipline – 2023 Pillar III' (2023 Pillar 3 Disclosures), Template UK KM1 (Section 10 'Key Metrics'), p.41 — live: https://www.itau.com.br/media/dam/m/11e1e216dd5df1fd/original/Pillar-3-2023.pdf — archived: https://web.archive.org/web/20240812211731id_/https://www.itau.com.br/media/dam/m/11e1e216dd5df1fd/original/Pillar-3-2023.pdf
FY2022 (and FY2021 comparative column on the same table): '2022 Pillar 3 Disclosures', Template UK KM1 (Section 10 'Key Metrics'), p.44 — live: https://www.itau.com.br/media/dam/m/58b090bc84eddb94/original/Pillar-3-2022.pdf — archived: https://web.archive.org/web/20230502054346id_/https://www.itau.com.br/media/dam/m/58b090bc84eddb94/original/Pillar-3-2022.pdf
FY2021 LCR only (the 2021 document predates the UK KM1 template): '2021 Pillar 3 Disclosures', Table 26 'Liquidity Coverage Ratio', p.46 — live: https://www.itau.com.br/content/dam/ibba/en/Pillar-3-2021.pdf — archived: https://web.archive.org/web/20230502062443id_/https://www.itau.com.br/content/dam/ibba/en/Pillar-3-2021.pdf
All figures are Group/consolidated (IBBAInt Group) basis, matching this workbook's other Pillar 3 sheets. FY2024/FY2025: CORRECTED 2026-09-19 - both editions WERE obtained on the GA-020 second pass ('Market Discipline - 2024 Pillar III' https://www.itau.com.br/media/dam/m/4c36b133120fa793/original/IBBAI-Pillar-3-2024-Final.pdf; 'Market Discipline - 2025 Pillar 3' https://www.itau.com.br/media/dam/m/70996afd168ff52f/original/IBBAI_Pillar-3-2025_Final.pdf) and their UK KM1 tables are transcribed on the KM1 Key Metrics sheet only. Figures on THIS sheet for those two years are unchanged and still come from the sources stated in this sheet's note; the earlier wording, kept below for the record, said no edition had been obtained (see the host-reach correction below). THE TRAILING CLAUSE PREVIOUSLY HERE — that 'the Annual Report itself does not break out these figures for any year' — IS FALSE AND IS WITHDRAWN (GA-018, 2026-09-18). Each year's own Annual Report states BOTH the LCR and the NSFR, and the FY2025 and FY2024 figures on the LCR and NSFR sheets are now sourced from there. The false clause is exactly the self-sealing negative of km1/map.md rule 40: it explained the blanks well enough that nobody re-opened the document, and it was the neighbouring sheets' own Annual-Report sourcing (FY2015-FY2020) that should have contradicted it all along. The KM1 sheet stays blank for those two years regardless, because a KM1 is a TABLE and the Annual Report prints no key-metrics template — mapping its prose onto template row numbers would assert a correspondence the bank never published (rule 8).</t>
        </is>
      </c>
    </row>
    <row r="9" ht="364" customHeight="1">
      <c r="A9" s="8" t="inlineStr">
        <is>
          <t>(continued)
BLOCKED SOURCE HOST - NOT A DEAD LINK (recorded 2026-09-16). The three standalone Pillar 3 documents cited on this sheet are hosted on itau.com.br, which refuses automated clients: re-tested 2026-09-16, each URL returns HTTP 403 with a short (~438-458 byte) text/html body, a Cloudflare/WAF bot challenge. A 403 is explicitly an UNKNOWN state, NOT evidence of removal - it records that the host declined to serve this project's automated fetcher, and the documents may well still be retrievable by a human browser or from a different network. For that reason the publisher's own live URL remains the PRIMARY citation for every figure on this sheet and has deliberately NOT been replaced. The Wayback Machine snapshot shown next to it is a LABELLED FALLBACK, provided only so the figure stays verifiable when the host refuses the reader as it refused this session. Fallbacks are given in the 'id_' form (https://web.archive.org/web/&lt;timestamp&gt;id_/&lt;original URL&gt;), which returns the original archived bytes rather than the Wayback viewer page, and each was fetched and verified on 2026-09-16: FY2021 1,803,996 bytes / 54pp; FY2022 1,036,900 bytes / 67pp; FY2023 1,144,738 bytes / 62pp. All three begin '%PDF', all three name 'Itau BBA International plc' and their stated year on the cover, and in all three the final page still renders, confirming none is a truncated capture. No figure was changed.
HOST-REACH CORRECTION, MEASURED 2026-09-18 (GA-018, feeding GA-013) - THE CLAIM ABOVE THAT itau.com.br 'REFUSES AUTOMATED CLIENTS' IS TOO STRONG AND IS CORRECTED HERE. It was an inference drawn from repeated failure, which is km1/map.md rule 9's own defect class. What actually happens, measured against a VERBATIM URL already cited in this script (the FY2023 document, .../11e1e216dd5df1fd/original/Pillar-3-2023.pdf - no slug was guessed):
  • Full Chrome header set INCLUDING Referer and Sec-Fetch-Dest/Mode/Site/User, over HTTP/1.1 -&gt; HTTP 200, Content-Type application/pdf, 1,043,167 bytes. The document served.
  • The SAME URL over HTTP/2, same minute -&gt; HTTP 403 (458-byte text/html).
  • A bare browser user-agent with only Accept, over HTTP/1.1 -&gt; HTTP 403.
So the discriminator is PROTOCOL plus HEADER COMPLETENESS, precisely the Paragon finding in rule 9: try --http1.1 with a complete header set before writing any sentence about what a host does.
  • HONEST QUALIFIER, recorded because it changes what may be concluded: a REPEAT of the identical winning rung minutes later returned 403 again. The host is INTERMITTENT, not simply unlocked. One 200 is enough to refute 'refuses every request'; it is NOT enough to call the host reachable, and a future session should expect to retry rather than to succeed first time.
  • www.itaubba.co.uk - the domain this bank's own Annual Report names as the home of the Pillar 3 Disclosures - is ALIVE, contrary to the 'connection refused/timed out' wording elsewhere in this script. DNS resolves (94.126.169.4 on both apex and www). Port 443 times out on every rung tried. PORT 80 ANSWERS: HTTP 302, Server nginx/1.22.1, X-Powered-By PHP/7.2.2, Location https://www.itau.com.br/itaubba-en/international. That redirect target is an HTML page on a different path from the DAM file host, and it returned 403 to every rung including the winning one, which is why the FY2024 and FY2025 Pillar 3 URLs still could not be listed. [SUPERSEDED 2026-09-19: over HTTP/2 with a full Chrome header set the same index page returned HTTP 200 and linked both editions, which were then downloaded - see the KM1 Key Metrics sheet. HTTP/1.1 got 403 the same minute, the reverse of the 2026-09-18 result, so neither protocol is reliably the winning one on this host.]</t>
        </is>
      </c>
    </row>
    <row r="11" ht="150" customHeight="1">
      <c r="A11" s="8" t="inlineStr">
        <is>
          <t>(continued)
• The Internet Archive was DEGRADED during this session (an 'Internet Archive: Temporarily Offline' page, and HTTP 429 on the availability API), so its silence is an OUTAGE and carries no evidential weight either way. TIER 1 SHEETS ONLY, 2026-09-19 (user decision): the sentence above saying this sheet's FY2025/FY2024 figures are unchanged and come from the sources in the note NO LONGER APPLIES to this sheet. Every year FY2025-FY2021 on this sheet is now the exact printed Template UK KM1 figure, cited year by year in the note (2025 edition: https://www.itau.com.br/media/dam/m/70996afd168ff52f/original/IBBAI_Pillar-3-2025_Final.pdf; 2024 edition: https://www.itau.com.br/media/dam/m/4c36b133120fa793/original/IBBAI-Pillar-3-2024-Final.pdf).</t>
        </is>
      </c>
    </row>
  </sheetData>
  <mergeCells count="4">
    <mergeCell ref="A11:F11"/>
    <mergeCell ref="A5:F5"/>
    <mergeCell ref="A7:F7"/>
    <mergeCell ref="A9:F9"/>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Itau BBA International plc — Tier 1 Ratio</t>
        </is>
      </c>
    </row>
    <row r="2">
      <c r="A2" s="2" t="inlineStr">
        <is>
          <t>Group/consolidated basis, % of RWA</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ratio</t>
        </is>
      </c>
      <c r="B4" s="6" t="inlineStr">
        <is>
          <t>28.97%</t>
        </is>
      </c>
      <c r="C4" s="6" t="inlineStr">
        <is>
          <t>23.94%</t>
        </is>
      </c>
      <c r="D4" s="6" t="inlineStr">
        <is>
          <t>27.04%</t>
        </is>
      </c>
      <c r="E4" s="6" t="inlineStr">
        <is>
          <t>19.59%</t>
        </is>
      </c>
      <c r="F4" s="6" t="inlineStr">
        <is>
          <t>22.58%</t>
        </is>
      </c>
    </row>
    <row r="5" ht="182" customHeight="1">
      <c r="A5" s="7" t="inlineStr">
        <is>
          <t>Note: EXACT KM1 VALUES, 2026-09-19 (user decision). FY2025-FY2021 are each year's printed Template UK KM1 row 6 'Tier 1 ratio (%)', IBBAInt Group consolidated, reproduced exactly as printed (two decimals). Citations: FY2025: 'Market Discipline – 2025 Pillar 3', Template UK KM1: Key Metrics, printed p.41, row 6, column 'Dec 2025'. FY2024: 'Market Discipline – 2024 Pillar III', Template UK KM1: Key Metrics, printed p.42, row 6, column 'Dez 24'. FY2023: 'Market Discipline – 2023 Pillar III', Template UK KM1: Key Metrics, printed p.41, row 6, column 'Dez 23'. FY2022: '2022 Pillar 3 Disclosures', Template UK KM1: Key Metrics, printed p.44, row 6, column 'Dez 22'. FY2021: '2022 Pillar 3 Disclosures', Template UK KM1: Key Metrics, printed p.44 (comparative column; the 2021 document predates the template), row 6, column 'Dez 21'. These are the same figures transcribed on the KM1 Key Metrics sheet. PREVIOUSLY these cells held one-decimal figures (29.0%, 23.9%, 27.0%, 19.6%, 22.6%): FY2025/FY2024 were the Annual Report's rounded CET1/Total capital ratio carried over by arithmetic, and FY2023-FY2021 were the KM1 figure rounded to one decimal. Superseded text follows for the record. Same basis as the Tier 1 Capital sheet — the Annual Report's own 'Capital' section does not break out a distinct Tier 1 ratio (see the CET1 Ratio and Total Capital Ratio sheets), but the standalone Pillar 3 Disclosures documents' Template UK KM1 table discloses one directly for FY2023/FY2022/FY2021 — identical to the CET1 ratio and Total capital ratio in every one of those years. FY2025/FY2024 were added 2026-09-15 by the same arithmetic as the Tier 1 Capital sheet [superseded 2026-09-19: now the printed KM1 row 6 values, see above]: in both years the Annual Report states the CET1 ratio and the Total capital ratio as the same figure (FY2025: 29.0%; FY2024: 23.9%), and since CET1 Ratio &lt;= Tier 1 Ratio &lt;= Total Capital Ratio always holds, the Tier 1 ratio was set to that value. That was not sourced from a Pillar 3 document. (CORRECTED 2026-09-19: this sentence used to say none exists for either year. Both exist and were obtained on 2026-09-19; their KM1 row 6 prints 28.97% for FY2025 and 23.94% for FY2024 - see the KM1 Key Metrics sheet. The figures above are unchanged.)</t>
        </is>
      </c>
    </row>
    <row r="7" ht="299" customHeight="1">
      <c r="A7" s="8" t="inlineStr">
        <is>
          <t>Source — Itau BBA International plc Group (consolidated) standalone Pillar 3 Disclosures documents — these are the same documents the Annual Report's own 'Capital' section refers readers to via www.itaubba.co.uk (see the p3_sources note on this workbook's other Pillar 3 sheets); that domain, and itau.co.uk, were unreachable this session, but the documents themselves were located on itau.com.br (the Brazilian parent Itau Unibanco's investor-relations site). Live fetches of itau.com.br also returned HTTP 403 this session (Cloudflare bot-challenge), so all figures below were retrieved via Wayback Machine archive snapshots instead:
FY2023: 'Market Discipline – 2023 Pillar III' (2023 Pillar 3 Disclosures), Template UK KM1 (Section 10 'Key Metrics'), p.41 — live: https://www.itau.com.br/media/dam/m/11e1e216dd5df1fd/original/Pillar-3-2023.pdf — archived: https://web.archive.org/web/20240812211731id_/https://www.itau.com.br/media/dam/m/11e1e216dd5df1fd/original/Pillar-3-2023.pdf
FY2022 (and FY2021 comparative column on the same table): '2022 Pillar 3 Disclosures', Template UK KM1 (Section 10 'Key Metrics'), p.44 — live: https://www.itau.com.br/media/dam/m/58b090bc84eddb94/original/Pillar-3-2022.pdf — archived: https://web.archive.org/web/20230502054346id_/https://www.itau.com.br/media/dam/m/58b090bc84eddb94/original/Pillar-3-2022.pdf
FY2021 LCR only (the 2021 document predates the UK KM1 template): '2021 Pillar 3 Disclosures', Table 26 'Liquidity Coverage Ratio', p.46 — live: https://www.itau.com.br/content/dam/ibba/en/Pillar-3-2021.pdf — archived: https://web.archive.org/web/20230502062443id_/https://www.itau.com.br/content/dam/ibba/en/Pillar-3-2021.pdf
All figures are Group/consolidated (IBBAInt Group) basis, matching this workbook's other Pillar 3 sheets. FY2024/FY2025: CORRECTED 2026-09-19 - both editions WERE obtained on the GA-020 second pass ('Market Discipline - 2024 Pillar III' https://www.itau.com.br/media/dam/m/4c36b133120fa793/original/IBBAI-Pillar-3-2024-Final.pdf; 'Market Discipline - 2025 Pillar 3' https://www.itau.com.br/media/dam/m/70996afd168ff52f/original/IBBAI_Pillar-3-2025_Final.pdf) and their UK KM1 tables are transcribed on the KM1 Key Metrics sheet only. Figures on THIS sheet for those two years are unchanged and still come from the sources stated in this sheet's note; the earlier wording, kept below for the record, said no edition had been obtained (see the host-reach correction below). THE TRAILING CLAUSE PREVIOUSLY HERE — that 'the Annual Report itself does not break out these figures for any year' — IS FALSE AND IS WITHDRAWN (GA-018, 2026-09-18). Each year's own Annual Report states BOTH the LCR and the NSFR, and the FY2025 and FY2024 figures on the LCR and NSFR sheets are now sourced from there. The false clause is exactly the self-sealing negative of km1/map.md rule 40: it explained the blanks well enough that nobody re-opened the document, and it was the neighbouring sheets' own Annual-Report sourcing (FY2015-FY2020) that should have contradicted it all along. The KM1 sheet stays blank for those two years regardless, because a KM1 is a TABLE and the Annual Report prints no key-metrics template — mapping its prose onto template row numbers would assert a correspondence the bank never published (rule 8).</t>
        </is>
      </c>
    </row>
    <row r="9" ht="364" customHeight="1">
      <c r="A9" s="8" t="inlineStr">
        <is>
          <t>(continued)
BLOCKED SOURCE HOST - NOT A DEAD LINK (recorded 2026-09-16). The three standalone Pillar 3 documents cited on this sheet are hosted on itau.com.br, which refuses automated clients: re-tested 2026-09-16, each URL returns HTTP 403 with a short (~438-458 byte) text/html body, a Cloudflare/WAF bot challenge. A 403 is explicitly an UNKNOWN state, NOT evidence of removal - it records that the host declined to serve this project's automated fetcher, and the documents may well still be retrievable by a human browser or from a different network. For that reason the publisher's own live URL remains the PRIMARY citation for every figure on this sheet and has deliberately NOT been replaced. The Wayback Machine snapshot shown next to it is a LABELLED FALLBACK, provided only so the figure stays verifiable when the host refuses the reader as it refused this session. Fallbacks are given in the 'id_' form (https://web.archive.org/web/&lt;timestamp&gt;id_/&lt;original URL&gt;), which returns the original archived bytes rather than the Wayback viewer page, and each was fetched and verified on 2026-09-16: FY2021 1,803,996 bytes / 54pp; FY2022 1,036,900 bytes / 67pp; FY2023 1,144,738 bytes / 62pp. All three begin '%PDF', all three name 'Itau BBA International plc' and their stated year on the cover, and in all three the final page still renders, confirming none is a truncated capture. No figure was changed.
HOST-REACH CORRECTION, MEASURED 2026-09-18 (GA-018, feeding GA-013) - THE CLAIM ABOVE THAT itau.com.br 'REFUSES AUTOMATED CLIENTS' IS TOO STRONG AND IS CORRECTED HERE. It was an inference drawn from repeated failure, which is km1/map.md rule 9's own defect class. What actually happens, measured against a VERBATIM URL already cited in this script (the FY2023 document, .../11e1e216dd5df1fd/original/Pillar-3-2023.pdf - no slug was guessed):
  • Full Chrome header set INCLUDING Referer and Sec-Fetch-Dest/Mode/Site/User, over HTTP/1.1 -&gt; HTTP 200, Content-Type application/pdf, 1,043,167 bytes. The document served.
  • The SAME URL over HTTP/2, same minute -&gt; HTTP 403 (458-byte text/html).
  • A bare browser user-agent with only Accept, over HTTP/1.1 -&gt; HTTP 403.
So the discriminator is PROTOCOL plus HEADER COMPLETENESS, precisely the Paragon finding in rule 9: try --http1.1 with a complete header set before writing any sentence about what a host does.
  • HONEST QUALIFIER, recorded because it changes what may be concluded: a REPEAT of the identical winning rung minutes later returned 403 again. The host is INTERMITTENT, not simply unlocked. One 200 is enough to refute 'refuses every request'; it is NOT enough to call the host reachable, and a future session should expect to retry rather than to succeed first time.
  • www.itaubba.co.uk - the domain this bank's own Annual Report names as the home of the Pillar 3 Disclosures - is ALIVE, contrary to the 'connection refused/timed out' wording elsewhere in this script. DNS resolves (94.126.169.4 on both apex and www). Port 443 times out on every rung tried. PORT 80 ANSWERS: HTTP 302, Server nginx/1.22.1, X-Powered-By PHP/7.2.2, Location https://www.itau.com.br/itaubba-en/international. That redirect target is an HTML page on a different path from the DAM file host, and it returned 403 to every rung including the winning one, which is why the FY2024 and FY2025 Pillar 3 URLs still could not be listed. [SUPERSEDED 2026-09-19: over HTTP/2 with a full Chrome header set the same index page returned HTTP 200 and linked both editions, which were then downloaded - see the KM1 Key Metrics sheet. HTTP/1.1 got 403 the same minute, the reverse of the 2026-09-18 result, so neither protocol is reliably the winning one on this host.]</t>
        </is>
      </c>
    </row>
    <row r="11" ht="150" customHeight="1">
      <c r="A11" s="8" t="inlineStr">
        <is>
          <t>(continued)
• The Internet Archive was DEGRADED during this session (an 'Internet Archive: Temporarily Offline' page, and HTTP 429 on the availability API), so its silence is an OUTAGE and carries no evidential weight either way. TIER 1 SHEETS ONLY, 2026-09-19 (user decision): the sentence above saying this sheet's FY2025/FY2024 figures are unchanged and come from the sources in the note NO LONGER APPLIES to this sheet. Every year FY2025-FY2021 on this sheet is now the exact printed Template UK KM1 figure, cited year by year in the note (2025 edition: https://www.itau.com.br/media/dam/m/70996afd168ff52f/original/IBBAI_Pillar-3-2025_Final.pdf; 2024 edition: https://www.itau.com.br/media/dam/m/4c36b133120fa793/original/IBBAI-Pillar-3-2024-Final.pdf).</t>
        </is>
      </c>
    </row>
  </sheetData>
  <mergeCells count="4">
    <mergeCell ref="A11:F11"/>
    <mergeCell ref="A5:F5"/>
    <mergeCell ref="A7:F7"/>
    <mergeCell ref="A9:F9"/>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Itau BBA International plc — Total Capital</t>
        </is>
      </c>
    </row>
    <row r="2">
      <c r="A2" s="2" t="inlineStr">
        <is>
          <t>Group/consolidated basis, USD 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Total regulatory capital</t>
        </is>
      </c>
      <c r="B4" s="6" t="n">
        <v>2276</v>
      </c>
      <c r="C4" s="6" t="n">
        <v>2073</v>
      </c>
      <c r="D4" s="6" t="n">
        <v>1940</v>
      </c>
      <c r="E4" s="6" t="n">
        <v>1334</v>
      </c>
      <c r="F4" s="6" t="n">
        <v>1318</v>
      </c>
      <c r="G4" s="6" t="n">
        <v>1291</v>
      </c>
      <c r="H4" s="6" t="n">
        <v>1212</v>
      </c>
      <c r="I4" s="6" t="n">
        <v>1129</v>
      </c>
      <c r="J4" s="6" t="n">
        <v>1051</v>
      </c>
      <c r="K4" s="6" t="n">
        <v>1000</v>
      </c>
      <c r="L4" s="6" t="n">
        <v>955</v>
      </c>
      <c r="M4" s="6" t="n">
        <v>949</v>
      </c>
    </row>
    <row r="6" ht="150" customHeight="1">
      <c r="A6" s="8" t="inlineStr">
        <is>
          <t>Source — Itau BBA International plc Group (consolidated) regulatory capital summary, 2025 Annual Report, p.21 ('Capital' section of the Strategic Report) — https://find-and-update.company-information.service.gov.uk/company/07425398/filing-history/MzUyNjQ0MDA3MmFkaXF6a2N4/document?format=pdf&amp;download=0
The Annual Report states in full that additional Pillar 3 Disclosures (capital detail, LCR, NSFR, MREL) are published as a separate, standalone unaudited document on www.itaubba.co.uk — that site was unreachable this session (connection refused/timed out; no usable Wayback Machine snapshot found), so only the summary figures printed directly in the Annual Report's own 'Capital' section are used here. The FY2013 column added in this pass is instead read directly from the standalone 2013 Pillar 3 Disclosure, p.11 (capital resources table) — https://www.itau.com.br/content/dam/ibba/en/IBBAInt_Cons_Pillar3_2013_FINAL_20140625.pdf. Figures are Group/consolidated basis (the Annual Report's Capital section is presented at Group level only, not solo Bank level, throughout all 5 years).
HD-052 (2026-09-05) FY2014-FY2020: same source as the CET1 Capital sheet.</t>
        </is>
      </c>
    </row>
  </sheetData>
  <mergeCells count="1">
    <mergeCell ref="A6:M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Itau BBA International plc — Total Capital Ratio</t>
        </is>
      </c>
    </row>
    <row r="2">
      <c r="A2" s="2" t="inlineStr">
        <is>
          <t>Group/consolidated basis, %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Total capital ratio</t>
        </is>
      </c>
      <c r="B4" s="6" t="inlineStr">
        <is>
          <t>29.0%</t>
        </is>
      </c>
      <c r="C4" s="6" t="inlineStr">
        <is>
          <t>23.9%</t>
        </is>
      </c>
      <c r="D4" s="6" t="inlineStr">
        <is>
          <t>27.1%</t>
        </is>
      </c>
      <c r="E4" s="6" t="inlineStr">
        <is>
          <t>19.6%</t>
        </is>
      </c>
      <c r="F4" s="6" t="inlineStr">
        <is>
          <t>22.6%</t>
        </is>
      </c>
      <c r="G4" s="6" t="inlineStr">
        <is>
          <t>23.9%</t>
        </is>
      </c>
      <c r="H4" s="6" t="inlineStr">
        <is>
          <t>19.9%</t>
        </is>
      </c>
      <c r="I4" s="6" t="inlineStr">
        <is>
          <t>19.2%</t>
        </is>
      </c>
      <c r="J4" s="6" t="inlineStr">
        <is>
          <t>19.5%</t>
        </is>
      </c>
      <c r="K4" s="6" t="inlineStr">
        <is>
          <t>18.2%</t>
        </is>
      </c>
      <c r="L4" s="6" t="inlineStr">
        <is>
          <t>18.1%</t>
        </is>
      </c>
      <c r="M4" s="6" t="inlineStr">
        <is>
          <t>18.1%</t>
        </is>
      </c>
    </row>
    <row r="6" ht="150" customHeight="1">
      <c r="A6" s="8" t="inlineStr">
        <is>
          <t>Source — Itau BBA International plc Group (consolidated) regulatory capital summary, 2025 Annual Report, p.21 ('Capital' section of the Strategic Report) — https://find-and-update.company-information.service.gov.uk/company/07425398/filing-history/MzUyNjQ0MDA3MmFkaXF6a2N4/document?format=pdf&amp;download=0
The Annual Report states in full that additional Pillar 3 Disclosures (capital detail, LCR, NSFR, MREL) are published as a separate, standalone unaudited document on www.itaubba.co.uk — that site was unreachable this session (connection refused/timed out; no usable Wayback Machine snapshot found), so only the summary figures printed directly in the Annual Report's own 'Capital' section are used here. The FY2013 column added in this pass is instead read directly from the standalone 2013 Pillar 3 Disclosure, p.11 (capital resources table) — https://www.itau.com.br/content/dam/ibba/en/IBBAInt_Cons_Pillar3_2013_FINAL_20140625.pdf. Figures are Group/consolidated basis (the Annual Report's Capital section is presented at Group level only, not solo Bank level, throughout all 5 years).
HD-052 (2026-09-05) FY2014-FY2020: same source as the CET1 Capital sheet.</t>
        </is>
      </c>
    </row>
  </sheetData>
  <mergeCells count="1">
    <mergeCell ref="A6:M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Itau BBA International plc — Total RWAs</t>
        </is>
      </c>
    </row>
    <row r="2">
      <c r="A2" s="2" t="inlineStr">
        <is>
          <t>Group/consolidated basis, USD 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Risk-weighted assets (RWA)</t>
        </is>
      </c>
      <c r="B4" s="6" t="n">
        <v>7855</v>
      </c>
      <c r="C4" s="6" t="n">
        <v>8660</v>
      </c>
      <c r="D4" s="6" t="n">
        <v>7170</v>
      </c>
      <c r="E4" s="6" t="n">
        <v>6812</v>
      </c>
      <c r="F4" s="6" t="n">
        <v>5836</v>
      </c>
      <c r="G4" s="6" t="n">
        <v>5408</v>
      </c>
      <c r="H4" s="6" t="n">
        <v>6089</v>
      </c>
      <c r="I4" s="6" t="n">
        <v>5879</v>
      </c>
      <c r="J4" s="6" t="n">
        <v>5399</v>
      </c>
      <c r="K4" s="6" t="n">
        <v>5506</v>
      </c>
      <c r="L4" s="6" t="n">
        <v>5280</v>
      </c>
      <c r="M4" s="6" t="n">
        <v>5232</v>
      </c>
    </row>
    <row r="6" ht="150" customHeight="1">
      <c r="A6" s="8" t="inlineStr">
        <is>
          <t>Source — Itau BBA International plc Group (consolidated) regulatory capital summary, 2025 Annual Report, p.21 ('Capital' section of the Strategic Report) — https://find-and-update.company-information.service.gov.uk/company/07425398/filing-history/MzUyNjQ0MDA3MmFkaXF6a2N4/document?format=pdf&amp;download=0
The Annual Report states in full that additional Pillar 3 Disclosures (capital detail, LCR, NSFR, MREL) are published as a separate, standalone unaudited document on www.itaubba.co.uk — that site was unreachable this session (connection refused/timed out; no usable Wayback Machine snapshot found), so only the summary figures printed directly in the Annual Report's own 'Capital' section are used here. The FY2013 column added in this pass is instead read directly from the standalone 2013 Pillar 3 Disclosure, p.11 (capital resources table) — https://www.itau.com.br/content/dam/ibba/en/IBBAInt_Cons_Pillar3_2013_FINAL_20140625.pdf. Figures are Group/consolidated basis (the Annual Report's Capital section is presented at Group level only, not solo Bank level, throughout all 5 years).
HD-052 (2026-09-05) FY2014-FY2020: same source as the CET1 Capital sheet.</t>
        </is>
      </c>
    </row>
  </sheetData>
  <mergeCells count="1">
    <mergeCell ref="A6:M6"/>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1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Itau BBA International plc — RWA Breakdown (Group)</t>
        </is>
      </c>
    </row>
    <row r="2">
      <c r="A2" s="2" t="inlineStr">
        <is>
          <t>Group/consolidated basis, USD m - DERIVED, not directly disclosed as a UK OV1 table</t>
        </is>
      </c>
    </row>
    <row r="3">
      <c r="A3" s="4" t="inlineStr">
        <is>
          <t>Line item</t>
        </is>
      </c>
      <c r="B3" s="4" t="inlineStr">
        <is>
          <t>FY2025 (USD m)</t>
        </is>
      </c>
      <c r="C3" s="4" t="inlineStr">
        <is>
          <t>FY2024 (USD m)</t>
        </is>
      </c>
      <c r="D3" s="4" t="inlineStr">
        <is>
          <t>FY2023 (USD m)</t>
        </is>
      </c>
      <c r="E3" s="4" t="inlineStr">
        <is>
          <t>FY2022 (USD m)</t>
        </is>
      </c>
      <c r="F3" s="4" t="inlineStr">
        <is>
          <t>FY2021 (USD m)</t>
        </is>
      </c>
      <c r="G3" s="4" t="inlineStr">
        <is>
          <t>FY2020 (USD m)</t>
        </is>
      </c>
      <c r="H3" s="4" t="inlineStr">
        <is>
          <t>FY2019 (USD m)</t>
        </is>
      </c>
      <c r="I3" s="4" t="inlineStr">
        <is>
          <t>FY2018 (USD m)</t>
        </is>
      </c>
      <c r="J3" s="4" t="inlineStr">
        <is>
          <t>FY2017 (USD m)</t>
        </is>
      </c>
      <c r="K3" s="4" t="inlineStr">
        <is>
          <t>FY2016 (USD m)</t>
        </is>
      </c>
      <c r="L3" s="4" t="inlineStr">
        <is>
          <t>FY2015 (USD m)</t>
        </is>
      </c>
      <c r="M3" s="4" t="inlineStr">
        <is>
          <t>FY2014 (USD m)</t>
        </is>
      </c>
    </row>
    <row r="4">
      <c r="A4" s="6" t="inlineStr">
        <is>
          <t>Credit Risk (Standardised Approach; incl. counterparty credit risk)</t>
        </is>
      </c>
      <c r="B4" s="6" t="n">
        <v>6987.5</v>
      </c>
      <c r="C4" s="6" t="n">
        <v>7875</v>
      </c>
      <c r="D4" s="6" t="n">
        <v>6525</v>
      </c>
      <c r="E4" s="6" t="n">
        <v>6250</v>
      </c>
      <c r="F4" s="6" t="n">
        <v>5362.5</v>
      </c>
      <c r="G4" s="6" t="n">
        <v>4875</v>
      </c>
      <c r="H4" s="6" t="n">
        <v>5562.5</v>
      </c>
      <c r="I4" s="6" t="n">
        <v>5362.5</v>
      </c>
      <c r="J4" s="6" t="n">
        <v>4862.5</v>
      </c>
      <c r="K4" s="6" t="n">
        <v>4962.5</v>
      </c>
      <c r="L4" s="6" t="n">
        <v>4800</v>
      </c>
      <c r="M4" s="6" t="n">
        <v>4725</v>
      </c>
    </row>
    <row r="5">
      <c r="A5" s="6" t="inlineStr">
        <is>
          <t>Credit Valuation Adjustment Risk</t>
        </is>
      </c>
      <c r="B5" s="6" t="n">
        <v>62.5</v>
      </c>
      <c r="C5" s="6" t="n">
        <v>37.5</v>
      </c>
      <c r="D5" s="6" t="n">
        <v>25</v>
      </c>
      <c r="E5" s="6" t="n">
        <v>50</v>
      </c>
      <c r="F5" s="6" t="n">
        <v>25</v>
      </c>
      <c r="G5" s="6" t="n">
        <v>12.5</v>
      </c>
      <c r="H5" s="6" t="n">
        <v>25</v>
      </c>
      <c r="I5" s="6" t="n">
        <v>12.5</v>
      </c>
      <c r="J5" s="6" t="n">
        <v>25</v>
      </c>
      <c r="K5" s="6" t="n">
        <v>12.5</v>
      </c>
      <c r="L5" s="6" t="n">
        <v>25</v>
      </c>
      <c r="M5" s="6" t="n">
        <v>25</v>
      </c>
    </row>
    <row r="6">
      <c r="A6" s="6" t="inlineStr">
        <is>
          <t>Market Risk</t>
        </is>
      </c>
      <c r="B6" s="6" t="n">
        <v>12.5</v>
      </c>
      <c r="C6" s="6" t="n">
        <v>50</v>
      </c>
      <c r="D6" s="6" t="n">
        <v>62.5</v>
      </c>
      <c r="E6" s="6" t="n">
        <v>25</v>
      </c>
      <c r="F6" s="6" t="n">
        <v>25</v>
      </c>
      <c r="G6" s="6" t="n">
        <v>62.5</v>
      </c>
      <c r="H6" s="6" t="n">
        <v>12.5</v>
      </c>
      <c r="I6" s="6" t="n">
        <v>37.5</v>
      </c>
      <c r="J6" s="6" t="n">
        <v>75</v>
      </c>
      <c r="K6" s="6" t="n">
        <v>100</v>
      </c>
      <c r="L6" s="6" t="n">
        <v>37.5</v>
      </c>
      <c r="M6" s="6" t="n">
        <v>100</v>
      </c>
    </row>
    <row r="7">
      <c r="A7" s="6" t="inlineStr">
        <is>
          <t>Operational Risk (Basic Indicator Approach)</t>
        </is>
      </c>
      <c r="B7" s="6" t="n">
        <v>787.5</v>
      </c>
      <c r="C7" s="6" t="n">
        <v>700</v>
      </c>
      <c r="D7" s="6" t="n">
        <v>562.5</v>
      </c>
      <c r="E7" s="6" t="n">
        <v>487.5</v>
      </c>
      <c r="F7" s="6" t="n">
        <v>425</v>
      </c>
      <c r="G7" s="6" t="n">
        <v>462.5</v>
      </c>
      <c r="H7" s="6" t="n">
        <v>487.5</v>
      </c>
      <c r="I7" s="6" t="n">
        <v>462.5</v>
      </c>
      <c r="J7" s="6" t="n">
        <v>437.5</v>
      </c>
      <c r="K7" s="6" t="n">
        <v>425</v>
      </c>
      <c r="L7" s="6" t="n">
        <v>412.5</v>
      </c>
      <c r="M7" s="6" t="n">
        <v>387.5</v>
      </c>
    </row>
    <row r="8">
      <c r="A8" s="5" t="inlineStr">
        <is>
          <t>Total RWA (derived, sum of above)</t>
        </is>
      </c>
      <c r="B8" s="5" t="n">
        <v>7850</v>
      </c>
      <c r="C8" s="5" t="n">
        <v>8662.5</v>
      </c>
      <c r="D8" s="5" t="n">
        <v>7175</v>
      </c>
      <c r="E8" s="5" t="n">
        <v>6812.5</v>
      </c>
      <c r="F8" s="5" t="n">
        <v>5837.5</v>
      </c>
      <c r="G8" s="5" t="n">
        <v>5412.5</v>
      </c>
      <c r="H8" s="5" t="n">
        <v>6087.5</v>
      </c>
      <c r="I8" s="5" t="n">
        <v>5875</v>
      </c>
      <c r="J8" s="5" t="n">
        <v>5400</v>
      </c>
      <c r="K8" s="5" t="n">
        <v>5500</v>
      </c>
      <c r="L8" s="5" t="n">
        <v>5275</v>
      </c>
      <c r="M8" s="5" t="n">
        <v>5237.5</v>
      </c>
    </row>
    <row r="10" ht="200" customHeight="1">
      <c r="A10" s="8" t="inlineStr">
        <is>
          <t>Source — Itau BBA International plc Group 'Capital requirements By Risk Type' table (Note 41 'Capital Management'/'Capital requirements'), each year's own Annual Report — FY2025/FY2024: 2025 Annual Report, p.170 — https://find-and-update.company-information.service.gov.uk/company/07425398/filing-history/MzUyNjQ0MDA3MmFkaXF6a2N4/document?format=pdf&amp;download=0; FY2023/FY2022: 2023 Annual Report, p.186 — https://find-and-update.company-information.service.gov.uk/company/07425398/filing-history/MzQyMDE3MTk5NWFkaXF6a2N4/document?format=pdf&amp;download=0; FY2021: 2021 Annual Report, p.163 — https://find-and-update.company-information.service.gov.uk/company/07425398/filing-history/MzMzODgwNTQxMWFkaXF6a2N4/document?format=pdf&amp;download=0.
The Annual Report discloses capital REQUIREMENTS by risk type (Credit Risk, Credit Valuation Adjustment, Market Risk, Operational Risk), not RWA directly - each category's RWA here is derived by multiplying its capital requirement by 12.5 (the same 8% capital ratio convention the Bank's own 'Risk-weighted assets (RWA)' = 'Total capital requirements' x 12.5 footnote uses on the Total RWAs sheet, and independently confirmed against AR2021's own 'Risk-weighted assets - Credit Risk' table, p.164, which discloses Credit Risk RWA directly as USD 5,363m for FY2021 - ties to the derived USD 5,362.5m here exactly). No standalone Pillar 3 UK OV1 category-level table was found (the Annual Report states further Pillar 3 disclosures are published separately on www.itaubba.co.uk, which was unreachable this session, same constraint as the LCR/NSFR/MREL sheets). Each year's derived Total RWA is within ~USD 5m of the pre-existing Total RWas sheet's disclosed figure (a rounding artifact from the Bank's own capital requirement figures being rounded to the nearest USD 1m) - not force-reconciled to match exactly.
HD-052 (2026-09-05) FY2014-FY2020, same DERIVED methodology, Group basis, from each year's own Annual Report 'Capital requirements By Risk Type' table — FY2020/FY2019: 2020 Annual Report, p.137 — https://find-and-update.company-information.service.gov.uk/company/07425398/filing-history/MzI5ODk0OTk0OGFkaXF6a2N4/document?format=pdf&amp;download=0; FY2018/FY2017: 2018 Annual Report, p.125 — https://find-and-update.company-information.service.gov.uk/company/07425398/filing-history/MzIzMzkyNDA5MmFkaXF6a2N4/document?format=pdf&amp;download=0; FY2016/FY2015: 2016 Annual Report, p.103 — https://find-and-update.company-information.service.gov.uk/company/07425398/filing-history/MzE3NTM0ODg3NmFkaXF6a2N4/document?format=pdf&amp;download=0; FY2014: 2014 Consolidated Annual Report, p.11 — https://find-and-update.company-information.service.gov.uk/company/07425398/filing-history/MzEyNTM4MDgyMGFkaXF6a2N4/document?format=pdf&amp;download=0. FY2014's own table nests 'Credit Value Adjustment' (USD 2m) as a sub-line of 'Market Risk' (USD 10m total) rather than as its own top-level category (introduced as a separate line from the 2016 report onward) - split out here for consistency with later years (Market Risk shown as USD 8m ex-CVA, CVA as USD 2m), an apportionment not a data change; both derived figures sum to the source's own USD 10m Market Risk total exactly.</t>
        </is>
      </c>
    </row>
  </sheetData>
  <mergeCells count="1">
    <mergeCell ref="A10:M10"/>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Itau BBA International plc — Leverage Ratio</t>
        </is>
      </c>
    </row>
    <row r="2">
      <c r="A2" s="2" t="inlineStr">
        <is>
          <t>Group/consolidated basis,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Leverage ratio - excluding and including claims on central banks are identical in the disclosed years (UK KM1 rows 14 and 14b print the same figure); see note</t>
        </is>
      </c>
      <c r="B4" s="6" t="inlineStr">
        <is>
          <t>19.1%</t>
        </is>
      </c>
      <c r="C4" s="6" t="inlineStr">
        <is>
          <t>16.4%</t>
        </is>
      </c>
      <c r="D4" s="6" t="inlineStr">
        <is>
          <t>16.7%</t>
        </is>
      </c>
      <c r="E4" s="6" t="inlineStr">
        <is>
          <t>11.9%</t>
        </is>
      </c>
      <c r="F4" s="6" t="inlineStr">
        <is>
          <t>14.6%</t>
        </is>
      </c>
      <c r="G4" s="6" t="inlineStr">
        <is>
          <t>14.4%</t>
        </is>
      </c>
      <c r="H4" s="6" t="inlineStr">
        <is>
          <t>13.5%</t>
        </is>
      </c>
      <c r="I4" s="6" t="inlineStr">
        <is>
          <t>11.9%</t>
        </is>
      </c>
      <c r="J4" s="6" t="inlineStr">
        <is>
          <t>12.4%</t>
        </is>
      </c>
      <c r="K4" s="6" t="inlineStr">
        <is>
          <t>11.3%</t>
        </is>
      </c>
      <c r="L4" s="6" t="inlineStr">
        <is>
          <t>10.3%</t>
        </is>
      </c>
      <c r="M4" s="6" t="inlineStr">
        <is>
          <t>10.5%</t>
        </is>
      </c>
    </row>
    <row r="5" ht="130" customHeight="1">
      <c r="A5" s="7" t="inlineStr">
        <is>
          <t>Note: FY2024 = 16.4% IS AS PRINTED, AND THE BANK'S OWN PILLAR 3 PRINTS A DIFFERENT FIGURE FOR THE SAME DATE. Both are recorded; neither is reconciled or changed (re-read 2026-09-19 from 300dpi page renders of the Companies House scans, which are image-only - 0 hits for ' the ' under pdftotext - so no text search or OCR digit was relied on). THE ANNUAL REPORT PRINTS 16.4% THREE TIMES: (1) 2025 Annual Report (Companies House document MzUyNjQ0MDA3MmFkaXF6a2N4), p.21, 'Capital' narrative: 'the Consolidated total capital ratio reached 29.0% (31.12.24: 23.9%) and the Leverage Ratio 19.1% (31.12.24: 16.4%)', which is this sheet's declared source; the same edition's 'Performance Highlights' table (p.18), row 'Leverage ratio', column 31.12.24, also prints 16.4%. (2) 2024 Annual Report, FY2024's OWN edition (Companies House filing 12 May 2025, document MzQ2NTc1NjI1M2FkaXF6a2N4), 'Consolidated Key Performance Indicators' table, printed p.17 ('Strategic Report 17'), row 'Leverage ratio', column 31.12.24: 16.4% (31.12.23: 16.7%); and the same edition's 'Capital' narrative, printed p.22: 'the Leverage Ratio 16.4% (31.12.23: 16.7%)'. THE PILLAR 3 PRINTS 16.74%: 'Market Discipline – 2024 Pillar III', Template UK KM1, printed p.42, column 'Dez 24' (https://www.itau.com.br/media/dam/m/4c36b133120fa793/original/IBBAI-Pillar-3-2024-Final.pdf), row 14 'Leverage ratio excluding claims on central banks' 16.74%, and rows UK 14a (fully loaded ECL) and UK 14b ('including claims on central banks') also 16.74%; UK 14c/14d (averages) print '-'. Its narrative (p.40) says 'The leverage ratio remained in 16.7% (December 2023: 16.7%)', and the 2025 edition's narrative (p.40, https://www.itau.com.br/media/dam/m/70996afd168ff52f/original/IBBAI_Pillar-3-2025_Final.pdf) says 'December 2024: 16.7%'. BASIS: both sources are IBBAInt Group CONSOLIDATED (the Annual Report labels its table 'Consolidated Key Performance Indicators' and its narrative 'Consolidated total capital ratio ... and the Leverage Ratio'; the Pillar 3 is prepared for IBBAInt Group on the accounting consolidation scope), and both are POINT-IN-TIME 31 December figures (the Annual Report column is headed 31.12.24; the Pillar 3 prints no average). The Annual Report states no leverage-ratio definition, and no definition the Pillar 3 prints yields anything but 16.74% - excluding central banks, including them and fully loaded are all 16.74% - so the gap cannot be attributed to entity, central-bank treatment or averaging. It is therefore recorded as an INCONSISTENT PAIR PUBLISHED BY THE BANK for the same entity and date, not as a basis difference and not as a transcription slip: the sheet keeps the Annual Report's 16.4% as sourced, and the Pillar 3's 16.74% stays on the KM1 Key Metrics sheet (verify_workbook.py's KM1 row 14 FY2024 line is this disagreement and is expected). By contrast the two sources agree for FY2023 (Annual Report 16.7%; Pillar 3 KM1 16.74%).</t>
        </is>
      </c>
    </row>
    <row r="7" ht="150" customHeight="1">
      <c r="A7" s="8" t="inlineStr">
        <is>
          <t>Source — Itau BBA International plc Group (consolidated) regulatory capital summary, 2025 Annual Report, p.21 ('Capital' section of the Strategic Report) — https://find-and-update.company-information.service.gov.uk/company/07425398/filing-history/MzUyNjQ0MDA3MmFkaXF6a2N4/document?format=pdf&amp;download=0
The Annual Report states in full that additional Pillar 3 Disclosures (capital detail, LCR, NSFR, MREL) are published as a separate, standalone unaudited document on www.itaubba.co.uk — that site was unreachable this session (connection refused/timed out; no usable Wayback Machine snapshot found), so only the summary figures printed directly in the Annual Report's own 'Capital' section are used here. The FY2013 column added in this pass is instead read directly from the standalone 2013 Pillar 3 Disclosure, p.11 (capital resources table) — https://www.itau.com.br/content/dam/ibba/en/IBBAInt_Cons_Pillar3_2013_FINAL_20140625.pdf. Figures are Group/consolidated basis (the Annual Report's Capital section is presented at Group level only, not solo Bank level, throughout all 5 years). The Leverage Ratio is quoted in the Capital section's narrative text (not the composition table) each year.
HD-052 (2026-09-05) FY2014-FY2020: same Annual Reports' own Key Performance Indicators tables.</t>
        </is>
      </c>
    </row>
  </sheetData>
  <mergeCells count="2">
    <mergeCell ref="A5:M5"/>
    <mergeCell ref="A7:M7"/>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Itau BBA International plc — LCR</t>
        </is>
      </c>
    </row>
    <row r="2">
      <c r="A2" s="2" t="inlineStr">
        <is>
          <t>Group/consolidated basis,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Liquidity Coverage Ratio</t>
        </is>
      </c>
      <c r="B4" s="6" t="inlineStr">
        <is>
          <t>172%</t>
        </is>
      </c>
      <c r="C4" s="6" t="inlineStr">
        <is>
          <t>302%</t>
        </is>
      </c>
      <c r="D4" s="6" t="inlineStr">
        <is>
          <t>208%</t>
        </is>
      </c>
      <c r="E4" s="6" t="inlineStr">
        <is>
          <t>188%</t>
        </is>
      </c>
      <c r="F4" s="6" t="inlineStr">
        <is>
          <t>169%</t>
        </is>
      </c>
      <c r="G4" s="6" t="inlineStr">
        <is>
          <t>153%</t>
        </is>
      </c>
      <c r="H4" s="6" t="inlineStr">
        <is>
          <t>267%</t>
        </is>
      </c>
      <c r="I4" s="6" t="inlineStr">
        <is>
          <t>181%</t>
        </is>
      </c>
      <c r="J4" s="6" t="inlineStr">
        <is>
          <t>129%</t>
        </is>
      </c>
      <c r="K4" s="6" t="inlineStr">
        <is>
          <t>289%</t>
        </is>
      </c>
      <c r="L4" s="6" t="inlineStr">
        <is>
          <t>307%</t>
        </is>
      </c>
    </row>
    <row r="5" ht="182" customHeight="1">
      <c r="A5" s="7" t="inlineStr">
        <is>
          <t>Note: FY2025 AND FY2024 RECOVERED 2026-09-18 (GA-018), FROM THE ANNUAL REPORT — REVERSING THIS SHEET'S OWN PRIOR CLAIM. Sources, each year from its OWN edition (Companies House filing copies; both are image-only PDFs and were OCR'd with ocrmypdf --force-ocr before reading):
  FY2025: 172% — 2025 Annual Report, 'Performance Highlights' table, row 'Liquidity Coverage Ratio (LCR)', printed folio 18 (Strategic Report). CORROBORATED within the same edition by the Performance Review narrative: 'a liquidity coverage ratio of 172% (2024: 302%)'. HQLA eligible USD 2,134m, liquidity pool USD 4,016m on the same table.
  FY2024: 302% — 2024 Annual Report, 'Performance Highlights' table, same row, printed folio 17 (Strategic Report; the page's own footer reads 'Strategic Report 17'). CORROBORATED twice — by that edition's own liquidity chart, and by the FY2025 edition quoting 302% as its comparative. HQLA eligible USD 1,810m.
  BASIS BREAK — DO NOT READ THIS SERIES AS ONE MEASURE. FY2025 and FY2024 are POINT-IN-TIME year-end ratios taken from the Annual Report, exactly like FY2020-FY2015 below; FY2023/FY2022/FY2021 are 12-MONTH TRAILING AVERAGES taken from the Pillar 3 documents, per those documents' own footnotes. The two are not comparable and are deliberately not reconciled. They are left on one row because that is how this sheet already carried the identical FY2020-FY2015 vs FY2023-FY2021 break.
  WHY THIS WAS MISSED BEFORE, recorded so the pattern is recognised rather than repeated: the note previously asserted the figure was 'Not found anywhere in the Annual Report's own pages'. The FY2024 and FY2025 filings are wholly scanned, so every text search over them returned nothing — an instrument's reach reported as a fact about the bank (km1/map.md rules 15 and 40). The sheet's own FY2020-FY2015 block, sourced from Annual Report KPI tables, contradicted the claim the whole time.
PRIOR TEXT, RETAINED: not found in the Annual Report's own pages (Strategic Report or Notes) for FY2023-FY2021 — for those years the Annual Report defers all liquidity Pillar 3 detail to the standalone Pillar 3 Disclosures documents. Those documents were located (via Wayback Machine, after itau.co.uk/itaubba.co.uk/live itau.com.br all proved unreachable) for FY2023/FY2022/FY2021, each disclosing LCR as a 12-month trailing average. FY2024/FY2025 remain blank — no Pillar 3 Disclosures document for either year was found this session. [Superseded twice: FY2025/FY2024 are filled from the Annual Report (above), and both years' Pillar 3 editions were obtained on 2026-09-19. Their KM1 row 17 prints trailing-average LCRs of 230% (FY2025) and 245% (FY2024), on the KM1 sheet only. The point-in-time figures here are not replaced.] HD-052 (2026-09-05): FY2020-FY2015 were found directly in each year's own Annual Report Key Performance Indicators table (a point-in-time figure, not the trailing average the Pillar 3 documents disclose for FY2021-2023 — a genuine presentation difference between the two source types, not a data error). FY2014 is genuinely blank — no LCR appears anywhere in the 2014 Annual Report, consistent with the CRD IV LCR phase-in only beginning in 2015 (confirmed against this project's own finding for other banks, e.g. Bank of Ireland UK).</t>
        </is>
      </c>
    </row>
    <row r="7" ht="390" customHeight="1">
      <c r="A7" s="8" t="inlineStr">
        <is>
          <t>Source — Itau BBA International plc Group (consolidated) standalone Pillar 3 Disclosures documents — these are the same documents the Annual Report's own 'Capital' section refers readers to via www.itaubba.co.uk (see the p3_sources note on this workbook's other Pillar 3 sheets); that domain, and itau.co.uk, were unreachable this session, but the documents themselves were located on itau.com.br (the Brazilian parent Itau Unibanco's investor-relations site). Live fetches of itau.com.br also returned HTTP 403 this session (Cloudflare bot-challenge), so all figures below were retrieved via Wayback Machine archive snapshots instead:
FY2023: 'Market Discipline – 2023 Pillar III' (2023 Pillar 3 Disclosures), Template UK KM1 (Section 10 'Key Metrics'), p.41 — live: https://www.itau.com.br/media/dam/m/11e1e216dd5df1fd/original/Pillar-3-2023.pdf — archived: https://web.archive.org/web/20240812211731id_/https://www.itau.com.br/media/dam/m/11e1e216dd5df1fd/original/Pillar-3-2023.pdf
FY2022 (and FY2021 comparative column on the same table): '2022 Pillar 3 Disclosures', Template UK KM1 (Section 10 'Key Metrics'), p.44 — live: https://www.itau.com.br/media/dam/m/58b090bc84eddb94/original/Pillar-3-2022.pdf — archived: https://web.archive.org/web/20230502054346id_/https://www.itau.com.br/media/dam/m/58b090bc84eddb94/original/Pillar-3-2022.pdf
FY2021 LCR only (the 2021 document predates the UK KM1 template): '2021 Pillar 3 Disclosures', Table 26 'Liquidity Coverage Ratio', p.46 — live: https://www.itau.com.br/content/dam/ibba/en/Pillar-3-2021.pdf — archived: https://web.archive.org/web/20230502062443id_/https://www.itau.com.br/content/dam/ibba/en/Pillar-3-2021.pdf
All figures are Group/consolidated (IBBAInt Group) basis, matching this workbook's other Pillar 3 sheets. FY2024/FY2025: CORRECTED 2026-09-19 - both editions WERE obtained on the GA-020 second pass ('Market Discipline - 2024 Pillar III' https://www.itau.com.br/media/dam/m/4c36b133120fa793/original/IBBAI-Pillar-3-2024-Final.pdf; 'Market Discipline - 2025 Pillar 3' https://www.itau.com.br/media/dam/m/70996afd168ff52f/original/IBBAI_Pillar-3-2025_Final.pdf) and their UK KM1 tables are transcribed on the KM1 Key Metrics sheet only. Figures on THIS sheet for those two years are unchanged and still come from the sources stated in this sheet's note; the earlier wording, kept below for the record, said no edition had been obtained (see the host-reach correction below). THE TRAILING CLAUSE PREVIOUSLY HERE — that 'the Annual Report itself does not break out these figures for any year' — IS FALSE AND IS WITHDRAWN (GA-018, 2026-09-18). Each year's own Annual Report states BOTH the LCR and the NSFR, and the FY2025 and FY2024 figures on the LCR and NSFR sheets are now sourced from there. The false clause is exactly the self-sealing negative of km1/map.md rule 40: it explained the blanks well enough that nobody re-opened the document, and it was the neighbouring sheets' own Annual-Report sourcing (FY2015-FY2020) that should have contradicted it all along. The KM1 sheet stays blank for those two years regardless, because a KM1 is a TABLE and the Annual Report prints no key-metrics template — mapping its prose onto template row numbers would assert a correspondence the bank never published (rule 8).
BLOCKED SOURCE HOST - NOT A DEAD LINK (recorded 2026-09-16). The three standalone Pillar 3 documents cited on this sheet are hosted on itau.com.br, which refuses automated clients: re-tested 2026-09-16, each URL returns HTTP 403 with a short (~438-458 byte) text/html body, a Cloudflare/WAF bot challenge. A 403 is explicitly an UNKNOWN state, NOT evidence of removal - it records that the host declined to serve this project's automated fetcher, and the documents may well still be retrievable by a human browser or from a different network. For that reason the publisher's own live URL remains the PRIMARY citation for every figure on this sheet and has deliberately NOT been replaced. The Wayback Machine snapshot shown next to it is a LABELLED FALLBACK, provided only so the figure stays verifiable when the host refuses the reader as it refused this session. Fallbacks are given in the 'id_' form (https://web.archive.org/web/&lt;timestamp&gt;id_/&lt;original URL&gt;), which returns the original archived bytes rather than the Wayback viewer page, and each was fetched and verified on 2026-09-16: FY2021 1,803,996 bytes / 54pp; FY2022 1,036,900 bytes / 67pp; FY2023 1,144,738 bytes / 62pp. All three begin '%PDF', all three name 'Itau BBA International plc' and their stated year on the cover, and in all three the final page still renders, confirming none is a truncated capture. No figure was changed.
HOST-REACH CORRECTION, MEASURED 2026-09-18 (GA-018, feeding GA-013) - THE CLAIM ABOVE THAT itau.com.br 'REFUSES AUTOMATED CLIENTS' IS TOO STRONG AND IS CORRECTED HERE. It was an inference drawn from repeated failure, which is km1/map.md rule 9's own defect class. What actually happens, measured against a VERBATIM URL already cited in this script (the FY2023 document, .../11e1e216dd5df1fd/original/Pillar-3-2023.pdf - no slug was guessed):
  • Full Chrome header set INCLUDING Referer and Sec-Fetch-Dest/Mode/Site/User, over HTTP/1.1 -&gt; HTTP 200, Content-Type application/pdf, 1,043,167 bytes. The document served.
  • The SAME URL over HTTP/2, same minute -&gt; HTTP 403 (458-byte text/html).
  • A bare browser user-agent with only Accept, over HTTP/1.1 -&gt; HTTP 403.
So the discriminator is PROTOCOL plus HEADER COMPLETENESS, precisely the Paragon finding in rule 9: try --http1.1 with a complete header set before writing any sentence about what a host does.
  • HONEST QUALIFIER, recorded because it changes what may be concluded: a REPEAT of the identical winning rung minutes later returned 403 again. The host is INTERMITTENT, not simply unlocked. One 200 is enough to refute 'refuses every request'; it is NOT enough to call the host reachable, and a future session should expect to retry rather than to succeed first time.</t>
        </is>
      </c>
    </row>
    <row r="9" ht="150" customHeight="1">
      <c r="A9" s="8" t="inlineStr">
        <is>
          <t>(continued)
• www.itaubba.co.uk - the domain this bank's own Annual Report names as the home of the Pillar 3 Disclosures - is ALIVE, contrary to the 'connection refused/timed out' wording elsewhere in this script. DNS resolves (94.126.169.4 on both apex and www). Port 443 times out on every rung tried. PORT 80 ANSWERS: HTTP 302, Server nginx/1.22.1, X-Powered-By PHP/7.2.2, Location https://www.itau.com.br/itaubba-en/international. That redirect target is an HTML page on a different path from the DAM file host, and it returned 403 to every rung including the winning one, which is why the FY2024 and FY2025 Pillar 3 URLs still could not be listed. [SUPERSEDED 2026-09-19: over HTTP/2 with a full Chrome header set the same index page returned HTTP 200 and linked both editions, which were then downloaded - see the KM1 Key Metrics sheet. HTTP/1.1 got 403 the same minute, the reverse of the 2026-09-18 result, so neither protocol is reliably the winning one on this host.]
  • The Internet Archive was DEGRADED during this session (an 'Internet Archive: Temporarily Offline' page, and HTTP 429 on the availability API), so its silence is an OUTAGE and carries no evidential weight either way.</t>
        </is>
      </c>
    </row>
  </sheetData>
  <mergeCells count="3">
    <mergeCell ref="A5:L5"/>
    <mergeCell ref="A7:L7"/>
    <mergeCell ref="A9:L9"/>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s>
  <sheetData>
    <row r="1">
      <c r="A1" s="1" t="inlineStr">
        <is>
          <t>Itau BBA International plc — NSFR</t>
        </is>
      </c>
    </row>
    <row r="2">
      <c r="A2" s="2" t="inlineStr">
        <is>
          <t>Group/consolidated basis, %</t>
        </is>
      </c>
    </row>
    <row r="3">
      <c r="A3" s="4" t="inlineStr">
        <is>
          <t>Metric</t>
        </is>
      </c>
      <c r="B3" s="4" t="inlineStr">
        <is>
          <t>FY2025</t>
        </is>
      </c>
      <c r="C3" s="4" t="inlineStr">
        <is>
          <t>FY2024</t>
        </is>
      </c>
      <c r="D3" s="4" t="inlineStr">
        <is>
          <t>FY2023</t>
        </is>
      </c>
      <c r="E3" s="4" t="inlineStr">
        <is>
          <t>FY2022</t>
        </is>
      </c>
    </row>
    <row r="4">
      <c r="A4" s="6" t="inlineStr">
        <is>
          <t>Net Stable Funding Ratio</t>
        </is>
      </c>
      <c r="B4" s="6" t="inlineStr">
        <is>
          <t>168%</t>
        </is>
      </c>
      <c r="C4" s="6" t="inlineStr">
        <is>
          <t>155%</t>
        </is>
      </c>
      <c r="D4" s="6" t="inlineStr">
        <is>
          <t>161%</t>
        </is>
      </c>
      <c r="E4" s="6" t="inlineStr">
        <is>
          <t>150%</t>
        </is>
      </c>
    </row>
    <row r="5" ht="247" customHeight="1">
      <c r="A5" s="7" t="inlineStr">
        <is>
          <t>Note: FY2025 AND FY2024 RECOVERED 2026-09-18 (GA-018), FROM THE ANNUAL REPORT — REVERSING THIS SHEET'S OWN PRIOR CLAIM THAT THE ANNUAL REPORT DOES NOT DISCLOSE THIS METRIC. Each year from its OWN edition (Companies House filing copies, image-only, OCR'd before reading):
  FY2025: 168% — 2025 Annual Report, Risk Management / liquidity risk, printed folio 28, stated in the Bank's own words: 'showing a NSFR of 168% as of 31 December 2025 (31.12.24: 155%)'.
  FY2024: 155% — 2024 Annual Report, Risk Management / liquidity risk, printed folio 28 (the page's own footer reads 'Strategic Report 28'): 'showing a NSFR of 155% as of 31 December 2024 (31.12.23: 166%)'. INDEPENDENTLY CORROBORATED by the FY2025 edition quoting 155% as its 31.12.24 comparative.
  BASIS BREAK, NOT RECONCILED: FY2025 and FY2024 are POINT-IN-TIME year-end ratios as printed in the Annual Report; FY2023 and FY2022 are TRAILING FOUR-QUARTER AVERAGES from the Pillar 3 documents, per those documents' own footnotes. Note the consequence — the FY2024 report's own 31.12.23 comparative is 166%, against the 161% this sheet carries for FY2023 from the Pillar 3 document. THOSE TWO FIGURES ARE NOT IN CONFLICT AND NEITHER IS WRONG: one is a year-end point and the other a four-quarter average of the same year. Each is reproduced from its own source and they are deliberately NOT merged; FY2023 keeps the Pillar 3 figure because that is its own edition's own-year disclosure.
PRIOR TEXT, RETAINED AND NOW LIMITED TO FY2023/FY2022: same availability constraint as the LCR sheet — deferred by the Annual Report to the standalone Pillar 3 Disclosures documents, located via Wayback Machine for FY2023/FY2022 (trailing four-quarter average). FY2021 is blank because NSFR was not yet subject to the PRA's reporting requirement (effective 1 January 2022, per both the FY2022 and FY2023 documents' own notes) — no NSFR % appears in the FY2021 document. FY2024/FY2025 remain blank — no Pillar 3 Disclosures document for either year was found this session. [Superseded twice: FY2025/FY2024 are filled from the Annual Report (above), and both years' Pillar 3 editions were obtained on 2026-09-19. Their KM1 row 20 prints trailing four-quarter NSFRs of 176% (FY2025) and 159% (FY2024), on the KM1 sheet only. The point-in-time figures here are not replaced.] HD-052 (2026-09-05): FY2014-FY2020 also remain blank for the same reason — NSFR was not yet a PRA reporting requirement, and no NSFR % appears in any of those years' own Annual Reports (searched in full this session).</t>
        </is>
      </c>
    </row>
    <row r="7" ht="338" customHeight="1">
      <c r="A7" s="8" t="inlineStr">
        <is>
          <t>Source — Itau BBA International plc Group (consolidated) standalone Pillar 3 Disclosures documents — these are the same documents the Annual Report's own 'Capital' section refers readers to via www.itaubba.co.uk (see the p3_sources note on this workbook's other Pillar 3 sheets); that domain, and itau.co.uk, were unreachable this session, but the documents themselves were located on itau.com.br (the Brazilian parent Itau Unibanco's investor-relations site). Live fetches of itau.com.br also returned HTTP 403 this session (Cloudflare bot-challenge), so all figures below were retrieved via Wayback Machine archive snapshots instead:
FY2023: 'Market Discipline – 2023 Pillar III' (2023 Pillar 3 Disclosures), Template UK KM1 (Section 10 'Key Metrics'), p.41 — live: https://www.itau.com.br/media/dam/m/11e1e216dd5df1fd/original/Pillar-3-2023.pdf — archived: https://web.archive.org/web/20240812211731id_/https://www.itau.com.br/media/dam/m/11e1e216dd5df1fd/original/Pillar-3-2023.pdf
FY2022 (and FY2021 comparative column on the same table): '2022 Pillar 3 Disclosures', Template UK KM1 (Section 10 'Key Metrics'), p.44 — live: https://www.itau.com.br/media/dam/m/58b090bc84eddb94/original/Pillar-3-2022.pdf — archived: https://web.archive.org/web/20230502054346id_/https://www.itau.com.br/media/dam/m/58b090bc84eddb94/original/Pillar-3-2022.pdf
FY2021 LCR only (the 2021 document predates the UK KM1 template): '2021 Pillar 3 Disclosures', Table 26 'Liquidity Coverage Ratio', p.46 — live: https://www.itau.com.br/content/dam/ibba/en/Pillar-3-2021.pdf — archived: https://web.archive.org/web/20230502062443id_/https://www.itau.com.br/content/dam/ibba/en/Pillar-3-2021.pdf
All figures are Group/consolidated (IBBAInt Group) basis, matching this workbook's other Pillar 3 sheets. FY2024/FY2025: CORRECTED 2026-09-19 - both editions WERE obtained on the GA-020 second pass ('Market Discipline - 2024 Pillar III' https://www.itau.com.br/media/dam/m/4c36b133120fa793/original/IBBAI-Pillar-3-2024-Final.pdf; 'Market Discipline - 2025 Pillar 3' https://www.itau.com.br/media/dam/m/70996afd168ff52f/original/IBBAI_Pillar-3-2025_Final.pdf) and their UK KM1 tables are transcribed on the KM1 Key Metrics sheet only. Figures on THIS sheet for those two years are unchanged and still come from the sources stated in this sheet's note; the earlier wording, kept below for the record, said no edition had been obtained (see the host-reach correction below). THE TRAILING CLAUSE PREVIOUSLY HERE — that 'the Annual Report itself does not break out these figures for any year' — IS FALSE AND IS WITHDRAWN (GA-018, 2026-09-18). Each year's own Annual Report states BOTH the LCR and the NSFR, and the FY2025 and FY2024 figures on the LCR and NSFR sheets are now sourced from there. The false clause is exactly the self-sealing negative of km1/map.md rule 40: it explained the blanks well enough that nobody re-opened the document, and it was the neighbouring sheets' own Annual-Report sourcing (FY2015-FY2020) that should have contradicted it all along. The KM1 sheet stays blank for those two years regardless, because a KM1 is a TABLE and the Annual Report prints no key-metrics template — mapping its prose onto template row numbers would assert a correspondence the bank never published (rule 8).</t>
        </is>
      </c>
    </row>
    <row r="9" ht="403" customHeight="1">
      <c r="A9" s="8" t="inlineStr">
        <is>
          <t>(continued)
BLOCKED SOURCE HOST - NOT A DEAD LINK (recorded 2026-09-16). The three standalone Pillar 3 documents cited on this sheet are hosted on itau.com.br, which refuses automated clients: re-tested 2026-09-16, each URL returns HTTP 403 with a short (~438-458 byte) text/html body, a Cloudflare/WAF bot challenge. A 403 is explicitly an UNKNOWN state, NOT evidence of removal - it records that the host declined to serve this project's automated fetcher, and the documents may well still be retrievable by a human browser or from a different network. For that reason the publisher's own live URL remains the PRIMARY citation for every figure on this sheet and has deliberately NOT been replaced. The Wayback Machine snapshot shown next to it is a LABELLED FALLBACK, provided only so the figure stays verifiable when the host refuses the reader as it refused this session. Fallbacks are given in the 'id_' form (https://web.archive.org/web/&lt;timestamp&gt;id_/&lt;original URL&gt;), which returns the original archived bytes rather than the Wayback viewer page, and each was fetched and verified on 2026-09-16: FY2021 1,803,996 bytes / 54pp; FY2022 1,036,900 bytes / 67pp; FY2023 1,144,738 bytes / 62pp. All three begin '%PDF', all three name 'Itau BBA International plc' and their stated year on the cover, and in all three the final page still renders, confirming none is a truncated capture. No figure was changed.
HOST-REACH CORRECTION, MEASURED 2026-09-18 (GA-018, feeding GA-013) - THE CLAIM ABOVE THAT itau.com.br 'REFUSES AUTOMATED CLIENTS' IS TOO STRONG AND IS CORRECTED HERE. It was an inference drawn from repeated failure, which is km1/map.md rule 9's own defect class. What actually happens, measured against a VERBATIM URL already cited in this script (the FY2023 document, .../11e1e216dd5df1fd/original/Pillar-3-2023.pdf - no slug was guessed):
  • Full Chrome header set INCLUDING Referer and Sec-Fetch-Dest/Mode/Site/User, over HTTP/1.1 -&gt; HTTP 200, Content-Type application/pdf, 1,043,167 bytes. The document served.
  • The SAME URL over HTTP/2, same minute -&gt; HTTP 403 (458-byte text/html).
  • A bare browser user-agent with only Accept, over HTTP/1.1 -&gt; HTTP 403.
So the discriminator is PROTOCOL plus HEADER COMPLETENESS, precisely the Paragon finding in rule 9: try --http1.1 with a complete header set before writing any sentence about what a host does.
  • HONEST QUALIFIER, recorded because it changes what may be concluded: a REPEAT of the identical winning rung minutes later returned 403 again. The host is INTERMITTENT, not simply unlocked. One 200 is enough to refute 'refuses every request'; it is NOT enough to call the host reachable, and a future session should expect to retry rather than to succeed first time.
  • www.itaubba.co.uk - the domain this bank's own Annual Report names as the home of the Pillar 3 Disclosures - is ALIVE, contrary to the 'connection refused/timed out' wording elsewhere in this script. DNS resolves (94.126.169.4 on both apex and www). Port 443 times out on every rung tried. PORT 80 ANSWERS: HTTP 302, Server nginx/1.22.1, X-Powered-By PHP/7.2.2, Location https://www.itau.com.br/itaubba-en/international. That redirect target is an HTML page on a different path from the DAM file host, and it returned 403 to every rung including the winning one, which is why the FY2024 and FY2025 Pillar 3 URLs still could not be listed. [SUPERSEDED 2026-09-19: over HTTP/2 with a full Chrome header set the same index page returned HTTP 200 and linked both editions, which were then downloaded - see the KM1 Key Metrics sheet. HTTP/1.1 got 403 the same minute, the reverse of the 2026-09-18 result, so neither protocol is reliably the winning one on this host.]</t>
        </is>
      </c>
    </row>
    <row r="11" ht="150" customHeight="1">
      <c r="A11" s="8" t="inlineStr">
        <is>
          <t>(continued)
• The Internet Archive was DEGRADED during this session (an 'Internet Archive: Temporarily Offline' page, and HTTP 429 on the availability API), so its silence is an OUTAGE and carries no evidential weight either way.</t>
        </is>
      </c>
    </row>
  </sheetData>
  <mergeCells count="4">
    <mergeCell ref="A11:E11"/>
    <mergeCell ref="A5:E5"/>
    <mergeCell ref="A9:E9"/>
    <mergeCell ref="A7:E7"/>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Itau BBA International plc — MREL Ratio</t>
        </is>
      </c>
    </row>
    <row r="2">
      <c r="A2" s="2" t="inlineStr">
        <is>
          <t>Group/consolidated basis</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MREL ratio</t>
        </is>
      </c>
      <c r="B4" s="6" t="inlineStr">
        <is>
          <t>Not published – 2025 Pillar 3 ('Market Discipline 2025', 62pp) has no MREL/eligible-liabilities figure; its CRR mapping (App. A, p.60) marks Art. 437a 'own funds and eligible liabilities' Not applicable</t>
        </is>
      </c>
      <c r="C4" s="6" t="inlineStr">
        <is>
          <t>Not published – 2024 Pillar 3 ('Market Discipline 2024', 64pp) has no MREL/eligible-liabilities figure; its CRR mapping (App. A, p.62) marks Art. 437a 'own funds and eligible liabilities' Not applicable</t>
        </is>
      </c>
      <c r="D4" s="6" t="inlineStr">
        <is>
          <t>Not published – 2023 Pillar 3 ('Market Discipline 2023', 62pp) has no MREL/eligible-liabilities figure; its CRR mapping (App. A, p.60) marks Art. 437a 'own funds and eligible liabilities' Not applicable</t>
        </is>
      </c>
      <c r="E4" s="6" t="inlineStr">
        <is>
          <t>Not published – 2022 Pillar 3 Disclosures (67pp) has no MREL/eligible-liabilities figure; its CRR mapping (p.65) marks Art. 437a 'own funds and eligible liabilities' Not applicable</t>
        </is>
      </c>
      <c r="F4" s="6" t="inlineStr">
        <is>
          <t>Not published – 2021 Pillar 3 Disclosures (54pp; capital adequacy s.9, pp.30-45) has no MREL/eligible-liabilities figure or table; 'MREL' 0 hits vs 726 for ' the ', read 2026-09-19</t>
        </is>
      </c>
      <c r="G4" s="6" t="inlineStr">
        <is>
          <t>Not published – 2020 Pillar 3 Disclosures (52pp; capital adequacy s.9, pp.29-44) has no MREL/eligible-liabilities figure or table; 'MREL' 0 hits vs 656 for ' the ', read 2026-09-19</t>
        </is>
      </c>
      <c r="H4" s="6" t="inlineStr">
        <is>
          <t>Not published – 2019 Pillar 3 Disclosures (51pp; capital adequacy s.9, pp.26-44) has no MREL/eligible-liabilities figure or table; 'MREL' 0 hits vs 574 for ' the ', read 2026-09-19</t>
        </is>
      </c>
      <c r="I4" s="6" t="inlineStr">
        <is>
          <t>Not published – 2018 Pillar 3 Disclosures (52pp; capital adequacy s.9, pp.26-45) has no MREL/eligible-liabilities figure or table; 'MREL' 0 hits vs 574 for ' the ', read 2026-09-19</t>
        </is>
      </c>
      <c r="J4" s="6" t="inlineStr">
        <is>
          <t>Not published – 2017 Pillar 3 Disclosures (48pp; capital adequacy s.9, pp.24-41) has no MREL/eligible-liabilities figure or table; 'MREL' 0 hits vs 509 for ' the ', read 2026-09-19</t>
        </is>
      </c>
      <c r="K4" s="6" t="inlineStr">
        <is>
          <t>Unreached today – 2016 Pillar 3 linked on the live index but its URL 301s to itau.com.br/404 (2013/2017 on the same path serve); Wayback and Common Crawl (CC-MAIN-2024-10) hold only 301s; CDX on 5 domains, archive.ph, web search: none, 2026-10-07</t>
        </is>
      </c>
      <c r="L4" s="6" t="inlineStr">
        <is>
          <t>Not published – 2015 Pillar 3 Disclosures (37pp; capital adequacy s.9, pp.17-30) has no MREL/eligible-liabilities figure or table; 'MREL' 0 hits vs 460 for ' the ', read 2026-09-19</t>
        </is>
      </c>
      <c r="M4" s="6" t="inlineStr">
        <is>
          <t>Unreached today – 2014 Pillar 3 linked on the live index but its URL 301s to itau.com.br/404 (2013/2017 on the same path serve); Wayback and Common Crawl (CC-MAIN-2024-10) hold only 301s; CDX on 5 domains, archive.ph, web search: none, 2026-10-07</t>
        </is>
      </c>
    </row>
    <row r="5" ht="39" customHeight="1">
      <c r="A5" s="7" t="inlineStr">
        <is>
          <t>Note: No MREL ratio or resolution-strategy discussion was found in the Annual Report's own pages. The standalone Pillar 3 reports were once recorded here as unreachable; GA-020 (2026-09-19) found and read the 2015 and 2017-2023 editions, and its second pass (same day) the 2024 and 2025 editions, none of which prints an MREL figure - see the per-year cells and the two GA-020 paragraphs in the sources for the evidence, and why FY2016/FY2014 remain 'Unreached today'. FY2013 is left blank (not "Not publicly disclosed") per HD-072 (2026-09-06) - Pillar 3 is out of scope for that ticket's FY2013 extension, so this sheet's dict is intentionally not extended to FY2013, same as every other Pillar 3 sheet.</t>
        </is>
      </c>
    </row>
    <row r="7" ht="312" customHeight="1">
      <c r="A7" s="8" t="inlineStr">
        <is>
          <t>Source — Itau BBA International plc Group (consolidated) regulatory capital summary, 2025 Annual Report, p.21 ('Capital' section of the Strategic Report) — https://find-and-update.company-information.service.gov.uk/company/07425398/filing-history/MzUyNjQ0MDA3MmFkaXF6a2N4/document?format=pdf&amp;download=0
The Annual Report states in full that additional Pillar 3 Disclosures (capital detail, LCR, NSFR, MREL) are published as a separate, standalone unaudited document on www.itaubba.co.uk — that site was unreachable this session (connection refused/timed out; no usable Wayback Machine snapshot found), so only the summary figures printed directly in the Annual Report's own 'Capital' section are used here. The FY2013 column added in this pass is instead read directly from the standalone 2013 Pillar 3 Disclosure, p.11 (capital resources table) — https://www.itau.com.br/content/dam/ibba/en/IBBAInt_Cons_Pillar3_2013_FINAL_20140625.pdf. Figures are Group/consolidated basis (the Annual Report's Capital section is presented at Group level only, not solo Bank level, throughout all 5 years). 
GA-020 (2026-09-19) - MREL per-year outcomes, and a CORRECTION to the paragraph above: the standalone Pillar 3 documents are NOT all unreachable. Editions read for this sheet, each its own year's document: 2015 (37pp) https://web.archive.org/web/20230502043032id_/https://www.itau.com.br/_arquivosestaticos/itauBBA/contents/common/docs/IBBAInt_Cons_Pillar3_2015_FINAL2.PDF; 2017 (48pp) https://web.archive.org/web/20230502074320id_/https://www.itau.com.br/content/dam/ibba/en/Pillar-3-Disclosures-2017.pdf; 2018 (52pp) https://web.archive.org/web/20230502042912id_/https://www.itau.com.br/content/dam/ibba/en/Pillar_3_-_2018_final.pdf; 2019 (51pp, cover '2019 Pillar 3 Disclosures') https://web.archive.org/web/20230502042859id_/https://www.itau.com.br/content/dam/ibba/home/about-itau-bba/financial-information/affiliates/itau-bba-international-plc/pillar-3-disclosures/IBB-PILAR3.pdf; 2020 (52pp) https://web.archive.org/web/20230502102033id_/https://www.itau.com.br/content/dam/ibba/en/IBBAInt%20-%20Pillar%20III%20-%202020.pdf; 2021 (54pp) https://web.archive.org/web/20230502062443id_/https://www.itau.com.br/content/dam/ibba/en/Pillar-3-2021.pdf; 2022 (67pp) https://web.archive.org/web/20230502054346id_/https://www.itau.com.br/media/dam/m/58b090bc84eddb94/original/Pillar-3-2022.pdf; 2023 (62pp) https://web.archive.org/web/20240812211731id_/https://www.itau.com.br/media/dam/m/11e1e216dd5df1fd/original/Pillar-3-2023.pdf. None prints an MREL or eligible-liabilities figure, so those eight years read 'Not published', each citing its edition. The 2022 and 2023 editions go further: their CRR-article compliance maps (2022 p.65; 2023 Appendix A, p.60) mark Article 437a 'Disclosure of own funds and eligible liabilities' as 'Not applicable'. That is recorded as the bank's own statement and NOT upgraded to a 'Not applicable' outcome here, because the same maps mark several articles the documents plainly do address (e.g. 440, countercyclical buffers) 'Not applicable' too, and no document seen states this bank's MREL requirement or resolution strategy. FY2016 and FY2014 are 'Unreached today': the 2016 and 2014 editions are linked from itau.com.br (IBBAInt_Cons_Pillar3_2016_FINAL.PDF, IBBAInt_Cons_Pillar3_2014_FINAL.PDF), but the Wayback Machine's only captures of both redirect to itau.com.br/404, and the live host returns 403. FY2025 and FY2024 were first recorded as 'Unreached today' because no copy of either year's Pillar 3 had been obtained; that is superseded by the second-pass paragraph below. For those four years each year's own Annual Report (Companies House scans, OCR'd only to locate text; 1,132-2,281 hits for ' the ' per report) mentions MREL nowhere - but the Annual Report is not where this bank puts regulatory capital detail, so that is not treated as evidence of non-publication.
GA-020 SECOND PASS (2026-09-19). FY2025 and FY2024 are now 'Not published', on the same evidence standard as the other years. Both editions were obtained from the live index over HTTP/2 (https://www.itau.com.br/media/dam/m/70996afd168ff52f/original/IBBAI_Pillar-3-2025_Final.pdf; https://www.itau.com.br/media/dam/m/4c36b133120fa793/original/IBBAI-Pillar-3-2024-Final.pdf). Each is text-native, with 1,225 and 1,287 hits for ' the ', and returns 0 hits for 'MREL'. Its only 'eligible liabilities' hits are two CC1 deduction-row captions and the Article 437a line of the CRR mapping (App. A: 2025 p.60, 2024 p.62), which is marked 'Not applicable'. Both documents print some tables as images (rule 13), so every image-table page was identified: the KM1 (2025 p.41, 2024 p.42), CC2 and OV1 (2025 pp.46-47), REM1-REM4, and Appendix B. None of them is an MREL or eligible-liabilities table. The 2025 OV1 was read off its bitmap to confirm this. As for the earlier editions, the 'Not applicable' in the mapping is recorded but not upgraded to a 'Not applicable' outcome. FY2016 and FY2014 remain 'Unreached today'. The live index (HTTP 200 over HTTP/2) still LINKS both editions at itau.com.br/content/dam/ibba/en/IBBAInt_Cons_Pillar3_{2016,2014}_FINAL.PDF, but over HTTP/2 each URL 301s to itau.com.br/404 (HTTP 404, the site's own not-found page). Over HTTP/1.1 each returns 403. Lower-case .pdf and _final variants also 404. As a positive control, the 2013 and 2017 editions on the same path, fetched the same way, both return %PDF. Other routes tried: Wayback CDX, whose only captures of either URL (20230502) are 301s; CDX domain sweeps of itau.com.br (filtered on 'pillar'/'pilar' and on 'ibbaint'), itaubba.co.uk, itaubba.com, itau.co.uk and itaubba.eu, which found no other copy (itaubba.eu is Itau BBA Europe, a different entity, and the itau.com.br RI Pillar 3 files are Itau Unibanco's, which the entity rule excludes); archive.ph/newest for both paths, which returned 404 (no capture); and a web search for the exact filenames, which found nothing.</t>
        </is>
      </c>
    </row>
    <row r="9" ht="150" customHeight="1">
      <c r="A9" s="8" t="inlineStr">
        <is>
          <t>(continued)
GA-020 COMMON CRAWL PASS (2026-10-07). Queried through the ZipNum index files on data.commoncrawl.org (index.commoncrawl.org was down). Common Crawl DOES hold both URLs, and holds them only as redirects, which corroborates the live and Wayback findings above and dates them: content/dam/ibba/en/IBBAInt_Cons_Pillar3_2014_FINAL.PDF (CC-MAIN-2024-10, WARC-Date 2024-02-21T07:11:24Z) and the 2016 file (same crawl, 2024-02-21T09:29:05Z) are each an 'HTTP/1.1 301 Moved Permanently' from AkamaiGHost with 'Location: https://www.itau.com.br/404' and Content-Length 0 - the WARC payload digest on both is sha1:3I42H3S6NNFQ2MSVX7XZKYAYSCX5QBYJ, the digest of the empty string, so no bytes of either document were ever archived. The editions were therefore already delinked by 21 February 2024. WHY THIS IS STILL 'UNREACHED' AND NOT AN ABSENCE: the archive's reach gives out before the question does. www.itaubba.co.uk - the domain this bank's own Annual Report names as the home of its Pillar 3 disclosures - yields only 4 records across 81 crawls, and all four are HTTP 301 redirects of the homepage and robots.txt (CC-MAIN-2021-04 and CC-MAIN-2021-31). The crawler was redirected away and never fetched a single content page from that site, so it cannot have discovered the editions published there; itaubba.com was swept over the same window and yields no content page either. The itau.com.br DAM tree is reached only incidentally: www.itau.com.br/content/dam/ibba/* was swept across every crawl 2014-2026 and the only payloads it ever yielded were two economics PDFs in CC-MAIN-2022-05 (analises-economicas/.../Dezembro2021.pdf, 1,038,534 bytes, and CenarioMacro_BRASIL_Dez21.pdf, 161,956 bytes) - a positive control proving the crawler CAN fetch PDFs from that tree, but one that also shows how sparse its coverage is; /content/dam/* returned 1 record in CC-MAIN-2021-31 and 0 in 2016-30 and 2019-30. Consistent with itau.com.br serving over HTTP/2 and 403ing HTTP/1.1 clients. No copy of either edition exists in Common Crawl, and none could be expected to.</t>
        </is>
      </c>
    </row>
  </sheetData>
  <mergeCells count="3">
    <mergeCell ref="A9:M9"/>
    <mergeCell ref="A5:M5"/>
    <mergeCell ref="A7:M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2026-10-10T15:08:32Z</dcterms:created>
  <dcterms:modified xmlns:dcterms="http://purl.org/dc/terms/" xmlns:xsi="http://www.w3.org/2001/XMLSchema-instance" xsi:type="dcterms:W3CDTF">2026-10-10T15:08:32Z</dcterms:modified>
</cp:coreProperties>
</file>