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58220"/>
        <bgColor rgb="00F5822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Itau BBA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19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Itau BBA International plc — Overview</t>
        </is>
      </c>
    </row>
    <row r="2">
      <c r="A2" s="2" t="inlineStr">
        <is>
          <t>Summary of cash flow and Pillar 3 disclosures across all years covered in this workbook</t>
        </is>
      </c>
    </row>
    <row r="4">
      <c r="A4" s="3" t="inlineStr">
        <is>
          <t>Cash Flow Summary (USD'000)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flow from operating activities</t>
        </is>
      </c>
      <c r="B6" s="5" t="n">
        <v>-823201</v>
      </c>
      <c r="C6" s="5" t="n">
        <v>202045</v>
      </c>
      <c r="D6" s="5" t="n">
        <v>896845</v>
      </c>
      <c r="E6" s="5" t="n">
        <v>977211</v>
      </c>
      <c r="F6" s="5" t="n">
        <v>183186</v>
      </c>
      <c r="I6" t="inlineStr">
        <is>
          <t>Net cash flow from operating activities</t>
        </is>
      </c>
      <c r="J6" t="n">
        <v>183186</v>
      </c>
      <c r="K6" t="n">
        <v>977211</v>
      </c>
      <c r="L6" t="n">
        <v>896845</v>
      </c>
      <c r="M6" t="n">
        <v>202045</v>
      </c>
      <c r="N6" t="n">
        <v>-823201</v>
      </c>
      <c r="Q6" t="inlineStr">
        <is>
          <t>CET1 Ratio</t>
        </is>
      </c>
      <c r="R6" t="n">
        <v>22.6</v>
      </c>
      <c r="S6" t="n">
        <v>19.6</v>
      </c>
      <c r="T6" t="n">
        <v>27</v>
      </c>
      <c r="U6" t="n">
        <v>23.9</v>
      </c>
      <c r="V6" t="n">
        <v>29</v>
      </c>
    </row>
    <row r="7">
      <c r="A7" s="5" t="inlineStr">
        <is>
          <t>Net cash flow from investing activities</t>
        </is>
      </c>
      <c r="B7" s="5" t="n">
        <v>89783</v>
      </c>
      <c r="C7" s="5" t="n">
        <v>150189</v>
      </c>
      <c r="D7" s="5" t="n">
        <v>-918582</v>
      </c>
      <c r="E7" s="5" t="n">
        <v>-1169363</v>
      </c>
      <c r="F7" s="5" t="n">
        <v>-40817</v>
      </c>
      <c r="I7" t="inlineStr">
        <is>
          <t>Net cash flow from investing activities</t>
        </is>
      </c>
      <c r="J7" t="n">
        <v>-40817</v>
      </c>
      <c r="K7" t="n">
        <v>-1169363</v>
      </c>
      <c r="L7" t="n">
        <v>-918582</v>
      </c>
      <c r="M7" t="n">
        <v>150189</v>
      </c>
      <c r="N7" t="n">
        <v>89783</v>
      </c>
      <c r="Q7" t="inlineStr">
        <is>
          <t>Total Capital Ratio</t>
        </is>
      </c>
      <c r="R7" t="n">
        <v>22.6</v>
      </c>
      <c r="S7" t="n">
        <v>19.6</v>
      </c>
      <c r="T7" t="n">
        <v>27.1</v>
      </c>
      <c r="U7" t="n">
        <v>23.9</v>
      </c>
      <c r="V7" t="n">
        <v>29</v>
      </c>
    </row>
    <row r="8">
      <c r="A8" s="5" t="inlineStr">
        <is>
          <t>Net cash flow from financing activities</t>
        </is>
      </c>
      <c r="B8" s="5" t="n">
        <v>-862</v>
      </c>
      <c r="C8" s="5" t="n">
        <v>-838</v>
      </c>
      <c r="D8" s="5" t="n">
        <v>501619</v>
      </c>
      <c r="E8" s="5" t="n">
        <v>-926</v>
      </c>
      <c r="F8" s="5" t="n">
        <v>948</v>
      </c>
      <c r="I8" t="inlineStr">
        <is>
          <t>Net cash flow from financing activities</t>
        </is>
      </c>
      <c r="J8" t="n">
        <v>948</v>
      </c>
      <c r="K8" t="n">
        <v>-926</v>
      </c>
      <c r="L8" t="n">
        <v>501619</v>
      </c>
      <c r="M8" t="n">
        <v>-838</v>
      </c>
      <c r="N8" t="n">
        <v>-862</v>
      </c>
      <c r="Q8" t="inlineStr">
        <is>
          <t>Leverage Ratio</t>
        </is>
      </c>
      <c r="R8" t="n">
        <v>14.6</v>
      </c>
      <c r="S8" t="n">
        <v>11.9</v>
      </c>
      <c r="T8" t="n">
        <v>16.7</v>
      </c>
      <c r="U8" t="n">
        <v>16.4</v>
      </c>
      <c r="V8" t="n">
        <v>19.1</v>
      </c>
    </row>
    <row r="9">
      <c r="A9" s="5" t="inlineStr">
        <is>
          <t>Cash and cash equivalents at end of year</t>
        </is>
      </c>
      <c r="B9" s="5" t="n">
        <v>460587</v>
      </c>
      <c r="C9" s="5" t="n">
        <v>1149307</v>
      </c>
      <c r="D9" s="5" t="n">
        <v>797911</v>
      </c>
      <c r="E9" s="5" t="n">
        <v>318029</v>
      </c>
      <c r="F9" s="5" t="n">
        <v>511107</v>
      </c>
      <c r="I9" t="inlineStr">
        <is>
          <t>Cash and cash equivalents at end of year</t>
        </is>
      </c>
      <c r="J9" t="n">
        <v>511107</v>
      </c>
      <c r="K9" t="n">
        <v>318029</v>
      </c>
      <c r="L9" t="n">
        <v>797911</v>
      </c>
      <c r="M9" t="n">
        <v>1149307</v>
      </c>
      <c r="N9" t="n">
        <v>460587</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29.0%</t>
        </is>
      </c>
      <c r="C13" s="6" t="inlineStr">
        <is>
          <t>23.9%</t>
        </is>
      </c>
      <c r="D13" s="6" t="inlineStr">
        <is>
          <t>27.0%</t>
        </is>
      </c>
      <c r="E13" s="6" t="inlineStr">
        <is>
          <t>19.6%</t>
        </is>
      </c>
      <c r="F13" s="6" t="inlineStr">
        <is>
          <t>22.6%</t>
        </is>
      </c>
    </row>
    <row r="14">
      <c r="A14" s="6" t="inlineStr">
        <is>
          <t>Total Capital Ratio</t>
        </is>
      </c>
      <c r="B14" s="6" t="inlineStr">
        <is>
          <t>29.0%</t>
        </is>
      </c>
      <c r="C14" s="6" t="inlineStr">
        <is>
          <t>23.9%</t>
        </is>
      </c>
      <c r="D14" s="6" t="inlineStr">
        <is>
          <t>27.1%</t>
        </is>
      </c>
      <c r="E14" s="6" t="inlineStr">
        <is>
          <t>19.6%</t>
        </is>
      </c>
      <c r="F14" s="6" t="inlineStr">
        <is>
          <t>22.6%</t>
        </is>
      </c>
    </row>
    <row r="15">
      <c r="A15" s="6" t="inlineStr">
        <is>
          <t>Leverage Ratio</t>
        </is>
      </c>
      <c r="B15" s="6" t="inlineStr">
        <is>
          <t>19.1%</t>
        </is>
      </c>
      <c r="C15" s="6" t="inlineStr">
        <is>
          <t>16.4%</t>
        </is>
      </c>
      <c r="D15" s="6" t="inlineStr">
        <is>
          <t>16.7%</t>
        </is>
      </c>
      <c r="E15" s="6" t="inlineStr">
        <is>
          <t>11.9%</t>
        </is>
      </c>
      <c r="F15" s="6" t="inlineStr">
        <is>
          <t>14.6%</t>
        </is>
      </c>
    </row>
    <row r="17" ht="45" customHeight="1">
      <c r="A17" s="7" t="inlineStr">
        <is>
          <t>Note: Figures are duplicated from the detail sheets for at-a-glance trend viewing; see each sheet's own source citation for the underlying document/page. Cash flow figures are Bank/solo basis; capital ratios are Group/consolidated basis (the only basis the Annual Report discloses for capital). Tier 1 Ratio, LCR and NSFR are omitted from this chart — not separately disclosed/not publicly disclosed in the sourced pages; see each metric's own sheet for detail.</t>
        </is>
      </c>
    </row>
  </sheetData>
  <mergeCells count="1">
    <mergeCell ref="A17:F1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Itau BBA International plc — Statement of Cash Flows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5" t="inlineStr">
        <is>
          <t>Cash flows from operating activities</t>
        </is>
      </c>
      <c r="B4" s="6" t="n"/>
      <c r="C4" s="6" t="n"/>
      <c r="D4" s="6" t="n"/>
      <c r="E4" s="6" t="n"/>
      <c r="F4" s="6" t="n"/>
    </row>
    <row r="5">
      <c r="A5" s="6" t="inlineStr">
        <is>
          <t>Profit before tax and dividends</t>
        </is>
      </c>
      <c r="B5" s="6" t="n">
        <v>120167</v>
      </c>
      <c r="C5" s="6" t="n">
        <v>131803</v>
      </c>
      <c r="D5" s="6" t="n">
        <v>83525</v>
      </c>
      <c r="E5" s="6" t="n">
        <v>68873</v>
      </c>
      <c r="F5" s="6" t="n">
        <v>23680</v>
      </c>
    </row>
    <row r="6">
      <c r="A6" s="6" t="inlineStr">
        <is>
          <t>Credit impairment charges and other provisions</t>
        </is>
      </c>
      <c r="B6" s="6" t="n">
        <v>-64</v>
      </c>
      <c r="C6" s="6" t="n">
        <v>-306</v>
      </c>
      <c r="D6" s="6" t="n">
        <v>6669</v>
      </c>
      <c r="E6" s="6" t="n">
        <v>-4188</v>
      </c>
      <c r="F6" s="6" t="n">
        <v>-9753</v>
      </c>
    </row>
    <row r="7">
      <c r="A7" s="6" t="inlineStr">
        <is>
          <t>Depreciation, amortisation and impairment of property, plant, equipment and intangibles</t>
        </is>
      </c>
      <c r="B7" s="6" t="n">
        <v>831</v>
      </c>
      <c r="C7" s="6" t="n">
        <v>852</v>
      </c>
      <c r="D7" s="6" t="n">
        <v>999</v>
      </c>
      <c r="E7" s="6" t="n">
        <v>1280</v>
      </c>
      <c r="F7" s="6" t="n">
        <v>1276</v>
      </c>
    </row>
    <row r="8">
      <c r="A8" s="6" t="inlineStr">
        <is>
          <t>Other non-cash movements</t>
        </is>
      </c>
      <c r="B8" s="6" t="n">
        <v>-104138</v>
      </c>
      <c r="C8" s="6" t="n">
        <v>31363</v>
      </c>
      <c r="D8" s="6" t="n">
        <v>-33091</v>
      </c>
      <c r="E8" s="6" t="n">
        <v>9264</v>
      </c>
      <c r="F8" s="6" t="n">
        <v>1017</v>
      </c>
    </row>
    <row r="9">
      <c r="A9" s="6" t="inlineStr">
        <is>
          <t>Trading assets and financial assets designated at fair value</t>
        </is>
      </c>
      <c r="B9" s="6" t="n">
        <v>124541</v>
      </c>
      <c r="C9" s="6" t="n">
        <v>-213757</v>
      </c>
      <c r="D9" s="6" t="n">
        <v>501113</v>
      </c>
      <c r="E9" s="6" t="n">
        <v>629204</v>
      </c>
      <c r="F9" s="6" t="n">
        <v>156038</v>
      </c>
    </row>
    <row r="10">
      <c r="A10" s="6" t="inlineStr">
        <is>
          <t>Loans and advances to banks</t>
        </is>
      </c>
      <c r="B10" s="6" t="n">
        <v>135096</v>
      </c>
      <c r="C10" s="6" t="n">
        <v>-240931</v>
      </c>
      <c r="D10" s="6" t="n">
        <v>23043</v>
      </c>
      <c r="E10" s="6" t="n">
        <v>-200127</v>
      </c>
      <c r="F10" s="6" t="n">
        <v>37815</v>
      </c>
    </row>
    <row r="11">
      <c r="A11" s="6" t="inlineStr">
        <is>
          <t>Balances at central banks (mandatory reserves)</t>
        </is>
      </c>
      <c r="B11" s="6" t="n"/>
      <c r="C11" s="6" t="n"/>
      <c r="D11" s="6" t="n"/>
      <c r="E11" s="6" t="n"/>
      <c r="F11" s="6" t="n">
        <v>0</v>
      </c>
    </row>
    <row r="12">
      <c r="A12" s="6" t="inlineStr">
        <is>
          <t>Loans and advances to customers</t>
        </is>
      </c>
      <c r="B12" s="6" t="n">
        <v>60053</v>
      </c>
      <c r="C12" s="6" t="n">
        <v>-235192</v>
      </c>
      <c r="D12" s="6" t="n">
        <v>-263283</v>
      </c>
      <c r="E12" s="6" t="n">
        <v>-378299</v>
      </c>
      <c r="F12" s="6" t="n">
        <v>-32696</v>
      </c>
    </row>
    <row r="13">
      <c r="A13" s="6" t="inlineStr">
        <is>
          <t>Derivatives designated as hedging instruments (assets)</t>
        </is>
      </c>
      <c r="B13" s="6" t="n">
        <v>3103</v>
      </c>
      <c r="C13" s="6" t="n">
        <v>-1190</v>
      </c>
      <c r="D13" s="6" t="n">
        <v>38012</v>
      </c>
      <c r="E13" s="6" t="n">
        <v>-48100</v>
      </c>
      <c r="F13" s="6" t="n">
        <v>-1705</v>
      </c>
    </row>
    <row r="14">
      <c r="A14" s="6" t="inlineStr">
        <is>
          <t>Other operating assets</t>
        </is>
      </c>
      <c r="B14" s="6" t="n">
        <v>17431</v>
      </c>
      <c r="C14" s="6" t="n">
        <v>12645</v>
      </c>
      <c r="D14" s="6" t="n">
        <v>22312</v>
      </c>
      <c r="E14" s="6" t="n">
        <v>-33257</v>
      </c>
      <c r="F14" s="6" t="n">
        <v>3638</v>
      </c>
    </row>
    <row r="15">
      <c r="A15" s="6" t="inlineStr">
        <is>
          <t>Trading liabilities</t>
        </is>
      </c>
      <c r="B15" s="6" t="n">
        <v>71537</v>
      </c>
      <c r="C15" s="6" t="n">
        <v>178116</v>
      </c>
      <c r="D15" s="6" t="n">
        <v>-113085</v>
      </c>
      <c r="E15" s="6" t="n">
        <v>-37506</v>
      </c>
      <c r="F15" s="6" t="n">
        <v>56410</v>
      </c>
    </row>
    <row r="16">
      <c r="A16" s="6" t="inlineStr">
        <is>
          <t>Financial liabilities designated at fair value</t>
        </is>
      </c>
      <c r="B16" s="6" t="n">
        <v>-44456</v>
      </c>
      <c r="C16" s="6" t="n">
        <v>-4802</v>
      </c>
      <c r="D16" s="6" t="n">
        <v>49259</v>
      </c>
      <c r="E16" s="6" t="n">
        <v>-410</v>
      </c>
      <c r="F16" s="6" t="n">
        <v>-1396</v>
      </c>
    </row>
    <row r="17">
      <c r="A17" s="6" t="inlineStr">
        <is>
          <t>Deposits from banks</t>
        </is>
      </c>
      <c r="B17" s="6" t="n">
        <v>127432</v>
      </c>
      <c r="C17" s="6" t="n">
        <v>-432800</v>
      </c>
      <c r="D17" s="6" t="n">
        <v>521131</v>
      </c>
      <c r="E17" s="6" t="n">
        <v>-13577</v>
      </c>
      <c r="F17" s="6" t="n">
        <v>-545052</v>
      </c>
    </row>
    <row r="18">
      <c r="A18" s="6" t="inlineStr">
        <is>
          <t>Customer accounts</t>
        </is>
      </c>
      <c r="B18" s="6" t="n">
        <v>-994100</v>
      </c>
      <c r="C18" s="6" t="n">
        <v>1035388</v>
      </c>
      <c r="D18" s="6" t="n">
        <v>-204474</v>
      </c>
      <c r="E18" s="6" t="n">
        <v>162167</v>
      </c>
      <c r="F18" s="6" t="n">
        <v>509622</v>
      </c>
    </row>
    <row r="19">
      <c r="A19" s="6" t="inlineStr">
        <is>
          <t>Debt securities in issue</t>
        </is>
      </c>
      <c r="B19" s="6" t="n">
        <v>-259630</v>
      </c>
      <c r="C19" s="6" t="n">
        <v>-75268</v>
      </c>
      <c r="D19" s="6" t="n">
        <v>314516</v>
      </c>
      <c r="E19" s="6" t="n">
        <v>802330</v>
      </c>
      <c r="F19" s="6" t="n">
        <v>-8907</v>
      </c>
    </row>
    <row r="20">
      <c r="A20" s="6" t="inlineStr">
        <is>
          <t>Derivatives designated as hedging instruments (liabilities)</t>
        </is>
      </c>
      <c r="B20" s="6" t="n">
        <v>-4690</v>
      </c>
      <c r="C20" s="6" t="n">
        <v>1337</v>
      </c>
      <c r="D20" s="6" t="n">
        <v>-10618</v>
      </c>
      <c r="E20" s="6" t="n">
        <v>27046</v>
      </c>
      <c r="F20" s="6" t="n">
        <v>-8097</v>
      </c>
    </row>
    <row r="21">
      <c r="A21" s="6" t="inlineStr">
        <is>
          <t>Other operating liabilities</t>
        </is>
      </c>
      <c r="B21" s="6" t="n">
        <v>-45452</v>
      </c>
      <c r="C21" s="6" t="n">
        <v>46702</v>
      </c>
      <c r="D21" s="6" t="n">
        <v>-16839</v>
      </c>
      <c r="E21" s="6" t="n">
        <v>8370</v>
      </c>
      <c r="F21" s="6" t="n">
        <v>4105</v>
      </c>
    </row>
    <row r="22">
      <c r="A22" s="5" t="inlineStr">
        <is>
          <t>Net cash flow from operating activities before payment of income tax</t>
        </is>
      </c>
      <c r="B22" s="5" t="n">
        <v>-792339</v>
      </c>
      <c r="C22" s="5" t="n">
        <v>233967</v>
      </c>
      <c r="D22" s="5" t="n">
        <v>919189</v>
      </c>
      <c r="E22" s="5" t="n">
        <v>993070</v>
      </c>
      <c r="F22" s="5" t="n">
        <v>185995</v>
      </c>
    </row>
    <row r="23">
      <c r="A23" s="6" t="inlineStr">
        <is>
          <t>Income tax paid</t>
        </is>
      </c>
      <c r="B23" s="6" t="n">
        <v>-30862</v>
      </c>
      <c r="C23" s="6" t="n">
        <v>-31922</v>
      </c>
      <c r="D23" s="6" t="n">
        <v>-22344</v>
      </c>
      <c r="E23" s="6" t="n">
        <v>-15859</v>
      </c>
      <c r="F23" s="6" t="n">
        <v>-2809</v>
      </c>
    </row>
    <row r="24">
      <c r="A24" s="5" t="inlineStr">
        <is>
          <t>Net cash flow from operating activities</t>
        </is>
      </c>
      <c r="B24" s="5" t="n">
        <v>-823201</v>
      </c>
      <c r="C24" s="5" t="n">
        <v>202045</v>
      </c>
      <c r="D24" s="5" t="n">
        <v>896845</v>
      </c>
      <c r="E24" s="5" t="n">
        <v>977211</v>
      </c>
      <c r="F24" s="5" t="n">
        <v>183186</v>
      </c>
    </row>
    <row r="25">
      <c r="A25" s="5" t="inlineStr">
        <is>
          <t>Cash flows from investing activities</t>
        </is>
      </c>
      <c r="B25" s="6" t="n"/>
      <c r="C25" s="6" t="n"/>
      <c r="D25" s="6" t="n"/>
      <c r="E25" s="6" t="n"/>
      <c r="F25" s="6" t="n"/>
    </row>
    <row r="26">
      <c r="A26" s="6" t="inlineStr">
        <is>
          <t>Sales/(Purchases) of debt investments at amortised cost</t>
        </is>
      </c>
      <c r="B26" s="6" t="n"/>
      <c r="C26" s="6" t="n"/>
      <c r="D26" s="6" t="n"/>
      <c r="E26" s="6" t="n">
        <v>2192</v>
      </c>
      <c r="F26" s="6" t="n">
        <v>-2192</v>
      </c>
    </row>
    <row r="27">
      <c r="A27" s="6" t="inlineStr">
        <is>
          <t>Purchases of financial assets measured at fair value through OCI</t>
        </is>
      </c>
      <c r="B27" s="6" t="n">
        <v>90366</v>
      </c>
      <c r="C27" s="6" t="n">
        <v>206101</v>
      </c>
      <c r="D27" s="6" t="n">
        <v>-851115</v>
      </c>
      <c r="E27" s="6" t="n">
        <v>-1180856</v>
      </c>
      <c r="F27" s="6" t="n"/>
    </row>
    <row r="28">
      <c r="A28" s="6" t="inlineStr">
        <is>
          <t>Sales/(Purchases) of subsidiaries</t>
        </is>
      </c>
      <c r="B28" s="6" t="n">
        <v>-550</v>
      </c>
      <c r="C28" s="6" t="n">
        <v>-55880</v>
      </c>
      <c r="D28" s="6" t="n">
        <v>-65061</v>
      </c>
      <c r="E28" s="6" t="n">
        <v>-10670</v>
      </c>
      <c r="F28" s="6" t="n">
        <v>-45297</v>
      </c>
    </row>
    <row r="29">
      <c r="A29" s="6" t="inlineStr">
        <is>
          <t>Dividends received</t>
        </is>
      </c>
      <c r="B29" s="6" t="n"/>
      <c r="C29" s="6" t="n">
        <v>1</v>
      </c>
      <c r="D29" s="6" t="n"/>
      <c r="E29" s="6" t="n">
        <v>20004</v>
      </c>
      <c r="F29" s="6" t="n">
        <v>8888</v>
      </c>
    </row>
    <row r="30">
      <c r="A30" s="6" t="inlineStr">
        <is>
          <t>Purchases of intangible assets</t>
        </is>
      </c>
      <c r="B30" s="6" t="n"/>
      <c r="C30" s="6" t="n"/>
      <c r="D30" s="6" t="n"/>
      <c r="E30" s="6" t="n"/>
      <c r="F30" s="6" t="n">
        <v>-61</v>
      </c>
    </row>
    <row r="31">
      <c r="A31" s="6" t="inlineStr">
        <is>
          <t>Sales/(Purchases) of fixed assets</t>
        </is>
      </c>
      <c r="B31" s="6" t="n">
        <v>-33</v>
      </c>
      <c r="C31" s="6" t="n">
        <v>-33</v>
      </c>
      <c r="D31" s="6" t="n">
        <v>-2406</v>
      </c>
      <c r="E31" s="6" t="n">
        <v>-33</v>
      </c>
      <c r="F31" s="6" t="n">
        <v>-2155</v>
      </c>
    </row>
    <row r="32">
      <c r="A32" s="5" t="inlineStr">
        <is>
          <t>Net cash flow from investing activities</t>
        </is>
      </c>
      <c r="B32" s="5" t="n">
        <v>89783</v>
      </c>
      <c r="C32" s="5" t="n">
        <v>150189</v>
      </c>
      <c r="D32" s="5" t="n">
        <v>-918582</v>
      </c>
      <c r="E32" s="5" t="n">
        <v>-1169363</v>
      </c>
      <c r="F32" s="5" t="n">
        <v>-40817</v>
      </c>
    </row>
    <row r="33">
      <c r="A33" s="5" t="inlineStr">
        <is>
          <t>Cash flows from financing activities</t>
        </is>
      </c>
      <c r="B33" s="6" t="n"/>
      <c r="C33" s="6" t="n"/>
      <c r="D33" s="6" t="n"/>
      <c r="E33" s="6" t="n"/>
      <c r="F33" s="6" t="n"/>
    </row>
    <row r="34">
      <c r="A34" s="6" t="inlineStr">
        <is>
          <t>Leasing Contracts</t>
        </is>
      </c>
      <c r="B34" s="6" t="n">
        <v>-862</v>
      </c>
      <c r="C34" s="6" t="n">
        <v>-838</v>
      </c>
      <c r="D34" s="6" t="n">
        <v>1619</v>
      </c>
      <c r="E34" s="6" t="n">
        <v>-926</v>
      </c>
      <c r="F34" s="6" t="n">
        <v>948</v>
      </c>
    </row>
    <row r="35">
      <c r="A35" s="6" t="inlineStr">
        <is>
          <t>Share Capital Increase</t>
        </is>
      </c>
      <c r="B35" s="6" t="n"/>
      <c r="C35" s="6" t="n"/>
      <c r="D35" s="6" t="n">
        <v>500000</v>
      </c>
      <c r="E35" s="6" t="n"/>
      <c r="F35" s="6" t="n"/>
    </row>
    <row r="36">
      <c r="A36" s="5" t="inlineStr">
        <is>
          <t>Net cash flow from financing activities</t>
        </is>
      </c>
      <c r="B36" s="5" t="n">
        <v>-862</v>
      </c>
      <c r="C36" s="5" t="n">
        <v>-838</v>
      </c>
      <c r="D36" s="5" t="n">
        <v>501619</v>
      </c>
      <c r="E36" s="5" t="n">
        <v>-926</v>
      </c>
      <c r="F36" s="5" t="n">
        <v>948</v>
      </c>
    </row>
    <row r="37">
      <c r="A37" s="5" t="inlineStr">
        <is>
          <t>Increase/(decrease) in cash and cash equivalents</t>
        </is>
      </c>
      <c r="B37" s="5" t="n">
        <v>-734280</v>
      </c>
      <c r="C37" s="5" t="n">
        <v>351396</v>
      </c>
      <c r="D37" s="5" t="n">
        <v>479882</v>
      </c>
      <c r="E37" s="5" t="n">
        <v>-193078</v>
      </c>
      <c r="F37" s="5" t="n">
        <v>143317</v>
      </c>
    </row>
    <row r="38">
      <c r="A38" s="6" t="inlineStr">
        <is>
          <t>Cash and cash equivalents at beginning of year</t>
        </is>
      </c>
      <c r="B38" s="6" t="n">
        <v>1149307</v>
      </c>
      <c r="C38" s="6" t="n">
        <v>797911</v>
      </c>
      <c r="D38" s="6" t="n">
        <v>318029</v>
      </c>
      <c r="E38" s="6" t="n">
        <v>511107</v>
      </c>
      <c r="F38" s="6" t="n">
        <v>367790</v>
      </c>
    </row>
    <row r="39">
      <c r="A39" s="6" t="inlineStr">
        <is>
          <t>Effects of exchange rate change on cash and cash equivalents</t>
        </is>
      </c>
      <c r="B39" s="6" t="n">
        <v>45560</v>
      </c>
      <c r="C39" s="6" t="n">
        <v>0</v>
      </c>
      <c r="D39" s="6" t="n"/>
      <c r="E39" s="6" t="n"/>
      <c r="F39" s="6" t="n">
        <v>0</v>
      </c>
    </row>
    <row r="40">
      <c r="A40" s="5" t="inlineStr">
        <is>
          <t>Cash and cash equivalents at end of year</t>
        </is>
      </c>
      <c r="B40" s="5" t="n">
        <v>460587</v>
      </c>
      <c r="C40" s="5" t="n">
        <v>1149307</v>
      </c>
      <c r="D40" s="5" t="n">
        <v>797911</v>
      </c>
      <c r="E40" s="5" t="n">
        <v>318029</v>
      </c>
      <c r="F40" s="5" t="n">
        <v>511107</v>
      </c>
    </row>
    <row r="41">
      <c r="A41" s="5" t="inlineStr">
        <is>
          <t>Cash and cash equivalents comprise</t>
        </is>
      </c>
      <c r="B41" s="6" t="n"/>
      <c r="C41" s="6" t="n"/>
      <c r="D41" s="6" t="n"/>
      <c r="E41" s="6" t="n"/>
      <c r="F41" s="6" t="n"/>
    </row>
    <row r="42">
      <c r="A42" s="6" t="inlineStr">
        <is>
          <t>Cash and balances at Central Banks</t>
        </is>
      </c>
      <c r="B42" s="6" t="n">
        <v>17</v>
      </c>
      <c r="C42" s="6" t="n">
        <v>16</v>
      </c>
      <c r="D42" s="6" t="n">
        <v>16</v>
      </c>
      <c r="E42" s="6" t="n">
        <v>15</v>
      </c>
      <c r="F42" s="6" t="n">
        <v>16</v>
      </c>
    </row>
    <row r="43">
      <c r="A43" s="6" t="inlineStr">
        <is>
          <t>Loans and advances to banks with original maturity less than three months</t>
        </is>
      </c>
      <c r="B43" s="6" t="n">
        <v>460570</v>
      </c>
      <c r="C43" s="6" t="n">
        <v>1149291</v>
      </c>
      <c r="D43" s="6" t="n">
        <v>797895</v>
      </c>
      <c r="E43" s="6" t="n">
        <v>318014</v>
      </c>
      <c r="F43" s="6" t="n">
        <v>511091</v>
      </c>
    </row>
    <row r="44">
      <c r="A44" s="5" t="inlineStr">
        <is>
          <t>Cash and cash equivalents at end of year</t>
        </is>
      </c>
      <c r="B44" s="5" t="n">
        <v>460587</v>
      </c>
      <c r="C44" s="5" t="n">
        <v>1149307</v>
      </c>
      <c r="D44" s="5" t="n">
        <v>797911</v>
      </c>
      <c r="E44" s="5" t="n">
        <v>318029</v>
      </c>
      <c r="F44" s="5" t="n">
        <v>511107</v>
      </c>
    </row>
    <row r="46" ht="170" customHeight="1">
      <c r="A46" s="8" t="inlineStr">
        <is>
          <t>Sources — all figures are Itau BBA International plc ("IBBAInt"/"the Bank") solo-entity (Bank, not Group) Statement of Cash Flows, USD'000:
FY2025 &amp; FY2024: 2025 Annual Report, p.65 (Statements of Cash Flows) — https://find-and-update.company-information.service.gov.uk/company/07425398/filing-history/MzUyNjQ0MDA3MmFkaXF6a2N4/document?format=pdf&amp;download=0
FY2023 &amp; FY2022: 2023 Annual Report, p.57 (Statement of Cash Flows) — https://find-and-update.company-information.service.gov.uk/company/07425398/filing-history/MzQyMDE3MTk5NWFkaXF6a2N4/document?format=pdf&amp;download=0
FY2021: 2021 Annual Report, p.56 (Statement of Cash Flows) — https://find-and-update.company-information.service.gov.uk/company/07425398/filing-history/MzMzODgwNTQxMWFkaXF6a2N4/document?format=pdf&amp;download=0
Note: these are Companies House filing copies (fully scanned/image-only PDFs, no text layer — transcribed via page-render + manual reading). The bank's own site (itau.co.uk) returned HTTP 403 to every fetch, and the domain referenced throughout the Annual Report for further disclosures (www.itaubba.co.uk) was unreachable this session (connection refused/timed out, and no usable Wayback Machine snapshot was found — a genuine Internet Archive-side outage, not bank-specific), so Companies House was the only available source. The source labels 'Derivatives designated as hedging instruments' twice per year (once within operating assets, once within operating liabilities) — disambiguated here as '(assets)' / '(liabilities)' for clarity; this is a labeling change only, not a data change. 'Purchases of financial assets measured at fair value through OCI' is printed with an inconsistent sign convention across report vintages (positive in the FY2025 report's own FY2025/FY2024 columns, negative in the FY2023 report's own FY2023/FY2022 columns) — transcribed exactly as each source year printed it, not normalized. Blank cells indicate that year's report did not disclose that specific line; a dash ('-') in the source is shown as 0. All 5 years' opening cash balances tie exactly to the prior year's closing balance. DATA QUALITY NOTE: summing FY2024's own individually-transcribed line items gives USD 233,960k for 'Net cash flow from operating activities before payment of income tax', a USD 7k gap against the figure the source itself prints for that subtotal (USD 233,967k, used here) — an immaterial rounding artifact within the source document, not a transcription error (every individual line item ties exactly to the source page); flagged rather than silently adjusted, per this project's convention.</t>
        </is>
      </c>
    </row>
  </sheetData>
  <mergeCells count="1">
    <mergeCell ref="A46:F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CET1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2276</v>
      </c>
      <c r="C4" s="6" t="n">
        <v>2073</v>
      </c>
      <c r="D4" s="6" t="n">
        <v>1939</v>
      </c>
      <c r="E4" s="6" t="n">
        <v>1334</v>
      </c>
      <c r="F4" s="6" t="n">
        <v>1318</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CET1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29.0%</t>
        </is>
      </c>
      <c r="C4" s="6" t="inlineStr">
        <is>
          <t>23.9%</t>
        </is>
      </c>
      <c r="D4" s="6" t="inlineStr">
        <is>
          <t>27.0%</t>
        </is>
      </c>
      <c r="E4" s="6" t="inlineStr">
        <is>
          <t>19.6%</t>
        </is>
      </c>
      <c r="F4" s="6" t="inlineStr">
        <is>
          <t>22.6%</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Capital</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distinct Tier 1 capital figure is broken out in the Annual Report's 'Capital' section in any of the 5 years — only 'Common equity tier 1 capital' and 'Total regulatory capital' are shown, and those two figures are identical (or within USD 1m) in every year sourced, implying negligible AT1 instruments, but no separate Tier 1 line exists to transcribe. See the CET1 Capital and Total Capital sheets.</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Same basis as the Tier 1 Capital sheet — no distinct Tier 1 ratio is broken out; CET1 ratio and Total capital ratio are identical in every year sourced. See the CET1 Ratio and Total Capital Ratio sheets.</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Total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2276</v>
      </c>
      <c r="C4" s="6" t="n">
        <v>2073</v>
      </c>
      <c r="D4" s="6" t="n">
        <v>1940</v>
      </c>
      <c r="E4" s="6" t="n">
        <v>1334</v>
      </c>
      <c r="F4" s="6" t="n">
        <v>1318</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Total Capital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29.0%</t>
        </is>
      </c>
      <c r="C4" s="6" t="inlineStr">
        <is>
          <t>23.9%</t>
        </is>
      </c>
      <c r="D4" s="6" t="inlineStr">
        <is>
          <t>27.1%</t>
        </is>
      </c>
      <c r="E4" s="6" t="inlineStr">
        <is>
          <t>19.6%</t>
        </is>
      </c>
      <c r="F4" s="6" t="inlineStr">
        <is>
          <t>22.6%</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Total RWAs</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Risk-weighted assets (RWA)</t>
        </is>
      </c>
      <c r="B4" s="6" t="n">
        <v>7855</v>
      </c>
      <c r="C4" s="6" t="n">
        <v>8660</v>
      </c>
      <c r="D4" s="6" t="n">
        <v>7170</v>
      </c>
      <c r="E4" s="6" t="n">
        <v>6812</v>
      </c>
      <c r="F4" s="6" t="n">
        <v>5836</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Leverage Ratio</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19.1%</t>
        </is>
      </c>
      <c r="C4" s="6" t="inlineStr">
        <is>
          <t>16.4%</t>
        </is>
      </c>
      <c r="D4" s="6" t="inlineStr">
        <is>
          <t>16.7%</t>
        </is>
      </c>
      <c r="E4" s="6" t="inlineStr">
        <is>
          <t>11.9%</t>
        </is>
      </c>
      <c r="F4" s="6" t="inlineStr">
        <is>
          <t>14.6%</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The Leverage Ratio is quoted in the Capital section's narrative text (not the composition table) each year.</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LCR</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anywhere in the Annual Report's own pages (Strategic Report or Notes) — the Annual Report defers all liquidity Pillar 3 detail to the standalone Pillar 3 Disclosures document referenced above, which was unreachable this session.</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NSFR</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Same availability constraint as the LCR sheet — deferred to the unreachable standalone Pillar 3 report.</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MREL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or resolution-strategy discussion was found in the Annual Report's own pages; deferred to the unreachable standalone Pillar 3 report, same as LCR/NSFR.</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2026-08-29T08:34:47Z</dcterms:created>
  <dcterms:modified xmlns:dcterms="http://purl.org/dc/terms/" xmlns:xsi="http://www.w3.org/2001/XMLSchema-instance" xsi:type="dcterms:W3CDTF">2026-08-29T08:34:47Z</dcterms:modified>
</cp:coreProperties>
</file>