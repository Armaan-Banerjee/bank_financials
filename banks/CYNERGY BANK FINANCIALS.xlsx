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6C505"/>
        <bgColor rgb="0046C50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Cynergy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Cynergy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Cynergy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Cynergy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Cynergy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Cynergy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5597322</v>
      </c>
      <c r="C6" s="5" t="n">
        <v>5098500</v>
      </c>
      <c r="D6" s="5" t="n">
        <v>4611231</v>
      </c>
      <c r="E6" s="5" t="n">
        <v>4124713</v>
      </c>
      <c r="F6" s="5" t="n">
        <v>3518034</v>
      </c>
      <c r="G6" s="5" t="n">
        <v>2943446</v>
      </c>
      <c r="H6" s="5" t="n">
        <v>2471904</v>
      </c>
      <c r="I6" s="5" t="n">
        <v>1955020</v>
      </c>
      <c r="J6" s="5" t="n">
        <v>1877118</v>
      </c>
      <c r="K6" s="5" t="n">
        <v>1402977</v>
      </c>
      <c r="L6" s="5" t="n">
        <v>1168863</v>
      </c>
      <c r="M6" s="5" t="n">
        <v>1069043</v>
      </c>
      <c r="P6" t="inlineStr">
        <is>
          <t>Total assets</t>
        </is>
      </c>
      <c r="Q6" t="n">
        <v>1069043</v>
      </c>
      <c r="R6" t="n">
        <v>1168863</v>
      </c>
      <c r="S6" t="n">
        <v>1402977</v>
      </c>
      <c r="T6" t="n">
        <v>1877118</v>
      </c>
      <c r="U6" t="n">
        <v>1955020</v>
      </c>
      <c r="V6" t="n">
        <v>2471904</v>
      </c>
      <c r="W6" t="n">
        <v>2943446</v>
      </c>
      <c r="X6" t="n">
        <v>3518034</v>
      </c>
      <c r="Y6" t="n">
        <v>4124713</v>
      </c>
      <c r="Z6" t="n">
        <v>4611231</v>
      </c>
      <c r="AA6" t="n">
        <v>5098500</v>
      </c>
      <c r="AB6" t="n">
        <v>5597322</v>
      </c>
      <c r="BX6" t="inlineStr">
        <is>
          <t>CET1/Core Tier 1 ratio</t>
        </is>
      </c>
      <c r="BY6" t="n">
        <v>16.9</v>
      </c>
      <c r="BZ6" t="n">
        <v>16.6</v>
      </c>
      <c r="CA6" t="n">
        <v>12.1</v>
      </c>
      <c r="CB6" t="n">
        <v>16.6</v>
      </c>
      <c r="CC6" t="n">
        <v>17</v>
      </c>
      <c r="CD6" t="n">
        <v>13.7</v>
      </c>
      <c r="CE6" t="n">
        <v>14.12</v>
      </c>
    </row>
    <row r="7">
      <c r="A7" s="5" t="inlineStr">
        <is>
          <t>Loans and advances to customers</t>
        </is>
      </c>
      <c r="B7" s="5" t="n">
        <v>3745133</v>
      </c>
      <c r="C7" s="5" t="n">
        <v>3653477</v>
      </c>
      <c r="D7" s="5" t="n">
        <v>3564297</v>
      </c>
      <c r="E7" s="5" t="n">
        <v>3254230</v>
      </c>
      <c r="F7" s="5" t="n">
        <v>2949578</v>
      </c>
      <c r="G7" s="5" t="n">
        <v>2613962</v>
      </c>
      <c r="H7" s="5" t="n">
        <v>2264381</v>
      </c>
      <c r="I7" s="5" t="n">
        <v>1668923</v>
      </c>
      <c r="J7" s="5" t="n">
        <v>1407200</v>
      </c>
      <c r="K7" s="5" t="n">
        <v>1083922</v>
      </c>
      <c r="L7" s="5" t="n">
        <v>820807</v>
      </c>
      <c r="M7" s="5" t="n">
        <v>617976</v>
      </c>
      <c r="P7" t="inlineStr">
        <is>
          <t>Loans and advances to customers</t>
        </is>
      </c>
      <c r="Q7" t="n">
        <v>617976</v>
      </c>
      <c r="R7" t="n">
        <v>820807</v>
      </c>
      <c r="S7" t="n">
        <v>1083922</v>
      </c>
      <c r="T7" t="n">
        <v>1407200</v>
      </c>
      <c r="U7" t="n">
        <v>1668923</v>
      </c>
      <c r="V7" t="n">
        <v>2264381</v>
      </c>
      <c r="W7" t="n">
        <v>2613962</v>
      </c>
      <c r="X7" t="n">
        <v>2949578</v>
      </c>
      <c r="Y7" t="n">
        <v>3254230</v>
      </c>
      <c r="Z7" t="n">
        <v>3564297</v>
      </c>
      <c r="AA7" t="n">
        <v>3653477</v>
      </c>
      <c r="AB7" t="n">
        <v>3745133</v>
      </c>
      <c r="BX7" t="inlineStr">
        <is>
          <t>Total Capital ratio</t>
        </is>
      </c>
      <c r="BY7" t="n">
        <v>25.4</v>
      </c>
      <c r="BZ7" t="n">
        <v>24.4</v>
      </c>
      <c r="CA7" t="n">
        <v>18.2</v>
      </c>
      <c r="CB7" t="n">
        <v>21</v>
      </c>
      <c r="CC7" t="n">
        <v>20.7</v>
      </c>
      <c r="CD7" t="n">
        <v>16.3</v>
      </c>
      <c r="CE7" t="n">
        <v>16.42</v>
      </c>
    </row>
    <row r="8">
      <c r="A8" s="5" t="inlineStr">
        <is>
          <t>Customer deposits</t>
        </is>
      </c>
      <c r="B8" s="5" t="n">
        <v>4910863</v>
      </c>
      <c r="C8" s="5" t="n">
        <v>4492026</v>
      </c>
      <c r="D8" s="5" t="n">
        <v>3758037</v>
      </c>
      <c r="E8" s="5" t="n">
        <v>3336442</v>
      </c>
      <c r="F8" s="5" t="n">
        <v>2832564</v>
      </c>
      <c r="G8" s="5" t="n">
        <v>2352241</v>
      </c>
      <c r="H8" s="5" t="n">
        <v>2227678</v>
      </c>
      <c r="I8" s="5" t="n">
        <v>1762654</v>
      </c>
      <c r="J8" s="5" t="n">
        <v>1656975</v>
      </c>
      <c r="K8" s="5" t="n">
        <v>1257403</v>
      </c>
      <c r="L8" s="5" t="n">
        <v>1038348</v>
      </c>
      <c r="M8" s="5" t="n">
        <v>955464</v>
      </c>
      <c r="P8" t="inlineStr">
        <is>
          <t>Customer deposits</t>
        </is>
      </c>
      <c r="Q8" t="n">
        <v>955464</v>
      </c>
      <c r="R8" t="n">
        <v>1038348</v>
      </c>
      <c r="S8" t="n">
        <v>1257403</v>
      </c>
      <c r="T8" t="n">
        <v>1656975</v>
      </c>
      <c r="U8" t="n">
        <v>1762654</v>
      </c>
      <c r="V8" t="n">
        <v>2227678</v>
      </c>
      <c r="W8" t="n">
        <v>2352241</v>
      </c>
      <c r="X8" t="n">
        <v>2832564</v>
      </c>
      <c r="Y8" t="n">
        <v>3336442</v>
      </c>
      <c r="Z8" t="n">
        <v>3758037</v>
      </c>
      <c r="AA8" t="n">
        <v>4492026</v>
      </c>
      <c r="AB8" t="n">
        <v>4910863</v>
      </c>
      <c r="BX8" t="inlineStr">
        <is>
          <t>Leverage ratio</t>
        </is>
      </c>
      <c r="BY8" t="n">
        <v>6.1</v>
      </c>
      <c r="BZ8" t="n">
        <v>6</v>
      </c>
      <c r="CA8" t="n">
        <v>4.7</v>
      </c>
      <c r="CB8" t="n">
        <v>5.8</v>
      </c>
      <c r="CC8" t="n">
        <v>6.9</v>
      </c>
      <c r="CD8" t="n">
        <v>6.3</v>
      </c>
      <c r="CE8" t="n">
        <v>6.1</v>
      </c>
    </row>
    <row r="9">
      <c r="A9" s="5" t="inlineStr">
        <is>
          <t>Total equity</t>
        </is>
      </c>
      <c r="B9" s="5" t="n">
        <v>426229</v>
      </c>
      <c r="C9" s="5" t="n">
        <v>387856</v>
      </c>
      <c r="D9" s="5" t="n">
        <v>349550</v>
      </c>
      <c r="E9" s="5" t="n">
        <v>309446</v>
      </c>
      <c r="F9" s="5" t="n">
        <v>220716</v>
      </c>
      <c r="G9" s="5" t="n">
        <v>195787</v>
      </c>
      <c r="H9" s="5" t="n">
        <v>166650</v>
      </c>
      <c r="I9" s="5" t="n">
        <v>137331</v>
      </c>
      <c r="J9" s="5" t="n">
        <v>112718</v>
      </c>
      <c r="K9" s="5" t="n">
        <v>65857</v>
      </c>
      <c r="L9" s="5" t="n">
        <v>69820</v>
      </c>
      <c r="M9" s="5" t="n">
        <v>66216</v>
      </c>
      <c r="P9" t="inlineStr">
        <is>
          <t>Total equity</t>
        </is>
      </c>
      <c r="Q9" t="n">
        <v>66216</v>
      </c>
      <c r="R9" t="n">
        <v>69820</v>
      </c>
      <c r="S9" t="n">
        <v>65857</v>
      </c>
      <c r="T9" t="n">
        <v>112718</v>
      </c>
      <c r="U9" t="n">
        <v>137331</v>
      </c>
      <c r="V9" t="n">
        <v>166650</v>
      </c>
      <c r="W9" t="n">
        <v>195787</v>
      </c>
      <c r="X9" t="n">
        <v>220716</v>
      </c>
      <c r="Y9" t="n">
        <v>309446</v>
      </c>
      <c r="Z9" t="n">
        <v>349550</v>
      </c>
      <c r="AA9" t="n">
        <v>387856</v>
      </c>
      <c r="AB9" t="n">
        <v>426229</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140485</v>
      </c>
      <c r="C13" s="5" t="n">
        <v>134646</v>
      </c>
      <c r="D13" s="5" t="n">
        <v>159546</v>
      </c>
      <c r="E13" s="5" t="n">
        <v>127584</v>
      </c>
      <c r="F13" s="5" t="n">
        <v>88029</v>
      </c>
      <c r="G13" s="5" t="n">
        <v>78325</v>
      </c>
      <c r="H13" s="5" t="n">
        <v>58998</v>
      </c>
      <c r="I13" s="5" t="n">
        <v>48596</v>
      </c>
      <c r="J13" s="5" t="n">
        <v>40021</v>
      </c>
      <c r="K13" s="5" t="n">
        <v>30051</v>
      </c>
      <c r="L13" s="5" t="n">
        <v>23999</v>
      </c>
      <c r="M13" s="5" t="n">
        <v>18719</v>
      </c>
      <c r="AE13" t="inlineStr">
        <is>
          <t>Total operating income</t>
        </is>
      </c>
      <c r="AF13" t="n">
        <v>18719</v>
      </c>
      <c r="AG13" t="n">
        <v>23999</v>
      </c>
      <c r="AH13" t="n">
        <v>30051</v>
      </c>
      <c r="AI13" t="n">
        <v>40021</v>
      </c>
      <c r="AJ13" t="n">
        <v>48596</v>
      </c>
      <c r="AK13" t="n">
        <v>58998</v>
      </c>
      <c r="AL13" t="n">
        <v>78325</v>
      </c>
      <c r="AM13" t="n">
        <v>88029</v>
      </c>
      <c r="AN13" t="n">
        <v>127584</v>
      </c>
      <c r="AO13" t="n">
        <v>159546</v>
      </c>
      <c r="AP13" t="n">
        <v>134646</v>
      </c>
      <c r="AQ13" t="n">
        <v>140485</v>
      </c>
    </row>
    <row r="14">
      <c r="A14" s="5" t="inlineStr">
        <is>
          <t>Total operating expenses</t>
        </is>
      </c>
      <c r="B14" s="5" t="n">
        <v>-89416</v>
      </c>
      <c r="C14" s="5" t="n">
        <v>-80932</v>
      </c>
      <c r="D14" s="5" t="n">
        <v>-100220</v>
      </c>
      <c r="E14" s="5" t="n">
        <v>-77225</v>
      </c>
      <c r="F14" s="5" t="n">
        <v>-52233</v>
      </c>
      <c r="G14" s="5" t="n">
        <v>-46323</v>
      </c>
      <c r="H14" s="5" t="n">
        <v>-36135</v>
      </c>
      <c r="I14" s="5" t="n">
        <v>-42216</v>
      </c>
      <c r="J14" s="5" t="n">
        <v>-34602</v>
      </c>
      <c r="K14" s="5" t="n">
        <v>-24151</v>
      </c>
      <c r="L14" s="5" t="n">
        <v>-20104</v>
      </c>
      <c r="M14" s="5" t="n">
        <v>-17824</v>
      </c>
      <c r="AE14" t="inlineStr">
        <is>
          <t>Total operating expenses</t>
        </is>
      </c>
      <c r="AF14" t="n">
        <v>-17824</v>
      </c>
      <c r="AG14" t="n">
        <v>-20104</v>
      </c>
      <c r="AH14" t="n">
        <v>-24151</v>
      </c>
      <c r="AI14" t="n">
        <v>-34602</v>
      </c>
      <c r="AJ14" t="n">
        <v>-42216</v>
      </c>
      <c r="AK14" t="n">
        <v>-36135</v>
      </c>
      <c r="AL14" t="n">
        <v>-46323</v>
      </c>
      <c r="AM14" t="n">
        <v>-52233</v>
      </c>
      <c r="AN14" t="n">
        <v>-77225</v>
      </c>
      <c r="AO14" t="n">
        <v>-100220</v>
      </c>
      <c r="AP14" t="n">
        <v>-80932</v>
      </c>
      <c r="AQ14" t="n">
        <v>-89416</v>
      </c>
    </row>
    <row r="15">
      <c r="A15" s="5" t="inlineStr">
        <is>
          <t>Profit for the year</t>
        </is>
      </c>
      <c r="B15" s="5" t="n">
        <v>37940</v>
      </c>
      <c r="C15" s="5" t="n">
        <v>40234</v>
      </c>
      <c r="D15" s="5" t="n">
        <v>40613</v>
      </c>
      <c r="E15" s="5" t="n">
        <v>40256</v>
      </c>
      <c r="F15" s="5" t="n">
        <v>24929</v>
      </c>
      <c r="G15" s="5" t="n">
        <v>20828</v>
      </c>
      <c r="H15" s="5" t="n">
        <v>13519</v>
      </c>
      <c r="I15" s="5" t="n">
        <v>4600</v>
      </c>
      <c r="J15" s="5" t="n">
        <v>861</v>
      </c>
      <c r="K15" s="5" t="n">
        <v>-9020</v>
      </c>
      <c r="L15" s="5" t="n">
        <v>3604</v>
      </c>
      <c r="M15" s="5" t="n">
        <v>3301</v>
      </c>
      <c r="AE15" t="inlineStr">
        <is>
          <t>Profit for the year</t>
        </is>
      </c>
      <c r="AF15" t="n">
        <v>3301</v>
      </c>
      <c r="AG15" t="n">
        <v>3604</v>
      </c>
      <c r="AH15" t="n">
        <v>-9020</v>
      </c>
      <c r="AI15" t="n">
        <v>861</v>
      </c>
      <c r="AJ15" t="n">
        <v>4600</v>
      </c>
      <c r="AK15" t="n">
        <v>13519</v>
      </c>
      <c r="AL15" t="n">
        <v>20828</v>
      </c>
      <c r="AM15" t="n">
        <v>24929</v>
      </c>
      <c r="AN15" t="n">
        <v>40256</v>
      </c>
      <c r="AO15" t="n">
        <v>40613</v>
      </c>
      <c r="AP15" t="n">
        <v>40234</v>
      </c>
      <c r="AQ15" t="n">
        <v>37940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387856</v>
      </c>
      <c r="C19" s="5" t="n">
        <v>349550</v>
      </c>
      <c r="D19" s="5" t="n">
        <v>309446</v>
      </c>
      <c r="E19" s="5" t="n">
        <v>220716</v>
      </c>
      <c r="F19" s="5" t="n">
        <v>195787</v>
      </c>
      <c r="G19" s="5" t="n">
        <v>166650</v>
      </c>
      <c r="H19" s="5" t="n">
        <v>137331</v>
      </c>
      <c r="I19" s="5" t="n">
        <v>112718</v>
      </c>
      <c r="J19" s="5" t="n">
        <v>65857</v>
      </c>
      <c r="K19" s="5" t="n">
        <v>69820</v>
      </c>
      <c r="L19" s="5" t="n">
        <v>66216</v>
      </c>
      <c r="M19" s="5" t="n">
        <v>59583</v>
      </c>
      <c r="AT19" t="inlineStr">
        <is>
          <t>Opening equity</t>
        </is>
      </c>
      <c r="AU19" t="n">
        <v>59583</v>
      </c>
      <c r="AV19" t="n">
        <v>66216</v>
      </c>
      <c r="AW19" t="n">
        <v>69820</v>
      </c>
      <c r="AX19" t="n">
        <v>65857</v>
      </c>
      <c r="AY19" t="n">
        <v>112718</v>
      </c>
      <c r="AZ19" t="n">
        <v>137331</v>
      </c>
      <c r="BA19" t="n">
        <v>166650</v>
      </c>
      <c r="BB19" t="n">
        <v>195787</v>
      </c>
      <c r="BC19" t="n">
        <v>220716</v>
      </c>
      <c r="BD19" t="n">
        <v>309446</v>
      </c>
      <c r="BE19" t="n">
        <v>349550</v>
      </c>
      <c r="BF19" t="n">
        <v>387856</v>
      </c>
    </row>
    <row r="20">
      <c r="A20" s="5" t="inlineStr">
        <is>
          <t>Total comprehensive income for the year</t>
        </is>
      </c>
      <c r="B20" s="5" t="n">
        <v>37940</v>
      </c>
      <c r="C20" s="5" t="n">
        <v>38306</v>
      </c>
      <c r="D20" s="5" t="n">
        <v>40104</v>
      </c>
      <c r="E20" s="5" t="n">
        <v>41730</v>
      </c>
      <c r="F20" s="5" t="n">
        <v>24929</v>
      </c>
      <c r="G20" s="5" t="n">
        <v>20137</v>
      </c>
      <c r="H20" s="5" t="n">
        <v>14648</v>
      </c>
      <c r="I20" s="5" t="n">
        <v>4517</v>
      </c>
      <c r="J20" s="5" t="n">
        <v>861</v>
      </c>
      <c r="K20" s="5" t="n">
        <v>-3963</v>
      </c>
      <c r="L20" s="5" t="n">
        <v>3604</v>
      </c>
      <c r="M20" s="5" t="n">
        <v>6633</v>
      </c>
      <c r="AT20" t="inlineStr">
        <is>
          <t>Total comprehensive income for the year</t>
        </is>
      </c>
      <c r="AU20" t="n">
        <v>6633</v>
      </c>
      <c r="AV20" t="n">
        <v>3604</v>
      </c>
      <c r="AW20" t="n">
        <v>-3963</v>
      </c>
      <c r="AX20" t="n">
        <v>861</v>
      </c>
      <c r="AY20" t="n">
        <v>4517</v>
      </c>
      <c r="AZ20" t="n">
        <v>14648</v>
      </c>
      <c r="BA20" t="n">
        <v>20137</v>
      </c>
      <c r="BB20" t="n">
        <v>24929</v>
      </c>
      <c r="BC20" t="n">
        <v>41730</v>
      </c>
      <c r="BD20" t="n">
        <v>40104</v>
      </c>
      <c r="BE20" t="n">
        <v>38306</v>
      </c>
      <c r="BF20" t="n">
        <v>37940</v>
      </c>
    </row>
    <row r="21">
      <c r="A21" s="5" t="inlineStr">
        <is>
          <t>Other equity movements, net</t>
        </is>
      </c>
      <c r="B21" s="5" t="n">
        <v>433</v>
      </c>
      <c r="C21" s="5" t="n">
        <v>0</v>
      </c>
      <c r="D21" s="5" t="n">
        <v>0</v>
      </c>
      <c r="E21" s="5" t="n">
        <v>47000</v>
      </c>
      <c r="F21" s="5" t="n">
        <v>0</v>
      </c>
      <c r="G21" s="5" t="n">
        <v>9000</v>
      </c>
      <c r="H21" s="5" t="n">
        <v>14671</v>
      </c>
      <c r="I21" s="5" t="n">
        <v>20096</v>
      </c>
      <c r="J21" s="5" t="n">
        <v>46000</v>
      </c>
      <c r="K21" s="5" t="n">
        <v>0</v>
      </c>
      <c r="L21" s="5" t="n">
        <v>0</v>
      </c>
      <c r="M21" s="5" t="n">
        <v>0</v>
      </c>
      <c r="AT21" t="inlineStr">
        <is>
          <t>Other equity movements, net</t>
        </is>
      </c>
      <c r="AU21" t="n">
        <v>0</v>
      </c>
      <c r="AV21" t="n">
        <v>0</v>
      </c>
      <c r="AW21" t="n">
        <v>0</v>
      </c>
      <c r="AX21" t="n">
        <v>46000</v>
      </c>
      <c r="AY21" t="n">
        <v>20096</v>
      </c>
      <c r="AZ21" t="n">
        <v>14671</v>
      </c>
      <c r="BA21" t="n">
        <v>9000</v>
      </c>
      <c r="BB21" t="n">
        <v>0</v>
      </c>
      <c r="BC21" t="n">
        <v>47000</v>
      </c>
      <c r="BD21" t="n">
        <v>0</v>
      </c>
      <c r="BE21" t="n">
        <v>0</v>
      </c>
      <c r="BF21" t="n">
        <v>433</v>
      </c>
    </row>
    <row r="22">
      <c r="A22" s="5" t="inlineStr">
        <is>
          <t>Closing equity</t>
        </is>
      </c>
      <c r="B22" s="5" t="n">
        <v>426229</v>
      </c>
      <c r="C22" s="5" t="n">
        <v>387856</v>
      </c>
      <c r="D22" s="5" t="n">
        <v>349550</v>
      </c>
      <c r="E22" s="5" t="n">
        <v>309446</v>
      </c>
      <c r="F22" s="5" t="n">
        <v>220716</v>
      </c>
      <c r="G22" s="5" t="n">
        <v>195787</v>
      </c>
      <c r="H22" s="5" t="n">
        <v>166650</v>
      </c>
      <c r="I22" s="5" t="n">
        <v>137331</v>
      </c>
      <c r="J22" s="5" t="n">
        <v>112718</v>
      </c>
      <c r="K22" s="5" t="n">
        <v>65857</v>
      </c>
      <c r="L22" s="5" t="n">
        <v>69820</v>
      </c>
      <c r="M22" s="5" t="n">
        <v>66216</v>
      </c>
      <c r="AT22" t="inlineStr">
        <is>
          <t>Closing equity</t>
        </is>
      </c>
      <c r="AU22" t="n">
        <v>66216</v>
      </c>
      <c r="AV22" t="n">
        <v>69820</v>
      </c>
      <c r="AW22" t="n">
        <v>65857</v>
      </c>
      <c r="AX22" t="n">
        <v>112718</v>
      </c>
      <c r="AY22" t="n">
        <v>137331</v>
      </c>
      <c r="AZ22" t="n">
        <v>166650</v>
      </c>
      <c r="BA22" t="n">
        <v>195787</v>
      </c>
      <c r="BB22" t="n">
        <v>220716</v>
      </c>
      <c r="BC22" t="n">
        <v>309446</v>
      </c>
      <c r="BD22" t="n">
        <v>349550</v>
      </c>
      <c r="BE22" t="n">
        <v>387856</v>
      </c>
      <c r="BF22" t="n">
        <v>426229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from/(used in) operating activities</t>
        </is>
      </c>
      <c r="B26" s="5" t="n">
        <v>-17143</v>
      </c>
      <c r="C26" s="5" t="n">
        <v>445559</v>
      </c>
      <c r="D26" s="5" t="n">
        <v>130953</v>
      </c>
      <c r="E26" s="5" t="n">
        <v>190786</v>
      </c>
      <c r="F26" s="5" t="n">
        <v>234303</v>
      </c>
      <c r="G26" s="5" t="n">
        <v>117909</v>
      </c>
      <c r="H26" s="5" t="n">
        <v>-83910</v>
      </c>
      <c r="I26" s="5" t="n">
        <v>-157299</v>
      </c>
      <c r="J26" s="5" t="n">
        <v>75543</v>
      </c>
      <c r="K26" s="5" t="n">
        <v>-44784</v>
      </c>
      <c r="L26" s="5" t="n">
        <v>-108406</v>
      </c>
      <c r="M26" s="5" t="n">
        <v>-85437</v>
      </c>
      <c r="BI26" t="inlineStr">
        <is>
          <t>Net cash flow from/(used in) operating activities</t>
        </is>
      </c>
      <c r="BJ26" t="n">
        <v>-85437</v>
      </c>
      <c r="BK26" t="n">
        <v>-108406</v>
      </c>
      <c r="BL26" t="n">
        <v>-44784</v>
      </c>
      <c r="BM26" t="n">
        <v>75543</v>
      </c>
      <c r="BN26" t="n">
        <v>-157299</v>
      </c>
      <c r="BO26" t="n">
        <v>-83910</v>
      </c>
      <c r="BP26" t="n">
        <v>117909</v>
      </c>
      <c r="BQ26" t="n">
        <v>234303</v>
      </c>
      <c r="BR26" t="n">
        <v>190786</v>
      </c>
      <c r="BS26" t="n">
        <v>130953</v>
      </c>
      <c r="BT26" t="n">
        <v>445559</v>
      </c>
      <c r="BU26" t="n">
        <v>-17143</v>
      </c>
    </row>
    <row r="27">
      <c r="A27" s="5" t="inlineStr">
        <is>
          <t>Net cash flow from/(used in) investing activities</t>
        </is>
      </c>
      <c r="B27" s="5" t="n">
        <v>-459330</v>
      </c>
      <c r="C27" s="5" t="n">
        <v>-135783</v>
      </c>
      <c r="D27" s="5" t="n">
        <v>-39022</v>
      </c>
      <c r="E27" s="5" t="n">
        <v>36420</v>
      </c>
      <c r="F27" s="5" t="n">
        <v>-147084</v>
      </c>
      <c r="G27" s="5" t="n">
        <v>-12691</v>
      </c>
      <c r="H27" s="5" t="n">
        <v>-8787</v>
      </c>
      <c r="I27" s="5" t="n">
        <v>-2257</v>
      </c>
      <c r="J27" s="5" t="n">
        <v>-1620</v>
      </c>
      <c r="K27" s="5" t="n">
        <v>-1034</v>
      </c>
      <c r="L27" s="5" t="n">
        <v>-542</v>
      </c>
      <c r="M27" s="5" t="n">
        <v>-766</v>
      </c>
      <c r="BI27" t="inlineStr">
        <is>
          <t>Net cash flow from/(used in) investing activities</t>
        </is>
      </c>
      <c r="BJ27" t="n">
        <v>-766</v>
      </c>
      <c r="BK27" t="n">
        <v>-542</v>
      </c>
      <c r="BL27" t="n">
        <v>-1034</v>
      </c>
      <c r="BM27" t="n">
        <v>-1620</v>
      </c>
      <c r="BN27" t="n">
        <v>-2257</v>
      </c>
      <c r="BO27" t="n">
        <v>-8787</v>
      </c>
      <c r="BP27" t="n">
        <v>-12691</v>
      </c>
      <c r="BQ27" t="n">
        <v>-147084</v>
      </c>
      <c r="BR27" t="n">
        <v>36420</v>
      </c>
      <c r="BS27" t="n">
        <v>-39022</v>
      </c>
      <c r="BT27" t="n">
        <v>-135783</v>
      </c>
      <c r="BU27" t="n">
        <v>-459330</v>
      </c>
    </row>
    <row r="28">
      <c r="A28" s="5" t="inlineStr">
        <is>
          <t>Net cash flow from/(used in) financing activities</t>
        </is>
      </c>
      <c r="B28" s="5" t="n">
        <v>29481</v>
      </c>
      <c r="C28" s="5" t="n">
        <v>-2292</v>
      </c>
      <c r="D28" s="5" t="n">
        <v>13701</v>
      </c>
      <c r="E28" s="5" t="n">
        <v>47034</v>
      </c>
      <c r="F28" s="5" t="n">
        <v>-238</v>
      </c>
      <c r="G28" s="5" t="n">
        <v>8834</v>
      </c>
      <c r="H28" s="5" t="n">
        <v>14642</v>
      </c>
      <c r="I28" s="5" t="n">
        <v>19957</v>
      </c>
      <c r="J28" s="5" t="n">
        <v>44526</v>
      </c>
      <c r="K28" s="5" t="n">
        <v>-2265</v>
      </c>
      <c r="L28" s="5" t="n">
        <v>-2271</v>
      </c>
      <c r="M28" s="5" t="n">
        <v>-2256</v>
      </c>
      <c r="BI28" t="inlineStr">
        <is>
          <t>Net cash flow from/(used in) financing activities</t>
        </is>
      </c>
      <c r="BJ28" t="n">
        <v>-2256</v>
      </c>
      <c r="BK28" t="n">
        <v>-2271</v>
      </c>
      <c r="BL28" t="n">
        <v>-2265</v>
      </c>
      <c r="BM28" t="n">
        <v>44526</v>
      </c>
      <c r="BN28" t="n">
        <v>19957</v>
      </c>
      <c r="BO28" t="n">
        <v>14642</v>
      </c>
      <c r="BP28" t="n">
        <v>8834</v>
      </c>
      <c r="BQ28" t="n">
        <v>-238</v>
      </c>
      <c r="BR28" t="n">
        <v>47034</v>
      </c>
      <c r="BS28" t="n">
        <v>13701</v>
      </c>
      <c r="BT28" t="n">
        <v>-2292</v>
      </c>
      <c r="BU28" t="n">
        <v>29481</v>
      </c>
    </row>
    <row r="29">
      <c r="A29" s="5" t="inlineStr">
        <is>
          <t>Cash and cash equivalents at end of year</t>
        </is>
      </c>
      <c r="B29" s="5" t="n">
        <v>611903</v>
      </c>
      <c r="C29" s="5" t="n">
        <v>1058851</v>
      </c>
      <c r="D29" s="5" t="n">
        <v>751598</v>
      </c>
      <c r="E29" s="5" t="n">
        <v>646528</v>
      </c>
      <c r="F29" s="5" t="n">
        <v>372288</v>
      </c>
      <c r="G29" s="5" t="n">
        <v>285307</v>
      </c>
      <c r="H29" s="5" t="n">
        <v>171255</v>
      </c>
      <c r="I29" s="5" t="n">
        <v>249310</v>
      </c>
      <c r="J29" s="5" t="n">
        <v>388909</v>
      </c>
      <c r="K29" s="5" t="n">
        <v>268981</v>
      </c>
      <c r="L29" s="5" t="n">
        <v>309135</v>
      </c>
      <c r="M29" s="5" t="n">
        <v>422348</v>
      </c>
      <c r="BI29" t="inlineStr">
        <is>
          <t>Cash and cash equivalents at end of year</t>
        </is>
      </c>
      <c r="BJ29" t="n">
        <v>422348</v>
      </c>
      <c r="BK29" t="n">
        <v>309135</v>
      </c>
      <c r="BL29" t="n">
        <v>268981</v>
      </c>
      <c r="BM29" t="n">
        <v>388909</v>
      </c>
      <c r="BN29" t="n">
        <v>249310</v>
      </c>
      <c r="BO29" t="n">
        <v>171255</v>
      </c>
      <c r="BP29" t="n">
        <v>285307</v>
      </c>
      <c r="BQ29" t="n">
        <v>372288</v>
      </c>
      <c r="BR29" t="n">
        <v>646528</v>
      </c>
      <c r="BS29" t="n">
        <v>751598</v>
      </c>
      <c r="BT29" t="n">
        <v>1058851</v>
      </c>
      <c r="BU29" t="n">
        <v>611903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CET1/Core Tier 1 ratio</t>
        </is>
      </c>
      <c r="B33" s="6" t="n"/>
      <c r="C33" s="6" t="n"/>
      <c r="D33" s="6" t="n"/>
      <c r="E33" s="6" t="n"/>
      <c r="F33" s="6" t="n"/>
      <c r="G33" s="6" t="inlineStr">
        <is>
          <t>14.12%</t>
        </is>
      </c>
      <c r="H33" s="6" t="inlineStr">
        <is>
          <t>13.7%</t>
        </is>
      </c>
      <c r="I33" s="6" t="inlineStr">
        <is>
          <t>17.0%</t>
        </is>
      </c>
      <c r="J33" s="6" t="inlineStr">
        <is>
          <t>16.6%</t>
        </is>
      </c>
      <c r="K33" s="6" t="inlineStr">
        <is>
          <t>12.1%</t>
        </is>
      </c>
      <c r="L33" s="6" t="inlineStr">
        <is>
          <t>16.6%</t>
        </is>
      </c>
      <c r="M33" s="6" t="inlineStr">
        <is>
          <t>16.9%</t>
        </is>
      </c>
    </row>
    <row r="34">
      <c r="A34" s="6" t="inlineStr">
        <is>
          <t>Total Capital ratio</t>
        </is>
      </c>
      <c r="B34" s="6" t="n"/>
      <c r="C34" s="6" t="n"/>
      <c r="D34" s="6" t="n"/>
      <c r="E34" s="6" t="n"/>
      <c r="F34" s="6" t="n"/>
      <c r="G34" s="6" t="inlineStr">
        <is>
          <t>16.42%</t>
        </is>
      </c>
      <c r="H34" s="6" t="inlineStr">
        <is>
          <t>16.3%</t>
        </is>
      </c>
      <c r="I34" s="6" t="inlineStr">
        <is>
          <t>20.7%</t>
        </is>
      </c>
      <c r="J34" s="6" t="inlineStr">
        <is>
          <t>21.0%</t>
        </is>
      </c>
      <c r="K34" s="6" t="inlineStr">
        <is>
          <t>18.2%</t>
        </is>
      </c>
      <c r="L34" s="6" t="inlineStr">
        <is>
          <t>24.4%</t>
        </is>
      </c>
      <c r="M34" s="6" t="inlineStr">
        <is>
          <t>25.4%</t>
        </is>
      </c>
    </row>
    <row r="35">
      <c r="A35" s="6" t="inlineStr">
        <is>
          <t>Leverage ratio</t>
        </is>
      </c>
      <c r="B35" s="6" t="n"/>
      <c r="C35" s="6" t="n"/>
      <c r="D35" s="6" t="n"/>
      <c r="E35" s="6" t="n"/>
      <c r="F35" s="6" t="n"/>
      <c r="G35" s="6" t="inlineStr">
        <is>
          <t>6.1%</t>
        </is>
      </c>
      <c r="H35" s="6" t="inlineStr">
        <is>
          <t>6.3%</t>
        </is>
      </c>
      <c r="I35" s="6" t="inlineStr">
        <is>
          <t>6.9%</t>
        </is>
      </c>
      <c r="J35" s="6" t="inlineStr">
        <is>
          <t>5.8%</t>
        </is>
      </c>
      <c r="K35" s="6" t="inlineStr">
        <is>
          <t>4.7%</t>
        </is>
      </c>
      <c r="L35" s="6" t="inlineStr">
        <is>
          <t>6.0%</t>
        </is>
      </c>
      <c r="M35" s="6" t="inlineStr">
        <is>
          <t>6.1%</t>
        </is>
      </c>
    </row>
    <row r="37" ht="45" customHeight="1">
      <c r="A37" s="7" t="inlineStr">
        <is>
          <t>Note: This batch (HD-051) found real Pillar 3 capital/leverage ratios for FY2014-FY2020 (see the individual Pillar 3 sheets) - shown here even though FY2021-FY2025 have none disclosed (a prior sourcing note claiming no ratio-type Pillar 3 metric exists in any year was wrong; corrected on each affected sheet, see the Cash Flow Statement sheet's source note). CET1 Capital, Tier 1 Capital and Total Capital (£'000) are disclosed for FY2014-FY2020 and FY2023-FY2024 - see their own sheets. Cash flow figures are duplicated from the Cash Flow Statement sheet for at-a-glance trend viewing.</t>
        </is>
      </c>
    </row>
  </sheetData>
  <mergeCells count="1">
    <mergeCell ref="A37:M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Cynergy Bank Plc — Consolidated Statement of Financial Position</t>
        </is>
      </c>
    </row>
    <row r="2">
      <c r="A2" s="2" t="inlineStr">
        <is>
          <t>Consolidated basis, £'000. See source note at bottom (presentation changes documented).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Assets</t>
        </is>
      </c>
      <c r="B4" s="6" t="n"/>
      <c r="C4" s="6" t="n"/>
      <c r="D4" s="6" t="n"/>
      <c r="E4" s="6" t="n"/>
      <c r="F4" s="6" t="n"/>
      <c r="G4" s="6" t="n"/>
      <c r="H4" s="6" t="n"/>
      <c r="I4" s="6" t="n"/>
      <c r="J4" s="6" t="n"/>
      <c r="K4" s="6" t="n"/>
      <c r="L4" s="6" t="n"/>
      <c r="M4" s="6" t="n"/>
      <c r="N4" s="6" t="n"/>
    </row>
    <row r="5">
      <c r="A5" s="6" t="inlineStr">
        <is>
          <t>Cash and balances with central banks</t>
        </is>
      </c>
      <c r="B5" s="6" t="n">
        <v>575031</v>
      </c>
      <c r="C5" s="6" t="n">
        <v>1014572</v>
      </c>
      <c r="D5" s="6" t="n">
        <v>697790</v>
      </c>
      <c r="E5" s="6" t="n">
        <v>553007</v>
      </c>
      <c r="F5" s="6" t="n">
        <v>324982</v>
      </c>
      <c r="G5" s="6" t="n">
        <v>246256</v>
      </c>
      <c r="H5" s="6" t="n">
        <v>111754</v>
      </c>
      <c r="I5" s="6" t="n">
        <v>196454</v>
      </c>
      <c r="J5" s="6" t="n">
        <v>358724</v>
      </c>
      <c r="K5" s="6" t="n">
        <v>205062</v>
      </c>
      <c r="L5" s="6" t="n">
        <v>228858</v>
      </c>
      <c r="M5" s="6" t="n">
        <v>367398</v>
      </c>
      <c r="N5" s="6" t="n">
        <v>468784</v>
      </c>
    </row>
    <row r="6">
      <c r="A6" s="6" t="inlineStr">
        <is>
          <t>Placements with banks</t>
        </is>
      </c>
      <c r="B6" s="6" t="n">
        <v>36872</v>
      </c>
      <c r="C6" s="6" t="n">
        <v>44279</v>
      </c>
      <c r="D6" s="6" t="n">
        <v>63156</v>
      </c>
      <c r="E6" s="6" t="n">
        <v>102320</v>
      </c>
      <c r="F6" s="6" t="n">
        <v>54529</v>
      </c>
      <c r="G6" s="6" t="n">
        <v>44784</v>
      </c>
      <c r="H6" s="6" t="n">
        <v>63265</v>
      </c>
      <c r="I6" s="6" t="n">
        <v>55538</v>
      </c>
      <c r="J6" s="6" t="n">
        <v>32625</v>
      </c>
      <c r="K6" s="6" t="n">
        <v>67948</v>
      </c>
      <c r="L6" s="6" t="n">
        <v>83373</v>
      </c>
      <c r="M6" s="6" t="n">
        <v>58528</v>
      </c>
      <c r="N6" s="6" t="n">
        <v>47519</v>
      </c>
    </row>
    <row r="7">
      <c r="A7" s="6" t="inlineStr">
        <is>
          <t>Placements with related entities</t>
        </is>
      </c>
      <c r="B7" s="6" t="n"/>
      <c r="C7" s="6" t="n"/>
      <c r="D7" s="6" t="n"/>
      <c r="E7" s="6" t="n"/>
      <c r="F7" s="6" t="n"/>
      <c r="G7" s="6" t="n"/>
      <c r="H7" s="6" t="n"/>
      <c r="I7" s="6" t="n"/>
      <c r="J7" s="6" t="n">
        <v>25226</v>
      </c>
      <c r="K7" s="6" t="n">
        <v>24949</v>
      </c>
      <c r="L7" s="6" t="n">
        <v>21127</v>
      </c>
      <c r="M7" s="6" t="n">
        <v>9555</v>
      </c>
      <c r="N7" s="6" t="n">
        <v>9916</v>
      </c>
    </row>
    <row r="8">
      <c r="A8" s="6" t="inlineStr">
        <is>
          <t>Investment in subsidiary</t>
        </is>
      </c>
      <c r="B8" s="6" t="n"/>
      <c r="C8" s="6" t="n"/>
      <c r="D8" s="6" t="n"/>
      <c r="E8" s="6" t="n"/>
      <c r="F8" s="6" t="n"/>
      <c r="G8" s="6" t="n"/>
      <c r="H8" s="6" t="n">
        <v>10</v>
      </c>
      <c r="I8" s="6" t="n">
        <v>10</v>
      </c>
      <c r="J8" s="6" t="n">
        <v>400</v>
      </c>
      <c r="K8" s="6" t="n">
        <v>400</v>
      </c>
      <c r="L8" s="6" t="n">
        <v>400</v>
      </c>
      <c r="M8" s="6" t="n">
        <v>400</v>
      </c>
      <c r="N8" s="6" t="n">
        <v>400</v>
      </c>
    </row>
    <row r="9">
      <c r="A9" s="6" t="inlineStr">
        <is>
          <t>Loans and advances to customers</t>
        </is>
      </c>
      <c r="B9" s="6" t="n">
        <v>3745133</v>
      </c>
      <c r="C9" s="6" t="n">
        <v>3653477</v>
      </c>
      <c r="D9" s="6" t="n">
        <v>3564297</v>
      </c>
      <c r="E9" s="6" t="n">
        <v>3254230</v>
      </c>
      <c r="F9" s="6" t="n">
        <v>2949578</v>
      </c>
      <c r="G9" s="6" t="n">
        <v>2613962</v>
      </c>
      <c r="H9" s="6" t="n">
        <v>2264381</v>
      </c>
      <c r="I9" s="6" t="n">
        <v>1668923</v>
      </c>
      <c r="J9" s="6" t="n">
        <v>1407200</v>
      </c>
      <c r="K9" s="6" t="n">
        <v>1083922</v>
      </c>
      <c r="L9" s="6" t="n">
        <v>820807</v>
      </c>
      <c r="M9" s="6" t="n">
        <v>617976</v>
      </c>
      <c r="N9" s="6" t="n">
        <v>550494</v>
      </c>
    </row>
    <row r="10">
      <c r="A10" s="6" t="inlineStr">
        <is>
          <t>Investment in securities</t>
        </is>
      </c>
      <c r="B10" s="6" t="n">
        <v>1080929</v>
      </c>
      <c r="C10" s="6" t="n">
        <v>252914</v>
      </c>
      <c r="D10" s="6" t="n">
        <v>127547</v>
      </c>
      <c r="E10" s="6" t="n">
        <v>113377</v>
      </c>
      <c r="F10" s="6" t="n">
        <v>137782</v>
      </c>
      <c r="G10" s="6" t="n"/>
      <c r="H10" s="6" t="n"/>
      <c r="I10" s="6" t="n"/>
      <c r="J10" s="6" t="n"/>
      <c r="K10" s="6" t="n"/>
      <c r="L10" s="6" t="n"/>
      <c r="M10" s="6" t="n"/>
      <c r="N10" s="6" t="n"/>
    </row>
    <row r="11">
      <c r="A11" s="6" t="inlineStr">
        <is>
          <t>Derivative assets</t>
        </is>
      </c>
      <c r="B11" s="6" t="n">
        <v>1843</v>
      </c>
      <c r="C11" s="6" t="n">
        <v>6404</v>
      </c>
      <c r="D11" s="6" t="n">
        <v>4512</v>
      </c>
      <c r="E11" s="6" t="n">
        <v>12404</v>
      </c>
      <c r="F11" s="6" t="n">
        <v>54</v>
      </c>
      <c r="G11" s="6" t="n">
        <v>31</v>
      </c>
      <c r="H11" s="6" t="n"/>
      <c r="I11" s="6" t="n"/>
      <c r="J11" s="6" t="n"/>
      <c r="K11" s="6" t="n"/>
      <c r="L11" s="6" t="n"/>
      <c r="M11" s="6" t="n"/>
      <c r="N11" s="6" t="n"/>
    </row>
    <row r="12">
      <c r="A12" s="6" t="inlineStr">
        <is>
          <t>Intangible assets</t>
        </is>
      </c>
      <c r="B12" s="6" t="n">
        <v>78293</v>
      </c>
      <c r="C12" s="6" t="n">
        <v>63455</v>
      </c>
      <c r="D12" s="6" t="n">
        <v>49303</v>
      </c>
      <c r="E12" s="6" t="n">
        <v>27469</v>
      </c>
      <c r="F12" s="6" t="n">
        <v>26513</v>
      </c>
      <c r="G12" s="6" t="n">
        <v>19712</v>
      </c>
      <c r="H12" s="6" t="n">
        <v>9804</v>
      </c>
      <c r="I12" s="6" t="n">
        <v>1010</v>
      </c>
      <c r="J12" s="6" t="n">
        <v>1623</v>
      </c>
      <c r="K12" s="6" t="n">
        <v>840</v>
      </c>
      <c r="L12" s="6" t="n">
        <v>640</v>
      </c>
      <c r="M12" s="6" t="n">
        <v>683</v>
      </c>
      <c r="N12" s="6" t="n">
        <v>510</v>
      </c>
    </row>
    <row r="13">
      <c r="A13" s="6" t="inlineStr">
        <is>
          <t>Right-of-use assets</t>
        </is>
      </c>
      <c r="B13" s="6" t="n">
        <v>9918</v>
      </c>
      <c r="C13" s="6" t="n">
        <v>11060</v>
      </c>
      <c r="D13" s="6" t="n">
        <v>11553</v>
      </c>
      <c r="E13" s="6" t="n">
        <v>11891</v>
      </c>
      <c r="F13" s="6" t="n">
        <v>220</v>
      </c>
      <c r="G13" s="6" t="n">
        <v>242</v>
      </c>
      <c r="H13" s="6" t="n">
        <v>87</v>
      </c>
      <c r="I13" s="6" t="n"/>
      <c r="J13" s="6" t="n"/>
      <c r="K13" s="6" t="n"/>
      <c r="L13" s="6" t="n"/>
      <c r="M13" s="6" t="n"/>
      <c r="N13" s="6" t="n"/>
    </row>
    <row r="14">
      <c r="A14" s="6" t="inlineStr">
        <is>
          <t>Property and equipment</t>
        </is>
      </c>
      <c r="B14" s="6" t="n">
        <v>3080</v>
      </c>
      <c r="C14" s="6" t="n">
        <v>7934</v>
      </c>
      <c r="D14" s="6" t="n">
        <v>3861</v>
      </c>
      <c r="E14" s="6" t="n">
        <v>914</v>
      </c>
      <c r="F14" s="6" t="n">
        <v>12875</v>
      </c>
      <c r="G14" s="6" t="n">
        <v>13573</v>
      </c>
      <c r="H14" s="6" t="n">
        <v>7514</v>
      </c>
      <c r="I14" s="6" t="n">
        <v>15652</v>
      </c>
      <c r="J14" s="6" t="n">
        <v>15773</v>
      </c>
      <c r="K14" s="6" t="n">
        <v>16445</v>
      </c>
      <c r="L14" s="6" t="n">
        <v>11178</v>
      </c>
      <c r="M14" s="6" t="n">
        <v>12085</v>
      </c>
      <c r="N14" s="6" t="n">
        <v>9315</v>
      </c>
    </row>
    <row r="15">
      <c r="A15" s="6" t="inlineStr">
        <is>
          <t>Assets classified as held for sale</t>
        </is>
      </c>
      <c r="B15" s="6" t="n"/>
      <c r="C15" s="6" t="n"/>
      <c r="D15" s="6" t="n">
        <v>7070</v>
      </c>
      <c r="E15" s="6" t="n">
        <v>7070</v>
      </c>
      <c r="F15" s="6" t="n"/>
      <c r="G15" s="6" t="n"/>
      <c r="H15" s="6" t="n">
        <v>8819</v>
      </c>
      <c r="I15" s="6" t="n"/>
      <c r="J15" s="6" t="n"/>
      <c r="K15" s="6" t="n"/>
      <c r="L15" s="6" t="n"/>
      <c r="M15" s="6" t="n"/>
      <c r="N15" s="6" t="n"/>
    </row>
    <row r="16">
      <c r="A16" s="6" t="inlineStr">
        <is>
          <t>Other assets</t>
        </is>
      </c>
      <c r="B16" s="6" t="n">
        <v>58369</v>
      </c>
      <c r="C16" s="6" t="n">
        <v>44405</v>
      </c>
      <c r="D16" s="6" t="n">
        <v>82142</v>
      </c>
      <c r="E16" s="6" t="n">
        <v>42031</v>
      </c>
      <c r="F16" s="6" t="n">
        <v>11501</v>
      </c>
      <c r="G16" s="6" t="n">
        <v>4886</v>
      </c>
      <c r="H16" s="6" t="n">
        <v>6270</v>
      </c>
      <c r="I16" s="6" t="n">
        <v>17433</v>
      </c>
      <c r="J16" s="6" t="n">
        <v>35547</v>
      </c>
      <c r="K16" s="6" t="n">
        <v>3411</v>
      </c>
      <c r="L16" s="6" t="n">
        <v>2480</v>
      </c>
      <c r="M16" s="6" t="n">
        <v>2418</v>
      </c>
      <c r="N16" s="6" t="n">
        <v>3899</v>
      </c>
    </row>
    <row r="17">
      <c r="A17" s="6" t="inlineStr">
        <is>
          <t>Current tax assets</t>
        </is>
      </c>
      <c r="B17" s="6" t="n">
        <v>7854</v>
      </c>
      <c r="C17" s="6" t="n"/>
      <c r="D17" s="6" t="n"/>
      <c r="E17" s="6" t="n"/>
      <c r="F17" s="6" t="n"/>
      <c r="G17" s="6" t="n"/>
      <c r="H17" s="6" t="n"/>
      <c r="I17" s="6" t="n"/>
      <c r="J17" s="6" t="n"/>
      <c r="K17" s="6" t="n"/>
      <c r="L17" s="6" t="n"/>
      <c r="M17" s="6" t="n"/>
      <c r="N17" s="6" t="n"/>
    </row>
    <row r="18">
      <c r="A18" s="5" t="inlineStr">
        <is>
          <t>Total assets</t>
        </is>
      </c>
      <c r="B18" s="5" t="n">
        <v>5597322</v>
      </c>
      <c r="C18" s="5" t="n">
        <v>5098500</v>
      </c>
      <c r="D18" s="5" t="n">
        <v>4611231</v>
      </c>
      <c r="E18" s="5" t="n">
        <v>4124713</v>
      </c>
      <c r="F18" s="5" t="n">
        <v>3518034</v>
      </c>
      <c r="G18" s="5" t="n">
        <v>2943446</v>
      </c>
      <c r="H18" s="5" t="n">
        <v>2471904</v>
      </c>
      <c r="I18" s="5" t="n">
        <v>1955020</v>
      </c>
      <c r="J18" s="5" t="n">
        <v>1877118</v>
      </c>
      <c r="K18" s="5" t="n">
        <v>1402977</v>
      </c>
      <c r="L18" s="5" t="n">
        <v>1168863</v>
      </c>
      <c r="M18" s="5" t="n">
        <v>1069043</v>
      </c>
      <c r="N18" s="5" t="n">
        <v>1090837</v>
      </c>
    </row>
    <row r="19">
      <c r="A19" s="5" t="inlineStr">
        <is>
          <t>Liabilities</t>
        </is>
      </c>
      <c r="B19" s="6" t="n"/>
      <c r="C19" s="6" t="n"/>
      <c r="D19" s="6" t="n"/>
      <c r="E19" s="6" t="n"/>
      <c r="F19" s="6" t="n"/>
      <c r="G19" s="6" t="n"/>
      <c r="H19" s="6" t="n"/>
      <c r="I19" s="6" t="n"/>
      <c r="J19" s="6" t="n"/>
      <c r="K19" s="6" t="n"/>
      <c r="L19" s="6" t="n"/>
      <c r="M19" s="6" t="n"/>
      <c r="N19" s="6" t="n"/>
    </row>
    <row r="20">
      <c r="A20" s="6" t="inlineStr">
        <is>
          <t>Placements by related entities</t>
        </is>
      </c>
      <c r="B20" s="6" t="n"/>
      <c r="C20" s="6" t="n"/>
      <c r="D20" s="6" t="n"/>
      <c r="E20" s="6" t="n"/>
      <c r="F20" s="6" t="n"/>
      <c r="G20" s="6" t="n"/>
      <c r="H20" s="6" t="n"/>
      <c r="I20" s="6" t="n"/>
      <c r="J20" s="6" t="n">
        <v>26605</v>
      </c>
      <c r="K20" s="6" t="n">
        <v>28381</v>
      </c>
      <c r="L20" s="6" t="n">
        <v>24216</v>
      </c>
      <c r="M20" s="6" t="n">
        <v>13123</v>
      </c>
      <c r="N20" s="6" t="n">
        <v>13570</v>
      </c>
    </row>
    <row r="21">
      <c r="A21" s="6" t="inlineStr">
        <is>
          <t>Amounts due to banks</t>
        </is>
      </c>
      <c r="B21" s="6" t="n"/>
      <c r="C21" s="6" t="n"/>
      <c r="D21" s="6" t="n"/>
      <c r="E21" s="6" t="n"/>
      <c r="F21" s="6" t="n"/>
      <c r="G21" s="6" t="n"/>
      <c r="H21" s="6" t="n"/>
      <c r="I21" s="6" t="n"/>
      <c r="J21" s="6" t="n"/>
      <c r="K21" s="6" t="n">
        <v>0</v>
      </c>
      <c r="L21" s="6" t="n">
        <v>7</v>
      </c>
      <c r="M21" s="6" t="n">
        <v>10</v>
      </c>
      <c r="N21" s="6" t="n">
        <v>1006</v>
      </c>
    </row>
    <row r="22">
      <c r="A22" s="6" t="inlineStr">
        <is>
          <t>Customer deposits</t>
        </is>
      </c>
      <c r="B22" s="6" t="n">
        <v>4910863</v>
      </c>
      <c r="C22" s="6" t="n">
        <v>4492026</v>
      </c>
      <c r="D22" s="6" t="n">
        <v>3758037</v>
      </c>
      <c r="E22" s="6" t="n">
        <v>3336442</v>
      </c>
      <c r="F22" s="6" t="n">
        <v>2832564</v>
      </c>
      <c r="G22" s="6" t="n">
        <v>2352241</v>
      </c>
      <c r="H22" s="6" t="n">
        <v>2227678</v>
      </c>
      <c r="I22" s="6" t="n">
        <v>1762654</v>
      </c>
      <c r="J22" s="6" t="n">
        <v>1656975</v>
      </c>
      <c r="K22" s="6" t="n">
        <v>1257403</v>
      </c>
      <c r="L22" s="6" t="n">
        <v>1038348</v>
      </c>
      <c r="M22" s="6" t="n">
        <v>955464</v>
      </c>
      <c r="N22" s="6" t="n">
        <v>980845</v>
      </c>
    </row>
    <row r="23">
      <c r="A23" s="6" t="inlineStr">
        <is>
          <t>Bank deposits</t>
        </is>
      </c>
      <c r="B23" s="6" t="n">
        <v>85131</v>
      </c>
      <c r="C23" s="6" t="n">
        <v>80924</v>
      </c>
      <c r="D23" s="6" t="n">
        <v>359667</v>
      </c>
      <c r="E23" s="6" t="n">
        <v>390170</v>
      </c>
      <c r="F23" s="6" t="n">
        <v>400125</v>
      </c>
      <c r="G23" s="6" t="n">
        <v>340131</v>
      </c>
      <c r="H23" s="6" t="n">
        <v>25063</v>
      </c>
      <c r="I23" s="6" t="n">
        <v>240</v>
      </c>
      <c r="J23" s="6" t="n"/>
      <c r="K23" s="6" t="n"/>
      <c r="L23" s="6" t="n"/>
      <c r="M23" s="6" t="n"/>
      <c r="N23" s="6" t="n"/>
    </row>
    <row r="24">
      <c r="A24" s="6" t="inlineStr">
        <is>
          <t>Subordinated loan(s)</t>
        </is>
      </c>
      <c r="B24" s="6" t="n">
        <v>49805</v>
      </c>
      <c r="C24" s="6" t="n">
        <v>14881</v>
      </c>
      <c r="D24" s="6" t="n">
        <v>14847</v>
      </c>
      <c r="E24" s="6" t="n">
        <v>0</v>
      </c>
      <c r="F24" s="6" t="n">
        <v>29868</v>
      </c>
      <c r="G24" s="6" t="n">
        <v>29744</v>
      </c>
      <c r="H24" s="6" t="n">
        <v>29629</v>
      </c>
      <c r="I24" s="6" t="n">
        <v>29524</v>
      </c>
      <c r="J24" s="6" t="n">
        <v>29537</v>
      </c>
      <c r="K24" s="6" t="n">
        <v>30061</v>
      </c>
      <c r="L24" s="6" t="n">
        <v>30062</v>
      </c>
      <c r="M24" s="6" t="n">
        <v>30062</v>
      </c>
      <c r="N24" s="6" t="n">
        <v>30056</v>
      </c>
    </row>
    <row r="25">
      <c r="A25" s="6" t="inlineStr">
        <is>
          <t>Lease liabilities</t>
        </is>
      </c>
      <c r="B25" s="6" t="n">
        <v>10690</v>
      </c>
      <c r="C25" s="6" t="n">
        <v>11895</v>
      </c>
      <c r="D25" s="6" t="n">
        <v>12873</v>
      </c>
      <c r="E25" s="6" t="n">
        <v>12065</v>
      </c>
      <c r="F25" s="6" t="n">
        <v>278</v>
      </c>
      <c r="G25" s="6" t="n">
        <v>261</v>
      </c>
      <c r="H25" s="6" t="n">
        <v>110</v>
      </c>
      <c r="I25" s="6" t="n"/>
      <c r="J25" s="6" t="n"/>
      <c r="K25" s="6" t="n"/>
      <c r="L25" s="6" t="n"/>
      <c r="M25" s="6" t="n"/>
      <c r="N25" s="6" t="n"/>
    </row>
    <row r="26">
      <c r="A26" s="6" t="inlineStr">
        <is>
          <t>Provision for customer redress</t>
        </is>
      </c>
      <c r="B26" s="6" t="n"/>
      <c r="C26" s="6" t="n"/>
      <c r="D26" s="6" t="n"/>
      <c r="E26" s="6" t="n">
        <v>716</v>
      </c>
      <c r="F26" s="6" t="n">
        <v>261</v>
      </c>
      <c r="G26" s="6" t="n">
        <v>132</v>
      </c>
      <c r="H26" s="6" t="n">
        <v>1164</v>
      </c>
      <c r="I26" s="6" t="n">
        <v>12221</v>
      </c>
      <c r="J26" s="6" t="n">
        <v>41516</v>
      </c>
      <c r="K26" s="6" t="n">
        <v>14910</v>
      </c>
      <c r="L26" s="6" t="n"/>
      <c r="M26" s="6" t="n"/>
      <c r="N26" s="6" t="n"/>
    </row>
    <row r="27">
      <c r="A27" s="6" t="inlineStr">
        <is>
          <t>Deferred tax liabilities</t>
        </is>
      </c>
      <c r="B27" s="6" t="n">
        <v>11526</v>
      </c>
      <c r="C27" s="6" t="n"/>
      <c r="D27" s="6" t="n"/>
      <c r="E27" s="6" t="n"/>
      <c r="F27" s="6" t="n"/>
      <c r="G27" s="6" t="n"/>
      <c r="H27" s="6" t="n"/>
      <c r="I27" s="6" t="n"/>
      <c r="J27" s="6" t="n"/>
      <c r="K27" s="6" t="n"/>
      <c r="L27" s="6" t="n"/>
      <c r="M27" s="6" t="n"/>
      <c r="N27" s="6" t="n"/>
    </row>
    <row r="28">
      <c r="A28" s="6" t="inlineStr">
        <is>
          <t>Derivative liabilities</t>
        </is>
      </c>
      <c r="B28" s="6" t="n">
        <v>14563</v>
      </c>
      <c r="C28" s="6" t="n">
        <v>11478</v>
      </c>
      <c r="D28" s="6" t="n">
        <v>32374</v>
      </c>
      <c r="E28" s="6" t="n">
        <v>3838</v>
      </c>
      <c r="F28" s="6" t="n">
        <v>429</v>
      </c>
      <c r="G28" s="6" t="n">
        <v>772</v>
      </c>
      <c r="H28" s="6" t="n"/>
      <c r="I28" s="6" t="n"/>
      <c r="J28" s="6" t="n"/>
      <c r="K28" s="6" t="n"/>
      <c r="L28" s="6" t="n"/>
      <c r="M28" s="6" t="n"/>
      <c r="N28" s="6" t="n"/>
    </row>
    <row r="29">
      <c r="A29" s="6" t="inlineStr">
        <is>
          <t>Other liabilities</t>
        </is>
      </c>
      <c r="B29" s="6" t="n">
        <v>88515</v>
      </c>
      <c r="C29" s="6" t="n">
        <v>99440</v>
      </c>
      <c r="D29" s="6" t="n">
        <v>83883</v>
      </c>
      <c r="E29" s="6" t="n">
        <v>72036</v>
      </c>
      <c r="F29" s="6" t="n">
        <v>33793</v>
      </c>
      <c r="G29" s="6" t="n">
        <v>24378</v>
      </c>
      <c r="H29" s="6" t="n">
        <v>21810</v>
      </c>
      <c r="I29" s="6" t="n">
        <v>13050</v>
      </c>
      <c r="J29" s="6" t="n">
        <v>9767</v>
      </c>
      <c r="K29" s="6" t="n">
        <v>6365</v>
      </c>
      <c r="L29" s="6" t="n">
        <v>6410</v>
      </c>
      <c r="M29" s="6" t="n">
        <v>4168</v>
      </c>
      <c r="N29" s="6" t="n">
        <v>5777</v>
      </c>
    </row>
    <row r="30">
      <c r="A30" s="5" t="inlineStr">
        <is>
          <t>Total liabilities</t>
        </is>
      </c>
      <c r="B30" s="5" t="n">
        <v>5171093</v>
      </c>
      <c r="C30" s="5" t="n">
        <v>4710644</v>
      </c>
      <c r="D30" s="5" t="n">
        <v>4261681</v>
      </c>
      <c r="E30" s="5" t="n">
        <v>3815267</v>
      </c>
      <c r="F30" s="5" t="n">
        <v>3297318</v>
      </c>
      <c r="G30" s="5" t="n">
        <v>2747659</v>
      </c>
      <c r="H30" s="5" t="n">
        <v>2305254</v>
      </c>
      <c r="I30" s="5" t="n">
        <v>1817689</v>
      </c>
      <c r="J30" s="5" t="n">
        <v>1764400</v>
      </c>
      <c r="K30" s="5" t="n">
        <v>1337120</v>
      </c>
      <c r="L30" s="5" t="n">
        <v>1099043</v>
      </c>
      <c r="M30" s="5" t="n">
        <v>1002827</v>
      </c>
      <c r="N30" s="5" t="n">
        <v>1031254</v>
      </c>
    </row>
    <row r="31">
      <c r="A31" s="5" t="inlineStr">
        <is>
          <t>Equity</t>
        </is>
      </c>
      <c r="B31" s="6" t="n"/>
      <c r="C31" s="6" t="n"/>
      <c r="D31" s="6" t="n"/>
      <c r="E31" s="6" t="n"/>
      <c r="F31" s="6" t="n"/>
      <c r="G31" s="6" t="n"/>
      <c r="H31" s="6" t="n"/>
      <c r="I31" s="6" t="n"/>
      <c r="J31" s="6" t="n"/>
      <c r="K31" s="6" t="n"/>
      <c r="L31" s="6" t="n"/>
      <c r="M31" s="6" t="n"/>
      <c r="N31" s="6" t="n"/>
    </row>
    <row r="32">
      <c r="A32" s="6" t="inlineStr">
        <is>
          <t>Share capital</t>
        </is>
      </c>
      <c r="B32" s="6" t="n">
        <v>202000</v>
      </c>
      <c r="C32" s="6" t="n">
        <v>202000</v>
      </c>
      <c r="D32" s="6" t="n">
        <v>202000</v>
      </c>
      <c r="E32" s="6" t="n">
        <v>202000</v>
      </c>
      <c r="F32" s="6" t="n">
        <v>155000</v>
      </c>
      <c r="G32" s="6" t="n">
        <v>155000</v>
      </c>
      <c r="H32" s="6" t="n">
        <v>146000</v>
      </c>
      <c r="I32" s="6" t="n">
        <v>131000</v>
      </c>
      <c r="J32" s="6" t="n">
        <v>111000</v>
      </c>
      <c r="K32" s="6" t="n">
        <v>65000</v>
      </c>
      <c r="L32" s="6" t="n">
        <v>65000</v>
      </c>
      <c r="M32" s="6" t="n">
        <v>65000</v>
      </c>
      <c r="N32" s="6" t="n">
        <v>65000</v>
      </c>
    </row>
    <row r="33">
      <c r="A33" s="6" t="inlineStr">
        <is>
          <t>Property revaluation reserve</t>
        </is>
      </c>
      <c r="B33" s="6" t="n"/>
      <c r="C33" s="6" t="n">
        <v>505</v>
      </c>
      <c r="D33" s="6" t="n">
        <v>2433</v>
      </c>
      <c r="E33" s="6" t="n">
        <v>3148</v>
      </c>
      <c r="F33" s="6" t="n">
        <v>1674</v>
      </c>
      <c r="G33" s="6" t="n">
        <v>1674</v>
      </c>
      <c r="H33" s="6" t="n">
        <v>2435</v>
      </c>
      <c r="I33" s="6" t="n">
        <v>1306</v>
      </c>
      <c r="J33" s="6" t="n">
        <v>8389</v>
      </c>
      <c r="K33" s="6" t="n">
        <v>8389</v>
      </c>
      <c r="L33" s="6" t="n">
        <v>3332</v>
      </c>
      <c r="M33" s="6" t="n">
        <v>3332</v>
      </c>
      <c r="N33" s="6" t="n"/>
    </row>
    <row r="34">
      <c r="A34" s="6" t="inlineStr">
        <is>
          <t>Accumulated profits</t>
        </is>
      </c>
      <c r="B34" s="6" t="n">
        <v>222240</v>
      </c>
      <c r="C34" s="6" t="n">
        <v>184557</v>
      </c>
      <c r="D34" s="6" t="n">
        <v>145003</v>
      </c>
      <c r="E34" s="6" t="n">
        <v>104490</v>
      </c>
      <c r="F34" s="6" t="n">
        <v>64191</v>
      </c>
      <c r="G34" s="6" t="n">
        <v>39113</v>
      </c>
      <c r="H34" s="6" t="n">
        <v>18215</v>
      </c>
      <c r="I34" s="6" t="n">
        <v>5025</v>
      </c>
      <c r="J34" s="6" t="n">
        <v>-6671</v>
      </c>
      <c r="K34" s="6" t="n">
        <v>-7532</v>
      </c>
      <c r="L34" s="6" t="n">
        <v>1488</v>
      </c>
      <c r="M34" s="6" t="n">
        <v>-2116</v>
      </c>
      <c r="N34" s="6" t="n">
        <v>-5417</v>
      </c>
    </row>
    <row r="35">
      <c r="A35" s="5" t="inlineStr">
        <is>
          <t>Equity attributable to owners of the company</t>
        </is>
      </c>
      <c r="B35" s="5" t="n">
        <v>424240</v>
      </c>
      <c r="C35" s="5" t="n">
        <v>387062</v>
      </c>
      <c r="D35" s="5" t="n">
        <v>349436</v>
      </c>
      <c r="E35" s="5" t="n">
        <v>309638</v>
      </c>
      <c r="F35" s="5" t="n">
        <v>220865</v>
      </c>
      <c r="G35" s="5" t="n">
        <v>195787</v>
      </c>
      <c r="H35" s="5" t="n">
        <v>166650</v>
      </c>
      <c r="I35" s="5" t="n">
        <v>137331</v>
      </c>
      <c r="J35" s="5" t="n">
        <v>112718</v>
      </c>
      <c r="K35" s="5" t="n">
        <v>65857</v>
      </c>
      <c r="L35" s="5" t="n">
        <v>69820</v>
      </c>
      <c r="M35" s="5" t="n">
        <v>66216</v>
      </c>
      <c r="N35" s="5" t="n">
        <v>59583</v>
      </c>
    </row>
    <row r="36">
      <c r="A36" s="6" t="inlineStr">
        <is>
          <t>Non-controlling interest</t>
        </is>
      </c>
      <c r="B36" s="6" t="n">
        <v>1989</v>
      </c>
      <c r="C36" s="6" t="n">
        <v>794</v>
      </c>
      <c r="D36" s="6" t="n">
        <v>114</v>
      </c>
      <c r="E36" s="6" t="n">
        <v>-192</v>
      </c>
      <c r="F36" s="6" t="n">
        <v>-149</v>
      </c>
      <c r="G36" s="6" t="n"/>
      <c r="H36" s="6" t="n"/>
      <c r="I36" s="6" t="n"/>
      <c r="J36" s="6" t="n"/>
      <c r="K36" s="6" t="n"/>
      <c r="L36" s="6" t="n"/>
      <c r="M36" s="6" t="n"/>
      <c r="N36" s="6" t="n"/>
    </row>
    <row r="37">
      <c r="A37" s="5" t="inlineStr">
        <is>
          <t>Total equity</t>
        </is>
      </c>
      <c r="B37" s="5" t="n">
        <v>426229</v>
      </c>
      <c r="C37" s="5" t="n">
        <v>387856</v>
      </c>
      <c r="D37" s="5" t="n">
        <v>349550</v>
      </c>
      <c r="E37" s="5" t="n">
        <v>309446</v>
      </c>
      <c r="F37" s="5" t="n">
        <v>220716</v>
      </c>
      <c r="G37" s="5" t="n">
        <v>195787</v>
      </c>
      <c r="H37" s="5" t="n">
        <v>166650</v>
      </c>
      <c r="I37" s="5" t="n">
        <v>137331</v>
      </c>
      <c r="J37" s="5" t="n">
        <v>112718</v>
      </c>
      <c r="K37" s="5" t="n">
        <v>65857</v>
      </c>
      <c r="L37" s="5" t="n">
        <v>69820</v>
      </c>
      <c r="M37" s="5" t="n">
        <v>66216</v>
      </c>
      <c r="N37" s="5" t="n">
        <v>59583</v>
      </c>
    </row>
    <row r="38">
      <c r="A38" s="5" t="inlineStr">
        <is>
          <t>Total liabilities and equity</t>
        </is>
      </c>
      <c r="B38" s="5" t="n">
        <v>5597322</v>
      </c>
      <c r="C38" s="5" t="n">
        <v>5098500</v>
      </c>
      <c r="D38" s="5" t="n">
        <v>4611231</v>
      </c>
      <c r="E38" s="5" t="n">
        <v>4124713</v>
      </c>
      <c r="F38" s="5" t="n">
        <v>3518034</v>
      </c>
      <c r="G38" s="5" t="n">
        <v>2943446</v>
      </c>
      <c r="H38" s="5" t="n">
        <v>2471904</v>
      </c>
      <c r="I38" s="5" t="n">
        <v>1955020</v>
      </c>
      <c r="J38" s="5" t="n">
        <v>1877118</v>
      </c>
      <c r="K38" s="5" t="n">
        <v>1402977</v>
      </c>
      <c r="L38" s="5" t="n">
        <v>1168863</v>
      </c>
      <c r="M38" s="5" t="n">
        <v>1069043</v>
      </c>
      <c r="N38" s="5" t="n">
        <v>1090837</v>
      </c>
    </row>
    <row r="40" ht="320" customHeight="1">
      <c r="A40"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FY2013 (own): Bank of Cyprus UK Limited Annual Report &amp; Accounts 2013 (Companies House filing, scanned), p.10-12,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
HD-072 (statutory statements extended to FY2013): FY2013 is the real statutory floor for this entity (per HD-002's deep dive) - Bank of Cyprus UK Limited was incorporated 9 Apr 2003 as 'Bank of Cyprus Advances Limited' but only became an independently-capitalised subsidiary (rather than a UK branch of the Cyprus parent) on 25 June 2012, so no earlier year has a comparable standalone statutory statement - FY2012 itself is a part-year (25 Jun-31 Dec 2012) stub and is not usable as a prior year. FY2013's own Statement of financial position has no 'Property revaluation reserve' line at all (the reserve first appears in FY2014's own accounts, at £3,332k) - shown as 0 on the FY2013 closing / FY2014 opening equity balance, consistent with the source, not a gap. FY2013 also predates the 'Right-of-use assets'/'Lease liabilities' (pre-IFRS16), 'Assets classified as held for sale' and 'Deferred tax liabilities' lines seen in later years - left blank, same convention as FY2014-2017. FY2013's own Income Statement reports a 'Net gains on financial instrument transactions' line (£332k), shown on the 'Fair value adjustment/(loss)/gain on hedging or derivative instruments' row - the closest equivalent line in later years' presentation.</t>
        </is>
      </c>
    </row>
  </sheetData>
  <mergeCells count="1">
    <mergeCell ref="A40:N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Cynergy Bank Plc — Consolidated Statement of Comprehensive Income</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Income</t>
        </is>
      </c>
      <c r="B4" s="6" t="n"/>
      <c r="C4" s="6" t="n"/>
      <c r="D4" s="6" t="n"/>
      <c r="E4" s="6" t="n"/>
      <c r="F4" s="6" t="n"/>
      <c r="G4" s="6" t="n"/>
      <c r="H4" s="6" t="n"/>
      <c r="I4" s="6" t="n"/>
      <c r="J4" s="6" t="n"/>
      <c r="K4" s="6" t="n"/>
      <c r="L4" s="6" t="n"/>
      <c r="M4" s="6" t="n"/>
      <c r="N4" s="6" t="n"/>
    </row>
    <row r="5">
      <c r="A5" s="6" t="inlineStr">
        <is>
          <t>Interest income calculated using the effective interest method</t>
        </is>
      </c>
      <c r="B5" s="6" t="n">
        <v>328554</v>
      </c>
      <c r="C5" s="6" t="n">
        <v>312777</v>
      </c>
      <c r="D5" s="6" t="n">
        <v>276395</v>
      </c>
      <c r="E5" s="6" t="n">
        <v>167199</v>
      </c>
      <c r="F5" s="6" t="n">
        <v>105716</v>
      </c>
      <c r="G5" s="6" t="n">
        <v>103143</v>
      </c>
      <c r="H5" s="6" t="n">
        <v>78051</v>
      </c>
      <c r="I5" s="6" t="n">
        <v>63667</v>
      </c>
      <c r="J5" s="6" t="n"/>
      <c r="K5" s="6" t="n"/>
      <c r="L5" s="6" t="n"/>
      <c r="M5" s="6" t="n"/>
      <c r="N5" s="6" t="n"/>
    </row>
    <row r="6">
      <c r="A6" s="6" t="inlineStr">
        <is>
          <t>Other interest and similar income/(expense)</t>
        </is>
      </c>
      <c r="B6" s="6" t="n">
        <v>59793</v>
      </c>
      <c r="C6" s="6" t="n">
        <v>57827</v>
      </c>
      <c r="D6" s="6" t="n">
        <v>41559</v>
      </c>
      <c r="E6" s="6" t="n">
        <v>1610</v>
      </c>
      <c r="F6" s="6" t="n">
        <v>-187</v>
      </c>
      <c r="G6" s="6" t="n">
        <v>729</v>
      </c>
      <c r="H6" s="6" t="n">
        <v>4407</v>
      </c>
      <c r="I6" s="6" t="n">
        <v>3565</v>
      </c>
      <c r="J6" s="6" t="n"/>
      <c r="K6" s="6" t="n"/>
      <c r="L6" s="6" t="n"/>
      <c r="M6" s="6" t="n"/>
      <c r="N6" s="6" t="n"/>
    </row>
    <row r="7">
      <c r="A7" s="6" t="inlineStr">
        <is>
          <t>Interest income (FY2013-2017 Company-only presentation, not split into EIM/other)</t>
        </is>
      </c>
      <c r="B7" s="6" t="n"/>
      <c r="C7" s="6" t="n"/>
      <c r="D7" s="6" t="n"/>
      <c r="E7" s="6" t="n"/>
      <c r="F7" s="6" t="n"/>
      <c r="G7" s="6" t="n"/>
      <c r="H7" s="6" t="n"/>
      <c r="I7" s="6" t="n"/>
      <c r="J7" s="6" t="n">
        <v>52715</v>
      </c>
      <c r="K7" s="6" t="n">
        <v>43419</v>
      </c>
      <c r="L7" s="6" t="n">
        <v>33757</v>
      </c>
      <c r="M7" s="6" t="n">
        <v>31070</v>
      </c>
      <c r="N7" s="6" t="n">
        <v>35808</v>
      </c>
    </row>
    <row r="8">
      <c r="A8" s="6" t="inlineStr">
        <is>
          <t>Interest expense calculated using the effective interest method</t>
        </is>
      </c>
      <c r="B8" s="6" t="n">
        <v>-193820</v>
      </c>
      <c r="C8" s="6" t="n">
        <v>-191478</v>
      </c>
      <c r="D8" s="6" t="n">
        <v>-128355</v>
      </c>
      <c r="E8" s="6" t="n">
        <v>-44103</v>
      </c>
      <c r="F8" s="6" t="n">
        <v>-18356</v>
      </c>
      <c r="G8" s="6" t="n">
        <v>-26915</v>
      </c>
      <c r="H8" s="6" t="n">
        <v>-26348</v>
      </c>
      <c r="I8" s="6" t="n">
        <v>-21565</v>
      </c>
      <c r="J8" s="6" t="n"/>
      <c r="K8" s="6" t="n"/>
      <c r="L8" s="6" t="n"/>
      <c r="M8" s="6" t="n"/>
      <c r="N8" s="6" t="n"/>
    </row>
    <row r="9">
      <c r="A9" s="6" t="inlineStr">
        <is>
          <t>Other interest expense</t>
        </is>
      </c>
      <c r="B9" s="6" t="n">
        <v>-61768</v>
      </c>
      <c r="C9" s="6" t="n">
        <v>-48550</v>
      </c>
      <c r="D9" s="6" t="n">
        <v>-34811</v>
      </c>
      <c r="E9" s="6" t="n">
        <v>-1578</v>
      </c>
      <c r="F9" s="6" t="n"/>
      <c r="G9" s="6" t="n"/>
      <c r="H9" s="6" t="n"/>
      <c r="I9" s="6" t="n"/>
      <c r="J9" s="6" t="n"/>
      <c r="K9" s="6" t="n"/>
      <c r="L9" s="6" t="n"/>
      <c r="M9" s="6" t="n"/>
      <c r="N9" s="6" t="n"/>
    </row>
    <row r="10">
      <c r="A10" s="6" t="inlineStr">
        <is>
          <t>Interest expense (FY2013-2017 Company-only presentation, not split into EIM/other)</t>
        </is>
      </c>
      <c r="B10" s="6" t="n"/>
      <c r="C10" s="6" t="n"/>
      <c r="D10" s="6" t="n"/>
      <c r="E10" s="6" t="n"/>
      <c r="F10" s="6" t="n"/>
      <c r="G10" s="6" t="n"/>
      <c r="H10" s="6" t="n"/>
      <c r="I10" s="6" t="n"/>
      <c r="J10" s="6" t="n">
        <v>-15318</v>
      </c>
      <c r="K10" s="6" t="n">
        <v>-16340</v>
      </c>
      <c r="L10" s="6" t="n">
        <v>-14577</v>
      </c>
      <c r="M10" s="6" t="n">
        <v>-16467</v>
      </c>
      <c r="N10" s="6" t="n">
        <v>-23510</v>
      </c>
    </row>
    <row r="11">
      <c r="A11" s="5" t="inlineStr">
        <is>
          <t>Net interest income</t>
        </is>
      </c>
      <c r="B11" s="5" t="n">
        <v>132759</v>
      </c>
      <c r="C11" s="5" t="n">
        <v>130576</v>
      </c>
      <c r="D11" s="5" t="n">
        <v>154788</v>
      </c>
      <c r="E11" s="5" t="n">
        <v>123128</v>
      </c>
      <c r="F11" s="5" t="n">
        <v>87173</v>
      </c>
      <c r="G11" s="5" t="n">
        <v>76957</v>
      </c>
      <c r="H11" s="5" t="n">
        <v>56110</v>
      </c>
      <c r="I11" s="5" t="n">
        <v>45667</v>
      </c>
      <c r="J11" s="5" t="n">
        <v>37397</v>
      </c>
      <c r="K11" s="5" t="n">
        <v>27079</v>
      </c>
      <c r="L11" s="5" t="n">
        <v>19180</v>
      </c>
      <c r="M11" s="5" t="n">
        <v>14603</v>
      </c>
      <c r="N11" s="5" t="n">
        <v>12298</v>
      </c>
    </row>
    <row r="12">
      <c r="A12" s="6" t="inlineStr">
        <is>
          <t>Fee and commission income</t>
        </is>
      </c>
      <c r="B12" s="6" t="n">
        <v>3777</v>
      </c>
      <c r="C12" s="6" t="n">
        <v>3089</v>
      </c>
      <c r="D12" s="6" t="n">
        <v>2606</v>
      </c>
      <c r="E12" s="6" t="n">
        <v>1667</v>
      </c>
      <c r="F12" s="6" t="n">
        <v>1193</v>
      </c>
      <c r="G12" s="6" t="n">
        <v>1814</v>
      </c>
      <c r="H12" s="6" t="n">
        <v>2364</v>
      </c>
      <c r="I12" s="6" t="n">
        <v>2433</v>
      </c>
      <c r="J12" s="6" t="n">
        <v>2360</v>
      </c>
      <c r="K12" s="6" t="n">
        <v>2556</v>
      </c>
      <c r="L12" s="6" t="n">
        <v>4238</v>
      </c>
      <c r="M12" s="6" t="n">
        <v>3590</v>
      </c>
      <c r="N12" s="6" t="n">
        <v>3321</v>
      </c>
    </row>
    <row r="13">
      <c r="A13" s="6" t="inlineStr">
        <is>
          <t>Foreign exchange (losses)/gains</t>
        </is>
      </c>
      <c r="B13" s="6" t="n">
        <v>-677</v>
      </c>
      <c r="C13" s="6" t="n">
        <v>712</v>
      </c>
      <c r="D13" s="6" t="n">
        <v>42</v>
      </c>
      <c r="E13" s="6" t="n">
        <v>-1194</v>
      </c>
      <c r="F13" s="6" t="n">
        <v>1853</v>
      </c>
      <c r="G13" s="6" t="n">
        <v>-1626</v>
      </c>
      <c r="H13" s="6" t="n">
        <v>424</v>
      </c>
      <c r="I13" s="6" t="n">
        <v>285</v>
      </c>
      <c r="J13" s="6" t="n">
        <v>302</v>
      </c>
      <c r="K13" s="6" t="n">
        <v>348</v>
      </c>
      <c r="L13" s="6" t="n">
        <v>372</v>
      </c>
      <c r="M13" s="6" t="n">
        <v>341</v>
      </c>
      <c r="N13" s="6" t="n">
        <v>458</v>
      </c>
    </row>
    <row r="14">
      <c r="A14" s="6" t="inlineStr">
        <is>
          <t>Fair value adjustment/(loss)/gain on hedging or derivative instruments</t>
        </is>
      </c>
      <c r="B14" s="6" t="n">
        <v>544</v>
      </c>
      <c r="C14" s="6" t="n">
        <v>-204</v>
      </c>
      <c r="D14" s="6" t="n">
        <v>2110</v>
      </c>
      <c r="E14" s="6" t="n">
        <v>3983</v>
      </c>
      <c r="F14" s="6" t="n">
        <v>-2190</v>
      </c>
      <c r="G14" s="6" t="n">
        <v>1180</v>
      </c>
      <c r="H14" s="6" t="n">
        <v>100</v>
      </c>
      <c r="I14" s="6" t="n">
        <v>211</v>
      </c>
      <c r="J14" s="6" t="n">
        <v>-38</v>
      </c>
      <c r="K14" s="6" t="n">
        <v>68</v>
      </c>
      <c r="L14" s="6" t="n">
        <v>209</v>
      </c>
      <c r="M14" s="6" t="n">
        <v>185</v>
      </c>
      <c r="N14" s="6" t="n">
        <v>332</v>
      </c>
    </row>
    <row r="15">
      <c r="A15" s="6" t="inlineStr">
        <is>
          <t>Net gains on derecognition of financial assets</t>
        </is>
      </c>
      <c r="B15" s="6" t="n">
        <v>3578</v>
      </c>
      <c r="C15" s="6" t="n"/>
      <c r="D15" s="6" t="n"/>
      <c r="E15" s="6" t="n"/>
      <c r="F15" s="6" t="n"/>
      <c r="G15" s="6" t="n"/>
      <c r="H15" s="6" t="n"/>
      <c r="I15" s="6" t="n"/>
      <c r="J15" s="6" t="n"/>
      <c r="K15" s="6" t="n"/>
      <c r="L15" s="6" t="n"/>
      <c r="M15" s="6" t="n"/>
      <c r="N15" s="6" t="n"/>
    </row>
    <row r="16">
      <c r="A16" s="6" t="inlineStr">
        <is>
          <t>Other income</t>
        </is>
      </c>
      <c r="B16" s="6" t="n">
        <v>504</v>
      </c>
      <c r="C16" s="6" t="n">
        <v>473</v>
      </c>
      <c r="D16" s="6" t="n"/>
      <c r="E16" s="6" t="n"/>
      <c r="F16" s="6" t="n"/>
      <c r="G16" s="6" t="n"/>
      <c r="H16" s="6" t="n"/>
      <c r="I16" s="6" t="n"/>
      <c r="J16" s="6" t="n"/>
      <c r="K16" s="6" t="n"/>
      <c r="L16" s="6" t="n"/>
      <c r="M16" s="6" t="n"/>
      <c r="N16" s="6" t="n"/>
    </row>
    <row r="17">
      <c r="A17" s="5" t="inlineStr">
        <is>
          <t>Total operating income</t>
        </is>
      </c>
      <c r="B17" s="5" t="n">
        <v>140485</v>
      </c>
      <c r="C17" s="5" t="n">
        <v>134646</v>
      </c>
      <c r="D17" s="5" t="n">
        <v>159546</v>
      </c>
      <c r="E17" s="5" t="n">
        <v>127584</v>
      </c>
      <c r="F17" s="5" t="n">
        <v>88029</v>
      </c>
      <c r="G17" s="5" t="n">
        <v>78325</v>
      </c>
      <c r="H17" s="5" t="n">
        <v>58998</v>
      </c>
      <c r="I17" s="5" t="n">
        <v>48596</v>
      </c>
      <c r="J17" s="5" t="n">
        <v>40021</v>
      </c>
      <c r="K17" s="5" t="n">
        <v>30051</v>
      </c>
      <c r="L17" s="5" t="n">
        <v>23999</v>
      </c>
      <c r="M17" s="5" t="n">
        <v>18719</v>
      </c>
      <c r="N17" s="5" t="n">
        <v>16409</v>
      </c>
    </row>
    <row r="18">
      <c r="A18" s="5" t="inlineStr">
        <is>
          <t>Expenses</t>
        </is>
      </c>
      <c r="B18" s="6" t="n"/>
      <c r="C18" s="6" t="n"/>
      <c r="D18" s="6" t="n"/>
      <c r="E18" s="6" t="n"/>
      <c r="F18" s="6" t="n"/>
      <c r="G18" s="6" t="n"/>
      <c r="H18" s="6" t="n"/>
      <c r="I18" s="6" t="n"/>
      <c r="J18" s="6" t="n"/>
      <c r="K18" s="6" t="n"/>
      <c r="L18" s="6" t="n"/>
      <c r="M18" s="6" t="n"/>
      <c r="N18" s="6" t="n"/>
    </row>
    <row r="19">
      <c r="A19" s="6" t="inlineStr">
        <is>
          <t>Staff costs</t>
        </is>
      </c>
      <c r="B19" s="6" t="n">
        <v>-41616</v>
      </c>
      <c r="C19" s="6" t="n">
        <v>-42783</v>
      </c>
      <c r="D19" s="6" t="n">
        <v>-49464</v>
      </c>
      <c r="E19" s="6" t="n">
        <v>-38334</v>
      </c>
      <c r="F19" s="6" t="n">
        <v>-28874</v>
      </c>
      <c r="G19" s="6" t="n">
        <v>-23715</v>
      </c>
      <c r="H19" s="6" t="n">
        <v>-20015</v>
      </c>
      <c r="I19" s="6" t="n">
        <v>-22221</v>
      </c>
      <c r="J19" s="6" t="n">
        <v>-18689</v>
      </c>
      <c r="K19" s="6" t="n">
        <v>-13260</v>
      </c>
      <c r="L19" s="6" t="n">
        <v>-10042</v>
      </c>
      <c r="M19" s="6" t="n">
        <v>-9273</v>
      </c>
      <c r="N19" s="6" t="n">
        <v>-8086</v>
      </c>
    </row>
    <row r="20">
      <c r="A20" s="6" t="inlineStr">
        <is>
          <t>Depreciation, amortisation and impairment/write-offs</t>
        </is>
      </c>
      <c r="B20" s="6" t="n">
        <v>-12516</v>
      </c>
      <c r="C20" s="6" t="n">
        <v>-9766</v>
      </c>
      <c r="D20" s="6" t="n">
        <v>-7072</v>
      </c>
      <c r="E20" s="6" t="n">
        <v>-5758</v>
      </c>
      <c r="F20" s="6" t="n">
        <v>-3447</v>
      </c>
      <c r="G20" s="6" t="n">
        <v>-4446</v>
      </c>
      <c r="H20" s="6" t="n">
        <v>-1274</v>
      </c>
      <c r="I20" s="6" t="n">
        <v>-3382</v>
      </c>
      <c r="J20" s="6" t="n">
        <v>-1509</v>
      </c>
      <c r="K20" s="6" t="n">
        <v>-1426</v>
      </c>
      <c r="L20" s="6" t="n">
        <v>-1491</v>
      </c>
      <c r="M20" s="6" t="n">
        <v>-1453</v>
      </c>
      <c r="N20" s="6" t="n">
        <v>-1453</v>
      </c>
    </row>
    <row r="21">
      <c r="A21" s="6" t="inlineStr">
        <is>
          <t>Other operating expenses</t>
        </is>
      </c>
      <c r="B21" s="6" t="n">
        <v>-35284</v>
      </c>
      <c r="C21" s="6" t="n">
        <v>-28383</v>
      </c>
      <c r="D21" s="6" t="n">
        <v>-43684</v>
      </c>
      <c r="E21" s="6" t="n">
        <v>-33133</v>
      </c>
      <c r="F21" s="6" t="n">
        <v>-19912</v>
      </c>
      <c r="G21" s="6" t="n">
        <v>-18162</v>
      </c>
      <c r="H21" s="6" t="n">
        <v>-14846</v>
      </c>
      <c r="I21" s="6" t="n">
        <v>-16613</v>
      </c>
      <c r="J21" s="6" t="n">
        <v>-14404</v>
      </c>
      <c r="K21" s="6" t="n">
        <v>-9465</v>
      </c>
      <c r="L21" s="6" t="n">
        <v>-8571</v>
      </c>
      <c r="M21" s="6" t="n">
        <v>-7098</v>
      </c>
      <c r="N21" s="6" t="n">
        <v>-5468</v>
      </c>
    </row>
    <row r="22">
      <c r="A22" s="5" t="inlineStr">
        <is>
          <t>Total operating expenses</t>
        </is>
      </c>
      <c r="B22" s="5" t="n">
        <v>-89416</v>
      </c>
      <c r="C22" s="5" t="n">
        <v>-80932</v>
      </c>
      <c r="D22" s="5" t="n">
        <v>-100220</v>
      </c>
      <c r="E22" s="5" t="n">
        <v>-77225</v>
      </c>
      <c r="F22" s="5" t="n">
        <v>-52233</v>
      </c>
      <c r="G22" s="5" t="n">
        <v>-46323</v>
      </c>
      <c r="H22" s="5" t="n">
        <v>-36135</v>
      </c>
      <c r="I22" s="5" t="n">
        <v>-42216</v>
      </c>
      <c r="J22" s="5" t="n">
        <v>-34602</v>
      </c>
      <c r="K22" s="5" t="n">
        <v>-24151</v>
      </c>
      <c r="L22" s="5" t="n">
        <v>-20104</v>
      </c>
      <c r="M22" s="5" t="n">
        <v>-17824</v>
      </c>
      <c r="N22" s="5" t="n">
        <v>-15007</v>
      </c>
    </row>
    <row r="23">
      <c r="A23" s="6" t="inlineStr">
        <is>
          <t>Provision for customer redress</t>
        </is>
      </c>
      <c r="B23" s="6" t="n"/>
      <c r="C23" s="6" t="n"/>
      <c r="D23" s="6" t="n"/>
      <c r="E23" s="6" t="n"/>
      <c r="F23" s="6" t="n"/>
      <c r="G23" s="6" t="n"/>
      <c r="H23" s="6" t="n"/>
      <c r="I23" s="6" t="n"/>
      <c r="J23" s="6" t="n">
        <v>-4000</v>
      </c>
      <c r="K23" s="6" t="n">
        <v>-14910</v>
      </c>
      <c r="L23" s="6" t="n"/>
      <c r="M23" s="6" t="n"/>
      <c r="N23" s="6" t="n"/>
    </row>
    <row r="24">
      <c r="A24" s="6" t="inlineStr">
        <is>
          <t>Other gains</t>
        </is>
      </c>
      <c r="B24" s="6" t="n">
        <v>404</v>
      </c>
      <c r="C24" s="6" t="n">
        <v>1000</v>
      </c>
      <c r="D24" s="6" t="n"/>
      <c r="E24" s="6" t="n"/>
      <c r="F24" s="6" t="n"/>
      <c r="G24" s="6" t="n"/>
      <c r="H24" s="6" t="n"/>
      <c r="I24" s="6" t="n"/>
      <c r="J24" s="6" t="n"/>
      <c r="K24" s="6" t="n"/>
      <c r="L24" s="6" t="n"/>
      <c r="M24" s="6" t="n"/>
      <c r="N24" s="6" t="n"/>
    </row>
    <row r="25">
      <c r="A25" s="6" t="inlineStr">
        <is>
          <t>Gain on sale of property</t>
        </is>
      </c>
      <c r="B25" s="6" t="n"/>
      <c r="C25" s="6" t="n"/>
      <c r="D25" s="6" t="n">
        <v>276</v>
      </c>
      <c r="E25" s="6" t="n">
        <v>9230</v>
      </c>
      <c r="F25" s="6" t="n"/>
      <c r="G25" s="6" t="n"/>
      <c r="H25" s="6" t="n"/>
      <c r="I25" s="6" t="n"/>
      <c r="J25" s="6" t="n"/>
      <c r="K25" s="6" t="n"/>
      <c r="L25" s="6" t="n"/>
      <c r="M25" s="6" t="n"/>
      <c r="N25" s="6" t="n"/>
    </row>
    <row r="26">
      <c r="A26" s="5" t="inlineStr">
        <is>
          <t>Profit before credit impairment reversals/(charges)</t>
        </is>
      </c>
      <c r="B26" s="5" t="n">
        <v>51473</v>
      </c>
      <c r="C26" s="5" t="n">
        <v>54714</v>
      </c>
      <c r="D26" s="5" t="n">
        <v>59602</v>
      </c>
      <c r="E26" s="5" t="n">
        <v>59589</v>
      </c>
      <c r="F26" s="5" t="n">
        <v>35796</v>
      </c>
      <c r="G26" s="5" t="n">
        <v>32002</v>
      </c>
      <c r="H26" s="5" t="n">
        <v>16863</v>
      </c>
      <c r="I26" s="5" t="n">
        <v>6380</v>
      </c>
      <c r="J26" s="5" t="n">
        <v>1419</v>
      </c>
      <c r="K26" s="5" t="n">
        <v>-9010</v>
      </c>
      <c r="L26" s="5" t="n">
        <v>3895</v>
      </c>
      <c r="M26" s="5" t="n">
        <v>895</v>
      </c>
      <c r="N26" s="5" t="n">
        <v>1402</v>
      </c>
    </row>
    <row r="27">
      <c r="A27" s="6" t="inlineStr">
        <is>
          <t>Credit impairment reversals/(charges) on financial assets</t>
        </is>
      </c>
      <c r="B27" s="6" t="n">
        <v>91</v>
      </c>
      <c r="C27" s="6" t="n">
        <v>-2082</v>
      </c>
      <c r="D27" s="6" t="n">
        <v>-4445</v>
      </c>
      <c r="E27" s="6" t="n">
        <v>-9100</v>
      </c>
      <c r="F27" s="6" t="n">
        <v>-5396</v>
      </c>
      <c r="G27" s="6" t="n">
        <v>-4986</v>
      </c>
      <c r="H27" s="6" t="n">
        <v>-292</v>
      </c>
      <c r="I27" s="6" t="n">
        <v>-223</v>
      </c>
      <c r="J27" s="6" t="n">
        <v>497</v>
      </c>
      <c r="K27" s="6" t="n">
        <v>898</v>
      </c>
      <c r="L27" s="6" t="n">
        <v>688</v>
      </c>
      <c r="M27" s="6" t="n">
        <v>3294</v>
      </c>
      <c r="N27" s="6" t="n">
        <v>-1287</v>
      </c>
    </row>
    <row r="28">
      <c r="A28" s="5" t="inlineStr">
        <is>
          <t>Profit before tax</t>
        </is>
      </c>
      <c r="B28" s="5" t="n">
        <v>51564</v>
      </c>
      <c r="C28" s="5" t="n">
        <v>52632</v>
      </c>
      <c r="D28" s="5" t="n">
        <v>55157</v>
      </c>
      <c r="E28" s="5" t="n">
        <v>50489</v>
      </c>
      <c r="F28" s="5" t="n">
        <v>30400</v>
      </c>
      <c r="G28" s="5" t="n">
        <v>27016</v>
      </c>
      <c r="H28" s="5" t="n">
        <v>16571</v>
      </c>
      <c r="I28" s="5" t="n">
        <v>6157</v>
      </c>
      <c r="J28" s="5" t="n">
        <v>1916</v>
      </c>
      <c r="K28" s="5" t="n">
        <v>-8112</v>
      </c>
      <c r="L28" s="5" t="n">
        <v>4583</v>
      </c>
      <c r="M28" s="5" t="n">
        <v>4189</v>
      </c>
      <c r="N28" s="5" t="n">
        <v>115</v>
      </c>
    </row>
    <row r="29">
      <c r="A29" s="6" t="inlineStr">
        <is>
          <t>Income tax expense</t>
        </is>
      </c>
      <c r="B29" s="6" t="n">
        <v>-13624</v>
      </c>
      <c r="C29" s="6" t="n">
        <v>-12398</v>
      </c>
      <c r="D29" s="6" t="n">
        <v>-14544</v>
      </c>
      <c r="E29" s="6" t="n">
        <v>-10233</v>
      </c>
      <c r="F29" s="6" t="n">
        <v>-5471</v>
      </c>
      <c r="G29" s="6" t="n">
        <v>-6188</v>
      </c>
      <c r="H29" s="6" t="n">
        <v>-3052</v>
      </c>
      <c r="I29" s="6" t="n">
        <v>-1557</v>
      </c>
      <c r="J29" s="6" t="n">
        <v>-1055</v>
      </c>
      <c r="K29" s="6" t="n">
        <v>-908</v>
      </c>
      <c r="L29" s="6" t="n">
        <v>-979</v>
      </c>
      <c r="M29" s="6" t="n">
        <v>-888</v>
      </c>
      <c r="N29" s="6" t="n">
        <v>-627</v>
      </c>
    </row>
    <row r="30">
      <c r="A30" s="5" t="inlineStr">
        <is>
          <t>Profit for the year</t>
        </is>
      </c>
      <c r="B30" s="5" t="n">
        <v>37940</v>
      </c>
      <c r="C30" s="5" t="n">
        <v>40234</v>
      </c>
      <c r="D30" s="5" t="n">
        <v>40613</v>
      </c>
      <c r="E30" s="5" t="n">
        <v>40256</v>
      </c>
      <c r="F30" s="5" t="n">
        <v>24929</v>
      </c>
      <c r="G30" s="5" t="n">
        <v>20828</v>
      </c>
      <c r="H30" s="5" t="n">
        <v>13519</v>
      </c>
      <c r="I30" s="5" t="n">
        <v>4600</v>
      </c>
      <c r="J30" s="5" t="n">
        <v>861</v>
      </c>
      <c r="K30" s="5" t="n">
        <v>-9020</v>
      </c>
      <c r="L30" s="5" t="n">
        <v>3604</v>
      </c>
      <c r="M30" s="5" t="n">
        <v>3301</v>
      </c>
      <c r="N30" s="5" t="n">
        <v>-512</v>
      </c>
    </row>
    <row r="31">
      <c r="A31" s="6" t="inlineStr">
        <is>
          <t>Profit attributable to: Owners of the company</t>
        </is>
      </c>
      <c r="B31" s="6" t="n">
        <v>36745</v>
      </c>
      <c r="C31" s="6" t="n">
        <v>39554</v>
      </c>
      <c r="D31" s="6" t="n">
        <v>40307</v>
      </c>
      <c r="E31" s="6" t="n">
        <v>40299</v>
      </c>
      <c r="F31" s="6" t="n">
        <v>25078</v>
      </c>
      <c r="G31" s="6" t="n"/>
      <c r="H31" s="6" t="n"/>
      <c r="I31" s="6" t="n"/>
      <c r="J31" s="6" t="n"/>
      <c r="K31" s="6" t="n"/>
      <c r="L31" s="6" t="n"/>
      <c r="M31" s="6" t="n"/>
      <c r="N31" s="6" t="n"/>
    </row>
    <row r="32">
      <c r="A32" s="6" t="inlineStr">
        <is>
          <t>Profit/(loss) attributable to: Non-controlling interest</t>
        </is>
      </c>
      <c r="B32" s="6" t="n">
        <v>1195</v>
      </c>
      <c r="C32" s="6" t="n">
        <v>680</v>
      </c>
      <c r="D32" s="6" t="n">
        <v>306</v>
      </c>
      <c r="E32" s="6" t="n">
        <v>-43</v>
      </c>
      <c r="F32" s="6" t="n">
        <v>-149</v>
      </c>
      <c r="G32" s="6" t="n"/>
      <c r="H32" s="6" t="n"/>
      <c r="I32" s="6" t="n"/>
      <c r="J32" s="6" t="n"/>
      <c r="K32" s="6" t="n"/>
      <c r="L32" s="6" t="n"/>
      <c r="M32" s="6" t="n"/>
      <c r="N32" s="6" t="n"/>
    </row>
    <row r="33">
      <c r="A33" s="5" t="inlineStr">
        <is>
          <t>Other comprehensive income</t>
        </is>
      </c>
      <c r="B33" s="6" t="n"/>
      <c r="C33" s="6" t="n"/>
      <c r="D33" s="6" t="n"/>
      <c r="E33" s="6" t="n"/>
      <c r="F33" s="6" t="n"/>
      <c r="G33" s="6" t="n"/>
      <c r="H33" s="6" t="n"/>
      <c r="I33" s="6" t="n"/>
      <c r="J33" s="6" t="n"/>
      <c r="K33" s="6" t="n"/>
      <c r="L33" s="6" t="n"/>
      <c r="M33" s="6" t="n"/>
      <c r="N33" s="6" t="n"/>
    </row>
    <row r="34">
      <c r="A34" s="6" t="inlineStr">
        <is>
          <t>Revaluation gain/(loss) on property</t>
        </is>
      </c>
      <c r="B34" s="6" t="n"/>
      <c r="C34" s="6" t="n">
        <v>-2571</v>
      </c>
      <c r="D34" s="6" t="n"/>
      <c r="E34" s="6" t="n">
        <v>1474</v>
      </c>
      <c r="F34" s="6" t="n"/>
      <c r="G34" s="6" t="n">
        <v>-1227</v>
      </c>
      <c r="H34" s="6" t="n">
        <v>1024</v>
      </c>
      <c r="I34" s="6" t="n"/>
      <c r="J34" s="6" t="n"/>
      <c r="K34" s="6" t="n"/>
      <c r="L34" s="6" t="n"/>
      <c r="M34" s="6" t="n">
        <v>3535</v>
      </c>
      <c r="N34" s="6" t="n"/>
    </row>
    <row r="35">
      <c r="A35" s="6" t="inlineStr">
        <is>
          <t>Income tax relating to property revaluation</t>
        </is>
      </c>
      <c r="B35" s="6" t="n"/>
      <c r="C35" s="6" t="n">
        <v>643</v>
      </c>
      <c r="D35" s="6" t="n">
        <v>-509</v>
      </c>
      <c r="E35" s="6" t="n"/>
      <c r="F35" s="6" t="n"/>
      <c r="G35" s="6" t="n">
        <v>536</v>
      </c>
      <c r="H35" s="6" t="n">
        <v>105</v>
      </c>
      <c r="I35" s="6" t="n">
        <v>-83</v>
      </c>
      <c r="J35" s="6" t="n"/>
      <c r="K35" s="6" t="n"/>
      <c r="L35" s="6" t="n"/>
      <c r="M35" s="6" t="n">
        <v>-203</v>
      </c>
      <c r="N35" s="6" t="n"/>
    </row>
    <row r="36">
      <c r="A36" s="5" t="inlineStr">
        <is>
          <t>Other comprehensive income/(expense) for the year, net of tax</t>
        </is>
      </c>
      <c r="B36" s="5" t="n">
        <v>0</v>
      </c>
      <c r="C36" s="5" t="n">
        <v>-1928</v>
      </c>
      <c r="D36" s="5" t="n">
        <v>-509</v>
      </c>
      <c r="E36" s="5" t="n">
        <v>1474</v>
      </c>
      <c r="F36" s="5" t="n">
        <v>0</v>
      </c>
      <c r="G36" s="5" t="n">
        <v>-691</v>
      </c>
      <c r="H36" s="5" t="n">
        <v>1129</v>
      </c>
      <c r="I36" s="5" t="n">
        <v>-83</v>
      </c>
      <c r="J36" s="5" t="n">
        <v>0</v>
      </c>
      <c r="K36" s="5" t="n">
        <v>0</v>
      </c>
      <c r="L36" s="5" t="n">
        <v>0</v>
      </c>
      <c r="M36" s="5" t="n">
        <v>3332</v>
      </c>
      <c r="N36" s="5" t="n">
        <v>0</v>
      </c>
    </row>
    <row r="37">
      <c r="A37" s="5" t="inlineStr">
        <is>
          <t>Total comprehensive income for the year</t>
        </is>
      </c>
      <c r="B37" s="5" t="n">
        <v>37940</v>
      </c>
      <c r="C37" s="5" t="n">
        <v>38306</v>
      </c>
      <c r="D37" s="5" t="n">
        <v>40104</v>
      </c>
      <c r="E37" s="5" t="n">
        <v>41730</v>
      </c>
      <c r="F37" s="5" t="n">
        <v>24929</v>
      </c>
      <c r="G37" s="5" t="n">
        <v>20137</v>
      </c>
      <c r="H37" s="5" t="n">
        <v>14648</v>
      </c>
      <c r="I37" s="5" t="n">
        <v>4517</v>
      </c>
      <c r="J37" s="5" t="n">
        <v>861</v>
      </c>
      <c r="K37" s="5" t="n">
        <v>-9020</v>
      </c>
      <c r="L37" s="5" t="n">
        <v>3604</v>
      </c>
      <c r="M37" s="5" t="n">
        <v>6633</v>
      </c>
      <c r="N37" s="5" t="n">
        <v>-512</v>
      </c>
    </row>
    <row r="39" ht="320" customHeight="1">
      <c r="A39"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FY2013 (own): Bank of Cyprus UK Limited Annual Report &amp; Accounts 2013 (Companies House filing, scanned), p.10-12,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
HD-072 (statutory statements extended to FY2013): FY2013 is the real statutory floor for this entity (per HD-002's deep dive) - Bank of Cyprus UK Limited was incorporated 9 Apr 2003 as 'Bank of Cyprus Advances Limited' but only became an independently-capitalised subsidiary (rather than a UK branch of the Cyprus parent) on 25 June 2012, so no earlier year has a comparable standalone statutory statement - FY2012 itself is a part-year (25 Jun-31 Dec 2012) stub and is not usable as a prior year. FY2013's own Statement of financial position has no 'Property revaluation reserve' line at all (the reserve first appears in FY2014's own accounts, at £3,332k) - shown as 0 on the FY2013 closing / FY2014 opening equity balance, consistent with the source, not a gap. FY2013 also predates the 'Right-of-use assets'/'Lease liabilities' (pre-IFRS16), 'Assets classified as held for sale' and 'Deferred tax liabilities' lines seen in later years - left blank, same convention as FY2014-2017. FY2013's own Income Statement reports a 'Net gains on financial instrument transactions' line (£332k), shown on the 'Fair value adjustment/(loss)/gain on hedging or derivative instruments' row - the closest equivalent line in later years' presentation.</t>
        </is>
      </c>
    </row>
  </sheetData>
  <mergeCells count="1">
    <mergeCell ref="A39:N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Cynergy Bank Plc — Consolidated Statement of Changes in Equity</t>
        </is>
      </c>
    </row>
    <row r="2">
      <c r="A2" s="2" t="inlineStr">
        <is>
          <t>Consolidated basis, £'000, chronological (oldest to newest). See source note at bottom.</t>
        </is>
      </c>
    </row>
    <row r="3">
      <c r="A3" s="4" t="inlineStr">
        <is>
          <t>Movement</t>
        </is>
      </c>
      <c r="B3" s="4" t="inlineStr">
        <is>
          <t>Share capital</t>
        </is>
      </c>
      <c r="C3" s="4" t="inlineStr">
        <is>
          <t>Property revaluation reserve</t>
        </is>
      </c>
      <c r="D3" s="4" t="inlineStr">
        <is>
          <t>Accumulated profits</t>
        </is>
      </c>
      <c r="E3" s="4" t="inlineStr">
        <is>
          <t>Total attributable to owners</t>
        </is>
      </c>
      <c r="F3" s="4" t="inlineStr">
        <is>
          <t>Non-controlling interest</t>
        </is>
      </c>
      <c r="G3" s="4" t="inlineStr">
        <is>
          <t>Total equity</t>
        </is>
      </c>
    </row>
    <row r="4">
      <c r="A4" s="5" t="inlineStr">
        <is>
          <t>At 1 January 2013</t>
        </is>
      </c>
      <c r="B4" s="5" t="n">
        <v>65000</v>
      </c>
      <c r="C4" s="5" t="n">
        <v>0</v>
      </c>
      <c r="D4" s="5" t="n">
        <v>-4905</v>
      </c>
      <c r="E4" s="5" t="n">
        <v>60095</v>
      </c>
      <c r="F4" s="5" t="n"/>
      <c r="G4" s="5" t="n">
        <v>60095</v>
      </c>
    </row>
    <row r="5">
      <c r="A5" s="6" t="inlineStr">
        <is>
          <t>Total comprehensive loss for the year</t>
        </is>
      </c>
      <c r="B5" s="6" t="n"/>
      <c r="C5" s="6" t="n"/>
      <c r="D5" s="6" t="n">
        <v>-512</v>
      </c>
      <c r="E5" s="6" t="n">
        <v>-512</v>
      </c>
      <c r="F5" s="6" t="n"/>
      <c r="G5" s="6" t="n">
        <v>-512</v>
      </c>
    </row>
    <row r="6">
      <c r="A6" s="5" t="inlineStr">
        <is>
          <t>At 31 December 2013</t>
        </is>
      </c>
      <c r="B6" s="5" t="n">
        <v>65000</v>
      </c>
      <c r="C6" s="5" t="n">
        <v>0</v>
      </c>
      <c r="D6" s="5" t="n">
        <v>-5417</v>
      </c>
      <c r="E6" s="5" t="n">
        <v>59583</v>
      </c>
      <c r="F6" s="5" t="n"/>
      <c r="G6" s="5" t="n">
        <v>59583</v>
      </c>
    </row>
    <row r="7">
      <c r="A7" s="5" t="inlineStr">
        <is>
          <t>At 1 January 2014</t>
        </is>
      </c>
      <c r="B7" s="5" t="n">
        <v>65000</v>
      </c>
      <c r="C7" s="5" t="n">
        <v>0</v>
      </c>
      <c r="D7" s="5" t="n">
        <v>-5417</v>
      </c>
      <c r="E7" s="5" t="n">
        <v>59583</v>
      </c>
      <c r="F7" s="5" t="n"/>
      <c r="G7" s="5" t="n">
        <v>59583</v>
      </c>
    </row>
    <row r="8">
      <c r="A8" s="6" t="inlineStr">
        <is>
          <t>Total comprehensive profit for the year</t>
        </is>
      </c>
      <c r="B8" s="6" t="n"/>
      <c r="C8" s="6" t="n">
        <v>3332</v>
      </c>
      <c r="D8" s="6" t="n">
        <v>3301</v>
      </c>
      <c r="E8" s="6" t="n">
        <v>6633</v>
      </c>
      <c r="F8" s="6" t="n"/>
      <c r="G8" s="6" t="n">
        <v>6633</v>
      </c>
    </row>
    <row r="9">
      <c r="A9" s="5" t="inlineStr">
        <is>
          <t>At 31 December 2014</t>
        </is>
      </c>
      <c r="B9" s="5" t="n">
        <v>65000</v>
      </c>
      <c r="C9" s="5" t="n">
        <v>3332</v>
      </c>
      <c r="D9" s="5" t="n">
        <v>-2116</v>
      </c>
      <c r="E9" s="5" t="n">
        <v>66216</v>
      </c>
      <c r="F9" s="5" t="n"/>
      <c r="G9" s="5" t="n">
        <v>66216</v>
      </c>
    </row>
    <row r="10">
      <c r="A10" s="5" t="inlineStr">
        <is>
          <t>At 1 January 2015</t>
        </is>
      </c>
      <c r="B10" s="5" t="n">
        <v>65000</v>
      </c>
      <c r="C10" s="5" t="n">
        <v>3332</v>
      </c>
      <c r="D10" s="5" t="n">
        <v>-2116</v>
      </c>
      <c r="E10" s="5" t="n">
        <v>66216</v>
      </c>
      <c r="F10" s="5" t="n"/>
      <c r="G10" s="5" t="n">
        <v>66216</v>
      </c>
    </row>
    <row r="11">
      <c r="A11" s="6" t="inlineStr">
        <is>
          <t>Total comprehensive profit for the year</t>
        </is>
      </c>
      <c r="B11" s="6" t="n"/>
      <c r="C11" s="6" t="n"/>
      <c r="D11" s="6" t="n">
        <v>3604</v>
      </c>
      <c r="E11" s="6" t="n">
        <v>3604</v>
      </c>
      <c r="F11" s="6" t="n"/>
      <c r="G11" s="6" t="n">
        <v>3604</v>
      </c>
    </row>
    <row r="12">
      <c r="A12" s="5" t="inlineStr">
        <is>
          <t>At 31 December 2015</t>
        </is>
      </c>
      <c r="B12" s="5" t="n">
        <v>65000</v>
      </c>
      <c r="C12" s="5" t="n">
        <v>3332</v>
      </c>
      <c r="D12" s="5" t="n">
        <v>1488</v>
      </c>
      <c r="E12" s="5" t="n">
        <v>69820</v>
      </c>
      <c r="F12" s="5" t="n"/>
      <c r="G12" s="5" t="n">
        <v>69820</v>
      </c>
    </row>
    <row r="13">
      <c r="A13" s="5" t="inlineStr">
        <is>
          <t>At 1 January 2016</t>
        </is>
      </c>
      <c r="B13" s="5" t="n">
        <v>65000</v>
      </c>
      <c r="C13" s="5" t="n">
        <v>3332</v>
      </c>
      <c r="D13" s="5" t="n">
        <v>1488</v>
      </c>
      <c r="E13" s="5" t="n">
        <v>69820</v>
      </c>
      <c r="F13" s="5" t="n"/>
      <c r="G13" s="5" t="n">
        <v>69820</v>
      </c>
    </row>
    <row r="14">
      <c r="A14" s="6" t="inlineStr">
        <is>
          <t>Total comprehensive (loss)/profit for the year</t>
        </is>
      </c>
      <c r="B14" s="6" t="n"/>
      <c r="C14" s="6" t="n">
        <v>5057</v>
      </c>
      <c r="D14" s="6" t="n">
        <v>-9020</v>
      </c>
      <c r="E14" s="6" t="n">
        <v>-3963</v>
      </c>
      <c r="F14" s="6" t="n"/>
      <c r="G14" s="6" t="n">
        <v>-3963</v>
      </c>
    </row>
    <row r="15">
      <c r="A15" s="5" t="inlineStr">
        <is>
          <t>At 31 December 2016</t>
        </is>
      </c>
      <c r="B15" s="5" t="n">
        <v>65000</v>
      </c>
      <c r="C15" s="5" t="n">
        <v>8389</v>
      </c>
      <c r="D15" s="5" t="n">
        <v>-7532</v>
      </c>
      <c r="E15" s="5" t="n">
        <v>65857</v>
      </c>
      <c r="F15" s="5" t="n"/>
      <c r="G15" s="5" t="n">
        <v>65857</v>
      </c>
    </row>
    <row r="16">
      <c r="A16" s="5" t="inlineStr">
        <is>
          <t>At 1 January 2017</t>
        </is>
      </c>
      <c r="B16" s="5" t="n">
        <v>65000</v>
      </c>
      <c r="C16" s="5" t="n">
        <v>8389</v>
      </c>
      <c r="D16" s="5" t="n">
        <v>-7532</v>
      </c>
      <c r="E16" s="5" t="n">
        <v>65857</v>
      </c>
      <c r="F16" s="5" t="n"/>
      <c r="G16" s="5" t="n">
        <v>65857</v>
      </c>
    </row>
    <row r="17">
      <c r="A17" s="6" t="inlineStr">
        <is>
          <t>Profit for the year after tax</t>
        </is>
      </c>
      <c r="B17" s="6" t="n"/>
      <c r="C17" s="6" t="n"/>
      <c r="D17" s="6" t="n">
        <v>861</v>
      </c>
      <c r="E17" s="6" t="n">
        <v>861</v>
      </c>
      <c r="F17" s="6" t="n"/>
      <c r="G17" s="6" t="n">
        <v>861</v>
      </c>
    </row>
    <row r="18">
      <c r="A18" s="6" t="inlineStr">
        <is>
          <t>Issue of share capital (note 25)</t>
        </is>
      </c>
      <c r="B18" s="6" t="n">
        <v>46000</v>
      </c>
      <c r="C18" s="6" t="n"/>
      <c r="D18" s="6" t="n"/>
      <c r="E18" s="6" t="n">
        <v>46000</v>
      </c>
      <c r="F18" s="6" t="n"/>
      <c r="G18" s="6" t="n">
        <v>46000</v>
      </c>
    </row>
    <row r="19">
      <c r="A19" s="5" t="inlineStr">
        <is>
          <t>At 31 December 2017</t>
        </is>
      </c>
      <c r="B19" s="5" t="n">
        <v>111000</v>
      </c>
      <c r="C19" s="5" t="n">
        <v>8389</v>
      </c>
      <c r="D19" s="5" t="n">
        <v>-6671</v>
      </c>
      <c r="E19" s="5" t="n">
        <v>112718</v>
      </c>
      <c r="F19" s="5" t="n"/>
      <c r="G19" s="5" t="n">
        <v>112718</v>
      </c>
    </row>
    <row r="20">
      <c r="A20" s="5" t="inlineStr">
        <is>
          <t>At 1 January 2018</t>
        </is>
      </c>
      <c r="B20" s="5" t="n">
        <v>111000</v>
      </c>
      <c r="C20" s="5" t="n">
        <v>8389</v>
      </c>
      <c r="D20" s="5" t="n">
        <v>-6671</v>
      </c>
      <c r="E20" s="5" t="n">
        <v>112718</v>
      </c>
      <c r="F20" s="5" t="n"/>
      <c r="G20" s="5" t="n">
        <v>112718</v>
      </c>
    </row>
    <row r="21">
      <c r="A21" s="6" t="inlineStr">
        <is>
          <t>Impact of adopting IFRS 9 (Note 33)</t>
        </is>
      </c>
      <c r="B21" s="6" t="n"/>
      <c r="C21" s="6" t="n"/>
      <c r="D21" s="6" t="n">
        <v>96</v>
      </c>
      <c r="E21" s="6" t="n">
        <v>96</v>
      </c>
      <c r="F21" s="6" t="n"/>
      <c r="G21" s="6" t="n">
        <v>96</v>
      </c>
    </row>
    <row r="22">
      <c r="A22" s="6" t="inlineStr">
        <is>
          <t>Issue of shares by way of capitalisation of revaluation reserve</t>
        </is>
      </c>
      <c r="B22" s="6" t="n">
        <v>7000</v>
      </c>
      <c r="C22" s="6" t="n">
        <v>-7000</v>
      </c>
      <c r="D22" s="6" t="n"/>
      <c r="E22" s="6" t="n"/>
      <c r="F22" s="6" t="n"/>
      <c r="G22" s="6" t="n"/>
    </row>
    <row r="23">
      <c r="A23" s="6" t="inlineStr">
        <is>
          <t>Reduction in share capital</t>
        </is>
      </c>
      <c r="B23" s="6" t="n">
        <v>-7000</v>
      </c>
      <c r="C23" s="6" t="n"/>
      <c r="D23" s="6" t="n">
        <v>7000</v>
      </c>
      <c r="E23" s="6" t="n"/>
      <c r="F23" s="6" t="n"/>
      <c r="G23" s="6" t="n"/>
    </row>
    <row r="24">
      <c r="A24" s="6" t="inlineStr">
        <is>
          <t>Profit for the year after tax</t>
        </is>
      </c>
      <c r="B24" s="6" t="n"/>
      <c r="C24" s="6" t="n"/>
      <c r="D24" s="6" t="n">
        <v>4600</v>
      </c>
      <c r="E24" s="6" t="n">
        <v>4600</v>
      </c>
      <c r="F24" s="6" t="n"/>
      <c r="G24" s="6" t="n">
        <v>4600</v>
      </c>
    </row>
    <row r="25">
      <c r="A25" s="6" t="inlineStr">
        <is>
          <t>Other comprehensive income (tax on property revaluation)</t>
        </is>
      </c>
      <c r="B25" s="6" t="n"/>
      <c r="C25" s="6" t="n">
        <v>-83</v>
      </c>
      <c r="D25" s="6" t="n"/>
      <c r="E25" s="6" t="n">
        <v>-83</v>
      </c>
      <c r="F25" s="6" t="n"/>
      <c r="G25" s="6" t="n">
        <v>-83</v>
      </c>
    </row>
    <row r="26">
      <c r="A26" s="6" t="inlineStr">
        <is>
          <t>Issue of share capital (note 26)</t>
        </is>
      </c>
      <c r="B26" s="6" t="n">
        <v>20000</v>
      </c>
      <c r="C26" s="6" t="n"/>
      <c r="D26" s="6" t="n"/>
      <c r="E26" s="6" t="n">
        <v>20000</v>
      </c>
      <c r="F26" s="6" t="n"/>
      <c r="G26" s="6" t="n">
        <v>20000</v>
      </c>
    </row>
    <row r="27">
      <c r="A27" s="5" t="inlineStr">
        <is>
          <t>At 31 December 2018</t>
        </is>
      </c>
      <c r="B27" s="5" t="n">
        <v>131000</v>
      </c>
      <c r="C27" s="5" t="n">
        <v>1306</v>
      </c>
      <c r="D27" s="5" t="n">
        <v>5025</v>
      </c>
      <c r="E27" s="5" t="n">
        <v>137331</v>
      </c>
      <c r="F27" s="5" t="n"/>
      <c r="G27" s="5" t="n">
        <v>137331</v>
      </c>
    </row>
    <row r="28">
      <c r="A28" s="5" t="inlineStr">
        <is>
          <t>At 1 January 2019</t>
        </is>
      </c>
      <c r="B28" s="5" t="n">
        <v>131000</v>
      </c>
      <c r="C28" s="5" t="n">
        <v>1306</v>
      </c>
      <c r="D28" s="5" t="n">
        <v>5025</v>
      </c>
      <c r="E28" s="5" t="n">
        <v>137331</v>
      </c>
      <c r="F28" s="5" t="n"/>
      <c r="G28" s="5" t="n">
        <v>137331</v>
      </c>
    </row>
    <row r="29">
      <c r="A29" s="6" t="inlineStr">
        <is>
          <t>Impact of adopting IFRS 16 (Note 20)</t>
        </is>
      </c>
      <c r="B29" s="6" t="n"/>
      <c r="C29" s="6" t="n"/>
      <c r="D29" s="6" t="n">
        <v>-29</v>
      </c>
      <c r="E29" s="6" t="n">
        <v>-29</v>
      </c>
      <c r="F29" s="6" t="n"/>
      <c r="G29" s="6" t="n">
        <v>-29</v>
      </c>
    </row>
    <row r="30">
      <c r="A30" s="6" t="inlineStr">
        <is>
          <t>Dividend to Cynergy Capital Ltd</t>
        </is>
      </c>
      <c r="B30" s="6" t="n"/>
      <c r="C30" s="6" t="n"/>
      <c r="D30" s="6" t="n">
        <v>-300</v>
      </c>
      <c r="E30" s="6" t="n">
        <v>-300</v>
      </c>
      <c r="F30" s="6" t="n"/>
      <c r="G30" s="6" t="n">
        <v>-300</v>
      </c>
    </row>
    <row r="31">
      <c r="A31" s="6" t="inlineStr">
        <is>
          <t>Profit for the year after tax</t>
        </is>
      </c>
      <c r="B31" s="6" t="n"/>
      <c r="C31" s="6" t="n"/>
      <c r="D31" s="6" t="n">
        <v>13519</v>
      </c>
      <c r="E31" s="6" t="n">
        <v>13519</v>
      </c>
      <c r="F31" s="6" t="n"/>
      <c r="G31" s="6" t="n">
        <v>13519</v>
      </c>
    </row>
    <row r="32">
      <c r="A32" s="6" t="inlineStr">
        <is>
          <t>Other comprehensive income</t>
        </is>
      </c>
      <c r="B32" s="6" t="n"/>
      <c r="C32" s="6" t="n">
        <v>1129</v>
      </c>
      <c r="D32" s="6" t="n"/>
      <c r="E32" s="6" t="n">
        <v>1129</v>
      </c>
      <c r="F32" s="6" t="n"/>
      <c r="G32" s="6" t="n">
        <v>1129</v>
      </c>
    </row>
    <row r="33">
      <c r="A33" s="6" t="inlineStr">
        <is>
          <t>Issue of share capital (Note 27)</t>
        </is>
      </c>
      <c r="B33" s="6" t="n">
        <v>15000</v>
      </c>
      <c r="C33" s="6" t="n"/>
      <c r="D33" s="6" t="n"/>
      <c r="E33" s="6" t="n">
        <v>15000</v>
      </c>
      <c r="F33" s="6" t="n"/>
      <c r="G33" s="6" t="n">
        <v>15000</v>
      </c>
    </row>
    <row r="34">
      <c r="A34" s="5" t="inlineStr">
        <is>
          <t>At 31 December 2019</t>
        </is>
      </c>
      <c r="B34" s="5" t="n">
        <v>146000</v>
      </c>
      <c r="C34" s="5" t="n">
        <v>2435</v>
      </c>
      <c r="D34" s="5" t="n">
        <v>18215</v>
      </c>
      <c r="E34" s="5" t="n">
        <v>166650</v>
      </c>
      <c r="F34" s="5" t="n"/>
      <c r="G34" s="5" t="n">
        <v>166650</v>
      </c>
    </row>
    <row r="35">
      <c r="A35" s="5" t="inlineStr">
        <is>
          <t>At 1 January 2020</t>
        </is>
      </c>
      <c r="B35" s="5" t="n">
        <v>146000</v>
      </c>
      <c r="C35" s="5" t="n">
        <v>2435</v>
      </c>
      <c r="D35" s="5" t="n">
        <v>18215</v>
      </c>
      <c r="E35" s="5" t="n">
        <v>166650</v>
      </c>
      <c r="F35" s="5" t="n"/>
      <c r="G35" s="5" t="n">
        <v>166650</v>
      </c>
    </row>
    <row r="36">
      <c r="A36" s="6" t="inlineStr">
        <is>
          <t>Profit for the year after tax</t>
        </is>
      </c>
      <c r="B36" s="6" t="n"/>
      <c r="C36" s="6" t="n"/>
      <c r="D36" s="6" t="n">
        <v>20828</v>
      </c>
      <c r="E36" s="6" t="n">
        <v>20828</v>
      </c>
      <c r="F36" s="6" t="n"/>
      <c r="G36" s="6" t="n">
        <v>20828</v>
      </c>
    </row>
    <row r="37">
      <c r="A37" s="6" t="inlineStr">
        <is>
          <t>Other comprehensive expense</t>
        </is>
      </c>
      <c r="B37" s="6" t="n"/>
      <c r="C37" s="6" t="n">
        <v>-761</v>
      </c>
      <c r="D37" s="6" t="n">
        <v>70</v>
      </c>
      <c r="E37" s="6" t="n">
        <v>-691</v>
      </c>
      <c r="F37" s="6" t="n"/>
      <c r="G37" s="6" t="n">
        <v>-691</v>
      </c>
    </row>
    <row r="38">
      <c r="A38" s="6" t="inlineStr">
        <is>
          <t>Issue of share capital (note 27)</t>
        </is>
      </c>
      <c r="B38" s="6" t="n">
        <v>9000</v>
      </c>
      <c r="C38" s="6" t="n"/>
      <c r="D38" s="6" t="n"/>
      <c r="E38" s="6" t="n">
        <v>9000</v>
      </c>
      <c r="F38" s="6" t="n"/>
      <c r="G38" s="6" t="n">
        <v>9000</v>
      </c>
    </row>
    <row r="39">
      <c r="A39" s="5" t="inlineStr">
        <is>
          <t>At 31 December 2020</t>
        </is>
      </c>
      <c r="B39" s="5" t="n">
        <v>155000</v>
      </c>
      <c r="C39" s="5" t="n">
        <v>1674</v>
      </c>
      <c r="D39" s="5" t="n">
        <v>39113</v>
      </c>
      <c r="E39" s="5" t="n">
        <v>195787</v>
      </c>
      <c r="F39" s="5" t="n"/>
      <c r="G39" s="5" t="n">
        <v>195787</v>
      </c>
    </row>
    <row r="40">
      <c r="A40" s="5" t="inlineStr">
        <is>
          <t>At 1 January 2021 (via FY2022 report's own comparative)</t>
        </is>
      </c>
      <c r="B40" s="5" t="n">
        <v>155000</v>
      </c>
      <c r="C40" s="5" t="n">
        <v>1674</v>
      </c>
      <c r="D40" s="5" t="n">
        <v>39113</v>
      </c>
      <c r="E40" s="5" t="n">
        <v>195787</v>
      </c>
      <c r="F40" s="5" t="n">
        <v>0</v>
      </c>
      <c r="G40" s="5" t="n">
        <v>195787</v>
      </c>
    </row>
    <row r="41">
      <c r="A41" s="6" t="inlineStr">
        <is>
          <t>Profit for the year after tax</t>
        </is>
      </c>
      <c r="B41" s="6" t="n"/>
      <c r="C41" s="6" t="n"/>
      <c r="D41" s="6" t="n">
        <v>25078</v>
      </c>
      <c r="E41" s="6" t="n">
        <v>25078</v>
      </c>
      <c r="F41" s="6" t="n">
        <v>-149</v>
      </c>
      <c r="G41" s="6" t="n">
        <v>24929</v>
      </c>
    </row>
    <row r="42">
      <c r="A42" s="5" t="inlineStr">
        <is>
          <t>At 31 December 2021</t>
        </is>
      </c>
      <c r="B42" s="5" t="n">
        <v>155000</v>
      </c>
      <c r="C42" s="5" t="n">
        <v>1674</v>
      </c>
      <c r="D42" s="5" t="n">
        <v>64191</v>
      </c>
      <c r="E42" s="5" t="n">
        <v>220865</v>
      </c>
      <c r="F42" s="5" t="n">
        <v>-149</v>
      </c>
      <c r="G42" s="5" t="n">
        <v>220716</v>
      </c>
    </row>
    <row r="43">
      <c r="A43" s="5" t="inlineStr">
        <is>
          <t>At 1 January 2022</t>
        </is>
      </c>
      <c r="B43" s="5" t="n">
        <v>155000</v>
      </c>
      <c r="C43" s="5" t="n">
        <v>1674</v>
      </c>
      <c r="D43" s="5" t="n">
        <v>64191</v>
      </c>
      <c r="E43" s="5" t="n">
        <v>220865</v>
      </c>
      <c r="F43" s="5" t="n">
        <v>-149</v>
      </c>
      <c r="G43" s="5" t="n">
        <v>220716</v>
      </c>
    </row>
    <row r="44">
      <c r="A44" s="6" t="inlineStr">
        <is>
          <t>Profit/(loss) for the year after tax</t>
        </is>
      </c>
      <c r="B44" s="6" t="n"/>
      <c r="C44" s="6" t="n"/>
      <c r="D44" s="6" t="n">
        <v>40299</v>
      </c>
      <c r="E44" s="6" t="n">
        <v>40299</v>
      </c>
      <c r="F44" s="6" t="n">
        <v>-43</v>
      </c>
      <c r="G44" s="6" t="n">
        <v>40256</v>
      </c>
    </row>
    <row r="45">
      <c r="A45" s="6" t="inlineStr">
        <is>
          <t>Other comprehensive income (revaluation of own properties)</t>
        </is>
      </c>
      <c r="B45" s="6" t="n"/>
      <c r="C45" s="6" t="n">
        <v>1474</v>
      </c>
      <c r="D45" s="6" t="n"/>
      <c r="E45" s="6" t="n">
        <v>1474</v>
      </c>
      <c r="F45" s="6" t="n"/>
      <c r="G45" s="6" t="n">
        <v>1474</v>
      </c>
    </row>
    <row r="46">
      <c r="A46" s="6" t="inlineStr">
        <is>
          <t>Issue of share capital</t>
        </is>
      </c>
      <c r="B46" s="6" t="n">
        <v>47000</v>
      </c>
      <c r="C46" s="6" t="n"/>
      <c r="D46" s="6" t="n"/>
      <c r="E46" s="6" t="n">
        <v>47000</v>
      </c>
      <c r="F46" s="6" t="n"/>
      <c r="G46" s="6" t="n">
        <v>47000</v>
      </c>
    </row>
    <row r="47">
      <c r="A47" s="5" t="inlineStr">
        <is>
          <t>At 31 December 2022</t>
        </is>
      </c>
      <c r="B47" s="5" t="n">
        <v>202000</v>
      </c>
      <c r="C47" s="5" t="n">
        <v>3148</v>
      </c>
      <c r="D47" s="5" t="n">
        <v>104490</v>
      </c>
      <c r="E47" s="5" t="n">
        <v>309638</v>
      </c>
      <c r="F47" s="5" t="n">
        <v>-192</v>
      </c>
      <c r="G47" s="5" t="n">
        <v>309446</v>
      </c>
    </row>
    <row r="48">
      <c r="A48" s="5" t="inlineStr">
        <is>
          <t>At 1 January 2023</t>
        </is>
      </c>
      <c r="B48" s="5" t="n">
        <v>202000</v>
      </c>
      <c r="C48" s="5" t="n">
        <v>3148</v>
      </c>
      <c r="D48" s="5" t="n">
        <v>104490</v>
      </c>
      <c r="E48" s="5" t="n">
        <v>309638</v>
      </c>
      <c r="F48" s="5" t="n">
        <v>-192</v>
      </c>
      <c r="G48" s="5" t="n">
        <v>309446</v>
      </c>
    </row>
    <row r="49">
      <c r="A49" s="6" t="inlineStr">
        <is>
          <t>Profit for the year after tax</t>
        </is>
      </c>
      <c r="B49" s="6" t="n"/>
      <c r="C49" s="6" t="n"/>
      <c r="D49" s="6" t="n">
        <v>40307</v>
      </c>
      <c r="E49" s="6" t="n">
        <v>40307</v>
      </c>
      <c r="F49" s="6" t="n">
        <v>306</v>
      </c>
      <c r="G49" s="6" t="n">
        <v>40613</v>
      </c>
    </row>
    <row r="50">
      <c r="A50" s="6" t="inlineStr">
        <is>
          <t>Other comprehensive income (tax on property revaluation)</t>
        </is>
      </c>
      <c r="B50" s="6" t="n"/>
      <c r="C50" s="6" t="n">
        <v>-509</v>
      </c>
      <c r="D50" s="6" t="n"/>
      <c r="E50" s="6" t="n">
        <v>-509</v>
      </c>
      <c r="F50" s="6" t="n"/>
      <c r="G50" s="6" t="n">
        <v>-509</v>
      </c>
    </row>
    <row r="51">
      <c r="A51" s="6" t="inlineStr">
        <is>
          <t>Transfer from revaluation reserve to retained earnings</t>
        </is>
      </c>
      <c r="B51" s="6" t="n"/>
      <c r="C51" s="6" t="n">
        <v>-206</v>
      </c>
      <c r="D51" s="6" t="n">
        <v>206</v>
      </c>
      <c r="E51" s="6" t="n"/>
      <c r="F51" s="6" t="n"/>
      <c r="G51" s="6" t="n"/>
    </row>
    <row r="52">
      <c r="A52" s="5" t="inlineStr">
        <is>
          <t>At 31 December 2023</t>
        </is>
      </c>
      <c r="B52" s="5" t="n">
        <v>202000</v>
      </c>
      <c r="C52" s="5" t="n">
        <v>2433</v>
      </c>
      <c r="D52" s="5" t="n">
        <v>145003</v>
      </c>
      <c r="E52" s="5" t="n">
        <v>349436</v>
      </c>
      <c r="F52" s="5" t="n">
        <v>114</v>
      </c>
      <c r="G52" s="5" t="n">
        <v>349550</v>
      </c>
    </row>
    <row r="53">
      <c r="A53" s="5" t="inlineStr">
        <is>
          <t>At 1 January 2024</t>
        </is>
      </c>
      <c r="B53" s="5" t="n">
        <v>202000</v>
      </c>
      <c r="C53" s="5" t="n">
        <v>2433</v>
      </c>
      <c r="D53" s="5" t="n">
        <v>145003</v>
      </c>
      <c r="E53" s="5" t="n">
        <v>349436</v>
      </c>
      <c r="F53" s="5" t="n">
        <v>114</v>
      </c>
      <c r="G53" s="5" t="n">
        <v>349550</v>
      </c>
    </row>
    <row r="54">
      <c r="A54" s="6" t="inlineStr">
        <is>
          <t>Profit for the year after tax</t>
        </is>
      </c>
      <c r="B54" s="6" t="n"/>
      <c r="C54" s="6" t="n"/>
      <c r="D54" s="6" t="n">
        <v>39554</v>
      </c>
      <c r="E54" s="6" t="n">
        <v>39554</v>
      </c>
      <c r="F54" s="6" t="n">
        <v>680</v>
      </c>
      <c r="G54" s="6" t="n">
        <v>40234</v>
      </c>
    </row>
    <row r="55">
      <c r="A55" s="6" t="inlineStr">
        <is>
          <t>Other comprehensive income (revaluation loss on property, net of tax)</t>
        </is>
      </c>
      <c r="B55" s="6" t="n"/>
      <c r="C55" s="6" t="n">
        <v>-1928</v>
      </c>
      <c r="D55" s="6" t="n"/>
      <c r="E55" s="6" t="n">
        <v>-1928</v>
      </c>
      <c r="F55" s="6" t="n"/>
      <c r="G55" s="6" t="n">
        <v>-1928</v>
      </c>
    </row>
    <row r="56">
      <c r="A56" s="5" t="inlineStr">
        <is>
          <t>At 31 December 2024</t>
        </is>
      </c>
      <c r="B56" s="5" t="n">
        <v>202000</v>
      </c>
      <c r="C56" s="5" t="n">
        <v>505</v>
      </c>
      <c r="D56" s="5" t="n">
        <v>184557</v>
      </c>
      <c r="E56" s="5" t="n">
        <v>387062</v>
      </c>
      <c r="F56" s="5" t="n">
        <v>794</v>
      </c>
      <c r="G56" s="5" t="n">
        <v>387856</v>
      </c>
    </row>
    <row r="57">
      <c r="A57" s="5" t="inlineStr">
        <is>
          <t>At 1 January 2025</t>
        </is>
      </c>
      <c r="B57" s="5" t="n">
        <v>202000</v>
      </c>
      <c r="C57" s="5" t="n">
        <v>505</v>
      </c>
      <c r="D57" s="5" t="n">
        <v>184557</v>
      </c>
      <c r="E57" s="5" t="n">
        <v>387062</v>
      </c>
      <c r="F57" s="5" t="n">
        <v>794</v>
      </c>
      <c r="G57" s="5" t="n">
        <v>387856</v>
      </c>
    </row>
    <row r="58">
      <c r="A58" s="6" t="inlineStr">
        <is>
          <t>Profit for the year after tax</t>
        </is>
      </c>
      <c r="B58" s="6" t="n"/>
      <c r="C58" s="6" t="n"/>
      <c r="D58" s="6" t="n">
        <v>36745</v>
      </c>
      <c r="E58" s="6" t="n">
        <v>36745</v>
      </c>
      <c r="F58" s="6" t="n">
        <v>1195</v>
      </c>
      <c r="G58" s="6" t="n">
        <v>37940</v>
      </c>
    </row>
    <row r="59">
      <c r="A59" s="6" t="inlineStr">
        <is>
          <t>Transfer and tax release on disposal of revalued asset</t>
        </is>
      </c>
      <c r="B59" s="6" t="n"/>
      <c r="C59" s="6" t="n">
        <v>-505</v>
      </c>
      <c r="D59" s="6" t="n">
        <v>938</v>
      </c>
      <c r="E59" s="6" t="n">
        <v>433</v>
      </c>
      <c r="F59" s="6" t="n"/>
      <c r="G59" s="6" t="n">
        <v>433</v>
      </c>
    </row>
    <row r="60">
      <c r="A60" s="5" t="inlineStr">
        <is>
          <t>At 31 December 2025</t>
        </is>
      </c>
      <c r="B60" s="5" t="n">
        <v>202000</v>
      </c>
      <c r="C60" s="5" t="n">
        <v>0</v>
      </c>
      <c r="D60" s="5" t="n">
        <v>222240</v>
      </c>
      <c r="E60" s="5" t="n">
        <v>424240</v>
      </c>
      <c r="F60" s="5" t="n">
        <v>1989</v>
      </c>
      <c r="G60" s="5" t="n">
        <v>426229</v>
      </c>
    </row>
    <row r="62" ht="320" customHeight="1">
      <c r="A62"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FY2013 (own): Bank of Cyprus UK Limited Annual Report &amp; Accounts 2013 (Companies House filing, scanned), p.10-12,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
HD-072 (statutory statements extended to FY2013): FY2013 is the real statutory floor for this entity (per HD-002's deep dive) - Bank of Cyprus UK Limited was incorporated 9 Apr 2003 as 'Bank of Cyprus Advances Limited' but only became an independently-capitalised subsidiary (rather than a UK branch of the Cyprus parent) on 25 June 2012, so no earlier year has a comparable standalone statutory statement - FY2012 itself is a part-year (25 Jun-31 Dec 2012) stub and is not usable as a prior year. FY2013's own Statement of financial position has no 'Property revaluation reserve' line at all (the reserve first appears in FY2014's own accounts, at £3,332k) - shown as 0 on the FY2013 closing / FY2014 opening equity balance, consistent with the source, not a gap. FY2013 also predates the 'Right-of-use assets'/'Lease liabilities' (pre-IFRS16), 'Assets classified as held for sale' and 'Deferred tax liabilities' lines seen in later years - left blank, same convention as FY2014-2017. FY2013's own Income Statement reports a 'Net gains on financial instrument transactions' line (£332k), shown on the 'Fair value adjustment/(loss)/gain on hedging or derivative instruments' row - the closest equivalent line in later years' presentation.</t>
        </is>
      </c>
    </row>
  </sheetData>
  <mergeCells count="1">
    <mergeCell ref="A62:G6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Cynergy Bank Plc — Consolidated and Company Statement of Cash Flows</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Operating activities</t>
        </is>
      </c>
      <c r="B4" s="6" t="n"/>
      <c r="C4" s="6" t="n"/>
      <c r="D4" s="6" t="n"/>
      <c r="E4" s="6" t="n"/>
      <c r="F4" s="6" t="n"/>
      <c r="G4" s="6" t="n"/>
      <c r="H4" s="6" t="n"/>
      <c r="I4" s="6" t="n"/>
      <c r="J4" s="6" t="n"/>
      <c r="K4" s="6" t="n"/>
      <c r="L4" s="6" t="n"/>
      <c r="M4" s="6" t="n"/>
      <c r="N4" s="6" t="n"/>
    </row>
    <row r="5">
      <c r="A5" s="6" t="inlineStr">
        <is>
          <t>Profit before tax</t>
        </is>
      </c>
      <c r="B5" s="6" t="n">
        <v>51564</v>
      </c>
      <c r="C5" s="6" t="n">
        <v>52632</v>
      </c>
      <c r="D5" s="6" t="n">
        <v>55157</v>
      </c>
      <c r="E5" s="6" t="n">
        <v>50489</v>
      </c>
      <c r="F5" s="6" t="n">
        <v>30400</v>
      </c>
      <c r="G5" s="6" t="n">
        <v>27016</v>
      </c>
      <c r="H5" s="6" t="n">
        <v>16571</v>
      </c>
      <c r="I5" s="6" t="n">
        <v>6157</v>
      </c>
      <c r="J5" s="6" t="n">
        <v>1916</v>
      </c>
      <c r="K5" s="6" t="n">
        <v>-8112</v>
      </c>
      <c r="L5" s="6" t="n">
        <v>4583</v>
      </c>
      <c r="M5" s="6" t="n">
        <v>4189</v>
      </c>
      <c r="N5" s="6" t="n">
        <v>115</v>
      </c>
    </row>
    <row r="6">
      <c r="A6" s="6" t="inlineStr">
        <is>
          <t>Credit impairment charges/(reversals) on financial assets</t>
        </is>
      </c>
      <c r="B6" s="6" t="n">
        <v>-91</v>
      </c>
      <c r="C6" s="6" t="n">
        <v>2082</v>
      </c>
      <c r="D6" s="6" t="n">
        <v>4445</v>
      </c>
      <c r="E6" s="6" t="n">
        <v>9100</v>
      </c>
      <c r="F6" s="6" t="n">
        <v>5396</v>
      </c>
      <c r="G6" s="6" t="n">
        <v>4986</v>
      </c>
      <c r="H6" s="6" t="n">
        <v>292</v>
      </c>
      <c r="I6" s="6" t="n">
        <v>223</v>
      </c>
      <c r="J6" s="6" t="n">
        <v>-497</v>
      </c>
      <c r="K6" s="6" t="n">
        <v>-898</v>
      </c>
      <c r="L6" s="6" t="n">
        <v>-688</v>
      </c>
      <c r="M6" s="6" t="n">
        <v>-3294</v>
      </c>
      <c r="N6" s="6" t="n">
        <v>1287</v>
      </c>
    </row>
    <row r="7">
      <c r="A7" s="6" t="inlineStr">
        <is>
          <t>Depreciation of property, equipment and right-of-use assets</t>
        </is>
      </c>
      <c r="B7" s="6" t="n">
        <v>2028</v>
      </c>
      <c r="C7" s="6" t="n">
        <v>2197</v>
      </c>
      <c r="D7" s="6" t="n">
        <v>1730</v>
      </c>
      <c r="E7" s="6" t="n">
        <v>378</v>
      </c>
      <c r="F7" s="6" t="n">
        <v>1018</v>
      </c>
      <c r="G7" s="6" t="n">
        <v>1301</v>
      </c>
      <c r="H7" s="6" t="n">
        <v>773</v>
      </c>
      <c r="I7" s="6" t="n">
        <v>1036</v>
      </c>
      <c r="J7" s="6" t="n">
        <v>940</v>
      </c>
      <c r="K7" s="6" t="n">
        <v>969</v>
      </c>
      <c r="L7" s="6" t="n">
        <v>1085</v>
      </c>
      <c r="M7" s="6" t="n">
        <v>1087</v>
      </c>
      <c r="N7" s="6" t="n">
        <v>1123</v>
      </c>
    </row>
    <row r="8">
      <c r="A8" s="6" t="inlineStr">
        <is>
          <t>Amortisation of intangible assets</t>
        </is>
      </c>
      <c r="B8" s="6" t="n">
        <v>9891</v>
      </c>
      <c r="C8" s="6" t="n">
        <v>7264</v>
      </c>
      <c r="D8" s="6" t="n">
        <v>4636</v>
      </c>
      <c r="E8" s="6" t="n">
        <v>3876</v>
      </c>
      <c r="F8" s="6" t="n">
        <v>2429</v>
      </c>
      <c r="G8" s="6" t="n">
        <v>3070</v>
      </c>
      <c r="H8" s="6" t="n">
        <v>501</v>
      </c>
      <c r="I8" s="6" t="n">
        <v>643</v>
      </c>
      <c r="J8" s="6" t="n">
        <v>569</v>
      </c>
      <c r="K8" s="6" t="n">
        <v>457</v>
      </c>
      <c r="L8" s="6" t="n">
        <v>406</v>
      </c>
      <c r="M8" s="6" t="n">
        <v>366</v>
      </c>
      <c r="N8" s="6" t="n">
        <v>330</v>
      </c>
    </row>
    <row r="9">
      <c r="A9" s="6" t="inlineStr">
        <is>
          <t>Write-off/impairment of fixed and intangible assets</t>
        </is>
      </c>
      <c r="B9" s="6" t="n">
        <v>597</v>
      </c>
      <c r="C9" s="6" t="n">
        <v>305</v>
      </c>
      <c r="D9" s="6" t="n">
        <v>706</v>
      </c>
      <c r="E9" s="6" t="n">
        <v>1215</v>
      </c>
      <c r="F9" s="6" t="n"/>
      <c r="G9" s="6" t="n">
        <v>77</v>
      </c>
      <c r="H9" s="6" t="n"/>
      <c r="I9" s="6" t="n">
        <v>1703</v>
      </c>
      <c r="J9" s="6" t="n"/>
      <c r="K9" s="6" t="n"/>
      <c r="L9" s="6" t="n"/>
      <c r="M9" s="6" t="n"/>
      <c r="N9" s="6" t="n"/>
    </row>
    <row r="10">
      <c r="A10" s="6" t="inlineStr">
        <is>
          <t>Gain on disposal of property</t>
        </is>
      </c>
      <c r="B10" s="6" t="n"/>
      <c r="C10" s="6" t="n"/>
      <c r="D10" s="6" t="n"/>
      <c r="E10" s="6" t="n">
        <v>-9230</v>
      </c>
      <c r="F10" s="6" t="n"/>
      <c r="G10" s="6" t="n">
        <v>-30</v>
      </c>
      <c r="H10" s="6" t="n"/>
      <c r="I10" s="6" t="n"/>
      <c r="J10" s="6" t="n"/>
      <c r="K10" s="6" t="n"/>
      <c r="L10" s="6" t="n"/>
      <c r="M10" s="6" t="n"/>
      <c r="N10" s="6" t="n"/>
    </row>
    <row r="11">
      <c r="A11" s="6" t="inlineStr">
        <is>
          <t>Deferred gain on disposal of property</t>
        </is>
      </c>
      <c r="B11" s="6" t="n"/>
      <c r="C11" s="6" t="n"/>
      <c r="D11" s="6" t="n">
        <v>-276</v>
      </c>
      <c r="E11" s="6" t="n">
        <v>-277</v>
      </c>
      <c r="F11" s="6" t="n"/>
      <c r="G11" s="6" t="n"/>
      <c r="H11" s="6" t="n"/>
      <c r="I11" s="6" t="n"/>
      <c r="J11" s="6" t="n"/>
      <c r="K11" s="6" t="n"/>
      <c r="L11" s="6" t="n"/>
      <c r="M11" s="6" t="n"/>
      <c r="N11" s="6" t="n"/>
    </row>
    <row r="12">
      <c r="A12" s="6" t="inlineStr">
        <is>
          <t>Other gains</t>
        </is>
      </c>
      <c r="B12" s="6" t="n">
        <v>-404</v>
      </c>
      <c r="C12" s="6" t="n">
        <v>-1000</v>
      </c>
      <c r="D12" s="6" t="n"/>
      <c r="E12" s="6" t="n"/>
      <c r="F12" s="6" t="n"/>
      <c r="G12" s="6" t="n"/>
      <c r="H12" s="6" t="n"/>
      <c r="I12" s="6" t="n"/>
      <c r="J12" s="6" t="n"/>
      <c r="K12" s="6" t="n"/>
      <c r="L12" s="6" t="n"/>
      <c r="M12" s="6" t="n"/>
      <c r="N12" s="6" t="n"/>
    </row>
    <row r="13">
      <c r="A13" s="6" t="inlineStr">
        <is>
          <t>Net gains on derecognition of financial assets</t>
        </is>
      </c>
      <c r="B13" s="6" t="n">
        <v>-3578</v>
      </c>
      <c r="C13" s="6" t="n"/>
      <c r="D13" s="6" t="n"/>
      <c r="E13" s="6" t="n"/>
      <c r="F13" s="6" t="n"/>
      <c r="G13" s="6" t="n"/>
      <c r="H13" s="6" t="n"/>
      <c r="I13" s="6" t="n"/>
      <c r="J13" s="6" t="n"/>
      <c r="K13" s="6" t="n"/>
      <c r="L13" s="6" t="n"/>
      <c r="M13" s="6" t="n"/>
      <c r="N13" s="6" t="n"/>
    </row>
    <row r="14">
      <c r="A14" s="6" t="inlineStr">
        <is>
          <t>Dissolution of subsidiary</t>
        </is>
      </c>
      <c r="B14" s="6" t="n"/>
      <c r="C14" s="6" t="n"/>
      <c r="D14" s="6" t="n"/>
      <c r="E14" s="6" t="n"/>
      <c r="F14" s="6" t="n"/>
      <c r="G14" s="6" t="n">
        <v>10</v>
      </c>
      <c r="H14" s="6" t="n"/>
      <c r="I14" s="6" t="n"/>
      <c r="J14" s="6" t="n"/>
      <c r="K14" s="6" t="n"/>
      <c r="L14" s="6" t="n"/>
      <c r="M14" s="6" t="n"/>
      <c r="N14" s="6" t="n"/>
    </row>
    <row r="15">
      <c r="A15" s="6" t="inlineStr">
        <is>
          <t>Collection of previously written off debt</t>
        </is>
      </c>
      <c r="B15" s="6" t="n"/>
      <c r="C15" s="6" t="n"/>
      <c r="D15" s="6" t="n"/>
      <c r="E15" s="6" t="n"/>
      <c r="F15" s="6" t="n"/>
      <c r="G15" s="6" t="n"/>
      <c r="H15" s="6" t="n"/>
      <c r="I15" s="6" t="n"/>
      <c r="J15" s="6" t="n">
        <v>249</v>
      </c>
      <c r="K15" s="6" t="n"/>
      <c r="L15" s="6" t="n"/>
      <c r="M15" s="6" t="n"/>
      <c r="N15" s="6" t="n"/>
    </row>
    <row r="16">
      <c r="A16" s="6" t="inlineStr">
        <is>
          <t>Lease interest</t>
        </is>
      </c>
      <c r="B16" s="6" t="n">
        <v>877</v>
      </c>
      <c r="C16" s="6" t="n">
        <v>946</v>
      </c>
      <c r="D16" s="6" t="n">
        <v>937</v>
      </c>
      <c r="E16" s="6" t="n">
        <v>81</v>
      </c>
      <c r="F16" s="6" t="n">
        <v>29</v>
      </c>
      <c r="G16" s="6" t="n">
        <v>18</v>
      </c>
      <c r="H16" s="6" t="n">
        <v>8</v>
      </c>
      <c r="I16" s="6" t="n"/>
      <c r="J16" s="6" t="n"/>
      <c r="K16" s="6" t="n"/>
      <c r="L16" s="6" t="n"/>
      <c r="M16" s="6" t="n"/>
      <c r="N16" s="6" t="n"/>
    </row>
    <row r="17">
      <c r="A17" s="6" t="inlineStr">
        <is>
          <t>Interest expense on subordinated loan(s)</t>
        </is>
      </c>
      <c r="B17" s="6" t="n">
        <v>4218</v>
      </c>
      <c r="C17" s="6" t="n">
        <v>1851</v>
      </c>
      <c r="D17" s="6" t="n">
        <v>783</v>
      </c>
      <c r="E17" s="6" t="n">
        <v>2328</v>
      </c>
      <c r="F17" s="6" t="n">
        <v>2400</v>
      </c>
      <c r="G17" s="6" t="n">
        <v>2406</v>
      </c>
      <c r="H17" s="6" t="n">
        <v>2400</v>
      </c>
      <c r="I17" s="6" t="n">
        <v>2500</v>
      </c>
      <c r="J17" s="6" t="n">
        <v>949</v>
      </c>
      <c r="K17" s="6" t="n">
        <v>2264</v>
      </c>
      <c r="L17" s="6" t="n">
        <v>2272</v>
      </c>
      <c r="M17" s="6" t="n">
        <v>2262</v>
      </c>
      <c r="N17" s="6" t="n">
        <v>2262</v>
      </c>
    </row>
    <row r="18">
      <c r="A18" s="6" t="inlineStr">
        <is>
          <t>Interest income on asset-backed securities (accrual adjustment)</t>
        </is>
      </c>
      <c r="B18" s="6" t="n">
        <v>-21020</v>
      </c>
      <c r="C18" s="6" t="n">
        <v>-11703</v>
      </c>
      <c r="D18" s="6" t="n">
        <v>-5667</v>
      </c>
      <c r="E18" s="6" t="n">
        <v>-2570</v>
      </c>
      <c r="F18" s="6" t="n">
        <v>-76</v>
      </c>
      <c r="G18" s="6" t="n"/>
      <c r="H18" s="6" t="n"/>
      <c r="I18" s="6" t="n"/>
      <c r="J18" s="6" t="n"/>
      <c r="K18" s="6" t="n"/>
      <c r="L18" s="6" t="n"/>
      <c r="M18" s="6" t="n"/>
      <c r="N18" s="6" t="n"/>
    </row>
    <row r="19">
      <c r="A19" s="6" t="inlineStr">
        <is>
          <t>Amortisation of issuance costs relating to subordinated loan(s)</t>
        </is>
      </c>
      <c r="B19" s="6" t="n">
        <v>-76</v>
      </c>
      <c r="C19" s="6" t="n">
        <v>34</v>
      </c>
      <c r="D19" s="6" t="n">
        <v>21</v>
      </c>
      <c r="E19" s="6" t="n"/>
      <c r="F19" s="6" t="n">
        <v>125</v>
      </c>
      <c r="G19" s="6" t="n">
        <v>115</v>
      </c>
      <c r="H19" s="6" t="n">
        <v>105</v>
      </c>
      <c r="I19" s="6" t="n">
        <v>100</v>
      </c>
      <c r="J19" s="6" t="n"/>
      <c r="K19" s="6" t="n"/>
      <c r="L19" s="6" t="n"/>
      <c r="M19" s="6" t="n"/>
      <c r="N19" s="6" t="n"/>
    </row>
    <row r="20">
      <c r="A20" s="6" t="inlineStr">
        <is>
          <t>Interest paid on lease liabilities (accrual adjustment)</t>
        </is>
      </c>
      <c r="B20" s="6" t="n">
        <v>-839</v>
      </c>
      <c r="C20" s="6" t="n"/>
      <c r="D20" s="6" t="n"/>
      <c r="E20" s="6" t="n"/>
      <c r="F20" s="6" t="n"/>
      <c r="G20" s="6" t="n"/>
      <c r="H20" s="6" t="n"/>
      <c r="I20" s="6" t="n"/>
      <c r="J20" s="6" t="n"/>
      <c r="K20" s="6" t="n"/>
      <c r="L20" s="6" t="n"/>
      <c r="M20" s="6" t="n"/>
      <c r="N20" s="6" t="n"/>
    </row>
    <row r="21">
      <c r="A21" s="6" t="inlineStr">
        <is>
          <t>Tax paid</t>
        </is>
      </c>
      <c r="B21" s="6" t="n">
        <v>-13475</v>
      </c>
      <c r="C21" s="6" t="n">
        <v>-6580</v>
      </c>
      <c r="D21" s="6" t="n">
        <v>-17052</v>
      </c>
      <c r="E21" s="6" t="n">
        <v>-9937</v>
      </c>
      <c r="F21" s="6" t="n">
        <v>-6409</v>
      </c>
      <c r="G21" s="6" t="n">
        <v>-5255</v>
      </c>
      <c r="H21" s="6" t="n">
        <v>-2087</v>
      </c>
      <c r="I21" s="6" t="n">
        <v>-1613</v>
      </c>
      <c r="J21" s="6" t="n">
        <v>-820</v>
      </c>
      <c r="K21" s="6" t="n">
        <v>998</v>
      </c>
      <c r="L21" s="6" t="n">
        <v>407</v>
      </c>
      <c r="M21" s="6" t="n">
        <v>0</v>
      </c>
      <c r="N21" s="6" t="n">
        <v>-382</v>
      </c>
    </row>
    <row r="22">
      <c r="A22" s="6" t="inlineStr">
        <is>
          <t>Foreign exchange losses/(gains)</t>
        </is>
      </c>
      <c r="B22" s="6" t="n">
        <v>677</v>
      </c>
      <c r="C22" s="6" t="n">
        <v>-711</v>
      </c>
      <c r="D22" s="6" t="n">
        <v>-42</v>
      </c>
      <c r="E22" s="6" t="n">
        <v>977</v>
      </c>
      <c r="F22" s="6" t="n">
        <v>68</v>
      </c>
      <c r="G22" s="6" t="n"/>
      <c r="H22" s="6" t="n">
        <v>-424</v>
      </c>
      <c r="I22" s="6" t="n">
        <v>-285</v>
      </c>
      <c r="J22" s="6" t="n">
        <v>-302</v>
      </c>
      <c r="K22" s="6" t="n"/>
      <c r="L22" s="6" t="n"/>
      <c r="M22" s="6" t="n"/>
      <c r="N22" s="6" t="n"/>
    </row>
    <row r="23">
      <c r="A23" s="6" t="inlineStr">
        <is>
          <t>Foreign exchange and fair value losses/(gains) on derivative instruments (combined, as reported)</t>
        </is>
      </c>
      <c r="B23" s="6" t="n"/>
      <c r="C23" s="6" t="n"/>
      <c r="D23" s="6" t="n"/>
      <c r="E23" s="6" t="n"/>
      <c r="F23" s="6" t="n"/>
      <c r="G23" s="6" t="n">
        <v>446</v>
      </c>
      <c r="H23" s="6" t="n"/>
      <c r="I23" s="6" t="n"/>
      <c r="J23" s="6" t="n"/>
      <c r="K23" s="6" t="n"/>
      <c r="L23" s="6" t="n"/>
      <c r="M23" s="6" t="n"/>
      <c r="N23" s="6" t="n"/>
    </row>
    <row r="24">
      <c r="A24" s="6" t="inlineStr">
        <is>
          <t>Fair value (gains)/losses on derivative/hedging instruments</t>
        </is>
      </c>
      <c r="B24" s="6" t="n">
        <v>-544</v>
      </c>
      <c r="C24" s="6" t="n">
        <v>204</v>
      </c>
      <c r="D24" s="6" t="n">
        <v>-2111</v>
      </c>
      <c r="E24" s="6" t="n">
        <v>-3983</v>
      </c>
      <c r="F24" s="6" t="n"/>
      <c r="G24" s="6" t="n"/>
      <c r="H24" s="6" t="n"/>
      <c r="I24" s="6" t="n"/>
      <c r="J24" s="6" t="n"/>
      <c r="K24" s="6" t="n"/>
      <c r="L24" s="6" t="n"/>
      <c r="M24" s="6" t="n"/>
      <c r="N24" s="6" t="n"/>
    </row>
    <row r="25">
      <c r="A25" s="5" t="inlineStr">
        <is>
          <t>Changes in operating assets</t>
        </is>
      </c>
      <c r="B25" s="6" t="n"/>
      <c r="C25" s="6" t="n"/>
      <c r="D25" s="6" t="n"/>
      <c r="E25" s="6" t="n"/>
      <c r="F25" s="6" t="n"/>
      <c r="G25" s="6" t="n"/>
      <c r="H25" s="6" t="n"/>
      <c r="I25" s="6" t="n"/>
      <c r="J25" s="6" t="n"/>
      <c r="K25" s="6" t="n"/>
      <c r="L25" s="6" t="n"/>
      <c r="M25" s="6" t="n"/>
      <c r="N25" s="6" t="n"/>
    </row>
    <row r="26">
      <c r="A26" s="6" t="inlineStr">
        <is>
          <t>Mandatory deposits with central bank</t>
        </is>
      </c>
      <c r="B26" s="6" t="n">
        <v>0</v>
      </c>
      <c r="C26" s="6" t="n">
        <v>9348</v>
      </c>
      <c r="D26" s="6" t="n">
        <v>-549</v>
      </c>
      <c r="E26" s="6" t="n">
        <v>-1576</v>
      </c>
      <c r="F26" s="6" t="n">
        <v>-1491</v>
      </c>
      <c r="G26" s="6" t="n">
        <v>-1969</v>
      </c>
      <c r="H26" s="6" t="n">
        <v>-1081</v>
      </c>
      <c r="I26" s="6" t="n">
        <v>-1621</v>
      </c>
      <c r="J26" s="6" t="n">
        <v>-464</v>
      </c>
      <c r="K26" s="6" t="n">
        <v>-258</v>
      </c>
      <c r="L26" s="6" t="n"/>
      <c r="M26" s="6" t="n">
        <v>0</v>
      </c>
      <c r="N26" s="6" t="n"/>
    </row>
    <row r="27">
      <c r="A27" s="6" t="inlineStr">
        <is>
          <t>Loans and advances to customers</t>
        </is>
      </c>
      <c r="B27" s="6" t="n">
        <v>-545166</v>
      </c>
      <c r="C27" s="6" t="n">
        <v>-90320</v>
      </c>
      <c r="D27" s="6" t="n">
        <v>-313908</v>
      </c>
      <c r="E27" s="6" t="n">
        <v>-313752</v>
      </c>
      <c r="F27" s="6" t="n">
        <v>-341012</v>
      </c>
      <c r="G27" s="6" t="n">
        <v>-354567</v>
      </c>
      <c r="H27" s="6" t="n">
        <v>-595750</v>
      </c>
      <c r="I27" s="6" t="n">
        <v>-261849</v>
      </c>
      <c r="J27" s="6" t="n">
        <v>-323808</v>
      </c>
      <c r="K27" s="6" t="n">
        <v>-259271</v>
      </c>
      <c r="L27" s="6" t="n">
        <v>-201878</v>
      </c>
      <c r="M27" s="6" t="n">
        <v>-64908</v>
      </c>
      <c r="N27" s="6" t="n">
        <v>69283</v>
      </c>
    </row>
    <row r="28">
      <c r="A28" s="6" t="inlineStr">
        <is>
          <t>Other assets</t>
        </is>
      </c>
      <c r="B28" s="6" t="n">
        <v>-11434</v>
      </c>
      <c r="C28" s="6" t="n">
        <v>38737</v>
      </c>
      <c r="D28" s="6" t="n">
        <v>-41284</v>
      </c>
      <c r="E28" s="6" t="n">
        <v>-23449</v>
      </c>
      <c r="F28" s="6" t="n">
        <v>-225</v>
      </c>
      <c r="G28" s="6" t="n">
        <v>1647</v>
      </c>
      <c r="H28" s="6" t="n">
        <v>10869</v>
      </c>
      <c r="I28" s="6" t="n">
        <v>18440</v>
      </c>
      <c r="J28" s="6" t="n">
        <v>-32309</v>
      </c>
      <c r="K28" s="6" t="n">
        <v>-366</v>
      </c>
      <c r="L28" s="6" t="n">
        <v>70</v>
      </c>
      <c r="M28" s="6" t="n">
        <v>-58</v>
      </c>
      <c r="N28" s="6" t="n">
        <v>-1483</v>
      </c>
    </row>
    <row r="29">
      <c r="A29" s="6" t="inlineStr">
        <is>
          <t>Derivative assets</t>
        </is>
      </c>
      <c r="B29" s="6" t="n">
        <v>4299</v>
      </c>
      <c r="C29" s="6" t="n">
        <v>-2096</v>
      </c>
      <c r="D29" s="6" t="n">
        <v>10003</v>
      </c>
      <c r="E29" s="6" t="n">
        <v>-12350</v>
      </c>
      <c r="F29" s="6" t="n">
        <v>-23</v>
      </c>
      <c r="G29" s="6" t="n">
        <v>451</v>
      </c>
      <c r="H29" s="6" t="n"/>
      <c r="I29" s="6" t="n"/>
      <c r="J29" s="6" t="n"/>
      <c r="K29" s="6" t="n"/>
      <c r="L29" s="6" t="n"/>
      <c r="M29" s="6" t="n"/>
      <c r="N29" s="6" t="n"/>
    </row>
    <row r="30">
      <c r="A30" s="6" t="inlineStr">
        <is>
          <t>Accrued income and prepaid expenses</t>
        </is>
      </c>
      <c r="B30" s="6" t="n"/>
      <c r="C30" s="6" t="n"/>
      <c r="D30" s="6" t="n"/>
      <c r="E30" s="6" t="n">
        <v>-4072</v>
      </c>
      <c r="F30" s="6" t="n">
        <v>-6391</v>
      </c>
      <c r="G30" s="6" t="n">
        <v>-744</v>
      </c>
      <c r="H30" s="6" t="n">
        <v>-602</v>
      </c>
      <c r="I30" s="6" t="n">
        <v>-328</v>
      </c>
      <c r="J30" s="6" t="n">
        <v>235</v>
      </c>
      <c r="K30" s="6" t="n">
        <v>-338</v>
      </c>
      <c r="L30" s="6" t="n">
        <v>-362</v>
      </c>
      <c r="M30" s="6" t="n">
        <v>248</v>
      </c>
      <c r="N30" s="6" t="n">
        <v>-161</v>
      </c>
    </row>
    <row r="31">
      <c r="A31" s="6" t="inlineStr">
        <is>
          <t>Proceeds from sale of financial assets</t>
        </is>
      </c>
      <c r="B31" s="6" t="n">
        <v>76687</v>
      </c>
      <c r="C31" s="6" t="n"/>
      <c r="D31" s="6" t="n"/>
      <c r="E31" s="6" t="n"/>
      <c r="F31" s="6" t="n"/>
      <c r="G31" s="6" t="n"/>
      <c r="H31" s="6" t="n"/>
      <c r="I31" s="6" t="n"/>
      <c r="J31" s="6" t="n"/>
      <c r="K31" s="6" t="n"/>
      <c r="L31" s="6" t="n"/>
      <c r="M31" s="6" t="n"/>
      <c r="N31" s="6" t="n"/>
    </row>
    <row r="32">
      <c r="A32" s="5" t="inlineStr">
        <is>
          <t>Changes in operating liabilities</t>
        </is>
      </c>
      <c r="B32" s="6" t="n"/>
      <c r="C32" s="6" t="n"/>
      <c r="D32" s="6" t="n"/>
      <c r="E32" s="6" t="n"/>
      <c r="F32" s="6" t="n"/>
      <c r="G32" s="6" t="n"/>
      <c r="H32" s="6" t="n"/>
      <c r="I32" s="6" t="n"/>
      <c r="J32" s="6" t="n"/>
      <c r="K32" s="6" t="n"/>
      <c r="L32" s="6" t="n"/>
      <c r="M32" s="6" t="n"/>
      <c r="N32" s="6" t="n"/>
    </row>
    <row r="33">
      <c r="A33" s="6" t="inlineStr">
        <is>
          <t>Customer and bank deposits</t>
        </is>
      </c>
      <c r="B33" s="6" t="n">
        <v>423044</v>
      </c>
      <c r="C33" s="6" t="n">
        <v>455246</v>
      </c>
      <c r="D33" s="6" t="n">
        <v>391092</v>
      </c>
      <c r="E33" s="6" t="n">
        <v>493923</v>
      </c>
      <c r="F33" s="6" t="n">
        <v>540317</v>
      </c>
      <c r="G33" s="6" t="n">
        <v>439631</v>
      </c>
      <c r="H33" s="6" t="n">
        <v>489847</v>
      </c>
      <c r="I33" s="6" t="n">
        <v>105920</v>
      </c>
      <c r="J33" s="6" t="n">
        <v>398877</v>
      </c>
      <c r="K33" s="6" t="n">
        <v>207610</v>
      </c>
      <c r="L33" s="6" t="n">
        <v>84697</v>
      </c>
      <c r="M33" s="6" t="n">
        <v>-23721</v>
      </c>
      <c r="N33" s="6" t="n">
        <v>68213</v>
      </c>
    </row>
    <row r="34">
      <c r="A34" s="6" t="inlineStr">
        <is>
          <t>Derivative liabilities</t>
        </is>
      </c>
      <c r="B34" s="6" t="n">
        <v>3085</v>
      </c>
      <c r="C34" s="6" t="n">
        <v>-20896</v>
      </c>
      <c r="D34" s="6" t="n">
        <v>28536</v>
      </c>
      <c r="E34" s="6" t="n">
        <v>3409</v>
      </c>
      <c r="F34" s="6" t="n">
        <v>-344</v>
      </c>
      <c r="G34" s="6" t="n">
        <v>99</v>
      </c>
      <c r="H34" s="6" t="n"/>
      <c r="I34" s="6" t="n"/>
      <c r="J34" s="6" t="n"/>
      <c r="K34" s="6" t="n"/>
      <c r="L34" s="6" t="n"/>
      <c r="M34" s="6" t="n"/>
      <c r="N34" s="6" t="n"/>
    </row>
    <row r="35">
      <c r="A35" s="6" t="inlineStr">
        <is>
          <t>Other liabilities</t>
        </is>
      </c>
      <c r="B35" s="6" t="n">
        <v>2517</v>
      </c>
      <c r="C35" s="6" t="n">
        <v>8019</v>
      </c>
      <c r="D35" s="6" t="n">
        <v>13796</v>
      </c>
      <c r="E35" s="6" t="n">
        <v>4916</v>
      </c>
      <c r="F35" s="6" t="n">
        <v>-213</v>
      </c>
      <c r="G35" s="6" t="n"/>
      <c r="H35" s="6" t="n"/>
      <c r="I35" s="6" t="n"/>
      <c r="J35" s="6" t="n"/>
      <c r="K35" s="6" t="n">
        <v>11495</v>
      </c>
      <c r="L35" s="6" t="n">
        <v>-97</v>
      </c>
      <c r="M35" s="6" t="n">
        <v>-1903</v>
      </c>
      <c r="N35" s="6" t="n">
        <v>323</v>
      </c>
    </row>
    <row r="36">
      <c r="A36" s="6" t="inlineStr">
        <is>
          <t>Other liabilities and provision for customer redress (combined, as reported)</t>
        </is>
      </c>
      <c r="B36" s="6" t="n"/>
      <c r="C36" s="6" t="n"/>
      <c r="D36" s="6" t="n"/>
      <c r="E36" s="6" t="n"/>
      <c r="F36" s="6" t="n"/>
      <c r="G36" s="6" t="n">
        <v>-4128</v>
      </c>
      <c r="H36" s="6" t="n">
        <v>-8240</v>
      </c>
      <c r="I36" s="6" t="n">
        <v>-29349</v>
      </c>
      <c r="J36" s="6" t="n">
        <v>27381</v>
      </c>
      <c r="K36" s="6" t="n"/>
      <c r="L36" s="6" t="n"/>
      <c r="M36" s="6" t="n"/>
      <c r="N36" s="6" t="n"/>
    </row>
    <row r="37">
      <c r="A37" s="6" t="inlineStr">
        <is>
          <t>Accrued expenses</t>
        </is>
      </c>
      <c r="B37" s="6" t="n"/>
      <c r="C37" s="6" t="n"/>
      <c r="D37" s="6" t="n"/>
      <c r="E37" s="6" t="n">
        <v>1290</v>
      </c>
      <c r="F37" s="6" t="n">
        <v>8305</v>
      </c>
      <c r="G37" s="6" t="n">
        <v>3329</v>
      </c>
      <c r="H37" s="6" t="n">
        <v>2908</v>
      </c>
      <c r="I37" s="6" t="n">
        <v>1024</v>
      </c>
      <c r="J37" s="6" t="n">
        <v>2627</v>
      </c>
      <c r="K37" s="6" t="n">
        <v>666</v>
      </c>
      <c r="L37" s="6" t="n">
        <v>1099</v>
      </c>
      <c r="M37" s="6" t="n">
        <v>295</v>
      </c>
      <c r="N37" s="6" t="n">
        <v>-675</v>
      </c>
    </row>
    <row r="38">
      <c r="A38" s="5" t="inlineStr">
        <is>
          <t>Net cash flow generated from/(used in) operating activities</t>
        </is>
      </c>
      <c r="B38" s="5" t="n">
        <v>-17143</v>
      </c>
      <c r="C38" s="5" t="n">
        <v>445559</v>
      </c>
      <c r="D38" s="5" t="n">
        <v>130953</v>
      </c>
      <c r="E38" s="5" t="n">
        <v>190786</v>
      </c>
      <c r="F38" s="5" t="n">
        <v>234303</v>
      </c>
      <c r="G38" s="5" t="n">
        <v>117909</v>
      </c>
      <c r="H38" s="5" t="n">
        <v>-83910</v>
      </c>
      <c r="I38" s="5" t="n">
        <v>-157299</v>
      </c>
      <c r="J38" s="5" t="n">
        <v>75543</v>
      </c>
      <c r="K38" s="5" t="n">
        <v>-44784</v>
      </c>
      <c r="L38" s="5" t="n">
        <v>-108406</v>
      </c>
      <c r="M38" s="5" t="n">
        <v>-85437</v>
      </c>
      <c r="N38" s="5" t="n">
        <v>140235</v>
      </c>
    </row>
    <row r="39">
      <c r="A39" s="5" t="inlineStr">
        <is>
          <t>Investing activities</t>
        </is>
      </c>
      <c r="B39" s="6" t="n"/>
      <c r="C39" s="6" t="n"/>
      <c r="D39" s="6" t="n"/>
      <c r="E39" s="6" t="n"/>
      <c r="F39" s="6" t="n"/>
      <c r="G39" s="6" t="n"/>
      <c r="H39" s="6" t="n"/>
      <c r="I39" s="6" t="n"/>
      <c r="J39" s="6" t="n"/>
      <c r="K39" s="6" t="n"/>
      <c r="L39" s="6" t="n"/>
      <c r="M39" s="6" t="n"/>
      <c r="N39" s="6" t="n"/>
    </row>
    <row r="40">
      <c r="A40" s="6" t="inlineStr">
        <is>
          <t>Purchase of property and equipment</t>
        </is>
      </c>
      <c r="B40" s="6" t="n">
        <v>-204</v>
      </c>
      <c r="C40" s="6" t="n">
        <v>-398</v>
      </c>
      <c r="D40" s="6" t="n">
        <v>-3343</v>
      </c>
      <c r="E40" s="6" t="n">
        <v>-877</v>
      </c>
      <c r="F40" s="6" t="n">
        <v>-72</v>
      </c>
      <c r="G40" s="6" t="n">
        <v>-230</v>
      </c>
      <c r="H40" s="6" t="n">
        <v>-387</v>
      </c>
      <c r="I40" s="6" t="n">
        <v>-1281</v>
      </c>
      <c r="J40" s="6" t="n">
        <v>-268</v>
      </c>
      <c r="K40" s="6" t="n">
        <v>-380</v>
      </c>
      <c r="L40" s="6" t="n">
        <v>-178</v>
      </c>
      <c r="M40" s="6" t="n">
        <v>-227</v>
      </c>
      <c r="N40" s="6" t="n">
        <v>-195</v>
      </c>
    </row>
    <row r="41">
      <c r="A41" s="6" t="inlineStr">
        <is>
          <t>Purchase of intangible assets</t>
        </is>
      </c>
      <c r="B41" s="6" t="n">
        <v>-25325</v>
      </c>
      <c r="C41" s="6" t="n">
        <v>-21721</v>
      </c>
      <c r="D41" s="6" t="n">
        <v>-27176</v>
      </c>
      <c r="E41" s="6" t="n">
        <v>-6048</v>
      </c>
      <c r="F41" s="6" t="n">
        <v>-9230</v>
      </c>
      <c r="G41" s="6" t="n">
        <v>-12992</v>
      </c>
      <c r="H41" s="6" t="n">
        <v>-8400</v>
      </c>
      <c r="I41" s="6" t="n">
        <v>-1366</v>
      </c>
      <c r="J41" s="6" t="n">
        <v>-1352</v>
      </c>
      <c r="K41" s="6" t="n">
        <v>-654</v>
      </c>
      <c r="L41" s="6" t="n">
        <v>-364</v>
      </c>
      <c r="M41" s="6" t="n">
        <v>-539</v>
      </c>
      <c r="N41" s="6" t="n">
        <v>-414</v>
      </c>
    </row>
    <row r="42">
      <c r="A42" s="6" t="inlineStr">
        <is>
          <t>Purchase of asset-backed/debt securities</t>
        </is>
      </c>
      <c r="B42" s="6" t="n">
        <v>-484349</v>
      </c>
      <c r="C42" s="6" t="n">
        <v>-149500</v>
      </c>
      <c r="D42" s="6" t="n">
        <v>-76396</v>
      </c>
      <c r="E42" s="6" t="n"/>
      <c r="F42" s="6" t="n"/>
      <c r="G42" s="6" t="n"/>
      <c r="H42" s="6" t="n"/>
      <c r="I42" s="6" t="n"/>
      <c r="J42" s="6" t="n"/>
      <c r="K42" s="6" t="n"/>
      <c r="L42" s="6" t="n"/>
      <c r="M42" s="6" t="n"/>
      <c r="N42" s="6" t="n"/>
    </row>
    <row r="43">
      <c r="A43" s="6" t="inlineStr">
        <is>
          <t>Redemption of asset-backed/debt securities</t>
        </is>
      </c>
      <c r="B43" s="6" t="n">
        <v>26952</v>
      </c>
      <c r="C43" s="6" t="n">
        <v>35836</v>
      </c>
      <c r="D43" s="6" t="n">
        <v>67893</v>
      </c>
      <c r="E43" s="6" t="n"/>
      <c r="F43" s="6" t="n"/>
      <c r="G43" s="6" t="n"/>
      <c r="H43" s="6" t="n"/>
      <c r="I43" s="6" t="n"/>
      <c r="J43" s="6" t="n"/>
      <c r="K43" s="6" t="n"/>
      <c r="L43" s="6" t="n"/>
      <c r="M43" s="6" t="n"/>
      <c r="N43" s="6" t="n"/>
    </row>
    <row r="44">
      <c r="A44" s="6" t="inlineStr">
        <is>
          <t>Redemption/(purchase) of asset-backed securities (combined, as reported)</t>
        </is>
      </c>
      <c r="B44" s="6" t="n"/>
      <c r="C44" s="6" t="n"/>
      <c r="D44" s="6" t="n"/>
      <c r="E44" s="6" t="n">
        <v>26975</v>
      </c>
      <c r="F44" s="6" t="n">
        <v>-137782</v>
      </c>
      <c r="G44" s="6" t="n"/>
      <c r="H44" s="6" t="n"/>
      <c r="I44" s="6" t="n"/>
      <c r="J44" s="6" t="n"/>
      <c r="K44" s="6" t="n"/>
      <c r="L44" s="6" t="n"/>
      <c r="M44" s="6" t="n"/>
      <c r="N44" s="6" t="n"/>
    </row>
    <row r="45">
      <c r="A45" s="6" t="inlineStr">
        <is>
          <t>Interest received on asset-backed securities</t>
        </is>
      </c>
      <c r="B45" s="6" t="n">
        <v>17692</v>
      </c>
      <c r="C45" s="6" t="n"/>
      <c r="D45" s="6" t="n"/>
      <c r="E45" s="6" t="n"/>
      <c r="F45" s="6" t="n"/>
      <c r="G45" s="6" t="n"/>
      <c r="H45" s="6" t="n"/>
      <c r="I45" s="6" t="n"/>
      <c r="J45" s="6" t="n"/>
      <c r="K45" s="6" t="n"/>
      <c r="L45" s="6" t="n"/>
      <c r="M45" s="6" t="n"/>
      <c r="N45" s="6" t="n"/>
    </row>
    <row r="46">
      <c r="A46" s="6" t="inlineStr">
        <is>
          <t>Proceeds of sale of investment</t>
        </is>
      </c>
      <c r="B46" s="6" t="n"/>
      <c r="C46" s="6" t="n"/>
      <c r="D46" s="6" t="n"/>
      <c r="E46" s="6" t="n"/>
      <c r="F46" s="6" t="n"/>
      <c r="G46" s="6" t="n"/>
      <c r="H46" s="6" t="n"/>
      <c r="I46" s="6" t="n">
        <v>390</v>
      </c>
      <c r="J46" s="6" t="n"/>
      <c r="K46" s="6" t="n"/>
      <c r="L46" s="6" t="n"/>
      <c r="M46" s="6" t="n"/>
      <c r="N46" s="6" t="n"/>
    </row>
    <row r="47">
      <c r="A47" s="6" t="inlineStr">
        <is>
          <t>Proceeds from sale of property</t>
        </is>
      </c>
      <c r="B47" s="6" t="n">
        <v>5904</v>
      </c>
      <c r="C47" s="6" t="n"/>
      <c r="D47" s="6" t="n"/>
      <c r="E47" s="6" t="n">
        <v>16370</v>
      </c>
      <c r="F47" s="6" t="n"/>
      <c r="G47" s="6" t="n">
        <v>531</v>
      </c>
      <c r="H47" s="6" t="n"/>
      <c r="I47" s="6" t="n"/>
      <c r="J47" s="6" t="n"/>
      <c r="K47" s="6" t="n"/>
      <c r="L47" s="6" t="n"/>
      <c r="M47" s="6" t="n"/>
      <c r="N47" s="6" t="n"/>
    </row>
    <row r="48">
      <c r="A48" s="5" t="inlineStr">
        <is>
          <t>Net cash flow generated from/(used in) investing activities</t>
        </is>
      </c>
      <c r="B48" s="5" t="n">
        <v>-459330</v>
      </c>
      <c r="C48" s="5" t="n">
        <v>-135783</v>
      </c>
      <c r="D48" s="5" t="n">
        <v>-39022</v>
      </c>
      <c r="E48" s="5" t="n">
        <v>36420</v>
      </c>
      <c r="F48" s="5" t="n">
        <v>-147084</v>
      </c>
      <c r="G48" s="5" t="n">
        <v>-12691</v>
      </c>
      <c r="H48" s="5" t="n">
        <v>-8787</v>
      </c>
      <c r="I48" s="5" t="n">
        <v>-2257</v>
      </c>
      <c r="J48" s="5" t="n">
        <v>-1620</v>
      </c>
      <c r="K48" s="5" t="n">
        <v>-1034</v>
      </c>
      <c r="L48" s="5" t="n">
        <v>-542</v>
      </c>
      <c r="M48" s="5" t="n">
        <v>-766</v>
      </c>
      <c r="N48" s="5" t="n">
        <v>-609</v>
      </c>
    </row>
    <row r="49">
      <c r="A49" s="5" t="inlineStr">
        <is>
          <t>Financing activities</t>
        </is>
      </c>
      <c r="B49" s="6" t="n"/>
      <c r="C49" s="6" t="n"/>
      <c r="D49" s="6" t="n"/>
      <c r="E49" s="6" t="n"/>
      <c r="F49" s="6" t="n"/>
      <c r="G49" s="6" t="n"/>
      <c r="H49" s="6" t="n"/>
      <c r="I49" s="6" t="n"/>
      <c r="J49" s="6" t="n"/>
      <c r="K49" s="6" t="n"/>
      <c r="L49" s="6" t="n"/>
      <c r="M49" s="6" t="n"/>
      <c r="N49" s="6" t="n"/>
    </row>
    <row r="50">
      <c r="A50" s="6" t="inlineStr">
        <is>
          <t>Proceeds from issuance of new share capital</t>
        </is>
      </c>
      <c r="B50" s="6" t="n"/>
      <c r="C50" s="6" t="n"/>
      <c r="D50" s="6" t="n"/>
      <c r="E50" s="6" t="n">
        <v>47000</v>
      </c>
      <c r="F50" s="6" t="n"/>
      <c r="G50" s="6" t="n">
        <v>9000</v>
      </c>
      <c r="H50" s="6" t="n">
        <v>15000</v>
      </c>
      <c r="I50" s="6" t="n">
        <v>20000</v>
      </c>
      <c r="J50" s="6" t="n">
        <v>16000</v>
      </c>
      <c r="K50" s="6" t="n"/>
      <c r="L50" s="6" t="n"/>
      <c r="M50" s="6" t="n"/>
      <c r="N50" s="6" t="n"/>
    </row>
    <row r="51">
      <c r="A51" s="6" t="inlineStr">
        <is>
          <t>Proceeds from issuance of subordinated loan(s)</t>
        </is>
      </c>
      <c r="B51" s="6" t="n">
        <v>35000</v>
      </c>
      <c r="C51" s="6" t="n"/>
      <c r="D51" s="6" t="n">
        <v>14826</v>
      </c>
      <c r="E51" s="6" t="n"/>
      <c r="F51" s="6" t="n"/>
      <c r="G51" s="6" t="n"/>
      <c r="H51" s="6" t="n"/>
      <c r="I51" s="6" t="n"/>
      <c r="J51" s="6" t="n">
        <v>29464</v>
      </c>
      <c r="K51" s="6" t="n"/>
      <c r="L51" s="6" t="n"/>
      <c r="M51" s="6" t="n"/>
      <c r="N51" s="6" t="n"/>
    </row>
    <row r="52">
      <c r="A52" s="6" t="inlineStr">
        <is>
          <t>(Decrease)/increase in subordinated loan</t>
        </is>
      </c>
      <c r="B52" s="6" t="n"/>
      <c r="C52" s="6" t="n"/>
      <c r="D52" s="6" t="n"/>
      <c r="E52" s="6" t="n"/>
      <c r="F52" s="6" t="n"/>
      <c r="G52" s="6" t="n"/>
      <c r="H52" s="6" t="n"/>
      <c r="I52" s="6" t="n">
        <v>-43</v>
      </c>
      <c r="J52" s="6" t="n"/>
      <c r="K52" s="6" t="n"/>
      <c r="L52" s="6" t="n"/>
      <c r="M52" s="6" t="n"/>
      <c r="N52" s="6" t="n"/>
    </row>
    <row r="53">
      <c r="A53" s="6" t="inlineStr">
        <is>
          <t>Capital repayment from finance lease obligations</t>
        </is>
      </c>
      <c r="B53" s="6" t="n">
        <v>-1487</v>
      </c>
      <c r="C53" s="6" t="n">
        <v>-2292</v>
      </c>
      <c r="D53" s="6" t="n">
        <v>-1125</v>
      </c>
      <c r="E53" s="6" t="n">
        <v>34</v>
      </c>
      <c r="F53" s="6" t="n">
        <v>-238</v>
      </c>
      <c r="G53" s="6" t="n">
        <v>-166</v>
      </c>
      <c r="H53" s="6" t="n">
        <v>-58</v>
      </c>
      <c r="I53" s="6" t="n"/>
      <c r="J53" s="6" t="n"/>
      <c r="K53" s="6" t="n"/>
      <c r="L53" s="6" t="n"/>
      <c r="M53" s="6" t="n"/>
      <c r="N53" s="6" t="n"/>
    </row>
    <row r="54">
      <c r="A54" s="6" t="inlineStr">
        <is>
          <t>Interest paid on subordinated loan(s)</t>
        </is>
      </c>
      <c r="B54" s="6" t="n">
        <v>-4032</v>
      </c>
      <c r="C54" s="6" t="n"/>
      <c r="D54" s="6" t="n"/>
      <c r="E54" s="6" t="n"/>
      <c r="F54" s="6" t="n"/>
      <c r="G54" s="6" t="n"/>
      <c r="H54" s="6" t="n"/>
      <c r="I54" s="6" t="n"/>
      <c r="J54" s="6" t="n">
        <v>-938</v>
      </c>
      <c r="K54" s="6" t="n">
        <v>-2265</v>
      </c>
      <c r="L54" s="6" t="n">
        <v>-2271</v>
      </c>
      <c r="M54" s="6" t="n">
        <v>-2256</v>
      </c>
      <c r="N54" s="6" t="n">
        <v>-3429</v>
      </c>
    </row>
    <row r="55">
      <c r="A55" s="6" t="inlineStr">
        <is>
          <t>Dividend paid</t>
        </is>
      </c>
      <c r="B55" s="6" t="n"/>
      <c r="C55" s="6" t="n"/>
      <c r="D55" s="6" t="n"/>
      <c r="E55" s="6" t="n"/>
      <c r="F55" s="6" t="n"/>
      <c r="G55" s="6" t="n"/>
      <c r="H55" s="6" t="n">
        <v>-300</v>
      </c>
      <c r="I55" s="6" t="n"/>
      <c r="J55" s="6" t="n"/>
      <c r="K55" s="6" t="n"/>
      <c r="L55" s="6" t="n"/>
      <c r="M55" s="6" t="n"/>
      <c r="N55" s="6" t="n"/>
    </row>
    <row r="56">
      <c r="A56" s="5" t="inlineStr">
        <is>
          <t>Net cash flow generated from/(used in) financing activities</t>
        </is>
      </c>
      <c r="B56" s="5" t="n">
        <v>29481</v>
      </c>
      <c r="C56" s="5" t="n">
        <v>-2292</v>
      </c>
      <c r="D56" s="5" t="n">
        <v>13701</v>
      </c>
      <c r="E56" s="5" t="n">
        <v>47034</v>
      </c>
      <c r="F56" s="5" t="n">
        <v>-238</v>
      </c>
      <c r="G56" s="5" t="n">
        <v>8834</v>
      </c>
      <c r="H56" s="5" t="n">
        <v>14642</v>
      </c>
      <c r="I56" s="5" t="n">
        <v>19957</v>
      </c>
      <c r="J56" s="5" t="n">
        <v>44526</v>
      </c>
      <c r="K56" s="5" t="n">
        <v>-2265</v>
      </c>
      <c r="L56" s="5" t="n">
        <v>-2271</v>
      </c>
      <c r="M56" s="5" t="n">
        <v>-2256</v>
      </c>
      <c r="N56" s="5" t="n">
        <v>-3429</v>
      </c>
    </row>
    <row r="57">
      <c r="A57" s="5" t="inlineStr">
        <is>
          <t>Net (decrease)/increase in cash and cash equivalents for the year</t>
        </is>
      </c>
      <c r="B57" s="5" t="n">
        <v>-446992</v>
      </c>
      <c r="C57" s="5" t="n">
        <v>307484</v>
      </c>
      <c r="D57" s="5" t="n">
        <v>105632</v>
      </c>
      <c r="E57" s="5" t="n">
        <v>274240</v>
      </c>
      <c r="F57" s="5" t="n">
        <v>86981</v>
      </c>
      <c r="G57" s="5" t="n">
        <v>114052</v>
      </c>
      <c r="H57" s="5" t="n">
        <v>-78055</v>
      </c>
      <c r="I57" s="5" t="n">
        <v>-139599</v>
      </c>
      <c r="J57" s="5" t="n">
        <v>118449</v>
      </c>
      <c r="K57" s="5" t="n">
        <v>-48083</v>
      </c>
      <c r="L57" s="5" t="n">
        <v>-111119</v>
      </c>
      <c r="M57" s="5" t="n">
        <v>-88459</v>
      </c>
      <c r="N57" s="5" t="n">
        <v>136197</v>
      </c>
    </row>
    <row r="58">
      <c r="A58" s="6" t="inlineStr">
        <is>
          <t>Cash and cash equivalents at the beginning of the year</t>
        </is>
      </c>
      <c r="B58" s="6" t="n">
        <v>1058851</v>
      </c>
      <c r="C58" s="6" t="n">
        <v>751598</v>
      </c>
      <c r="D58" s="6" t="n">
        <v>646528</v>
      </c>
      <c r="E58" s="6" t="n">
        <v>372288</v>
      </c>
      <c r="F58" s="6" t="n">
        <v>285307</v>
      </c>
      <c r="G58" s="6" t="n">
        <v>171255</v>
      </c>
      <c r="H58" s="6" t="n">
        <v>249310</v>
      </c>
      <c r="I58" s="6" t="n">
        <v>388909</v>
      </c>
      <c r="J58" s="6" t="n">
        <v>268981</v>
      </c>
      <c r="K58" s="6" t="n">
        <v>308796</v>
      </c>
      <c r="L58" s="6" t="n">
        <v>422348</v>
      </c>
      <c r="M58" s="6" t="n">
        <v>511643</v>
      </c>
      <c r="N58" s="6" t="n">
        <v>374506</v>
      </c>
    </row>
    <row r="59">
      <c r="A59" s="6" t="inlineStr">
        <is>
          <t>Effects of exchange rate changes on cash and cash equivalents</t>
        </is>
      </c>
      <c r="B59" s="6" t="n">
        <v>44</v>
      </c>
      <c r="C59" s="6" t="n">
        <v>-231</v>
      </c>
      <c r="D59" s="6" t="n">
        <v>-562</v>
      </c>
      <c r="E59" s="6" t="n"/>
      <c r="F59" s="6" t="n"/>
      <c r="G59" s="6" t="n"/>
      <c r="H59" s="6" t="n"/>
      <c r="I59" s="6" t="n"/>
      <c r="J59" s="6" t="n">
        <v>1479</v>
      </c>
      <c r="K59" s="6" t="n">
        <v>8268</v>
      </c>
      <c r="L59" s="6" t="n">
        <v>-1994</v>
      </c>
      <c r="M59" s="6" t="n">
        <v>-836</v>
      </c>
      <c r="N59" s="6" t="n">
        <v>939</v>
      </c>
    </row>
    <row r="60">
      <c r="A60" s="5" t="inlineStr">
        <is>
          <t>Cash and cash equivalents at the end of the year</t>
        </is>
      </c>
      <c r="B60" s="5" t="n">
        <v>611903</v>
      </c>
      <c r="C60" s="5" t="n">
        <v>1058851</v>
      </c>
      <c r="D60" s="5" t="n">
        <v>751598</v>
      </c>
      <c r="E60" s="5" t="n">
        <v>646528</v>
      </c>
      <c r="F60" s="5" t="n">
        <v>372288</v>
      </c>
      <c r="G60" s="5" t="n">
        <v>285307</v>
      </c>
      <c r="H60" s="5" t="n">
        <v>171255</v>
      </c>
      <c r="I60" s="5" t="n">
        <v>249310</v>
      </c>
      <c r="J60" s="5" t="n">
        <v>388909</v>
      </c>
      <c r="K60" s="5" t="n">
        <v>268981</v>
      </c>
      <c r="L60" s="5" t="n">
        <v>309135</v>
      </c>
      <c r="M60" s="5" t="n">
        <v>422348</v>
      </c>
      <c r="N60" s="5" t="n">
        <v>511643</v>
      </c>
    </row>
    <row r="62" ht="260" customHeight="1">
      <c r="A62" s="8" t="inlineStr">
        <is>
          <t>Sources - all figures are Cynergy Bank Plc's own Consolidated statement of cash flows, £'000:
FY2025 (&amp; FY2024 restated comparative, not used - see note): Cynergy Bank plc Annual Report &amp; Accounts 2025, p.54 (Consolidated and company statement of cash flows) - https://assets.ctfassets.net/xzmqg68ot16t/1aUkuB7BcAd8Pj5Kq0RNqh/101ced4af6be2d55cd37fad3542829b2/Cynergy_Bank_-_Annual_Report_2025.pdf
FY2024 (own, &amp; FY2023 comparative cross-checked): Cynergy Bank plc Annual Report &amp; Accounts 2024, p.87-88 (Consolidated and company statement of cash flows) - https://assets.ctfassets.net/xzmqg68ot16t/2AeSbXsBP7fwKhngGTLWxb/ca86e60128ab83d41842b85ae74aa326/Annual_Report_2024.pdf
FY2023 (own, &amp; FY2022 comparative cross-checked): Cynergy Bank Limited Annual Report &amp; Accounts 2023, p.93-94 (Consolidated and company statement of cash flows) - https://assets.ctfassets.net/xzmqg68ot16t/2oPLoaeUJ2c4kRJcNMSyMp/54230fc39821a0d6ede6f81f1c7528ce/Cynergy_Bank_Limited_-_Annual_Report_2023.pdf
FY2022 (own) &amp; FY2021 (comparative): Cynergy Bank Limited Annual Report &amp; Accounts 2022 (Companies House filing, scanned), p.95-96 (Consolidated and Company statement of cash flows) - https://find-and-update.company-information.service.gov.uk/company/04728421/filing-history/MzM3OTM0NzA5MmFkaXF6a2N4/document?format=pdf&amp;download=0
FY2020 (own): Cynergy Bank Limited Annual Report &amp; Accounts 2020 (Companies House filing, scanned), p.58-60 (Statement of cash flows) - https://find-and-update.company-information.service.gov.uk/company/04728421/filing-history/MzMwMTMwNjM2MWFkaXF6a2N4/document?format=pdf&amp;download=0
FY2019 (own): Cynergy Bank Limited Annual Report &amp; Accounts 2019 (Companies House filing, scanned), p.53-54 (Statement of cash flows) - https://find-and-update.company-information.service.gov.uk/company/04728421/filing-history/MzI2ODIzMzE4NmFkaXF6a2N4/document?format=pdf&amp;download=0
FY2018 (own): Cynergy Bank Limited Annual Report &amp; Accounts 2018 (Companies House filing, scanned), p.23 (Statement of cash flows, Company-only basis) - https://find-and-update.company-information.service.gov.uk/company/04728421/filing-history/MzI0NTUxMzA1N2FkaXF6a2N4/document?format=pdf&amp;download=0
FY2017 (own): Bank of Cyprus UK Limited Annual Report &amp; Accounts 2017 (Companies House filing, scanned), p.22 (Statement of cash flows, Company-only basis) - https://find-and-update.company-information.service.gov.uk/company/04728421/filing-history/MzIwNjAyOTg3MmFkaXF6a2N4/document?format=pdf&amp;download=0
FY2016 (own): Bank of Cyprus UK Limited Annual Report &amp; Accounts 2016 (Companies House filing, scanned), p.13 (Statement of cash flows, Company-only basis) - https://find-and-update.company-information.service.gov.uk/company/04728421/filing-history/MzE4MTU5MjQyMmFkaXF6a2N4/document?format=pdf&amp;download=0
FY2015 (own): Bank of Cyprus UK Limited Annual Report &amp; Accounts 2015 (Companies House filing, scanned), p.12 (Statement of cash flows, Company-only basis) - https://find-and-update.company-information.service.gov.uk/company/04728421/filing-history/MzE0NDMzNzcwNGFkaXF6a2N4/document?format=pdf&amp;download=0
FY2014 (own): Bank of Cyprus UK Limited Annual Report &amp; Accounts 2014 (Companies House filing, scanned), p.12 (Statement of cash flows, Company-only basis) - https://find-and-update.company-information.service.gov.uk/company/04728421/filing-history/MzEyMTQ1OTQ5MGFkaXF6a2N4/document?format=pdf&amp;download=0
FY2013 (own): Bank of Cyprus UK Limited Annual Report &amp; Accounts 2013 (Companies House filing, scanned), p.13 (Statement of cash flows,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HD-072 (statutory statements extended to FY2013): FY2013's own Statement of cash flows presents 'Changes in operating assets and liabilities' as one flat, unsplit list (not the separate 'assets' / 'liabilities' sub-sections used from FY2014 onward) - each FY2013 line has been placed on the row that matches its FY2014+ equivalent by content (e.g. 'Increase in customer deposits' -&gt; 'Customer and bank deposits'). FY2013's own source document has a 1-unit rounding inconsistency between its own two statements of the year's net cash movement (£136,197k in the operating/investing/financing summary line vs an implied £136,198k in the Cash and cash equivalents reconciliation below it, which is what makes the reconciliation's own stated closing balance of £511,643k not tie exactly to opening £374,506k + net movement £136,197k + FX £939k = £511,642k) - both figures are the source's own, not a transcription error here; the summary line's £136,197k is used for the 'Net (decrease)/increase in cash and cash equivalents for the year' row, and the reconciliation's own stated £511,643k is used for the closing balance row, exactly as each is printed.</t>
        </is>
      </c>
    </row>
  </sheetData>
  <mergeCells count="1">
    <mergeCell ref="A62:N6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Asset Quality</t>
        </is>
      </c>
    </row>
    <row r="2">
      <c r="A2" s="2" t="inlineStr">
        <is>
          <t>Consolidated (Company-only FY2014-2017) basis, £'000 (ratios as calculated), combining the Loans and Overdrafts credit risk note tables. Two methodology sections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IFRS 9 stage (Loans + Overdrafts; Consolidated FY2018-2025, Company-only FY2018 per that year's own report)</t>
        </is>
      </c>
      <c r="B4" s="6" t="n"/>
      <c r="C4" s="6" t="n"/>
      <c r="D4" s="6" t="n"/>
      <c r="E4" s="6" t="n"/>
      <c r="F4" s="6" t="n"/>
      <c r="G4" s="6" t="n"/>
      <c r="H4" s="6" t="n"/>
      <c r="I4" s="6" t="n"/>
      <c r="J4" s="6" t="n"/>
      <c r="K4" s="6" t="n"/>
      <c r="L4" s="6" t="n"/>
      <c r="M4" s="6" t="n"/>
    </row>
    <row r="5">
      <c r="A5" s="6" t="inlineStr">
        <is>
          <t>Stage 1 gross carrying amount</t>
        </is>
      </c>
      <c r="B5" s="6" t="n">
        <v>3423245</v>
      </c>
      <c r="C5" s="6" t="n">
        <v>3210782</v>
      </c>
      <c r="D5" s="6" t="n">
        <v>2968247</v>
      </c>
      <c r="E5" s="6" t="n">
        <v>2826161</v>
      </c>
      <c r="F5" s="6" t="n">
        <v>2687050</v>
      </c>
      <c r="G5" s="6" t="n">
        <v>2409575</v>
      </c>
      <c r="H5" s="6" t="n">
        <v>2169994</v>
      </c>
      <c r="I5" s="6" t="n">
        <v>1576985</v>
      </c>
      <c r="J5" s="6" t="n"/>
      <c r="K5" s="6" t="n"/>
      <c r="L5" s="6" t="n"/>
      <c r="M5" s="6" t="n"/>
    </row>
    <row r="6">
      <c r="A6" s="6" t="inlineStr">
        <is>
          <t>Stage 2 gross carrying amount</t>
        </is>
      </c>
      <c r="B6" s="6" t="n">
        <v>259276</v>
      </c>
      <c r="C6" s="6" t="n">
        <v>372480</v>
      </c>
      <c r="D6" s="6" t="n">
        <v>549578</v>
      </c>
      <c r="E6" s="6" t="n">
        <v>385150</v>
      </c>
      <c r="F6" s="6" t="n">
        <v>232788</v>
      </c>
      <c r="G6" s="6" t="n">
        <v>187845</v>
      </c>
      <c r="H6" s="6" t="n">
        <v>78327</v>
      </c>
      <c r="I6" s="6" t="n">
        <v>75151</v>
      </c>
      <c r="J6" s="6" t="n"/>
      <c r="K6" s="6" t="n"/>
      <c r="L6" s="6" t="n"/>
      <c r="M6" s="6" t="n"/>
    </row>
    <row r="7">
      <c r="A7" s="6" t="inlineStr">
        <is>
          <t>Stage 3 gross carrying amount</t>
        </is>
      </c>
      <c r="B7" s="6" t="n">
        <v>91016</v>
      </c>
      <c r="C7" s="6" t="n">
        <v>99046</v>
      </c>
      <c r="D7" s="6" t="n">
        <v>73262</v>
      </c>
      <c r="E7" s="6" t="n">
        <v>65258</v>
      </c>
      <c r="F7" s="6" t="n">
        <v>43661</v>
      </c>
      <c r="G7" s="6" t="n">
        <v>25089</v>
      </c>
      <c r="H7" s="6" t="n">
        <v>19800</v>
      </c>
      <c r="I7" s="6" t="n">
        <v>20333</v>
      </c>
      <c r="J7" s="6" t="n"/>
      <c r="K7" s="6" t="n"/>
      <c r="L7" s="6" t="n"/>
      <c r="M7" s="6" t="n"/>
    </row>
    <row r="8">
      <c r="A8" s="5" t="inlineStr">
        <is>
          <t>Total gross carrying amount</t>
        </is>
      </c>
      <c r="B8" s="5" t="n">
        <v>3773537</v>
      </c>
      <c r="C8" s="5" t="n">
        <v>3682308</v>
      </c>
      <c r="D8" s="5" t="n">
        <v>3591087</v>
      </c>
      <c r="E8" s="5" t="n">
        <v>3276569</v>
      </c>
      <c r="F8" s="5" t="n">
        <v>2963499</v>
      </c>
      <c r="G8" s="5" t="n">
        <v>2622509</v>
      </c>
      <c r="H8" s="5" t="n">
        <v>2268121</v>
      </c>
      <c r="I8" s="5" t="n">
        <v>1672469</v>
      </c>
      <c r="J8" s="5" t="n"/>
      <c r="K8" s="5" t="n"/>
      <c r="L8" s="5" t="n"/>
      <c r="M8" s="5" t="n"/>
    </row>
    <row r="9">
      <c r="A9" s="5" t="inlineStr">
        <is>
          <t>Expected credit loss (ECL) allowance by stage</t>
        </is>
      </c>
      <c r="B9" s="6" t="n"/>
      <c r="C9" s="6" t="n"/>
      <c r="D9" s="6" t="n"/>
      <c r="E9" s="6" t="n"/>
      <c r="F9" s="6" t="n"/>
      <c r="G9" s="6" t="n"/>
      <c r="H9" s="6" t="n"/>
      <c r="I9" s="6" t="n"/>
      <c r="J9" s="6" t="n"/>
      <c r="K9" s="6" t="n"/>
      <c r="L9" s="6" t="n"/>
      <c r="M9" s="6" t="n"/>
    </row>
    <row r="10">
      <c r="A10" s="6" t="inlineStr">
        <is>
          <t>Stage 1 ECL</t>
        </is>
      </c>
      <c r="B10" s="6" t="n">
        <v>3964</v>
      </c>
      <c r="C10" s="6" t="n">
        <v>4403</v>
      </c>
      <c r="D10" s="6" t="n">
        <v>5372</v>
      </c>
      <c r="E10" s="6" t="n">
        <v>3338</v>
      </c>
      <c r="F10" s="6" t="n">
        <v>2124</v>
      </c>
      <c r="G10" s="6" t="n">
        <v>3956</v>
      </c>
      <c r="H10" s="6" t="n">
        <v>1912</v>
      </c>
      <c r="I10" s="6" t="n">
        <v>1443</v>
      </c>
      <c r="J10" s="6" t="n"/>
      <c r="K10" s="6" t="n"/>
      <c r="L10" s="6" t="n"/>
      <c r="M10" s="6" t="n"/>
    </row>
    <row r="11">
      <c r="A11" s="6" t="inlineStr">
        <is>
          <t>Stage 2 ECL</t>
        </is>
      </c>
      <c r="B11" s="6" t="n">
        <v>2951</v>
      </c>
      <c r="C11" s="6" t="n">
        <v>4118</v>
      </c>
      <c r="D11" s="6" t="n">
        <v>8485</v>
      </c>
      <c r="E11" s="6" t="n">
        <v>5321</v>
      </c>
      <c r="F11" s="6" t="n">
        <v>2175</v>
      </c>
      <c r="G11" s="6" t="n">
        <v>3117</v>
      </c>
      <c r="H11" s="6" t="n">
        <v>326</v>
      </c>
      <c r="I11" s="6" t="n">
        <v>349</v>
      </c>
      <c r="J11" s="6" t="n"/>
      <c r="K11" s="6" t="n"/>
      <c r="L11" s="6" t="n"/>
      <c r="M11" s="6" t="n"/>
    </row>
    <row r="12">
      <c r="A12" s="6" t="inlineStr">
        <is>
          <t>Stage 3 ECL</t>
        </is>
      </c>
      <c r="B12" s="6" t="n">
        <v>21489</v>
      </c>
      <c r="C12" s="6" t="n">
        <v>20310</v>
      </c>
      <c r="D12" s="6" t="n">
        <v>12933</v>
      </c>
      <c r="E12" s="6" t="n">
        <v>13680</v>
      </c>
      <c r="F12" s="6" t="n">
        <v>9626</v>
      </c>
      <c r="G12" s="6" t="n">
        <v>1474</v>
      </c>
      <c r="H12" s="6" t="n">
        <v>1502</v>
      </c>
      <c r="I12" s="6" t="n">
        <v>1754</v>
      </c>
      <c r="J12" s="6" t="n"/>
      <c r="K12" s="6" t="n"/>
      <c r="L12" s="6" t="n"/>
      <c r="M12" s="6" t="n"/>
    </row>
    <row r="13">
      <c r="A13" s="5" t="inlineStr">
        <is>
          <t>Total ECL allowance</t>
        </is>
      </c>
      <c r="B13" s="5" t="n">
        <v>28404</v>
      </c>
      <c r="C13" s="5" t="n">
        <v>28831</v>
      </c>
      <c r="D13" s="5" t="n">
        <v>26790</v>
      </c>
      <c r="E13" s="5" t="n">
        <v>22339</v>
      </c>
      <c r="F13" s="5" t="n">
        <v>13925</v>
      </c>
      <c r="G13" s="5" t="n">
        <v>8547</v>
      </c>
      <c r="H13" s="5" t="n">
        <v>3740</v>
      </c>
      <c r="I13" s="5" t="n">
        <v>3546</v>
      </c>
      <c r="J13" s="5" t="n"/>
      <c r="K13" s="5" t="n"/>
      <c r="L13" s="5" t="n"/>
      <c r="M13" s="5" t="n"/>
    </row>
    <row r="14">
      <c r="A14" s="5" t="inlineStr">
        <is>
          <t>Derived ratios (IFRS 9 basis)</t>
        </is>
      </c>
      <c r="B14" s="6" t="n"/>
      <c r="C14" s="6" t="n"/>
      <c r="D14" s="6" t="n"/>
      <c r="E14" s="6" t="n"/>
      <c r="F14" s="6" t="n"/>
      <c r="G14" s="6" t="n"/>
      <c r="H14" s="6" t="n"/>
      <c r="I14" s="6" t="n"/>
      <c r="J14" s="6" t="n"/>
      <c r="K14" s="6" t="n"/>
      <c r="L14" s="6" t="n"/>
      <c r="M14" s="6" t="n"/>
    </row>
    <row r="15">
      <c r="A15" s="6" t="inlineStr">
        <is>
          <t>Stage 3 / total gross carrying amount</t>
        </is>
      </c>
      <c r="B15" s="6" t="inlineStr">
        <is>
          <t>2.412%</t>
        </is>
      </c>
      <c r="C15" s="6" t="inlineStr">
        <is>
          <t>2.690%</t>
        </is>
      </c>
      <c r="D15" s="6" t="inlineStr">
        <is>
          <t>2.040%</t>
        </is>
      </c>
      <c r="E15" s="6" t="inlineStr">
        <is>
          <t>1.992%</t>
        </is>
      </c>
      <c r="F15" s="6" t="inlineStr">
        <is>
          <t>1.473%</t>
        </is>
      </c>
      <c r="G15" s="6" t="inlineStr">
        <is>
          <t>0.957%</t>
        </is>
      </c>
      <c r="H15" s="6" t="inlineStr">
        <is>
          <t>0.873%</t>
        </is>
      </c>
      <c r="I15" s="6" t="inlineStr">
        <is>
          <t>1.216%</t>
        </is>
      </c>
      <c r="J15" s="6" t="n"/>
      <c r="K15" s="6" t="n"/>
      <c r="L15" s="6" t="n"/>
      <c r="M15" s="6" t="n"/>
    </row>
    <row r="16">
      <c r="A16" s="6" t="inlineStr">
        <is>
          <t>Total ECL / total gross carrying amount (overall coverage)</t>
        </is>
      </c>
      <c r="B16" s="6" t="inlineStr">
        <is>
          <t>0.753%</t>
        </is>
      </c>
      <c r="C16" s="6" t="inlineStr">
        <is>
          <t>0.783%</t>
        </is>
      </c>
      <c r="D16" s="6" t="inlineStr">
        <is>
          <t>0.746%</t>
        </is>
      </c>
      <c r="E16" s="6" t="inlineStr">
        <is>
          <t>0.682%</t>
        </is>
      </c>
      <c r="F16" s="6" t="inlineStr">
        <is>
          <t>0.470%</t>
        </is>
      </c>
      <c r="G16" s="6" t="inlineStr">
        <is>
          <t>0.326%</t>
        </is>
      </c>
      <c r="H16" s="6" t="inlineStr">
        <is>
          <t>0.165%</t>
        </is>
      </c>
      <c r="I16" s="6" t="inlineStr">
        <is>
          <t>0.212%</t>
        </is>
      </c>
      <c r="J16" s="6" t="n"/>
      <c r="K16" s="6" t="n"/>
      <c r="L16" s="6" t="n"/>
      <c r="M16" s="6" t="n"/>
    </row>
    <row r="17">
      <c r="A17" s="6" t="inlineStr">
        <is>
          <t>Stage 3 ECL / Stage 3 gross carrying amount (Stage 3 coverage)</t>
        </is>
      </c>
      <c r="B17" s="6" t="inlineStr">
        <is>
          <t>23.61%</t>
        </is>
      </c>
      <c r="C17" s="6" t="inlineStr">
        <is>
          <t>20.51%</t>
        </is>
      </c>
      <c r="D17" s="6" t="inlineStr">
        <is>
          <t>17.65%</t>
        </is>
      </c>
      <c r="E17" s="6" t="inlineStr">
        <is>
          <t>20.96%</t>
        </is>
      </c>
      <c r="F17" s="6" t="inlineStr">
        <is>
          <t>22.05%</t>
        </is>
      </c>
      <c r="G17" s="6" t="inlineStr">
        <is>
          <t>5.876%</t>
        </is>
      </c>
      <c r="H17" s="6" t="inlineStr">
        <is>
          <t>7.586%</t>
        </is>
      </c>
      <c r="I17" s="6" t="inlineStr">
        <is>
          <t>8.626%</t>
        </is>
      </c>
      <c r="J17" s="6" t="n"/>
      <c r="K17" s="6" t="n"/>
      <c r="L17" s="6" t="n"/>
      <c r="M17" s="6" t="n"/>
    </row>
    <row r="18">
      <c r="A18" s="5" t="inlineStr">
        <is>
          <t>Legacy IAS 39 basis (FY2014-FY2017, Bank of Cyprus UK Limited, Company-only) - credit quality of gross loans and advances to customers (Loans + Overdrafts combined)</t>
        </is>
      </c>
      <c r="B18" s="6" t="n"/>
      <c r="C18" s="6" t="n"/>
      <c r="D18" s="6" t="n"/>
      <c r="E18" s="6" t="n"/>
      <c r="F18" s="6" t="n"/>
      <c r="G18" s="6" t="n"/>
      <c r="H18" s="6" t="n"/>
      <c r="I18" s="6" t="n"/>
      <c r="J18" s="6" t="n"/>
      <c r="K18" s="6" t="n"/>
      <c r="L18" s="6" t="n"/>
      <c r="M18" s="6" t="n"/>
    </row>
    <row r="19">
      <c r="A19" s="6" t="inlineStr">
        <is>
          <t>Gross loans and advances</t>
        </is>
      </c>
      <c r="B19" s="6" t="n"/>
      <c r="C19" s="6" t="n"/>
      <c r="D19" s="6" t="n"/>
      <c r="E19" s="6" t="n"/>
      <c r="F19" s="6" t="n"/>
      <c r="G19" s="6" t="n"/>
      <c r="H19" s="6" t="n"/>
      <c r="I19" s="6" t="n"/>
      <c r="J19" s="6" t="n">
        <v>1411255</v>
      </c>
      <c r="K19" s="6" t="n">
        <v>1088298</v>
      </c>
      <c r="L19" s="6" t="n">
        <v>827016</v>
      </c>
      <c r="M19" s="6" t="n">
        <v>629744</v>
      </c>
    </row>
    <row r="20">
      <c r="A20" s="6" t="inlineStr">
        <is>
          <t>Provisions for impairment of loans and advances (individual + collective, IAS 39 incurred-loss basis)</t>
        </is>
      </c>
      <c r="B20" s="6" t="n"/>
      <c r="C20" s="6" t="n"/>
      <c r="D20" s="6" t="n"/>
      <c r="E20" s="6" t="n"/>
      <c r="F20" s="6" t="n"/>
      <c r="G20" s="6" t="n"/>
      <c r="H20" s="6" t="n"/>
      <c r="I20" s="6" t="n"/>
      <c r="J20" s="6" t="n">
        <v>-4055</v>
      </c>
      <c r="K20" s="6" t="n">
        <v>-4376</v>
      </c>
      <c r="L20" s="6" t="n">
        <v>-6209</v>
      </c>
      <c r="M20" s="6" t="n">
        <v>-11768</v>
      </c>
    </row>
    <row r="21">
      <c r="A21" s="5" t="inlineStr">
        <is>
          <t>Net loans and advances to customers</t>
        </is>
      </c>
      <c r="B21" s="5" t="n"/>
      <c r="C21" s="5" t="n"/>
      <c r="D21" s="5" t="n"/>
      <c r="E21" s="5" t="n"/>
      <c r="F21" s="5" t="n"/>
      <c r="G21" s="5" t="n"/>
      <c r="H21" s="5" t="n"/>
      <c r="I21" s="5" t="n"/>
      <c r="J21" s="5" t="n">
        <v>1407200</v>
      </c>
      <c r="K21" s="5" t="n">
        <v>1083922</v>
      </c>
      <c r="L21" s="5" t="n">
        <v>820807</v>
      </c>
      <c r="M21" s="5" t="n">
        <v>617976</v>
      </c>
    </row>
    <row r="22">
      <c r="A22" s="6" t="inlineStr">
        <is>
          <t>Neither past due nor impaired</t>
        </is>
      </c>
      <c r="B22" s="6" t="n"/>
      <c r="C22" s="6" t="n"/>
      <c r="D22" s="6" t="n"/>
      <c r="E22" s="6" t="n"/>
      <c r="F22" s="6" t="n"/>
      <c r="G22" s="6" t="n"/>
      <c r="H22" s="6" t="n"/>
      <c r="I22" s="6" t="n"/>
      <c r="J22" s="6" t="n">
        <v>1373534</v>
      </c>
      <c r="K22" s="6" t="n">
        <v>1064883</v>
      </c>
      <c r="L22" s="6" t="n">
        <v>797582</v>
      </c>
      <c r="M22" s="6" t="n">
        <v>579666</v>
      </c>
    </row>
    <row r="23">
      <c r="A23" s="6" t="inlineStr">
        <is>
          <t>Past due but not impaired</t>
        </is>
      </c>
      <c r="B23" s="6" t="n"/>
      <c r="C23" s="6" t="n"/>
      <c r="D23" s="6" t="n"/>
      <c r="E23" s="6" t="n"/>
      <c r="F23" s="6" t="n"/>
      <c r="G23" s="6" t="n"/>
      <c r="H23" s="6" t="n"/>
      <c r="I23" s="6" t="n"/>
      <c r="J23" s="6" t="n">
        <v>34850</v>
      </c>
      <c r="K23" s="6" t="n">
        <v>18330</v>
      </c>
      <c r="L23" s="6" t="n">
        <v>19698</v>
      </c>
      <c r="M23" s="6" t="n">
        <v>33370</v>
      </c>
    </row>
    <row r="24">
      <c r="A24" s="6" t="inlineStr">
        <is>
          <t>Impaired</t>
        </is>
      </c>
      <c r="B24" s="6" t="n"/>
      <c r="C24" s="6" t="n"/>
      <c r="D24" s="6" t="n"/>
      <c r="E24" s="6" t="n"/>
      <c r="F24" s="6" t="n"/>
      <c r="G24" s="6" t="n"/>
      <c r="H24" s="6" t="n"/>
      <c r="I24" s="6" t="n"/>
      <c r="J24" s="6" t="n">
        <v>2871</v>
      </c>
      <c r="K24" s="6" t="n">
        <v>5085</v>
      </c>
      <c r="L24" s="6" t="n">
        <v>9736</v>
      </c>
      <c r="M24" s="6" t="n">
        <v>16708</v>
      </c>
    </row>
    <row r="25">
      <c r="A25" s="5" t="inlineStr">
        <is>
          <t>Total gross loans and advances (credit-quality analysis)</t>
        </is>
      </c>
      <c r="B25" s="5" t="n"/>
      <c r="C25" s="5" t="n"/>
      <c r="D25" s="5" t="n"/>
      <c r="E25" s="5" t="n"/>
      <c r="F25" s="5" t="n"/>
      <c r="G25" s="5" t="n"/>
      <c r="H25" s="5" t="n"/>
      <c r="I25" s="5" t="n"/>
      <c r="J25" s="5" t="n">
        <v>1411255</v>
      </c>
      <c r="K25" s="5" t="n">
        <v>1088298</v>
      </c>
      <c r="L25" s="5" t="n">
        <v>827016</v>
      </c>
      <c r="M25" s="5" t="n">
        <v>629744</v>
      </c>
    </row>
    <row r="26">
      <c r="A26" s="5" t="inlineStr">
        <is>
          <t>Ageing of past due but not impaired loans and advances (Legacy IAS 39 basis)</t>
        </is>
      </c>
      <c r="B26" s="6" t="n"/>
      <c r="C26" s="6" t="n"/>
      <c r="D26" s="6" t="n"/>
      <c r="E26" s="6" t="n"/>
      <c r="F26" s="6" t="n"/>
      <c r="G26" s="6" t="n"/>
      <c r="H26" s="6" t="n"/>
      <c r="I26" s="6" t="n"/>
      <c r="J26" s="6" t="n"/>
      <c r="K26" s="6" t="n"/>
      <c r="L26" s="6" t="n"/>
      <c r="M26" s="6" t="n"/>
    </row>
    <row r="27">
      <c r="A27" s="6" t="inlineStr">
        <is>
          <t>Up to 30 days</t>
        </is>
      </c>
      <c r="B27" s="6" t="n"/>
      <c r="C27" s="6" t="n"/>
      <c r="D27" s="6" t="n"/>
      <c r="E27" s="6" t="n"/>
      <c r="F27" s="6" t="n"/>
      <c r="G27" s="6" t="n"/>
      <c r="H27" s="6" t="n"/>
      <c r="I27" s="6" t="n"/>
      <c r="J27" s="6" t="n">
        <v>21107</v>
      </c>
      <c r="K27" s="6" t="n">
        <v>10818</v>
      </c>
      <c r="L27" s="6" t="n">
        <v>8258</v>
      </c>
      <c r="M27" s="6" t="n">
        <v>18716</v>
      </c>
    </row>
    <row r="28">
      <c r="A28" s="6" t="inlineStr">
        <is>
          <t>31 to 90 days</t>
        </is>
      </c>
      <c r="B28" s="6" t="n"/>
      <c r="C28" s="6" t="n"/>
      <c r="D28" s="6" t="n"/>
      <c r="E28" s="6" t="n"/>
      <c r="F28" s="6" t="n"/>
      <c r="G28" s="6" t="n"/>
      <c r="H28" s="6" t="n"/>
      <c r="I28" s="6" t="n"/>
      <c r="J28" s="6" t="n">
        <v>6475</v>
      </c>
      <c r="K28" s="6" t="n">
        <v>311</v>
      </c>
      <c r="L28" s="6" t="n">
        <v>2768</v>
      </c>
      <c r="M28" s="6" t="n">
        <v>3494</v>
      </c>
    </row>
    <row r="29">
      <c r="A29" s="6" t="inlineStr">
        <is>
          <t>91 to 180 days</t>
        </is>
      </c>
      <c r="B29" s="6" t="n"/>
      <c r="C29" s="6" t="n"/>
      <c r="D29" s="6" t="n"/>
      <c r="E29" s="6" t="n"/>
      <c r="F29" s="6" t="n"/>
      <c r="G29" s="6" t="n"/>
      <c r="H29" s="6" t="n"/>
      <c r="I29" s="6" t="n"/>
      <c r="J29" s="6" t="n">
        <v>2823</v>
      </c>
      <c r="K29" s="6" t="n">
        <v>2752</v>
      </c>
      <c r="L29" s="6" t="n">
        <v>1558</v>
      </c>
      <c r="M29" s="6" t="n">
        <v>1247</v>
      </c>
    </row>
    <row r="30">
      <c r="A30" s="6" t="inlineStr">
        <is>
          <t>181 to 365 days</t>
        </is>
      </c>
      <c r="B30" s="6" t="n"/>
      <c r="C30" s="6" t="n"/>
      <c r="D30" s="6" t="n"/>
      <c r="E30" s="6" t="n"/>
      <c r="F30" s="6" t="n"/>
      <c r="G30" s="6" t="n"/>
      <c r="H30" s="6" t="n"/>
      <c r="I30" s="6" t="n"/>
      <c r="J30" s="6" t="n">
        <v>2910</v>
      </c>
      <c r="K30" s="6" t="n">
        <v>546</v>
      </c>
      <c r="L30" s="6" t="n">
        <v>649</v>
      </c>
      <c r="M30" s="6" t="n">
        <v>2118</v>
      </c>
    </row>
    <row r="31">
      <c r="A31" s="6" t="inlineStr">
        <is>
          <t>Over one year</t>
        </is>
      </c>
      <c r="B31" s="6" t="n"/>
      <c r="C31" s="6" t="n"/>
      <c r="D31" s="6" t="n"/>
      <c r="E31" s="6" t="n"/>
      <c r="F31" s="6" t="n"/>
      <c r="G31" s="6" t="n"/>
      <c r="H31" s="6" t="n"/>
      <c r="I31" s="6" t="n"/>
      <c r="J31" s="6" t="n">
        <v>1535</v>
      </c>
      <c r="K31" s="6" t="n">
        <v>3903</v>
      </c>
      <c r="L31" s="6" t="n">
        <v>6465</v>
      </c>
      <c r="M31" s="6" t="n">
        <v>7795</v>
      </c>
    </row>
    <row r="32">
      <c r="A32" s="5" t="inlineStr">
        <is>
          <t>Derived ratios (Legacy IAS 39 basis)</t>
        </is>
      </c>
      <c r="B32" s="6" t="n"/>
      <c r="C32" s="6" t="n"/>
      <c r="D32" s="6" t="n"/>
      <c r="E32" s="6" t="n"/>
      <c r="F32" s="6" t="n"/>
      <c r="G32" s="6" t="n"/>
      <c r="H32" s="6" t="n"/>
      <c r="I32" s="6" t="n"/>
      <c r="J32" s="6" t="n"/>
      <c r="K32" s="6" t="n"/>
      <c r="L32" s="6" t="n"/>
      <c r="M32" s="6" t="n"/>
    </row>
    <row r="33">
      <c r="A33" s="6" t="inlineStr">
        <is>
          <t>Impaired / total gross loans and advances</t>
        </is>
      </c>
      <c r="B33" s="6" t="n"/>
      <c r="C33" s="6" t="n"/>
      <c r="D33" s="6" t="n"/>
      <c r="E33" s="6" t="n"/>
      <c r="F33" s="6" t="n"/>
      <c r="G33" s="6" t="n"/>
      <c r="H33" s="6" t="n"/>
      <c r="I33" s="6" t="n"/>
      <c r="J33" s="6" t="inlineStr">
        <is>
          <t>0.203%</t>
        </is>
      </c>
      <c r="K33" s="6" t="inlineStr">
        <is>
          <t>0.467%</t>
        </is>
      </c>
      <c r="L33" s="6" t="inlineStr">
        <is>
          <t>1.177%</t>
        </is>
      </c>
      <c r="M33" s="6" t="inlineStr">
        <is>
          <t>2.653%</t>
        </is>
      </c>
    </row>
    <row r="34">
      <c r="A34" s="6" t="inlineStr">
        <is>
          <t>Total provisions / total gross loans and advances (overall coverage)</t>
        </is>
      </c>
      <c r="B34" s="6" t="n"/>
      <c r="C34" s="6" t="n"/>
      <c r="D34" s="6" t="n"/>
      <c r="E34" s="6" t="n"/>
      <c r="F34" s="6" t="n"/>
      <c r="G34" s="6" t="n"/>
      <c r="H34" s="6" t="n"/>
      <c r="I34" s="6" t="n"/>
      <c r="J34" s="6" t="inlineStr">
        <is>
          <t>0.287%</t>
        </is>
      </c>
      <c r="K34" s="6" t="inlineStr">
        <is>
          <t>0.402%</t>
        </is>
      </c>
      <c r="L34" s="6" t="inlineStr">
        <is>
          <t>0.751%</t>
        </is>
      </c>
      <c r="M34" s="6" t="inlineStr">
        <is>
          <t>1.869%</t>
        </is>
      </c>
    </row>
    <row r="36" ht="420" customHeight="1">
      <c r="A36" s="8" t="inlineStr">
        <is>
          <t>Sources - Cynergy Bank Plc's own Credit Risk note (IFRS 9 staging, Consolidated Loans + Overdrafts gross carrying amount and ECL reconciliation tables combined):
FY2025 (&amp; FY2024 own-report comparative used for cross-check only): Annual Report &amp; Accounts 2025, Note 15/Credit risk section, p.65-67 - https://assets.ctfassets.net/xzmqg68ot16t/1aUkuB7BcAd8Pj5Kq0RNqh/101ced4af6be2d55cd37fad3542829b2/Cynergy_Bank_-_Annual_Report_2025.pdf
FY2024 (own) &amp; FY2023 (own-report comparative, cross-checked against AR2023's own FY2023 figures): Annual Report &amp; Accounts 2024, p.113-118 - https://assets.ctfassets.net/xzmqg68ot16t/2AeSbXsBP7fwKhngGTLWxb/ca86e60128ab83d41842b85ae74aa326/Annual_Report_2024.pdf
FY2022 (own, via AR2023's own comparative column) &amp; the FY2021 closing balance (via AR2023's own 'At 1 January 2022' opening-balance row, which is FY2021's own closing balance): Annual Report &amp; Accounts 2023, p.123-126 - https://assets.ctfassets.net/xzmqg68ot16t/2oPLoaeUJ2c4kRJcNMSyMp/54230fc39821a0d6ede6f81f1c7528ce/Cynergy_Bank_Limited_-_Annual_Report_2023.pdf
FY2020 (own): Cynergy Bank Limited Annual Report &amp; Accounts 2020 (Companies House filing, scanned), Note 17 (Loans and advances to customers), p.89-91 - https://find-and-update.company-information.service.gov.uk/company/04728421/filing-history/MzMwMTMwNjM2MWFkaXF6a2N4/document?format=pdf&amp;download=0
FY2019 (own): Cynergy Bank Limited Annual Report &amp; Accounts 2019 (Companies House filing, scanned), Note 17, p.81-83 - https://find-and-update.company-information.service.gov.uk/company/04728421/filing-history/MzI2ODIzMzE4NmFkaXF6a2N4/document?format=pdf&amp;download=0
FY2018 (own): Cynergy Bank Limited Annual Report &amp; Accounts 2018 (Companies House filing, scanned), Note 17, p.43-45 - https://find-and-update.company-information.service.gov.uk/company/04728421/filing-history/MzI0NTUxMzA1N2FkaXF6a2N4/document?format=pdf&amp;download=0
FY2017 (own): Bank of Cyprus UK Limited Annual Report &amp; Accounts 2017 (Companies House filing, scanned), Note 17, p.35, Company-only basis - https://find-and-update.company-information.service.gov.uk/company/04728421/filing-history/MzIwNjAyOTg3MmFkaXF6a2N4/document?format=pdf&amp;download=0
FY2016 (own): Bank of Cyprus UK Limited Annual Report &amp; Accounts 2016 (Companies House filing, scanned), Note 17, p.29, Company-only basis - https://find-and-update.company-information.service.gov.uk/company/04728421/filing-history/MzE4MTU5MjQyMmFkaXF6a2N4/document?format=pdf&amp;download=0
FY2015 (own): Bank of Cyprus UK Limited Annual Report &amp; Accounts 2015 (Companies House filing, scanned), Note 16, p.20, Company-only basis - https://find-and-update.company-information.service.gov.uk/company/04728421/filing-history/MzE0NDMzNzcwNGFkaXF6a2N4/document?format=pdf&amp;download=0
FY2014 (own): Bank of Cyprus UK Limited Annual Report &amp; Accounts 2014 (Companies House filing, scanned), Note 16, p.24, Company-only basis - https://find-and-update.company-information.service.gov.uk/company/04728421/filing-history/MzEyMTQ1OTQ5MGFkaXF6a2N4/document?format=pdf&amp;download=0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FY2021's stage split is the FY2021 closing balance recovered from FY2022's own reconciliation table 'At 1 January' row (the FY2021 Annual Report's own credit risk note was not independently re-checked) - same 'sourced from the following year's own comparative' pattern used elsewhere in this project. Ratios (Stage 3/Total gross exposure, Total ECL/Total gross exposure coverage, Stage 3 coverage) are calculated from the gross carrying amount and ECL figures above, not separately disclosed.
HD-051 note: FY2014-FY2017 predate IFRS 9 (effective 1 Jan 2018) and use the IAS 39 incurred-loss framework instead of the IFRS 9 expected-credit-loss stage model used from FY2018 onward - these years are shown in a separate 'Legacy IAS 39 basis' section using that era's own terminology ('neither past due nor impaired' / 'past due but not impaired' / 'impaired', with an arrears-ageing analysis of the past-due-but-not-impaired category), not forced into the Stage 1/2/3 framework, and not skipped. Figures are Bank of Cyprus UK Limited's own Company-only (non-consolidated) Loans and advances to customers note (Loans + Overdrafts columns summed) for each year's own Annual Report - same Companies House filings already used for the Balance Sheet/P&amp;L/Cash Flow sheets, re-read for this note specifically (no new documents sourced). FY2018 is the first year presented under IFRS 9's Stage 1/2/3 model (Cynergy Bank Limited's own FY2018 Annual Report note 17 already discloses the gross-carrying and ECL tables by stage, individual/collective-split that first year only) and is included directly in the IFRS 9 section above, not as a separate transitional block - no further transitional treatment was needed because the FY2018 report itself already presents the post-transition Stage 1/2/3 basis in full.
FY2019 Stage 2 ECL is a balancing figure, not a direct transcription: the FY2019 Annual Report's Overdrafts ECL movement table (scanned filing) was faint enough that its own reported per-stage 'Total' row (£110k) did not sum from its own individually-legible Stage 1/2/3 cells (£31k/£40k/£69k = £140k, not £110k) - rather than transcribe an internally-inconsistent reading, the Overdrafts Stage 2 figure is backed out as £110k - £31k - £69k = £10k so that the combined Stage 1/2/3 ECL ties exactly to the report's own disclosed combined total of £3,740k; this affects only the Stage 2 ECL split, not any total.</t>
        </is>
      </c>
    </row>
  </sheetData>
  <mergeCells count="1">
    <mergeCell ref="A36:M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CET1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Tier 1 capital (CET1)</t>
        </is>
      </c>
      <c r="B4" s="6" t="n"/>
      <c r="C4" s="6" t="n">
        <v>321877</v>
      </c>
      <c r="D4" s="6" t="n">
        <v>306251</v>
      </c>
      <c r="E4" s="6" t="n"/>
      <c r="F4" s="6" t="n"/>
      <c r="G4" s="6" t="n">
        <v>182844</v>
      </c>
      <c r="H4" s="6" t="n">
        <v>156836</v>
      </c>
      <c r="I4" s="6" t="n">
        <v>135416</v>
      </c>
      <c r="J4" s="6" t="n">
        <v>109910</v>
      </c>
      <c r="K4" s="6" t="n"/>
      <c r="L4" s="6" t="n"/>
      <c r="M4" s="6" t="n"/>
    </row>
    <row r="5">
      <c r="A5" s="6" t="inlineStr">
        <is>
          <t>Core Tier 1 capital (Basel II/CRD III era terminology; shown as the closest equivalent to CET1 - see note)</t>
        </is>
      </c>
      <c r="B5" s="6" t="n"/>
      <c r="C5" s="6" t="n"/>
      <c r="D5" s="6" t="n"/>
      <c r="E5" s="6" t="n"/>
      <c r="F5" s="6" t="n"/>
      <c r="G5" s="6" t="n"/>
      <c r="H5" s="6" t="n"/>
      <c r="I5" s="6" t="n"/>
      <c r="J5" s="6" t="n"/>
      <c r="K5" s="6" t="n">
        <v>65017</v>
      </c>
      <c r="L5" s="6" t="n">
        <v>69180</v>
      </c>
      <c r="M5" s="6" t="n">
        <v>65533</v>
      </c>
    </row>
    <row r="7" ht="170" customHeight="1">
      <c r="A7"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1">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CET1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n"/>
      <c r="C4" s="6" t="n"/>
      <c r="D4" s="6" t="n"/>
      <c r="E4" s="6" t="n"/>
      <c r="F4" s="6" t="n"/>
      <c r="G4" s="6" t="inlineStr">
        <is>
          <t>14.12%</t>
        </is>
      </c>
      <c r="H4" s="6" t="inlineStr">
        <is>
          <t>13.7%</t>
        </is>
      </c>
      <c r="I4" s="6" t="inlineStr">
        <is>
          <t>17.0%</t>
        </is>
      </c>
      <c r="J4" s="6" t="inlineStr">
        <is>
          <t>16.6%</t>
        </is>
      </c>
      <c r="K4" s="6" t="n"/>
      <c r="L4" s="6" t="n"/>
      <c r="M4" s="6" t="n"/>
    </row>
    <row r="5">
      <c r="A5" s="6" t="inlineStr">
        <is>
          <t>Core Tier 1 / Tier 1 ratio (Basel II/CRD III era terminology; closest equivalent to CET1 ratio)</t>
        </is>
      </c>
      <c r="B5" s="6" t="n"/>
      <c r="C5" s="6" t="n"/>
      <c r="D5" s="6" t="n"/>
      <c r="E5" s="6" t="n"/>
      <c r="F5" s="6" t="n"/>
      <c r="G5" s="6" t="n"/>
      <c r="H5" s="6" t="n"/>
      <c r="I5" s="6" t="n"/>
      <c r="J5" s="6" t="n"/>
      <c r="K5" s="6" t="inlineStr">
        <is>
          <t>12.1%</t>
        </is>
      </c>
      <c r="L5" s="6" t="inlineStr">
        <is>
          <t>16.6%</t>
        </is>
      </c>
      <c r="M5" s="6" t="inlineStr">
        <is>
          <t>16.9%</t>
        </is>
      </c>
    </row>
    <row r="7" ht="170" customHeight="1">
      <c r="A7"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1">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Tier 1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Tier 1 capital (CET1)</t>
        </is>
      </c>
      <c r="B4" s="6" t="n"/>
      <c r="C4" s="6" t="n">
        <v>321877</v>
      </c>
      <c r="D4" s="6" t="n">
        <v>306251</v>
      </c>
      <c r="E4" s="6" t="n"/>
      <c r="F4" s="6" t="n"/>
      <c r="G4" s="6" t="n">
        <v>182844</v>
      </c>
      <c r="H4" s="6" t="n">
        <v>156836</v>
      </c>
      <c r="I4" s="6" t="n">
        <v>135416</v>
      </c>
      <c r="J4" s="6" t="n">
        <v>109910</v>
      </c>
      <c r="K4" s="6" t="n"/>
      <c r="L4" s="6" t="n"/>
      <c r="M4" s="6" t="n"/>
    </row>
    <row r="5">
      <c r="A5" s="6" t="inlineStr">
        <is>
          <t>Core Tier 1 capital (Basel II/CRD III era terminology; shown as the closest equivalent - see note)</t>
        </is>
      </c>
      <c r="B5" s="6" t="n"/>
      <c r="C5" s="6" t="n"/>
      <c r="D5" s="6" t="n"/>
      <c r="E5" s="6" t="n"/>
      <c r="F5" s="6" t="n"/>
      <c r="G5" s="6" t="n"/>
      <c r="H5" s="6" t="n"/>
      <c r="I5" s="6" t="n"/>
      <c r="J5" s="6" t="n"/>
      <c r="K5" s="6" t="n">
        <v>65017</v>
      </c>
      <c r="L5" s="6" t="n">
        <v>69180</v>
      </c>
      <c r="M5" s="6" t="n">
        <v>65533</v>
      </c>
    </row>
    <row r="6" ht="60" customHeight="1">
      <c r="A6" s="7" t="inlineStr">
        <is>
          <t>Note: Cynergy Bank's own Annual Report labels this line 'Total eligible Tier 1 capital (CET1)' - i.e. it states Tier 1 capital and CET1 capital are identical (no Additional Tier 1 instruments in issue) - see the CET1 Capital sheet for the same figures and source.</t>
        </is>
      </c>
    </row>
    <row r="8" ht="170" customHeight="1">
      <c r="A8"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8:M8"/>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Tier 1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 CET1 ratio; no Additional Tier 1 instrument in issue any year reviewed)</t>
        </is>
      </c>
      <c r="B4" s="6" t="n"/>
      <c r="C4" s="6" t="n"/>
      <c r="D4" s="6" t="n"/>
      <c r="E4" s="6" t="n"/>
      <c r="F4" s="6" t="n"/>
      <c r="G4" s="6" t="inlineStr">
        <is>
          <t>14.12%</t>
        </is>
      </c>
      <c r="H4" s="6" t="inlineStr">
        <is>
          <t>13.7%</t>
        </is>
      </c>
      <c r="I4" s="6" t="inlineStr">
        <is>
          <t>17.0%</t>
        </is>
      </c>
      <c r="J4" s="6" t="inlineStr">
        <is>
          <t>16.6%</t>
        </is>
      </c>
      <c r="K4" s="6" t="inlineStr">
        <is>
          <t>12.1%</t>
        </is>
      </c>
      <c r="L4" s="6" t="inlineStr">
        <is>
          <t>16.6%</t>
        </is>
      </c>
      <c r="M4" s="6" t="inlineStr">
        <is>
          <t>16.9%</t>
        </is>
      </c>
    </row>
    <row r="5" ht="60" customHeight="1">
      <c r="A5" s="7" t="inlineStr">
        <is>
          <t>Note: Cynergy Bank's own Annual Report labels this line 'Total eligible Tier 1 capital (CET1)' - i.e. it states Tier 1 capital and CET1 capital are identical (no Additional Tier 1 instruments in issue) - see the CET1 Capital sheet for the same figures and source.</t>
        </is>
      </c>
    </row>
    <row r="7" ht="170" customHeight="1">
      <c r="A7"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regulatory capital (CET1/Core Tier 1 + Tier 2 subordinated debt)</t>
        </is>
      </c>
      <c r="B4" s="6" t="n"/>
      <c r="C4" s="6" t="n">
        <v>336877</v>
      </c>
      <c r="D4" s="6" t="n">
        <v>321251</v>
      </c>
      <c r="E4" s="6" t="n"/>
      <c r="F4" s="6" t="n"/>
      <c r="G4" s="6" t="n">
        <v>212588</v>
      </c>
      <c r="H4" s="6" t="n">
        <v>186465</v>
      </c>
      <c r="I4" s="6" t="n">
        <v>165416</v>
      </c>
      <c r="J4" s="6" t="n"/>
      <c r="K4" s="6" t="n">
        <v>96777</v>
      </c>
      <c r="L4" s="6" t="n">
        <v>101139</v>
      </c>
      <c r="M4" s="6" t="n">
        <v>98022</v>
      </c>
    </row>
    <row r="5" ht="60" customHeight="1">
      <c r="A5" s="7" t="inlineStr">
        <is>
          <t>Note: FY2017 Total Capital (£) and Total RWAs are left blank deliberately, not omitted by oversight: the FY2018 Pillar 3 document's FY2017 comparative discloses CET1/Tier 1 capital (£109,910k) and three ratios (CET1 16.6%, Total Capital 21.0%, Leverage 5.8%) but never states a Total Capital £ amount or a Total RWA £ amount directly, and the same document's own FY2017 credit-risk RWA figure (£629,000k) is larger than either of the two different 'implied total RWA' figures that back-solving from the two disclosed ratios would produce (~£523m assuming Total Capital = CET1 that year, or ~£662m assuming CET1 ratio alone pins down RWA) - these are inconsistent with each other and with the disclosed credit-risk RWA, so no single figure can be derived reliably. Rather than guess, these two cells are left blank for FY2017 only; the three ratios above are the source's own directly-stated figures and are populated.</t>
        </is>
      </c>
    </row>
    <row r="7" ht="170" customHeight="1">
      <c r="A7"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Capital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n"/>
      <c r="C4" s="6" t="n"/>
      <c r="D4" s="6" t="n"/>
      <c r="E4" s="6" t="n"/>
      <c r="F4" s="6" t="n"/>
      <c r="G4" s="6" t="inlineStr">
        <is>
          <t>16.42%</t>
        </is>
      </c>
      <c r="H4" s="6" t="inlineStr">
        <is>
          <t>16.3%</t>
        </is>
      </c>
      <c r="I4" s="6" t="inlineStr">
        <is>
          <t>20.7%</t>
        </is>
      </c>
      <c r="J4" s="6" t="inlineStr">
        <is>
          <t>21.0%</t>
        </is>
      </c>
      <c r="K4" s="6" t="inlineStr">
        <is>
          <t>18.2%</t>
        </is>
      </c>
      <c r="L4" s="6" t="inlineStr">
        <is>
          <t>24.4%</t>
        </is>
      </c>
      <c r="M4" s="6" t="inlineStr">
        <is>
          <t>25.4%</t>
        </is>
      </c>
    </row>
    <row r="6" ht="170" customHeight="1">
      <c r="A6"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RWAs</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t>
        </is>
      </c>
      <c r="B4" s="6" t="n"/>
      <c r="C4" s="6" t="n"/>
      <c r="D4" s="6" t="n"/>
      <c r="E4" s="6" t="n"/>
      <c r="F4" s="6" t="n"/>
      <c r="G4" s="6" t="n">
        <v>1294931</v>
      </c>
      <c r="H4" s="6" t="n">
        <v>1144428</v>
      </c>
      <c r="I4" s="6" t="n">
        <v>796565</v>
      </c>
      <c r="J4" s="6" t="n"/>
      <c r="K4" s="6" t="n">
        <v>531742</v>
      </c>
      <c r="L4" s="6" t="n">
        <v>416813</v>
      </c>
      <c r="M4" s="6" t="n">
        <v>385638</v>
      </c>
    </row>
    <row r="5" ht="60" customHeight="1">
      <c r="A5" s="7" t="inlineStr">
        <is>
          <t>Note: FY2017 Total Capital (£) and Total RWAs are left blank deliberately, not omitted by oversight: the FY2018 Pillar 3 document's FY2017 comparative discloses CET1/Tier 1 capital (£109,910k) and three ratios (CET1 16.6%, Total Capital 21.0%, Leverage 5.8%) but never states a Total Capital £ amount or a Total RWA £ amount directly, and the same document's own FY2017 credit-risk RWA figure (£629,000k) is larger than either of the two different 'implied total RWA' figures that back-solving from the two disclosed ratios would produce (~£523m assuming Total Capital = CET1 that year, or ~£662m assuming CET1 ratio alone pins down RWA) - these are inconsistent with each other and with the disclosed credit-risk RWA, so no single figure can be derived reliably. Rather than guess, these two cells are left blank for FY2017 only; the three ratios above are the source's own directly-stated figures and are populated.
FY2020 is the document's own directly-stated Total RWA figure; FY2014-2016, FY2018 and FY2019 are derived from that year's own disclosed Total Capital (or minimum capital requirement) divided by that year's own disclosed Total Capital ratio (or x12.5 of the minimum capital requirement) - both inputs to each derivation come from the same source document/year, not mixed across years.</t>
        </is>
      </c>
    </row>
    <row r="7" ht="170" customHeight="1">
      <c r="A7"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RWA Breakdown</t>
        </is>
      </c>
    </row>
    <row r="2">
      <c r="A2" s="2" t="inlineStr">
        <is>
          <t>Consolidated (Company-only FY2014-2015) basis, £'000. FY2020 credit-risk exposure-class RWA summary is shown separately; FY2016/FY2017 remain unavailable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Risk-weighted assets by category</t>
        </is>
      </c>
      <c r="B4" s="6" t="n"/>
      <c r="C4" s="6" t="n"/>
      <c r="D4" s="6" t="n"/>
      <c r="E4" s="6" t="n"/>
      <c r="F4" s="6" t="n"/>
      <c r="G4" s="6" t="n"/>
      <c r="H4" s="6" t="n"/>
      <c r="I4" s="6" t="n"/>
      <c r="J4" s="6" t="n"/>
      <c r="K4" s="6" t="n"/>
      <c r="L4" s="6" t="n"/>
      <c r="M4" s="6" t="n"/>
    </row>
    <row r="5">
      <c r="A5" s="5" t="inlineStr">
        <is>
          <t>FY2020 credit-risk RWA by exposure class (source summary; not complete Pillar 1 total)</t>
        </is>
      </c>
      <c r="B5" s="6" t="n"/>
      <c r="C5" s="6" t="n"/>
      <c r="D5" s="6" t="n"/>
      <c r="E5" s="6" t="n"/>
      <c r="F5" s="6" t="n"/>
      <c r="G5" s="6" t="n"/>
      <c r="H5" s="6" t="n"/>
      <c r="I5" s="6" t="n"/>
      <c r="J5" s="6" t="n"/>
      <c r="K5" s="6" t="n"/>
      <c r="L5" s="6" t="n"/>
      <c r="M5" s="6" t="n"/>
    </row>
    <row r="6">
      <c r="A6" s="6" t="inlineStr">
        <is>
          <t>Central governments or central banks</t>
        </is>
      </c>
      <c r="B6" s="6" t="n"/>
      <c r="C6" s="6" t="n"/>
      <c r="D6" s="6" t="n"/>
      <c r="E6" s="6" t="n"/>
      <c r="F6" s="6" t="n"/>
      <c r="G6" s="6" t="n">
        <v>0</v>
      </c>
      <c r="H6" s="6" t="n"/>
      <c r="I6" s="6" t="n"/>
      <c r="J6" s="6" t="n"/>
      <c r="K6" s="6" t="n"/>
      <c r="L6" s="6" t="n"/>
      <c r="M6" s="6" t="n"/>
    </row>
    <row r="7">
      <c r="A7" s="6" t="inlineStr">
        <is>
          <t>Institutions</t>
        </is>
      </c>
      <c r="B7" s="6" t="n"/>
      <c r="C7" s="6" t="n"/>
      <c r="D7" s="6" t="n"/>
      <c r="E7" s="6" t="n"/>
      <c r="F7" s="6" t="n"/>
      <c r="G7" s="6" t="n">
        <v>9000</v>
      </c>
      <c r="H7" s="6" t="n"/>
      <c r="I7" s="6" t="n"/>
      <c r="J7" s="6" t="n"/>
      <c r="K7" s="6" t="n"/>
      <c r="L7" s="6" t="n"/>
      <c r="M7" s="6" t="n"/>
    </row>
    <row r="8">
      <c r="A8" s="6" t="inlineStr">
        <is>
          <t>Corporates</t>
        </is>
      </c>
      <c r="B8" s="6" t="n"/>
      <c r="C8" s="6" t="n"/>
      <c r="D8" s="6" t="n"/>
      <c r="E8" s="6" t="n"/>
      <c r="F8" s="6" t="n"/>
      <c r="G8" s="6" t="n">
        <v>401000</v>
      </c>
      <c r="H8" s="6" t="n"/>
      <c r="I8" s="6" t="n"/>
      <c r="J8" s="6" t="n"/>
      <c r="K8" s="6" t="n"/>
      <c r="L8" s="6" t="n"/>
      <c r="M8" s="6" t="n"/>
    </row>
    <row r="9">
      <c r="A9" s="6" t="inlineStr">
        <is>
          <t>Retail</t>
        </is>
      </c>
      <c r="B9" s="6" t="n"/>
      <c r="C9" s="6" t="n"/>
      <c r="D9" s="6" t="n"/>
      <c r="E9" s="6" t="n"/>
      <c r="F9" s="6" t="n"/>
      <c r="G9" s="6" t="n">
        <v>74000</v>
      </c>
      <c r="H9" s="6" t="n"/>
      <c r="I9" s="6" t="n"/>
      <c r="J9" s="6" t="n"/>
      <c r="K9" s="6" t="n"/>
      <c r="L9" s="6" t="n"/>
      <c r="M9" s="6" t="n"/>
    </row>
    <row r="10">
      <c r="A10" s="6" t="inlineStr">
        <is>
          <t>Secured by mortgages on immovable property</t>
        </is>
      </c>
      <c r="B10" s="6" t="n"/>
      <c r="C10" s="6" t="n"/>
      <c r="D10" s="6" t="n"/>
      <c r="E10" s="6" t="n"/>
      <c r="F10" s="6" t="n"/>
      <c r="G10" s="6" t="n">
        <v>638000</v>
      </c>
      <c r="H10" s="6" t="n"/>
      <c r="I10" s="6" t="n"/>
      <c r="J10" s="6" t="n"/>
      <c r="K10" s="6" t="n"/>
      <c r="L10" s="6" t="n"/>
      <c r="M10" s="6" t="n"/>
    </row>
    <row r="11">
      <c r="A11" s="6" t="inlineStr">
        <is>
          <t>Exposures in default</t>
        </is>
      </c>
      <c r="B11" s="6" t="n"/>
      <c r="C11" s="6" t="n"/>
      <c r="D11" s="6" t="n"/>
      <c r="E11" s="6" t="n"/>
      <c r="F11" s="6" t="n"/>
      <c r="G11" s="6" t="n">
        <v>30000</v>
      </c>
      <c r="H11" s="6" t="n"/>
      <c r="I11" s="6" t="n"/>
      <c r="J11" s="6" t="n"/>
      <c r="K11" s="6" t="n"/>
      <c r="L11" s="6" t="n"/>
      <c r="M11" s="6" t="n"/>
    </row>
    <row r="12">
      <c r="A12" s="6" t="inlineStr">
        <is>
          <t>Items associated with particularly high risk</t>
        </is>
      </c>
      <c r="B12" s="6" t="n"/>
      <c r="C12" s="6" t="n"/>
      <c r="D12" s="6" t="n"/>
      <c r="E12" s="6" t="n"/>
      <c r="F12" s="6" t="n"/>
      <c r="G12" s="6" t="n">
        <v>24000</v>
      </c>
      <c r="H12" s="6" t="n"/>
      <c r="I12" s="6" t="n"/>
      <c r="J12" s="6" t="n"/>
      <c r="K12" s="6" t="n"/>
      <c r="L12" s="6" t="n"/>
      <c r="M12" s="6" t="n"/>
    </row>
    <row r="13">
      <c r="A13" s="6" t="inlineStr">
        <is>
          <t>Other items</t>
        </is>
      </c>
      <c r="B13" s="6" t="n"/>
      <c r="C13" s="6" t="n"/>
      <c r="D13" s="6" t="n"/>
      <c r="E13" s="6" t="n"/>
      <c r="F13" s="6" t="n"/>
      <c r="G13" s="6" t="n">
        <v>19000</v>
      </c>
      <c r="H13" s="6" t="n"/>
      <c r="I13" s="6" t="n"/>
      <c r="J13" s="6" t="n"/>
      <c r="K13" s="6" t="n"/>
      <c r="L13" s="6" t="n"/>
      <c r="M13" s="6" t="n"/>
    </row>
    <row r="14">
      <c r="A14" s="5" t="inlineStr">
        <is>
          <t>Total credit-risk RWA (FY2020 source summary)</t>
        </is>
      </c>
      <c r="B14" s="5" t="n"/>
      <c r="C14" s="5" t="n"/>
      <c r="D14" s="5" t="n"/>
      <c r="E14" s="5" t="n"/>
      <c r="F14" s="5" t="n"/>
      <c r="G14" s="5" t="n">
        <v>1195000</v>
      </c>
      <c r="H14" s="5" t="n"/>
      <c r="I14" s="5" t="n"/>
      <c r="J14" s="5" t="n"/>
      <c r="K14" s="5" t="n"/>
      <c r="L14" s="5" t="n"/>
      <c r="M14" s="5" t="n"/>
    </row>
    <row r="15">
      <c r="A15" s="6" t="inlineStr">
        <is>
          <t>Credit risk RWA</t>
        </is>
      </c>
      <c r="B15" s="6" t="n"/>
      <c r="C15" s="6" t="n"/>
      <c r="D15" s="6" t="n"/>
      <c r="E15" s="6" t="n"/>
      <c r="F15" s="6" t="n"/>
      <c r="G15" s="6" t="n"/>
      <c r="H15" s="6" t="n">
        <v>1066000</v>
      </c>
      <c r="I15" s="6" t="n">
        <v>742000</v>
      </c>
      <c r="J15" s="6" t="n"/>
      <c r="K15" s="6" t="n"/>
      <c r="L15" s="6" t="n">
        <v>385977</v>
      </c>
      <c r="M15" s="6" t="n">
        <v>355707</v>
      </c>
    </row>
    <row r="16">
      <c r="A16" s="6" t="inlineStr">
        <is>
          <t>Operational risk RWA (derived from disclosed capital requirement x12.5)</t>
        </is>
      </c>
      <c r="B16" s="6" t="n"/>
      <c r="C16" s="6" t="n"/>
      <c r="D16" s="6" t="n"/>
      <c r="E16" s="6" t="n"/>
      <c r="F16" s="6" t="n"/>
      <c r="G16" s="6" t="n"/>
      <c r="H16" s="6" t="n"/>
      <c r="I16" s="6" t="n"/>
      <c r="J16" s="6" t="n"/>
      <c r="K16" s="6" t="n"/>
      <c r="L16" s="6" t="n">
        <v>30838</v>
      </c>
      <c r="M16" s="6" t="n">
        <v>29938</v>
      </c>
    </row>
    <row r="17">
      <c r="A17" s="5" t="inlineStr">
        <is>
          <t>Total RWA</t>
        </is>
      </c>
      <c r="B17" s="5" t="n"/>
      <c r="C17" s="5" t="n"/>
      <c r="D17" s="5" t="n"/>
      <c r="E17" s="5" t="n"/>
      <c r="F17" s="5" t="n"/>
      <c r="G17" s="5" t="n"/>
      <c r="H17" s="5" t="n">
        <v>1066000</v>
      </c>
      <c r="I17" s="5" t="n">
        <v>742000</v>
      </c>
      <c r="J17" s="5" t="n"/>
      <c r="K17" s="5" t="n"/>
      <c r="L17" s="5" t="n">
        <v>416815</v>
      </c>
      <c r="M17" s="5" t="n">
        <v>385645</v>
      </c>
    </row>
    <row r="19" ht="280" customHeight="1">
      <c r="A19"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
FY2020: Cynergy Bank Pillar 3 Disclosures 2020, 'Summary of On Balance Sheet Credit Risk Exposure', p.25 (source reports £m; converted to £'000) - https://www.cynergybank.co.uk/media/liqngpna/pillar-3-disclosures-2020.pdf
FY2016 and FY2017 are deliberately left blank on this sheet, not omitted by oversight: FY2016's Annual Report discloses only the aggregate Total Capital and ratio, no risk-category RWA split at all; FY2017 is left blank for the same reason given on the Total RWAs sheet (the disclosed ratios don't reliably pin down a single RWA figure that year). FY2020's own Pillar 3 document does disclose a summary of on-balance-sheet credit-risk RWA by exposure class (p.25); those figures are now included below as a separate credit-risk section. They are not the complete Total RWAs figure because the source does not provide the corresponding operational-risk/other Pillar 1 components at this granularity. FY2014/FY2015 Operational risk RWA is derived (that year's own disclosed operational risk capital requirement x12.5); FY2018/FY2019 only Credit risk RWA was located (no Operational/Market risk category breakdown found in either Pillar 3 document), so Total RWA on this sheet for those two years is Credit risk RWA alone and will not tie to the (higher) Total RWAs sheet figure for the same year - that gap is the other, undisclosed risk categories, not an error.</t>
        </is>
      </c>
    </row>
  </sheetData>
  <mergeCells count="1">
    <mergeCell ref="A19:M1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Leverage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n"/>
      <c r="C4" s="6" t="n"/>
      <c r="D4" s="6" t="n"/>
      <c r="E4" s="6" t="n"/>
      <c r="F4" s="6" t="n"/>
      <c r="G4" s="6" t="inlineStr">
        <is>
          <t>6.1%</t>
        </is>
      </c>
      <c r="H4" s="6" t="inlineStr">
        <is>
          <t>6.3%</t>
        </is>
      </c>
      <c r="I4" s="6" t="inlineStr">
        <is>
          <t>6.9%</t>
        </is>
      </c>
      <c r="J4" s="6" t="inlineStr">
        <is>
          <t>5.8%</t>
        </is>
      </c>
      <c r="K4" s="6" t="inlineStr">
        <is>
          <t>4.7%</t>
        </is>
      </c>
      <c r="L4" s="6" t="inlineStr">
        <is>
          <t>6.0%</t>
        </is>
      </c>
      <c r="M4" s="6" t="inlineStr">
        <is>
          <t>6.1%</t>
        </is>
      </c>
    </row>
    <row r="5" ht="60" customHeight="1">
      <c r="A5" s="7" t="inlineStr">
        <is>
          <t>Note: FY2020's Pillar 3 document states two different leverage exposure measure figures on different pages (£3,006,579k in the reconciliation table vs £2,953,625k in the common disclosure table) that would imply slightly different ratios from the same £182,844k Tier 1 capital - the document's own stated 6.1% ratio is used here rather than recomputing from either exposure figure. FY2018's own Pillar 3 document states 6.9% for FY2018; FY2019's Pillar 3 document's own FY2018 comparative instead shows 6.8% - each year's own report is used for its own figure (FY2018 = 6.9%), per this project's standing convention; the two documents disagree on FY2018 by 0.1pp.</t>
        </is>
      </c>
    </row>
    <row r="7" ht="170" customHeight="1">
      <c r="A7"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LCR</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n"/>
      <c r="C4" s="6" t="n"/>
      <c r="D4" s="6" t="n"/>
      <c r="E4" s="6" t="n"/>
      <c r="F4" s="6" t="n"/>
      <c r="G4" s="6" t="inlineStr">
        <is>
          <t>340%</t>
        </is>
      </c>
      <c r="H4" s="6" t="n"/>
      <c r="I4" s="6" t="n"/>
      <c r="J4" s="6" t="n"/>
      <c r="K4" s="6" t="n"/>
      <c r="L4" s="6" t="n"/>
      <c r="M4" s="6" t="n"/>
    </row>
    <row r="6" ht="170" customHeight="1">
      <c r="A6"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1">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NSFR</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n"/>
      <c r="C4" s="6" t="n"/>
      <c r="D4" s="6" t="n"/>
      <c r="E4" s="6" t="n"/>
      <c r="F4" s="6" t="n"/>
      <c r="G4" s="6" t="inlineStr">
        <is>
          <t>132%</t>
        </is>
      </c>
      <c r="H4" s="6" t="n"/>
      <c r="I4" s="6" t="n"/>
      <c r="J4" s="6" t="n"/>
      <c r="K4" s="6" t="n"/>
      <c r="L4" s="6" t="n"/>
      <c r="M4" s="6" t="n"/>
    </row>
    <row r="6" ht="170" customHeight="1">
      <c r="A6"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1">
    <mergeCell ref="A6:M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Cynergy Bank's Annual Reports discuss capital/liquidity/funding risk only qualitatively (e.g. 'we held surplus regulatory capital', 'the liquidity coverage ratio has exceeded the regulatory requirements') with no £ or % figures stated in any year reviewed for this metric, and no standalone Pillar 3 document was found on the bank's own site. See the Cash Flow Statement sheet's source note for the SDDT-regime context that plausibly explains this.</t>
        </is>
      </c>
    </row>
    <row r="7" ht="150" customHeight="1">
      <c r="A7" s="8" t="inlineStr">
        <is>
          <t>Sources - Cynergy Bank Plc Consolidated (Company-only FY2014-2017, see note) basis:
FY2024 &amp; FY2023: Cynergy Bank plc Annual Report &amp; Accounts 2024, p.146 (Note 32, Capital resources) - https://assets.ctfassets.net/xzmqg68ot16t/2AeSbXsBP7fwKhngGTLWxb/ca86e60128ab83d41842b85ae74aa326/Annual_Report_2024.pdf
FY2025, FY2022, FY2021: no quantitative capital or liquidity figures were found in the corresponding Annual Report - only qualitative narrative in the 'Capital, liquidity and funding risk' section of each report's Risk report (e.g. 'we held surplus regulatory capital', 'the liquidity coverage ratio has exceeded the regulatory requirements'), with no £ or % figures stated. Note this batch (HD-051) found real standalone Pillar 3 PDFs for FY2018-2020 via the Wayback Machine even though none is linked from the live site - FY2021's own equivalent document was not searched for (out of scope for this batch; flagged for the wayfinder map) and may well also exist despite this note's absence-claim for FY2021.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2026-09-06T20:42:12Z</dcterms:created>
  <dcterms:modified xmlns:dcterms="http://purl.org/dc/terms/" xmlns:xsi="http://www.w3.org/2001/XMLSchema-instance" xsi:type="dcterms:W3CDTF">2026-09-06T20:42:12Z</dcterms:modified>
</cp:coreProperties>
</file>