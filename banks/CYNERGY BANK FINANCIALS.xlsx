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5597322</v>
      </c>
      <c r="C6" s="5" t="n">
        <v>5098500</v>
      </c>
      <c r="D6" s="5" t="n">
        <v>4611231</v>
      </c>
      <c r="E6" s="5" t="n">
        <v>4124713</v>
      </c>
      <c r="F6" s="5" t="n">
        <v>3518034</v>
      </c>
      <c r="I6" t="inlineStr">
        <is>
          <t>Total assets</t>
        </is>
      </c>
      <c r="J6" t="n">
        <v>3518034</v>
      </c>
      <c r="K6" t="n">
        <v>4124713</v>
      </c>
      <c r="L6" t="n">
        <v>4611231</v>
      </c>
      <c r="M6" t="n">
        <v>5098500</v>
      </c>
      <c r="N6" t="n">
        <v>5597322</v>
      </c>
    </row>
    <row r="7">
      <c r="A7" s="5" t="inlineStr">
        <is>
          <t>Loans and advances to customers</t>
        </is>
      </c>
      <c r="B7" s="5" t="n">
        <v>3745133</v>
      </c>
      <c r="C7" s="5" t="n">
        <v>3653477</v>
      </c>
      <c r="D7" s="5" t="n">
        <v>3564297</v>
      </c>
      <c r="E7" s="5" t="n">
        <v>3254230</v>
      </c>
      <c r="F7" s="5" t="n">
        <v>2949578</v>
      </c>
      <c r="I7" t="inlineStr">
        <is>
          <t>Loans and advances to customers</t>
        </is>
      </c>
      <c r="J7" t="n">
        <v>2949578</v>
      </c>
      <c r="K7" t="n">
        <v>3254230</v>
      </c>
      <c r="L7" t="n">
        <v>3564297</v>
      </c>
      <c r="M7" t="n">
        <v>3653477</v>
      </c>
      <c r="N7" t="n">
        <v>3745133</v>
      </c>
    </row>
    <row r="8">
      <c r="A8" s="5" t="inlineStr">
        <is>
          <t>Customer deposits</t>
        </is>
      </c>
      <c r="B8" s="5" t="n">
        <v>4910863</v>
      </c>
      <c r="C8" s="5" t="n">
        <v>4492026</v>
      </c>
      <c r="D8" s="5" t="n">
        <v>3758037</v>
      </c>
      <c r="E8" s="5" t="n">
        <v>3336442</v>
      </c>
      <c r="F8" s="5" t="n">
        <v>2832564</v>
      </c>
      <c r="I8" t="inlineStr">
        <is>
          <t>Customer deposits</t>
        </is>
      </c>
      <c r="J8" t="n">
        <v>2832564</v>
      </c>
      <c r="K8" t="n">
        <v>3336442</v>
      </c>
      <c r="L8" t="n">
        <v>3758037</v>
      </c>
      <c r="M8" t="n">
        <v>4492026</v>
      </c>
      <c r="N8" t="n">
        <v>4910863</v>
      </c>
    </row>
    <row r="9">
      <c r="A9" s="5" t="inlineStr">
        <is>
          <t>Total equity</t>
        </is>
      </c>
      <c r="B9" s="5" t="n">
        <v>426229</v>
      </c>
      <c r="C9" s="5" t="n">
        <v>387856</v>
      </c>
      <c r="D9" s="5" t="n">
        <v>349550</v>
      </c>
      <c r="E9" s="5" t="n">
        <v>309446</v>
      </c>
      <c r="F9" s="5" t="n">
        <v>220716</v>
      </c>
      <c r="I9" t="inlineStr">
        <is>
          <t>Total equity</t>
        </is>
      </c>
      <c r="J9" t="n">
        <v>220716</v>
      </c>
      <c r="K9" t="n">
        <v>309446</v>
      </c>
      <c r="L9" t="n">
        <v>349550</v>
      </c>
      <c r="M9" t="n">
        <v>387856</v>
      </c>
      <c r="N9" t="n">
        <v>426229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140485</v>
      </c>
      <c r="C13" s="5" t="n">
        <v>134646</v>
      </c>
      <c r="D13" s="5" t="n">
        <v>159546</v>
      </c>
      <c r="E13" s="5" t="n">
        <v>127584</v>
      </c>
      <c r="F13" s="5" t="n">
        <v>88029</v>
      </c>
      <c r="Q13" t="inlineStr">
        <is>
          <t>Total operating income</t>
        </is>
      </c>
      <c r="R13" t="n">
        <v>88029</v>
      </c>
      <c r="S13" t="n">
        <v>127584</v>
      </c>
      <c r="T13" t="n">
        <v>159546</v>
      </c>
      <c r="U13" t="n">
        <v>134646</v>
      </c>
      <c r="V13" t="n">
        <v>140485</v>
      </c>
    </row>
    <row r="14">
      <c r="A14" s="5" t="inlineStr">
        <is>
          <t>Total operating expenses</t>
        </is>
      </c>
      <c r="B14" s="5" t="n">
        <v>-89416</v>
      </c>
      <c r="C14" s="5" t="n">
        <v>-80932</v>
      </c>
      <c r="D14" s="5" t="n">
        <v>-100220</v>
      </c>
      <c r="E14" s="5" t="n">
        <v>-77225</v>
      </c>
      <c r="F14" s="5" t="n">
        <v>-52233</v>
      </c>
      <c r="Q14" t="inlineStr">
        <is>
          <t>Total operating expenses</t>
        </is>
      </c>
      <c r="R14" t="n">
        <v>-52233</v>
      </c>
      <c r="S14" t="n">
        <v>-77225</v>
      </c>
      <c r="T14" t="n">
        <v>-100220</v>
      </c>
      <c r="U14" t="n">
        <v>-80932</v>
      </c>
      <c r="V14" t="n">
        <v>-89416</v>
      </c>
    </row>
    <row r="15">
      <c r="A15" s="5" t="inlineStr">
        <is>
          <t>Profit for the year</t>
        </is>
      </c>
      <c r="B15" s="5" t="n">
        <v>37940</v>
      </c>
      <c r="C15" s="5" t="n">
        <v>40234</v>
      </c>
      <c r="D15" s="5" t="n">
        <v>40613</v>
      </c>
      <c r="E15" s="5" t="n">
        <v>40256</v>
      </c>
      <c r="F15" s="5" t="n">
        <v>24929</v>
      </c>
      <c r="Q15" t="inlineStr">
        <is>
          <t>Profit for the year</t>
        </is>
      </c>
      <c r="R15" t="n">
        <v>24929</v>
      </c>
      <c r="S15" t="n">
        <v>40256</v>
      </c>
      <c r="T15" t="n">
        <v>40613</v>
      </c>
      <c r="U15" t="n">
        <v>40234</v>
      </c>
      <c r="V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387856</v>
      </c>
      <c r="C19" s="5" t="n">
        <v>349550</v>
      </c>
      <c r="D19" s="5" t="n">
        <v>309446</v>
      </c>
      <c r="E19" s="5" t="n">
        <v>220716</v>
      </c>
      <c r="F19" s="5" t="n">
        <v>195787</v>
      </c>
      <c r="Y19" t="inlineStr">
        <is>
          <t>Opening equity</t>
        </is>
      </c>
      <c r="Z19" t="n">
        <v>195787</v>
      </c>
      <c r="AA19" t="n">
        <v>220716</v>
      </c>
      <c r="AB19" t="n">
        <v>309446</v>
      </c>
      <c r="AC19" t="n">
        <v>349550</v>
      </c>
      <c r="AD19" t="n">
        <v>387856</v>
      </c>
    </row>
    <row r="20">
      <c r="A20" s="5" t="inlineStr">
        <is>
          <t>Total comprehensive income for the year</t>
        </is>
      </c>
      <c r="B20" s="5" t="n">
        <v>37940</v>
      </c>
      <c r="C20" s="5" t="n">
        <v>38306</v>
      </c>
      <c r="D20" s="5" t="n">
        <v>40104</v>
      </c>
      <c r="E20" s="5" t="n">
        <v>41730</v>
      </c>
      <c r="F20" s="5" t="n">
        <v>24929</v>
      </c>
      <c r="Y20" t="inlineStr">
        <is>
          <t>Total comprehensive income for the year</t>
        </is>
      </c>
      <c r="Z20" t="n">
        <v>24929</v>
      </c>
      <c r="AA20" t="n">
        <v>41730</v>
      </c>
      <c r="AB20" t="n">
        <v>40104</v>
      </c>
      <c r="AC20" t="n">
        <v>38306</v>
      </c>
      <c r="AD20" t="n">
        <v>37940</v>
      </c>
    </row>
    <row r="21">
      <c r="A21" s="5" t="inlineStr">
        <is>
          <t>Other equity movements, net</t>
        </is>
      </c>
      <c r="B21" s="5" t="n">
        <v>433</v>
      </c>
      <c r="C21" s="5" t="n">
        <v>0</v>
      </c>
      <c r="D21" s="5" t="n">
        <v>0</v>
      </c>
      <c r="E21" s="5" t="n">
        <v>47000</v>
      </c>
      <c r="F21" s="5" t="n">
        <v>0</v>
      </c>
      <c r="Y21" t="inlineStr">
        <is>
          <t>Other equity movements, net</t>
        </is>
      </c>
      <c r="Z21" t="n">
        <v>0</v>
      </c>
      <c r="AA21" t="n">
        <v>47000</v>
      </c>
      <c r="AB21" t="n">
        <v>0</v>
      </c>
      <c r="AC21" t="n">
        <v>0</v>
      </c>
      <c r="AD21" t="n">
        <v>433</v>
      </c>
    </row>
    <row r="22">
      <c r="A22" s="5" t="inlineStr">
        <is>
          <t>Closing equity</t>
        </is>
      </c>
      <c r="B22" s="5" t="n">
        <v>426229</v>
      </c>
      <c r="C22" s="5" t="n">
        <v>387856</v>
      </c>
      <c r="D22" s="5" t="n">
        <v>349550</v>
      </c>
      <c r="E22" s="5" t="n">
        <v>309446</v>
      </c>
      <c r="F22" s="5" t="n">
        <v>220716</v>
      </c>
      <c r="Y22" t="inlineStr">
        <is>
          <t>Closing equity</t>
        </is>
      </c>
      <c r="Z22" t="n">
        <v>220716</v>
      </c>
      <c r="AA22" t="n">
        <v>309446</v>
      </c>
      <c r="AB22" t="n">
        <v>349550</v>
      </c>
      <c r="AC22" t="n">
        <v>387856</v>
      </c>
      <c r="AD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from/(used in) operating activities</t>
        </is>
      </c>
      <c r="B26" s="5" t="n">
        <v>-17143</v>
      </c>
      <c r="C26" s="5" t="n">
        <v>445559</v>
      </c>
      <c r="D26" s="5" t="n">
        <v>130953</v>
      </c>
      <c r="E26" s="5" t="n">
        <v>190786</v>
      </c>
      <c r="F26" s="5" t="n">
        <v>234303</v>
      </c>
      <c r="AG26" t="inlineStr">
        <is>
          <t>Net cash flow from/(used in) operating activities</t>
        </is>
      </c>
      <c r="AH26" t="n">
        <v>234303</v>
      </c>
      <c r="AI26" t="n">
        <v>190786</v>
      </c>
      <c r="AJ26" t="n">
        <v>130953</v>
      </c>
      <c r="AK26" t="n">
        <v>445559</v>
      </c>
      <c r="AL26" t="n">
        <v>-17143</v>
      </c>
    </row>
    <row r="27">
      <c r="A27" s="5" t="inlineStr">
        <is>
          <t>Net cash flow from/(used in) investing activities</t>
        </is>
      </c>
      <c r="B27" s="5" t="n">
        <v>-459330</v>
      </c>
      <c r="C27" s="5" t="n">
        <v>-135783</v>
      </c>
      <c r="D27" s="5" t="n">
        <v>-39022</v>
      </c>
      <c r="E27" s="5" t="n">
        <v>36420</v>
      </c>
      <c r="F27" s="5" t="n">
        <v>-147084</v>
      </c>
      <c r="AG27" t="inlineStr">
        <is>
          <t>Net cash flow from/(used in) investing activities</t>
        </is>
      </c>
      <c r="AH27" t="n">
        <v>-147084</v>
      </c>
      <c r="AI27" t="n">
        <v>36420</v>
      </c>
      <c r="AJ27" t="n">
        <v>-39022</v>
      </c>
      <c r="AK27" t="n">
        <v>-135783</v>
      </c>
      <c r="AL27" t="n">
        <v>-459330</v>
      </c>
    </row>
    <row r="28">
      <c r="A28" s="5" t="inlineStr">
        <is>
          <t>Net cash flow from/(used in) financing activities</t>
        </is>
      </c>
      <c r="B28" s="5" t="n">
        <v>29481</v>
      </c>
      <c r="C28" s="5" t="n">
        <v>-2292</v>
      </c>
      <c r="D28" s="5" t="n">
        <v>13701</v>
      </c>
      <c r="E28" s="5" t="n">
        <v>47034</v>
      </c>
      <c r="F28" s="5" t="n">
        <v>-238</v>
      </c>
      <c r="AG28" t="inlineStr">
        <is>
          <t>Net cash flow from/(used in) financing activities</t>
        </is>
      </c>
      <c r="AH28" t="n">
        <v>-238</v>
      </c>
      <c r="AI28" t="n">
        <v>47034</v>
      </c>
      <c r="AJ28" t="n">
        <v>13701</v>
      </c>
      <c r="AK28" t="n">
        <v>-2292</v>
      </c>
      <c r="AL28" t="n">
        <v>29481</v>
      </c>
    </row>
    <row r="29">
      <c r="A29" s="5" t="inlineStr">
        <is>
          <t>Cash and cash equivalents at end of year</t>
        </is>
      </c>
      <c r="B29" s="5" t="n">
        <v>611903</v>
      </c>
      <c r="C29" s="5" t="n">
        <v>1058851</v>
      </c>
      <c r="D29" s="5" t="n">
        <v>751598</v>
      </c>
      <c r="E29" s="5" t="n">
        <v>646528</v>
      </c>
      <c r="F29" s="5" t="n">
        <v>372288</v>
      </c>
      <c r="AG29" t="inlineStr">
        <is>
          <t>Cash and cash equivalents at end of year</t>
        </is>
      </c>
      <c r="AH29" t="n">
        <v>372288</v>
      </c>
      <c r="AI29" t="n">
        <v>646528</v>
      </c>
      <c r="AJ29" t="n">
        <v>751598</v>
      </c>
      <c r="AK29" t="n">
        <v>1058851</v>
      </c>
      <c r="AL29" t="n">
        <v>611903</v>
      </c>
    </row>
    <row r="31">
      <c r="A31" s="3" t="inlineStr">
        <is>
          <t>Pillar 3 Key Metrics: not applicable — no ratios are disclosed for this entity (see the individual Pillar 3 metric sheets).</t>
        </is>
      </c>
    </row>
    <row r="33" ht="45" customHeight="1">
      <c r="A33" s="6" t="inlineStr">
        <is>
          <t>Note: No Pillar 3 ratio-type metrics (CET1/Tier 1/Total Capital Ratio, Leverage Ratio, LCR, NSFR, MREL Ratio) are disclosed by Cynergy Bank in any year reviewed, so no ratios chart is shown here - see each individual Pillar 3 sheet. CET1 Capital, Tier 1 Capital and Total Capital (£'000) are disclosed for FY2023-FY2024 only, on their own sheets. Cash flow figures are duplicated from the Cash Flow Statement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7" t="n"/>
      <c r="C4" s="7" t="n"/>
      <c r="D4" s="7" t="n"/>
      <c r="E4" s="7" t="n"/>
      <c r="F4" s="7" t="n"/>
    </row>
    <row r="5">
      <c r="A5" s="7" t="inlineStr">
        <is>
          <t>Cash and balances with central banks</t>
        </is>
      </c>
      <c r="B5" s="7" t="n">
        <v>575031</v>
      </c>
      <c r="C5" s="7" t="n">
        <v>1014572</v>
      </c>
      <c r="D5" s="7" t="n">
        <v>697790</v>
      </c>
      <c r="E5" s="7" t="n">
        <v>553007</v>
      </c>
      <c r="F5" s="7" t="n">
        <v>324982</v>
      </c>
    </row>
    <row r="6">
      <c r="A6" s="7" t="inlineStr">
        <is>
          <t>Placements with banks</t>
        </is>
      </c>
      <c r="B6" s="7" t="n">
        <v>36872</v>
      </c>
      <c r="C6" s="7" t="n">
        <v>44279</v>
      </c>
      <c r="D6" s="7" t="n">
        <v>63156</v>
      </c>
      <c r="E6" s="7" t="n">
        <v>102320</v>
      </c>
      <c r="F6" s="7" t="n">
        <v>54529</v>
      </c>
    </row>
    <row r="7">
      <c r="A7" s="7" t="inlineStr">
        <is>
          <t>Loans and advances to customers</t>
        </is>
      </c>
      <c r="B7" s="7" t="n">
        <v>3745133</v>
      </c>
      <c r="C7" s="7" t="n">
        <v>3653477</v>
      </c>
      <c r="D7" s="7" t="n">
        <v>3564297</v>
      </c>
      <c r="E7" s="7" t="n">
        <v>3254230</v>
      </c>
      <c r="F7" s="7" t="n">
        <v>2949578</v>
      </c>
    </row>
    <row r="8">
      <c r="A8" s="7" t="inlineStr">
        <is>
          <t>Investment in securities</t>
        </is>
      </c>
      <c r="B8" s="7" t="n">
        <v>1080929</v>
      </c>
      <c r="C8" s="7" t="n">
        <v>252914</v>
      </c>
      <c r="D8" s="7" t="n">
        <v>127547</v>
      </c>
      <c r="E8" s="7" t="n">
        <v>113377</v>
      </c>
      <c r="F8" s="7" t="n">
        <v>137782</v>
      </c>
    </row>
    <row r="9">
      <c r="A9" s="7" t="inlineStr">
        <is>
          <t>Derivative assets</t>
        </is>
      </c>
      <c r="B9" s="7" t="n">
        <v>1843</v>
      </c>
      <c r="C9" s="7" t="n">
        <v>6404</v>
      </c>
      <c r="D9" s="7" t="n">
        <v>4512</v>
      </c>
      <c r="E9" s="7" t="n">
        <v>12404</v>
      </c>
      <c r="F9" s="7" t="n">
        <v>54</v>
      </c>
    </row>
    <row r="10">
      <c r="A10" s="7" t="inlineStr">
        <is>
          <t>Intangible assets</t>
        </is>
      </c>
      <c r="B10" s="7" t="n">
        <v>78293</v>
      </c>
      <c r="C10" s="7" t="n">
        <v>63455</v>
      </c>
      <c r="D10" s="7" t="n">
        <v>49303</v>
      </c>
      <c r="E10" s="7" t="n">
        <v>27469</v>
      </c>
      <c r="F10" s="7" t="n">
        <v>26513</v>
      </c>
    </row>
    <row r="11">
      <c r="A11" s="7" t="inlineStr">
        <is>
          <t>Right-of-use assets</t>
        </is>
      </c>
      <c r="B11" s="7" t="n">
        <v>9918</v>
      </c>
      <c r="C11" s="7" t="n">
        <v>11060</v>
      </c>
      <c r="D11" s="7" t="n">
        <v>11553</v>
      </c>
      <c r="E11" s="7" t="n">
        <v>11891</v>
      </c>
      <c r="F11" s="7" t="n">
        <v>220</v>
      </c>
    </row>
    <row r="12">
      <c r="A12" s="7" t="inlineStr">
        <is>
          <t>Property and equipment</t>
        </is>
      </c>
      <c r="B12" s="7" t="n">
        <v>3080</v>
      </c>
      <c r="C12" s="7" t="n">
        <v>7934</v>
      </c>
      <c r="D12" s="7" t="n">
        <v>3861</v>
      </c>
      <c r="E12" s="7" t="n">
        <v>914</v>
      </c>
      <c r="F12" s="7" t="n">
        <v>12875</v>
      </c>
    </row>
    <row r="13">
      <c r="A13" s="7" t="inlineStr">
        <is>
          <t>Assets classified as held for sale</t>
        </is>
      </c>
      <c r="B13" s="7" t="n"/>
      <c r="C13" s="7" t="n"/>
      <c r="D13" s="7" t="n">
        <v>7070</v>
      </c>
      <c r="E13" s="7" t="n">
        <v>7070</v>
      </c>
      <c r="F13" s="7" t="n"/>
    </row>
    <row r="14">
      <c r="A14" s="7" t="inlineStr">
        <is>
          <t>Other assets</t>
        </is>
      </c>
      <c r="B14" s="7" t="n">
        <v>58369</v>
      </c>
      <c r="C14" s="7" t="n">
        <v>44405</v>
      </c>
      <c r="D14" s="7" t="n">
        <v>82142</v>
      </c>
      <c r="E14" s="7" t="n">
        <v>42031</v>
      </c>
      <c r="F14" s="7" t="n">
        <v>11501</v>
      </c>
    </row>
    <row r="15">
      <c r="A15" s="7" t="inlineStr">
        <is>
          <t>Current tax assets</t>
        </is>
      </c>
      <c r="B15" s="7" t="n">
        <v>7854</v>
      </c>
      <c r="C15" s="7" t="n"/>
      <c r="D15" s="7" t="n"/>
      <c r="E15" s="7" t="n"/>
      <c r="F15" s="7" t="n"/>
    </row>
    <row r="16">
      <c r="A16" s="5" t="inlineStr">
        <is>
          <t>Total assets</t>
        </is>
      </c>
      <c r="B16" s="5" t="n">
        <v>5597322</v>
      </c>
      <c r="C16" s="5" t="n">
        <v>5098500</v>
      </c>
      <c r="D16" s="5" t="n">
        <v>4611231</v>
      </c>
      <c r="E16" s="5" t="n">
        <v>4124713</v>
      </c>
      <c r="F16" s="5" t="n">
        <v>3518034</v>
      </c>
    </row>
    <row r="17">
      <c r="A17" s="5" t="inlineStr">
        <is>
          <t>Liabilities</t>
        </is>
      </c>
      <c r="B17" s="7" t="n"/>
      <c r="C17" s="7" t="n"/>
      <c r="D17" s="7" t="n"/>
      <c r="E17" s="7" t="n"/>
      <c r="F17" s="7" t="n"/>
    </row>
    <row r="18">
      <c r="A18" s="7" t="inlineStr">
        <is>
          <t>Customer deposits</t>
        </is>
      </c>
      <c r="B18" s="7" t="n">
        <v>4910863</v>
      </c>
      <c r="C18" s="7" t="n">
        <v>4492026</v>
      </c>
      <c r="D18" s="7" t="n">
        <v>3758037</v>
      </c>
      <c r="E18" s="7" t="n">
        <v>3336442</v>
      </c>
      <c r="F18" s="7" t="n">
        <v>2832564</v>
      </c>
    </row>
    <row r="19">
      <c r="A19" s="7" t="inlineStr">
        <is>
          <t>Bank deposits</t>
        </is>
      </c>
      <c r="B19" s="7" t="n">
        <v>85131</v>
      </c>
      <c r="C19" s="7" t="n">
        <v>80924</v>
      </c>
      <c r="D19" s="7" t="n">
        <v>359667</v>
      </c>
      <c r="E19" s="7" t="n">
        <v>390170</v>
      </c>
      <c r="F19" s="7" t="n">
        <v>400125</v>
      </c>
    </row>
    <row r="20">
      <c r="A20" s="7" t="inlineStr">
        <is>
          <t>Subordinated loan(s)</t>
        </is>
      </c>
      <c r="B20" s="7" t="n">
        <v>49805</v>
      </c>
      <c r="C20" s="7" t="n">
        <v>14881</v>
      </c>
      <c r="D20" s="7" t="n">
        <v>14847</v>
      </c>
      <c r="E20" s="7" t="n">
        <v>0</v>
      </c>
      <c r="F20" s="7" t="n">
        <v>29868</v>
      </c>
    </row>
    <row r="21">
      <c r="A21" s="7" t="inlineStr">
        <is>
          <t>Lease liabilities</t>
        </is>
      </c>
      <c r="B21" s="7" t="n">
        <v>10690</v>
      </c>
      <c r="C21" s="7" t="n">
        <v>11895</v>
      </c>
      <c r="D21" s="7" t="n">
        <v>12873</v>
      </c>
      <c r="E21" s="7" t="n">
        <v>12065</v>
      </c>
      <c r="F21" s="7" t="n">
        <v>278</v>
      </c>
    </row>
    <row r="22">
      <c r="A22" s="7" t="inlineStr">
        <is>
          <t>Provision for customer redress</t>
        </is>
      </c>
      <c r="B22" s="7" t="n"/>
      <c r="C22" s="7" t="n"/>
      <c r="D22" s="7" t="n"/>
      <c r="E22" s="7" t="n">
        <v>716</v>
      </c>
      <c r="F22" s="7" t="n">
        <v>261</v>
      </c>
    </row>
    <row r="23">
      <c r="A23" s="7" t="inlineStr">
        <is>
          <t>Deferred tax liabilities</t>
        </is>
      </c>
      <c r="B23" s="7" t="n">
        <v>11526</v>
      </c>
      <c r="C23" s="7" t="n"/>
      <c r="D23" s="7" t="n"/>
      <c r="E23" s="7" t="n"/>
      <c r="F23" s="7" t="n"/>
    </row>
    <row r="24">
      <c r="A24" s="7" t="inlineStr">
        <is>
          <t>Derivative liabilities</t>
        </is>
      </c>
      <c r="B24" s="7" t="n">
        <v>14563</v>
      </c>
      <c r="C24" s="7" t="n">
        <v>11478</v>
      </c>
      <c r="D24" s="7" t="n">
        <v>32374</v>
      </c>
      <c r="E24" s="7" t="n">
        <v>3838</v>
      </c>
      <c r="F24" s="7" t="n">
        <v>429</v>
      </c>
    </row>
    <row r="25">
      <c r="A25" s="7" t="inlineStr">
        <is>
          <t>Other liabilities</t>
        </is>
      </c>
      <c r="B25" s="7" t="n">
        <v>88515</v>
      </c>
      <c r="C25" s="7" t="n">
        <v>99440</v>
      </c>
      <c r="D25" s="7" t="n">
        <v>83883</v>
      </c>
      <c r="E25" s="7" t="n">
        <v>72036</v>
      </c>
      <c r="F25" s="7" t="n">
        <v>33793</v>
      </c>
    </row>
    <row r="26">
      <c r="A26" s="5" t="inlineStr">
        <is>
          <t>Total liabilities</t>
        </is>
      </c>
      <c r="B26" s="5" t="n">
        <v>5171093</v>
      </c>
      <c r="C26" s="5" t="n">
        <v>4710644</v>
      </c>
      <c r="D26" s="5" t="n">
        <v>4261681</v>
      </c>
      <c r="E26" s="5" t="n">
        <v>3815267</v>
      </c>
      <c r="F26" s="5" t="n">
        <v>3297318</v>
      </c>
    </row>
    <row r="27">
      <c r="A27" s="5" t="inlineStr">
        <is>
          <t>Equity</t>
        </is>
      </c>
      <c r="B27" s="7" t="n"/>
      <c r="C27" s="7" t="n"/>
      <c r="D27" s="7" t="n"/>
      <c r="E27" s="7" t="n"/>
      <c r="F27" s="7" t="n"/>
    </row>
    <row r="28">
      <c r="A28" s="7" t="inlineStr">
        <is>
          <t>Share capital</t>
        </is>
      </c>
      <c r="B28" s="7" t="n">
        <v>202000</v>
      </c>
      <c r="C28" s="7" t="n">
        <v>202000</v>
      </c>
      <c r="D28" s="7" t="n">
        <v>202000</v>
      </c>
      <c r="E28" s="7" t="n">
        <v>202000</v>
      </c>
      <c r="F28" s="7" t="n">
        <v>155000</v>
      </c>
    </row>
    <row r="29">
      <c r="A29" s="7" t="inlineStr">
        <is>
          <t>Property revaluation reserve</t>
        </is>
      </c>
      <c r="B29" s="7" t="n"/>
      <c r="C29" s="7" t="n">
        <v>505</v>
      </c>
      <c r="D29" s="7" t="n">
        <v>2433</v>
      </c>
      <c r="E29" s="7" t="n">
        <v>3148</v>
      </c>
      <c r="F29" s="7" t="n">
        <v>1674</v>
      </c>
    </row>
    <row r="30">
      <c r="A30" s="7" t="inlineStr">
        <is>
          <t>Accumulated profits</t>
        </is>
      </c>
      <c r="B30" s="7" t="n">
        <v>222240</v>
      </c>
      <c r="C30" s="7" t="n">
        <v>184557</v>
      </c>
      <c r="D30" s="7" t="n">
        <v>145003</v>
      </c>
      <c r="E30" s="7" t="n">
        <v>104490</v>
      </c>
      <c r="F30" s="7" t="n">
        <v>64191</v>
      </c>
    </row>
    <row r="31">
      <c r="A31" s="5" t="inlineStr">
        <is>
          <t>Equity attributable to owners of the company</t>
        </is>
      </c>
      <c r="B31" s="5" t="n">
        <v>424240</v>
      </c>
      <c r="C31" s="5" t="n">
        <v>387062</v>
      </c>
      <c r="D31" s="5" t="n">
        <v>349436</v>
      </c>
      <c r="E31" s="5" t="n">
        <v>309638</v>
      </c>
      <c r="F31" s="5" t="n">
        <v>220865</v>
      </c>
    </row>
    <row r="32">
      <c r="A32" s="7" t="inlineStr">
        <is>
          <t>Non-controlling interest</t>
        </is>
      </c>
      <c r="B32" s="7" t="n">
        <v>1989</v>
      </c>
      <c r="C32" s="7" t="n">
        <v>794</v>
      </c>
      <c r="D32" s="7" t="n">
        <v>114</v>
      </c>
      <c r="E32" s="7" t="n">
        <v>-192</v>
      </c>
      <c r="F32" s="7" t="n">
        <v>-149</v>
      </c>
    </row>
    <row r="33">
      <c r="A33" s="5" t="inlineStr">
        <is>
          <t>Total equity</t>
        </is>
      </c>
      <c r="B33" s="5" t="n">
        <v>426229</v>
      </c>
      <c r="C33" s="5" t="n">
        <v>387856</v>
      </c>
      <c r="D33" s="5" t="n">
        <v>349550</v>
      </c>
      <c r="E33" s="5" t="n">
        <v>309446</v>
      </c>
      <c r="F33" s="5" t="n">
        <v>220716</v>
      </c>
    </row>
    <row r="34">
      <c r="A34" s="5" t="inlineStr">
        <is>
          <t>Total liabilities and equity</t>
        </is>
      </c>
      <c r="B34" s="5" t="n">
        <v>5597322</v>
      </c>
      <c r="C34" s="5" t="n">
        <v>5098500</v>
      </c>
      <c r="D34" s="5" t="n">
        <v>4611231</v>
      </c>
      <c r="E34" s="5" t="n">
        <v>4124713</v>
      </c>
      <c r="F34" s="5" t="n">
        <v>3518034</v>
      </c>
    </row>
    <row r="36" ht="320" customHeight="1">
      <c r="A36"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7" t="n"/>
      <c r="C4" s="7" t="n"/>
      <c r="D4" s="7" t="n"/>
      <c r="E4" s="7" t="n"/>
      <c r="F4" s="7" t="n"/>
    </row>
    <row r="5">
      <c r="A5" s="7" t="inlineStr">
        <is>
          <t>Interest income calculated using the effective interest method</t>
        </is>
      </c>
      <c r="B5" s="7" t="n">
        <v>328554</v>
      </c>
      <c r="C5" s="7" t="n">
        <v>312777</v>
      </c>
      <c r="D5" s="7" t="n">
        <v>276395</v>
      </c>
      <c r="E5" s="7" t="n">
        <v>167199</v>
      </c>
      <c r="F5" s="7" t="n">
        <v>105716</v>
      </c>
    </row>
    <row r="6">
      <c r="A6" s="7" t="inlineStr">
        <is>
          <t>Other interest and similar income/(expense)</t>
        </is>
      </c>
      <c r="B6" s="7" t="n">
        <v>59793</v>
      </c>
      <c r="C6" s="7" t="n">
        <v>57827</v>
      </c>
      <c r="D6" s="7" t="n">
        <v>41559</v>
      </c>
      <c r="E6" s="7" t="n">
        <v>1610</v>
      </c>
      <c r="F6" s="7" t="n">
        <v>-187</v>
      </c>
    </row>
    <row r="7">
      <c r="A7" s="7" t="inlineStr">
        <is>
          <t>Interest expense calculated using the effective interest method</t>
        </is>
      </c>
      <c r="B7" s="7" t="n">
        <v>-193820</v>
      </c>
      <c r="C7" s="7" t="n">
        <v>-191478</v>
      </c>
      <c r="D7" s="7" t="n">
        <v>-128355</v>
      </c>
      <c r="E7" s="7" t="n">
        <v>-44103</v>
      </c>
      <c r="F7" s="7" t="n">
        <v>-18356</v>
      </c>
    </row>
    <row r="8">
      <c r="A8" s="7" t="inlineStr">
        <is>
          <t>Other interest expense</t>
        </is>
      </c>
      <c r="B8" s="7" t="n">
        <v>-61768</v>
      </c>
      <c r="C8" s="7" t="n">
        <v>-48550</v>
      </c>
      <c r="D8" s="7" t="n">
        <v>-34811</v>
      </c>
      <c r="E8" s="7" t="n">
        <v>-1578</v>
      </c>
      <c r="F8" s="7" t="n"/>
    </row>
    <row r="9">
      <c r="A9" s="5" t="inlineStr">
        <is>
          <t>Net interest income</t>
        </is>
      </c>
      <c r="B9" s="5" t="n">
        <v>132759</v>
      </c>
      <c r="C9" s="5" t="n">
        <v>130576</v>
      </c>
      <c r="D9" s="5" t="n">
        <v>154788</v>
      </c>
      <c r="E9" s="5" t="n">
        <v>123128</v>
      </c>
      <c r="F9" s="5" t="n">
        <v>87173</v>
      </c>
    </row>
    <row r="10">
      <c r="A10" s="7" t="inlineStr">
        <is>
          <t>Fee and commission income</t>
        </is>
      </c>
      <c r="B10" s="7" t="n">
        <v>3777</v>
      </c>
      <c r="C10" s="7" t="n">
        <v>3089</v>
      </c>
      <c r="D10" s="7" t="n">
        <v>2606</v>
      </c>
      <c r="E10" s="7" t="n">
        <v>1667</v>
      </c>
      <c r="F10" s="7" t="n">
        <v>1193</v>
      </c>
    </row>
    <row r="11">
      <c r="A11" s="7" t="inlineStr">
        <is>
          <t>Foreign exchange (losses)/gains</t>
        </is>
      </c>
      <c r="B11" s="7" t="n">
        <v>-677</v>
      </c>
      <c r="C11" s="7" t="n">
        <v>712</v>
      </c>
      <c r="D11" s="7" t="n">
        <v>42</v>
      </c>
      <c r="E11" s="7" t="n">
        <v>-1194</v>
      </c>
      <c r="F11" s="7" t="n">
        <v>1853</v>
      </c>
    </row>
    <row r="12">
      <c r="A12" s="7" t="inlineStr">
        <is>
          <t>Fair value adjustment/(loss)/gain on hedging or derivative instruments</t>
        </is>
      </c>
      <c r="B12" s="7" t="n">
        <v>544</v>
      </c>
      <c r="C12" s="7" t="n">
        <v>-204</v>
      </c>
      <c r="D12" s="7" t="n">
        <v>2110</v>
      </c>
      <c r="E12" s="7" t="n">
        <v>3983</v>
      </c>
      <c r="F12" s="7" t="n">
        <v>-2190</v>
      </c>
    </row>
    <row r="13">
      <c r="A13" s="7" t="inlineStr">
        <is>
          <t>Net gains on derecognition of financial assets</t>
        </is>
      </c>
      <c r="B13" s="7" t="n">
        <v>3578</v>
      </c>
      <c r="C13" s="7" t="n"/>
      <c r="D13" s="7" t="n"/>
      <c r="E13" s="7" t="n"/>
      <c r="F13" s="7" t="n"/>
    </row>
    <row r="14">
      <c r="A14" s="7" t="inlineStr">
        <is>
          <t>Other income</t>
        </is>
      </c>
      <c r="B14" s="7" t="n">
        <v>504</v>
      </c>
      <c r="C14" s="7" t="n">
        <v>473</v>
      </c>
      <c r="D14" s="7" t="n"/>
      <c r="E14" s="7" t="n"/>
      <c r="F14" s="7" t="n"/>
    </row>
    <row r="15">
      <c r="A15" s="5" t="inlineStr">
        <is>
          <t>Total operating income</t>
        </is>
      </c>
      <c r="B15" s="5" t="n">
        <v>140485</v>
      </c>
      <c r="C15" s="5" t="n">
        <v>134646</v>
      </c>
      <c r="D15" s="5" t="n">
        <v>159546</v>
      </c>
      <c r="E15" s="5" t="n">
        <v>127584</v>
      </c>
      <c r="F15" s="5" t="n">
        <v>88029</v>
      </c>
    </row>
    <row r="16">
      <c r="A16" s="5" t="inlineStr">
        <is>
          <t>Expenses</t>
        </is>
      </c>
      <c r="B16" s="7" t="n"/>
      <c r="C16" s="7" t="n"/>
      <c r="D16" s="7" t="n"/>
      <c r="E16" s="7" t="n"/>
      <c r="F16" s="7" t="n"/>
    </row>
    <row r="17">
      <c r="A17" s="7" t="inlineStr">
        <is>
          <t>Staff costs</t>
        </is>
      </c>
      <c r="B17" s="7" t="n">
        <v>-41616</v>
      </c>
      <c r="C17" s="7" t="n">
        <v>-42783</v>
      </c>
      <c r="D17" s="7" t="n">
        <v>-49464</v>
      </c>
      <c r="E17" s="7" t="n">
        <v>-38334</v>
      </c>
      <c r="F17" s="7" t="n">
        <v>-28874</v>
      </c>
    </row>
    <row r="18">
      <c r="A18" s="7" t="inlineStr">
        <is>
          <t>Depreciation, amortisation and impairment/write-offs</t>
        </is>
      </c>
      <c r="B18" s="7" t="n">
        <v>-12516</v>
      </c>
      <c r="C18" s="7" t="n">
        <v>-9766</v>
      </c>
      <c r="D18" s="7" t="n">
        <v>-7072</v>
      </c>
      <c r="E18" s="7" t="n">
        <v>-5758</v>
      </c>
      <c r="F18" s="7" t="n">
        <v>-3447</v>
      </c>
    </row>
    <row r="19">
      <c r="A19" s="7" t="inlineStr">
        <is>
          <t>Other operating expenses</t>
        </is>
      </c>
      <c r="B19" s="7" t="n">
        <v>-35284</v>
      </c>
      <c r="C19" s="7" t="n">
        <v>-28383</v>
      </c>
      <c r="D19" s="7" t="n">
        <v>-43684</v>
      </c>
      <c r="E19" s="7" t="n">
        <v>-33133</v>
      </c>
      <c r="F19" s="7" t="n">
        <v>-19912</v>
      </c>
    </row>
    <row r="20">
      <c r="A20" s="5" t="inlineStr">
        <is>
          <t>Total operating expenses</t>
        </is>
      </c>
      <c r="B20" s="5" t="n">
        <v>-89416</v>
      </c>
      <c r="C20" s="5" t="n">
        <v>-80932</v>
      </c>
      <c r="D20" s="5" t="n">
        <v>-100220</v>
      </c>
      <c r="E20" s="5" t="n">
        <v>-77225</v>
      </c>
      <c r="F20" s="5" t="n">
        <v>-52233</v>
      </c>
    </row>
    <row r="21">
      <c r="A21" s="7" t="inlineStr">
        <is>
          <t>Other gains</t>
        </is>
      </c>
      <c r="B21" s="7" t="n">
        <v>404</v>
      </c>
      <c r="C21" s="7" t="n">
        <v>1000</v>
      </c>
      <c r="D21" s="7" t="n"/>
      <c r="E21" s="7" t="n"/>
      <c r="F21" s="7" t="n"/>
    </row>
    <row r="22">
      <c r="A22" s="7" t="inlineStr">
        <is>
          <t>Gain on sale of property</t>
        </is>
      </c>
      <c r="B22" s="7" t="n"/>
      <c r="C22" s="7" t="n"/>
      <c r="D22" s="7" t="n">
        <v>276</v>
      </c>
      <c r="E22" s="7" t="n">
        <v>9230</v>
      </c>
      <c r="F22" s="7" t="n"/>
    </row>
    <row r="23">
      <c r="A23" s="5" t="inlineStr">
        <is>
          <t>Profit before credit impairment reversals/(charges)</t>
        </is>
      </c>
      <c r="B23" s="5" t="n">
        <v>51473</v>
      </c>
      <c r="C23" s="5" t="n">
        <v>54714</v>
      </c>
      <c r="D23" s="5" t="n">
        <v>59602</v>
      </c>
      <c r="E23" s="5" t="n">
        <v>59589</v>
      </c>
      <c r="F23" s="5" t="n">
        <v>35796</v>
      </c>
    </row>
    <row r="24">
      <c r="A24" s="7" t="inlineStr">
        <is>
          <t>Credit impairment reversals/(charges) on financial assets</t>
        </is>
      </c>
      <c r="B24" s="7" t="n">
        <v>91</v>
      </c>
      <c r="C24" s="7" t="n">
        <v>-2082</v>
      </c>
      <c r="D24" s="7" t="n">
        <v>-4445</v>
      </c>
      <c r="E24" s="7" t="n">
        <v>-9100</v>
      </c>
      <c r="F24" s="7" t="n">
        <v>-5396</v>
      </c>
    </row>
    <row r="25">
      <c r="A25" s="5" t="inlineStr">
        <is>
          <t>Profit before tax</t>
        </is>
      </c>
      <c r="B25" s="5" t="n">
        <v>51564</v>
      </c>
      <c r="C25" s="5" t="n">
        <v>52632</v>
      </c>
      <c r="D25" s="5" t="n">
        <v>55157</v>
      </c>
      <c r="E25" s="5" t="n">
        <v>50489</v>
      </c>
      <c r="F25" s="5" t="n">
        <v>30400</v>
      </c>
    </row>
    <row r="26">
      <c r="A26" s="7" t="inlineStr">
        <is>
          <t>Income tax expense</t>
        </is>
      </c>
      <c r="B26" s="7" t="n">
        <v>-13624</v>
      </c>
      <c r="C26" s="7" t="n">
        <v>-12398</v>
      </c>
      <c r="D26" s="7" t="n">
        <v>-14544</v>
      </c>
      <c r="E26" s="7" t="n">
        <v>-10233</v>
      </c>
      <c r="F26" s="7" t="n">
        <v>-5471</v>
      </c>
    </row>
    <row r="27">
      <c r="A27" s="5" t="inlineStr">
        <is>
          <t>Profit for the year</t>
        </is>
      </c>
      <c r="B27" s="5" t="n">
        <v>37940</v>
      </c>
      <c r="C27" s="5" t="n">
        <v>40234</v>
      </c>
      <c r="D27" s="5" t="n">
        <v>40613</v>
      </c>
      <c r="E27" s="5" t="n">
        <v>40256</v>
      </c>
      <c r="F27" s="5" t="n">
        <v>24929</v>
      </c>
    </row>
    <row r="28">
      <c r="A28" s="7" t="inlineStr">
        <is>
          <t>Profit attributable to: Owners of the company</t>
        </is>
      </c>
      <c r="B28" s="7" t="n">
        <v>36745</v>
      </c>
      <c r="C28" s="7" t="n">
        <v>39554</v>
      </c>
      <c r="D28" s="7" t="n">
        <v>40307</v>
      </c>
      <c r="E28" s="7" t="n">
        <v>40299</v>
      </c>
      <c r="F28" s="7" t="n">
        <v>25078</v>
      </c>
    </row>
    <row r="29">
      <c r="A29" s="7" t="inlineStr">
        <is>
          <t>Profit/(loss) attributable to: Non-controlling interest</t>
        </is>
      </c>
      <c r="B29" s="7" t="n">
        <v>1195</v>
      </c>
      <c r="C29" s="7" t="n">
        <v>680</v>
      </c>
      <c r="D29" s="7" t="n">
        <v>306</v>
      </c>
      <c r="E29" s="7" t="n">
        <v>-43</v>
      </c>
      <c r="F29" s="7" t="n">
        <v>-149</v>
      </c>
    </row>
    <row r="30">
      <c r="A30" s="5" t="inlineStr">
        <is>
          <t>Other comprehensive income</t>
        </is>
      </c>
      <c r="B30" s="7" t="n"/>
      <c r="C30" s="7" t="n"/>
      <c r="D30" s="7" t="n"/>
      <c r="E30" s="7" t="n"/>
      <c r="F30" s="7" t="n"/>
    </row>
    <row r="31">
      <c r="A31" s="7" t="inlineStr">
        <is>
          <t>Revaluation gain/(loss) on property</t>
        </is>
      </c>
      <c r="B31" s="7" t="n"/>
      <c r="C31" s="7" t="n">
        <v>-2571</v>
      </c>
      <c r="D31" s="7" t="n"/>
      <c r="E31" s="7" t="n">
        <v>1474</v>
      </c>
      <c r="F31" s="7" t="n"/>
    </row>
    <row r="32">
      <c r="A32" s="7" t="inlineStr">
        <is>
          <t>Income tax relating to property revaluation</t>
        </is>
      </c>
      <c r="B32" s="7" t="n"/>
      <c r="C32" s="7" t="n">
        <v>643</v>
      </c>
      <c r="D32" s="7" t="n">
        <v>-509</v>
      </c>
      <c r="E32" s="7" t="n"/>
      <c r="F32" s="7" t="n"/>
    </row>
    <row r="33">
      <c r="A33" s="5" t="inlineStr">
        <is>
          <t>Other comprehensive income/(expense) for the year, net of tax</t>
        </is>
      </c>
      <c r="B33" s="5" t="n">
        <v>0</v>
      </c>
      <c r="C33" s="5" t="n">
        <v>-1928</v>
      </c>
      <c r="D33" s="5" t="n">
        <v>-509</v>
      </c>
      <c r="E33" s="5" t="n">
        <v>1474</v>
      </c>
      <c r="F33" s="5" t="n">
        <v>0</v>
      </c>
    </row>
    <row r="34">
      <c r="A34" s="5" t="inlineStr">
        <is>
          <t>Total comprehensive income for the year</t>
        </is>
      </c>
      <c r="B34" s="5" t="n">
        <v>37940</v>
      </c>
      <c r="C34" s="5" t="n">
        <v>38306</v>
      </c>
      <c r="D34" s="5" t="n">
        <v>40104</v>
      </c>
      <c r="E34" s="5" t="n">
        <v>41730</v>
      </c>
      <c r="F34" s="5" t="n">
        <v>24929</v>
      </c>
    </row>
    <row r="36" ht="320" customHeight="1">
      <c r="A36"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2021 (via FY2022 report's own comparative)</t>
        </is>
      </c>
      <c r="B4" s="5" t="n">
        <v>155000</v>
      </c>
      <c r="C4" s="5" t="n">
        <v>1674</v>
      </c>
      <c r="D4" s="5" t="n">
        <v>39113</v>
      </c>
      <c r="E4" s="5" t="n">
        <v>195787</v>
      </c>
      <c r="F4" s="5" t="n">
        <v>0</v>
      </c>
      <c r="G4" s="5" t="n">
        <v>195787</v>
      </c>
    </row>
    <row r="5">
      <c r="A5" s="7" t="inlineStr">
        <is>
          <t>Profit for the year after tax</t>
        </is>
      </c>
      <c r="B5" s="7" t="n"/>
      <c r="C5" s="7" t="n"/>
      <c r="D5" s="7" t="n">
        <v>25078</v>
      </c>
      <c r="E5" s="7" t="n">
        <v>25078</v>
      </c>
      <c r="F5" s="7" t="n">
        <v>-149</v>
      </c>
      <c r="G5" s="7" t="n">
        <v>24929</v>
      </c>
    </row>
    <row r="6">
      <c r="A6" s="5" t="inlineStr">
        <is>
          <t>At 31 December 2021</t>
        </is>
      </c>
      <c r="B6" s="5" t="n">
        <v>155000</v>
      </c>
      <c r="C6" s="5" t="n">
        <v>1674</v>
      </c>
      <c r="D6" s="5" t="n">
        <v>64191</v>
      </c>
      <c r="E6" s="5" t="n">
        <v>220865</v>
      </c>
      <c r="F6" s="5" t="n">
        <v>-149</v>
      </c>
      <c r="G6" s="5" t="n">
        <v>220716</v>
      </c>
    </row>
    <row r="7">
      <c r="A7" s="5" t="inlineStr">
        <is>
          <t>At 1 January 2022</t>
        </is>
      </c>
      <c r="B7" s="5" t="n">
        <v>155000</v>
      </c>
      <c r="C7" s="5" t="n">
        <v>1674</v>
      </c>
      <c r="D7" s="5" t="n">
        <v>64191</v>
      </c>
      <c r="E7" s="5" t="n">
        <v>220865</v>
      </c>
      <c r="F7" s="5" t="n">
        <v>-149</v>
      </c>
      <c r="G7" s="5" t="n">
        <v>220716</v>
      </c>
    </row>
    <row r="8">
      <c r="A8" s="7" t="inlineStr">
        <is>
          <t>Profit/(loss) for the year after tax</t>
        </is>
      </c>
      <c r="B8" s="7" t="n"/>
      <c r="C8" s="7" t="n"/>
      <c r="D8" s="7" t="n">
        <v>40299</v>
      </c>
      <c r="E8" s="7" t="n">
        <v>40299</v>
      </c>
      <c r="F8" s="7" t="n">
        <v>-43</v>
      </c>
      <c r="G8" s="7" t="n">
        <v>40256</v>
      </c>
    </row>
    <row r="9">
      <c r="A9" s="7" t="inlineStr">
        <is>
          <t>Other comprehensive income (revaluation of own properties)</t>
        </is>
      </c>
      <c r="B9" s="7" t="n"/>
      <c r="C9" s="7" t="n">
        <v>1474</v>
      </c>
      <c r="D9" s="7" t="n"/>
      <c r="E9" s="7" t="n">
        <v>1474</v>
      </c>
      <c r="F9" s="7" t="n"/>
      <c r="G9" s="7" t="n">
        <v>1474</v>
      </c>
    </row>
    <row r="10">
      <c r="A10" s="7" t="inlineStr">
        <is>
          <t>Issue of share capital</t>
        </is>
      </c>
      <c r="B10" s="7" t="n">
        <v>47000</v>
      </c>
      <c r="C10" s="7" t="n"/>
      <c r="D10" s="7" t="n"/>
      <c r="E10" s="7" t="n">
        <v>47000</v>
      </c>
      <c r="F10" s="7" t="n"/>
      <c r="G10" s="7" t="n">
        <v>47000</v>
      </c>
    </row>
    <row r="11">
      <c r="A11" s="5" t="inlineStr">
        <is>
          <t>At 31 December 2022</t>
        </is>
      </c>
      <c r="B11" s="5" t="n">
        <v>202000</v>
      </c>
      <c r="C11" s="5" t="n">
        <v>3148</v>
      </c>
      <c r="D11" s="5" t="n">
        <v>104490</v>
      </c>
      <c r="E11" s="5" t="n">
        <v>309638</v>
      </c>
      <c r="F11" s="5" t="n">
        <v>-192</v>
      </c>
      <c r="G11" s="5" t="n">
        <v>309446</v>
      </c>
    </row>
    <row r="12">
      <c r="A12" s="5" t="inlineStr">
        <is>
          <t>At 1 January 2023</t>
        </is>
      </c>
      <c r="B12" s="5" t="n">
        <v>202000</v>
      </c>
      <c r="C12" s="5" t="n">
        <v>3148</v>
      </c>
      <c r="D12" s="5" t="n">
        <v>104490</v>
      </c>
      <c r="E12" s="5" t="n">
        <v>309638</v>
      </c>
      <c r="F12" s="5" t="n">
        <v>-192</v>
      </c>
      <c r="G12" s="5" t="n">
        <v>309446</v>
      </c>
    </row>
    <row r="13">
      <c r="A13" s="7" t="inlineStr">
        <is>
          <t>Profit for the year after tax</t>
        </is>
      </c>
      <c r="B13" s="7" t="n"/>
      <c r="C13" s="7" t="n"/>
      <c r="D13" s="7" t="n">
        <v>40307</v>
      </c>
      <c r="E13" s="7" t="n">
        <v>40307</v>
      </c>
      <c r="F13" s="7" t="n">
        <v>306</v>
      </c>
      <c r="G13" s="7" t="n">
        <v>40613</v>
      </c>
    </row>
    <row r="14">
      <c r="A14" s="7" t="inlineStr">
        <is>
          <t>Other comprehensive income (tax on property revaluation)</t>
        </is>
      </c>
      <c r="B14" s="7" t="n"/>
      <c r="C14" s="7" t="n">
        <v>-509</v>
      </c>
      <c r="D14" s="7" t="n"/>
      <c r="E14" s="7" t="n">
        <v>-509</v>
      </c>
      <c r="F14" s="7" t="n"/>
      <c r="G14" s="7" t="n">
        <v>-509</v>
      </c>
    </row>
    <row r="15">
      <c r="A15" s="7" t="inlineStr">
        <is>
          <t>Transfer from revaluation reserve to retained earnings</t>
        </is>
      </c>
      <c r="B15" s="7" t="n"/>
      <c r="C15" s="7" t="n">
        <v>-206</v>
      </c>
      <c r="D15" s="7" t="n">
        <v>206</v>
      </c>
      <c r="E15" s="7" t="n"/>
      <c r="F15" s="7" t="n"/>
      <c r="G15" s="7" t="n"/>
    </row>
    <row r="16">
      <c r="A16" s="5" t="inlineStr">
        <is>
          <t>At 31 December 2023</t>
        </is>
      </c>
      <c r="B16" s="5" t="n">
        <v>202000</v>
      </c>
      <c r="C16" s="5" t="n">
        <v>2433</v>
      </c>
      <c r="D16" s="5" t="n">
        <v>145003</v>
      </c>
      <c r="E16" s="5" t="n">
        <v>349436</v>
      </c>
      <c r="F16" s="5" t="n">
        <v>114</v>
      </c>
      <c r="G16" s="5" t="n">
        <v>349550</v>
      </c>
    </row>
    <row r="17">
      <c r="A17" s="5" t="inlineStr">
        <is>
          <t>At 1 January 2024</t>
        </is>
      </c>
      <c r="B17" s="5" t="n">
        <v>202000</v>
      </c>
      <c r="C17" s="5" t="n">
        <v>2433</v>
      </c>
      <c r="D17" s="5" t="n">
        <v>145003</v>
      </c>
      <c r="E17" s="5" t="n">
        <v>349436</v>
      </c>
      <c r="F17" s="5" t="n">
        <v>114</v>
      </c>
      <c r="G17" s="5" t="n">
        <v>349550</v>
      </c>
    </row>
    <row r="18">
      <c r="A18" s="7" t="inlineStr">
        <is>
          <t>Profit for the year after tax</t>
        </is>
      </c>
      <c r="B18" s="7" t="n"/>
      <c r="C18" s="7" t="n"/>
      <c r="D18" s="7" t="n">
        <v>39554</v>
      </c>
      <c r="E18" s="7" t="n">
        <v>39554</v>
      </c>
      <c r="F18" s="7" t="n">
        <v>680</v>
      </c>
      <c r="G18" s="7" t="n">
        <v>40234</v>
      </c>
    </row>
    <row r="19">
      <c r="A19" s="7" t="inlineStr">
        <is>
          <t>Other comprehensive income (revaluation loss on property, net of tax)</t>
        </is>
      </c>
      <c r="B19" s="7" t="n"/>
      <c r="C19" s="7" t="n">
        <v>-1928</v>
      </c>
      <c r="D19" s="7" t="n"/>
      <c r="E19" s="7" t="n">
        <v>-1928</v>
      </c>
      <c r="F19" s="7" t="n"/>
      <c r="G19" s="7" t="n">
        <v>-1928</v>
      </c>
    </row>
    <row r="20">
      <c r="A20" s="5" t="inlineStr">
        <is>
          <t>At 31 December 2024</t>
        </is>
      </c>
      <c r="B20" s="5" t="n">
        <v>202000</v>
      </c>
      <c r="C20" s="5" t="n">
        <v>505</v>
      </c>
      <c r="D20" s="5" t="n">
        <v>184557</v>
      </c>
      <c r="E20" s="5" t="n">
        <v>387062</v>
      </c>
      <c r="F20" s="5" t="n">
        <v>794</v>
      </c>
      <c r="G20" s="5" t="n">
        <v>387856</v>
      </c>
    </row>
    <row r="21">
      <c r="A21" s="5" t="inlineStr">
        <is>
          <t>At 1 January 2025</t>
        </is>
      </c>
      <c r="B21" s="5" t="n">
        <v>202000</v>
      </c>
      <c r="C21" s="5" t="n">
        <v>505</v>
      </c>
      <c r="D21" s="5" t="n">
        <v>184557</v>
      </c>
      <c r="E21" s="5" t="n">
        <v>387062</v>
      </c>
      <c r="F21" s="5" t="n">
        <v>794</v>
      </c>
      <c r="G21" s="5" t="n">
        <v>387856</v>
      </c>
    </row>
    <row r="22">
      <c r="A22" s="7" t="inlineStr">
        <is>
          <t>Profit for the year after tax</t>
        </is>
      </c>
      <c r="B22" s="7" t="n"/>
      <c r="C22" s="7" t="n"/>
      <c r="D22" s="7" t="n">
        <v>36745</v>
      </c>
      <c r="E22" s="7" t="n">
        <v>36745</v>
      </c>
      <c r="F22" s="7" t="n">
        <v>1195</v>
      </c>
      <c r="G22" s="7" t="n">
        <v>37940</v>
      </c>
    </row>
    <row r="23">
      <c r="A23" s="7" t="inlineStr">
        <is>
          <t>Transfer and tax release on disposal of revalued asset</t>
        </is>
      </c>
      <c r="B23" s="7" t="n"/>
      <c r="C23" s="7" t="n">
        <v>-505</v>
      </c>
      <c r="D23" s="7" t="n">
        <v>938</v>
      </c>
      <c r="E23" s="7" t="n">
        <v>433</v>
      </c>
      <c r="F23" s="7" t="n"/>
      <c r="G23" s="7" t="n">
        <v>433</v>
      </c>
    </row>
    <row r="24">
      <c r="A24" s="5" t="inlineStr">
        <is>
          <t>At 31 December 2025</t>
        </is>
      </c>
      <c r="B24" s="5" t="n">
        <v>202000</v>
      </c>
      <c r="C24" s="5" t="n">
        <v>0</v>
      </c>
      <c r="D24" s="5" t="n">
        <v>222240</v>
      </c>
      <c r="E24" s="5" t="n">
        <v>424240</v>
      </c>
      <c r="F24" s="5" t="n">
        <v>1989</v>
      </c>
      <c r="G24" s="5" t="n">
        <v>426229</v>
      </c>
    </row>
    <row r="26" ht="320" customHeight="1">
      <c r="A26"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t>
        </is>
      </c>
    </row>
  </sheetData>
  <mergeCells count="1">
    <mergeCell ref="A26:G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7" t="n"/>
      <c r="C4" s="7" t="n"/>
      <c r="D4" s="7" t="n"/>
      <c r="E4" s="7" t="n"/>
      <c r="F4" s="7" t="n"/>
    </row>
    <row r="5">
      <c r="A5" s="7" t="inlineStr">
        <is>
          <t>Profit before tax</t>
        </is>
      </c>
      <c r="B5" s="7" t="n">
        <v>51564</v>
      </c>
      <c r="C5" s="7" t="n">
        <v>52632</v>
      </c>
      <c r="D5" s="7" t="n">
        <v>55157</v>
      </c>
      <c r="E5" s="7" t="n">
        <v>50489</v>
      </c>
      <c r="F5" s="7" t="n">
        <v>30400</v>
      </c>
    </row>
    <row r="6">
      <c r="A6" s="7" t="inlineStr">
        <is>
          <t>Credit impairment charges/(reversals) on financial assets</t>
        </is>
      </c>
      <c r="B6" s="7" t="n">
        <v>-91</v>
      </c>
      <c r="C6" s="7" t="n">
        <v>2082</v>
      </c>
      <c r="D6" s="7" t="n">
        <v>4445</v>
      </c>
      <c r="E6" s="7" t="n">
        <v>9100</v>
      </c>
      <c r="F6" s="7" t="n">
        <v>5396</v>
      </c>
    </row>
    <row r="7">
      <c r="A7" s="7" t="inlineStr">
        <is>
          <t>Depreciation of property, equipment and right-of-use assets</t>
        </is>
      </c>
      <c r="B7" s="7" t="n">
        <v>2028</v>
      </c>
      <c r="C7" s="7" t="n">
        <v>2197</v>
      </c>
      <c r="D7" s="7" t="n">
        <v>1730</v>
      </c>
      <c r="E7" s="7" t="n">
        <v>378</v>
      </c>
      <c r="F7" s="7" t="n">
        <v>1018</v>
      </c>
    </row>
    <row r="8">
      <c r="A8" s="7" t="inlineStr">
        <is>
          <t>Amortisation of intangible assets</t>
        </is>
      </c>
      <c r="B8" s="7" t="n">
        <v>9891</v>
      </c>
      <c r="C8" s="7" t="n">
        <v>7264</v>
      </c>
      <c r="D8" s="7" t="n">
        <v>4636</v>
      </c>
      <c r="E8" s="7" t="n">
        <v>3876</v>
      </c>
      <c r="F8" s="7" t="n">
        <v>2429</v>
      </c>
    </row>
    <row r="9">
      <c r="A9" s="7" t="inlineStr">
        <is>
          <t>Write-off/impairment of fixed and intangible assets</t>
        </is>
      </c>
      <c r="B9" s="7" t="n">
        <v>597</v>
      </c>
      <c r="C9" s="7" t="n">
        <v>305</v>
      </c>
      <c r="D9" s="7" t="n">
        <v>706</v>
      </c>
      <c r="E9" s="7" t="n">
        <v>1215</v>
      </c>
      <c r="F9" s="7" t="n"/>
    </row>
    <row r="10">
      <c r="A10" s="7" t="inlineStr">
        <is>
          <t>Gain on disposal of property</t>
        </is>
      </c>
      <c r="B10" s="7" t="n"/>
      <c r="C10" s="7" t="n"/>
      <c r="D10" s="7" t="n"/>
      <c r="E10" s="7" t="n">
        <v>-9230</v>
      </c>
      <c r="F10" s="7" t="n"/>
    </row>
    <row r="11">
      <c r="A11" s="7" t="inlineStr">
        <is>
          <t>Deferred gain on disposal of property</t>
        </is>
      </c>
      <c r="B11" s="7" t="n"/>
      <c r="C11" s="7" t="n"/>
      <c r="D11" s="7" t="n">
        <v>-276</v>
      </c>
      <c r="E11" s="7" t="n">
        <v>-277</v>
      </c>
      <c r="F11" s="7" t="n"/>
    </row>
    <row r="12">
      <c r="A12" s="7" t="inlineStr">
        <is>
          <t>Other gains</t>
        </is>
      </c>
      <c r="B12" s="7" t="n">
        <v>-404</v>
      </c>
      <c r="C12" s="7" t="n">
        <v>-1000</v>
      </c>
      <c r="D12" s="7" t="n"/>
      <c r="E12" s="7" t="n"/>
      <c r="F12" s="7" t="n"/>
    </row>
    <row r="13">
      <c r="A13" s="7" t="inlineStr">
        <is>
          <t>Net gains on derecognition of financial assets</t>
        </is>
      </c>
      <c r="B13" s="7" t="n">
        <v>-3578</v>
      </c>
      <c r="C13" s="7" t="n"/>
      <c r="D13" s="7" t="n"/>
      <c r="E13" s="7" t="n"/>
      <c r="F13" s="7" t="n"/>
    </row>
    <row r="14">
      <c r="A14" s="7" t="inlineStr">
        <is>
          <t>Lease interest</t>
        </is>
      </c>
      <c r="B14" s="7" t="n">
        <v>877</v>
      </c>
      <c r="C14" s="7" t="n">
        <v>946</v>
      </c>
      <c r="D14" s="7" t="n">
        <v>937</v>
      </c>
      <c r="E14" s="7" t="n">
        <v>81</v>
      </c>
      <c r="F14" s="7" t="n">
        <v>29</v>
      </c>
    </row>
    <row r="15">
      <c r="A15" s="7" t="inlineStr">
        <is>
          <t>Interest expense on subordinated loan(s)</t>
        </is>
      </c>
      <c r="B15" s="7" t="n">
        <v>4218</v>
      </c>
      <c r="C15" s="7" t="n">
        <v>1851</v>
      </c>
      <c r="D15" s="7" t="n">
        <v>783</v>
      </c>
      <c r="E15" s="7" t="n">
        <v>2328</v>
      </c>
      <c r="F15" s="7" t="n">
        <v>2400</v>
      </c>
    </row>
    <row r="16">
      <c r="A16" s="7" t="inlineStr">
        <is>
          <t>Interest income on asset-backed securities (accrual adjustment)</t>
        </is>
      </c>
      <c r="B16" s="7" t="n">
        <v>-21020</v>
      </c>
      <c r="C16" s="7" t="n">
        <v>-11703</v>
      </c>
      <c r="D16" s="7" t="n">
        <v>-5667</v>
      </c>
      <c r="E16" s="7" t="n">
        <v>-2570</v>
      </c>
      <c r="F16" s="7" t="n">
        <v>-76</v>
      </c>
    </row>
    <row r="17">
      <c r="A17" s="7" t="inlineStr">
        <is>
          <t>Amortisation of issuance costs relating to subordinated loan(s)</t>
        </is>
      </c>
      <c r="B17" s="7" t="n">
        <v>-76</v>
      </c>
      <c r="C17" s="7" t="n">
        <v>34</v>
      </c>
      <c r="D17" s="7" t="n">
        <v>21</v>
      </c>
      <c r="E17" s="7" t="n"/>
      <c r="F17" s="7" t="n">
        <v>125</v>
      </c>
    </row>
    <row r="18">
      <c r="A18" s="7" t="inlineStr">
        <is>
          <t>Interest paid on lease liabilities (accrual adjustment)</t>
        </is>
      </c>
      <c r="B18" s="7" t="n">
        <v>-839</v>
      </c>
      <c r="C18" s="7" t="n"/>
      <c r="D18" s="7" t="n"/>
      <c r="E18" s="7" t="n"/>
      <c r="F18" s="7" t="n"/>
    </row>
    <row r="19">
      <c r="A19" s="7" t="inlineStr">
        <is>
          <t>Tax paid</t>
        </is>
      </c>
      <c r="B19" s="7" t="n">
        <v>-13475</v>
      </c>
      <c r="C19" s="7" t="n">
        <v>-6580</v>
      </c>
      <c r="D19" s="7" t="n">
        <v>-17052</v>
      </c>
      <c r="E19" s="7" t="n">
        <v>-9937</v>
      </c>
      <c r="F19" s="7" t="n">
        <v>-6409</v>
      </c>
    </row>
    <row r="20">
      <c r="A20" s="7" t="inlineStr">
        <is>
          <t>Foreign exchange losses/(gains)</t>
        </is>
      </c>
      <c r="B20" s="7" t="n">
        <v>677</v>
      </c>
      <c r="C20" s="7" t="n">
        <v>-711</v>
      </c>
      <c r="D20" s="7" t="n">
        <v>-42</v>
      </c>
      <c r="E20" s="7" t="n">
        <v>977</v>
      </c>
      <c r="F20" s="7" t="n">
        <v>68</v>
      </c>
    </row>
    <row r="21">
      <c r="A21" s="7" t="inlineStr">
        <is>
          <t>Fair value (gains)/losses on derivative/hedging instruments</t>
        </is>
      </c>
      <c r="B21" s="7" t="n">
        <v>-544</v>
      </c>
      <c r="C21" s="7" t="n">
        <v>204</v>
      </c>
      <c r="D21" s="7" t="n">
        <v>-2111</v>
      </c>
      <c r="E21" s="7" t="n">
        <v>-3983</v>
      </c>
      <c r="F21" s="7" t="n"/>
    </row>
    <row r="22">
      <c r="A22" s="5" t="inlineStr">
        <is>
          <t>Changes in operating assets</t>
        </is>
      </c>
      <c r="B22" s="7" t="n"/>
      <c r="C22" s="7" t="n"/>
      <c r="D22" s="7" t="n"/>
      <c r="E22" s="7" t="n"/>
      <c r="F22" s="7" t="n"/>
    </row>
    <row r="23">
      <c r="A23" s="7" t="inlineStr">
        <is>
          <t>Mandatory deposits with central bank</t>
        </is>
      </c>
      <c r="B23" s="7" t="n">
        <v>0</v>
      </c>
      <c r="C23" s="7" t="n">
        <v>9348</v>
      </c>
      <c r="D23" s="7" t="n">
        <v>-549</v>
      </c>
      <c r="E23" s="7" t="n">
        <v>-1576</v>
      </c>
      <c r="F23" s="7" t="n">
        <v>-1491</v>
      </c>
    </row>
    <row r="24">
      <c r="A24" s="7" t="inlineStr">
        <is>
          <t>Loans and advances to customers</t>
        </is>
      </c>
      <c r="B24" s="7" t="n">
        <v>-545166</v>
      </c>
      <c r="C24" s="7" t="n">
        <v>-90320</v>
      </c>
      <c r="D24" s="7" t="n">
        <v>-313908</v>
      </c>
      <c r="E24" s="7" t="n">
        <v>-313752</v>
      </c>
      <c r="F24" s="7" t="n">
        <v>-341012</v>
      </c>
    </row>
    <row r="25">
      <c r="A25" s="7" t="inlineStr">
        <is>
          <t>Other assets</t>
        </is>
      </c>
      <c r="B25" s="7" t="n">
        <v>-11434</v>
      </c>
      <c r="C25" s="7" t="n">
        <v>38737</v>
      </c>
      <c r="D25" s="7" t="n">
        <v>-41284</v>
      </c>
      <c r="E25" s="7" t="n">
        <v>-23449</v>
      </c>
      <c r="F25" s="7" t="n">
        <v>-225</v>
      </c>
    </row>
    <row r="26">
      <c r="A26" s="7" t="inlineStr">
        <is>
          <t>Derivative assets</t>
        </is>
      </c>
      <c r="B26" s="7" t="n">
        <v>4299</v>
      </c>
      <c r="C26" s="7" t="n">
        <v>-2096</v>
      </c>
      <c r="D26" s="7" t="n">
        <v>10003</v>
      </c>
      <c r="E26" s="7" t="n">
        <v>-12350</v>
      </c>
      <c r="F26" s="7" t="n">
        <v>-23</v>
      </c>
    </row>
    <row r="27">
      <c r="A27" s="7" t="inlineStr">
        <is>
          <t>Accrued income and prepaid expenses</t>
        </is>
      </c>
      <c r="B27" s="7" t="n"/>
      <c r="C27" s="7" t="n"/>
      <c r="D27" s="7" t="n"/>
      <c r="E27" s="7" t="n">
        <v>-4072</v>
      </c>
      <c r="F27" s="7" t="n">
        <v>-6391</v>
      </c>
    </row>
    <row r="28">
      <c r="A28" s="7" t="inlineStr">
        <is>
          <t>Proceeds from sale of financial assets</t>
        </is>
      </c>
      <c r="B28" s="7" t="n">
        <v>76687</v>
      </c>
      <c r="C28" s="7" t="n"/>
      <c r="D28" s="7" t="n"/>
      <c r="E28" s="7" t="n"/>
      <c r="F28" s="7" t="n"/>
    </row>
    <row r="29">
      <c r="A29" s="5" t="inlineStr">
        <is>
          <t>Changes in operating liabilities</t>
        </is>
      </c>
      <c r="B29" s="7" t="n"/>
      <c r="C29" s="7" t="n"/>
      <c r="D29" s="7" t="n"/>
      <c r="E29" s="7" t="n"/>
      <c r="F29" s="7" t="n"/>
    </row>
    <row r="30">
      <c r="A30" s="7" t="inlineStr">
        <is>
          <t>Customer and bank deposits</t>
        </is>
      </c>
      <c r="B30" s="7" t="n">
        <v>423044</v>
      </c>
      <c r="C30" s="7" t="n">
        <v>455246</v>
      </c>
      <c r="D30" s="7" t="n">
        <v>391092</v>
      </c>
      <c r="E30" s="7" t="n">
        <v>493923</v>
      </c>
      <c r="F30" s="7" t="n">
        <v>540317</v>
      </c>
    </row>
    <row r="31">
      <c r="A31" s="7" t="inlineStr">
        <is>
          <t>Derivative liabilities</t>
        </is>
      </c>
      <c r="B31" s="7" t="n">
        <v>3085</v>
      </c>
      <c r="C31" s="7" t="n">
        <v>-20896</v>
      </c>
      <c r="D31" s="7" t="n">
        <v>28536</v>
      </c>
      <c r="E31" s="7" t="n">
        <v>3409</v>
      </c>
      <c r="F31" s="7" t="n">
        <v>-344</v>
      </c>
    </row>
    <row r="32">
      <c r="A32" s="7" t="inlineStr">
        <is>
          <t>Other liabilities</t>
        </is>
      </c>
      <c r="B32" s="7" t="n">
        <v>2517</v>
      </c>
      <c r="C32" s="7" t="n">
        <v>8019</v>
      </c>
      <c r="D32" s="7" t="n">
        <v>13796</v>
      </c>
      <c r="E32" s="7" t="n">
        <v>4916</v>
      </c>
      <c r="F32" s="7" t="n">
        <v>-213</v>
      </c>
    </row>
    <row r="33">
      <c r="A33" s="7" t="inlineStr">
        <is>
          <t>Accrued expenses</t>
        </is>
      </c>
      <c r="B33" s="7" t="n"/>
      <c r="C33" s="7" t="n"/>
      <c r="D33" s="7" t="n"/>
      <c r="E33" s="7" t="n">
        <v>1290</v>
      </c>
      <c r="F33" s="7" t="n">
        <v>8305</v>
      </c>
    </row>
    <row r="34">
      <c r="A34" s="5" t="inlineStr">
        <is>
          <t>Net cash flow generated from/(used in) operating activities</t>
        </is>
      </c>
      <c r="B34" s="5" t="n">
        <v>-17143</v>
      </c>
      <c r="C34" s="5" t="n">
        <v>445559</v>
      </c>
      <c r="D34" s="5" t="n">
        <v>130953</v>
      </c>
      <c r="E34" s="5" t="n">
        <v>190786</v>
      </c>
      <c r="F34" s="5" t="n">
        <v>234303</v>
      </c>
    </row>
    <row r="35">
      <c r="A35" s="5" t="inlineStr">
        <is>
          <t>Investing activities</t>
        </is>
      </c>
      <c r="B35" s="7" t="n"/>
      <c r="C35" s="7" t="n"/>
      <c r="D35" s="7" t="n"/>
      <c r="E35" s="7" t="n"/>
      <c r="F35" s="7" t="n"/>
    </row>
    <row r="36">
      <c r="A36" s="7" t="inlineStr">
        <is>
          <t>Purchase of property and equipment</t>
        </is>
      </c>
      <c r="B36" s="7" t="n">
        <v>-204</v>
      </c>
      <c r="C36" s="7" t="n">
        <v>-398</v>
      </c>
      <c r="D36" s="7" t="n">
        <v>-3343</v>
      </c>
      <c r="E36" s="7" t="n">
        <v>-877</v>
      </c>
      <c r="F36" s="7" t="n">
        <v>-72</v>
      </c>
    </row>
    <row r="37">
      <c r="A37" s="7" t="inlineStr">
        <is>
          <t>Purchase of intangible assets</t>
        </is>
      </c>
      <c r="B37" s="7" t="n">
        <v>-25325</v>
      </c>
      <c r="C37" s="7" t="n">
        <v>-21721</v>
      </c>
      <c r="D37" s="7" t="n">
        <v>-27176</v>
      </c>
      <c r="E37" s="7" t="n">
        <v>-6048</v>
      </c>
      <c r="F37" s="7" t="n">
        <v>-9230</v>
      </c>
    </row>
    <row r="38">
      <c r="A38" s="7" t="inlineStr">
        <is>
          <t>Purchase of asset-backed/debt securities</t>
        </is>
      </c>
      <c r="B38" s="7" t="n">
        <v>-484349</v>
      </c>
      <c r="C38" s="7" t="n">
        <v>-149500</v>
      </c>
      <c r="D38" s="7" t="n">
        <v>-76396</v>
      </c>
      <c r="E38" s="7" t="n"/>
      <c r="F38" s="7" t="n"/>
    </row>
    <row r="39">
      <c r="A39" s="7" t="inlineStr">
        <is>
          <t>Redemption of asset-backed/debt securities</t>
        </is>
      </c>
      <c r="B39" s="7" t="n">
        <v>26952</v>
      </c>
      <c r="C39" s="7" t="n">
        <v>35836</v>
      </c>
      <c r="D39" s="7" t="n">
        <v>67893</v>
      </c>
      <c r="E39" s="7" t="n"/>
      <c r="F39" s="7" t="n"/>
    </row>
    <row r="40">
      <c r="A40" s="7" t="inlineStr">
        <is>
          <t>Redemption/(purchase) of asset-backed securities (combined, as reported)</t>
        </is>
      </c>
      <c r="B40" s="7" t="n"/>
      <c r="C40" s="7" t="n"/>
      <c r="D40" s="7" t="n"/>
      <c r="E40" s="7" t="n">
        <v>26975</v>
      </c>
      <c r="F40" s="7" t="n">
        <v>-137782</v>
      </c>
    </row>
    <row r="41">
      <c r="A41" s="7" t="inlineStr">
        <is>
          <t>Interest received on asset-backed securities</t>
        </is>
      </c>
      <c r="B41" s="7" t="n">
        <v>17692</v>
      </c>
      <c r="C41" s="7" t="n"/>
      <c r="D41" s="7" t="n"/>
      <c r="E41" s="7" t="n"/>
      <c r="F41" s="7" t="n"/>
    </row>
    <row r="42">
      <c r="A42" s="7" t="inlineStr">
        <is>
          <t>Proceeds from sale of property</t>
        </is>
      </c>
      <c r="B42" s="7" t="n">
        <v>5904</v>
      </c>
      <c r="C42" s="7" t="n"/>
      <c r="D42" s="7" t="n"/>
      <c r="E42" s="7" t="n">
        <v>16370</v>
      </c>
      <c r="F42" s="7" t="n"/>
    </row>
    <row r="43">
      <c r="A43" s="5" t="inlineStr">
        <is>
          <t>Net cash flow generated from/(used in) investing activities</t>
        </is>
      </c>
      <c r="B43" s="5" t="n">
        <v>-459330</v>
      </c>
      <c r="C43" s="5" t="n">
        <v>-135783</v>
      </c>
      <c r="D43" s="5" t="n">
        <v>-39022</v>
      </c>
      <c r="E43" s="5" t="n">
        <v>36420</v>
      </c>
      <c r="F43" s="5" t="n">
        <v>-147084</v>
      </c>
    </row>
    <row r="44">
      <c r="A44" s="5" t="inlineStr">
        <is>
          <t>Financing activities</t>
        </is>
      </c>
      <c r="B44" s="7" t="n"/>
      <c r="C44" s="7" t="n"/>
      <c r="D44" s="7" t="n"/>
      <c r="E44" s="7" t="n"/>
      <c r="F44" s="7" t="n"/>
    </row>
    <row r="45">
      <c r="A45" s="7" t="inlineStr">
        <is>
          <t>Proceeds from issuance of new share capital</t>
        </is>
      </c>
      <c r="B45" s="7" t="n"/>
      <c r="C45" s="7" t="n"/>
      <c r="D45" s="7" t="n"/>
      <c r="E45" s="7" t="n">
        <v>47000</v>
      </c>
      <c r="F45" s="7" t="n"/>
    </row>
    <row r="46">
      <c r="A46" s="7" t="inlineStr">
        <is>
          <t>Proceeds from issuance of subordinated loan(s)</t>
        </is>
      </c>
      <c r="B46" s="7" t="n">
        <v>35000</v>
      </c>
      <c r="C46" s="7" t="n"/>
      <c r="D46" s="7" t="n">
        <v>14826</v>
      </c>
      <c r="E46" s="7" t="n"/>
      <c r="F46" s="7" t="n"/>
    </row>
    <row r="47">
      <c r="A47" s="7" t="inlineStr">
        <is>
          <t>Capital repayment from finance lease obligations</t>
        </is>
      </c>
      <c r="B47" s="7" t="n">
        <v>-1487</v>
      </c>
      <c r="C47" s="7" t="n">
        <v>-2292</v>
      </c>
      <c r="D47" s="7" t="n">
        <v>-1125</v>
      </c>
      <c r="E47" s="7" t="n">
        <v>34</v>
      </c>
      <c r="F47" s="7" t="n">
        <v>-238</v>
      </c>
    </row>
    <row r="48">
      <c r="A48" s="7" t="inlineStr">
        <is>
          <t>Interest paid on subordinated loan(s)</t>
        </is>
      </c>
      <c r="B48" s="7" t="n">
        <v>-4032</v>
      </c>
      <c r="C48" s="7" t="n"/>
      <c r="D48" s="7" t="n"/>
      <c r="E48" s="7" t="n"/>
      <c r="F48" s="7" t="n"/>
    </row>
    <row r="49">
      <c r="A49" s="5" t="inlineStr">
        <is>
          <t>Net cash flow generated from/(used in) financing activities</t>
        </is>
      </c>
      <c r="B49" s="5" t="n">
        <v>29481</v>
      </c>
      <c r="C49" s="5" t="n">
        <v>-2292</v>
      </c>
      <c r="D49" s="5" t="n">
        <v>13701</v>
      </c>
      <c r="E49" s="5" t="n">
        <v>47034</v>
      </c>
      <c r="F49" s="5" t="n">
        <v>-238</v>
      </c>
    </row>
    <row r="50">
      <c r="A50" s="5" t="inlineStr">
        <is>
          <t>Net (decrease)/increase in cash and cash equivalents for the year</t>
        </is>
      </c>
      <c r="B50" s="5" t="n">
        <v>-446992</v>
      </c>
      <c r="C50" s="5" t="n">
        <v>307484</v>
      </c>
      <c r="D50" s="5" t="n">
        <v>105632</v>
      </c>
      <c r="E50" s="5" t="n">
        <v>274240</v>
      </c>
      <c r="F50" s="5" t="n">
        <v>86981</v>
      </c>
    </row>
    <row r="51">
      <c r="A51" s="7" t="inlineStr">
        <is>
          <t>Cash and cash equivalents at the beginning of the year</t>
        </is>
      </c>
      <c r="B51" s="7" t="n">
        <v>1058851</v>
      </c>
      <c r="C51" s="7" t="n">
        <v>751598</v>
      </c>
      <c r="D51" s="7" t="n">
        <v>646528</v>
      </c>
      <c r="E51" s="7" t="n">
        <v>372288</v>
      </c>
      <c r="F51" s="7" t="n">
        <v>285307</v>
      </c>
    </row>
    <row r="52">
      <c r="A52" s="7" t="inlineStr">
        <is>
          <t>Effects of exchange rate changes on cash and cash equivalents</t>
        </is>
      </c>
      <c r="B52" s="7" t="n">
        <v>44</v>
      </c>
      <c r="C52" s="7" t="n">
        <v>-231</v>
      </c>
      <c r="D52" s="7" t="n">
        <v>-562</v>
      </c>
      <c r="E52" s="7" t="n"/>
      <c r="F52" s="7" t="n"/>
    </row>
    <row r="53">
      <c r="A53" s="5" t="inlineStr">
        <is>
          <t>Cash and cash equivalents at the end of the year</t>
        </is>
      </c>
      <c r="B53" s="5" t="n">
        <v>611903</v>
      </c>
      <c r="C53" s="5" t="n">
        <v>1058851</v>
      </c>
      <c r="D53" s="5" t="n">
        <v>751598</v>
      </c>
      <c r="E53" s="5" t="n">
        <v>646528</v>
      </c>
      <c r="F53" s="5" t="n">
        <v>372288</v>
      </c>
    </row>
    <row r="55" ht="260" customHeight="1">
      <c r="A55"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t>
        </is>
      </c>
    </row>
  </sheetData>
  <mergeCells count="1">
    <mergeCell ref="A55:F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Cynergy Bank Plc — Asset Quality</t>
        </is>
      </c>
    </row>
    <row r="2">
      <c r="A2" s="2" t="inlineStr">
        <is>
          <t>Consolidated basis, £'000 (ratios as calculated), combining the Loans and Overdrafts credit risk note tables.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IFRS 9 stage (Loans + Overdrafts, Consolidated)</t>
        </is>
      </c>
      <c r="B4" s="7" t="n"/>
      <c r="C4" s="7" t="n"/>
      <c r="D4" s="7" t="n"/>
      <c r="E4" s="7" t="n"/>
      <c r="F4" s="7" t="n"/>
    </row>
    <row r="5">
      <c r="A5" s="7" t="inlineStr">
        <is>
          <t>Stage 1 gross carrying amount</t>
        </is>
      </c>
      <c r="B5" s="7" t="n">
        <v>3423245</v>
      </c>
      <c r="C5" s="7" t="n">
        <v>3210782</v>
      </c>
      <c r="D5" s="7" t="n">
        <v>2968247</v>
      </c>
      <c r="E5" s="7" t="n">
        <v>2826161</v>
      </c>
      <c r="F5" s="7" t="n">
        <v>2687050</v>
      </c>
    </row>
    <row r="6">
      <c r="A6" s="7" t="inlineStr">
        <is>
          <t>Stage 2 gross carrying amount</t>
        </is>
      </c>
      <c r="B6" s="7" t="n">
        <v>259276</v>
      </c>
      <c r="C6" s="7" t="n">
        <v>372480</v>
      </c>
      <c r="D6" s="7" t="n">
        <v>549578</v>
      </c>
      <c r="E6" s="7" t="n">
        <v>385150</v>
      </c>
      <c r="F6" s="7" t="n">
        <v>232788</v>
      </c>
    </row>
    <row r="7">
      <c r="A7" s="7" t="inlineStr">
        <is>
          <t>Stage 3 gross carrying amount</t>
        </is>
      </c>
      <c r="B7" s="7" t="n">
        <v>91016</v>
      </c>
      <c r="C7" s="7" t="n">
        <v>99046</v>
      </c>
      <c r="D7" s="7" t="n">
        <v>73262</v>
      </c>
      <c r="E7" s="7" t="n">
        <v>65258</v>
      </c>
      <c r="F7" s="7" t="n">
        <v>43661</v>
      </c>
    </row>
    <row r="8">
      <c r="A8" s="5" t="inlineStr">
        <is>
          <t>Total gross carrying amount</t>
        </is>
      </c>
      <c r="B8" s="5" t="n">
        <v>3773537</v>
      </c>
      <c r="C8" s="5" t="n">
        <v>3682308</v>
      </c>
      <c r="D8" s="5" t="n">
        <v>3591087</v>
      </c>
      <c r="E8" s="5" t="n">
        <v>3276569</v>
      </c>
      <c r="F8" s="5" t="n">
        <v>2963499</v>
      </c>
    </row>
    <row r="9">
      <c r="A9" s="5" t="inlineStr">
        <is>
          <t>Expected credit loss (ECL) allowance by stage</t>
        </is>
      </c>
      <c r="B9" s="7" t="n"/>
      <c r="C9" s="7" t="n"/>
      <c r="D9" s="7" t="n"/>
      <c r="E9" s="7" t="n"/>
      <c r="F9" s="7" t="n"/>
    </row>
    <row r="10">
      <c r="A10" s="7" t="inlineStr">
        <is>
          <t>Stage 1 ECL</t>
        </is>
      </c>
      <c r="B10" s="7" t="n">
        <v>3964</v>
      </c>
      <c r="C10" s="7" t="n">
        <v>4403</v>
      </c>
      <c r="D10" s="7" t="n">
        <v>5372</v>
      </c>
      <c r="E10" s="7" t="n">
        <v>3338</v>
      </c>
      <c r="F10" s="7" t="n">
        <v>2124</v>
      </c>
    </row>
    <row r="11">
      <c r="A11" s="7" t="inlineStr">
        <is>
          <t>Stage 2 ECL</t>
        </is>
      </c>
      <c r="B11" s="7" t="n">
        <v>2951</v>
      </c>
      <c r="C11" s="7" t="n">
        <v>4118</v>
      </c>
      <c r="D11" s="7" t="n">
        <v>8485</v>
      </c>
      <c r="E11" s="7" t="n">
        <v>5321</v>
      </c>
      <c r="F11" s="7" t="n">
        <v>2175</v>
      </c>
    </row>
    <row r="12">
      <c r="A12" s="7" t="inlineStr">
        <is>
          <t>Stage 3 ECL</t>
        </is>
      </c>
      <c r="B12" s="7" t="n">
        <v>21489</v>
      </c>
      <c r="C12" s="7" t="n">
        <v>20310</v>
      </c>
      <c r="D12" s="7" t="n">
        <v>12933</v>
      </c>
      <c r="E12" s="7" t="n">
        <v>13680</v>
      </c>
      <c r="F12" s="7" t="n">
        <v>9626</v>
      </c>
    </row>
    <row r="13">
      <c r="A13" s="5" t="inlineStr">
        <is>
          <t>Total ECL allowance</t>
        </is>
      </c>
      <c r="B13" s="5" t="n">
        <v>28404</v>
      </c>
      <c r="C13" s="5" t="n">
        <v>28831</v>
      </c>
      <c r="D13" s="5" t="n">
        <v>26790</v>
      </c>
      <c r="E13" s="5" t="n">
        <v>22339</v>
      </c>
      <c r="F13" s="5" t="n">
        <v>13925</v>
      </c>
    </row>
    <row r="14">
      <c r="A14" s="5" t="inlineStr">
        <is>
          <t>Derived ratios</t>
        </is>
      </c>
      <c r="B14" s="7" t="n"/>
      <c r="C14" s="7" t="n"/>
      <c r="D14" s="7" t="n"/>
      <c r="E14" s="7" t="n"/>
      <c r="F14" s="7" t="n"/>
    </row>
    <row r="15">
      <c r="A15" s="7" t="inlineStr">
        <is>
          <t>Stage 3 / total gross carrying amount</t>
        </is>
      </c>
      <c r="B15" s="7" t="inlineStr">
        <is>
          <t>2.412%</t>
        </is>
      </c>
      <c r="C15" s="7" t="inlineStr">
        <is>
          <t>2.690%</t>
        </is>
      </c>
      <c r="D15" s="7" t="inlineStr">
        <is>
          <t>2.040%</t>
        </is>
      </c>
      <c r="E15" s="7" t="inlineStr">
        <is>
          <t>1.992%</t>
        </is>
      </c>
      <c r="F15" s="7" t="inlineStr">
        <is>
          <t>1.473%</t>
        </is>
      </c>
    </row>
    <row r="16">
      <c r="A16" s="7" t="inlineStr">
        <is>
          <t>Total ECL / total gross carrying amount (overall coverage)</t>
        </is>
      </c>
      <c r="B16" s="7" t="inlineStr">
        <is>
          <t>0.753%</t>
        </is>
      </c>
      <c r="C16" s="7" t="inlineStr">
        <is>
          <t>0.783%</t>
        </is>
      </c>
      <c r="D16" s="7" t="inlineStr">
        <is>
          <t>0.746%</t>
        </is>
      </c>
      <c r="E16" s="7" t="inlineStr">
        <is>
          <t>0.682%</t>
        </is>
      </c>
      <c r="F16" s="7" t="inlineStr">
        <is>
          <t>0.470%</t>
        </is>
      </c>
    </row>
    <row r="17">
      <c r="A17" s="7" t="inlineStr">
        <is>
          <t>Stage 3 ECL / Stage 3 gross carrying amount (Stage 3 coverage)</t>
        </is>
      </c>
      <c r="B17" s="7" t="inlineStr">
        <is>
          <t>23.61%</t>
        </is>
      </c>
      <c r="C17" s="7" t="inlineStr">
        <is>
          <t>20.51%</t>
        </is>
      </c>
      <c r="D17" s="7" t="inlineStr">
        <is>
          <t>17.65%</t>
        </is>
      </c>
      <c r="E17" s="7" t="inlineStr">
        <is>
          <t>20.96%</t>
        </is>
      </c>
      <c r="F17" s="7" t="inlineStr">
        <is>
          <t>22.05%</t>
        </is>
      </c>
    </row>
    <row r="19" ht="320" customHeight="1">
      <c r="A19"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eligible Tier 1 capital (CET1)</t>
        </is>
      </c>
      <c r="B4" s="7" t="n"/>
      <c r="C4" s="7" t="n">
        <v>321877</v>
      </c>
      <c r="D4" s="7" t="n">
        <v>306251</v>
      </c>
      <c r="E4" s="7" t="n"/>
      <c r="F4" s="7" t="n"/>
    </row>
    <row r="6" ht="170" customHeight="1">
      <c r="A6"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eligible Tier 1 capital (CET1)</t>
        </is>
      </c>
      <c r="B4" s="7" t="n"/>
      <c r="C4" s="7" t="n">
        <v>321877</v>
      </c>
      <c r="D4" s="7" t="n">
        <v>306251</v>
      </c>
      <c r="E4" s="7" t="n"/>
      <c r="F4" s="7" t="n"/>
    </row>
    <row r="5" ht="60" customHeight="1">
      <c r="A5" s="6"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7" ht="17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eligible regulatory capital (CET1 + Tier 2 subordinated debt)</t>
        </is>
      </c>
      <c r="B4" s="7" t="n"/>
      <c r="C4" s="7" t="n">
        <v>336877</v>
      </c>
      <c r="D4" s="7" t="n">
        <v>321251</v>
      </c>
      <c r="E4" s="7" t="n"/>
      <c r="F4" s="7" t="n"/>
    </row>
    <row r="6" ht="170" customHeight="1">
      <c r="A6"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Cynergy Bank Plc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00" customHeight="1">
      <c r="A6"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
Not publicly disclosed in any of the 5 years reviewed. See the Total RWAs sheet's own note - no aggregate RWA figure, let alone a risk-category breakdown, was found in any Annual Report reviewed; confirmed by reading each report's Risk report and financial statement notes in full, not assumed absent.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2026-09-04T11:39:13Z</dcterms:created>
  <dcterms:modified xmlns:dcterms="http://purl.org/dc/terms/" xmlns:xsi="http://www.w3.org/2001/XMLSchema-instance" xsi:type="dcterms:W3CDTF">2026-09-04T11:39:13Z</dcterms:modified>
</cp:coreProperties>
</file>