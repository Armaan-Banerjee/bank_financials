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Cynergy Bank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Net cash flow from/(used in) operating activities</t>
        </is>
      </c>
      <c r="B6" s="5" t="n">
        <v>-17143</v>
      </c>
      <c r="C6" s="5" t="n">
        <v>445559</v>
      </c>
      <c r="D6" s="5" t="n">
        <v>130953</v>
      </c>
      <c r="E6" s="5" t="n">
        <v>190786</v>
      </c>
      <c r="F6" s="5" t="n">
        <v>234303</v>
      </c>
      <c r="I6" t="inlineStr">
        <is>
          <t>Net cash flow from/(used in) operating activities</t>
        </is>
      </c>
      <c r="J6" t="n">
        <v>234303</v>
      </c>
      <c r="K6" t="n">
        <v>190786</v>
      </c>
      <c r="L6" t="n">
        <v>130953</v>
      </c>
      <c r="M6" t="n">
        <v>445559</v>
      </c>
      <c r="N6" t="n">
        <v>-17143</v>
      </c>
    </row>
    <row r="7">
      <c r="A7" s="5" t="inlineStr">
        <is>
          <t>Net cash flow from/(used in) investing activities</t>
        </is>
      </c>
      <c r="B7" s="5" t="n">
        <v>-459330</v>
      </c>
      <c r="C7" s="5" t="n">
        <v>-135783</v>
      </c>
      <c r="D7" s="5" t="n">
        <v>-39022</v>
      </c>
      <c r="E7" s="5" t="n">
        <v>36420</v>
      </c>
      <c r="F7" s="5" t="n">
        <v>-147084</v>
      </c>
      <c r="I7" t="inlineStr">
        <is>
          <t>Net cash flow from/(used in) investing activities</t>
        </is>
      </c>
      <c r="J7" t="n">
        <v>-147084</v>
      </c>
      <c r="K7" t="n">
        <v>36420</v>
      </c>
      <c r="L7" t="n">
        <v>-39022</v>
      </c>
      <c r="M7" t="n">
        <v>-135783</v>
      </c>
      <c r="N7" t="n">
        <v>-459330</v>
      </c>
    </row>
    <row r="8">
      <c r="A8" s="5" t="inlineStr">
        <is>
          <t>Net cash flow from/(used in) financing activities</t>
        </is>
      </c>
      <c r="B8" s="5" t="n">
        <v>29481</v>
      </c>
      <c r="C8" s="5" t="n">
        <v>-2292</v>
      </c>
      <c r="D8" s="5" t="n">
        <v>13701</v>
      </c>
      <c r="E8" s="5" t="n">
        <v>47034</v>
      </c>
      <c r="F8" s="5" t="n">
        <v>-238</v>
      </c>
      <c r="I8" t="inlineStr">
        <is>
          <t>Net cash flow from/(used in) financing activities</t>
        </is>
      </c>
      <c r="J8" t="n">
        <v>-238</v>
      </c>
      <c r="K8" t="n">
        <v>47034</v>
      </c>
      <c r="L8" t="n">
        <v>13701</v>
      </c>
      <c r="M8" t="n">
        <v>-2292</v>
      </c>
      <c r="N8" t="n">
        <v>29481</v>
      </c>
    </row>
    <row r="9">
      <c r="A9" s="5" t="inlineStr">
        <is>
          <t>Cash and cash equivalents at end of year</t>
        </is>
      </c>
      <c r="B9" s="5" t="n">
        <v>611903</v>
      </c>
      <c r="C9" s="5" t="n">
        <v>1058851</v>
      </c>
      <c r="D9" s="5" t="n">
        <v>751598</v>
      </c>
      <c r="E9" s="5" t="n">
        <v>646528</v>
      </c>
      <c r="F9" s="5" t="n">
        <v>372288</v>
      </c>
      <c r="I9" t="inlineStr">
        <is>
          <t>Cash and cash equivalents at end of year</t>
        </is>
      </c>
      <c r="J9" t="n">
        <v>372288</v>
      </c>
      <c r="K9" t="n">
        <v>646528</v>
      </c>
      <c r="L9" t="n">
        <v>751598</v>
      </c>
      <c r="M9" t="n">
        <v>1058851</v>
      </c>
      <c r="N9" t="n">
        <v>611903</v>
      </c>
    </row>
    <row r="11">
      <c r="A11" s="3" t="inlineStr">
        <is>
          <t>Pillar 3 Key Metrics: not applicable — no ratios are disclosed for this entity (see the individual Pillar 3 metric sheets).</t>
        </is>
      </c>
    </row>
    <row r="13" ht="45" customHeight="1">
      <c r="A13" s="6" t="inlineStr">
        <is>
          <t>Note: No Pillar 3 ratio-type metrics (CET1/Tier 1/Total Capital Ratio, Leverage Ratio, LCR, NSFR, MREL Ratio) are disclosed by Cynergy Bank in any year reviewed, so no ratios chart is shown here - see each individual Pillar 3 sheet. CET1 Capital, Tier 1 Capital and Total Capital (£'000) are disclosed for FY2023-FY2024 only, on their own sheets. Cash flow figures are duplicated from the Cash Flow Statement sheet for at-a-glance trend viewing.</t>
        </is>
      </c>
    </row>
  </sheetData>
  <mergeCells count="1">
    <mergeCell ref="A13:F1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t>
        </is>
      </c>
      <c r="C3" s="4" t="inlineStr">
        <is>
          <t>FY2024</t>
        </is>
      </c>
      <c r="D3" s="4" t="inlineStr">
        <is>
          <t>FY2023</t>
        </is>
      </c>
      <c r="E3" s="4" t="inlineStr">
        <is>
          <t>FY2022</t>
        </is>
      </c>
      <c r="F3" s="4" t="inlineStr">
        <is>
          <t>FY2021</t>
        </is>
      </c>
    </row>
    <row r="4">
      <c r="A4" s="5" t="inlineStr">
        <is>
          <t>Operating activities</t>
        </is>
      </c>
      <c r="B4" s="7" t="n"/>
      <c r="C4" s="7" t="n"/>
      <c r="D4" s="7" t="n"/>
      <c r="E4" s="7" t="n"/>
      <c r="F4" s="7" t="n"/>
    </row>
    <row r="5">
      <c r="A5" s="7" t="inlineStr">
        <is>
          <t>Profit before tax</t>
        </is>
      </c>
      <c r="B5" s="7" t="n">
        <v>51564</v>
      </c>
      <c r="C5" s="7" t="n">
        <v>52632</v>
      </c>
      <c r="D5" s="7" t="n">
        <v>55157</v>
      </c>
      <c r="E5" s="7" t="n">
        <v>50489</v>
      </c>
      <c r="F5" s="7" t="n">
        <v>30400</v>
      </c>
    </row>
    <row r="6">
      <c r="A6" s="7" t="inlineStr">
        <is>
          <t>Credit impairment charges/(reversals) on financial assets</t>
        </is>
      </c>
      <c r="B6" s="7" t="n">
        <v>-91</v>
      </c>
      <c r="C6" s="7" t="n">
        <v>2082</v>
      </c>
      <c r="D6" s="7" t="n">
        <v>4445</v>
      </c>
      <c r="E6" s="7" t="n">
        <v>9100</v>
      </c>
      <c r="F6" s="7" t="n">
        <v>5396</v>
      </c>
    </row>
    <row r="7">
      <c r="A7" s="7" t="inlineStr">
        <is>
          <t>Depreciation of property, equipment and right-of-use assets</t>
        </is>
      </c>
      <c r="B7" s="7" t="n">
        <v>2028</v>
      </c>
      <c r="C7" s="7" t="n">
        <v>2197</v>
      </c>
      <c r="D7" s="7" t="n">
        <v>1730</v>
      </c>
      <c r="E7" s="7" t="n">
        <v>378</v>
      </c>
      <c r="F7" s="7" t="n">
        <v>1018</v>
      </c>
    </row>
    <row r="8">
      <c r="A8" s="7" t="inlineStr">
        <is>
          <t>Amortisation of intangible assets</t>
        </is>
      </c>
      <c r="B8" s="7" t="n">
        <v>9891</v>
      </c>
      <c r="C8" s="7" t="n">
        <v>7264</v>
      </c>
      <c r="D8" s="7" t="n">
        <v>4636</v>
      </c>
      <c r="E8" s="7" t="n">
        <v>3876</v>
      </c>
      <c r="F8" s="7" t="n">
        <v>2429</v>
      </c>
    </row>
    <row r="9">
      <c r="A9" s="7" t="inlineStr">
        <is>
          <t>Write-off/impairment of fixed and intangible assets</t>
        </is>
      </c>
      <c r="B9" s="7" t="n">
        <v>597</v>
      </c>
      <c r="C9" s="7" t="n">
        <v>305</v>
      </c>
      <c r="D9" s="7" t="n">
        <v>706</v>
      </c>
      <c r="E9" s="7" t="n">
        <v>1215</v>
      </c>
      <c r="F9" s="7" t="n"/>
    </row>
    <row r="10">
      <c r="A10" s="7" t="inlineStr">
        <is>
          <t>Gain on disposal of property</t>
        </is>
      </c>
      <c r="B10" s="7" t="n"/>
      <c r="C10" s="7" t="n"/>
      <c r="D10" s="7" t="n"/>
      <c r="E10" s="7" t="n">
        <v>-9230</v>
      </c>
      <c r="F10" s="7" t="n"/>
    </row>
    <row r="11">
      <c r="A11" s="7" t="inlineStr">
        <is>
          <t>Deferred gain on disposal of property</t>
        </is>
      </c>
      <c r="B11" s="7" t="n"/>
      <c r="C11" s="7" t="n"/>
      <c r="D11" s="7" t="n">
        <v>-276</v>
      </c>
      <c r="E11" s="7" t="n">
        <v>-277</v>
      </c>
      <c r="F11" s="7" t="n"/>
    </row>
    <row r="12">
      <c r="A12" s="7" t="inlineStr">
        <is>
          <t>Other gains</t>
        </is>
      </c>
      <c r="B12" s="7" t="n">
        <v>-404</v>
      </c>
      <c r="C12" s="7" t="n">
        <v>-1000</v>
      </c>
      <c r="D12" s="7" t="n"/>
      <c r="E12" s="7" t="n"/>
      <c r="F12" s="7" t="n"/>
    </row>
    <row r="13">
      <c r="A13" s="7" t="inlineStr">
        <is>
          <t>Net gains on derecognition of financial assets</t>
        </is>
      </c>
      <c r="B13" s="7" t="n">
        <v>-3578</v>
      </c>
      <c r="C13" s="7" t="n"/>
      <c r="D13" s="7" t="n"/>
      <c r="E13" s="7" t="n"/>
      <c r="F13" s="7" t="n"/>
    </row>
    <row r="14">
      <c r="A14" s="7" t="inlineStr">
        <is>
          <t>Lease interest</t>
        </is>
      </c>
      <c r="B14" s="7" t="n">
        <v>877</v>
      </c>
      <c r="C14" s="7" t="n">
        <v>946</v>
      </c>
      <c r="D14" s="7" t="n">
        <v>937</v>
      </c>
      <c r="E14" s="7" t="n">
        <v>81</v>
      </c>
      <c r="F14" s="7" t="n">
        <v>29</v>
      </c>
    </row>
    <row r="15">
      <c r="A15" s="7" t="inlineStr">
        <is>
          <t>Interest expense on subordinated loan(s)</t>
        </is>
      </c>
      <c r="B15" s="7" t="n">
        <v>4218</v>
      </c>
      <c r="C15" s="7" t="n">
        <v>1851</v>
      </c>
      <c r="D15" s="7" t="n">
        <v>783</v>
      </c>
      <c r="E15" s="7" t="n">
        <v>2328</v>
      </c>
      <c r="F15" s="7" t="n">
        <v>2400</v>
      </c>
    </row>
    <row r="16">
      <c r="A16" s="7" t="inlineStr">
        <is>
          <t>Interest income on asset-backed securities (accrual adjustment)</t>
        </is>
      </c>
      <c r="B16" s="7" t="n">
        <v>-21020</v>
      </c>
      <c r="C16" s="7" t="n">
        <v>-11703</v>
      </c>
      <c r="D16" s="7" t="n">
        <v>-5667</v>
      </c>
      <c r="E16" s="7" t="n">
        <v>-2570</v>
      </c>
      <c r="F16" s="7" t="n">
        <v>-76</v>
      </c>
    </row>
    <row r="17">
      <c r="A17" s="7" t="inlineStr">
        <is>
          <t>Amortisation of issuance costs relating to subordinated loan(s)</t>
        </is>
      </c>
      <c r="B17" s="7" t="n">
        <v>-76</v>
      </c>
      <c r="C17" s="7" t="n">
        <v>34</v>
      </c>
      <c r="D17" s="7" t="n">
        <v>21</v>
      </c>
      <c r="E17" s="7" t="n"/>
      <c r="F17" s="7" t="n">
        <v>125</v>
      </c>
    </row>
    <row r="18">
      <c r="A18" s="7" t="inlineStr">
        <is>
          <t>Interest paid on lease liabilities (accrual adjustment)</t>
        </is>
      </c>
      <c r="B18" s="7" t="n">
        <v>-839</v>
      </c>
      <c r="C18" s="7" t="n"/>
      <c r="D18" s="7" t="n"/>
      <c r="E18" s="7" t="n"/>
      <c r="F18" s="7" t="n"/>
    </row>
    <row r="19">
      <c r="A19" s="7" t="inlineStr">
        <is>
          <t>Tax paid</t>
        </is>
      </c>
      <c r="B19" s="7" t="n">
        <v>-13475</v>
      </c>
      <c r="C19" s="7" t="n">
        <v>-6580</v>
      </c>
      <c r="D19" s="7" t="n">
        <v>-17052</v>
      </c>
      <c r="E19" s="7" t="n">
        <v>-9937</v>
      </c>
      <c r="F19" s="7" t="n">
        <v>-6409</v>
      </c>
    </row>
    <row r="20">
      <c r="A20" s="7" t="inlineStr">
        <is>
          <t>Foreign exchange losses/(gains)</t>
        </is>
      </c>
      <c r="B20" s="7" t="n">
        <v>677</v>
      </c>
      <c r="C20" s="7" t="n">
        <v>-711</v>
      </c>
      <c r="D20" s="7" t="n">
        <v>-42</v>
      </c>
      <c r="E20" s="7" t="n">
        <v>977</v>
      </c>
      <c r="F20" s="7" t="n">
        <v>68</v>
      </c>
    </row>
    <row r="21">
      <c r="A21" s="7" t="inlineStr">
        <is>
          <t>Fair value (gains)/losses on derivative/hedging instruments</t>
        </is>
      </c>
      <c r="B21" s="7" t="n">
        <v>-544</v>
      </c>
      <c r="C21" s="7" t="n">
        <v>204</v>
      </c>
      <c r="D21" s="7" t="n">
        <v>-2111</v>
      </c>
      <c r="E21" s="7" t="n">
        <v>-3983</v>
      </c>
      <c r="F21" s="7" t="n"/>
    </row>
    <row r="22">
      <c r="A22" s="5" t="inlineStr">
        <is>
          <t>Changes in operating assets</t>
        </is>
      </c>
      <c r="B22" s="7" t="n"/>
      <c r="C22" s="7" t="n"/>
      <c r="D22" s="7" t="n"/>
      <c r="E22" s="7" t="n"/>
      <c r="F22" s="7" t="n"/>
    </row>
    <row r="23">
      <c r="A23" s="7" t="inlineStr">
        <is>
          <t>Mandatory deposits with central bank</t>
        </is>
      </c>
      <c r="B23" s="7" t="n">
        <v>0</v>
      </c>
      <c r="C23" s="7" t="n">
        <v>9348</v>
      </c>
      <c r="D23" s="7" t="n">
        <v>-549</v>
      </c>
      <c r="E23" s="7" t="n">
        <v>-1576</v>
      </c>
      <c r="F23" s="7" t="n">
        <v>-1491</v>
      </c>
    </row>
    <row r="24">
      <c r="A24" s="7" t="inlineStr">
        <is>
          <t>Loans and advances to customers</t>
        </is>
      </c>
      <c r="B24" s="7" t="n">
        <v>-545166</v>
      </c>
      <c r="C24" s="7" t="n">
        <v>-90320</v>
      </c>
      <c r="D24" s="7" t="n">
        <v>-313908</v>
      </c>
      <c r="E24" s="7" t="n">
        <v>-313752</v>
      </c>
      <c r="F24" s="7" t="n">
        <v>-341012</v>
      </c>
    </row>
    <row r="25">
      <c r="A25" s="7" t="inlineStr">
        <is>
          <t>Other assets</t>
        </is>
      </c>
      <c r="B25" s="7" t="n">
        <v>-11434</v>
      </c>
      <c r="C25" s="7" t="n">
        <v>38737</v>
      </c>
      <c r="D25" s="7" t="n">
        <v>-41284</v>
      </c>
      <c r="E25" s="7" t="n">
        <v>-23449</v>
      </c>
      <c r="F25" s="7" t="n">
        <v>-225</v>
      </c>
    </row>
    <row r="26">
      <c r="A26" s="7" t="inlineStr">
        <is>
          <t>Derivative assets</t>
        </is>
      </c>
      <c r="B26" s="7" t="n">
        <v>4299</v>
      </c>
      <c r="C26" s="7" t="n">
        <v>-2096</v>
      </c>
      <c r="D26" s="7" t="n">
        <v>10003</v>
      </c>
      <c r="E26" s="7" t="n">
        <v>-12350</v>
      </c>
      <c r="F26" s="7" t="n">
        <v>-23</v>
      </c>
    </row>
    <row r="27">
      <c r="A27" s="7" t="inlineStr">
        <is>
          <t>Accrued income and prepaid expenses</t>
        </is>
      </c>
      <c r="B27" s="7" t="n"/>
      <c r="C27" s="7" t="n"/>
      <c r="D27" s="7" t="n"/>
      <c r="E27" s="7" t="n">
        <v>-4072</v>
      </c>
      <c r="F27" s="7" t="n">
        <v>-6391</v>
      </c>
    </row>
    <row r="28">
      <c r="A28" s="7" t="inlineStr">
        <is>
          <t>Proceeds from sale of financial assets</t>
        </is>
      </c>
      <c r="B28" s="7" t="n">
        <v>76687</v>
      </c>
      <c r="C28" s="7" t="n"/>
      <c r="D28" s="7" t="n"/>
      <c r="E28" s="7" t="n"/>
      <c r="F28" s="7" t="n"/>
    </row>
    <row r="29">
      <c r="A29" s="5" t="inlineStr">
        <is>
          <t>Changes in operating liabilities</t>
        </is>
      </c>
      <c r="B29" s="7" t="n"/>
      <c r="C29" s="7" t="n"/>
      <c r="D29" s="7" t="n"/>
      <c r="E29" s="7" t="n"/>
      <c r="F29" s="7" t="n"/>
    </row>
    <row r="30">
      <c r="A30" s="7" t="inlineStr">
        <is>
          <t>Customer and bank deposits</t>
        </is>
      </c>
      <c r="B30" s="7" t="n">
        <v>423044</v>
      </c>
      <c r="C30" s="7" t="n">
        <v>455246</v>
      </c>
      <c r="D30" s="7" t="n">
        <v>391092</v>
      </c>
      <c r="E30" s="7" t="n">
        <v>493923</v>
      </c>
      <c r="F30" s="7" t="n">
        <v>540317</v>
      </c>
    </row>
    <row r="31">
      <c r="A31" s="7" t="inlineStr">
        <is>
          <t>Derivative liabilities</t>
        </is>
      </c>
      <c r="B31" s="7" t="n">
        <v>3085</v>
      </c>
      <c r="C31" s="7" t="n">
        <v>-20896</v>
      </c>
      <c r="D31" s="7" t="n">
        <v>28536</v>
      </c>
      <c r="E31" s="7" t="n">
        <v>3409</v>
      </c>
      <c r="F31" s="7" t="n">
        <v>-344</v>
      </c>
    </row>
    <row r="32">
      <c r="A32" s="7" t="inlineStr">
        <is>
          <t>Other liabilities</t>
        </is>
      </c>
      <c r="B32" s="7" t="n">
        <v>2517</v>
      </c>
      <c r="C32" s="7" t="n">
        <v>8019</v>
      </c>
      <c r="D32" s="7" t="n">
        <v>13796</v>
      </c>
      <c r="E32" s="7" t="n">
        <v>4916</v>
      </c>
      <c r="F32" s="7" t="n">
        <v>-213</v>
      </c>
    </row>
    <row r="33">
      <c r="A33" s="7" t="inlineStr">
        <is>
          <t>Accrued expenses</t>
        </is>
      </c>
      <c r="B33" s="7" t="n"/>
      <c r="C33" s="7" t="n"/>
      <c r="D33" s="7" t="n"/>
      <c r="E33" s="7" t="n">
        <v>1290</v>
      </c>
      <c r="F33" s="7" t="n">
        <v>8305</v>
      </c>
    </row>
    <row r="34">
      <c r="A34" s="5" t="inlineStr">
        <is>
          <t>Net cash flow generated from/(used in) operating activities</t>
        </is>
      </c>
      <c r="B34" s="5" t="n">
        <v>-17143</v>
      </c>
      <c r="C34" s="5" t="n">
        <v>445559</v>
      </c>
      <c r="D34" s="5" t="n">
        <v>130953</v>
      </c>
      <c r="E34" s="5" t="n">
        <v>190786</v>
      </c>
      <c r="F34" s="5" t="n">
        <v>234303</v>
      </c>
    </row>
    <row r="35">
      <c r="A35" s="5" t="inlineStr">
        <is>
          <t>Investing activities</t>
        </is>
      </c>
      <c r="B35" s="7" t="n"/>
      <c r="C35" s="7" t="n"/>
      <c r="D35" s="7" t="n"/>
      <c r="E35" s="7" t="n"/>
      <c r="F35" s="7" t="n"/>
    </row>
    <row r="36">
      <c r="A36" s="7" t="inlineStr">
        <is>
          <t>Purchase of property and equipment</t>
        </is>
      </c>
      <c r="B36" s="7" t="n">
        <v>-204</v>
      </c>
      <c r="C36" s="7" t="n">
        <v>-398</v>
      </c>
      <c r="D36" s="7" t="n">
        <v>-3343</v>
      </c>
      <c r="E36" s="7" t="n">
        <v>-877</v>
      </c>
      <c r="F36" s="7" t="n">
        <v>-72</v>
      </c>
    </row>
    <row r="37">
      <c r="A37" s="7" t="inlineStr">
        <is>
          <t>Purchase of intangible assets</t>
        </is>
      </c>
      <c r="B37" s="7" t="n">
        <v>-25325</v>
      </c>
      <c r="C37" s="7" t="n">
        <v>-21721</v>
      </c>
      <c r="D37" s="7" t="n">
        <v>-27176</v>
      </c>
      <c r="E37" s="7" t="n">
        <v>-6048</v>
      </c>
      <c r="F37" s="7" t="n">
        <v>-9230</v>
      </c>
    </row>
    <row r="38">
      <c r="A38" s="7" t="inlineStr">
        <is>
          <t>Purchase of asset-backed/debt securities</t>
        </is>
      </c>
      <c r="B38" s="7" t="n">
        <v>-484349</v>
      </c>
      <c r="C38" s="7" t="n">
        <v>-149500</v>
      </c>
      <c r="D38" s="7" t="n">
        <v>-76396</v>
      </c>
      <c r="E38" s="7" t="n"/>
      <c r="F38" s="7" t="n"/>
    </row>
    <row r="39">
      <c r="A39" s="7" t="inlineStr">
        <is>
          <t>Redemption of asset-backed/debt securities</t>
        </is>
      </c>
      <c r="B39" s="7" t="n">
        <v>26952</v>
      </c>
      <c r="C39" s="7" t="n">
        <v>35836</v>
      </c>
      <c r="D39" s="7" t="n">
        <v>67893</v>
      </c>
      <c r="E39" s="7" t="n"/>
      <c r="F39" s="7" t="n"/>
    </row>
    <row r="40">
      <c r="A40" s="7" t="inlineStr">
        <is>
          <t>Redemption/(purchase) of asset-backed securities (combined, as reported)</t>
        </is>
      </c>
      <c r="B40" s="7" t="n"/>
      <c r="C40" s="7" t="n"/>
      <c r="D40" s="7" t="n"/>
      <c r="E40" s="7" t="n">
        <v>26975</v>
      </c>
      <c r="F40" s="7" t="n">
        <v>-137782</v>
      </c>
    </row>
    <row r="41">
      <c r="A41" s="7" t="inlineStr">
        <is>
          <t>Interest received on asset-backed securities</t>
        </is>
      </c>
      <c r="B41" s="7" t="n">
        <v>17692</v>
      </c>
      <c r="C41" s="7" t="n"/>
      <c r="D41" s="7" t="n"/>
      <c r="E41" s="7" t="n"/>
      <c r="F41" s="7" t="n"/>
    </row>
    <row r="42">
      <c r="A42" s="7" t="inlineStr">
        <is>
          <t>Proceeds from sale of property</t>
        </is>
      </c>
      <c r="B42" s="7" t="n">
        <v>5904</v>
      </c>
      <c r="C42" s="7" t="n"/>
      <c r="D42" s="7" t="n"/>
      <c r="E42" s="7" t="n">
        <v>16370</v>
      </c>
      <c r="F42" s="7" t="n"/>
    </row>
    <row r="43">
      <c r="A43" s="5" t="inlineStr">
        <is>
          <t>Net cash flow generated from/(used in) investing activities</t>
        </is>
      </c>
      <c r="B43" s="5" t="n">
        <v>-459330</v>
      </c>
      <c r="C43" s="5" t="n">
        <v>-135783</v>
      </c>
      <c r="D43" s="5" t="n">
        <v>-39022</v>
      </c>
      <c r="E43" s="5" t="n">
        <v>36420</v>
      </c>
      <c r="F43" s="5" t="n">
        <v>-147084</v>
      </c>
    </row>
    <row r="44">
      <c r="A44" s="5" t="inlineStr">
        <is>
          <t>Financing activities</t>
        </is>
      </c>
      <c r="B44" s="7" t="n"/>
      <c r="C44" s="7" t="n"/>
      <c r="D44" s="7" t="n"/>
      <c r="E44" s="7" t="n"/>
      <c r="F44" s="7" t="n"/>
    </row>
    <row r="45">
      <c r="A45" s="7" t="inlineStr">
        <is>
          <t>Proceeds from issuance of new share capital</t>
        </is>
      </c>
      <c r="B45" s="7" t="n"/>
      <c r="C45" s="7" t="n"/>
      <c r="D45" s="7" t="n"/>
      <c r="E45" s="7" t="n">
        <v>47000</v>
      </c>
      <c r="F45" s="7" t="n"/>
    </row>
    <row r="46">
      <c r="A46" s="7" t="inlineStr">
        <is>
          <t>Proceeds from issuance of subordinated loan(s)</t>
        </is>
      </c>
      <c r="B46" s="7" t="n">
        <v>35000</v>
      </c>
      <c r="C46" s="7" t="n"/>
      <c r="D46" s="7" t="n">
        <v>14826</v>
      </c>
      <c r="E46" s="7" t="n"/>
      <c r="F46" s="7" t="n"/>
    </row>
    <row r="47">
      <c r="A47" s="7" t="inlineStr">
        <is>
          <t>Capital repayment from finance lease obligations</t>
        </is>
      </c>
      <c r="B47" s="7" t="n">
        <v>-1487</v>
      </c>
      <c r="C47" s="7" t="n">
        <v>-2292</v>
      </c>
      <c r="D47" s="7" t="n">
        <v>-1125</v>
      </c>
      <c r="E47" s="7" t="n">
        <v>34</v>
      </c>
      <c r="F47" s="7" t="n">
        <v>-238</v>
      </c>
    </row>
    <row r="48">
      <c r="A48" s="7" t="inlineStr">
        <is>
          <t>Interest paid on subordinated loan(s)</t>
        </is>
      </c>
      <c r="B48" s="7" t="n">
        <v>-4032</v>
      </c>
      <c r="C48" s="7" t="n"/>
      <c r="D48" s="7" t="n"/>
      <c r="E48" s="7" t="n"/>
      <c r="F48" s="7" t="n"/>
    </row>
    <row r="49">
      <c r="A49" s="5" t="inlineStr">
        <is>
          <t>Net cash flow generated from/(used in) financing activities</t>
        </is>
      </c>
      <c r="B49" s="5" t="n">
        <v>29481</v>
      </c>
      <c r="C49" s="5" t="n">
        <v>-2292</v>
      </c>
      <c r="D49" s="5" t="n">
        <v>13701</v>
      </c>
      <c r="E49" s="5" t="n">
        <v>47034</v>
      </c>
      <c r="F49" s="5" t="n">
        <v>-238</v>
      </c>
    </row>
    <row r="50">
      <c r="A50" s="5" t="inlineStr">
        <is>
          <t>Net (decrease)/increase in cash and cash equivalents for the year</t>
        </is>
      </c>
      <c r="B50" s="5" t="n">
        <v>-446992</v>
      </c>
      <c r="C50" s="5" t="n">
        <v>307484</v>
      </c>
      <c r="D50" s="5" t="n">
        <v>105632</v>
      </c>
      <c r="E50" s="5" t="n">
        <v>274240</v>
      </c>
      <c r="F50" s="5" t="n">
        <v>86981</v>
      </c>
    </row>
    <row r="51">
      <c r="A51" s="7" t="inlineStr">
        <is>
          <t>Cash and cash equivalents at the beginning of the year</t>
        </is>
      </c>
      <c r="B51" s="7" t="n">
        <v>1058851</v>
      </c>
      <c r="C51" s="7" t="n">
        <v>751598</v>
      </c>
      <c r="D51" s="7" t="n">
        <v>646528</v>
      </c>
      <c r="E51" s="7" t="n">
        <v>372288</v>
      </c>
      <c r="F51" s="7" t="n">
        <v>285307</v>
      </c>
    </row>
    <row r="52">
      <c r="A52" s="7" t="inlineStr">
        <is>
          <t>Effects of exchange rate changes on cash and cash equivalents</t>
        </is>
      </c>
      <c r="B52" s="7" t="n">
        <v>44</v>
      </c>
      <c r="C52" s="7" t="n">
        <v>-231</v>
      </c>
      <c r="D52" s="7" t="n">
        <v>-562</v>
      </c>
      <c r="E52" s="7" t="n"/>
      <c r="F52" s="7" t="n"/>
    </row>
    <row r="53">
      <c r="A53" s="5" t="inlineStr">
        <is>
          <t>Cash and cash equivalents at the end of the year</t>
        </is>
      </c>
      <c r="B53" s="5" t="n">
        <v>611903</v>
      </c>
      <c r="C53" s="5" t="n">
        <v>1058851</v>
      </c>
      <c r="D53" s="5" t="n">
        <v>751598</v>
      </c>
      <c r="E53" s="5" t="n">
        <v>646528</v>
      </c>
      <c r="F53" s="5" t="n">
        <v>372288</v>
      </c>
    </row>
    <row r="55" ht="260" customHeight="1">
      <c r="A55"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t>
        </is>
      </c>
    </row>
  </sheetData>
  <mergeCells count="1">
    <mergeCell ref="A55:F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eligible Tier 1 capital (CET1)</t>
        </is>
      </c>
      <c r="B4" s="7" t="n"/>
      <c r="C4" s="7" t="n">
        <v>321877</v>
      </c>
      <c r="D4" s="7" t="n">
        <v>306251</v>
      </c>
      <c r="E4" s="7" t="n"/>
      <c r="F4" s="7" t="n"/>
    </row>
    <row r="6" ht="170" customHeight="1">
      <c r="A6"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eligible Tier 1 capital (CET1)</t>
        </is>
      </c>
      <c r="B4" s="7" t="n"/>
      <c r="C4" s="7" t="n">
        <v>321877</v>
      </c>
      <c r="D4" s="7" t="n">
        <v>306251</v>
      </c>
      <c r="E4" s="7" t="n"/>
      <c r="F4" s="7" t="n"/>
    </row>
    <row r="5" ht="60" customHeight="1">
      <c r="A5" s="6" t="inlineStr">
        <is>
          <t>Note: Cynergy Bank's own Annual Report labels this line 'Total eligible Tier 1 capital (CET1)' - i.e. it states Tier 1 capital and CET1 capital are identical (no Additional Tier 1 instruments in issue) - see the CET1 Capital sheet for the same figures and source.</t>
        </is>
      </c>
    </row>
    <row r="7" ht="17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eligible regulatory capital (CET1 + Tier 2 subordinated debt)</t>
        </is>
      </c>
      <c r="B4" s="7" t="n"/>
      <c r="C4" s="7" t="n">
        <v>336877</v>
      </c>
      <c r="D4" s="7" t="n">
        <v>321251</v>
      </c>
      <c r="E4" s="7" t="n"/>
      <c r="F4" s="7" t="n"/>
    </row>
    <row r="6" ht="170" customHeight="1">
      <c r="A6"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 standalone Pillar 3 document was found on Cynergy Bank's own site (its investor/company-performance page lists only the 3 Annual Reports above, no separate regulatory disclosures page) - Cynergy Bank operates under the PRA's Small Domestic Deposit Taker (SDDT) regime, which the FY2025 report's own risk section states 'simplifies certain capital requirements', plausibly explaining the absence of a formal KM1-style disclosure in any year reviewed.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2026-08-28T04:10:36Z</dcterms:created>
  <dcterms:modified xsi:type="dcterms:W3CDTF">2026-08-28T04:10:36Z</dcterms:modified>
</cp:coreProperties>
</file>