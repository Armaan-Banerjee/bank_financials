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Cynergy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Cynergy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Cynergy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Cynergy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Cynergy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5597322</v>
      </c>
      <c r="C6" s="5" t="n">
        <v>5098500</v>
      </c>
      <c r="D6" s="5" t="n">
        <v>4611231</v>
      </c>
      <c r="E6" s="5" t="n">
        <v>4124713</v>
      </c>
      <c r="F6" s="5" t="n">
        <v>3518034</v>
      </c>
      <c r="G6" s="5" t="n">
        <v>2943446</v>
      </c>
      <c r="H6" s="5" t="n">
        <v>2471904</v>
      </c>
      <c r="I6" s="5" t="n">
        <v>1955020</v>
      </c>
      <c r="J6" s="5" t="n">
        <v>1877118</v>
      </c>
      <c r="K6" s="5" t="n">
        <v>1402977</v>
      </c>
      <c r="L6" s="5" t="n">
        <v>1168863</v>
      </c>
      <c r="M6" s="5" t="n">
        <v>1069043</v>
      </c>
      <c r="P6" t="inlineStr">
        <is>
          <t>Total assets</t>
        </is>
      </c>
      <c r="Q6" t="n">
        <v>1069043</v>
      </c>
      <c r="R6" t="n">
        <v>1168863</v>
      </c>
      <c r="S6" t="n">
        <v>1402977</v>
      </c>
      <c r="T6" t="n">
        <v>1877118</v>
      </c>
      <c r="U6" t="n">
        <v>1955020</v>
      </c>
      <c r="V6" t="n">
        <v>2471904</v>
      </c>
      <c r="W6" t="n">
        <v>2943446</v>
      </c>
      <c r="X6" t="n">
        <v>3518034</v>
      </c>
      <c r="Y6" t="n">
        <v>4124713</v>
      </c>
      <c r="Z6" t="n">
        <v>4611231</v>
      </c>
      <c r="AA6" t="n">
        <v>5098500</v>
      </c>
      <c r="AB6" t="n">
        <v>5597322</v>
      </c>
      <c r="BX6" t="inlineStr">
        <is>
          <t>CET1/Core Tier 1 ratio</t>
        </is>
      </c>
      <c r="BY6" t="n">
        <v>16.9</v>
      </c>
      <c r="BZ6" t="n">
        <v>16.6</v>
      </c>
      <c r="CA6" t="n">
        <v>12.1</v>
      </c>
      <c r="CB6" t="n">
        <v>16.6</v>
      </c>
      <c r="CC6" t="n">
        <v>17</v>
      </c>
      <c r="CD6" t="n">
        <v>13.7</v>
      </c>
      <c r="CE6" t="n">
        <v>14.12</v>
      </c>
      <c r="CF6" t="n">
        <v>13.92</v>
      </c>
      <c r="CG6" t="n">
        <v>15.78</v>
      </c>
      <c r="CH6" t="n">
        <v>14.69</v>
      </c>
      <c r="CI6" t="n">
        <v>13.59</v>
      </c>
    </row>
    <row r="7">
      <c r="A7" s="5" t="inlineStr">
        <is>
          <t>Loans and advances to customers</t>
        </is>
      </c>
      <c r="B7" s="5" t="n">
        <v>3745133</v>
      </c>
      <c r="C7" s="5" t="n">
        <v>3653477</v>
      </c>
      <c r="D7" s="5" t="n">
        <v>3564297</v>
      </c>
      <c r="E7" s="5" t="n">
        <v>3254230</v>
      </c>
      <c r="F7" s="5" t="n">
        <v>2949578</v>
      </c>
      <c r="G7" s="5" t="n">
        <v>2613962</v>
      </c>
      <c r="H7" s="5" t="n">
        <v>2264381</v>
      </c>
      <c r="I7" s="5" t="n">
        <v>1668923</v>
      </c>
      <c r="J7" s="5" t="n">
        <v>1407200</v>
      </c>
      <c r="K7" s="5" t="n">
        <v>1083922</v>
      </c>
      <c r="L7" s="5" t="n">
        <v>820807</v>
      </c>
      <c r="M7" s="5" t="n">
        <v>617976</v>
      </c>
      <c r="P7" t="inlineStr">
        <is>
          <t>Loans and advances to customers</t>
        </is>
      </c>
      <c r="Q7" t="n">
        <v>617976</v>
      </c>
      <c r="R7" t="n">
        <v>820807</v>
      </c>
      <c r="S7" t="n">
        <v>1083922</v>
      </c>
      <c r="T7" t="n">
        <v>1407200</v>
      </c>
      <c r="U7" t="n">
        <v>1668923</v>
      </c>
      <c r="V7" t="n">
        <v>2264381</v>
      </c>
      <c r="W7" t="n">
        <v>2613962</v>
      </c>
      <c r="X7" t="n">
        <v>2949578</v>
      </c>
      <c r="Y7" t="n">
        <v>3254230</v>
      </c>
      <c r="Z7" t="n">
        <v>3564297</v>
      </c>
      <c r="AA7" t="n">
        <v>3653477</v>
      </c>
      <c r="AB7" t="n">
        <v>3745133</v>
      </c>
      <c r="BX7" t="inlineStr">
        <is>
          <t>Total Capital ratio</t>
        </is>
      </c>
      <c r="BY7" t="n">
        <v>25.4</v>
      </c>
      <c r="BZ7" t="n">
        <v>24.4</v>
      </c>
      <c r="CA7" t="n">
        <v>18.2</v>
      </c>
      <c r="CB7" t="n">
        <v>21</v>
      </c>
      <c r="CC7" t="n">
        <v>20.7</v>
      </c>
      <c r="CD7" t="n">
        <v>16.3</v>
      </c>
      <c r="CE7" t="n">
        <v>16.42</v>
      </c>
      <c r="CF7" t="n">
        <v>16.03</v>
      </c>
      <c r="CG7" t="n">
        <v>15.78</v>
      </c>
      <c r="CH7" t="n">
        <v>15.41</v>
      </c>
    </row>
    <row r="8">
      <c r="A8" s="5" t="inlineStr">
        <is>
          <t>Customer deposits</t>
        </is>
      </c>
      <c r="B8" s="5" t="n">
        <v>4910863</v>
      </c>
      <c r="C8" s="5" t="n">
        <v>4492026</v>
      </c>
      <c r="D8" s="5" t="n">
        <v>3758037</v>
      </c>
      <c r="E8" s="5" t="n">
        <v>3336442</v>
      </c>
      <c r="F8" s="5" t="n">
        <v>2832564</v>
      </c>
      <c r="G8" s="5" t="n">
        <v>2352241</v>
      </c>
      <c r="H8" s="5" t="n">
        <v>2227678</v>
      </c>
      <c r="I8" s="5" t="n">
        <v>1762654</v>
      </c>
      <c r="J8" s="5" t="n">
        <v>1656975</v>
      </c>
      <c r="K8" s="5" t="n">
        <v>1257403</v>
      </c>
      <c r="L8" s="5" t="n">
        <v>1038348</v>
      </c>
      <c r="M8" s="5" t="n">
        <v>955464</v>
      </c>
      <c r="P8" t="inlineStr">
        <is>
          <t>Customer deposits</t>
        </is>
      </c>
      <c r="Q8" t="n">
        <v>955464</v>
      </c>
      <c r="R8" t="n">
        <v>1038348</v>
      </c>
      <c r="S8" t="n">
        <v>1257403</v>
      </c>
      <c r="T8" t="n">
        <v>1656975</v>
      </c>
      <c r="U8" t="n">
        <v>1762654</v>
      </c>
      <c r="V8" t="n">
        <v>2227678</v>
      </c>
      <c r="W8" t="n">
        <v>2352241</v>
      </c>
      <c r="X8" t="n">
        <v>2832564</v>
      </c>
      <c r="Y8" t="n">
        <v>3336442</v>
      </c>
      <c r="Z8" t="n">
        <v>3758037</v>
      </c>
      <c r="AA8" t="n">
        <v>4492026</v>
      </c>
      <c r="AB8" t="n">
        <v>4910863</v>
      </c>
      <c r="BX8" t="inlineStr">
        <is>
          <t>Leverage ratio</t>
        </is>
      </c>
      <c r="BY8" t="n">
        <v>6.1</v>
      </c>
      <c r="BZ8" t="n">
        <v>6</v>
      </c>
      <c r="CA8" t="n">
        <v>4.7</v>
      </c>
      <c r="CB8" t="n">
        <v>5.8</v>
      </c>
      <c r="CC8" t="n">
        <v>6.9</v>
      </c>
      <c r="CD8" t="n">
        <v>6.3</v>
      </c>
      <c r="CE8" t="n">
        <v>6.1</v>
      </c>
      <c r="CF8" t="n">
        <v>5.46</v>
      </c>
      <c r="CG8" t="n">
        <v>7.4</v>
      </c>
      <c r="CH8" t="n">
        <v>6.96</v>
      </c>
    </row>
    <row r="9">
      <c r="A9" s="5" t="inlineStr">
        <is>
          <t>Total equity</t>
        </is>
      </c>
      <c r="B9" s="5" t="n">
        <v>426229</v>
      </c>
      <c r="C9" s="5" t="n">
        <v>387856</v>
      </c>
      <c r="D9" s="5" t="n">
        <v>349550</v>
      </c>
      <c r="E9" s="5" t="n">
        <v>309446</v>
      </c>
      <c r="F9" s="5" t="n">
        <v>220716</v>
      </c>
      <c r="G9" s="5" t="n">
        <v>195787</v>
      </c>
      <c r="H9" s="5" t="n">
        <v>166650</v>
      </c>
      <c r="I9" s="5" t="n">
        <v>137331</v>
      </c>
      <c r="J9" s="5" t="n">
        <v>112718</v>
      </c>
      <c r="K9" s="5" t="n">
        <v>65857</v>
      </c>
      <c r="L9" s="5" t="n">
        <v>69820</v>
      </c>
      <c r="M9" s="5" t="n">
        <v>66216</v>
      </c>
      <c r="P9" t="inlineStr">
        <is>
          <t>Total equity</t>
        </is>
      </c>
      <c r="Q9" t="n">
        <v>66216</v>
      </c>
      <c r="R9" t="n">
        <v>69820</v>
      </c>
      <c r="S9" t="n">
        <v>65857</v>
      </c>
      <c r="T9" t="n">
        <v>112718</v>
      </c>
      <c r="U9" t="n">
        <v>137331</v>
      </c>
      <c r="V9" t="n">
        <v>166650</v>
      </c>
      <c r="W9" t="n">
        <v>195787</v>
      </c>
      <c r="X9" t="n">
        <v>220716</v>
      </c>
      <c r="Y9" t="n">
        <v>309446</v>
      </c>
      <c r="Z9" t="n">
        <v>349550</v>
      </c>
      <c r="AA9" t="n">
        <v>387856</v>
      </c>
      <c r="AB9" t="n">
        <v>426229</v>
      </c>
      <c r="BX9" t="inlineStr">
        <is>
          <t>LCR (12-month average)</t>
        </is>
      </c>
      <c r="CE9" t="n">
        <v>340</v>
      </c>
      <c r="CF9" t="n">
        <v>242.91</v>
      </c>
      <c r="CG9" t="n">
        <v>315.98</v>
      </c>
      <c r="CH9" t="n">
        <v>304.44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140485</v>
      </c>
      <c r="C13" s="5" t="n">
        <v>134646</v>
      </c>
      <c r="D13" s="5" t="n">
        <v>159546</v>
      </c>
      <c r="E13" s="5" t="n">
        <v>127584</v>
      </c>
      <c r="F13" s="5" t="n">
        <v>88029</v>
      </c>
      <c r="G13" s="5" t="n">
        <v>78325</v>
      </c>
      <c r="H13" s="5" t="n">
        <v>58998</v>
      </c>
      <c r="I13" s="5" t="n">
        <v>48596</v>
      </c>
      <c r="J13" s="5" t="n">
        <v>40021</v>
      </c>
      <c r="K13" s="5" t="n">
        <v>30051</v>
      </c>
      <c r="L13" s="5" t="n">
        <v>23999</v>
      </c>
      <c r="M13" s="5" t="n">
        <v>18719</v>
      </c>
      <c r="AE13" t="inlineStr">
        <is>
          <t>Total operating income</t>
        </is>
      </c>
      <c r="AF13" t="n">
        <v>18719</v>
      </c>
      <c r="AG13" t="n">
        <v>23999</v>
      </c>
      <c r="AH13" t="n">
        <v>30051</v>
      </c>
      <c r="AI13" t="n">
        <v>40021</v>
      </c>
      <c r="AJ13" t="n">
        <v>48596</v>
      </c>
      <c r="AK13" t="n">
        <v>58998</v>
      </c>
      <c r="AL13" t="n">
        <v>78325</v>
      </c>
      <c r="AM13" t="n">
        <v>88029</v>
      </c>
      <c r="AN13" t="n">
        <v>127584</v>
      </c>
      <c r="AO13" t="n">
        <v>159546</v>
      </c>
      <c r="AP13" t="n">
        <v>134646</v>
      </c>
      <c r="AQ13" t="n">
        <v>140485</v>
      </c>
    </row>
    <row r="14">
      <c r="A14" s="5" t="inlineStr">
        <is>
          <t>Total operating expenses</t>
        </is>
      </c>
      <c r="B14" s="5" t="n">
        <v>-89416</v>
      </c>
      <c r="C14" s="5" t="n">
        <v>-80932</v>
      </c>
      <c r="D14" s="5" t="n">
        <v>-100220</v>
      </c>
      <c r="E14" s="5" t="n">
        <v>-77225</v>
      </c>
      <c r="F14" s="5" t="n">
        <v>-52233</v>
      </c>
      <c r="G14" s="5" t="n">
        <v>-46323</v>
      </c>
      <c r="H14" s="5" t="n">
        <v>-36135</v>
      </c>
      <c r="I14" s="5" t="n">
        <v>-42216</v>
      </c>
      <c r="J14" s="5" t="n">
        <v>-34602</v>
      </c>
      <c r="K14" s="5" t="n">
        <v>-24151</v>
      </c>
      <c r="L14" s="5" t="n">
        <v>-20104</v>
      </c>
      <c r="M14" s="5" t="n">
        <v>-17824</v>
      </c>
      <c r="AE14" t="inlineStr">
        <is>
          <t>Total operating expenses</t>
        </is>
      </c>
      <c r="AF14" t="n">
        <v>-17824</v>
      </c>
      <c r="AG14" t="n">
        <v>-20104</v>
      </c>
      <c r="AH14" t="n">
        <v>-24151</v>
      </c>
      <c r="AI14" t="n">
        <v>-34602</v>
      </c>
      <c r="AJ14" t="n">
        <v>-42216</v>
      </c>
      <c r="AK14" t="n">
        <v>-36135</v>
      </c>
      <c r="AL14" t="n">
        <v>-46323</v>
      </c>
      <c r="AM14" t="n">
        <v>-52233</v>
      </c>
      <c r="AN14" t="n">
        <v>-77225</v>
      </c>
      <c r="AO14" t="n">
        <v>-100220</v>
      </c>
      <c r="AP14" t="n">
        <v>-80932</v>
      </c>
      <c r="AQ14" t="n">
        <v>-89416</v>
      </c>
    </row>
    <row r="15">
      <c r="A15" s="5" t="inlineStr">
        <is>
          <t>Profit for the year</t>
        </is>
      </c>
      <c r="B15" s="5" t="n">
        <v>37940</v>
      </c>
      <c r="C15" s="5" t="n">
        <v>40234</v>
      </c>
      <c r="D15" s="5" t="n">
        <v>40613</v>
      </c>
      <c r="E15" s="5" t="n">
        <v>40256</v>
      </c>
      <c r="F15" s="5" t="n">
        <v>24929</v>
      </c>
      <c r="G15" s="5" t="n">
        <v>20828</v>
      </c>
      <c r="H15" s="5" t="n">
        <v>13519</v>
      </c>
      <c r="I15" s="5" t="n">
        <v>4600</v>
      </c>
      <c r="J15" s="5" t="n">
        <v>861</v>
      </c>
      <c r="K15" s="5" t="n">
        <v>-9020</v>
      </c>
      <c r="L15" s="5" t="n">
        <v>3604</v>
      </c>
      <c r="M15" s="5" t="n">
        <v>3301</v>
      </c>
      <c r="AE15" t="inlineStr">
        <is>
          <t>Profit for the year</t>
        </is>
      </c>
      <c r="AF15" t="n">
        <v>3301</v>
      </c>
      <c r="AG15" t="n">
        <v>3604</v>
      </c>
      <c r="AH15" t="n">
        <v>-9020</v>
      </c>
      <c r="AI15" t="n">
        <v>861</v>
      </c>
      <c r="AJ15" t="n">
        <v>4600</v>
      </c>
      <c r="AK15" t="n">
        <v>13519</v>
      </c>
      <c r="AL15" t="n">
        <v>20828</v>
      </c>
      <c r="AM15" t="n">
        <v>24929</v>
      </c>
      <c r="AN15" t="n">
        <v>40256</v>
      </c>
      <c r="AO15" t="n">
        <v>40613</v>
      </c>
      <c r="AP15" t="n">
        <v>40234</v>
      </c>
      <c r="AQ15" t="n">
        <v>37940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387856</v>
      </c>
      <c r="C19" s="5" t="n">
        <v>349550</v>
      </c>
      <c r="D19" s="5" t="n">
        <v>309446</v>
      </c>
      <c r="E19" s="5" t="n">
        <v>220716</v>
      </c>
      <c r="F19" s="5" t="n">
        <v>195787</v>
      </c>
      <c r="G19" s="5" t="n">
        <v>166650</v>
      </c>
      <c r="H19" s="5" t="n">
        <v>137331</v>
      </c>
      <c r="I19" s="5" t="n">
        <v>112718</v>
      </c>
      <c r="J19" s="5" t="n">
        <v>65857</v>
      </c>
      <c r="K19" s="5" t="n">
        <v>69820</v>
      </c>
      <c r="L19" s="5" t="n">
        <v>66216</v>
      </c>
      <c r="M19" s="5" t="n">
        <v>59583</v>
      </c>
      <c r="AT19" t="inlineStr">
        <is>
          <t>Opening equity</t>
        </is>
      </c>
      <c r="AU19" t="n">
        <v>59583</v>
      </c>
      <c r="AV19" t="n">
        <v>66216</v>
      </c>
      <c r="AW19" t="n">
        <v>69820</v>
      </c>
      <c r="AX19" t="n">
        <v>65857</v>
      </c>
      <c r="AY19" t="n">
        <v>112718</v>
      </c>
      <c r="AZ19" t="n">
        <v>137331</v>
      </c>
      <c r="BA19" t="n">
        <v>166650</v>
      </c>
      <c r="BB19" t="n">
        <v>195787</v>
      </c>
      <c r="BC19" t="n">
        <v>220716</v>
      </c>
      <c r="BD19" t="n">
        <v>309446</v>
      </c>
      <c r="BE19" t="n">
        <v>349550</v>
      </c>
      <c r="BF19" t="n">
        <v>387856</v>
      </c>
    </row>
    <row r="20">
      <c r="A20" s="5" t="inlineStr">
        <is>
          <t>Total comprehensive income for the year</t>
        </is>
      </c>
      <c r="B20" s="5" t="n">
        <v>37940</v>
      </c>
      <c r="C20" s="5" t="n">
        <v>38306</v>
      </c>
      <c r="D20" s="5" t="n">
        <v>40104</v>
      </c>
      <c r="E20" s="5" t="n">
        <v>41730</v>
      </c>
      <c r="F20" s="5" t="n">
        <v>24929</v>
      </c>
      <c r="G20" s="5" t="n">
        <v>20137</v>
      </c>
      <c r="H20" s="5" t="n">
        <v>14648</v>
      </c>
      <c r="I20" s="5" t="n">
        <v>4517</v>
      </c>
      <c r="J20" s="5" t="n">
        <v>861</v>
      </c>
      <c r="K20" s="5" t="n">
        <v>-3963</v>
      </c>
      <c r="L20" s="5" t="n">
        <v>3604</v>
      </c>
      <c r="M20" s="5" t="n">
        <v>6633</v>
      </c>
      <c r="AT20" t="inlineStr">
        <is>
          <t>Total comprehensive income for the year</t>
        </is>
      </c>
      <c r="AU20" t="n">
        <v>6633</v>
      </c>
      <c r="AV20" t="n">
        <v>3604</v>
      </c>
      <c r="AW20" t="n">
        <v>-3963</v>
      </c>
      <c r="AX20" t="n">
        <v>861</v>
      </c>
      <c r="AY20" t="n">
        <v>4517</v>
      </c>
      <c r="AZ20" t="n">
        <v>14648</v>
      </c>
      <c r="BA20" t="n">
        <v>20137</v>
      </c>
      <c r="BB20" t="n">
        <v>24929</v>
      </c>
      <c r="BC20" t="n">
        <v>41730</v>
      </c>
      <c r="BD20" t="n">
        <v>40104</v>
      </c>
      <c r="BE20" t="n">
        <v>38306</v>
      </c>
      <c r="BF20" t="n">
        <v>37940</v>
      </c>
    </row>
    <row r="21">
      <c r="A21" s="5" t="inlineStr">
        <is>
          <t>Other equity movements, net</t>
        </is>
      </c>
      <c r="B21" s="5" t="n">
        <v>433</v>
      </c>
      <c r="C21" s="5" t="n">
        <v>0</v>
      </c>
      <c r="D21" s="5" t="n">
        <v>0</v>
      </c>
      <c r="E21" s="5" t="n">
        <v>47000</v>
      </c>
      <c r="F21" s="5" t="n">
        <v>0</v>
      </c>
      <c r="G21" s="5" t="n">
        <v>9000</v>
      </c>
      <c r="H21" s="5" t="n">
        <v>14671</v>
      </c>
      <c r="I21" s="5" t="n">
        <v>20096</v>
      </c>
      <c r="J21" s="5" t="n">
        <v>46000</v>
      </c>
      <c r="K21" s="5" t="n">
        <v>0</v>
      </c>
      <c r="L21" s="5" t="n">
        <v>0</v>
      </c>
      <c r="M21" s="5" t="n">
        <v>0</v>
      </c>
      <c r="AT21" t="inlineStr">
        <is>
          <t>Other equity movements, net</t>
        </is>
      </c>
      <c r="AU21" t="n">
        <v>0</v>
      </c>
      <c r="AV21" t="n">
        <v>0</v>
      </c>
      <c r="AW21" t="n">
        <v>0</v>
      </c>
      <c r="AX21" t="n">
        <v>46000</v>
      </c>
      <c r="AY21" t="n">
        <v>20096</v>
      </c>
      <c r="AZ21" t="n">
        <v>14671</v>
      </c>
      <c r="BA21" t="n">
        <v>9000</v>
      </c>
      <c r="BB21" t="n">
        <v>0</v>
      </c>
      <c r="BC21" t="n">
        <v>47000</v>
      </c>
      <c r="BD21" t="n">
        <v>0</v>
      </c>
      <c r="BE21" t="n">
        <v>0</v>
      </c>
      <c r="BF21" t="n">
        <v>433</v>
      </c>
    </row>
    <row r="22">
      <c r="A22" s="5" t="inlineStr">
        <is>
          <t>Closing equity</t>
        </is>
      </c>
      <c r="B22" s="5" t="n">
        <v>426229</v>
      </c>
      <c r="C22" s="5" t="n">
        <v>387856</v>
      </c>
      <c r="D22" s="5" t="n">
        <v>349550</v>
      </c>
      <c r="E22" s="5" t="n">
        <v>309446</v>
      </c>
      <c r="F22" s="5" t="n">
        <v>220716</v>
      </c>
      <c r="G22" s="5" t="n">
        <v>195787</v>
      </c>
      <c r="H22" s="5" t="n">
        <v>166650</v>
      </c>
      <c r="I22" s="5" t="n">
        <v>137331</v>
      </c>
      <c r="J22" s="5" t="n">
        <v>112718</v>
      </c>
      <c r="K22" s="5" t="n">
        <v>65857</v>
      </c>
      <c r="L22" s="5" t="n">
        <v>69820</v>
      </c>
      <c r="M22" s="5" t="n">
        <v>66216</v>
      </c>
      <c r="AT22" t="inlineStr">
        <is>
          <t>Closing equity</t>
        </is>
      </c>
      <c r="AU22" t="n">
        <v>66216</v>
      </c>
      <c r="AV22" t="n">
        <v>69820</v>
      </c>
      <c r="AW22" t="n">
        <v>65857</v>
      </c>
      <c r="AX22" t="n">
        <v>112718</v>
      </c>
      <c r="AY22" t="n">
        <v>137331</v>
      </c>
      <c r="AZ22" t="n">
        <v>166650</v>
      </c>
      <c r="BA22" t="n">
        <v>195787</v>
      </c>
      <c r="BB22" t="n">
        <v>220716</v>
      </c>
      <c r="BC22" t="n">
        <v>309446</v>
      </c>
      <c r="BD22" t="n">
        <v>349550</v>
      </c>
      <c r="BE22" t="n">
        <v>387856</v>
      </c>
      <c r="BF22" t="n">
        <v>426229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from/(used in) operating activities</t>
        </is>
      </c>
      <c r="B26" s="5" t="n">
        <v>-17143</v>
      </c>
      <c r="C26" s="5" t="n">
        <v>445559</v>
      </c>
      <c r="D26" s="5" t="n">
        <v>130953</v>
      </c>
      <c r="E26" s="5" t="n">
        <v>190786</v>
      </c>
      <c r="F26" s="5" t="n">
        <v>234303</v>
      </c>
      <c r="G26" s="5" t="n">
        <v>117909</v>
      </c>
      <c r="H26" s="5" t="n">
        <v>-83910</v>
      </c>
      <c r="I26" s="5" t="n">
        <v>-157299</v>
      </c>
      <c r="J26" s="5" t="n">
        <v>75543</v>
      </c>
      <c r="K26" s="5" t="n">
        <v>-44784</v>
      </c>
      <c r="L26" s="5" t="n">
        <v>-108406</v>
      </c>
      <c r="M26" s="5" t="n">
        <v>-85437</v>
      </c>
      <c r="BI26" t="inlineStr">
        <is>
          <t>Net cash flow from/(used in) operating activities</t>
        </is>
      </c>
      <c r="BJ26" t="n">
        <v>-85437</v>
      </c>
      <c r="BK26" t="n">
        <v>-108406</v>
      </c>
      <c r="BL26" t="n">
        <v>-44784</v>
      </c>
      <c r="BM26" t="n">
        <v>75543</v>
      </c>
      <c r="BN26" t="n">
        <v>-157299</v>
      </c>
      <c r="BO26" t="n">
        <v>-83910</v>
      </c>
      <c r="BP26" t="n">
        <v>117909</v>
      </c>
      <c r="BQ26" t="n">
        <v>234303</v>
      </c>
      <c r="BR26" t="n">
        <v>190786</v>
      </c>
      <c r="BS26" t="n">
        <v>130953</v>
      </c>
      <c r="BT26" t="n">
        <v>445559</v>
      </c>
      <c r="BU26" t="n">
        <v>-17143</v>
      </c>
    </row>
    <row r="27">
      <c r="A27" s="5" t="inlineStr">
        <is>
          <t>Net cash flow from/(used in) investing activities</t>
        </is>
      </c>
      <c r="B27" s="5" t="n">
        <v>-459330</v>
      </c>
      <c r="C27" s="5" t="n">
        <v>-135783</v>
      </c>
      <c r="D27" s="5" t="n">
        <v>-39022</v>
      </c>
      <c r="E27" s="5" t="n">
        <v>36420</v>
      </c>
      <c r="F27" s="5" t="n">
        <v>-147084</v>
      </c>
      <c r="G27" s="5" t="n">
        <v>-12691</v>
      </c>
      <c r="H27" s="5" t="n">
        <v>-8787</v>
      </c>
      <c r="I27" s="5" t="n">
        <v>-2257</v>
      </c>
      <c r="J27" s="5" t="n">
        <v>-1620</v>
      </c>
      <c r="K27" s="5" t="n">
        <v>-1034</v>
      </c>
      <c r="L27" s="5" t="n">
        <v>-542</v>
      </c>
      <c r="M27" s="5" t="n">
        <v>-766</v>
      </c>
      <c r="BI27" t="inlineStr">
        <is>
          <t>Net cash flow from/(used in) investing activities</t>
        </is>
      </c>
      <c r="BJ27" t="n">
        <v>-766</v>
      </c>
      <c r="BK27" t="n">
        <v>-542</v>
      </c>
      <c r="BL27" t="n">
        <v>-1034</v>
      </c>
      <c r="BM27" t="n">
        <v>-1620</v>
      </c>
      <c r="BN27" t="n">
        <v>-2257</v>
      </c>
      <c r="BO27" t="n">
        <v>-8787</v>
      </c>
      <c r="BP27" t="n">
        <v>-12691</v>
      </c>
      <c r="BQ27" t="n">
        <v>-147084</v>
      </c>
      <c r="BR27" t="n">
        <v>36420</v>
      </c>
      <c r="BS27" t="n">
        <v>-39022</v>
      </c>
      <c r="BT27" t="n">
        <v>-135783</v>
      </c>
      <c r="BU27" t="n">
        <v>-459330</v>
      </c>
    </row>
    <row r="28">
      <c r="A28" s="5" t="inlineStr">
        <is>
          <t>Net cash flow from/(used in) financing activities</t>
        </is>
      </c>
      <c r="B28" s="5" t="n">
        <v>29481</v>
      </c>
      <c r="C28" s="5" t="n">
        <v>-2292</v>
      </c>
      <c r="D28" s="5" t="n">
        <v>13701</v>
      </c>
      <c r="E28" s="5" t="n">
        <v>47034</v>
      </c>
      <c r="F28" s="5" t="n">
        <v>-238</v>
      </c>
      <c r="G28" s="5" t="n">
        <v>8834</v>
      </c>
      <c r="H28" s="5" t="n">
        <v>14642</v>
      </c>
      <c r="I28" s="5" t="n">
        <v>19957</v>
      </c>
      <c r="J28" s="5" t="n">
        <v>44526</v>
      </c>
      <c r="K28" s="5" t="n">
        <v>-2265</v>
      </c>
      <c r="L28" s="5" t="n">
        <v>-2271</v>
      </c>
      <c r="M28" s="5" t="n">
        <v>-2256</v>
      </c>
      <c r="BI28" t="inlineStr">
        <is>
          <t>Net cash flow from/(used in) financing activities</t>
        </is>
      </c>
      <c r="BJ28" t="n">
        <v>-2256</v>
      </c>
      <c r="BK28" t="n">
        <v>-2271</v>
      </c>
      <c r="BL28" t="n">
        <v>-2265</v>
      </c>
      <c r="BM28" t="n">
        <v>44526</v>
      </c>
      <c r="BN28" t="n">
        <v>19957</v>
      </c>
      <c r="BO28" t="n">
        <v>14642</v>
      </c>
      <c r="BP28" t="n">
        <v>8834</v>
      </c>
      <c r="BQ28" t="n">
        <v>-238</v>
      </c>
      <c r="BR28" t="n">
        <v>47034</v>
      </c>
      <c r="BS28" t="n">
        <v>13701</v>
      </c>
      <c r="BT28" t="n">
        <v>-2292</v>
      </c>
      <c r="BU28" t="n">
        <v>29481</v>
      </c>
    </row>
    <row r="29">
      <c r="A29" s="5" t="inlineStr">
        <is>
          <t>Cash and cash equivalents at end of year</t>
        </is>
      </c>
      <c r="B29" s="5" t="n">
        <v>611903</v>
      </c>
      <c r="C29" s="5" t="n">
        <v>1058851</v>
      </c>
      <c r="D29" s="5" t="n">
        <v>751598</v>
      </c>
      <c r="E29" s="5" t="n">
        <v>646528</v>
      </c>
      <c r="F29" s="5" t="n">
        <v>372288</v>
      </c>
      <c r="G29" s="5" t="n">
        <v>285307</v>
      </c>
      <c r="H29" s="5" t="n">
        <v>171255</v>
      </c>
      <c r="I29" s="5" t="n">
        <v>249310</v>
      </c>
      <c r="J29" s="5" t="n">
        <v>388909</v>
      </c>
      <c r="K29" s="5" t="n">
        <v>268981</v>
      </c>
      <c r="L29" s="5" t="n">
        <v>309135</v>
      </c>
      <c r="M29" s="5" t="n">
        <v>422348</v>
      </c>
      <c r="BI29" t="inlineStr">
        <is>
          <t>Cash and cash equivalents at end of year</t>
        </is>
      </c>
      <c r="BJ29" t="n">
        <v>422348</v>
      </c>
      <c r="BK29" t="n">
        <v>309135</v>
      </c>
      <c r="BL29" t="n">
        <v>268981</v>
      </c>
      <c r="BM29" t="n">
        <v>388909</v>
      </c>
      <c r="BN29" t="n">
        <v>249310</v>
      </c>
      <c r="BO29" t="n">
        <v>171255</v>
      </c>
      <c r="BP29" t="n">
        <v>285307</v>
      </c>
      <c r="BQ29" t="n">
        <v>372288</v>
      </c>
      <c r="BR29" t="n">
        <v>646528</v>
      </c>
      <c r="BS29" t="n">
        <v>751598</v>
      </c>
      <c r="BT29" t="n">
        <v>1058851</v>
      </c>
      <c r="BU29" t="n">
        <v>611903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CET1/Core Tier 1 ratio</t>
        </is>
      </c>
      <c r="B33" s="6" t="n"/>
      <c r="C33" s="6" t="inlineStr">
        <is>
          <t>13.59%</t>
        </is>
      </c>
      <c r="D33" s="6" t="inlineStr">
        <is>
          <t>14.69%</t>
        </is>
      </c>
      <c r="E33" s="6" t="inlineStr">
        <is>
          <t>15.78%</t>
        </is>
      </c>
      <c r="F33" s="6" t="inlineStr">
        <is>
          <t>13.92%</t>
        </is>
      </c>
      <c r="G33" s="6" t="inlineStr">
        <is>
          <t>14.12%</t>
        </is>
      </c>
      <c r="H33" s="6" t="inlineStr">
        <is>
          <t>13.7%</t>
        </is>
      </c>
      <c r="I33" s="6" t="inlineStr">
        <is>
          <t>17.0%</t>
        </is>
      </c>
      <c r="J33" s="6" t="inlineStr">
        <is>
          <t>16.6%</t>
        </is>
      </c>
      <c r="K33" s="6" t="inlineStr">
        <is>
          <t>12.1%</t>
        </is>
      </c>
      <c r="L33" s="6" t="inlineStr">
        <is>
          <t>16.6%</t>
        </is>
      </c>
      <c r="M33" s="6" t="inlineStr">
        <is>
          <t>16.9%</t>
        </is>
      </c>
    </row>
    <row r="34">
      <c r="A34" s="6" t="inlineStr">
        <is>
          <t>Total Capital ratio</t>
        </is>
      </c>
      <c r="B34" s="6" t="n"/>
      <c r="C34" s="6" t="n"/>
      <c r="D34" s="6" t="inlineStr">
        <is>
          <t>15.41%</t>
        </is>
      </c>
      <c r="E34" s="6" t="inlineStr">
        <is>
          <t>15.78%</t>
        </is>
      </c>
      <c r="F34" s="6" t="inlineStr">
        <is>
          <t>16.03%</t>
        </is>
      </c>
      <c r="G34" s="6" t="inlineStr">
        <is>
          <t>16.42%</t>
        </is>
      </c>
      <c r="H34" s="6" t="inlineStr">
        <is>
          <t>16.3%</t>
        </is>
      </c>
      <c r="I34" s="6" t="inlineStr">
        <is>
          <t>20.7%</t>
        </is>
      </c>
      <c r="J34" s="6" t="inlineStr">
        <is>
          <t>21.0%</t>
        </is>
      </c>
      <c r="K34" s="6" t="inlineStr">
        <is>
          <t>18.2%</t>
        </is>
      </c>
      <c r="L34" s="6" t="inlineStr">
        <is>
          <t>24.4%</t>
        </is>
      </c>
      <c r="M34" s="6" t="inlineStr">
        <is>
          <t>25.4%</t>
        </is>
      </c>
    </row>
    <row r="35">
      <c r="A35" s="6" t="inlineStr">
        <is>
          <t>Leverage ratio</t>
        </is>
      </c>
      <c r="B35" s="6" t="n"/>
      <c r="C35" s="6" t="n"/>
      <c r="D35" s="6" t="inlineStr">
        <is>
          <t>6.96%</t>
        </is>
      </c>
      <c r="E35" s="6" t="inlineStr">
        <is>
          <t>7.40%</t>
        </is>
      </c>
      <c r="F35" s="6" t="inlineStr">
        <is>
          <t>5.46%</t>
        </is>
      </c>
      <c r="G35" s="6" t="inlineStr">
        <is>
          <t>6.1%</t>
        </is>
      </c>
      <c r="H35" s="6" t="inlineStr">
        <is>
          <t>6.3%</t>
        </is>
      </c>
      <c r="I35" s="6" t="inlineStr">
        <is>
          <t>6.9%</t>
        </is>
      </c>
      <c r="J35" s="6" t="inlineStr">
        <is>
          <t>5.8%</t>
        </is>
      </c>
      <c r="K35" s="6" t="inlineStr">
        <is>
          <t>4.7%</t>
        </is>
      </c>
      <c r="L35" s="6" t="inlineStr">
        <is>
          <t>6.0%</t>
        </is>
      </c>
      <c r="M35" s="6" t="inlineStr">
        <is>
          <t>6.1%</t>
        </is>
      </c>
    </row>
    <row r="36">
      <c r="A36" s="6" t="inlineStr">
        <is>
          <t>LCR (12-month average)</t>
        </is>
      </c>
      <c r="B36" s="6" t="n"/>
      <c r="C36" s="6" t="n"/>
      <c r="D36" s="6" t="inlineStr">
        <is>
          <t>304.44%</t>
        </is>
      </c>
      <c r="E36" s="6" t="inlineStr">
        <is>
          <t>315.98%</t>
        </is>
      </c>
      <c r="F36" s="6" t="inlineStr">
        <is>
          <t>242.91%</t>
        </is>
      </c>
      <c r="G36" s="6" t="inlineStr">
        <is>
          <t>340%</t>
        </is>
      </c>
      <c r="H36" s="6" t="n"/>
      <c r="I36" s="6" t="n"/>
      <c r="J36" s="6" t="n"/>
      <c r="K36" s="6" t="n"/>
      <c r="L36" s="6" t="n"/>
      <c r="M36" s="6" t="n"/>
    </row>
    <row r="38" ht="45" customHeight="1">
      <c r="A38" s="7" t="inlineStr">
        <is>
          <t>Note: Pillar 3 ratio coverage runs FY2014-FY2023 (from the Bank's own Pillar 3 documents - editions 2018-2022 recovered from the Wayback Machine, and the 2023 edition found on 2026-09-15 on the Contentful CDN behind the current site, linked only from the Bank's /strong-and-prudent-management page) plus a FY2024 CET1 ratio of 13.59% taken from the Annual Report &amp; Accounts 2024's own narrative (p.6), the only ratio stated numerically in either of the FY2024/FY2025 Annual Reports. FY2025 has no ratio of any kind disclosed. FY2023's row was blank until 2026-09-15 on the basis of an earlier conclusion, now overturned, that its Pillar 3 document was unreachable. WHY THE RATIO ROWS STOP: Cynergy Bank's modification-by-consent application to be treated as a Small Domestic Deposit Taker (SDDT) was approved on 17 January 2025, and the Bank states in its own Annual Reports that it is consequently not required to publish Pillar 3 disclosures for either 31 December 2024 (AR2024 p.71) or 31 December 2025 (AR2025 p.45); the same passages record that the full NSFR has been replaced by a Simplified Retail Deposit Ratio. That absence is enumerated, not merely unfound: the Bank's Pillar 3 page serves exactly six editions (FY2018-FY2023) and no later one, and the same page is demonstrably current (it also carries a 2026 Gender Pay Gap report). FY2023 predates the exemption and its Pillar 3 disclosure was both produced and published. This is a disclosure-regime change, not an entity cessation - Cynergy Bank Plc (FRN 575105) is still on the Bank of England's List of banks as at 30 September 2026. CET1 Capital, Tier 1 Capital and Total Capital (£'000) are disclosed for FY2014-FY2020 and FY2023-FY2025 - see their own sheets. Cash flow figures are duplicated from the Cash Flow Statement sheet for at-a-glance trend viewing.</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Financial Position</t>
        </is>
      </c>
    </row>
    <row r="2">
      <c r="A2" s="2" t="inlineStr">
        <is>
          <t>Consolidated basis, £'000. See source note at bottom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with central banks</t>
        </is>
      </c>
      <c r="B5" s="6" t="n">
        <v>575031</v>
      </c>
      <c r="C5" s="6" t="n">
        <v>1014572</v>
      </c>
      <c r="D5" s="6" t="n">
        <v>697790</v>
      </c>
      <c r="E5" s="6" t="n">
        <v>553007</v>
      </c>
      <c r="F5" s="6" t="n">
        <v>324982</v>
      </c>
      <c r="G5" s="6" t="n">
        <v>246256</v>
      </c>
      <c r="H5" s="6" t="n">
        <v>111754</v>
      </c>
      <c r="I5" s="6" t="n">
        <v>196454</v>
      </c>
      <c r="J5" s="6" t="n">
        <v>358724</v>
      </c>
      <c r="K5" s="6" t="n">
        <v>205062</v>
      </c>
      <c r="L5" s="6" t="n">
        <v>228858</v>
      </c>
      <c r="M5" s="6" t="n">
        <v>367398</v>
      </c>
      <c r="N5" s="6" t="n">
        <v>468784</v>
      </c>
    </row>
    <row r="6">
      <c r="A6" s="6" t="inlineStr">
        <is>
          <t>Placements with banks</t>
        </is>
      </c>
      <c r="B6" s="6" t="n">
        <v>36872</v>
      </c>
      <c r="C6" s="6" t="n">
        <v>44279</v>
      </c>
      <c r="D6" s="6" t="n">
        <v>63156</v>
      </c>
      <c r="E6" s="6" t="n">
        <v>102320</v>
      </c>
      <c r="F6" s="6" t="n">
        <v>54529</v>
      </c>
      <c r="G6" s="6" t="n">
        <v>44784</v>
      </c>
      <c r="H6" s="6" t="n">
        <v>63265</v>
      </c>
      <c r="I6" s="6" t="n">
        <v>55538</v>
      </c>
      <c r="J6" s="6" t="n">
        <v>32625</v>
      </c>
      <c r="K6" s="6" t="n">
        <v>67948</v>
      </c>
      <c r="L6" s="6" t="n">
        <v>83373</v>
      </c>
      <c r="M6" s="6" t="n">
        <v>58528</v>
      </c>
      <c r="N6" s="6" t="n">
        <v>47519</v>
      </c>
    </row>
    <row r="7">
      <c r="A7" s="6" t="inlineStr">
        <is>
          <t>Placements with related entities</t>
        </is>
      </c>
      <c r="B7" s="6" t="n"/>
      <c r="C7" s="6" t="n"/>
      <c r="D7" s="6" t="n"/>
      <c r="E7" s="6" t="n"/>
      <c r="F7" s="6" t="n"/>
      <c r="G7" s="6" t="n"/>
      <c r="H7" s="6" t="n"/>
      <c r="I7" s="6" t="n"/>
      <c r="J7" s="6" t="n">
        <v>25226</v>
      </c>
      <c r="K7" s="6" t="n">
        <v>24949</v>
      </c>
      <c r="L7" s="6" t="n">
        <v>21127</v>
      </c>
      <c r="M7" s="6" t="n">
        <v>9555</v>
      </c>
      <c r="N7" s="6" t="n">
        <v>9916</v>
      </c>
    </row>
    <row r="8">
      <c r="A8" s="6" t="inlineStr">
        <is>
          <t>Investment in subsidiary</t>
        </is>
      </c>
      <c r="B8" s="6" t="n"/>
      <c r="C8" s="6" t="n"/>
      <c r="D8" s="6" t="n"/>
      <c r="E8" s="6" t="n"/>
      <c r="F8" s="6" t="n"/>
      <c r="G8" s="6" t="n"/>
      <c r="H8" s="6" t="n">
        <v>10</v>
      </c>
      <c r="I8" s="6" t="n">
        <v>10</v>
      </c>
      <c r="J8" s="6" t="n">
        <v>400</v>
      </c>
      <c r="K8" s="6" t="n">
        <v>400</v>
      </c>
      <c r="L8" s="6" t="n">
        <v>400</v>
      </c>
      <c r="M8" s="6" t="n">
        <v>400</v>
      </c>
      <c r="N8" s="6" t="n">
        <v>400</v>
      </c>
    </row>
    <row r="9">
      <c r="A9" s="6" t="inlineStr">
        <is>
          <t>Loans and advances to customers</t>
        </is>
      </c>
      <c r="B9" s="6" t="n">
        <v>3745133</v>
      </c>
      <c r="C9" s="6" t="n">
        <v>3653477</v>
      </c>
      <c r="D9" s="6" t="n">
        <v>3564297</v>
      </c>
      <c r="E9" s="6" t="n">
        <v>3254230</v>
      </c>
      <c r="F9" s="6" t="n">
        <v>2949578</v>
      </c>
      <c r="G9" s="6" t="n">
        <v>2613962</v>
      </c>
      <c r="H9" s="6" t="n">
        <v>2264381</v>
      </c>
      <c r="I9" s="6" t="n">
        <v>1668923</v>
      </c>
      <c r="J9" s="6" t="n">
        <v>1407200</v>
      </c>
      <c r="K9" s="6" t="n">
        <v>1083922</v>
      </c>
      <c r="L9" s="6" t="n">
        <v>820807</v>
      </c>
      <c r="M9" s="6" t="n">
        <v>617976</v>
      </c>
      <c r="N9" s="6" t="n">
        <v>550494</v>
      </c>
    </row>
    <row r="10">
      <c r="A10" s="6" t="inlineStr">
        <is>
          <t>Investment in securities</t>
        </is>
      </c>
      <c r="B10" s="6" t="n">
        <v>1080929</v>
      </c>
      <c r="C10" s="6" t="n">
        <v>252914</v>
      </c>
      <c r="D10" s="6" t="n">
        <v>127547</v>
      </c>
      <c r="E10" s="6" t="n">
        <v>113377</v>
      </c>
      <c r="F10" s="6" t="n">
        <v>137782</v>
      </c>
      <c r="G10" s="6" t="n"/>
      <c r="H10" s="6" t="n"/>
      <c r="I10" s="6" t="n"/>
      <c r="J10" s="6" t="n"/>
      <c r="K10" s="6" t="n"/>
      <c r="L10" s="6" t="n"/>
      <c r="M10" s="6" t="n"/>
      <c r="N10" s="6" t="n"/>
    </row>
    <row r="11">
      <c r="A11" s="6" t="inlineStr">
        <is>
          <t>Derivative assets</t>
        </is>
      </c>
      <c r="B11" s="6" t="n">
        <v>1843</v>
      </c>
      <c r="C11" s="6" t="n">
        <v>6404</v>
      </c>
      <c r="D11" s="6" t="n">
        <v>4512</v>
      </c>
      <c r="E11" s="6" t="n">
        <v>12404</v>
      </c>
      <c r="F11" s="6" t="n">
        <v>54</v>
      </c>
      <c r="G11" s="6" t="n">
        <v>31</v>
      </c>
      <c r="H11" s="6" t="n"/>
      <c r="I11" s="6" t="n"/>
      <c r="J11" s="6" t="n"/>
      <c r="K11" s="6" t="n"/>
      <c r="L11" s="6" t="n"/>
      <c r="M11" s="6" t="n"/>
      <c r="N11" s="6" t="n"/>
    </row>
    <row r="12">
      <c r="A12" s="6" t="inlineStr">
        <is>
          <t>Intangible assets</t>
        </is>
      </c>
      <c r="B12" s="6" t="n">
        <v>78293</v>
      </c>
      <c r="C12" s="6" t="n">
        <v>63455</v>
      </c>
      <c r="D12" s="6" t="n">
        <v>49303</v>
      </c>
      <c r="E12" s="6" t="n">
        <v>27469</v>
      </c>
      <c r="F12" s="6" t="n">
        <v>26513</v>
      </c>
      <c r="G12" s="6" t="n">
        <v>19712</v>
      </c>
      <c r="H12" s="6" t="n">
        <v>9804</v>
      </c>
      <c r="I12" s="6" t="n">
        <v>1010</v>
      </c>
      <c r="J12" s="6" t="n">
        <v>1623</v>
      </c>
      <c r="K12" s="6" t="n">
        <v>840</v>
      </c>
      <c r="L12" s="6" t="n">
        <v>640</v>
      </c>
      <c r="M12" s="6" t="n">
        <v>683</v>
      </c>
      <c r="N12" s="6" t="n">
        <v>510</v>
      </c>
    </row>
    <row r="13">
      <c r="A13" s="6" t="inlineStr">
        <is>
          <t>Right-of-use assets</t>
        </is>
      </c>
      <c r="B13" s="6" t="n">
        <v>9918</v>
      </c>
      <c r="C13" s="6" t="n">
        <v>11060</v>
      </c>
      <c r="D13" s="6" t="n">
        <v>11553</v>
      </c>
      <c r="E13" s="6" t="n">
        <v>11891</v>
      </c>
      <c r="F13" s="6" t="n">
        <v>220</v>
      </c>
      <c r="G13" s="6" t="n">
        <v>242</v>
      </c>
      <c r="H13" s="6" t="n">
        <v>87</v>
      </c>
      <c r="I13" s="6" t="n"/>
      <c r="J13" s="6" t="n"/>
      <c r="K13" s="6" t="n"/>
      <c r="L13" s="6" t="n"/>
      <c r="M13" s="6" t="n"/>
      <c r="N13" s="6" t="n"/>
    </row>
    <row r="14">
      <c r="A14" s="6" t="inlineStr">
        <is>
          <t>Property and equipment</t>
        </is>
      </c>
      <c r="B14" s="6" t="n">
        <v>3080</v>
      </c>
      <c r="C14" s="6" t="n">
        <v>7934</v>
      </c>
      <c r="D14" s="6" t="n">
        <v>3861</v>
      </c>
      <c r="E14" s="6" t="n">
        <v>914</v>
      </c>
      <c r="F14" s="6" t="n">
        <v>12875</v>
      </c>
      <c r="G14" s="6" t="n">
        <v>13573</v>
      </c>
      <c r="H14" s="6" t="n">
        <v>7514</v>
      </c>
      <c r="I14" s="6" t="n">
        <v>15652</v>
      </c>
      <c r="J14" s="6" t="n">
        <v>15773</v>
      </c>
      <c r="K14" s="6" t="n">
        <v>16445</v>
      </c>
      <c r="L14" s="6" t="n">
        <v>11178</v>
      </c>
      <c r="M14" s="6" t="n">
        <v>12085</v>
      </c>
      <c r="N14" s="6" t="n">
        <v>9315</v>
      </c>
    </row>
    <row r="15">
      <c r="A15" s="6" t="inlineStr">
        <is>
          <t>Assets classified as held for sale</t>
        </is>
      </c>
      <c r="B15" s="6" t="n"/>
      <c r="C15" s="6" t="n"/>
      <c r="D15" s="6" t="n">
        <v>7070</v>
      </c>
      <c r="E15" s="6" t="n">
        <v>7070</v>
      </c>
      <c r="F15" s="6" t="n"/>
      <c r="G15" s="6" t="n"/>
      <c r="H15" s="6" t="n">
        <v>8819</v>
      </c>
      <c r="I15" s="6" t="n"/>
      <c r="J15" s="6" t="n"/>
      <c r="K15" s="6" t="n"/>
      <c r="L15" s="6" t="n"/>
      <c r="M15" s="6" t="n"/>
      <c r="N15" s="6" t="n"/>
    </row>
    <row r="16">
      <c r="A16" s="6" t="inlineStr">
        <is>
          <t>Other assets</t>
        </is>
      </c>
      <c r="B16" s="6" t="n">
        <v>58369</v>
      </c>
      <c r="C16" s="6" t="n">
        <v>44405</v>
      </c>
      <c r="D16" s="6" t="n">
        <v>82142</v>
      </c>
      <c r="E16" s="6" t="n">
        <v>42031</v>
      </c>
      <c r="F16" s="6" t="n">
        <v>11501</v>
      </c>
      <c r="G16" s="6" t="n">
        <v>4886</v>
      </c>
      <c r="H16" s="6" t="n">
        <v>6270</v>
      </c>
      <c r="I16" s="6" t="n">
        <v>17433</v>
      </c>
      <c r="J16" s="6" t="n">
        <v>35547</v>
      </c>
      <c r="K16" s="6" t="n">
        <v>3411</v>
      </c>
      <c r="L16" s="6" t="n">
        <v>2480</v>
      </c>
      <c r="M16" s="6" t="n">
        <v>2418</v>
      </c>
      <c r="N16" s="6" t="n">
        <v>3899</v>
      </c>
    </row>
    <row r="17">
      <c r="A17" s="6" t="inlineStr">
        <is>
          <t>Current tax assets</t>
        </is>
      </c>
      <c r="B17" s="6" t="n">
        <v>7854</v>
      </c>
      <c r="C17" s="6" t="n"/>
      <c r="D17" s="6" t="n"/>
      <c r="E17" s="6" t="n"/>
      <c r="F17" s="6" t="n"/>
      <c r="G17" s="6" t="n"/>
      <c r="H17" s="6" t="n"/>
      <c r="I17" s="6" t="n"/>
      <c r="J17" s="6" t="n"/>
      <c r="K17" s="6" t="n"/>
      <c r="L17" s="6" t="n"/>
      <c r="M17" s="6" t="n"/>
      <c r="N17" s="6" t="n"/>
    </row>
    <row r="18">
      <c r="A18" s="5" t="inlineStr">
        <is>
          <t>Total assets</t>
        </is>
      </c>
      <c r="B18" s="5" t="n">
        <v>5597322</v>
      </c>
      <c r="C18" s="5" t="n">
        <v>5098500</v>
      </c>
      <c r="D18" s="5" t="n">
        <v>4611231</v>
      </c>
      <c r="E18" s="5" t="n">
        <v>4124713</v>
      </c>
      <c r="F18" s="5" t="n">
        <v>3518034</v>
      </c>
      <c r="G18" s="5" t="n">
        <v>2943446</v>
      </c>
      <c r="H18" s="5" t="n">
        <v>2471904</v>
      </c>
      <c r="I18" s="5" t="n">
        <v>1955020</v>
      </c>
      <c r="J18" s="5" t="n">
        <v>1877118</v>
      </c>
      <c r="K18" s="5" t="n">
        <v>1402977</v>
      </c>
      <c r="L18" s="5" t="n">
        <v>1168863</v>
      </c>
      <c r="M18" s="5" t="n">
        <v>1069043</v>
      </c>
      <c r="N18" s="5" t="n">
        <v>1090837</v>
      </c>
    </row>
    <row r="19">
      <c r="A19" s="5" t="inlineStr">
        <is>
          <t>Liabilities</t>
        </is>
      </c>
      <c r="B19" s="6" t="n"/>
      <c r="C19" s="6" t="n"/>
      <c r="D19" s="6" t="n"/>
      <c r="E19" s="6" t="n"/>
      <c r="F19" s="6" t="n"/>
      <c r="G19" s="6" t="n"/>
      <c r="H19" s="6" t="n"/>
      <c r="I19" s="6" t="n"/>
      <c r="J19" s="6" t="n"/>
      <c r="K19" s="6" t="n"/>
      <c r="L19" s="6" t="n"/>
      <c r="M19" s="6" t="n"/>
      <c r="N19" s="6" t="n"/>
    </row>
    <row r="20">
      <c r="A20" s="6" t="inlineStr">
        <is>
          <t>Placements by related entities</t>
        </is>
      </c>
      <c r="B20" s="6" t="n"/>
      <c r="C20" s="6" t="n"/>
      <c r="D20" s="6" t="n"/>
      <c r="E20" s="6" t="n"/>
      <c r="F20" s="6" t="n"/>
      <c r="G20" s="6" t="n"/>
      <c r="H20" s="6" t="n"/>
      <c r="I20" s="6" t="n"/>
      <c r="J20" s="6" t="n">
        <v>26605</v>
      </c>
      <c r="K20" s="6" t="n">
        <v>28381</v>
      </c>
      <c r="L20" s="6" t="n">
        <v>24216</v>
      </c>
      <c r="M20" s="6" t="n">
        <v>13123</v>
      </c>
      <c r="N20" s="6" t="n">
        <v>13570</v>
      </c>
    </row>
    <row r="21">
      <c r="A21" s="6" t="inlineStr">
        <is>
          <t>Amounts due to banks</t>
        </is>
      </c>
      <c r="B21" s="6" t="n"/>
      <c r="C21" s="6" t="n"/>
      <c r="D21" s="6" t="n"/>
      <c r="E21" s="6" t="n"/>
      <c r="F21" s="6" t="n"/>
      <c r="G21" s="6" t="n"/>
      <c r="H21" s="6" t="n"/>
      <c r="I21" s="6" t="n"/>
      <c r="J21" s="6" t="n"/>
      <c r="K21" s="6" t="n">
        <v>0</v>
      </c>
      <c r="L21" s="6" t="n">
        <v>7</v>
      </c>
      <c r="M21" s="6" t="n">
        <v>10</v>
      </c>
      <c r="N21" s="6" t="n">
        <v>1006</v>
      </c>
    </row>
    <row r="22">
      <c r="A22" s="6" t="inlineStr">
        <is>
          <t>Customer deposits</t>
        </is>
      </c>
      <c r="B22" s="6" t="n">
        <v>4910863</v>
      </c>
      <c r="C22" s="6" t="n">
        <v>4492026</v>
      </c>
      <c r="D22" s="6" t="n">
        <v>3758037</v>
      </c>
      <c r="E22" s="6" t="n">
        <v>3336442</v>
      </c>
      <c r="F22" s="6" t="n">
        <v>2832564</v>
      </c>
      <c r="G22" s="6" t="n">
        <v>2352241</v>
      </c>
      <c r="H22" s="6" t="n">
        <v>2227678</v>
      </c>
      <c r="I22" s="6" t="n">
        <v>1762654</v>
      </c>
      <c r="J22" s="6" t="n">
        <v>1656975</v>
      </c>
      <c r="K22" s="6" t="n">
        <v>1257403</v>
      </c>
      <c r="L22" s="6" t="n">
        <v>1038348</v>
      </c>
      <c r="M22" s="6" t="n">
        <v>955464</v>
      </c>
      <c r="N22" s="6" t="n">
        <v>980845</v>
      </c>
    </row>
    <row r="23">
      <c r="A23" s="6" t="inlineStr">
        <is>
          <t>Bank deposits</t>
        </is>
      </c>
      <c r="B23" s="6" t="n">
        <v>85131</v>
      </c>
      <c r="C23" s="6" t="n">
        <v>80924</v>
      </c>
      <c r="D23" s="6" t="n">
        <v>359667</v>
      </c>
      <c r="E23" s="6" t="n">
        <v>390170</v>
      </c>
      <c r="F23" s="6" t="n">
        <v>400125</v>
      </c>
      <c r="G23" s="6" t="n">
        <v>340131</v>
      </c>
      <c r="H23" s="6" t="n">
        <v>25063</v>
      </c>
      <c r="I23" s="6" t="n">
        <v>240</v>
      </c>
      <c r="J23" s="6" t="n"/>
      <c r="K23" s="6" t="n"/>
      <c r="L23" s="6" t="n"/>
      <c r="M23" s="6" t="n"/>
      <c r="N23" s="6" t="n"/>
    </row>
    <row r="24">
      <c r="A24" s="6" t="inlineStr">
        <is>
          <t>Subordinated loan(s)</t>
        </is>
      </c>
      <c r="B24" s="6" t="n">
        <v>49805</v>
      </c>
      <c r="C24" s="6" t="n">
        <v>14881</v>
      </c>
      <c r="D24" s="6" t="n">
        <v>14847</v>
      </c>
      <c r="E24" s="6" t="n">
        <v>0</v>
      </c>
      <c r="F24" s="6" t="n">
        <v>29868</v>
      </c>
      <c r="G24" s="6" t="n">
        <v>29744</v>
      </c>
      <c r="H24" s="6" t="n">
        <v>29629</v>
      </c>
      <c r="I24" s="6" t="n">
        <v>29524</v>
      </c>
      <c r="J24" s="6" t="n">
        <v>29537</v>
      </c>
      <c r="K24" s="6" t="n">
        <v>30061</v>
      </c>
      <c r="L24" s="6" t="n">
        <v>30062</v>
      </c>
      <c r="M24" s="6" t="n">
        <v>30062</v>
      </c>
      <c r="N24" s="6" t="n">
        <v>30056</v>
      </c>
    </row>
    <row r="25">
      <c r="A25" s="6" t="inlineStr">
        <is>
          <t>Lease liabilities</t>
        </is>
      </c>
      <c r="B25" s="6" t="n">
        <v>10690</v>
      </c>
      <c r="C25" s="6" t="n">
        <v>11895</v>
      </c>
      <c r="D25" s="6" t="n">
        <v>12873</v>
      </c>
      <c r="E25" s="6" t="n">
        <v>12065</v>
      </c>
      <c r="F25" s="6" t="n">
        <v>278</v>
      </c>
      <c r="G25" s="6" t="n">
        <v>261</v>
      </c>
      <c r="H25" s="6" t="n">
        <v>110</v>
      </c>
      <c r="I25" s="6" t="n"/>
      <c r="J25" s="6" t="n"/>
      <c r="K25" s="6" t="n"/>
      <c r="L25" s="6" t="n"/>
      <c r="M25" s="6" t="n"/>
      <c r="N25" s="6" t="n"/>
    </row>
    <row r="26">
      <c r="A26" s="6" t="inlineStr">
        <is>
          <t>Provision for customer redress</t>
        </is>
      </c>
      <c r="B26" s="6" t="n"/>
      <c r="C26" s="6" t="n"/>
      <c r="D26" s="6" t="n"/>
      <c r="E26" s="6" t="n">
        <v>716</v>
      </c>
      <c r="F26" s="6" t="n">
        <v>261</v>
      </c>
      <c r="G26" s="6" t="n">
        <v>132</v>
      </c>
      <c r="H26" s="6" t="n">
        <v>1164</v>
      </c>
      <c r="I26" s="6" t="n">
        <v>12221</v>
      </c>
      <c r="J26" s="6" t="n">
        <v>41516</v>
      </c>
      <c r="K26" s="6" t="n">
        <v>14910</v>
      </c>
      <c r="L26" s="6" t="n"/>
      <c r="M26" s="6" t="n"/>
      <c r="N26" s="6" t="n"/>
    </row>
    <row r="27">
      <c r="A27" s="6" t="inlineStr">
        <is>
          <t>Deferred tax liabilities</t>
        </is>
      </c>
      <c r="B27" s="6" t="n">
        <v>11526</v>
      </c>
      <c r="C27" s="6" t="n"/>
      <c r="D27" s="6" t="n"/>
      <c r="E27" s="6" t="n"/>
      <c r="F27" s="6" t="n"/>
      <c r="G27" s="6" t="n"/>
      <c r="H27" s="6" t="n"/>
      <c r="I27" s="6" t="n"/>
      <c r="J27" s="6" t="n"/>
      <c r="K27" s="6" t="n"/>
      <c r="L27" s="6" t="n"/>
      <c r="M27" s="6" t="n"/>
      <c r="N27" s="6" t="n"/>
    </row>
    <row r="28">
      <c r="A28" s="6" t="inlineStr">
        <is>
          <t>Derivative liabilities</t>
        </is>
      </c>
      <c r="B28" s="6" t="n">
        <v>14563</v>
      </c>
      <c r="C28" s="6" t="n">
        <v>11478</v>
      </c>
      <c r="D28" s="6" t="n">
        <v>32374</v>
      </c>
      <c r="E28" s="6" t="n">
        <v>3838</v>
      </c>
      <c r="F28" s="6" t="n">
        <v>429</v>
      </c>
      <c r="G28" s="6" t="n">
        <v>772</v>
      </c>
      <c r="H28" s="6" t="n"/>
      <c r="I28" s="6" t="n"/>
      <c r="J28" s="6" t="n"/>
      <c r="K28" s="6" t="n"/>
      <c r="L28" s="6" t="n"/>
      <c r="M28" s="6" t="n"/>
      <c r="N28" s="6" t="n"/>
    </row>
    <row r="29">
      <c r="A29" s="6" t="inlineStr">
        <is>
          <t>Other liabilities</t>
        </is>
      </c>
      <c r="B29" s="6" t="n">
        <v>88515</v>
      </c>
      <c r="C29" s="6" t="n">
        <v>99440</v>
      </c>
      <c r="D29" s="6" t="n">
        <v>83883</v>
      </c>
      <c r="E29" s="6" t="n">
        <v>72036</v>
      </c>
      <c r="F29" s="6" t="n">
        <v>33793</v>
      </c>
      <c r="G29" s="6" t="n">
        <v>24378</v>
      </c>
      <c r="H29" s="6" t="n">
        <v>21810</v>
      </c>
      <c r="I29" s="6" t="n">
        <v>13050</v>
      </c>
      <c r="J29" s="6" t="n">
        <v>9767</v>
      </c>
      <c r="K29" s="6" t="n">
        <v>6365</v>
      </c>
      <c r="L29" s="6" t="n">
        <v>6410</v>
      </c>
      <c r="M29" s="6" t="n">
        <v>4168</v>
      </c>
      <c r="N29" s="6" t="n">
        <v>5777</v>
      </c>
    </row>
    <row r="30">
      <c r="A30" s="5" t="inlineStr">
        <is>
          <t>Total liabilities</t>
        </is>
      </c>
      <c r="B30" s="5" t="n">
        <v>5171093</v>
      </c>
      <c r="C30" s="5" t="n">
        <v>4710644</v>
      </c>
      <c r="D30" s="5" t="n">
        <v>4261681</v>
      </c>
      <c r="E30" s="5" t="n">
        <v>3815267</v>
      </c>
      <c r="F30" s="5" t="n">
        <v>3297318</v>
      </c>
      <c r="G30" s="5" t="n">
        <v>2747659</v>
      </c>
      <c r="H30" s="5" t="n">
        <v>2305254</v>
      </c>
      <c r="I30" s="5" t="n">
        <v>1817689</v>
      </c>
      <c r="J30" s="5" t="n">
        <v>1764400</v>
      </c>
      <c r="K30" s="5" t="n">
        <v>1337120</v>
      </c>
      <c r="L30" s="5" t="n">
        <v>1099043</v>
      </c>
      <c r="M30" s="5" t="n">
        <v>1002827</v>
      </c>
      <c r="N30" s="5" t="n">
        <v>1031254</v>
      </c>
    </row>
    <row r="31">
      <c r="A31" s="5" t="inlineStr">
        <is>
          <t>Equity</t>
        </is>
      </c>
      <c r="B31" s="6" t="n"/>
      <c r="C31" s="6" t="n"/>
      <c r="D31" s="6" t="n"/>
      <c r="E31" s="6" t="n"/>
      <c r="F31" s="6" t="n"/>
      <c r="G31" s="6" t="n"/>
      <c r="H31" s="6" t="n"/>
      <c r="I31" s="6" t="n"/>
      <c r="J31" s="6" t="n"/>
      <c r="K31" s="6" t="n"/>
      <c r="L31" s="6" t="n"/>
      <c r="M31" s="6" t="n"/>
      <c r="N31" s="6" t="n"/>
    </row>
    <row r="32">
      <c r="A32" s="6" t="inlineStr">
        <is>
          <t>Share capital</t>
        </is>
      </c>
      <c r="B32" s="6" t="n">
        <v>202000</v>
      </c>
      <c r="C32" s="6" t="n">
        <v>202000</v>
      </c>
      <c r="D32" s="6" t="n">
        <v>202000</v>
      </c>
      <c r="E32" s="6" t="n">
        <v>202000</v>
      </c>
      <c r="F32" s="6" t="n">
        <v>155000</v>
      </c>
      <c r="G32" s="6" t="n">
        <v>155000</v>
      </c>
      <c r="H32" s="6" t="n">
        <v>146000</v>
      </c>
      <c r="I32" s="6" t="n">
        <v>131000</v>
      </c>
      <c r="J32" s="6" t="n">
        <v>111000</v>
      </c>
      <c r="K32" s="6" t="n">
        <v>65000</v>
      </c>
      <c r="L32" s="6" t="n">
        <v>65000</v>
      </c>
      <c r="M32" s="6" t="n">
        <v>65000</v>
      </c>
      <c r="N32" s="6" t="n">
        <v>65000</v>
      </c>
    </row>
    <row r="33">
      <c r="A33" s="6" t="inlineStr">
        <is>
          <t>Property revaluation reserve</t>
        </is>
      </c>
      <c r="B33" s="6" t="n"/>
      <c r="C33" s="6" t="n">
        <v>505</v>
      </c>
      <c r="D33" s="6" t="n">
        <v>2433</v>
      </c>
      <c r="E33" s="6" t="n">
        <v>3148</v>
      </c>
      <c r="F33" s="6" t="n">
        <v>1674</v>
      </c>
      <c r="G33" s="6" t="n">
        <v>1674</v>
      </c>
      <c r="H33" s="6" t="n">
        <v>2435</v>
      </c>
      <c r="I33" s="6" t="n">
        <v>1306</v>
      </c>
      <c r="J33" s="6" t="n">
        <v>8389</v>
      </c>
      <c r="K33" s="6" t="n">
        <v>8389</v>
      </c>
      <c r="L33" s="6" t="n">
        <v>3332</v>
      </c>
      <c r="M33" s="6" t="n">
        <v>3332</v>
      </c>
      <c r="N33" s="6" t="n"/>
    </row>
    <row r="34">
      <c r="A34" s="6" t="inlineStr">
        <is>
          <t>Accumulated profits</t>
        </is>
      </c>
      <c r="B34" s="6" t="n">
        <v>222240</v>
      </c>
      <c r="C34" s="6" t="n">
        <v>184557</v>
      </c>
      <c r="D34" s="6" t="n">
        <v>145003</v>
      </c>
      <c r="E34" s="6" t="n">
        <v>104490</v>
      </c>
      <c r="F34" s="6" t="n">
        <v>64191</v>
      </c>
      <c r="G34" s="6" t="n">
        <v>39113</v>
      </c>
      <c r="H34" s="6" t="n">
        <v>18215</v>
      </c>
      <c r="I34" s="6" t="n">
        <v>5025</v>
      </c>
      <c r="J34" s="6" t="n">
        <v>-6671</v>
      </c>
      <c r="K34" s="6" t="n">
        <v>-7532</v>
      </c>
      <c r="L34" s="6" t="n">
        <v>1488</v>
      </c>
      <c r="M34" s="6" t="n">
        <v>-2116</v>
      </c>
      <c r="N34" s="6" t="n">
        <v>-5417</v>
      </c>
    </row>
    <row r="35">
      <c r="A35" s="5" t="inlineStr">
        <is>
          <t>Equity attributable to owners of the company</t>
        </is>
      </c>
      <c r="B35" s="5" t="n">
        <v>424240</v>
      </c>
      <c r="C35" s="5" t="n">
        <v>387062</v>
      </c>
      <c r="D35" s="5" t="n">
        <v>349436</v>
      </c>
      <c r="E35" s="5" t="n">
        <v>309638</v>
      </c>
      <c r="F35" s="5" t="n">
        <v>220865</v>
      </c>
      <c r="G35" s="5" t="n">
        <v>195787</v>
      </c>
      <c r="H35" s="5" t="n">
        <v>166650</v>
      </c>
      <c r="I35" s="5" t="n">
        <v>137331</v>
      </c>
      <c r="J35" s="5" t="n">
        <v>112718</v>
      </c>
      <c r="K35" s="5" t="n">
        <v>65857</v>
      </c>
      <c r="L35" s="5" t="n">
        <v>69820</v>
      </c>
      <c r="M35" s="5" t="n">
        <v>66216</v>
      </c>
      <c r="N35" s="5" t="n">
        <v>59583</v>
      </c>
    </row>
    <row r="36">
      <c r="A36" s="6" t="inlineStr">
        <is>
          <t>Non-controlling interest</t>
        </is>
      </c>
      <c r="B36" s="6" t="n">
        <v>1989</v>
      </c>
      <c r="C36" s="6" t="n">
        <v>794</v>
      </c>
      <c r="D36" s="6" t="n">
        <v>114</v>
      </c>
      <c r="E36" s="6" t="n">
        <v>-192</v>
      </c>
      <c r="F36" s="6" t="n">
        <v>-149</v>
      </c>
      <c r="G36" s="6" t="n"/>
      <c r="H36" s="6" t="n"/>
      <c r="I36" s="6" t="n"/>
      <c r="J36" s="6" t="n"/>
      <c r="K36" s="6" t="n"/>
      <c r="L36" s="6" t="n"/>
      <c r="M36" s="6" t="n"/>
      <c r="N36" s="6" t="n"/>
    </row>
    <row r="37">
      <c r="A37" s="5" t="inlineStr">
        <is>
          <t>Total equity</t>
        </is>
      </c>
      <c r="B37" s="5" t="n">
        <v>426229</v>
      </c>
      <c r="C37" s="5" t="n">
        <v>387856</v>
      </c>
      <c r="D37" s="5" t="n">
        <v>349550</v>
      </c>
      <c r="E37" s="5" t="n">
        <v>309446</v>
      </c>
      <c r="F37" s="5" t="n">
        <v>220716</v>
      </c>
      <c r="G37" s="5" t="n">
        <v>195787</v>
      </c>
      <c r="H37" s="5" t="n">
        <v>166650</v>
      </c>
      <c r="I37" s="5" t="n">
        <v>137331</v>
      </c>
      <c r="J37" s="5" t="n">
        <v>112718</v>
      </c>
      <c r="K37" s="5" t="n">
        <v>65857</v>
      </c>
      <c r="L37" s="5" t="n">
        <v>69820</v>
      </c>
      <c r="M37" s="5" t="n">
        <v>66216</v>
      </c>
      <c r="N37" s="5" t="n">
        <v>59583</v>
      </c>
    </row>
    <row r="38">
      <c r="A38" s="5" t="inlineStr">
        <is>
          <t>Total liabilities and equity</t>
        </is>
      </c>
      <c r="B38" s="5" t="n">
        <v>5597322</v>
      </c>
      <c r="C38" s="5" t="n">
        <v>5098500</v>
      </c>
      <c r="D38" s="5" t="n">
        <v>4611231</v>
      </c>
      <c r="E38" s="5" t="n">
        <v>4124713</v>
      </c>
      <c r="F38" s="5" t="n">
        <v>3518034</v>
      </c>
      <c r="G38" s="5" t="n">
        <v>2943446</v>
      </c>
      <c r="H38" s="5" t="n">
        <v>2471904</v>
      </c>
      <c r="I38" s="5" t="n">
        <v>1955020</v>
      </c>
      <c r="J38" s="5" t="n">
        <v>1877118</v>
      </c>
      <c r="K38" s="5" t="n">
        <v>1402977</v>
      </c>
      <c r="L38" s="5" t="n">
        <v>1168863</v>
      </c>
      <c r="M38" s="5" t="n">
        <v>1069043</v>
      </c>
      <c r="N38" s="5" t="n">
        <v>1090837</v>
      </c>
    </row>
    <row r="40" ht="320" customHeight="1">
      <c r="A40"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Comprehensive Income</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328554</v>
      </c>
      <c r="C5" s="6" t="n">
        <v>312777</v>
      </c>
      <c r="D5" s="6" t="n">
        <v>276395</v>
      </c>
      <c r="E5" s="6" t="n">
        <v>167199</v>
      </c>
      <c r="F5" s="6" t="n">
        <v>105716</v>
      </c>
      <c r="G5" s="6" t="n">
        <v>103143</v>
      </c>
      <c r="H5" s="6" t="n">
        <v>78051</v>
      </c>
      <c r="I5" s="6" t="n">
        <v>63667</v>
      </c>
      <c r="J5" s="6" t="n"/>
      <c r="K5" s="6" t="n"/>
      <c r="L5" s="6" t="n"/>
      <c r="M5" s="6" t="n"/>
      <c r="N5" s="6" t="n"/>
    </row>
    <row r="6">
      <c r="A6" s="6" t="inlineStr">
        <is>
          <t>Other interest and similar income/(expense)</t>
        </is>
      </c>
      <c r="B6" s="6" t="n">
        <v>59793</v>
      </c>
      <c r="C6" s="6" t="n">
        <v>57827</v>
      </c>
      <c r="D6" s="6" t="n">
        <v>41559</v>
      </c>
      <c r="E6" s="6" t="n">
        <v>1610</v>
      </c>
      <c r="F6" s="6" t="n">
        <v>-187</v>
      </c>
      <c r="G6" s="6" t="n">
        <v>729</v>
      </c>
      <c r="H6" s="6" t="n">
        <v>4407</v>
      </c>
      <c r="I6" s="6" t="n">
        <v>3565</v>
      </c>
      <c r="J6" s="6" t="n"/>
      <c r="K6" s="6" t="n"/>
      <c r="L6" s="6" t="n"/>
      <c r="M6" s="6" t="n"/>
      <c r="N6" s="6" t="n"/>
    </row>
    <row r="7">
      <c r="A7" s="6" t="inlineStr">
        <is>
          <t>Interest income (FY2013-2017 Company-only presentation, not split into EIM/other)</t>
        </is>
      </c>
      <c r="B7" s="6" t="n"/>
      <c r="C7" s="6" t="n"/>
      <c r="D7" s="6" t="n"/>
      <c r="E7" s="6" t="n"/>
      <c r="F7" s="6" t="n"/>
      <c r="G7" s="6" t="n"/>
      <c r="H7" s="6" t="n"/>
      <c r="I7" s="6" t="n"/>
      <c r="J7" s="6" t="n">
        <v>52715</v>
      </c>
      <c r="K7" s="6" t="n">
        <v>43419</v>
      </c>
      <c r="L7" s="6" t="n">
        <v>33757</v>
      </c>
      <c r="M7" s="6" t="n">
        <v>31070</v>
      </c>
      <c r="N7" s="6" t="n">
        <v>35808</v>
      </c>
    </row>
    <row r="8">
      <c r="A8" s="6" t="inlineStr">
        <is>
          <t>Interest expense calculated using the effective interest method</t>
        </is>
      </c>
      <c r="B8" s="6" t="n">
        <v>-193820</v>
      </c>
      <c r="C8" s="6" t="n">
        <v>-191478</v>
      </c>
      <c r="D8" s="6" t="n">
        <v>-128355</v>
      </c>
      <c r="E8" s="6" t="n">
        <v>-44103</v>
      </c>
      <c r="F8" s="6" t="n">
        <v>-18356</v>
      </c>
      <c r="G8" s="6" t="n">
        <v>-26915</v>
      </c>
      <c r="H8" s="6" t="n">
        <v>-26348</v>
      </c>
      <c r="I8" s="6" t="n">
        <v>-21565</v>
      </c>
      <c r="J8" s="6" t="n"/>
      <c r="K8" s="6" t="n"/>
      <c r="L8" s="6" t="n"/>
      <c r="M8" s="6" t="n"/>
      <c r="N8" s="6" t="n"/>
    </row>
    <row r="9">
      <c r="A9" s="6" t="inlineStr">
        <is>
          <t>Other interest expense</t>
        </is>
      </c>
      <c r="B9" s="6" t="n">
        <v>-61768</v>
      </c>
      <c r="C9" s="6" t="n">
        <v>-48550</v>
      </c>
      <c r="D9" s="6" t="n">
        <v>-34811</v>
      </c>
      <c r="E9" s="6" t="n">
        <v>-1578</v>
      </c>
      <c r="F9" s="6" t="n"/>
      <c r="G9" s="6" t="n"/>
      <c r="H9" s="6" t="n"/>
      <c r="I9" s="6" t="n"/>
      <c r="J9" s="6" t="n"/>
      <c r="K9" s="6" t="n"/>
      <c r="L9" s="6" t="n"/>
      <c r="M9" s="6" t="n"/>
      <c r="N9" s="6" t="n"/>
    </row>
    <row r="10">
      <c r="A10" s="6" t="inlineStr">
        <is>
          <t>Interest expense (FY2013-2017 Company-only presentation, not split into EIM/other)</t>
        </is>
      </c>
      <c r="B10" s="6" t="n"/>
      <c r="C10" s="6" t="n"/>
      <c r="D10" s="6" t="n"/>
      <c r="E10" s="6" t="n"/>
      <c r="F10" s="6" t="n"/>
      <c r="G10" s="6" t="n"/>
      <c r="H10" s="6" t="n"/>
      <c r="I10" s="6" t="n"/>
      <c r="J10" s="6" t="n">
        <v>-15318</v>
      </c>
      <c r="K10" s="6" t="n">
        <v>-16340</v>
      </c>
      <c r="L10" s="6" t="n">
        <v>-14577</v>
      </c>
      <c r="M10" s="6" t="n">
        <v>-16467</v>
      </c>
      <c r="N10" s="6" t="n">
        <v>-23510</v>
      </c>
    </row>
    <row r="11">
      <c r="A11" s="5" t="inlineStr">
        <is>
          <t>Net interest income</t>
        </is>
      </c>
      <c r="B11" s="5" t="n">
        <v>132759</v>
      </c>
      <c r="C11" s="5" t="n">
        <v>130576</v>
      </c>
      <c r="D11" s="5" t="n">
        <v>154788</v>
      </c>
      <c r="E11" s="5" t="n">
        <v>123128</v>
      </c>
      <c r="F11" s="5" t="n">
        <v>87173</v>
      </c>
      <c r="G11" s="5" t="n">
        <v>76957</v>
      </c>
      <c r="H11" s="5" t="n">
        <v>56110</v>
      </c>
      <c r="I11" s="5" t="n">
        <v>45667</v>
      </c>
      <c r="J11" s="5" t="n">
        <v>37397</v>
      </c>
      <c r="K11" s="5" t="n">
        <v>27079</v>
      </c>
      <c r="L11" s="5" t="n">
        <v>19180</v>
      </c>
      <c r="M11" s="5" t="n">
        <v>14603</v>
      </c>
      <c r="N11" s="5" t="n">
        <v>12298</v>
      </c>
    </row>
    <row r="12">
      <c r="A12" s="6" t="inlineStr">
        <is>
          <t>Fee and commission income</t>
        </is>
      </c>
      <c r="B12" s="6" t="n">
        <v>3777</v>
      </c>
      <c r="C12" s="6" t="n">
        <v>3089</v>
      </c>
      <c r="D12" s="6" t="n">
        <v>2606</v>
      </c>
      <c r="E12" s="6" t="n">
        <v>1667</v>
      </c>
      <c r="F12" s="6" t="n">
        <v>1193</v>
      </c>
      <c r="G12" s="6" t="n">
        <v>1814</v>
      </c>
      <c r="H12" s="6" t="n">
        <v>2364</v>
      </c>
      <c r="I12" s="6" t="n">
        <v>2433</v>
      </c>
      <c r="J12" s="6" t="n">
        <v>2360</v>
      </c>
      <c r="K12" s="6" t="n">
        <v>2556</v>
      </c>
      <c r="L12" s="6" t="n">
        <v>4238</v>
      </c>
      <c r="M12" s="6" t="n">
        <v>3590</v>
      </c>
      <c r="N12" s="6" t="n">
        <v>3321</v>
      </c>
    </row>
    <row r="13">
      <c r="A13" s="6" t="inlineStr">
        <is>
          <t>Foreign exchange (losses)/gains</t>
        </is>
      </c>
      <c r="B13" s="6" t="n">
        <v>-677</v>
      </c>
      <c r="C13" s="6" t="n">
        <v>712</v>
      </c>
      <c r="D13" s="6" t="n">
        <v>42</v>
      </c>
      <c r="E13" s="6" t="n">
        <v>-1194</v>
      </c>
      <c r="F13" s="6" t="n">
        <v>1853</v>
      </c>
      <c r="G13" s="6" t="n">
        <v>-1626</v>
      </c>
      <c r="H13" s="6" t="n">
        <v>424</v>
      </c>
      <c r="I13" s="6" t="n">
        <v>285</v>
      </c>
      <c r="J13" s="6" t="n">
        <v>302</v>
      </c>
      <c r="K13" s="6" t="n">
        <v>348</v>
      </c>
      <c r="L13" s="6" t="n">
        <v>372</v>
      </c>
      <c r="M13" s="6" t="n">
        <v>341</v>
      </c>
      <c r="N13" s="6" t="n">
        <v>458</v>
      </c>
    </row>
    <row r="14">
      <c r="A14" s="6" t="inlineStr">
        <is>
          <t>Fair value adjustment/(loss)/gain on hedging or derivative instruments</t>
        </is>
      </c>
      <c r="B14" s="6" t="n">
        <v>544</v>
      </c>
      <c r="C14" s="6" t="n">
        <v>-204</v>
      </c>
      <c r="D14" s="6" t="n">
        <v>2110</v>
      </c>
      <c r="E14" s="6" t="n">
        <v>3983</v>
      </c>
      <c r="F14" s="6" t="n">
        <v>-2190</v>
      </c>
      <c r="G14" s="6" t="n">
        <v>1180</v>
      </c>
      <c r="H14" s="6" t="n">
        <v>100</v>
      </c>
      <c r="I14" s="6" t="n">
        <v>211</v>
      </c>
      <c r="J14" s="6" t="n">
        <v>-38</v>
      </c>
      <c r="K14" s="6" t="n">
        <v>68</v>
      </c>
      <c r="L14" s="6" t="n">
        <v>209</v>
      </c>
      <c r="M14" s="6" t="n">
        <v>185</v>
      </c>
      <c r="N14" s="6" t="n">
        <v>332</v>
      </c>
    </row>
    <row r="15">
      <c r="A15" s="6" t="inlineStr">
        <is>
          <t>Net gains on derecognition of financial assets</t>
        </is>
      </c>
      <c r="B15" s="6" t="n">
        <v>3578</v>
      </c>
      <c r="C15" s="6" t="n"/>
      <c r="D15" s="6" t="n"/>
      <c r="E15" s="6" t="n"/>
      <c r="F15" s="6" t="n"/>
      <c r="G15" s="6" t="n"/>
      <c r="H15" s="6" t="n"/>
      <c r="I15" s="6" t="n"/>
      <c r="J15" s="6" t="n"/>
      <c r="K15" s="6" t="n"/>
      <c r="L15" s="6" t="n"/>
      <c r="M15" s="6" t="n"/>
      <c r="N15" s="6" t="n"/>
    </row>
    <row r="16">
      <c r="A16" s="6" t="inlineStr">
        <is>
          <t>Other income</t>
        </is>
      </c>
      <c r="B16" s="6" t="n">
        <v>504</v>
      </c>
      <c r="C16" s="6" t="n">
        <v>473</v>
      </c>
      <c r="D16" s="6" t="n"/>
      <c r="E16" s="6" t="n"/>
      <c r="F16" s="6" t="n"/>
      <c r="G16" s="6" t="n"/>
      <c r="H16" s="6" t="n"/>
      <c r="I16" s="6" t="n"/>
      <c r="J16" s="6" t="n"/>
      <c r="K16" s="6" t="n"/>
      <c r="L16" s="6" t="n"/>
      <c r="M16" s="6" t="n"/>
      <c r="N16" s="6" t="n"/>
    </row>
    <row r="17">
      <c r="A17" s="5" t="inlineStr">
        <is>
          <t>Total operating income</t>
        </is>
      </c>
      <c r="B17" s="5" t="n">
        <v>140485</v>
      </c>
      <c r="C17" s="5" t="n">
        <v>134646</v>
      </c>
      <c r="D17" s="5" t="n">
        <v>159546</v>
      </c>
      <c r="E17" s="5" t="n">
        <v>127584</v>
      </c>
      <c r="F17" s="5" t="n">
        <v>88029</v>
      </c>
      <c r="G17" s="5" t="n">
        <v>78325</v>
      </c>
      <c r="H17" s="5" t="n">
        <v>58998</v>
      </c>
      <c r="I17" s="5" t="n">
        <v>48596</v>
      </c>
      <c r="J17" s="5" t="n">
        <v>40021</v>
      </c>
      <c r="K17" s="5" t="n">
        <v>30051</v>
      </c>
      <c r="L17" s="5" t="n">
        <v>23999</v>
      </c>
      <c r="M17" s="5" t="n">
        <v>18719</v>
      </c>
      <c r="N17" s="5" t="n">
        <v>16409</v>
      </c>
    </row>
    <row r="18">
      <c r="A18" s="5" t="inlineStr">
        <is>
          <t>Expenses</t>
        </is>
      </c>
      <c r="B18" s="6" t="n"/>
      <c r="C18" s="6" t="n"/>
      <c r="D18" s="6" t="n"/>
      <c r="E18" s="6" t="n"/>
      <c r="F18" s="6" t="n"/>
      <c r="G18" s="6" t="n"/>
      <c r="H18" s="6" t="n"/>
      <c r="I18" s="6" t="n"/>
      <c r="J18" s="6" t="n"/>
      <c r="K18" s="6" t="n"/>
      <c r="L18" s="6" t="n"/>
      <c r="M18" s="6" t="n"/>
      <c r="N18" s="6" t="n"/>
    </row>
    <row r="19">
      <c r="A19" s="6" t="inlineStr">
        <is>
          <t>Staff costs</t>
        </is>
      </c>
      <c r="B19" s="6" t="n">
        <v>-41616</v>
      </c>
      <c r="C19" s="6" t="n">
        <v>-42783</v>
      </c>
      <c r="D19" s="6" t="n">
        <v>-49464</v>
      </c>
      <c r="E19" s="6" t="n">
        <v>-38334</v>
      </c>
      <c r="F19" s="6" t="n">
        <v>-28874</v>
      </c>
      <c r="G19" s="6" t="n">
        <v>-23715</v>
      </c>
      <c r="H19" s="6" t="n">
        <v>-20015</v>
      </c>
      <c r="I19" s="6" t="n">
        <v>-22221</v>
      </c>
      <c r="J19" s="6" t="n">
        <v>-18689</v>
      </c>
      <c r="K19" s="6" t="n">
        <v>-13260</v>
      </c>
      <c r="L19" s="6" t="n">
        <v>-10042</v>
      </c>
      <c r="M19" s="6" t="n">
        <v>-9273</v>
      </c>
      <c r="N19" s="6" t="n">
        <v>-8086</v>
      </c>
    </row>
    <row r="20">
      <c r="A20" s="6" t="inlineStr">
        <is>
          <t>Depreciation, amortisation and impairment/write-offs</t>
        </is>
      </c>
      <c r="B20" s="6" t="n">
        <v>-12516</v>
      </c>
      <c r="C20" s="6" t="n">
        <v>-9766</v>
      </c>
      <c r="D20" s="6" t="n">
        <v>-7072</v>
      </c>
      <c r="E20" s="6" t="n">
        <v>-5758</v>
      </c>
      <c r="F20" s="6" t="n">
        <v>-3447</v>
      </c>
      <c r="G20" s="6" t="n">
        <v>-4446</v>
      </c>
      <c r="H20" s="6" t="n">
        <v>-1274</v>
      </c>
      <c r="I20" s="6" t="n">
        <v>-3382</v>
      </c>
      <c r="J20" s="6" t="n">
        <v>-1509</v>
      </c>
      <c r="K20" s="6" t="n">
        <v>-1426</v>
      </c>
      <c r="L20" s="6" t="n">
        <v>-1491</v>
      </c>
      <c r="M20" s="6" t="n">
        <v>-1453</v>
      </c>
      <c r="N20" s="6" t="n">
        <v>-1453</v>
      </c>
    </row>
    <row r="21">
      <c r="A21" s="6" t="inlineStr">
        <is>
          <t>Other operating expenses</t>
        </is>
      </c>
      <c r="B21" s="6" t="n">
        <v>-35284</v>
      </c>
      <c r="C21" s="6" t="n">
        <v>-28383</v>
      </c>
      <c r="D21" s="6" t="n">
        <v>-43684</v>
      </c>
      <c r="E21" s="6" t="n">
        <v>-33133</v>
      </c>
      <c r="F21" s="6" t="n">
        <v>-19912</v>
      </c>
      <c r="G21" s="6" t="n">
        <v>-18162</v>
      </c>
      <c r="H21" s="6" t="n">
        <v>-14846</v>
      </c>
      <c r="I21" s="6" t="n">
        <v>-16613</v>
      </c>
      <c r="J21" s="6" t="n">
        <v>-14404</v>
      </c>
      <c r="K21" s="6" t="n">
        <v>-9465</v>
      </c>
      <c r="L21" s="6" t="n">
        <v>-8571</v>
      </c>
      <c r="M21" s="6" t="n">
        <v>-7098</v>
      </c>
      <c r="N21" s="6" t="n">
        <v>-5468</v>
      </c>
    </row>
    <row r="22">
      <c r="A22" s="5" t="inlineStr">
        <is>
          <t>Total operating expenses</t>
        </is>
      </c>
      <c r="B22" s="5" t="n">
        <v>-89416</v>
      </c>
      <c r="C22" s="5" t="n">
        <v>-80932</v>
      </c>
      <c r="D22" s="5" t="n">
        <v>-100220</v>
      </c>
      <c r="E22" s="5" t="n">
        <v>-77225</v>
      </c>
      <c r="F22" s="5" t="n">
        <v>-52233</v>
      </c>
      <c r="G22" s="5" t="n">
        <v>-46323</v>
      </c>
      <c r="H22" s="5" t="n">
        <v>-36135</v>
      </c>
      <c r="I22" s="5" t="n">
        <v>-42216</v>
      </c>
      <c r="J22" s="5" t="n">
        <v>-34602</v>
      </c>
      <c r="K22" s="5" t="n">
        <v>-24151</v>
      </c>
      <c r="L22" s="5" t="n">
        <v>-20104</v>
      </c>
      <c r="M22" s="5" t="n">
        <v>-17824</v>
      </c>
      <c r="N22" s="5" t="n">
        <v>-15007</v>
      </c>
    </row>
    <row r="23">
      <c r="A23" s="6" t="inlineStr">
        <is>
          <t>Provision for customer redress</t>
        </is>
      </c>
      <c r="B23" s="6" t="n"/>
      <c r="C23" s="6" t="n"/>
      <c r="D23" s="6" t="n"/>
      <c r="E23" s="6" t="n"/>
      <c r="F23" s="6" t="n"/>
      <c r="G23" s="6" t="n"/>
      <c r="H23" s="6" t="n"/>
      <c r="I23" s="6" t="n"/>
      <c r="J23" s="6" t="n">
        <v>-4000</v>
      </c>
      <c r="K23" s="6" t="n">
        <v>-14910</v>
      </c>
      <c r="L23" s="6" t="n"/>
      <c r="M23" s="6" t="n"/>
      <c r="N23" s="6" t="n"/>
    </row>
    <row r="24">
      <c r="A24" s="6" t="inlineStr">
        <is>
          <t>Other gains</t>
        </is>
      </c>
      <c r="B24" s="6" t="n">
        <v>404</v>
      </c>
      <c r="C24" s="6" t="n">
        <v>1000</v>
      </c>
      <c r="D24" s="6" t="n"/>
      <c r="E24" s="6" t="n"/>
      <c r="F24" s="6" t="n"/>
      <c r="G24" s="6" t="n"/>
      <c r="H24" s="6" t="n"/>
      <c r="I24" s="6" t="n"/>
      <c r="J24" s="6" t="n"/>
      <c r="K24" s="6" t="n"/>
      <c r="L24" s="6" t="n"/>
      <c r="M24" s="6" t="n"/>
      <c r="N24" s="6" t="n"/>
    </row>
    <row r="25">
      <c r="A25" s="6" t="inlineStr">
        <is>
          <t>Gain on sale of property</t>
        </is>
      </c>
      <c r="B25" s="6" t="n"/>
      <c r="C25" s="6" t="n"/>
      <c r="D25" s="6" t="n">
        <v>276</v>
      </c>
      <c r="E25" s="6" t="n">
        <v>9230</v>
      </c>
      <c r="F25" s="6" t="n"/>
      <c r="G25" s="6" t="n"/>
      <c r="H25" s="6" t="n"/>
      <c r="I25" s="6" t="n"/>
      <c r="J25" s="6" t="n"/>
      <c r="K25" s="6" t="n"/>
      <c r="L25" s="6" t="n"/>
      <c r="M25" s="6" t="n"/>
      <c r="N25" s="6" t="n"/>
    </row>
    <row r="26">
      <c r="A26" s="5" t="inlineStr">
        <is>
          <t>Profit before credit impairment reversals/(charges)</t>
        </is>
      </c>
      <c r="B26" s="5" t="n">
        <v>51473</v>
      </c>
      <c r="C26" s="5" t="n">
        <v>54714</v>
      </c>
      <c r="D26" s="5" t="n">
        <v>59602</v>
      </c>
      <c r="E26" s="5" t="n">
        <v>59589</v>
      </c>
      <c r="F26" s="5" t="n">
        <v>35796</v>
      </c>
      <c r="G26" s="5" t="n">
        <v>32002</v>
      </c>
      <c r="H26" s="5" t="n">
        <v>16863</v>
      </c>
      <c r="I26" s="5" t="n">
        <v>6380</v>
      </c>
      <c r="J26" s="5" t="n">
        <v>1419</v>
      </c>
      <c r="K26" s="5" t="n">
        <v>-9010</v>
      </c>
      <c r="L26" s="5" t="n">
        <v>3895</v>
      </c>
      <c r="M26" s="5" t="n">
        <v>895</v>
      </c>
      <c r="N26" s="5" t="n">
        <v>1402</v>
      </c>
    </row>
    <row r="27">
      <c r="A27" s="6" t="inlineStr">
        <is>
          <t>Credit impairment reversals/(charges) on financial assets</t>
        </is>
      </c>
      <c r="B27" s="6" t="n">
        <v>91</v>
      </c>
      <c r="C27" s="6" t="n">
        <v>-2082</v>
      </c>
      <c r="D27" s="6" t="n">
        <v>-4445</v>
      </c>
      <c r="E27" s="6" t="n">
        <v>-9100</v>
      </c>
      <c r="F27" s="6" t="n">
        <v>-5396</v>
      </c>
      <c r="G27" s="6" t="n">
        <v>-4986</v>
      </c>
      <c r="H27" s="6" t="n">
        <v>-292</v>
      </c>
      <c r="I27" s="6" t="n">
        <v>-223</v>
      </c>
      <c r="J27" s="6" t="n">
        <v>497</v>
      </c>
      <c r="K27" s="6" t="n">
        <v>898</v>
      </c>
      <c r="L27" s="6" t="n">
        <v>688</v>
      </c>
      <c r="M27" s="6" t="n">
        <v>3294</v>
      </c>
      <c r="N27" s="6" t="n">
        <v>-1287</v>
      </c>
    </row>
    <row r="28">
      <c r="A28" s="5" t="inlineStr">
        <is>
          <t>Profit before tax</t>
        </is>
      </c>
      <c r="B28" s="5" t="n">
        <v>51564</v>
      </c>
      <c r="C28" s="5" t="n">
        <v>52632</v>
      </c>
      <c r="D28" s="5" t="n">
        <v>55157</v>
      </c>
      <c r="E28" s="5" t="n">
        <v>50489</v>
      </c>
      <c r="F28" s="5" t="n">
        <v>30400</v>
      </c>
      <c r="G28" s="5" t="n">
        <v>27016</v>
      </c>
      <c r="H28" s="5" t="n">
        <v>16571</v>
      </c>
      <c r="I28" s="5" t="n">
        <v>6157</v>
      </c>
      <c r="J28" s="5" t="n">
        <v>1916</v>
      </c>
      <c r="K28" s="5" t="n">
        <v>-8112</v>
      </c>
      <c r="L28" s="5" t="n">
        <v>4583</v>
      </c>
      <c r="M28" s="5" t="n">
        <v>4189</v>
      </c>
      <c r="N28" s="5" t="n">
        <v>115</v>
      </c>
    </row>
    <row r="29">
      <c r="A29" s="6" t="inlineStr">
        <is>
          <t>Income tax expense</t>
        </is>
      </c>
      <c r="B29" s="6" t="n">
        <v>-13624</v>
      </c>
      <c r="C29" s="6" t="n">
        <v>-12398</v>
      </c>
      <c r="D29" s="6" t="n">
        <v>-14544</v>
      </c>
      <c r="E29" s="6" t="n">
        <v>-10233</v>
      </c>
      <c r="F29" s="6" t="n">
        <v>-5471</v>
      </c>
      <c r="G29" s="6" t="n">
        <v>-6188</v>
      </c>
      <c r="H29" s="6" t="n">
        <v>-3052</v>
      </c>
      <c r="I29" s="6" t="n">
        <v>-1557</v>
      </c>
      <c r="J29" s="6" t="n">
        <v>-1055</v>
      </c>
      <c r="K29" s="6" t="n">
        <v>-908</v>
      </c>
      <c r="L29" s="6" t="n">
        <v>-979</v>
      </c>
      <c r="M29" s="6" t="n">
        <v>-888</v>
      </c>
      <c r="N29" s="6" t="n">
        <v>-627</v>
      </c>
    </row>
    <row r="30">
      <c r="A30" s="5" t="inlineStr">
        <is>
          <t>Profit for the year</t>
        </is>
      </c>
      <c r="B30" s="5" t="n">
        <v>37940</v>
      </c>
      <c r="C30" s="5" t="n">
        <v>40234</v>
      </c>
      <c r="D30" s="5" t="n">
        <v>40613</v>
      </c>
      <c r="E30" s="5" t="n">
        <v>40256</v>
      </c>
      <c r="F30" s="5" t="n">
        <v>24929</v>
      </c>
      <c r="G30" s="5" t="n">
        <v>20828</v>
      </c>
      <c r="H30" s="5" t="n">
        <v>13519</v>
      </c>
      <c r="I30" s="5" t="n">
        <v>4600</v>
      </c>
      <c r="J30" s="5" t="n">
        <v>861</v>
      </c>
      <c r="K30" s="5" t="n">
        <v>-9020</v>
      </c>
      <c r="L30" s="5" t="n">
        <v>3604</v>
      </c>
      <c r="M30" s="5" t="n">
        <v>3301</v>
      </c>
      <c r="N30" s="5" t="n">
        <v>-512</v>
      </c>
    </row>
    <row r="31">
      <c r="A31" s="6" t="inlineStr">
        <is>
          <t>Profit attributable to: Owners of the company</t>
        </is>
      </c>
      <c r="B31" s="6" t="n">
        <v>36745</v>
      </c>
      <c r="C31" s="6" t="n">
        <v>39554</v>
      </c>
      <c r="D31" s="6" t="n">
        <v>40307</v>
      </c>
      <c r="E31" s="6" t="n">
        <v>40299</v>
      </c>
      <c r="F31" s="6" t="n">
        <v>25078</v>
      </c>
      <c r="G31" s="6" t="n"/>
      <c r="H31" s="6" t="n"/>
      <c r="I31" s="6" t="n"/>
      <c r="J31" s="6" t="n"/>
      <c r="K31" s="6" t="n"/>
      <c r="L31" s="6" t="n"/>
      <c r="M31" s="6" t="n"/>
      <c r="N31" s="6" t="n"/>
    </row>
    <row r="32">
      <c r="A32" s="6" t="inlineStr">
        <is>
          <t>Profit/(loss) attributable to: Non-controlling interest</t>
        </is>
      </c>
      <c r="B32" s="6" t="n">
        <v>1195</v>
      </c>
      <c r="C32" s="6" t="n">
        <v>680</v>
      </c>
      <c r="D32" s="6" t="n">
        <v>306</v>
      </c>
      <c r="E32" s="6" t="n">
        <v>-43</v>
      </c>
      <c r="F32" s="6" t="n">
        <v>-149</v>
      </c>
      <c r="G32" s="6" t="n"/>
      <c r="H32" s="6" t="n"/>
      <c r="I32" s="6" t="n"/>
      <c r="J32" s="6" t="n"/>
      <c r="K32" s="6" t="n"/>
      <c r="L32" s="6" t="n"/>
      <c r="M32" s="6" t="n"/>
      <c r="N32" s="6" t="n"/>
    </row>
    <row r="33">
      <c r="A33" s="5" t="inlineStr">
        <is>
          <t>Other comprehensive income</t>
        </is>
      </c>
      <c r="B33" s="6" t="n"/>
      <c r="C33" s="6" t="n"/>
      <c r="D33" s="6" t="n"/>
      <c r="E33" s="6" t="n"/>
      <c r="F33" s="6" t="n"/>
      <c r="G33" s="6" t="n"/>
      <c r="H33" s="6" t="n"/>
      <c r="I33" s="6" t="n"/>
      <c r="J33" s="6" t="n"/>
      <c r="K33" s="6" t="n"/>
      <c r="L33" s="6" t="n"/>
      <c r="M33" s="6" t="n"/>
      <c r="N33" s="6" t="n"/>
    </row>
    <row r="34">
      <c r="A34" s="6" t="inlineStr">
        <is>
          <t>Revaluation gain/(loss) on property</t>
        </is>
      </c>
      <c r="B34" s="6" t="n"/>
      <c r="C34" s="6" t="n">
        <v>-2571</v>
      </c>
      <c r="D34" s="6" t="n"/>
      <c r="E34" s="6" t="n">
        <v>1474</v>
      </c>
      <c r="F34" s="6" t="n"/>
      <c r="G34" s="6" t="n">
        <v>-1227</v>
      </c>
      <c r="H34" s="6" t="n">
        <v>1024</v>
      </c>
      <c r="I34" s="6" t="n"/>
      <c r="J34" s="6" t="n"/>
      <c r="K34" s="6" t="n"/>
      <c r="L34" s="6" t="n"/>
      <c r="M34" s="6" t="n">
        <v>3535</v>
      </c>
      <c r="N34" s="6" t="n"/>
    </row>
    <row r="35">
      <c r="A35" s="6" t="inlineStr">
        <is>
          <t>Income tax relating to property revaluation</t>
        </is>
      </c>
      <c r="B35" s="6" t="n"/>
      <c r="C35" s="6" t="n">
        <v>643</v>
      </c>
      <c r="D35" s="6" t="n">
        <v>-509</v>
      </c>
      <c r="E35" s="6" t="n"/>
      <c r="F35" s="6" t="n"/>
      <c r="G35" s="6" t="n">
        <v>536</v>
      </c>
      <c r="H35" s="6" t="n">
        <v>105</v>
      </c>
      <c r="I35" s="6" t="n">
        <v>-83</v>
      </c>
      <c r="J35" s="6" t="n"/>
      <c r="K35" s="6" t="n"/>
      <c r="L35" s="6" t="n"/>
      <c r="M35" s="6" t="n">
        <v>-203</v>
      </c>
      <c r="N35" s="6" t="n"/>
    </row>
    <row r="36">
      <c r="A36" s="5" t="inlineStr">
        <is>
          <t>Other comprehensive income/(expense) for the year, net of tax</t>
        </is>
      </c>
      <c r="B36" s="5" t="n">
        <v>0</v>
      </c>
      <c r="C36" s="5" t="n">
        <v>-1928</v>
      </c>
      <c r="D36" s="5" t="n">
        <v>-509</v>
      </c>
      <c r="E36" s="5" t="n">
        <v>1474</v>
      </c>
      <c r="F36" s="5" t="n">
        <v>0</v>
      </c>
      <c r="G36" s="5" t="n">
        <v>-691</v>
      </c>
      <c r="H36" s="5" t="n">
        <v>1129</v>
      </c>
      <c r="I36" s="5" t="n">
        <v>-83</v>
      </c>
      <c r="J36" s="5" t="n">
        <v>0</v>
      </c>
      <c r="K36" s="5" t="n">
        <v>0</v>
      </c>
      <c r="L36" s="5" t="n">
        <v>0</v>
      </c>
      <c r="M36" s="5" t="n">
        <v>3332</v>
      </c>
      <c r="N36" s="5" t="n">
        <v>0</v>
      </c>
    </row>
    <row r="37">
      <c r="A37" s="5" t="inlineStr">
        <is>
          <t>Total comprehensive income for the year</t>
        </is>
      </c>
      <c r="B37" s="5" t="n">
        <v>37940</v>
      </c>
      <c r="C37" s="5" t="n">
        <v>38306</v>
      </c>
      <c r="D37" s="5" t="n">
        <v>40104</v>
      </c>
      <c r="E37" s="5" t="n">
        <v>41730</v>
      </c>
      <c r="F37" s="5" t="n">
        <v>24929</v>
      </c>
      <c r="G37" s="5" t="n">
        <v>20137</v>
      </c>
      <c r="H37" s="5" t="n">
        <v>14648</v>
      </c>
      <c r="I37" s="5" t="n">
        <v>4517</v>
      </c>
      <c r="J37" s="5" t="n">
        <v>861</v>
      </c>
      <c r="K37" s="5" t="n">
        <v>-9020</v>
      </c>
      <c r="L37" s="5" t="n">
        <v>3604</v>
      </c>
      <c r="M37" s="5" t="n">
        <v>6633</v>
      </c>
      <c r="N37" s="5" t="n">
        <v>-512</v>
      </c>
    </row>
    <row r="39" ht="320" customHeight="1">
      <c r="A39"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39:N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Consolidated Statement of Changes in Equity</t>
        </is>
      </c>
    </row>
    <row r="2">
      <c r="A2" s="2" t="inlineStr">
        <is>
          <t>Consolidated basis, £'000, chronological (oldest to newest). See source note at bottom.</t>
        </is>
      </c>
    </row>
    <row r="3">
      <c r="A3" s="4" t="inlineStr">
        <is>
          <t>Movement</t>
        </is>
      </c>
      <c r="B3" s="4" t="inlineStr">
        <is>
          <t>Share capital</t>
        </is>
      </c>
      <c r="C3" s="4" t="inlineStr">
        <is>
          <t>Property revaluation reserve</t>
        </is>
      </c>
      <c r="D3" s="4" t="inlineStr">
        <is>
          <t>Accumulated profits</t>
        </is>
      </c>
      <c r="E3" s="4" t="inlineStr">
        <is>
          <t>Total attributable to owners</t>
        </is>
      </c>
      <c r="F3" s="4" t="inlineStr">
        <is>
          <t>Non-controlling interest</t>
        </is>
      </c>
      <c r="G3" s="4" t="inlineStr">
        <is>
          <t>Total equity</t>
        </is>
      </c>
    </row>
    <row r="4">
      <c r="A4" s="5" t="inlineStr">
        <is>
          <t>At 1 January 2013</t>
        </is>
      </c>
      <c r="B4" s="5" t="n">
        <v>65000</v>
      </c>
      <c r="C4" s="5" t="n">
        <v>0</v>
      </c>
      <c r="D4" s="5" t="n">
        <v>-4905</v>
      </c>
      <c r="E4" s="5" t="n">
        <v>60095</v>
      </c>
      <c r="F4" s="5" t="n"/>
      <c r="G4" s="5" t="n">
        <v>60095</v>
      </c>
    </row>
    <row r="5">
      <c r="A5" s="6" t="inlineStr">
        <is>
          <t>Total comprehensive loss for the year</t>
        </is>
      </c>
      <c r="B5" s="6" t="n"/>
      <c r="C5" s="6" t="n"/>
      <c r="D5" s="6" t="n">
        <v>-512</v>
      </c>
      <c r="E5" s="6" t="n">
        <v>-512</v>
      </c>
      <c r="F5" s="6" t="n"/>
      <c r="G5" s="6" t="n">
        <v>-512</v>
      </c>
    </row>
    <row r="6">
      <c r="A6" s="5" t="inlineStr">
        <is>
          <t>At 31 December 2013</t>
        </is>
      </c>
      <c r="B6" s="5" t="n">
        <v>65000</v>
      </c>
      <c r="C6" s="5" t="n">
        <v>0</v>
      </c>
      <c r="D6" s="5" t="n">
        <v>-5417</v>
      </c>
      <c r="E6" s="5" t="n">
        <v>59583</v>
      </c>
      <c r="F6" s="5" t="n"/>
      <c r="G6" s="5" t="n">
        <v>59583</v>
      </c>
    </row>
    <row r="7">
      <c r="A7" s="5" t="inlineStr">
        <is>
          <t>At 1 January 2014</t>
        </is>
      </c>
      <c r="B7" s="5" t="n">
        <v>65000</v>
      </c>
      <c r="C7" s="5" t="n">
        <v>0</v>
      </c>
      <c r="D7" s="5" t="n">
        <v>-5417</v>
      </c>
      <c r="E7" s="5" t="n">
        <v>59583</v>
      </c>
      <c r="F7" s="5" t="n"/>
      <c r="G7" s="5" t="n">
        <v>59583</v>
      </c>
    </row>
    <row r="8">
      <c r="A8" s="6" t="inlineStr">
        <is>
          <t>Total comprehensive profit for the year</t>
        </is>
      </c>
      <c r="B8" s="6" t="n"/>
      <c r="C8" s="6" t="n">
        <v>3332</v>
      </c>
      <c r="D8" s="6" t="n">
        <v>3301</v>
      </c>
      <c r="E8" s="6" t="n">
        <v>6633</v>
      </c>
      <c r="F8" s="6" t="n"/>
      <c r="G8" s="6" t="n">
        <v>6633</v>
      </c>
    </row>
    <row r="9">
      <c r="A9" s="5" t="inlineStr">
        <is>
          <t>At 31 December 2014</t>
        </is>
      </c>
      <c r="B9" s="5" t="n">
        <v>65000</v>
      </c>
      <c r="C9" s="5" t="n">
        <v>3332</v>
      </c>
      <c r="D9" s="5" t="n">
        <v>-2116</v>
      </c>
      <c r="E9" s="5" t="n">
        <v>66216</v>
      </c>
      <c r="F9" s="5" t="n"/>
      <c r="G9" s="5" t="n">
        <v>66216</v>
      </c>
    </row>
    <row r="10">
      <c r="A10" s="5" t="inlineStr">
        <is>
          <t>At 1 January 2015</t>
        </is>
      </c>
      <c r="B10" s="5" t="n">
        <v>65000</v>
      </c>
      <c r="C10" s="5" t="n">
        <v>3332</v>
      </c>
      <c r="D10" s="5" t="n">
        <v>-2116</v>
      </c>
      <c r="E10" s="5" t="n">
        <v>66216</v>
      </c>
      <c r="F10" s="5" t="n"/>
      <c r="G10" s="5" t="n">
        <v>66216</v>
      </c>
    </row>
    <row r="11">
      <c r="A11" s="6" t="inlineStr">
        <is>
          <t>Total comprehensive profit for the year</t>
        </is>
      </c>
      <c r="B11" s="6" t="n"/>
      <c r="C11" s="6" t="n"/>
      <c r="D11" s="6" t="n">
        <v>3604</v>
      </c>
      <c r="E11" s="6" t="n">
        <v>3604</v>
      </c>
      <c r="F11" s="6" t="n"/>
      <c r="G11" s="6" t="n">
        <v>3604</v>
      </c>
    </row>
    <row r="12">
      <c r="A12" s="5" t="inlineStr">
        <is>
          <t>At 31 December 2015</t>
        </is>
      </c>
      <c r="B12" s="5" t="n">
        <v>65000</v>
      </c>
      <c r="C12" s="5" t="n">
        <v>3332</v>
      </c>
      <c r="D12" s="5" t="n">
        <v>1488</v>
      </c>
      <c r="E12" s="5" t="n">
        <v>69820</v>
      </c>
      <c r="F12" s="5" t="n"/>
      <c r="G12" s="5" t="n">
        <v>69820</v>
      </c>
    </row>
    <row r="13">
      <c r="A13" s="5" t="inlineStr">
        <is>
          <t>At 1 January 2016</t>
        </is>
      </c>
      <c r="B13" s="5" t="n">
        <v>65000</v>
      </c>
      <c r="C13" s="5" t="n">
        <v>3332</v>
      </c>
      <c r="D13" s="5" t="n">
        <v>1488</v>
      </c>
      <c r="E13" s="5" t="n">
        <v>69820</v>
      </c>
      <c r="F13" s="5" t="n"/>
      <c r="G13" s="5" t="n">
        <v>69820</v>
      </c>
    </row>
    <row r="14">
      <c r="A14" s="6" t="inlineStr">
        <is>
          <t>Total comprehensive (loss)/profit for the year</t>
        </is>
      </c>
      <c r="B14" s="6" t="n"/>
      <c r="C14" s="6" t="n">
        <v>5057</v>
      </c>
      <c r="D14" s="6" t="n">
        <v>-9020</v>
      </c>
      <c r="E14" s="6" t="n">
        <v>-3963</v>
      </c>
      <c r="F14" s="6" t="n"/>
      <c r="G14" s="6" t="n">
        <v>-3963</v>
      </c>
    </row>
    <row r="15">
      <c r="A15" s="5" t="inlineStr">
        <is>
          <t>At 31 December 2016</t>
        </is>
      </c>
      <c r="B15" s="5" t="n">
        <v>65000</v>
      </c>
      <c r="C15" s="5" t="n">
        <v>8389</v>
      </c>
      <c r="D15" s="5" t="n">
        <v>-7532</v>
      </c>
      <c r="E15" s="5" t="n">
        <v>65857</v>
      </c>
      <c r="F15" s="5" t="n"/>
      <c r="G15" s="5" t="n">
        <v>65857</v>
      </c>
    </row>
    <row r="16">
      <c r="A16" s="5" t="inlineStr">
        <is>
          <t>At 1 January 2017</t>
        </is>
      </c>
      <c r="B16" s="5" t="n">
        <v>65000</v>
      </c>
      <c r="C16" s="5" t="n">
        <v>8389</v>
      </c>
      <c r="D16" s="5" t="n">
        <v>-7532</v>
      </c>
      <c r="E16" s="5" t="n">
        <v>65857</v>
      </c>
      <c r="F16" s="5" t="n"/>
      <c r="G16" s="5" t="n">
        <v>65857</v>
      </c>
    </row>
    <row r="17">
      <c r="A17" s="6" t="inlineStr">
        <is>
          <t>Profit for the year after tax</t>
        </is>
      </c>
      <c r="B17" s="6" t="n"/>
      <c r="C17" s="6" t="n"/>
      <c r="D17" s="6" t="n">
        <v>861</v>
      </c>
      <c r="E17" s="6" t="n">
        <v>861</v>
      </c>
      <c r="F17" s="6" t="n"/>
      <c r="G17" s="6" t="n">
        <v>861</v>
      </c>
    </row>
    <row r="18">
      <c r="A18" s="6" t="inlineStr">
        <is>
          <t>Issue of share capital (note 25)</t>
        </is>
      </c>
      <c r="B18" s="6" t="n">
        <v>46000</v>
      </c>
      <c r="C18" s="6" t="n"/>
      <c r="D18" s="6" t="n"/>
      <c r="E18" s="6" t="n">
        <v>46000</v>
      </c>
      <c r="F18" s="6" t="n"/>
      <c r="G18" s="6" t="n">
        <v>46000</v>
      </c>
    </row>
    <row r="19">
      <c r="A19" s="5" t="inlineStr">
        <is>
          <t>At 31 December 2017</t>
        </is>
      </c>
      <c r="B19" s="5" t="n">
        <v>111000</v>
      </c>
      <c r="C19" s="5" t="n">
        <v>8389</v>
      </c>
      <c r="D19" s="5" t="n">
        <v>-6671</v>
      </c>
      <c r="E19" s="5" t="n">
        <v>112718</v>
      </c>
      <c r="F19" s="5" t="n"/>
      <c r="G19" s="5" t="n">
        <v>112718</v>
      </c>
    </row>
    <row r="20">
      <c r="A20" s="5" t="inlineStr">
        <is>
          <t>At 1 January 2018</t>
        </is>
      </c>
      <c r="B20" s="5" t="n">
        <v>111000</v>
      </c>
      <c r="C20" s="5" t="n">
        <v>8389</v>
      </c>
      <c r="D20" s="5" t="n">
        <v>-6671</v>
      </c>
      <c r="E20" s="5" t="n">
        <v>112718</v>
      </c>
      <c r="F20" s="5" t="n"/>
      <c r="G20" s="5" t="n">
        <v>112718</v>
      </c>
    </row>
    <row r="21">
      <c r="A21" s="6" t="inlineStr">
        <is>
          <t>Impact of adopting IFRS 9 (Note 33)</t>
        </is>
      </c>
      <c r="B21" s="6" t="n"/>
      <c r="C21" s="6" t="n"/>
      <c r="D21" s="6" t="n">
        <v>96</v>
      </c>
      <c r="E21" s="6" t="n">
        <v>96</v>
      </c>
      <c r="F21" s="6" t="n"/>
      <c r="G21" s="6" t="n">
        <v>96</v>
      </c>
    </row>
    <row r="22">
      <c r="A22" s="6" t="inlineStr">
        <is>
          <t>Issue of shares by way of capitalisation of revaluation reserve</t>
        </is>
      </c>
      <c r="B22" s="6" t="n">
        <v>7000</v>
      </c>
      <c r="C22" s="6" t="n">
        <v>-7000</v>
      </c>
      <c r="D22" s="6" t="n"/>
      <c r="E22" s="6" t="n"/>
      <c r="F22" s="6" t="n"/>
      <c r="G22" s="6" t="n"/>
    </row>
    <row r="23">
      <c r="A23" s="6" t="inlineStr">
        <is>
          <t>Reduction in share capital</t>
        </is>
      </c>
      <c r="B23" s="6" t="n">
        <v>-7000</v>
      </c>
      <c r="C23" s="6" t="n"/>
      <c r="D23" s="6" t="n">
        <v>7000</v>
      </c>
      <c r="E23" s="6" t="n"/>
      <c r="F23" s="6" t="n"/>
      <c r="G23" s="6" t="n"/>
    </row>
    <row r="24">
      <c r="A24" s="6" t="inlineStr">
        <is>
          <t>Profit for the year after tax</t>
        </is>
      </c>
      <c r="B24" s="6" t="n"/>
      <c r="C24" s="6" t="n"/>
      <c r="D24" s="6" t="n">
        <v>4600</v>
      </c>
      <c r="E24" s="6" t="n">
        <v>4600</v>
      </c>
      <c r="F24" s="6" t="n"/>
      <c r="G24" s="6" t="n">
        <v>4600</v>
      </c>
    </row>
    <row r="25">
      <c r="A25" s="6" t="inlineStr">
        <is>
          <t>Other comprehensive income (tax on property revaluation)</t>
        </is>
      </c>
      <c r="B25" s="6" t="n"/>
      <c r="C25" s="6" t="n">
        <v>-83</v>
      </c>
      <c r="D25" s="6" t="n"/>
      <c r="E25" s="6" t="n">
        <v>-83</v>
      </c>
      <c r="F25" s="6" t="n"/>
      <c r="G25" s="6" t="n">
        <v>-83</v>
      </c>
    </row>
    <row r="26">
      <c r="A26" s="6" t="inlineStr">
        <is>
          <t>Issue of share capital (note 26)</t>
        </is>
      </c>
      <c r="B26" s="6" t="n">
        <v>20000</v>
      </c>
      <c r="C26" s="6" t="n"/>
      <c r="D26" s="6" t="n"/>
      <c r="E26" s="6" t="n">
        <v>20000</v>
      </c>
      <c r="F26" s="6" t="n"/>
      <c r="G26" s="6" t="n">
        <v>20000</v>
      </c>
    </row>
    <row r="27">
      <c r="A27" s="5" t="inlineStr">
        <is>
          <t>At 31 December 2018</t>
        </is>
      </c>
      <c r="B27" s="5" t="n">
        <v>131000</v>
      </c>
      <c r="C27" s="5" t="n">
        <v>1306</v>
      </c>
      <c r="D27" s="5" t="n">
        <v>5025</v>
      </c>
      <c r="E27" s="5" t="n">
        <v>137331</v>
      </c>
      <c r="F27" s="5" t="n"/>
      <c r="G27" s="5" t="n">
        <v>137331</v>
      </c>
    </row>
    <row r="28">
      <c r="A28" s="5" t="inlineStr">
        <is>
          <t>At 1 January 2019</t>
        </is>
      </c>
      <c r="B28" s="5" t="n">
        <v>131000</v>
      </c>
      <c r="C28" s="5" t="n">
        <v>1306</v>
      </c>
      <c r="D28" s="5" t="n">
        <v>5025</v>
      </c>
      <c r="E28" s="5" t="n">
        <v>137331</v>
      </c>
      <c r="F28" s="5" t="n"/>
      <c r="G28" s="5" t="n">
        <v>137331</v>
      </c>
    </row>
    <row r="29">
      <c r="A29" s="6" t="inlineStr">
        <is>
          <t>Impact of adopting IFRS 16 (Note 20)</t>
        </is>
      </c>
      <c r="B29" s="6" t="n"/>
      <c r="C29" s="6" t="n"/>
      <c r="D29" s="6" t="n">
        <v>-29</v>
      </c>
      <c r="E29" s="6" t="n">
        <v>-29</v>
      </c>
      <c r="F29" s="6" t="n"/>
      <c r="G29" s="6" t="n">
        <v>-29</v>
      </c>
    </row>
    <row r="30">
      <c r="A30" s="6" t="inlineStr">
        <is>
          <t>Dividend to Cynergy Capital Ltd</t>
        </is>
      </c>
      <c r="B30" s="6" t="n"/>
      <c r="C30" s="6" t="n"/>
      <c r="D30" s="6" t="n">
        <v>-300</v>
      </c>
      <c r="E30" s="6" t="n">
        <v>-300</v>
      </c>
      <c r="F30" s="6" t="n"/>
      <c r="G30" s="6" t="n">
        <v>-300</v>
      </c>
    </row>
    <row r="31">
      <c r="A31" s="6" t="inlineStr">
        <is>
          <t>Profit for the year after tax</t>
        </is>
      </c>
      <c r="B31" s="6" t="n"/>
      <c r="C31" s="6" t="n"/>
      <c r="D31" s="6" t="n">
        <v>13519</v>
      </c>
      <c r="E31" s="6" t="n">
        <v>13519</v>
      </c>
      <c r="F31" s="6" t="n"/>
      <c r="G31" s="6" t="n">
        <v>13519</v>
      </c>
    </row>
    <row r="32">
      <c r="A32" s="6" t="inlineStr">
        <is>
          <t>Other comprehensive income</t>
        </is>
      </c>
      <c r="B32" s="6" t="n"/>
      <c r="C32" s="6" t="n">
        <v>1129</v>
      </c>
      <c r="D32" s="6" t="n"/>
      <c r="E32" s="6" t="n">
        <v>1129</v>
      </c>
      <c r="F32" s="6" t="n"/>
      <c r="G32" s="6" t="n">
        <v>1129</v>
      </c>
    </row>
    <row r="33">
      <c r="A33" s="6" t="inlineStr">
        <is>
          <t>Issue of share capital (Note 27)</t>
        </is>
      </c>
      <c r="B33" s="6" t="n">
        <v>15000</v>
      </c>
      <c r="C33" s="6" t="n"/>
      <c r="D33" s="6" t="n"/>
      <c r="E33" s="6" t="n">
        <v>15000</v>
      </c>
      <c r="F33" s="6" t="n"/>
      <c r="G33" s="6" t="n">
        <v>15000</v>
      </c>
    </row>
    <row r="34">
      <c r="A34" s="5" t="inlineStr">
        <is>
          <t>At 31 December 2019</t>
        </is>
      </c>
      <c r="B34" s="5" t="n">
        <v>146000</v>
      </c>
      <c r="C34" s="5" t="n">
        <v>2435</v>
      </c>
      <c r="D34" s="5" t="n">
        <v>18215</v>
      </c>
      <c r="E34" s="5" t="n">
        <v>166650</v>
      </c>
      <c r="F34" s="5" t="n"/>
      <c r="G34" s="5" t="n">
        <v>166650</v>
      </c>
    </row>
    <row r="35">
      <c r="A35" s="5" t="inlineStr">
        <is>
          <t>At 1 January 2020</t>
        </is>
      </c>
      <c r="B35" s="5" t="n">
        <v>146000</v>
      </c>
      <c r="C35" s="5" t="n">
        <v>2435</v>
      </c>
      <c r="D35" s="5" t="n">
        <v>18215</v>
      </c>
      <c r="E35" s="5" t="n">
        <v>166650</v>
      </c>
      <c r="F35" s="5" t="n"/>
      <c r="G35" s="5" t="n">
        <v>166650</v>
      </c>
    </row>
    <row r="36">
      <c r="A36" s="6" t="inlineStr">
        <is>
          <t>Profit for the year after tax</t>
        </is>
      </c>
      <c r="B36" s="6" t="n"/>
      <c r="C36" s="6" t="n"/>
      <c r="D36" s="6" t="n">
        <v>20828</v>
      </c>
      <c r="E36" s="6" t="n">
        <v>20828</v>
      </c>
      <c r="F36" s="6" t="n"/>
      <c r="G36" s="6" t="n">
        <v>20828</v>
      </c>
    </row>
    <row r="37">
      <c r="A37" s="6" t="inlineStr">
        <is>
          <t>Other comprehensive expense</t>
        </is>
      </c>
      <c r="B37" s="6" t="n"/>
      <c r="C37" s="6" t="n">
        <v>-761</v>
      </c>
      <c r="D37" s="6" t="n">
        <v>70</v>
      </c>
      <c r="E37" s="6" t="n">
        <v>-691</v>
      </c>
      <c r="F37" s="6" t="n"/>
      <c r="G37" s="6" t="n">
        <v>-691</v>
      </c>
    </row>
    <row r="38">
      <c r="A38" s="6" t="inlineStr">
        <is>
          <t>Issue of share capital (note 27)</t>
        </is>
      </c>
      <c r="B38" s="6" t="n">
        <v>9000</v>
      </c>
      <c r="C38" s="6" t="n"/>
      <c r="D38" s="6" t="n"/>
      <c r="E38" s="6" t="n">
        <v>9000</v>
      </c>
      <c r="F38" s="6" t="n"/>
      <c r="G38" s="6" t="n">
        <v>9000</v>
      </c>
    </row>
    <row r="39">
      <c r="A39" s="5" t="inlineStr">
        <is>
          <t>At 31 December 2020</t>
        </is>
      </c>
      <c r="B39" s="5" t="n">
        <v>155000</v>
      </c>
      <c r="C39" s="5" t="n">
        <v>1674</v>
      </c>
      <c r="D39" s="5" t="n">
        <v>39113</v>
      </c>
      <c r="E39" s="5" t="n">
        <v>195787</v>
      </c>
      <c r="F39" s="5" t="n"/>
      <c r="G39" s="5" t="n">
        <v>195787</v>
      </c>
    </row>
    <row r="40">
      <c r="A40" s="5" t="inlineStr">
        <is>
          <t>At 1 January 2021 (via FY2022 report's own comparative)</t>
        </is>
      </c>
      <c r="B40" s="5" t="n">
        <v>155000</v>
      </c>
      <c r="C40" s="5" t="n">
        <v>1674</v>
      </c>
      <c r="D40" s="5" t="n">
        <v>39113</v>
      </c>
      <c r="E40" s="5" t="n">
        <v>195787</v>
      </c>
      <c r="F40" s="5" t="n">
        <v>0</v>
      </c>
      <c r="G40" s="5" t="n">
        <v>195787</v>
      </c>
    </row>
    <row r="41">
      <c r="A41" s="6" t="inlineStr">
        <is>
          <t>Profit for the year after tax</t>
        </is>
      </c>
      <c r="B41" s="6" t="n"/>
      <c r="C41" s="6" t="n"/>
      <c r="D41" s="6" t="n">
        <v>25078</v>
      </c>
      <c r="E41" s="6" t="n">
        <v>25078</v>
      </c>
      <c r="F41" s="6" t="n">
        <v>-149</v>
      </c>
      <c r="G41" s="6" t="n">
        <v>24929</v>
      </c>
    </row>
    <row r="42">
      <c r="A42" s="5" t="inlineStr">
        <is>
          <t>At 31 December 2021</t>
        </is>
      </c>
      <c r="B42" s="5" t="n">
        <v>155000</v>
      </c>
      <c r="C42" s="5" t="n">
        <v>1674</v>
      </c>
      <c r="D42" s="5" t="n">
        <v>64191</v>
      </c>
      <c r="E42" s="5" t="n">
        <v>220865</v>
      </c>
      <c r="F42" s="5" t="n">
        <v>-149</v>
      </c>
      <c r="G42" s="5" t="n">
        <v>220716</v>
      </c>
    </row>
    <row r="43">
      <c r="A43" s="5" t="inlineStr">
        <is>
          <t>At 1 January 2022</t>
        </is>
      </c>
      <c r="B43" s="5" t="n">
        <v>155000</v>
      </c>
      <c r="C43" s="5" t="n">
        <v>1674</v>
      </c>
      <c r="D43" s="5" t="n">
        <v>64191</v>
      </c>
      <c r="E43" s="5" t="n">
        <v>220865</v>
      </c>
      <c r="F43" s="5" t="n">
        <v>-149</v>
      </c>
      <c r="G43" s="5" t="n">
        <v>220716</v>
      </c>
    </row>
    <row r="44">
      <c r="A44" s="6" t="inlineStr">
        <is>
          <t>Profit/(loss) for the year after tax</t>
        </is>
      </c>
      <c r="B44" s="6" t="n"/>
      <c r="C44" s="6" t="n"/>
      <c r="D44" s="6" t="n">
        <v>40299</v>
      </c>
      <c r="E44" s="6" t="n">
        <v>40299</v>
      </c>
      <c r="F44" s="6" t="n">
        <v>-43</v>
      </c>
      <c r="G44" s="6" t="n">
        <v>40256</v>
      </c>
    </row>
    <row r="45">
      <c r="A45" s="6" t="inlineStr">
        <is>
          <t>Other comprehensive income (revaluation of own properties)</t>
        </is>
      </c>
      <c r="B45" s="6" t="n"/>
      <c r="C45" s="6" t="n">
        <v>1474</v>
      </c>
      <c r="D45" s="6" t="n"/>
      <c r="E45" s="6" t="n">
        <v>1474</v>
      </c>
      <c r="F45" s="6" t="n"/>
      <c r="G45" s="6" t="n">
        <v>1474</v>
      </c>
    </row>
    <row r="46">
      <c r="A46" s="6" t="inlineStr">
        <is>
          <t>Issue of share capital</t>
        </is>
      </c>
      <c r="B46" s="6" t="n">
        <v>47000</v>
      </c>
      <c r="C46" s="6" t="n"/>
      <c r="D46" s="6" t="n"/>
      <c r="E46" s="6" t="n">
        <v>47000</v>
      </c>
      <c r="F46" s="6" t="n"/>
      <c r="G46" s="6" t="n">
        <v>47000</v>
      </c>
    </row>
    <row r="47">
      <c r="A47" s="5" t="inlineStr">
        <is>
          <t>At 31 December 2022</t>
        </is>
      </c>
      <c r="B47" s="5" t="n">
        <v>202000</v>
      </c>
      <c r="C47" s="5" t="n">
        <v>3148</v>
      </c>
      <c r="D47" s="5" t="n">
        <v>104490</v>
      </c>
      <c r="E47" s="5" t="n">
        <v>309638</v>
      </c>
      <c r="F47" s="5" t="n">
        <v>-192</v>
      </c>
      <c r="G47" s="5" t="n">
        <v>309446</v>
      </c>
    </row>
    <row r="48">
      <c r="A48" s="5" t="inlineStr">
        <is>
          <t>At 1 January 2023</t>
        </is>
      </c>
      <c r="B48" s="5" t="n">
        <v>202000</v>
      </c>
      <c r="C48" s="5" t="n">
        <v>3148</v>
      </c>
      <c r="D48" s="5" t="n">
        <v>104490</v>
      </c>
      <c r="E48" s="5" t="n">
        <v>309638</v>
      </c>
      <c r="F48" s="5" t="n">
        <v>-192</v>
      </c>
      <c r="G48" s="5" t="n">
        <v>309446</v>
      </c>
    </row>
    <row r="49">
      <c r="A49" s="6" t="inlineStr">
        <is>
          <t>Profit for the year after tax</t>
        </is>
      </c>
      <c r="B49" s="6" t="n"/>
      <c r="C49" s="6" t="n"/>
      <c r="D49" s="6" t="n">
        <v>40307</v>
      </c>
      <c r="E49" s="6" t="n">
        <v>40307</v>
      </c>
      <c r="F49" s="6" t="n">
        <v>306</v>
      </c>
      <c r="G49" s="6" t="n">
        <v>40613</v>
      </c>
    </row>
    <row r="50">
      <c r="A50" s="6" t="inlineStr">
        <is>
          <t>Other comprehensive income (tax on property revaluation)</t>
        </is>
      </c>
      <c r="B50" s="6" t="n"/>
      <c r="C50" s="6" t="n">
        <v>-509</v>
      </c>
      <c r="D50" s="6" t="n"/>
      <c r="E50" s="6" t="n">
        <v>-509</v>
      </c>
      <c r="F50" s="6" t="n"/>
      <c r="G50" s="6" t="n">
        <v>-509</v>
      </c>
    </row>
    <row r="51">
      <c r="A51" s="6" t="inlineStr">
        <is>
          <t>Transfer from revaluation reserve to retained earnings</t>
        </is>
      </c>
      <c r="B51" s="6" t="n"/>
      <c r="C51" s="6" t="n">
        <v>-206</v>
      </c>
      <c r="D51" s="6" t="n">
        <v>206</v>
      </c>
      <c r="E51" s="6" t="n"/>
      <c r="F51" s="6" t="n"/>
      <c r="G51" s="6" t="n"/>
    </row>
    <row r="52">
      <c r="A52" s="5" t="inlineStr">
        <is>
          <t>At 31 December 2023</t>
        </is>
      </c>
      <c r="B52" s="5" t="n">
        <v>202000</v>
      </c>
      <c r="C52" s="5" t="n">
        <v>2433</v>
      </c>
      <c r="D52" s="5" t="n">
        <v>145003</v>
      </c>
      <c r="E52" s="5" t="n">
        <v>349436</v>
      </c>
      <c r="F52" s="5" t="n">
        <v>114</v>
      </c>
      <c r="G52" s="5" t="n">
        <v>349550</v>
      </c>
    </row>
    <row r="53">
      <c r="A53" s="5" t="inlineStr">
        <is>
          <t>At 1 January 2024</t>
        </is>
      </c>
      <c r="B53" s="5" t="n">
        <v>202000</v>
      </c>
      <c r="C53" s="5" t="n">
        <v>2433</v>
      </c>
      <c r="D53" s="5" t="n">
        <v>145003</v>
      </c>
      <c r="E53" s="5" t="n">
        <v>349436</v>
      </c>
      <c r="F53" s="5" t="n">
        <v>114</v>
      </c>
      <c r="G53" s="5" t="n">
        <v>349550</v>
      </c>
    </row>
    <row r="54">
      <c r="A54" s="6" t="inlineStr">
        <is>
          <t>Profit for the year after tax</t>
        </is>
      </c>
      <c r="B54" s="6" t="n"/>
      <c r="C54" s="6" t="n"/>
      <c r="D54" s="6" t="n">
        <v>39554</v>
      </c>
      <c r="E54" s="6" t="n">
        <v>39554</v>
      </c>
      <c r="F54" s="6" t="n">
        <v>680</v>
      </c>
      <c r="G54" s="6" t="n">
        <v>40234</v>
      </c>
    </row>
    <row r="55">
      <c r="A55" s="6" t="inlineStr">
        <is>
          <t>Other comprehensive income (revaluation loss on property, net of tax)</t>
        </is>
      </c>
      <c r="B55" s="6" t="n"/>
      <c r="C55" s="6" t="n">
        <v>-1928</v>
      </c>
      <c r="D55" s="6" t="n"/>
      <c r="E55" s="6" t="n">
        <v>-1928</v>
      </c>
      <c r="F55" s="6" t="n"/>
      <c r="G55" s="6" t="n">
        <v>-1928</v>
      </c>
    </row>
    <row r="56">
      <c r="A56" s="5" t="inlineStr">
        <is>
          <t>At 31 December 2024</t>
        </is>
      </c>
      <c r="B56" s="5" t="n">
        <v>202000</v>
      </c>
      <c r="C56" s="5" t="n">
        <v>505</v>
      </c>
      <c r="D56" s="5" t="n">
        <v>184557</v>
      </c>
      <c r="E56" s="5" t="n">
        <v>387062</v>
      </c>
      <c r="F56" s="5" t="n">
        <v>794</v>
      </c>
      <c r="G56" s="5" t="n">
        <v>387856</v>
      </c>
    </row>
    <row r="57">
      <c r="A57" s="5" t="inlineStr">
        <is>
          <t>At 1 January 2025</t>
        </is>
      </c>
      <c r="B57" s="5" t="n">
        <v>202000</v>
      </c>
      <c r="C57" s="5" t="n">
        <v>505</v>
      </c>
      <c r="D57" s="5" t="n">
        <v>184557</v>
      </c>
      <c r="E57" s="5" t="n">
        <v>387062</v>
      </c>
      <c r="F57" s="5" t="n">
        <v>794</v>
      </c>
      <c r="G57" s="5" t="n">
        <v>387856</v>
      </c>
    </row>
    <row r="58">
      <c r="A58" s="6" t="inlineStr">
        <is>
          <t>Profit for the year after tax</t>
        </is>
      </c>
      <c r="B58" s="6" t="n"/>
      <c r="C58" s="6" t="n"/>
      <c r="D58" s="6" t="n">
        <v>36745</v>
      </c>
      <c r="E58" s="6" t="n">
        <v>36745</v>
      </c>
      <c r="F58" s="6" t="n">
        <v>1195</v>
      </c>
      <c r="G58" s="6" t="n">
        <v>37940</v>
      </c>
    </row>
    <row r="59">
      <c r="A59" s="6" t="inlineStr">
        <is>
          <t>Transfer and tax release on disposal of revalued asset</t>
        </is>
      </c>
      <c r="B59" s="6" t="n"/>
      <c r="C59" s="6" t="n">
        <v>-505</v>
      </c>
      <c r="D59" s="6" t="n">
        <v>938</v>
      </c>
      <c r="E59" s="6" t="n">
        <v>433</v>
      </c>
      <c r="F59" s="6" t="n"/>
      <c r="G59" s="6" t="n">
        <v>433</v>
      </c>
    </row>
    <row r="60">
      <c r="A60" s="5" t="inlineStr">
        <is>
          <t>At 31 December 2025</t>
        </is>
      </c>
      <c r="B60" s="5" t="n">
        <v>202000</v>
      </c>
      <c r="C60" s="5" t="n">
        <v>0</v>
      </c>
      <c r="D60" s="5" t="n">
        <v>222240</v>
      </c>
      <c r="E60" s="5" t="n">
        <v>424240</v>
      </c>
      <c r="F60" s="5" t="n">
        <v>1989</v>
      </c>
      <c r="G60" s="5" t="n">
        <v>426229</v>
      </c>
    </row>
    <row r="62" ht="320" customHeight="1">
      <c r="A62"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62:G6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Operating activities</t>
        </is>
      </c>
      <c r="B4" s="6" t="n"/>
      <c r="C4" s="6" t="n"/>
      <c r="D4" s="6" t="n"/>
      <c r="E4" s="6" t="n"/>
      <c r="F4" s="6" t="n"/>
      <c r="G4" s="6" t="n"/>
      <c r="H4" s="6" t="n"/>
      <c r="I4" s="6" t="n"/>
      <c r="J4" s="6" t="n"/>
      <c r="K4" s="6" t="n"/>
      <c r="L4" s="6" t="n"/>
      <c r="M4" s="6" t="n"/>
      <c r="N4" s="6" t="n"/>
    </row>
    <row r="5">
      <c r="A5" s="6" t="inlineStr">
        <is>
          <t>Profit before tax</t>
        </is>
      </c>
      <c r="B5" s="6" t="n">
        <v>51564</v>
      </c>
      <c r="C5" s="6" t="n">
        <v>52632</v>
      </c>
      <c r="D5" s="6" t="n">
        <v>55157</v>
      </c>
      <c r="E5" s="6" t="n">
        <v>50489</v>
      </c>
      <c r="F5" s="6" t="n">
        <v>30400</v>
      </c>
      <c r="G5" s="6" t="n">
        <v>27016</v>
      </c>
      <c r="H5" s="6" t="n">
        <v>16571</v>
      </c>
      <c r="I5" s="6" t="n">
        <v>6157</v>
      </c>
      <c r="J5" s="6" t="n">
        <v>1916</v>
      </c>
      <c r="K5" s="6" t="n">
        <v>-8112</v>
      </c>
      <c r="L5" s="6" t="n">
        <v>4583</v>
      </c>
      <c r="M5" s="6" t="n">
        <v>4189</v>
      </c>
      <c r="N5" s="6" t="n">
        <v>115</v>
      </c>
    </row>
    <row r="6">
      <c r="A6" s="6" t="inlineStr">
        <is>
          <t>Credit impairment charges/(reversals) on financial assets</t>
        </is>
      </c>
      <c r="B6" s="6" t="n">
        <v>-91</v>
      </c>
      <c r="C6" s="6" t="n">
        <v>2082</v>
      </c>
      <c r="D6" s="6" t="n">
        <v>4445</v>
      </c>
      <c r="E6" s="6" t="n">
        <v>9100</v>
      </c>
      <c r="F6" s="6" t="n">
        <v>5396</v>
      </c>
      <c r="G6" s="6" t="n">
        <v>4986</v>
      </c>
      <c r="H6" s="6" t="n">
        <v>292</v>
      </c>
      <c r="I6" s="6" t="n">
        <v>223</v>
      </c>
      <c r="J6" s="6" t="n">
        <v>-497</v>
      </c>
      <c r="K6" s="6" t="n">
        <v>-898</v>
      </c>
      <c r="L6" s="6" t="n">
        <v>-688</v>
      </c>
      <c r="M6" s="6" t="n">
        <v>-3294</v>
      </c>
      <c r="N6" s="6" t="n">
        <v>1287</v>
      </c>
    </row>
    <row r="7">
      <c r="A7" s="6" t="inlineStr">
        <is>
          <t>Depreciation of property, equipment and right-of-use assets</t>
        </is>
      </c>
      <c r="B7" s="6" t="n">
        <v>2028</v>
      </c>
      <c r="C7" s="6" t="n">
        <v>2197</v>
      </c>
      <c r="D7" s="6" t="n">
        <v>1730</v>
      </c>
      <c r="E7" s="6" t="n">
        <v>378</v>
      </c>
      <c r="F7" s="6" t="n">
        <v>1018</v>
      </c>
      <c r="G7" s="6" t="n">
        <v>1301</v>
      </c>
      <c r="H7" s="6" t="n">
        <v>773</v>
      </c>
      <c r="I7" s="6" t="n">
        <v>1036</v>
      </c>
      <c r="J7" s="6" t="n">
        <v>940</v>
      </c>
      <c r="K7" s="6" t="n">
        <v>969</v>
      </c>
      <c r="L7" s="6" t="n">
        <v>1085</v>
      </c>
      <c r="M7" s="6" t="n">
        <v>1087</v>
      </c>
      <c r="N7" s="6" t="n">
        <v>1123</v>
      </c>
    </row>
    <row r="8">
      <c r="A8" s="6" t="inlineStr">
        <is>
          <t>Amortisation of intangible assets</t>
        </is>
      </c>
      <c r="B8" s="6" t="n">
        <v>9891</v>
      </c>
      <c r="C8" s="6" t="n">
        <v>7264</v>
      </c>
      <c r="D8" s="6" t="n">
        <v>4636</v>
      </c>
      <c r="E8" s="6" t="n">
        <v>3876</v>
      </c>
      <c r="F8" s="6" t="n">
        <v>2429</v>
      </c>
      <c r="G8" s="6" t="n">
        <v>3070</v>
      </c>
      <c r="H8" s="6" t="n">
        <v>501</v>
      </c>
      <c r="I8" s="6" t="n">
        <v>643</v>
      </c>
      <c r="J8" s="6" t="n">
        <v>569</v>
      </c>
      <c r="K8" s="6" t="n">
        <v>457</v>
      </c>
      <c r="L8" s="6" t="n">
        <v>406</v>
      </c>
      <c r="M8" s="6" t="n">
        <v>366</v>
      </c>
      <c r="N8" s="6" t="n">
        <v>330</v>
      </c>
    </row>
    <row r="9">
      <c r="A9" s="6" t="inlineStr">
        <is>
          <t>Write-off/impairment of fixed and intangible assets</t>
        </is>
      </c>
      <c r="B9" s="6" t="n">
        <v>597</v>
      </c>
      <c r="C9" s="6" t="n">
        <v>305</v>
      </c>
      <c r="D9" s="6" t="n">
        <v>706</v>
      </c>
      <c r="E9" s="6" t="n">
        <v>1215</v>
      </c>
      <c r="F9" s="6" t="n"/>
      <c r="G9" s="6" t="n">
        <v>77</v>
      </c>
      <c r="H9" s="6" t="n"/>
      <c r="I9" s="6" t="n">
        <v>1703</v>
      </c>
      <c r="J9" s="6" t="n"/>
      <c r="K9" s="6" t="n"/>
      <c r="L9" s="6" t="n"/>
      <c r="M9" s="6" t="n"/>
      <c r="N9" s="6" t="n"/>
    </row>
    <row r="10">
      <c r="A10" s="6" t="inlineStr">
        <is>
          <t>Gain on disposal of property</t>
        </is>
      </c>
      <c r="B10" s="6" t="n"/>
      <c r="C10" s="6" t="n"/>
      <c r="D10" s="6" t="n"/>
      <c r="E10" s="6" t="n">
        <v>-9230</v>
      </c>
      <c r="F10" s="6" t="n"/>
      <c r="G10" s="6" t="n">
        <v>-30</v>
      </c>
      <c r="H10" s="6" t="n"/>
      <c r="I10" s="6" t="n"/>
      <c r="J10" s="6" t="n"/>
      <c r="K10" s="6" t="n"/>
      <c r="L10" s="6" t="n"/>
      <c r="M10" s="6" t="n"/>
      <c r="N10" s="6" t="n"/>
    </row>
    <row r="11">
      <c r="A11" s="6" t="inlineStr">
        <is>
          <t>Deferred gain on disposal of property</t>
        </is>
      </c>
      <c r="B11" s="6" t="n"/>
      <c r="C11" s="6" t="n"/>
      <c r="D11" s="6" t="n">
        <v>-276</v>
      </c>
      <c r="E11" s="6" t="n">
        <v>-277</v>
      </c>
      <c r="F11" s="6" t="n"/>
      <c r="G11" s="6" t="n"/>
      <c r="H11" s="6" t="n"/>
      <c r="I11" s="6" t="n"/>
      <c r="J11" s="6" t="n"/>
      <c r="K11" s="6" t="n"/>
      <c r="L11" s="6" t="n"/>
      <c r="M11" s="6" t="n"/>
      <c r="N11" s="6" t="n"/>
    </row>
    <row r="12">
      <c r="A12" s="6" t="inlineStr">
        <is>
          <t>Other gains</t>
        </is>
      </c>
      <c r="B12" s="6" t="n">
        <v>-404</v>
      </c>
      <c r="C12" s="6" t="n">
        <v>-1000</v>
      </c>
      <c r="D12" s="6" t="n"/>
      <c r="E12" s="6" t="n"/>
      <c r="F12" s="6" t="n"/>
      <c r="G12" s="6" t="n"/>
      <c r="H12" s="6" t="n"/>
      <c r="I12" s="6" t="n"/>
      <c r="J12" s="6" t="n"/>
      <c r="K12" s="6" t="n"/>
      <c r="L12" s="6" t="n"/>
      <c r="M12" s="6" t="n"/>
      <c r="N12" s="6" t="n"/>
    </row>
    <row r="13">
      <c r="A13" s="6" t="inlineStr">
        <is>
          <t>Net gains on derecognition of financial assets</t>
        </is>
      </c>
      <c r="B13" s="6" t="n">
        <v>-3578</v>
      </c>
      <c r="C13" s="6" t="n"/>
      <c r="D13" s="6" t="n"/>
      <c r="E13" s="6" t="n"/>
      <c r="F13" s="6" t="n"/>
      <c r="G13" s="6" t="n"/>
      <c r="H13" s="6" t="n"/>
      <c r="I13" s="6" t="n"/>
      <c r="J13" s="6" t="n"/>
      <c r="K13" s="6" t="n"/>
      <c r="L13" s="6" t="n"/>
      <c r="M13" s="6" t="n"/>
      <c r="N13" s="6" t="n"/>
    </row>
    <row r="14">
      <c r="A14" s="6" t="inlineStr">
        <is>
          <t>Dissolution of subsidiary</t>
        </is>
      </c>
      <c r="B14" s="6" t="n"/>
      <c r="C14" s="6" t="n"/>
      <c r="D14" s="6" t="n"/>
      <c r="E14" s="6" t="n"/>
      <c r="F14" s="6" t="n"/>
      <c r="G14" s="6" t="n">
        <v>10</v>
      </c>
      <c r="H14" s="6" t="n"/>
      <c r="I14" s="6" t="n"/>
      <c r="J14" s="6" t="n"/>
      <c r="K14" s="6" t="n"/>
      <c r="L14" s="6" t="n"/>
      <c r="M14" s="6" t="n"/>
      <c r="N14" s="6" t="n"/>
    </row>
    <row r="15">
      <c r="A15" s="6" t="inlineStr">
        <is>
          <t>Collection of previously written off debt</t>
        </is>
      </c>
      <c r="B15" s="6" t="n"/>
      <c r="C15" s="6" t="n"/>
      <c r="D15" s="6" t="n"/>
      <c r="E15" s="6" t="n"/>
      <c r="F15" s="6" t="n"/>
      <c r="G15" s="6" t="n"/>
      <c r="H15" s="6" t="n"/>
      <c r="I15" s="6" t="n"/>
      <c r="J15" s="6" t="n">
        <v>249</v>
      </c>
      <c r="K15" s="6" t="n"/>
      <c r="L15" s="6" t="n"/>
      <c r="M15" s="6" t="n"/>
      <c r="N15" s="6" t="n"/>
    </row>
    <row r="16">
      <c r="A16" s="6" t="inlineStr">
        <is>
          <t>Lease interest</t>
        </is>
      </c>
      <c r="B16" s="6" t="n">
        <v>877</v>
      </c>
      <c r="C16" s="6" t="n">
        <v>946</v>
      </c>
      <c r="D16" s="6" t="n">
        <v>937</v>
      </c>
      <c r="E16" s="6" t="n">
        <v>81</v>
      </c>
      <c r="F16" s="6" t="n">
        <v>29</v>
      </c>
      <c r="G16" s="6" t="n">
        <v>18</v>
      </c>
      <c r="H16" s="6" t="n">
        <v>8</v>
      </c>
      <c r="I16" s="6" t="n"/>
      <c r="J16" s="6" t="n"/>
      <c r="K16" s="6" t="n"/>
      <c r="L16" s="6" t="n"/>
      <c r="M16" s="6" t="n"/>
      <c r="N16" s="6" t="n"/>
    </row>
    <row r="17">
      <c r="A17" s="6" t="inlineStr">
        <is>
          <t>Interest expense on subordinated loan(s)</t>
        </is>
      </c>
      <c r="B17" s="6" t="n">
        <v>4218</v>
      </c>
      <c r="C17" s="6" t="n">
        <v>1851</v>
      </c>
      <c r="D17" s="6" t="n">
        <v>783</v>
      </c>
      <c r="E17" s="6" t="n">
        <v>2328</v>
      </c>
      <c r="F17" s="6" t="n">
        <v>2400</v>
      </c>
      <c r="G17" s="6" t="n">
        <v>2406</v>
      </c>
      <c r="H17" s="6" t="n">
        <v>2400</v>
      </c>
      <c r="I17" s="6" t="n">
        <v>2500</v>
      </c>
      <c r="J17" s="6" t="n">
        <v>949</v>
      </c>
      <c r="K17" s="6" t="n">
        <v>2264</v>
      </c>
      <c r="L17" s="6" t="n">
        <v>2272</v>
      </c>
      <c r="M17" s="6" t="n">
        <v>2262</v>
      </c>
      <c r="N17" s="6" t="n">
        <v>2262</v>
      </c>
    </row>
    <row r="18">
      <c r="A18" s="6" t="inlineStr">
        <is>
          <t>Interest income on asset-backed securities (accrual adjustment)</t>
        </is>
      </c>
      <c r="B18" s="6" t="n">
        <v>-21020</v>
      </c>
      <c r="C18" s="6" t="n">
        <v>-11703</v>
      </c>
      <c r="D18" s="6" t="n">
        <v>-5667</v>
      </c>
      <c r="E18" s="6" t="n">
        <v>-2570</v>
      </c>
      <c r="F18" s="6" t="n">
        <v>-76</v>
      </c>
      <c r="G18" s="6" t="n"/>
      <c r="H18" s="6" t="n"/>
      <c r="I18" s="6" t="n"/>
      <c r="J18" s="6" t="n"/>
      <c r="K18" s="6" t="n"/>
      <c r="L18" s="6" t="n"/>
      <c r="M18" s="6" t="n"/>
      <c r="N18" s="6" t="n"/>
    </row>
    <row r="19">
      <c r="A19" s="6" t="inlineStr">
        <is>
          <t>Amortisation of issuance costs relating to subordinated loan(s)</t>
        </is>
      </c>
      <c r="B19" s="6" t="n">
        <v>-76</v>
      </c>
      <c r="C19" s="6" t="n">
        <v>34</v>
      </c>
      <c r="D19" s="6" t="n">
        <v>21</v>
      </c>
      <c r="E19" s="6" t="n"/>
      <c r="F19" s="6" t="n">
        <v>125</v>
      </c>
      <c r="G19" s="6" t="n">
        <v>115</v>
      </c>
      <c r="H19" s="6" t="n">
        <v>105</v>
      </c>
      <c r="I19" s="6" t="n">
        <v>100</v>
      </c>
      <c r="J19" s="6" t="n"/>
      <c r="K19" s="6" t="n"/>
      <c r="L19" s="6" t="n"/>
      <c r="M19" s="6" t="n"/>
      <c r="N19" s="6" t="n"/>
    </row>
    <row r="20">
      <c r="A20" s="6" t="inlineStr">
        <is>
          <t>Interest paid on lease liabilities (accrual adjustment)</t>
        </is>
      </c>
      <c r="B20" s="6" t="n">
        <v>-839</v>
      </c>
      <c r="C20" s="6" t="n"/>
      <c r="D20" s="6" t="n"/>
      <c r="E20" s="6" t="n"/>
      <c r="F20" s="6" t="n"/>
      <c r="G20" s="6" t="n"/>
      <c r="H20" s="6" t="n"/>
      <c r="I20" s="6" t="n"/>
      <c r="J20" s="6" t="n"/>
      <c r="K20" s="6" t="n"/>
      <c r="L20" s="6" t="n"/>
      <c r="M20" s="6" t="n"/>
      <c r="N20" s="6" t="n"/>
    </row>
    <row r="21">
      <c r="A21" s="6" t="inlineStr">
        <is>
          <t>Tax paid</t>
        </is>
      </c>
      <c r="B21" s="6" t="n">
        <v>-13475</v>
      </c>
      <c r="C21" s="6" t="n">
        <v>-6580</v>
      </c>
      <c r="D21" s="6" t="n">
        <v>-17052</v>
      </c>
      <c r="E21" s="6" t="n">
        <v>-9937</v>
      </c>
      <c r="F21" s="6" t="n">
        <v>-6409</v>
      </c>
      <c r="G21" s="6" t="n">
        <v>-5255</v>
      </c>
      <c r="H21" s="6" t="n">
        <v>-2087</v>
      </c>
      <c r="I21" s="6" t="n">
        <v>-1613</v>
      </c>
      <c r="J21" s="6" t="n">
        <v>-820</v>
      </c>
      <c r="K21" s="6" t="n">
        <v>998</v>
      </c>
      <c r="L21" s="6" t="n">
        <v>407</v>
      </c>
      <c r="M21" s="6" t="n">
        <v>0</v>
      </c>
      <c r="N21" s="6" t="n">
        <v>-382</v>
      </c>
    </row>
    <row r="22">
      <c r="A22" s="6" t="inlineStr">
        <is>
          <t>Foreign exchange losses/(gains)</t>
        </is>
      </c>
      <c r="B22" s="6" t="n">
        <v>677</v>
      </c>
      <c r="C22" s="6" t="n">
        <v>-711</v>
      </c>
      <c r="D22" s="6" t="n">
        <v>-42</v>
      </c>
      <c r="E22" s="6" t="n">
        <v>977</v>
      </c>
      <c r="F22" s="6" t="n">
        <v>68</v>
      </c>
      <c r="G22" s="6" t="n"/>
      <c r="H22" s="6" t="n">
        <v>-424</v>
      </c>
      <c r="I22" s="6" t="n">
        <v>-285</v>
      </c>
      <c r="J22" s="6" t="n">
        <v>-302</v>
      </c>
      <c r="K22" s="6" t="n"/>
      <c r="L22" s="6" t="n"/>
      <c r="M22" s="6" t="n"/>
      <c r="N22" s="6" t="n"/>
    </row>
    <row r="23">
      <c r="A23" s="6" t="inlineStr">
        <is>
          <t>Foreign exchange and fair value losses/(gains) on derivative instruments (combined, as reported)</t>
        </is>
      </c>
      <c r="B23" s="6" t="n"/>
      <c r="C23" s="6" t="n"/>
      <c r="D23" s="6" t="n"/>
      <c r="E23" s="6" t="n"/>
      <c r="F23" s="6" t="n"/>
      <c r="G23" s="6" t="n">
        <v>446</v>
      </c>
      <c r="H23" s="6" t="n"/>
      <c r="I23" s="6" t="n"/>
      <c r="J23" s="6" t="n"/>
      <c r="K23" s="6" t="n"/>
      <c r="L23" s="6" t="n"/>
      <c r="M23" s="6" t="n"/>
      <c r="N23" s="6" t="n"/>
    </row>
    <row r="24">
      <c r="A24" s="6" t="inlineStr">
        <is>
          <t>Fair value (gains)/losses on derivative/hedging instruments</t>
        </is>
      </c>
      <c r="B24" s="6" t="n">
        <v>-544</v>
      </c>
      <c r="C24" s="6" t="n">
        <v>204</v>
      </c>
      <c r="D24" s="6" t="n">
        <v>-2111</v>
      </c>
      <c r="E24" s="6" t="n">
        <v>-3983</v>
      </c>
      <c r="F24" s="6" t="n"/>
      <c r="G24" s="6" t="n"/>
      <c r="H24" s="6" t="n"/>
      <c r="I24" s="6" t="n"/>
      <c r="J24" s="6" t="n"/>
      <c r="K24" s="6" t="n"/>
      <c r="L24" s="6" t="n"/>
      <c r="M24" s="6" t="n"/>
      <c r="N24" s="6" t="n"/>
    </row>
    <row r="25">
      <c r="A25" s="5" t="inlineStr">
        <is>
          <t>Changes in operating assets</t>
        </is>
      </c>
      <c r="B25" s="6" t="n"/>
      <c r="C25" s="6" t="n"/>
      <c r="D25" s="6" t="n"/>
      <c r="E25" s="6" t="n"/>
      <c r="F25" s="6" t="n"/>
      <c r="G25" s="6" t="n"/>
      <c r="H25" s="6" t="n"/>
      <c r="I25" s="6" t="n"/>
      <c r="J25" s="6" t="n"/>
      <c r="K25" s="6" t="n"/>
      <c r="L25" s="6" t="n"/>
      <c r="M25" s="6" t="n"/>
      <c r="N25" s="6" t="n"/>
    </row>
    <row r="26">
      <c r="A26" s="6" t="inlineStr">
        <is>
          <t>Mandatory deposits with central bank</t>
        </is>
      </c>
      <c r="B26" s="6" t="n">
        <v>0</v>
      </c>
      <c r="C26" s="6" t="n">
        <v>9348</v>
      </c>
      <c r="D26" s="6" t="n">
        <v>-549</v>
      </c>
      <c r="E26" s="6" t="n">
        <v>-1576</v>
      </c>
      <c r="F26" s="6" t="n">
        <v>-1491</v>
      </c>
      <c r="G26" s="6" t="n">
        <v>-1969</v>
      </c>
      <c r="H26" s="6" t="n">
        <v>-1081</v>
      </c>
      <c r="I26" s="6" t="n">
        <v>-1621</v>
      </c>
      <c r="J26" s="6" t="n">
        <v>-464</v>
      </c>
      <c r="K26" s="6" t="n">
        <v>-258</v>
      </c>
      <c r="L26" s="6" t="n"/>
      <c r="M26" s="6" t="n">
        <v>0</v>
      </c>
      <c r="N26" s="6" t="n"/>
    </row>
    <row r="27">
      <c r="A27" s="6" t="inlineStr">
        <is>
          <t>Loans and advances to customers</t>
        </is>
      </c>
      <c r="B27" s="6" t="n">
        <v>-545166</v>
      </c>
      <c r="C27" s="6" t="n">
        <v>-90320</v>
      </c>
      <c r="D27" s="6" t="n">
        <v>-313908</v>
      </c>
      <c r="E27" s="6" t="n">
        <v>-313752</v>
      </c>
      <c r="F27" s="6" t="n">
        <v>-341012</v>
      </c>
      <c r="G27" s="6" t="n">
        <v>-354567</v>
      </c>
      <c r="H27" s="6" t="n">
        <v>-595750</v>
      </c>
      <c r="I27" s="6" t="n">
        <v>-261849</v>
      </c>
      <c r="J27" s="6" t="n">
        <v>-323808</v>
      </c>
      <c r="K27" s="6" t="n">
        <v>-259271</v>
      </c>
      <c r="L27" s="6" t="n">
        <v>-201878</v>
      </c>
      <c r="M27" s="6" t="n">
        <v>-64908</v>
      </c>
      <c r="N27" s="6" t="n">
        <v>69283</v>
      </c>
    </row>
    <row r="28">
      <c r="A28" s="6" t="inlineStr">
        <is>
          <t>Other assets</t>
        </is>
      </c>
      <c r="B28" s="6" t="n">
        <v>-11434</v>
      </c>
      <c r="C28" s="6" t="n">
        <v>38737</v>
      </c>
      <c r="D28" s="6" t="n">
        <v>-41284</v>
      </c>
      <c r="E28" s="6" t="n">
        <v>-23449</v>
      </c>
      <c r="F28" s="6" t="n">
        <v>-225</v>
      </c>
      <c r="G28" s="6" t="n">
        <v>1647</v>
      </c>
      <c r="H28" s="6" t="n">
        <v>10869</v>
      </c>
      <c r="I28" s="6" t="n">
        <v>18440</v>
      </c>
      <c r="J28" s="6" t="n">
        <v>-32309</v>
      </c>
      <c r="K28" s="6" t="n">
        <v>-366</v>
      </c>
      <c r="L28" s="6" t="n">
        <v>70</v>
      </c>
      <c r="M28" s="6" t="n">
        <v>-58</v>
      </c>
      <c r="N28" s="6" t="n">
        <v>-1483</v>
      </c>
    </row>
    <row r="29">
      <c r="A29" s="6" t="inlineStr">
        <is>
          <t>Derivative assets</t>
        </is>
      </c>
      <c r="B29" s="6" t="n">
        <v>4299</v>
      </c>
      <c r="C29" s="6" t="n">
        <v>-2096</v>
      </c>
      <c r="D29" s="6" t="n">
        <v>10003</v>
      </c>
      <c r="E29" s="6" t="n">
        <v>-12350</v>
      </c>
      <c r="F29" s="6" t="n">
        <v>-23</v>
      </c>
      <c r="G29" s="6" t="n">
        <v>451</v>
      </c>
      <c r="H29" s="6" t="n"/>
      <c r="I29" s="6" t="n"/>
      <c r="J29" s="6" t="n"/>
      <c r="K29" s="6" t="n"/>
      <c r="L29" s="6" t="n"/>
      <c r="M29" s="6" t="n"/>
      <c r="N29" s="6" t="n"/>
    </row>
    <row r="30">
      <c r="A30" s="6" t="inlineStr">
        <is>
          <t>Accrued income and prepaid expenses</t>
        </is>
      </c>
      <c r="B30" s="6" t="n"/>
      <c r="C30" s="6" t="n"/>
      <c r="D30" s="6" t="n"/>
      <c r="E30" s="6" t="n">
        <v>-4072</v>
      </c>
      <c r="F30" s="6" t="n">
        <v>-6391</v>
      </c>
      <c r="G30" s="6" t="n">
        <v>-744</v>
      </c>
      <c r="H30" s="6" t="n">
        <v>-602</v>
      </c>
      <c r="I30" s="6" t="n">
        <v>-328</v>
      </c>
      <c r="J30" s="6" t="n">
        <v>235</v>
      </c>
      <c r="K30" s="6" t="n">
        <v>-338</v>
      </c>
      <c r="L30" s="6" t="n">
        <v>-362</v>
      </c>
      <c r="M30" s="6" t="n">
        <v>248</v>
      </c>
      <c r="N30" s="6" t="n">
        <v>-161</v>
      </c>
    </row>
    <row r="31">
      <c r="A31" s="6" t="inlineStr">
        <is>
          <t>Proceeds from sale of financial assets</t>
        </is>
      </c>
      <c r="B31" s="6" t="n">
        <v>76687</v>
      </c>
      <c r="C31" s="6" t="n"/>
      <c r="D31" s="6" t="n"/>
      <c r="E31" s="6" t="n"/>
      <c r="F31" s="6" t="n"/>
      <c r="G31" s="6" t="n"/>
      <c r="H31" s="6" t="n"/>
      <c r="I31" s="6" t="n"/>
      <c r="J31" s="6" t="n"/>
      <c r="K31" s="6" t="n"/>
      <c r="L31" s="6" t="n"/>
      <c r="M31" s="6" t="n"/>
      <c r="N31" s="6" t="n"/>
    </row>
    <row r="32">
      <c r="A32" s="5" t="inlineStr">
        <is>
          <t>Changes in operating liabilities</t>
        </is>
      </c>
      <c r="B32" s="6" t="n"/>
      <c r="C32" s="6" t="n"/>
      <c r="D32" s="6" t="n"/>
      <c r="E32" s="6" t="n"/>
      <c r="F32" s="6" t="n"/>
      <c r="G32" s="6" t="n"/>
      <c r="H32" s="6" t="n"/>
      <c r="I32" s="6" t="n"/>
      <c r="J32" s="6" t="n"/>
      <c r="K32" s="6" t="n"/>
      <c r="L32" s="6" t="n"/>
      <c r="M32" s="6" t="n"/>
      <c r="N32" s="6" t="n"/>
    </row>
    <row r="33">
      <c r="A33" s="6" t="inlineStr">
        <is>
          <t>Customer and bank deposits</t>
        </is>
      </c>
      <c r="B33" s="6" t="n">
        <v>423044</v>
      </c>
      <c r="C33" s="6" t="n">
        <v>455246</v>
      </c>
      <c r="D33" s="6" t="n">
        <v>391092</v>
      </c>
      <c r="E33" s="6" t="n">
        <v>493923</v>
      </c>
      <c r="F33" s="6" t="n">
        <v>540317</v>
      </c>
      <c r="G33" s="6" t="n">
        <v>439631</v>
      </c>
      <c r="H33" s="6" t="n">
        <v>489847</v>
      </c>
      <c r="I33" s="6" t="n">
        <v>105920</v>
      </c>
      <c r="J33" s="6" t="n">
        <v>398877</v>
      </c>
      <c r="K33" s="6" t="n">
        <v>207610</v>
      </c>
      <c r="L33" s="6" t="n">
        <v>84697</v>
      </c>
      <c r="M33" s="6" t="n">
        <v>-23721</v>
      </c>
      <c r="N33" s="6" t="n">
        <v>68213</v>
      </c>
    </row>
    <row r="34">
      <c r="A34" s="6" t="inlineStr">
        <is>
          <t>Derivative liabilities</t>
        </is>
      </c>
      <c r="B34" s="6" t="n">
        <v>3085</v>
      </c>
      <c r="C34" s="6" t="n">
        <v>-20896</v>
      </c>
      <c r="D34" s="6" t="n">
        <v>28536</v>
      </c>
      <c r="E34" s="6" t="n">
        <v>3409</v>
      </c>
      <c r="F34" s="6" t="n">
        <v>-344</v>
      </c>
      <c r="G34" s="6" t="n">
        <v>99</v>
      </c>
      <c r="H34" s="6" t="n"/>
      <c r="I34" s="6" t="n"/>
      <c r="J34" s="6" t="n"/>
      <c r="K34" s="6" t="n"/>
      <c r="L34" s="6" t="n"/>
      <c r="M34" s="6" t="n"/>
      <c r="N34" s="6" t="n"/>
    </row>
    <row r="35">
      <c r="A35" s="6" t="inlineStr">
        <is>
          <t>Other liabilities</t>
        </is>
      </c>
      <c r="B35" s="6" t="n">
        <v>2517</v>
      </c>
      <c r="C35" s="6" t="n">
        <v>8019</v>
      </c>
      <c r="D35" s="6" t="n">
        <v>13796</v>
      </c>
      <c r="E35" s="6" t="n">
        <v>4916</v>
      </c>
      <c r="F35" s="6" t="n">
        <v>-213</v>
      </c>
      <c r="G35" s="6" t="n"/>
      <c r="H35" s="6" t="n"/>
      <c r="I35" s="6" t="n"/>
      <c r="J35" s="6" t="n"/>
      <c r="K35" s="6" t="n">
        <v>11495</v>
      </c>
      <c r="L35" s="6" t="n">
        <v>-97</v>
      </c>
      <c r="M35" s="6" t="n">
        <v>-1903</v>
      </c>
      <c r="N35" s="6" t="n">
        <v>323</v>
      </c>
    </row>
    <row r="36">
      <c r="A36" s="6" t="inlineStr">
        <is>
          <t>Other liabilities and provision for customer redress (combined, as reported)</t>
        </is>
      </c>
      <c r="B36" s="6" t="n"/>
      <c r="C36" s="6" t="n"/>
      <c r="D36" s="6" t="n"/>
      <c r="E36" s="6" t="n"/>
      <c r="F36" s="6" t="n"/>
      <c r="G36" s="6" t="n">
        <v>-4128</v>
      </c>
      <c r="H36" s="6" t="n">
        <v>-8240</v>
      </c>
      <c r="I36" s="6" t="n">
        <v>-29349</v>
      </c>
      <c r="J36" s="6" t="n">
        <v>27381</v>
      </c>
      <c r="K36" s="6" t="n"/>
      <c r="L36" s="6" t="n"/>
      <c r="M36" s="6" t="n"/>
      <c r="N36" s="6" t="n"/>
    </row>
    <row r="37">
      <c r="A37" s="6" t="inlineStr">
        <is>
          <t>Accrued expenses</t>
        </is>
      </c>
      <c r="B37" s="6" t="n"/>
      <c r="C37" s="6" t="n"/>
      <c r="D37" s="6" t="n"/>
      <c r="E37" s="6" t="n">
        <v>1290</v>
      </c>
      <c r="F37" s="6" t="n">
        <v>8305</v>
      </c>
      <c r="G37" s="6" t="n">
        <v>3329</v>
      </c>
      <c r="H37" s="6" t="n">
        <v>2908</v>
      </c>
      <c r="I37" s="6" t="n">
        <v>1024</v>
      </c>
      <c r="J37" s="6" t="n">
        <v>2627</v>
      </c>
      <c r="K37" s="6" t="n">
        <v>666</v>
      </c>
      <c r="L37" s="6" t="n">
        <v>1099</v>
      </c>
      <c r="M37" s="6" t="n">
        <v>295</v>
      </c>
      <c r="N37" s="6" t="n">
        <v>-675</v>
      </c>
    </row>
    <row r="38">
      <c r="A38" s="5" t="inlineStr">
        <is>
          <t>Net cash flow generated from/(used in) operating activities</t>
        </is>
      </c>
      <c r="B38" s="5" t="n">
        <v>-17143</v>
      </c>
      <c r="C38" s="5" t="n">
        <v>445559</v>
      </c>
      <c r="D38" s="5" t="n">
        <v>130953</v>
      </c>
      <c r="E38" s="5" t="n">
        <v>190786</v>
      </c>
      <c r="F38" s="5" t="n">
        <v>234303</v>
      </c>
      <c r="G38" s="5" t="n">
        <v>117909</v>
      </c>
      <c r="H38" s="5" t="n">
        <v>-83910</v>
      </c>
      <c r="I38" s="5" t="n">
        <v>-157299</v>
      </c>
      <c r="J38" s="5" t="n">
        <v>75543</v>
      </c>
      <c r="K38" s="5" t="n">
        <v>-44784</v>
      </c>
      <c r="L38" s="5" t="n">
        <v>-108406</v>
      </c>
      <c r="M38" s="5" t="n">
        <v>-85437</v>
      </c>
      <c r="N38" s="5" t="n">
        <v>140235</v>
      </c>
    </row>
    <row r="39">
      <c r="A39" s="5" t="inlineStr">
        <is>
          <t>Investing activities</t>
        </is>
      </c>
      <c r="B39" s="6" t="n"/>
      <c r="C39" s="6" t="n"/>
      <c r="D39" s="6" t="n"/>
      <c r="E39" s="6" t="n"/>
      <c r="F39" s="6" t="n"/>
      <c r="G39" s="6" t="n"/>
      <c r="H39" s="6" t="n"/>
      <c r="I39" s="6" t="n"/>
      <c r="J39" s="6" t="n"/>
      <c r="K39" s="6" t="n"/>
      <c r="L39" s="6" t="n"/>
      <c r="M39" s="6" t="n"/>
      <c r="N39" s="6" t="n"/>
    </row>
    <row r="40">
      <c r="A40" s="6" t="inlineStr">
        <is>
          <t>Purchase of property and equipment</t>
        </is>
      </c>
      <c r="B40" s="6" t="n">
        <v>-204</v>
      </c>
      <c r="C40" s="6" t="n">
        <v>-398</v>
      </c>
      <c r="D40" s="6" t="n">
        <v>-3343</v>
      </c>
      <c r="E40" s="6" t="n">
        <v>-877</v>
      </c>
      <c r="F40" s="6" t="n">
        <v>-72</v>
      </c>
      <c r="G40" s="6" t="n">
        <v>-230</v>
      </c>
      <c r="H40" s="6" t="n">
        <v>-387</v>
      </c>
      <c r="I40" s="6" t="n">
        <v>-1281</v>
      </c>
      <c r="J40" s="6" t="n">
        <v>-268</v>
      </c>
      <c r="K40" s="6" t="n">
        <v>-380</v>
      </c>
      <c r="L40" s="6" t="n">
        <v>-178</v>
      </c>
      <c r="M40" s="6" t="n">
        <v>-227</v>
      </c>
      <c r="N40" s="6" t="n">
        <v>-195</v>
      </c>
    </row>
    <row r="41">
      <c r="A41" s="6" t="inlineStr">
        <is>
          <t>Purchase of intangible assets</t>
        </is>
      </c>
      <c r="B41" s="6" t="n">
        <v>-25325</v>
      </c>
      <c r="C41" s="6" t="n">
        <v>-21721</v>
      </c>
      <c r="D41" s="6" t="n">
        <v>-27176</v>
      </c>
      <c r="E41" s="6" t="n">
        <v>-6048</v>
      </c>
      <c r="F41" s="6" t="n">
        <v>-9230</v>
      </c>
      <c r="G41" s="6" t="n">
        <v>-12992</v>
      </c>
      <c r="H41" s="6" t="n">
        <v>-8400</v>
      </c>
      <c r="I41" s="6" t="n">
        <v>-1366</v>
      </c>
      <c r="J41" s="6" t="n">
        <v>-1352</v>
      </c>
      <c r="K41" s="6" t="n">
        <v>-654</v>
      </c>
      <c r="L41" s="6" t="n">
        <v>-364</v>
      </c>
      <c r="M41" s="6" t="n">
        <v>-539</v>
      </c>
      <c r="N41" s="6" t="n">
        <v>-414</v>
      </c>
    </row>
    <row r="42">
      <c r="A42" s="6" t="inlineStr">
        <is>
          <t>Purchase of asset-backed/debt securities</t>
        </is>
      </c>
      <c r="B42" s="6" t="n">
        <v>-484349</v>
      </c>
      <c r="C42" s="6" t="n">
        <v>-149500</v>
      </c>
      <c r="D42" s="6" t="n">
        <v>-76396</v>
      </c>
      <c r="E42" s="6" t="n"/>
      <c r="F42" s="6" t="n"/>
      <c r="G42" s="6" t="n"/>
      <c r="H42" s="6" t="n"/>
      <c r="I42" s="6" t="n"/>
      <c r="J42" s="6" t="n"/>
      <c r="K42" s="6" t="n"/>
      <c r="L42" s="6" t="n"/>
      <c r="M42" s="6" t="n"/>
      <c r="N42" s="6" t="n"/>
    </row>
    <row r="43">
      <c r="A43" s="6" t="inlineStr">
        <is>
          <t>Redemption of asset-backed/debt securities</t>
        </is>
      </c>
      <c r="B43" s="6" t="n">
        <v>26952</v>
      </c>
      <c r="C43" s="6" t="n">
        <v>35836</v>
      </c>
      <c r="D43" s="6" t="n">
        <v>67893</v>
      </c>
      <c r="E43" s="6" t="n"/>
      <c r="F43" s="6" t="n"/>
      <c r="G43" s="6" t="n"/>
      <c r="H43" s="6" t="n"/>
      <c r="I43" s="6" t="n"/>
      <c r="J43" s="6" t="n"/>
      <c r="K43" s="6" t="n"/>
      <c r="L43" s="6" t="n"/>
      <c r="M43" s="6" t="n"/>
      <c r="N43" s="6" t="n"/>
    </row>
    <row r="44">
      <c r="A44" s="6" t="inlineStr">
        <is>
          <t>Redemption/(purchase) of asset-backed securities (combined, as reported)</t>
        </is>
      </c>
      <c r="B44" s="6" t="n"/>
      <c r="C44" s="6" t="n"/>
      <c r="D44" s="6" t="n"/>
      <c r="E44" s="6" t="n">
        <v>26975</v>
      </c>
      <c r="F44" s="6" t="n">
        <v>-137782</v>
      </c>
      <c r="G44" s="6" t="n"/>
      <c r="H44" s="6" t="n"/>
      <c r="I44" s="6" t="n"/>
      <c r="J44" s="6" t="n"/>
      <c r="K44" s="6" t="n"/>
      <c r="L44" s="6" t="n"/>
      <c r="M44" s="6" t="n"/>
      <c r="N44" s="6" t="n"/>
    </row>
    <row r="45">
      <c r="A45" s="6" t="inlineStr">
        <is>
          <t>Interest received on asset-backed securities</t>
        </is>
      </c>
      <c r="B45" s="6" t="n">
        <v>17692</v>
      </c>
      <c r="C45" s="6" t="n"/>
      <c r="D45" s="6" t="n"/>
      <c r="E45" s="6" t="n"/>
      <c r="F45" s="6" t="n"/>
      <c r="G45" s="6" t="n"/>
      <c r="H45" s="6" t="n"/>
      <c r="I45" s="6" t="n"/>
      <c r="J45" s="6" t="n"/>
      <c r="K45" s="6" t="n"/>
      <c r="L45" s="6" t="n"/>
      <c r="M45" s="6" t="n"/>
      <c r="N45" s="6" t="n"/>
    </row>
    <row r="46">
      <c r="A46" s="6" t="inlineStr">
        <is>
          <t>Proceeds of sale of investment</t>
        </is>
      </c>
      <c r="B46" s="6" t="n"/>
      <c r="C46" s="6" t="n"/>
      <c r="D46" s="6" t="n"/>
      <c r="E46" s="6" t="n"/>
      <c r="F46" s="6" t="n"/>
      <c r="G46" s="6" t="n"/>
      <c r="H46" s="6" t="n"/>
      <c r="I46" s="6" t="n">
        <v>390</v>
      </c>
      <c r="J46" s="6" t="n"/>
      <c r="K46" s="6" t="n"/>
      <c r="L46" s="6" t="n"/>
      <c r="M46" s="6" t="n"/>
      <c r="N46" s="6" t="n"/>
    </row>
    <row r="47">
      <c r="A47" s="6" t="inlineStr">
        <is>
          <t>Proceeds from sale of property</t>
        </is>
      </c>
      <c r="B47" s="6" t="n">
        <v>5904</v>
      </c>
      <c r="C47" s="6" t="n"/>
      <c r="D47" s="6" t="n"/>
      <c r="E47" s="6" t="n">
        <v>16370</v>
      </c>
      <c r="F47" s="6" t="n"/>
      <c r="G47" s="6" t="n">
        <v>531</v>
      </c>
      <c r="H47" s="6" t="n"/>
      <c r="I47" s="6" t="n"/>
      <c r="J47" s="6" t="n"/>
      <c r="K47" s="6" t="n"/>
      <c r="L47" s="6" t="n"/>
      <c r="M47" s="6" t="n"/>
      <c r="N47" s="6" t="n"/>
    </row>
    <row r="48">
      <c r="A48" s="5" t="inlineStr">
        <is>
          <t>Net cash flow generated from/(used in) investing activities</t>
        </is>
      </c>
      <c r="B48" s="5" t="n">
        <v>-459330</v>
      </c>
      <c r="C48" s="5" t="n">
        <v>-135783</v>
      </c>
      <c r="D48" s="5" t="n">
        <v>-39022</v>
      </c>
      <c r="E48" s="5" t="n">
        <v>36420</v>
      </c>
      <c r="F48" s="5" t="n">
        <v>-147084</v>
      </c>
      <c r="G48" s="5" t="n">
        <v>-12691</v>
      </c>
      <c r="H48" s="5" t="n">
        <v>-8787</v>
      </c>
      <c r="I48" s="5" t="n">
        <v>-2257</v>
      </c>
      <c r="J48" s="5" t="n">
        <v>-1620</v>
      </c>
      <c r="K48" s="5" t="n">
        <v>-1034</v>
      </c>
      <c r="L48" s="5" t="n">
        <v>-542</v>
      </c>
      <c r="M48" s="5" t="n">
        <v>-766</v>
      </c>
      <c r="N48" s="5" t="n">
        <v>-609</v>
      </c>
    </row>
    <row r="49">
      <c r="A49" s="5" t="inlineStr">
        <is>
          <t>Financing activities</t>
        </is>
      </c>
      <c r="B49" s="6" t="n"/>
      <c r="C49" s="6" t="n"/>
      <c r="D49" s="6" t="n"/>
      <c r="E49" s="6" t="n"/>
      <c r="F49" s="6" t="n"/>
      <c r="G49" s="6" t="n"/>
      <c r="H49" s="6" t="n"/>
      <c r="I49" s="6" t="n"/>
      <c r="J49" s="6" t="n"/>
      <c r="K49" s="6" t="n"/>
      <c r="L49" s="6" t="n"/>
      <c r="M49" s="6" t="n"/>
      <c r="N49" s="6" t="n"/>
    </row>
    <row r="50">
      <c r="A50" s="6" t="inlineStr">
        <is>
          <t>Proceeds from issuance of new share capital</t>
        </is>
      </c>
      <c r="B50" s="6" t="n"/>
      <c r="C50" s="6" t="n"/>
      <c r="D50" s="6" t="n"/>
      <c r="E50" s="6" t="n">
        <v>47000</v>
      </c>
      <c r="F50" s="6" t="n"/>
      <c r="G50" s="6" t="n">
        <v>9000</v>
      </c>
      <c r="H50" s="6" t="n">
        <v>15000</v>
      </c>
      <c r="I50" s="6" t="n">
        <v>20000</v>
      </c>
      <c r="J50" s="6" t="n">
        <v>16000</v>
      </c>
      <c r="K50" s="6" t="n"/>
      <c r="L50" s="6" t="n"/>
      <c r="M50" s="6" t="n"/>
      <c r="N50" s="6" t="n"/>
    </row>
    <row r="51">
      <c r="A51" s="6" t="inlineStr">
        <is>
          <t>Proceeds from issuance of subordinated loan(s)</t>
        </is>
      </c>
      <c r="B51" s="6" t="n">
        <v>35000</v>
      </c>
      <c r="C51" s="6" t="n"/>
      <c r="D51" s="6" t="n">
        <v>14826</v>
      </c>
      <c r="E51" s="6" t="n"/>
      <c r="F51" s="6" t="n"/>
      <c r="G51" s="6" t="n"/>
      <c r="H51" s="6" t="n"/>
      <c r="I51" s="6" t="n"/>
      <c r="J51" s="6" t="n">
        <v>29464</v>
      </c>
      <c r="K51" s="6" t="n"/>
      <c r="L51" s="6" t="n"/>
      <c r="M51" s="6" t="n"/>
      <c r="N51" s="6" t="n"/>
    </row>
    <row r="52">
      <c r="A52" s="6" t="inlineStr">
        <is>
          <t>(Decrease)/increase in subordinated loan</t>
        </is>
      </c>
      <c r="B52" s="6" t="n"/>
      <c r="C52" s="6" t="n"/>
      <c r="D52" s="6" t="n"/>
      <c r="E52" s="6" t="n"/>
      <c r="F52" s="6" t="n"/>
      <c r="G52" s="6" t="n"/>
      <c r="H52" s="6" t="n"/>
      <c r="I52" s="6" t="n">
        <v>-43</v>
      </c>
      <c r="J52" s="6" t="n"/>
      <c r="K52" s="6" t="n"/>
      <c r="L52" s="6" t="n"/>
      <c r="M52" s="6" t="n"/>
      <c r="N52" s="6" t="n"/>
    </row>
    <row r="53">
      <c r="A53" s="6" t="inlineStr">
        <is>
          <t>Capital repayment from finance lease obligations</t>
        </is>
      </c>
      <c r="B53" s="6" t="n">
        <v>-1487</v>
      </c>
      <c r="C53" s="6" t="n">
        <v>-2292</v>
      </c>
      <c r="D53" s="6" t="n">
        <v>-1125</v>
      </c>
      <c r="E53" s="6" t="n">
        <v>34</v>
      </c>
      <c r="F53" s="6" t="n">
        <v>-238</v>
      </c>
      <c r="G53" s="6" t="n">
        <v>-166</v>
      </c>
      <c r="H53" s="6" t="n">
        <v>-58</v>
      </c>
      <c r="I53" s="6" t="n"/>
      <c r="J53" s="6" t="n"/>
      <c r="K53" s="6" t="n"/>
      <c r="L53" s="6" t="n"/>
      <c r="M53" s="6" t="n"/>
      <c r="N53" s="6" t="n"/>
    </row>
    <row r="54">
      <c r="A54" s="6" t="inlineStr">
        <is>
          <t>Interest paid on subordinated loan(s)</t>
        </is>
      </c>
      <c r="B54" s="6" t="n">
        <v>-4032</v>
      </c>
      <c r="C54" s="6" t="n"/>
      <c r="D54" s="6" t="n"/>
      <c r="E54" s="6" t="n"/>
      <c r="F54" s="6" t="n"/>
      <c r="G54" s="6" t="n"/>
      <c r="H54" s="6" t="n"/>
      <c r="I54" s="6" t="n"/>
      <c r="J54" s="6" t="n">
        <v>-938</v>
      </c>
      <c r="K54" s="6" t="n">
        <v>-2265</v>
      </c>
      <c r="L54" s="6" t="n">
        <v>-2271</v>
      </c>
      <c r="M54" s="6" t="n">
        <v>-2256</v>
      </c>
      <c r="N54" s="6" t="n">
        <v>-3429</v>
      </c>
    </row>
    <row r="55">
      <c r="A55" s="6" t="inlineStr">
        <is>
          <t>Dividend paid</t>
        </is>
      </c>
      <c r="B55" s="6" t="n"/>
      <c r="C55" s="6" t="n"/>
      <c r="D55" s="6" t="n"/>
      <c r="E55" s="6" t="n"/>
      <c r="F55" s="6" t="n"/>
      <c r="G55" s="6" t="n"/>
      <c r="H55" s="6" t="n">
        <v>-300</v>
      </c>
      <c r="I55" s="6" t="n"/>
      <c r="J55" s="6" t="n"/>
      <c r="K55" s="6" t="n"/>
      <c r="L55" s="6" t="n"/>
      <c r="M55" s="6" t="n"/>
      <c r="N55" s="6" t="n"/>
    </row>
    <row r="56">
      <c r="A56" s="5" t="inlineStr">
        <is>
          <t>Net cash flow generated from/(used in) financing activities</t>
        </is>
      </c>
      <c r="B56" s="5" t="n">
        <v>29481</v>
      </c>
      <c r="C56" s="5" t="n">
        <v>-2292</v>
      </c>
      <c r="D56" s="5" t="n">
        <v>13701</v>
      </c>
      <c r="E56" s="5" t="n">
        <v>47034</v>
      </c>
      <c r="F56" s="5" t="n">
        <v>-238</v>
      </c>
      <c r="G56" s="5" t="n">
        <v>8834</v>
      </c>
      <c r="H56" s="5" t="n">
        <v>14642</v>
      </c>
      <c r="I56" s="5" t="n">
        <v>19957</v>
      </c>
      <c r="J56" s="5" t="n">
        <v>44526</v>
      </c>
      <c r="K56" s="5" t="n">
        <v>-2265</v>
      </c>
      <c r="L56" s="5" t="n">
        <v>-2271</v>
      </c>
      <c r="M56" s="5" t="n">
        <v>-2256</v>
      </c>
      <c r="N56" s="5" t="n">
        <v>-3429</v>
      </c>
    </row>
    <row r="57">
      <c r="A57" s="5" t="inlineStr">
        <is>
          <t>Net (decrease)/increase in cash and cash equivalents for the year</t>
        </is>
      </c>
      <c r="B57" s="5" t="n">
        <v>-446992</v>
      </c>
      <c r="C57" s="5" t="n">
        <v>307484</v>
      </c>
      <c r="D57" s="5" t="n">
        <v>105632</v>
      </c>
      <c r="E57" s="5" t="n">
        <v>274240</v>
      </c>
      <c r="F57" s="5" t="n">
        <v>86981</v>
      </c>
      <c r="G57" s="5" t="n">
        <v>114052</v>
      </c>
      <c r="H57" s="5" t="n">
        <v>-78055</v>
      </c>
      <c r="I57" s="5" t="n">
        <v>-139599</v>
      </c>
      <c r="J57" s="5" t="n">
        <v>118449</v>
      </c>
      <c r="K57" s="5" t="n">
        <v>-48083</v>
      </c>
      <c r="L57" s="5" t="n">
        <v>-111119</v>
      </c>
      <c r="M57" s="5" t="n">
        <v>-88459</v>
      </c>
      <c r="N57" s="5" t="n">
        <v>136197</v>
      </c>
    </row>
    <row r="58">
      <c r="A58" s="6" t="inlineStr">
        <is>
          <t>Cash and cash equivalents at the beginning of the year</t>
        </is>
      </c>
      <c r="B58" s="6" t="n">
        <v>1058851</v>
      </c>
      <c r="C58" s="6" t="n">
        <v>751598</v>
      </c>
      <c r="D58" s="6" t="n">
        <v>646528</v>
      </c>
      <c r="E58" s="6" t="n">
        <v>372288</v>
      </c>
      <c r="F58" s="6" t="n">
        <v>285307</v>
      </c>
      <c r="G58" s="6" t="n">
        <v>171255</v>
      </c>
      <c r="H58" s="6" t="n">
        <v>249310</v>
      </c>
      <c r="I58" s="6" t="n">
        <v>388909</v>
      </c>
      <c r="J58" s="6" t="n">
        <v>268981</v>
      </c>
      <c r="K58" s="6" t="n">
        <v>308796</v>
      </c>
      <c r="L58" s="6" t="n">
        <v>422348</v>
      </c>
      <c r="M58" s="6" t="n">
        <v>511643</v>
      </c>
      <c r="N58" s="6" t="n">
        <v>374506</v>
      </c>
    </row>
    <row r="59">
      <c r="A59" s="6" t="inlineStr">
        <is>
          <t>Effects of exchange rate changes on cash and cash equivalents</t>
        </is>
      </c>
      <c r="B59" s="6" t="n">
        <v>44</v>
      </c>
      <c r="C59" s="6" t="n">
        <v>-231</v>
      </c>
      <c r="D59" s="6" t="n">
        <v>-562</v>
      </c>
      <c r="E59" s="6" t="n"/>
      <c r="F59" s="6" t="n"/>
      <c r="G59" s="6" t="n"/>
      <c r="H59" s="6" t="n"/>
      <c r="I59" s="6" t="n"/>
      <c r="J59" s="6" t="n">
        <v>1479</v>
      </c>
      <c r="K59" s="6" t="n">
        <v>8268</v>
      </c>
      <c r="L59" s="6" t="n">
        <v>-1994</v>
      </c>
      <c r="M59" s="6" t="n">
        <v>-836</v>
      </c>
      <c r="N59" s="6" t="n">
        <v>939</v>
      </c>
    </row>
    <row r="60">
      <c r="A60" s="5" t="inlineStr">
        <is>
          <t>Cash and cash equivalents at the end of the year</t>
        </is>
      </c>
      <c r="B60" s="5" t="n">
        <v>611903</v>
      </c>
      <c r="C60" s="5" t="n">
        <v>1058851</v>
      </c>
      <c r="D60" s="5" t="n">
        <v>751598</v>
      </c>
      <c r="E60" s="5" t="n">
        <v>646528</v>
      </c>
      <c r="F60" s="5" t="n">
        <v>372288</v>
      </c>
      <c r="G60" s="5" t="n">
        <v>285307</v>
      </c>
      <c r="H60" s="5" t="n">
        <v>171255</v>
      </c>
      <c r="I60" s="5" t="n">
        <v>249310</v>
      </c>
      <c r="J60" s="5" t="n">
        <v>388909</v>
      </c>
      <c r="K60" s="5" t="n">
        <v>268981</v>
      </c>
      <c r="L60" s="5" t="n">
        <v>309135</v>
      </c>
      <c r="M60" s="5" t="n">
        <v>422348</v>
      </c>
      <c r="N60" s="5" t="n">
        <v>511643</v>
      </c>
    </row>
    <row r="62" ht="260" customHeight="1">
      <c r="A62"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FY2020 (own): Cynergy Bank Limited Annual Report &amp; Accounts 2020 (Companies House filing, scanned), p.58-60 (Statement of cash flows) - https://find-and-update.company-information.service.gov.uk/company/04728421/filing-history/MzMwMTMwNjM2MWFkaXF6a2N4/document?format=pdf&amp;download=0
FY2019 (own): Cynergy Bank Limited Annual Report &amp; Accounts 2019 (Companies House filing, scanned), p.53-54 (Statement of cash flows) - https://find-and-update.company-information.service.gov.uk/company/04728421/filing-history/MzI2ODIzMzE4NmFkaXF6a2N4/document?format=pdf&amp;download=0
FY2018 (own): Cynergy Bank Limited Annual Report &amp; Accounts 2018 (Companies House filing, scanned), p.23 (Statement of cash flows, Company-only basis) - https://find-and-update.company-information.service.gov.uk/company/04728421/filing-history/MzI0NTUxMzA1N2FkaXF6a2N4/document?format=pdf&amp;download=0
FY2017 (own): Bank of Cyprus UK Limited Annual Report &amp; Accounts 2017 (Companies House filing, scanned), p.22 (Statement of cash flows, Company-only basis) - https://find-and-update.company-information.service.gov.uk/company/04728421/filing-history/MzIwNjAyOTg3MmFkaXF6a2N4/document?format=pdf&amp;download=0
FY2016 (own): Bank of Cyprus UK Limited Annual Report &amp; Accounts 2016 (Companies House filing, scanned), p.13 (Statement of cash flows, Company-only basis) - https://find-and-update.company-information.service.gov.uk/company/04728421/filing-history/MzE4MTU5MjQyMmFkaXF6a2N4/document?format=pdf&amp;download=0
FY2015 (own): Bank of Cyprus UK Limited Annual Report &amp; Accounts 2015 (Companies House filing, scanned), p.12 (Statement of cash flows, Company-only basis) - https://find-and-update.company-information.service.gov.uk/company/04728421/filing-history/MzE0NDMzNzcwNGFkaXF6a2N4/document?format=pdf&amp;download=0
FY2014 (own): Bank of Cyprus UK Limited Annual Report &amp; Accounts 2014 (Companies House filing, scanned), p.12 (Statement of cash flows, Company-only basis) - https://find-and-update.company-information.service.gov.uk/company/04728421/filing-history/MzEyMTQ1OTQ5MGFkaXF6a2N4/document?format=pdf&amp;download=0
FY2013 (own): Bank of Cyprus UK Limited Annual Report &amp; Accounts 2013 (Companies House filing, scanned), p.13 (Statement of cash flows,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HD-072 (statutory statements extended to FY2013): FY2013's own Statement of cash flows presents 'Changes in operating assets and liabilities' as one flat, unsplit list (not the separate 'assets' / 'liabilities' sub-sections used from FY2014 onward) - each FY2013 line has been placed on the row that matches its FY2014+ equivalent by content (e.g. 'Increase in customer deposits' -&gt; 'Customer and bank deposits'). FY2013's own source document has a 1-unit rounding inconsistency between its own two statements of the year's net cash movement (£136,197k in the operating/investing/financing summary line vs an implied £136,198k in the Cash and cash equivalents reconciliation below it, which is what makes the reconciliation's own stated closing balance of £511,643k not tie exactly to opening £374,506k + net movement £136,197k + FX £939k = £511,642k) - both figures are the source's own, not a transcription error here; the summary line's £136,197k is used for the 'Net (decrease)/increase in cash and cash equivalents for the year' row, and the reconciliation's own stated £511,643k is used for the closing balance row, exactly as each is printed.</t>
        </is>
      </c>
    </row>
  </sheetData>
  <mergeCells count="1">
    <mergeCell ref="A62:N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Asset Quality</t>
        </is>
      </c>
    </row>
    <row r="2">
      <c r="A2" s="2" t="inlineStr">
        <is>
          <t>Consolidated (Company-only FY2014-2017) basis, £'000 (ratios as calculated), combining the Loans and Overdrafts credit risk note tables. Two methodology sections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IFRS 9 stage (Loans + Overdrafts; Consolidated FY2018-2025, Company-only FY2018 per that year's own report)</t>
        </is>
      </c>
      <c r="B4" s="6" t="n"/>
      <c r="C4" s="6" t="n"/>
      <c r="D4" s="6" t="n"/>
      <c r="E4" s="6" t="n"/>
      <c r="F4" s="6" t="n"/>
      <c r="G4" s="6" t="n"/>
      <c r="H4" s="6" t="n"/>
      <c r="I4" s="6" t="n"/>
      <c r="J4" s="6" t="n"/>
      <c r="K4" s="6" t="n"/>
      <c r="L4" s="6" t="n"/>
      <c r="M4" s="6" t="n"/>
    </row>
    <row r="5">
      <c r="A5" s="6" t="inlineStr">
        <is>
          <t>Stage 1 gross carrying amount</t>
        </is>
      </c>
      <c r="B5" s="6" t="n">
        <v>3423245</v>
      </c>
      <c r="C5" s="6" t="n">
        <v>3210782</v>
      </c>
      <c r="D5" s="6" t="n">
        <v>2968247</v>
      </c>
      <c r="E5" s="6" t="n">
        <v>2826161</v>
      </c>
      <c r="F5" s="6" t="n">
        <v>2687050</v>
      </c>
      <c r="G5" s="6" t="n">
        <v>2409575</v>
      </c>
      <c r="H5" s="6" t="n">
        <v>2169994</v>
      </c>
      <c r="I5" s="6" t="n">
        <v>1576985</v>
      </c>
      <c r="J5" s="6" t="n"/>
      <c r="K5" s="6" t="n"/>
      <c r="L5" s="6" t="n"/>
      <c r="M5" s="6" t="n"/>
    </row>
    <row r="6">
      <c r="A6" s="6" t="inlineStr">
        <is>
          <t>Stage 2 gross carrying amount</t>
        </is>
      </c>
      <c r="B6" s="6" t="n">
        <v>259276</v>
      </c>
      <c r="C6" s="6" t="n">
        <v>372480</v>
      </c>
      <c r="D6" s="6" t="n">
        <v>549578</v>
      </c>
      <c r="E6" s="6" t="n">
        <v>385150</v>
      </c>
      <c r="F6" s="6" t="n">
        <v>232788</v>
      </c>
      <c r="G6" s="6" t="n">
        <v>187845</v>
      </c>
      <c r="H6" s="6" t="n">
        <v>78327</v>
      </c>
      <c r="I6" s="6" t="n">
        <v>75151</v>
      </c>
      <c r="J6" s="6" t="n"/>
      <c r="K6" s="6" t="n"/>
      <c r="L6" s="6" t="n"/>
      <c r="M6" s="6" t="n"/>
    </row>
    <row r="7">
      <c r="A7" s="6" t="inlineStr">
        <is>
          <t>Stage 3 gross carrying amount</t>
        </is>
      </c>
      <c r="B7" s="6" t="n">
        <v>91016</v>
      </c>
      <c r="C7" s="6" t="n">
        <v>99046</v>
      </c>
      <c r="D7" s="6" t="n">
        <v>73262</v>
      </c>
      <c r="E7" s="6" t="n">
        <v>65258</v>
      </c>
      <c r="F7" s="6" t="n">
        <v>43661</v>
      </c>
      <c r="G7" s="6" t="n">
        <v>25089</v>
      </c>
      <c r="H7" s="6" t="n">
        <v>19800</v>
      </c>
      <c r="I7" s="6" t="n">
        <v>20333</v>
      </c>
      <c r="J7" s="6" t="n"/>
      <c r="K7" s="6" t="n"/>
      <c r="L7" s="6" t="n"/>
      <c r="M7" s="6" t="n"/>
    </row>
    <row r="8">
      <c r="A8" s="5" t="inlineStr">
        <is>
          <t>Total gross carrying amount</t>
        </is>
      </c>
      <c r="B8" s="5" t="n">
        <v>3773537</v>
      </c>
      <c r="C8" s="5" t="n">
        <v>3682308</v>
      </c>
      <c r="D8" s="5" t="n">
        <v>3591087</v>
      </c>
      <c r="E8" s="5" t="n">
        <v>3276569</v>
      </c>
      <c r="F8" s="5" t="n">
        <v>2963499</v>
      </c>
      <c r="G8" s="5" t="n">
        <v>2622509</v>
      </c>
      <c r="H8" s="5" t="n">
        <v>2268121</v>
      </c>
      <c r="I8" s="5" t="n">
        <v>1672469</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ECL</t>
        </is>
      </c>
      <c r="B10" s="6" t="n">
        <v>3964</v>
      </c>
      <c r="C10" s="6" t="n">
        <v>4403</v>
      </c>
      <c r="D10" s="6" t="n">
        <v>5372</v>
      </c>
      <c r="E10" s="6" t="n">
        <v>3338</v>
      </c>
      <c r="F10" s="6" t="n">
        <v>2124</v>
      </c>
      <c r="G10" s="6" t="n">
        <v>3956</v>
      </c>
      <c r="H10" s="6" t="n">
        <v>1912</v>
      </c>
      <c r="I10" s="6" t="n">
        <v>1443</v>
      </c>
      <c r="J10" s="6" t="n"/>
      <c r="K10" s="6" t="n"/>
      <c r="L10" s="6" t="n"/>
      <c r="M10" s="6" t="n"/>
    </row>
    <row r="11">
      <c r="A11" s="6" t="inlineStr">
        <is>
          <t>Stage 2 ECL</t>
        </is>
      </c>
      <c r="B11" s="6" t="n">
        <v>2951</v>
      </c>
      <c r="C11" s="6" t="n">
        <v>4118</v>
      </c>
      <c r="D11" s="6" t="n">
        <v>8485</v>
      </c>
      <c r="E11" s="6" t="n">
        <v>5321</v>
      </c>
      <c r="F11" s="6" t="n">
        <v>2175</v>
      </c>
      <c r="G11" s="6" t="n">
        <v>3117</v>
      </c>
      <c r="H11" s="6" t="n">
        <v>326</v>
      </c>
      <c r="I11" s="6" t="n">
        <v>349</v>
      </c>
      <c r="J11" s="6" t="n"/>
      <c r="K11" s="6" t="n"/>
      <c r="L11" s="6" t="n"/>
      <c r="M11" s="6" t="n"/>
    </row>
    <row r="12">
      <c r="A12" s="6" t="inlineStr">
        <is>
          <t>Stage 3 ECL</t>
        </is>
      </c>
      <c r="B12" s="6" t="n">
        <v>21489</v>
      </c>
      <c r="C12" s="6" t="n">
        <v>20310</v>
      </c>
      <c r="D12" s="6" t="n">
        <v>12933</v>
      </c>
      <c r="E12" s="6" t="n">
        <v>13680</v>
      </c>
      <c r="F12" s="6" t="n">
        <v>9626</v>
      </c>
      <c r="G12" s="6" t="n">
        <v>1474</v>
      </c>
      <c r="H12" s="6" t="n">
        <v>1502</v>
      </c>
      <c r="I12" s="6" t="n">
        <v>1754</v>
      </c>
      <c r="J12" s="6" t="n"/>
      <c r="K12" s="6" t="n"/>
      <c r="L12" s="6" t="n"/>
      <c r="M12" s="6" t="n"/>
    </row>
    <row r="13">
      <c r="A13" s="5" t="inlineStr">
        <is>
          <t>Total ECL allowance</t>
        </is>
      </c>
      <c r="B13" s="5" t="n">
        <v>28404</v>
      </c>
      <c r="C13" s="5" t="n">
        <v>28831</v>
      </c>
      <c r="D13" s="5" t="n">
        <v>26790</v>
      </c>
      <c r="E13" s="5" t="n">
        <v>22339</v>
      </c>
      <c r="F13" s="5" t="n">
        <v>13925</v>
      </c>
      <c r="G13" s="5" t="n">
        <v>8547</v>
      </c>
      <c r="H13" s="5" t="n">
        <v>3740</v>
      </c>
      <c r="I13" s="5" t="n">
        <v>3546</v>
      </c>
      <c r="J13" s="5" t="n"/>
      <c r="K13" s="5" t="n"/>
      <c r="L13" s="5" t="n"/>
      <c r="M13" s="5" t="n"/>
    </row>
    <row r="14">
      <c r="A14" s="5" t="inlineStr">
        <is>
          <t>Derived ratios (IFRS 9 basis)</t>
        </is>
      </c>
      <c r="B14" s="6" t="n"/>
      <c r="C14" s="6" t="n"/>
      <c r="D14" s="6" t="n"/>
      <c r="E14" s="6" t="n"/>
      <c r="F14" s="6" t="n"/>
      <c r="G14" s="6" t="n"/>
      <c r="H14" s="6" t="n"/>
      <c r="I14" s="6" t="n"/>
      <c r="J14" s="6" t="n"/>
      <c r="K14" s="6" t="n"/>
      <c r="L14" s="6" t="n"/>
      <c r="M14" s="6" t="n"/>
    </row>
    <row r="15">
      <c r="A15" s="6" t="inlineStr">
        <is>
          <t>Stage 3 / total gross carrying amount</t>
        </is>
      </c>
      <c r="B15" s="6" t="inlineStr">
        <is>
          <t>2.412%</t>
        </is>
      </c>
      <c r="C15" s="6" t="inlineStr">
        <is>
          <t>2.690%</t>
        </is>
      </c>
      <c r="D15" s="6" t="inlineStr">
        <is>
          <t>2.040%</t>
        </is>
      </c>
      <c r="E15" s="6" t="inlineStr">
        <is>
          <t>1.992%</t>
        </is>
      </c>
      <c r="F15" s="6" t="inlineStr">
        <is>
          <t>1.473%</t>
        </is>
      </c>
      <c r="G15" s="6" t="inlineStr">
        <is>
          <t>0.957%</t>
        </is>
      </c>
      <c r="H15" s="6" t="inlineStr">
        <is>
          <t>0.873%</t>
        </is>
      </c>
      <c r="I15" s="6" t="inlineStr">
        <is>
          <t>1.216%</t>
        </is>
      </c>
      <c r="J15" s="6" t="n"/>
      <c r="K15" s="6" t="n"/>
      <c r="L15" s="6" t="n"/>
      <c r="M15" s="6" t="n"/>
    </row>
    <row r="16">
      <c r="A16" s="6" t="inlineStr">
        <is>
          <t>Total ECL / total gross carrying amount (overall coverage)</t>
        </is>
      </c>
      <c r="B16" s="6" t="inlineStr">
        <is>
          <t>0.753%</t>
        </is>
      </c>
      <c r="C16" s="6" t="inlineStr">
        <is>
          <t>0.783%</t>
        </is>
      </c>
      <c r="D16" s="6" t="inlineStr">
        <is>
          <t>0.746%</t>
        </is>
      </c>
      <c r="E16" s="6" t="inlineStr">
        <is>
          <t>0.682%</t>
        </is>
      </c>
      <c r="F16" s="6" t="inlineStr">
        <is>
          <t>0.470%</t>
        </is>
      </c>
      <c r="G16" s="6" t="inlineStr">
        <is>
          <t>0.326%</t>
        </is>
      </c>
      <c r="H16" s="6" t="inlineStr">
        <is>
          <t>0.165%</t>
        </is>
      </c>
      <c r="I16" s="6" t="inlineStr">
        <is>
          <t>0.212%</t>
        </is>
      </c>
      <c r="J16" s="6" t="n"/>
      <c r="K16" s="6" t="n"/>
      <c r="L16" s="6" t="n"/>
      <c r="M16" s="6" t="n"/>
    </row>
    <row r="17">
      <c r="A17" s="6" t="inlineStr">
        <is>
          <t>Stage 3 ECL / Stage 3 gross carrying amount (Stage 3 coverage)</t>
        </is>
      </c>
      <c r="B17" s="6" t="inlineStr">
        <is>
          <t>23.61%</t>
        </is>
      </c>
      <c r="C17" s="6" t="inlineStr">
        <is>
          <t>20.51%</t>
        </is>
      </c>
      <c r="D17" s="6" t="inlineStr">
        <is>
          <t>17.65%</t>
        </is>
      </c>
      <c r="E17" s="6" t="inlineStr">
        <is>
          <t>20.96%</t>
        </is>
      </c>
      <c r="F17" s="6" t="inlineStr">
        <is>
          <t>22.05%</t>
        </is>
      </c>
      <c r="G17" s="6" t="inlineStr">
        <is>
          <t>5.876%</t>
        </is>
      </c>
      <c r="H17" s="6" t="inlineStr">
        <is>
          <t>7.586%</t>
        </is>
      </c>
      <c r="I17" s="6" t="inlineStr">
        <is>
          <t>8.626%</t>
        </is>
      </c>
      <c r="J17" s="6" t="n"/>
      <c r="K17" s="6" t="n"/>
      <c r="L17" s="6" t="n"/>
      <c r="M17" s="6" t="n"/>
    </row>
    <row r="18">
      <c r="A18" s="5" t="inlineStr">
        <is>
          <t>Legacy IAS 39 basis (FY2014-FY2017, Bank of Cyprus UK Limited, Company-only) - credit quality of gross loans and advances to customers (Loans + Overdrafts combined)</t>
        </is>
      </c>
      <c r="B18" s="6" t="n"/>
      <c r="C18" s="6" t="n"/>
      <c r="D18" s="6" t="n"/>
      <c r="E18" s="6" t="n"/>
      <c r="F18" s="6" t="n"/>
      <c r="G18" s="6" t="n"/>
      <c r="H18" s="6" t="n"/>
      <c r="I18" s="6" t="n"/>
      <c r="J18" s="6" t="n"/>
      <c r="K18" s="6" t="n"/>
      <c r="L18" s="6" t="n"/>
      <c r="M18" s="6" t="n"/>
    </row>
    <row r="19">
      <c r="A19" s="6" t="inlineStr">
        <is>
          <t>Gross loans and advances</t>
        </is>
      </c>
      <c r="B19" s="6" t="n"/>
      <c r="C19" s="6" t="n"/>
      <c r="D19" s="6" t="n"/>
      <c r="E19" s="6" t="n"/>
      <c r="F19" s="6" t="n"/>
      <c r="G19" s="6" t="n"/>
      <c r="H19" s="6" t="n"/>
      <c r="I19" s="6" t="n"/>
      <c r="J19" s="6" t="n">
        <v>1411255</v>
      </c>
      <c r="K19" s="6" t="n">
        <v>1088298</v>
      </c>
      <c r="L19" s="6" t="n">
        <v>827016</v>
      </c>
      <c r="M19" s="6" t="n">
        <v>629744</v>
      </c>
    </row>
    <row r="20">
      <c r="A20" s="6" t="inlineStr">
        <is>
          <t>Provisions for impairment of loans and advances (individual + collective, IAS 39 incurred-loss basis)</t>
        </is>
      </c>
      <c r="B20" s="6" t="n"/>
      <c r="C20" s="6" t="n"/>
      <c r="D20" s="6" t="n"/>
      <c r="E20" s="6" t="n"/>
      <c r="F20" s="6" t="n"/>
      <c r="G20" s="6" t="n"/>
      <c r="H20" s="6" t="n"/>
      <c r="I20" s="6" t="n"/>
      <c r="J20" s="6" t="n">
        <v>-4055</v>
      </c>
      <c r="K20" s="6" t="n">
        <v>-4376</v>
      </c>
      <c r="L20" s="6" t="n">
        <v>-6209</v>
      </c>
      <c r="M20" s="6" t="n">
        <v>-11768</v>
      </c>
    </row>
    <row r="21">
      <c r="A21" s="5" t="inlineStr">
        <is>
          <t>Net loans and advances to customers</t>
        </is>
      </c>
      <c r="B21" s="5" t="n"/>
      <c r="C21" s="5" t="n"/>
      <c r="D21" s="5" t="n"/>
      <c r="E21" s="5" t="n"/>
      <c r="F21" s="5" t="n"/>
      <c r="G21" s="5" t="n"/>
      <c r="H21" s="5" t="n"/>
      <c r="I21" s="5" t="n"/>
      <c r="J21" s="5" t="n">
        <v>1407200</v>
      </c>
      <c r="K21" s="5" t="n">
        <v>1083922</v>
      </c>
      <c r="L21" s="5" t="n">
        <v>820807</v>
      </c>
      <c r="M21" s="5" t="n">
        <v>617976</v>
      </c>
    </row>
    <row r="22">
      <c r="A22" s="6" t="inlineStr">
        <is>
          <t>Neither past due nor impaired</t>
        </is>
      </c>
      <c r="B22" s="6" t="n"/>
      <c r="C22" s="6" t="n"/>
      <c r="D22" s="6" t="n"/>
      <c r="E22" s="6" t="n"/>
      <c r="F22" s="6" t="n"/>
      <c r="G22" s="6" t="n"/>
      <c r="H22" s="6" t="n"/>
      <c r="I22" s="6" t="n"/>
      <c r="J22" s="6" t="n">
        <v>1373534</v>
      </c>
      <c r="K22" s="6" t="n">
        <v>1064883</v>
      </c>
      <c r="L22" s="6" t="n">
        <v>797582</v>
      </c>
      <c r="M22" s="6" t="n">
        <v>579666</v>
      </c>
    </row>
    <row r="23">
      <c r="A23" s="6" t="inlineStr">
        <is>
          <t>Past due but not impaired</t>
        </is>
      </c>
      <c r="B23" s="6" t="n"/>
      <c r="C23" s="6" t="n"/>
      <c r="D23" s="6" t="n"/>
      <c r="E23" s="6" t="n"/>
      <c r="F23" s="6" t="n"/>
      <c r="G23" s="6" t="n"/>
      <c r="H23" s="6" t="n"/>
      <c r="I23" s="6" t="n"/>
      <c r="J23" s="6" t="n">
        <v>34850</v>
      </c>
      <c r="K23" s="6" t="n">
        <v>18330</v>
      </c>
      <c r="L23" s="6" t="n">
        <v>19698</v>
      </c>
      <c r="M23" s="6" t="n">
        <v>33370</v>
      </c>
    </row>
    <row r="24">
      <c r="A24" s="6" t="inlineStr">
        <is>
          <t>Impaired</t>
        </is>
      </c>
      <c r="B24" s="6" t="n"/>
      <c r="C24" s="6" t="n"/>
      <c r="D24" s="6" t="n"/>
      <c r="E24" s="6" t="n"/>
      <c r="F24" s="6" t="n"/>
      <c r="G24" s="6" t="n"/>
      <c r="H24" s="6" t="n"/>
      <c r="I24" s="6" t="n"/>
      <c r="J24" s="6" t="n">
        <v>2871</v>
      </c>
      <c r="K24" s="6" t="n">
        <v>5085</v>
      </c>
      <c r="L24" s="6" t="n">
        <v>9736</v>
      </c>
      <c r="M24" s="6" t="n">
        <v>16708</v>
      </c>
    </row>
    <row r="25">
      <c r="A25" s="5" t="inlineStr">
        <is>
          <t>Total gross loans and advances (credit-quality analysis)</t>
        </is>
      </c>
      <c r="B25" s="5" t="n"/>
      <c r="C25" s="5" t="n"/>
      <c r="D25" s="5" t="n"/>
      <c r="E25" s="5" t="n"/>
      <c r="F25" s="5" t="n"/>
      <c r="G25" s="5" t="n"/>
      <c r="H25" s="5" t="n"/>
      <c r="I25" s="5" t="n"/>
      <c r="J25" s="5" t="n">
        <v>1411255</v>
      </c>
      <c r="K25" s="5" t="n">
        <v>1088298</v>
      </c>
      <c r="L25" s="5" t="n">
        <v>827016</v>
      </c>
      <c r="M25" s="5" t="n">
        <v>629744</v>
      </c>
    </row>
    <row r="26">
      <c r="A26" s="5" t="inlineStr">
        <is>
          <t>Ageing of past due but not impaired loans and advances (Legacy IAS 39 basis)</t>
        </is>
      </c>
      <c r="B26" s="6" t="n"/>
      <c r="C26" s="6" t="n"/>
      <c r="D26" s="6" t="n"/>
      <c r="E26" s="6" t="n"/>
      <c r="F26" s="6" t="n"/>
      <c r="G26" s="6" t="n"/>
      <c r="H26" s="6" t="n"/>
      <c r="I26" s="6" t="n"/>
      <c r="J26" s="6" t="n"/>
      <c r="K26" s="6" t="n"/>
      <c r="L26" s="6" t="n"/>
      <c r="M26" s="6" t="n"/>
    </row>
    <row r="27">
      <c r="A27" s="6" t="inlineStr">
        <is>
          <t>Up to 30 days</t>
        </is>
      </c>
      <c r="B27" s="6" t="n"/>
      <c r="C27" s="6" t="n"/>
      <c r="D27" s="6" t="n"/>
      <c r="E27" s="6" t="n"/>
      <c r="F27" s="6" t="n"/>
      <c r="G27" s="6" t="n"/>
      <c r="H27" s="6" t="n"/>
      <c r="I27" s="6" t="n"/>
      <c r="J27" s="6" t="n">
        <v>21107</v>
      </c>
      <c r="K27" s="6" t="n">
        <v>10818</v>
      </c>
      <c r="L27" s="6" t="n">
        <v>8258</v>
      </c>
      <c r="M27" s="6" t="n">
        <v>18716</v>
      </c>
    </row>
    <row r="28">
      <c r="A28" s="6" t="inlineStr">
        <is>
          <t>31 to 90 days</t>
        </is>
      </c>
      <c r="B28" s="6" t="n"/>
      <c r="C28" s="6" t="n"/>
      <c r="D28" s="6" t="n"/>
      <c r="E28" s="6" t="n"/>
      <c r="F28" s="6" t="n"/>
      <c r="G28" s="6" t="n"/>
      <c r="H28" s="6" t="n"/>
      <c r="I28" s="6" t="n"/>
      <c r="J28" s="6" t="n">
        <v>6475</v>
      </c>
      <c r="K28" s="6" t="n">
        <v>311</v>
      </c>
      <c r="L28" s="6" t="n">
        <v>2768</v>
      </c>
      <c r="M28" s="6" t="n">
        <v>3494</v>
      </c>
    </row>
    <row r="29">
      <c r="A29" s="6" t="inlineStr">
        <is>
          <t>91 to 180 days</t>
        </is>
      </c>
      <c r="B29" s="6" t="n"/>
      <c r="C29" s="6" t="n"/>
      <c r="D29" s="6" t="n"/>
      <c r="E29" s="6" t="n"/>
      <c r="F29" s="6" t="n"/>
      <c r="G29" s="6" t="n"/>
      <c r="H29" s="6" t="n"/>
      <c r="I29" s="6" t="n"/>
      <c r="J29" s="6" t="n">
        <v>2823</v>
      </c>
      <c r="K29" s="6" t="n">
        <v>2752</v>
      </c>
      <c r="L29" s="6" t="n">
        <v>1558</v>
      </c>
      <c r="M29" s="6" t="n">
        <v>1247</v>
      </c>
    </row>
    <row r="30">
      <c r="A30" s="6" t="inlineStr">
        <is>
          <t>181 to 365 days</t>
        </is>
      </c>
      <c r="B30" s="6" t="n"/>
      <c r="C30" s="6" t="n"/>
      <c r="D30" s="6" t="n"/>
      <c r="E30" s="6" t="n"/>
      <c r="F30" s="6" t="n"/>
      <c r="G30" s="6" t="n"/>
      <c r="H30" s="6" t="n"/>
      <c r="I30" s="6" t="n"/>
      <c r="J30" s="6" t="n">
        <v>2910</v>
      </c>
      <c r="K30" s="6" t="n">
        <v>546</v>
      </c>
      <c r="L30" s="6" t="n">
        <v>649</v>
      </c>
      <c r="M30" s="6" t="n">
        <v>2118</v>
      </c>
    </row>
    <row r="31">
      <c r="A31" s="6" t="inlineStr">
        <is>
          <t>Over one year</t>
        </is>
      </c>
      <c r="B31" s="6" t="n"/>
      <c r="C31" s="6" t="n"/>
      <c r="D31" s="6" t="n"/>
      <c r="E31" s="6" t="n"/>
      <c r="F31" s="6" t="n"/>
      <c r="G31" s="6" t="n"/>
      <c r="H31" s="6" t="n"/>
      <c r="I31" s="6" t="n"/>
      <c r="J31" s="6" t="n">
        <v>1535</v>
      </c>
      <c r="K31" s="6" t="n">
        <v>3903</v>
      </c>
      <c r="L31" s="6" t="n">
        <v>6465</v>
      </c>
      <c r="M31" s="6" t="n">
        <v>7795</v>
      </c>
    </row>
    <row r="32">
      <c r="A32" s="5" t="inlineStr">
        <is>
          <t>Derived ratios (Legacy IAS 39 basis)</t>
        </is>
      </c>
      <c r="B32" s="6" t="n"/>
      <c r="C32" s="6" t="n"/>
      <c r="D32" s="6" t="n"/>
      <c r="E32" s="6" t="n"/>
      <c r="F32" s="6" t="n"/>
      <c r="G32" s="6" t="n"/>
      <c r="H32" s="6" t="n"/>
      <c r="I32" s="6" t="n"/>
      <c r="J32" s="6" t="n"/>
      <c r="K32" s="6" t="n"/>
      <c r="L32" s="6" t="n"/>
      <c r="M32" s="6" t="n"/>
    </row>
    <row r="33">
      <c r="A33" s="6" t="inlineStr">
        <is>
          <t>Impaired / total gross loans and advances</t>
        </is>
      </c>
      <c r="B33" s="6" t="n"/>
      <c r="C33" s="6" t="n"/>
      <c r="D33" s="6" t="n"/>
      <c r="E33" s="6" t="n"/>
      <c r="F33" s="6" t="n"/>
      <c r="G33" s="6" t="n"/>
      <c r="H33" s="6" t="n"/>
      <c r="I33" s="6" t="n"/>
      <c r="J33" s="6" t="inlineStr">
        <is>
          <t>0.203%</t>
        </is>
      </c>
      <c r="K33" s="6" t="inlineStr">
        <is>
          <t>0.467%</t>
        </is>
      </c>
      <c r="L33" s="6" t="inlineStr">
        <is>
          <t>1.177%</t>
        </is>
      </c>
      <c r="M33" s="6" t="inlineStr">
        <is>
          <t>2.653%</t>
        </is>
      </c>
    </row>
    <row r="34">
      <c r="A34" s="6" t="inlineStr">
        <is>
          <t>Total provisions / total gross loans and advances (overall coverage)</t>
        </is>
      </c>
      <c r="B34" s="6" t="n"/>
      <c r="C34" s="6" t="n"/>
      <c r="D34" s="6" t="n"/>
      <c r="E34" s="6" t="n"/>
      <c r="F34" s="6" t="n"/>
      <c r="G34" s="6" t="n"/>
      <c r="H34" s="6" t="n"/>
      <c r="I34" s="6" t="n"/>
      <c r="J34" s="6" t="inlineStr">
        <is>
          <t>0.287%</t>
        </is>
      </c>
      <c r="K34" s="6" t="inlineStr">
        <is>
          <t>0.402%</t>
        </is>
      </c>
      <c r="L34" s="6" t="inlineStr">
        <is>
          <t>0.751%</t>
        </is>
      </c>
      <c r="M34" s="6" t="inlineStr">
        <is>
          <t>1.869%</t>
        </is>
      </c>
    </row>
    <row r="36" ht="420" customHeight="1">
      <c r="A36" s="8" t="inlineStr">
        <is>
          <t>Sources - Cynergy Bank Plc's own Credit Risk note (IFRS 9 staging, Consolidated Loans + Overdrafts gross carrying amount and ECL reconciliation tables combined):
FY2025 (&amp; FY2024 own-report comparative used for cross-check only): Annual Report &amp; Accounts 2025, Note 15/Credit risk section, p.65-67 - https://assets.ctfassets.net/xzmqg68ot16t/1aUkuB7BcAd8Pj5Kq0RNqh/101ced4af6be2d55cd37fad3542829b2/Cynergy_Bank_-_Annual_Report_2025.pdf
FY2024 (own) &amp; FY2023 (own-report comparative, cross-checked against AR2023's own FY2023 figures): Annual Report &amp; Accounts 2024, p.113-118 - https://assets.ctfassets.net/xzmqg68ot16t/2AeSbXsBP7fwKhngGTLWxb/ca86e60128ab83d41842b85ae74aa326/Annual_Report_2024.pdf
FY2022 (own, via AR2023's own comparative column) &amp; the FY2021 closing balance (via AR2023's own 'At 1 January 2022' opening-balance row, which is FY2021's own closing balance): Annual Report &amp; Accounts 2023, p.123-126 - https://assets.ctfassets.net/xzmqg68ot16t/2oPLoaeUJ2c4kRJcNMSyMp/54230fc39821a0d6ede6f81f1c7528ce/Cynergy_Bank_Limited_-_Annual_Report_2023.pdf
FY2020 (own): Cynergy Bank Limited Annual Report &amp; Accounts 2020 (Companies House filing, scanned), Note 17 (Loans and advances to customers), p.89-91 - https://find-and-update.company-information.service.gov.uk/company/04728421/filing-history/MzMwMTMwNjM2MWFkaXF6a2N4/document?format=pdf&amp;download=0
FY2019 (own): Cynergy Bank Limited Annual Report &amp; Accounts 2019 (Companies House filing, scanned), Note 17, p.81-83 - https://find-and-update.company-information.service.gov.uk/company/04728421/filing-history/MzI2ODIzMzE4NmFkaXF6a2N4/document?format=pdf&amp;download=0
FY2018 (own): Cynergy Bank Limited Annual Report &amp; Accounts 2018 (Companies House filing, scanned), Note 17, p.43-45 - https://find-and-update.company-information.service.gov.uk/company/04728421/filing-history/MzI0NTUxMzA1N2FkaXF6a2N4/document?format=pdf&amp;download=0
FY2017 (own): Bank of Cyprus UK Limited Annual Report &amp; Accounts 2017 (Companies House filing, scanned), Note 17, p.35, Company-only basis - https://find-and-update.company-information.service.gov.uk/company/04728421/filing-history/MzIwNjAyOTg3MmFkaXF6a2N4/document?format=pdf&amp;download=0
FY2016 (own): Bank of Cyprus UK Limited Annual Report &amp; Accounts 2016 (Companies House filing, scanned), Note 17, p.29, Company-only basis - https://find-and-update.company-information.service.gov.uk/company/04728421/filing-history/MzE4MTU5MjQyMmFkaXF6a2N4/document?format=pdf&amp;download=0
FY2015 (own): Bank of Cyprus UK Limited Annual Report &amp; Accounts 2015 (Companies House filing, scanned), Note 16, p.20, Company-only basis - https://find-and-update.company-information.service.gov.uk/company/04728421/filing-history/MzE0NDMzNzcwNGFkaXF6a2N4/document?format=pdf&amp;download=0
FY2014 (own): Bank of Cyprus UK Limited Annual Report &amp; Accounts 2014 (Companies House filing, scanned), Note 16, p.24,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FY2021's stage split is the FY2021 closing balance recovered from FY2022's own reconciliation table 'At 1 January' row (the FY2021 Annual Report's own credit risk note was not independently re-checked) - same 'sourced from the following year's own comparative' pattern used elsewhere in this project. Ratios (Stage 3/Total gross exposure, Total ECL/Total gross exposure coverage, Stage 3 coverage) are calculated from the gross carrying amount and ECL figures above, not separately disclosed.
HD-051 note: FY2014-FY2017 predate IFRS 9 (effective 1 Jan 2018) and use the IAS 39 incurred-loss framework instead of the IFRS 9 expected-credit-loss stage model used from FY2018 onward - these years are shown in a separate 'Legacy IAS 39 basis' section using that era's own terminology ('neither past due nor impaired' / 'past due but not impaired' / 'impaired', with an arrears-ageing analysis of the past-due-but-not-impaired category), not forced into the Stage 1/2/3 framework, and not skipped. Figures are Bank of Cyprus UK Limited's own Company-only (non-consolidated) Loans and advances to customers note (Loans + Overdrafts columns summed) for each year's own Annual Report - same Companies House filings already used for the Balance Sheet/P&amp;L/Cash Flow sheets, re-read for this note specifically (no new documents sourced). FY2018 is the first year presented under IFRS 9's Stage 1/2/3 model (Cynergy Bank Limited's own FY2018 Annual Report note 17 already discloses the gross-carrying and ECL tables by stage, individual/collective-split that first year only) and is included directly in the IFRS 9 section above, not as a separate transitional block - no further transitional treatment was needed because the FY2018 report itself already presents the post-transition Stage 1/2/3 basis in full.
FY2019 Stage 2 ECL is a balancing figure, not a direct transcription: the FY2019 Annual Report's Overdrafts ECL movement table (scanned filing) was faint enough that its own reported per-stage 'Total' row (£110k) did not sum from its own individually-legible Stage 1/2/3 cells (£31k/£40k/£69k = £140k, not £110k) - rather than transcribe an internally-inconsistent reading, the Overdrafts Stage 2 figure is backed out as £110k - £31k - £69k = £10k so that the combined Stage 1/2/3 ECL ties exactly to the report's own disclosed combined total of £3,740k; this affects only the Stage 2 ECL split, not any total.</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KM1 Key Metrics</t>
        </is>
      </c>
    </row>
    <row r="2">
      <c r="A2" s="2" t="inlineStr">
        <is>
          <t>The Bank's own published UK key-metrics (KM1) table, reproduced in Cynergy's row order and printed precision, Consolidated Bank basis. Cynergy prints this table in only two editions (2022 and 2023) and prints no template row numbers in either. AMOUNT ROWS ARE NOT ONE UNIT: the 2023 edition prints £'000, the 2022 edition whole pounds, and each year keeps its own edition's presentation, so every amount row appears TWICE - once captioned (£'000) carrying FY2023, once captioned (£) carrying FY2022/FY2021. Those pairs are the same published row in two units, not two disclosures, and nothing is rescaled. FY2024/FY2025 are blank because Cynergy became an SDDT on 17 January 2025 and no longer publishes Pillar 3; FY2020 and earlier predate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Available own funds (amounts)</t>
        </is>
      </c>
      <c r="B4" s="6" t="n"/>
      <c r="C4" s="6" t="n"/>
      <c r="D4" s="6" t="n"/>
      <c r="E4" s="6" t="n"/>
      <c r="F4" s="6" t="n"/>
      <c r="G4" s="6" t="n"/>
      <c r="H4" s="6" t="n"/>
      <c r="I4" s="6" t="n"/>
      <c r="J4" s="6" t="n"/>
      <c r="K4" s="6" t="n"/>
      <c r="L4" s="6" t="n"/>
      <c r="M4" s="6" t="n"/>
    </row>
    <row r="5">
      <c r="A5" s="6" t="inlineStr">
        <is>
          <t>Common Equity Tier 1 (CET1) capital (£'000 — the 2023 edition's own stated unit)</t>
        </is>
      </c>
      <c r="B5" s="6" t="n"/>
      <c r="C5" s="6" t="n"/>
      <c r="D5" s="6" t="n">
        <v>306251</v>
      </c>
      <c r="E5" s="6" t="n"/>
      <c r="F5" s="6" t="n"/>
      <c r="G5" s="6" t="n"/>
      <c r="H5" s="6" t="n"/>
      <c r="I5" s="6" t="n"/>
      <c r="J5" s="6" t="n"/>
      <c r="K5" s="6" t="n"/>
      <c r="L5" s="6" t="n"/>
      <c r="M5" s="6" t="n"/>
    </row>
    <row r="6">
      <c r="A6" s="6" t="inlineStr">
        <is>
          <t>Common Equity Tier 1 (CET1) capital (£ — whole pounds, as the 2022 edition prints it; that edition states no unit at all)</t>
        </is>
      </c>
      <c r="B6" s="6" t="n"/>
      <c r="C6" s="6" t="n"/>
      <c r="D6" s="6" t="n"/>
      <c r="E6" s="6" t="inlineStr">
        <is>
          <t>287,446,662</t>
        </is>
      </c>
      <c r="F6" s="6" t="inlineStr">
        <is>
          <t>197,331,379</t>
        </is>
      </c>
      <c r="G6" s="6" t="n"/>
      <c r="H6" s="6" t="n"/>
      <c r="I6" s="6" t="n"/>
      <c r="J6" s="6" t="n"/>
      <c r="K6" s="6" t="n"/>
      <c r="L6" s="6" t="n"/>
      <c r="M6" s="6" t="n"/>
    </row>
    <row r="7">
      <c r="A7" s="6" t="inlineStr">
        <is>
          <t>Tier 1 capital (£'000 — the 2023 edition's own stated unit)</t>
        </is>
      </c>
      <c r="B7" s="6" t="n"/>
      <c r="C7" s="6" t="n"/>
      <c r="D7" s="6" t="n">
        <v>306251</v>
      </c>
      <c r="E7" s="6" t="n"/>
      <c r="F7" s="6" t="n"/>
      <c r="G7" s="6" t="n"/>
      <c r="H7" s="6" t="n"/>
      <c r="I7" s="6" t="n"/>
      <c r="J7" s="6" t="n"/>
      <c r="K7" s="6" t="n"/>
      <c r="L7" s="6" t="n"/>
      <c r="M7" s="6" t="n"/>
    </row>
    <row r="8">
      <c r="A8" s="6" t="inlineStr">
        <is>
          <t>Tier 1 capital (£ — whole pounds, as the 2022 edition prints it; that edition states no unit at all)</t>
        </is>
      </c>
      <c r="B8" s="6" t="n"/>
      <c r="C8" s="6" t="n"/>
      <c r="D8" s="6" t="n"/>
      <c r="E8" s="6" t="inlineStr">
        <is>
          <t>287,446,662</t>
        </is>
      </c>
      <c r="F8" s="6" t="inlineStr">
        <is>
          <t>197,331,379</t>
        </is>
      </c>
      <c r="G8" s="6" t="n"/>
      <c r="H8" s="6" t="n"/>
      <c r="I8" s="6" t="n"/>
      <c r="J8" s="6" t="n"/>
      <c r="K8" s="6" t="n"/>
      <c r="L8" s="6" t="n"/>
      <c r="M8" s="6" t="n"/>
    </row>
    <row r="9">
      <c r="A9" s="6" t="inlineStr">
        <is>
          <t>Total capital (£'000 — the 2023 edition's own stated unit)</t>
        </is>
      </c>
      <c r="B9" s="6" t="n"/>
      <c r="C9" s="6" t="n"/>
      <c r="D9" s="6" t="n">
        <v>321251</v>
      </c>
      <c r="E9" s="6" t="n"/>
      <c r="F9" s="6" t="n"/>
      <c r="G9" s="6" t="n"/>
      <c r="H9" s="6" t="n"/>
      <c r="I9" s="6" t="n"/>
      <c r="J9" s="6" t="n"/>
      <c r="K9" s="6" t="n"/>
      <c r="L9" s="6" t="n"/>
      <c r="M9" s="6" t="n"/>
    </row>
    <row r="10">
      <c r="A10" s="6" t="inlineStr">
        <is>
          <t>Total capital (£ — whole pounds, as the 2022 edition prints it; that edition states no unit at all)</t>
        </is>
      </c>
      <c r="B10" s="6" t="n"/>
      <c r="C10" s="6" t="n"/>
      <c r="D10" s="6" t="n"/>
      <c r="E10" s="6" t="inlineStr">
        <is>
          <t>287,446,662</t>
        </is>
      </c>
      <c r="F10" s="6" t="inlineStr">
        <is>
          <t>227,199,733</t>
        </is>
      </c>
      <c r="G10" s="6" t="n"/>
      <c r="H10" s="6" t="n"/>
      <c r="I10" s="6" t="n"/>
      <c r="J10" s="6" t="n"/>
      <c r="K10" s="6" t="n"/>
      <c r="L10" s="6" t="n"/>
      <c r="M10" s="6" t="n"/>
    </row>
    <row r="11">
      <c r="A11" s="5" t="inlineStr">
        <is>
          <t>Risk-weighted exposure amounts</t>
        </is>
      </c>
      <c r="B11" s="6" t="n"/>
      <c r="C11" s="6" t="n"/>
      <c r="D11" s="6" t="n"/>
      <c r="E11" s="6" t="n"/>
      <c r="F11" s="6" t="n"/>
      <c r="G11" s="6" t="n"/>
      <c r="H11" s="6" t="n"/>
      <c r="I11" s="6" t="n"/>
      <c r="J11" s="6" t="n"/>
      <c r="K11" s="6" t="n"/>
      <c r="L11" s="6" t="n"/>
      <c r="M11" s="6" t="n"/>
    </row>
    <row r="12">
      <c r="A12" s="6" t="inlineStr">
        <is>
          <t>Total risk-weighted exposure amount (£'000 — the 2023 edition's own stated unit)</t>
        </is>
      </c>
      <c r="B12" s="6" t="n"/>
      <c r="C12" s="6" t="n"/>
      <c r="D12" s="6" t="n">
        <v>2084246</v>
      </c>
      <c r="E12" s="6" t="n"/>
      <c r="F12" s="6" t="n"/>
      <c r="G12" s="6" t="n"/>
      <c r="H12" s="6" t="n"/>
      <c r="I12" s="6" t="n"/>
      <c r="J12" s="6" t="n"/>
      <c r="K12" s="6" t="n"/>
      <c r="L12" s="6" t="n"/>
      <c r="M12" s="6" t="n"/>
    </row>
    <row r="13">
      <c r="A13" s="6" t="inlineStr">
        <is>
          <t>Total risk-weighted exposure amount (£ — whole pounds, as the 2022 edition prints it; that edition states no unit at all)</t>
        </is>
      </c>
      <c r="B13" s="6" t="n"/>
      <c r="C13" s="6" t="n"/>
      <c r="D13" s="6" t="n"/>
      <c r="E13" s="6" t="inlineStr">
        <is>
          <t>1,822,159,262</t>
        </is>
      </c>
      <c r="F13" s="6" t="inlineStr">
        <is>
          <t>1,417,122,603</t>
        </is>
      </c>
      <c r="G13" s="6" t="n"/>
      <c r="H13" s="6" t="n"/>
      <c r="I13" s="6" t="n"/>
      <c r="J13" s="6" t="n"/>
      <c r="K13" s="6" t="n"/>
      <c r="L13" s="6" t="n"/>
      <c r="M13" s="6" t="n"/>
    </row>
    <row r="14">
      <c r="A14" s="5" t="inlineStr">
        <is>
          <t>Capital ratios (as a percentage of risk-weighted exposure amount)</t>
        </is>
      </c>
      <c r="B14" s="6" t="n"/>
      <c r="C14" s="6" t="n"/>
      <c r="D14" s="6" t="n"/>
      <c r="E14" s="6" t="n"/>
      <c r="F14" s="6" t="n"/>
      <c r="G14" s="6" t="n"/>
      <c r="H14" s="6" t="n"/>
      <c r="I14" s="6" t="n"/>
      <c r="J14" s="6" t="n"/>
      <c r="K14" s="6" t="n"/>
      <c r="L14" s="6" t="n"/>
      <c r="M14" s="6" t="n"/>
    </row>
    <row r="15">
      <c r="A15" s="6" t="inlineStr">
        <is>
          <t>Common Equity Tier 1 ratio (%)</t>
        </is>
      </c>
      <c r="B15" s="6" t="n"/>
      <c r="C15" s="6" t="n"/>
      <c r="D15" s="6" t="inlineStr">
        <is>
          <t>14.69%</t>
        </is>
      </c>
      <c r="E15" s="6" t="inlineStr">
        <is>
          <t>15.78%</t>
        </is>
      </c>
      <c r="F15" s="6" t="inlineStr">
        <is>
          <t>13.92%</t>
        </is>
      </c>
      <c r="G15" s="6" t="n"/>
      <c r="H15" s="6" t="n"/>
      <c r="I15" s="6" t="n"/>
      <c r="J15" s="6" t="n"/>
      <c r="K15" s="6" t="n"/>
      <c r="L15" s="6" t="n"/>
      <c r="M15" s="6" t="n"/>
    </row>
    <row r="16">
      <c r="A16" s="6" t="inlineStr">
        <is>
          <t>Tier 1 ratio (%)</t>
        </is>
      </c>
      <c r="B16" s="6" t="n"/>
      <c r="C16" s="6" t="n"/>
      <c r="D16" s="6" t="inlineStr">
        <is>
          <t>14.69%</t>
        </is>
      </c>
      <c r="E16" s="6" t="inlineStr">
        <is>
          <t>15.78%</t>
        </is>
      </c>
      <c r="F16" s="6" t="inlineStr">
        <is>
          <t>13.92%</t>
        </is>
      </c>
      <c r="G16" s="6" t="n"/>
      <c r="H16" s="6" t="n"/>
      <c r="I16" s="6" t="n"/>
      <c r="J16" s="6" t="n"/>
      <c r="K16" s="6" t="n"/>
      <c r="L16" s="6" t="n"/>
      <c r="M16" s="6" t="n"/>
    </row>
    <row r="17">
      <c r="A17" s="6" t="inlineStr">
        <is>
          <t>Total capital ratio (%)</t>
        </is>
      </c>
      <c r="B17" s="6" t="n"/>
      <c r="C17" s="6" t="n"/>
      <c r="D17" s="6" t="inlineStr">
        <is>
          <t>15.41%</t>
        </is>
      </c>
      <c r="E17" s="6" t="inlineStr">
        <is>
          <t>15.78%</t>
        </is>
      </c>
      <c r="F17" s="6" t="inlineStr">
        <is>
          <t>16.03%</t>
        </is>
      </c>
      <c r="G17" s="6" t="n"/>
      <c r="H17" s="6" t="n"/>
      <c r="I17" s="6" t="n"/>
      <c r="J17" s="6" t="n"/>
      <c r="K17" s="6" t="n"/>
      <c r="L17" s="6" t="n"/>
      <c r="M17" s="6" t="n"/>
    </row>
    <row r="18">
      <c r="A18" s="5" t="inlineStr">
        <is>
          <t>Additional own funds requirements based on SREP (as a percentage of risk-weighted exposure amount)</t>
        </is>
      </c>
      <c r="B18" s="6" t="n"/>
      <c r="C18" s="6" t="n"/>
      <c r="D18" s="6" t="n"/>
      <c r="E18" s="6" t="n"/>
      <c r="F18" s="6" t="n"/>
      <c r="G18" s="6" t="n"/>
      <c r="H18" s="6" t="n"/>
      <c r="I18" s="6" t="n"/>
      <c r="J18" s="6" t="n"/>
      <c r="K18" s="6" t="n"/>
      <c r="L18" s="6" t="n"/>
      <c r="M18" s="6" t="n"/>
    </row>
    <row r="19">
      <c r="A19" s="6" t="inlineStr">
        <is>
          <t>Additional CET1 SREP requirements (%)</t>
        </is>
      </c>
      <c r="B19" s="6" t="n"/>
      <c r="C19" s="6" t="n"/>
      <c r="D19" s="6" t="inlineStr">
        <is>
          <t>0.00%</t>
        </is>
      </c>
      <c r="E19" s="6" t="inlineStr">
        <is>
          <t>0.50%</t>
        </is>
      </c>
      <c r="F19" s="6" t="inlineStr">
        <is>
          <t>1.06%</t>
        </is>
      </c>
      <c r="G19" s="6" t="n"/>
      <c r="H19" s="6" t="n"/>
      <c r="I19" s="6" t="n"/>
      <c r="J19" s="6" t="n"/>
      <c r="K19" s="6" t="n"/>
      <c r="L19" s="6" t="n"/>
      <c r="M19" s="6" t="n"/>
    </row>
    <row r="20">
      <c r="A20" s="6" t="inlineStr">
        <is>
          <t>Total SREP own funds requirements (%)</t>
        </is>
      </c>
      <c r="B20" s="6" t="n"/>
      <c r="C20" s="6" t="n"/>
      <c r="D20" s="6" t="inlineStr">
        <is>
          <t>8.51%</t>
        </is>
      </c>
      <c r="E20" s="6" t="inlineStr">
        <is>
          <t>9.60%</t>
        </is>
      </c>
      <c r="F20" s="6" t="inlineStr">
        <is>
          <t>9.60%</t>
        </is>
      </c>
      <c r="G20" s="6" t="n"/>
      <c r="H20" s="6" t="n"/>
      <c r="I20" s="6" t="n"/>
      <c r="J20" s="6" t="n"/>
      <c r="K20" s="6" t="n"/>
      <c r="L20" s="6" t="n"/>
      <c r="M20" s="6" t="n"/>
    </row>
    <row r="21">
      <c r="A21" s="5" t="inlineStr">
        <is>
          <t>Combined buffer requirement (as a percentage of risk-weighted exposure amount)</t>
        </is>
      </c>
      <c r="B21" s="6" t="n"/>
      <c r="C21" s="6" t="n"/>
      <c r="D21" s="6" t="n"/>
      <c r="E21" s="6" t="n"/>
      <c r="F21" s="6" t="n"/>
      <c r="G21" s="6" t="n"/>
      <c r="H21" s="6" t="n"/>
      <c r="I21" s="6" t="n"/>
      <c r="J21" s="6" t="n"/>
      <c r="K21" s="6" t="n"/>
      <c r="L21" s="6" t="n"/>
      <c r="M21" s="6" t="n"/>
    </row>
    <row r="22">
      <c r="A22" s="6" t="inlineStr">
        <is>
          <t>Capital conservation buffer (%)</t>
        </is>
      </c>
      <c r="B22" s="6" t="n"/>
      <c r="C22" s="6" t="n"/>
      <c r="D22" s="6" t="inlineStr">
        <is>
          <t>2.50%</t>
        </is>
      </c>
      <c r="E22" s="6" t="inlineStr">
        <is>
          <t>2.50%</t>
        </is>
      </c>
      <c r="F22" s="6" t="inlineStr">
        <is>
          <t>2.50%</t>
        </is>
      </c>
      <c r="G22" s="6" t="n"/>
      <c r="H22" s="6" t="n"/>
      <c r="I22" s="6" t="n"/>
      <c r="J22" s="6" t="n"/>
      <c r="K22" s="6" t="n"/>
      <c r="L22" s="6" t="n"/>
      <c r="M22" s="6" t="n"/>
    </row>
    <row r="23">
      <c r="A23" s="6" t="inlineStr">
        <is>
          <t>Institution specific countercyclical capital buffer (%)</t>
        </is>
      </c>
      <c r="B23" s="6" t="n"/>
      <c r="C23" s="6" t="n"/>
      <c r="D23" s="6" t="inlineStr">
        <is>
          <t>2.00%</t>
        </is>
      </c>
      <c r="E23" s="6" t="inlineStr">
        <is>
          <t>1%</t>
        </is>
      </c>
      <c r="F23" s="6" t="inlineStr">
        <is>
          <t>0%</t>
        </is>
      </c>
      <c r="G23" s="6" t="n"/>
      <c r="H23" s="6" t="n"/>
      <c r="I23" s="6" t="n"/>
      <c r="J23" s="6" t="n"/>
      <c r="K23" s="6" t="n"/>
      <c r="L23" s="6" t="n"/>
      <c r="M23" s="6" t="n"/>
    </row>
    <row r="24">
      <c r="A24" s="6" t="inlineStr">
        <is>
          <t>Combined buffer requirement (%)</t>
        </is>
      </c>
      <c r="B24" s="6" t="n"/>
      <c r="C24" s="6" t="n"/>
      <c r="D24" s="6" t="inlineStr">
        <is>
          <t>4.50%</t>
        </is>
      </c>
      <c r="E24" s="6" t="inlineStr">
        <is>
          <t>3.50%</t>
        </is>
      </c>
      <c r="F24" s="6" t="inlineStr">
        <is>
          <t>2.50%</t>
        </is>
      </c>
      <c r="G24" s="6" t="n"/>
      <c r="H24" s="6" t="n"/>
      <c r="I24" s="6" t="n"/>
      <c r="J24" s="6" t="n"/>
      <c r="K24" s="6" t="n"/>
      <c r="L24" s="6" t="n"/>
      <c r="M24" s="6" t="n"/>
    </row>
    <row r="25">
      <c r="A25" s="6" t="inlineStr">
        <is>
          <t>Overall capital requirements (%)</t>
        </is>
      </c>
      <c r="B25" s="6" t="n"/>
      <c r="C25" s="6" t="n"/>
      <c r="D25" s="6" t="inlineStr">
        <is>
          <t>13.01%</t>
        </is>
      </c>
      <c r="E25" s="6" t="inlineStr">
        <is>
          <t>13.60%</t>
        </is>
      </c>
      <c r="F25" s="6" t="inlineStr">
        <is>
          <t>13.16%</t>
        </is>
      </c>
      <c r="G25" s="6" t="n"/>
      <c r="H25" s="6" t="n"/>
      <c r="I25" s="6" t="n"/>
      <c r="J25" s="6" t="n"/>
      <c r="K25" s="6" t="n"/>
      <c r="L25" s="6" t="n"/>
      <c r="M25" s="6" t="n"/>
    </row>
    <row r="26">
      <c r="A26" s="6" t="inlineStr">
        <is>
          <t>CET1 available after meeting the total SREP own funds requirements (%)</t>
        </is>
      </c>
      <c r="B26" s="6" t="n"/>
      <c r="C26" s="6" t="n"/>
      <c r="D26" s="6" t="inlineStr">
        <is>
          <t>6.18%</t>
        </is>
      </c>
      <c r="E26" s="6" t="inlineStr">
        <is>
          <t>5.66%</t>
        </is>
      </c>
      <c r="F26" s="6" t="inlineStr">
        <is>
          <t>3.26%</t>
        </is>
      </c>
      <c r="G26" s="6" t="n"/>
      <c r="H26" s="6" t="n"/>
      <c r="I26" s="6" t="n"/>
      <c r="J26" s="6" t="n"/>
      <c r="K26" s="6" t="n"/>
      <c r="L26" s="6" t="n"/>
      <c r="M26" s="6" t="n"/>
    </row>
    <row r="27">
      <c r="A27" s="5" t="inlineStr">
        <is>
          <t>Leverage ratio</t>
        </is>
      </c>
      <c r="B27" s="6" t="n"/>
      <c r="C27" s="6" t="n"/>
      <c r="D27" s="6" t="n"/>
      <c r="E27" s="6" t="n"/>
      <c r="F27" s="6" t="n"/>
      <c r="G27" s="6" t="n"/>
      <c r="H27" s="6" t="n"/>
      <c r="I27" s="6" t="n"/>
      <c r="J27" s="6" t="n"/>
      <c r="K27" s="6" t="n"/>
      <c r="L27" s="6" t="n"/>
      <c r="M27" s="6" t="n"/>
    </row>
    <row r="28">
      <c r="A28" s="6" t="inlineStr">
        <is>
          <t>Leverage ratio total exposure measure (£'000 — the 2023 edition's own stated unit)</t>
        </is>
      </c>
      <c r="B28" s="6" t="n"/>
      <c r="C28" s="6" t="n"/>
      <c r="D28" s="6" t="n">
        <v>4398669</v>
      </c>
      <c r="E28" s="6" t="n"/>
      <c r="F28" s="6" t="n"/>
      <c r="G28" s="6" t="n"/>
      <c r="H28" s="6" t="n"/>
      <c r="I28" s="6" t="n"/>
      <c r="J28" s="6" t="n"/>
      <c r="K28" s="6" t="n"/>
      <c r="L28" s="6" t="n"/>
      <c r="M28" s="6" t="n"/>
    </row>
    <row r="29">
      <c r="A29" s="6" t="inlineStr">
        <is>
          <t>Leverage ratio total exposure measure (£ — whole pounds, as the 2022 edition prints it; that edition states no unit at all)</t>
        </is>
      </c>
      <c r="B29" s="6" t="n"/>
      <c r="C29" s="6" t="n"/>
      <c r="D29" s="6" t="n"/>
      <c r="E29" s="6" t="inlineStr">
        <is>
          <t>3,886,578,610</t>
        </is>
      </c>
      <c r="F29" s="6" t="inlineStr">
        <is>
          <t>3,611,450,020</t>
        </is>
      </c>
      <c r="G29" s="6" t="n"/>
      <c r="H29" s="6" t="n"/>
      <c r="I29" s="6" t="n"/>
      <c r="J29" s="6" t="n"/>
      <c r="K29" s="6" t="n"/>
      <c r="L29" s="6" t="n"/>
      <c r="M29" s="6" t="n"/>
    </row>
    <row r="30">
      <c r="A30" s="6" t="inlineStr">
        <is>
          <t>Leverage ratio</t>
        </is>
      </c>
      <c r="B30" s="6" t="n"/>
      <c r="C30" s="6" t="n"/>
      <c r="D30" s="6" t="inlineStr">
        <is>
          <t>6.96%</t>
        </is>
      </c>
      <c r="E30" s="6" t="inlineStr">
        <is>
          <t>7.40%</t>
        </is>
      </c>
      <c r="F30" s="6" t="inlineStr">
        <is>
          <t>5.46%</t>
        </is>
      </c>
      <c r="G30" s="6" t="n"/>
      <c r="H30" s="6" t="n"/>
      <c r="I30" s="6" t="n"/>
      <c r="J30" s="6" t="n"/>
      <c r="K30" s="6" t="n"/>
      <c r="L30" s="6" t="n"/>
      <c r="M30" s="6" t="n"/>
    </row>
    <row r="31">
      <c r="A31" s="5" t="inlineStr">
        <is>
          <t>Liquidity Coverage Ratio</t>
        </is>
      </c>
      <c r="B31" s="6" t="n"/>
      <c r="C31" s="6" t="n"/>
      <c r="D31" s="6" t="n"/>
      <c r="E31" s="6" t="n"/>
      <c r="F31" s="6" t="n"/>
      <c r="G31" s="6" t="n"/>
      <c r="H31" s="6" t="n"/>
      <c r="I31" s="6" t="n"/>
      <c r="J31" s="6" t="n"/>
      <c r="K31" s="6" t="n"/>
      <c r="L31" s="6" t="n"/>
      <c r="M31" s="6" t="n"/>
    </row>
    <row r="32">
      <c r="A32" s="6" t="inlineStr">
        <is>
          <t>Total high-quality liquid assets (HQLA) (Weighted value - average) (£'000 — the 2023 edition's own stated unit)</t>
        </is>
      </c>
      <c r="B32" s="6" t="n"/>
      <c r="C32" s="6" t="n"/>
      <c r="D32" s="6" t="n">
        <v>714224</v>
      </c>
      <c r="E32" s="6" t="n"/>
      <c r="F32" s="6" t="n"/>
      <c r="G32" s="6" t="n"/>
      <c r="H32" s="6" t="n"/>
      <c r="I32" s="6" t="n"/>
      <c r="J32" s="6" t="n"/>
      <c r="K32" s="6" t="n"/>
      <c r="L32" s="6" t="n"/>
      <c r="M32" s="6" t="n"/>
    </row>
    <row r="33">
      <c r="A33" s="6" t="inlineStr">
        <is>
          <t>Total high-quality liquid assets (HQLA) (Weighted value - average) (£ — whole pounds, as the 2022 edition prints it; that edition states no unit at all)</t>
        </is>
      </c>
      <c r="B33" s="6" t="n"/>
      <c r="C33" s="6" t="n"/>
      <c r="D33" s="6" t="n"/>
      <c r="E33" s="6" t="inlineStr">
        <is>
          <t>602,316,820</t>
        </is>
      </c>
      <c r="F33" s="6" t="inlineStr">
        <is>
          <t>395,795,983</t>
        </is>
      </c>
      <c r="G33" s="6" t="n"/>
      <c r="H33" s="6" t="n"/>
      <c r="I33" s="6" t="n"/>
      <c r="J33" s="6" t="n"/>
      <c r="K33" s="6" t="n"/>
      <c r="L33" s="6" t="n"/>
      <c r="M33" s="6" t="n"/>
    </row>
    <row r="34">
      <c r="A34" s="6" t="inlineStr">
        <is>
          <t>Cash outflows - Total weighted value (£'000 — the 2023 edition's own stated unit)</t>
        </is>
      </c>
      <c r="B34" s="6" t="n"/>
      <c r="C34" s="6" t="n"/>
      <c r="D34" s="6" t="n">
        <v>364374</v>
      </c>
      <c r="E34" s="6" t="n"/>
      <c r="F34" s="6" t="n"/>
      <c r="G34" s="6" t="n"/>
      <c r="H34" s="6" t="n"/>
      <c r="I34" s="6" t="n"/>
      <c r="J34" s="6" t="n"/>
      <c r="K34" s="6" t="n"/>
      <c r="L34" s="6" t="n"/>
      <c r="M34" s="6" t="n"/>
    </row>
    <row r="35">
      <c r="A35" s="6" t="inlineStr">
        <is>
          <t>Cash outflows - Total weighted value (£ — whole pounds, as the 2022 edition prints it; that edition states no unit at all)</t>
        </is>
      </c>
      <c r="B35" s="6" t="n"/>
      <c r="C35" s="6" t="n"/>
      <c r="D35" s="6" t="n"/>
      <c r="E35" s="6" t="inlineStr">
        <is>
          <t>353,365,211</t>
        </is>
      </c>
      <c r="F35" s="6" t="inlineStr">
        <is>
          <t>250,909,201</t>
        </is>
      </c>
      <c r="G35" s="6" t="n"/>
      <c r="H35" s="6" t="n"/>
      <c r="I35" s="6" t="n"/>
      <c r="J35" s="6" t="n"/>
      <c r="K35" s="6" t="n"/>
      <c r="L35" s="6" t="n"/>
      <c r="M35" s="6" t="n"/>
    </row>
    <row r="36">
      <c r="A36" s="6" t="inlineStr">
        <is>
          <t>Cash inflows - Total weighted value (£'000 — the 2023 edition's own stated unit)</t>
        </is>
      </c>
      <c r="B36" s="6" t="n"/>
      <c r="C36" s="6" t="n"/>
      <c r="D36" s="6" t="n">
        <v>129561</v>
      </c>
      <c r="E36" s="6" t="n"/>
      <c r="F36" s="6" t="n"/>
      <c r="G36" s="6" t="n"/>
      <c r="H36" s="6" t="n"/>
      <c r="I36" s="6" t="n"/>
      <c r="J36" s="6" t="n"/>
      <c r="K36" s="6" t="n"/>
      <c r="L36" s="6" t="n"/>
      <c r="M36" s="6" t="n"/>
    </row>
    <row r="37">
      <c r="A37" s="6" t="inlineStr">
        <is>
          <t>Cash inflows - Total weighted value (£ — whole pounds, as the 2022 edition prints it; that edition states no unit at all)</t>
        </is>
      </c>
      <c r="B37" s="6" t="n"/>
      <c r="C37" s="6" t="n"/>
      <c r="D37" s="6" t="n"/>
      <c r="E37" s="6" t="inlineStr">
        <is>
          <t>162,744,676</t>
        </is>
      </c>
      <c r="F37" s="6" t="inlineStr">
        <is>
          <t>97,008,515</t>
        </is>
      </c>
      <c r="G37" s="6" t="n"/>
      <c r="H37" s="6" t="n"/>
      <c r="I37" s="6" t="n"/>
      <c r="J37" s="6" t="n"/>
      <c r="K37" s="6" t="n"/>
      <c r="L37" s="6" t="n"/>
      <c r="M37" s="6" t="n"/>
    </row>
    <row r="38">
      <c r="A38" s="6" t="inlineStr">
        <is>
          <t>Total net cash outflows (adjusted value) (£'000 — the 2023 edition's own stated unit)</t>
        </is>
      </c>
      <c r="B38" s="6" t="n"/>
      <c r="C38" s="6" t="n"/>
      <c r="D38" s="6" t="n">
        <v>234813</v>
      </c>
      <c r="E38" s="6" t="n"/>
      <c r="F38" s="6" t="n"/>
      <c r="G38" s="6" t="n"/>
      <c r="H38" s="6" t="n"/>
      <c r="I38" s="6" t="n"/>
      <c r="J38" s="6" t="n"/>
      <c r="K38" s="6" t="n"/>
      <c r="L38" s="6" t="n"/>
      <c r="M38" s="6" t="n"/>
    </row>
    <row r="39">
      <c r="A39" s="6" t="inlineStr">
        <is>
          <t>Total net cash outflows (adjusted value) (£ — whole pounds, as the 2022 edition prints it; that edition states no unit at all)</t>
        </is>
      </c>
      <c r="B39" s="6" t="n"/>
      <c r="C39" s="6" t="n"/>
      <c r="D39" s="6" t="n"/>
      <c r="E39" s="6" t="inlineStr">
        <is>
          <t>190,620,534</t>
        </is>
      </c>
      <c r="F39" s="6" t="inlineStr">
        <is>
          <t>153,900,686</t>
        </is>
      </c>
      <c r="G39" s="6" t="n"/>
      <c r="H39" s="6" t="n"/>
      <c r="I39" s="6" t="n"/>
      <c r="J39" s="6" t="n"/>
      <c r="K39" s="6" t="n"/>
      <c r="L39" s="6" t="n"/>
      <c r="M39" s="6" t="n"/>
    </row>
    <row r="40">
      <c r="A40" s="6" t="inlineStr">
        <is>
          <t>Liquidity coverage ratio (%)</t>
        </is>
      </c>
      <c r="B40" s="6" t="n"/>
      <c r="C40" s="6" t="n"/>
      <c r="D40" s="6" t="inlineStr">
        <is>
          <t>304.44%</t>
        </is>
      </c>
      <c r="E40" s="6" t="inlineStr">
        <is>
          <t>315.98%</t>
        </is>
      </c>
      <c r="F40" s="6" t="inlineStr">
        <is>
          <t>242.91%</t>
        </is>
      </c>
      <c r="G40" s="6" t="n"/>
      <c r="H40" s="6" t="n"/>
      <c r="I40" s="6" t="n"/>
      <c r="J40" s="6" t="n"/>
      <c r="K40" s="6" t="n"/>
      <c r="L40" s="6" t="n"/>
      <c r="M40" s="6" t="n"/>
    </row>
    <row r="41">
      <c r="A41" s="5" t="inlineStr">
        <is>
          <t>Net Stable Funding Ratio</t>
        </is>
      </c>
      <c r="B41" s="6" t="n"/>
      <c r="C41" s="6" t="n"/>
      <c r="D41" s="6" t="n"/>
      <c r="E41" s="6" t="n"/>
      <c r="F41" s="6" t="n"/>
      <c r="G41" s="6" t="n"/>
      <c r="H41" s="6" t="n"/>
      <c r="I41" s="6" t="n"/>
      <c r="J41" s="6" t="n"/>
      <c r="K41" s="6" t="n"/>
      <c r="L41" s="6" t="n"/>
      <c r="M41" s="6" t="n"/>
    </row>
    <row r="42">
      <c r="A42" s="6" t="inlineStr">
        <is>
          <t>Total available stable funding (£'000 — the 2023 edition's own stated unit)</t>
        </is>
      </c>
      <c r="B42" s="6" t="n"/>
      <c r="C42" s="6" t="n"/>
      <c r="D42" s="6" t="n">
        <v>3903341</v>
      </c>
      <c r="E42" s="6" t="n"/>
      <c r="F42" s="6" t="n"/>
      <c r="G42" s="6" t="n"/>
      <c r="H42" s="6" t="n"/>
      <c r="I42" s="6" t="n"/>
      <c r="J42" s="6" t="n"/>
      <c r="K42" s="6" t="n"/>
      <c r="L42" s="6" t="n"/>
      <c r="M42" s="6" t="n"/>
    </row>
    <row r="43">
      <c r="A43" s="6" t="inlineStr">
        <is>
          <t>Total available stable funding (£ — whole pounds, as the 2022 edition prints it; that edition states no unit at all)</t>
        </is>
      </c>
      <c r="B43" s="6" t="n"/>
      <c r="C43" s="6" t="n"/>
      <c r="D43" s="6" t="n"/>
      <c r="E43" s="6" t="inlineStr">
        <is>
          <t>3,721,028,413</t>
        </is>
      </c>
      <c r="F43" s="6" t="n"/>
      <c r="G43" s="6" t="n"/>
      <c r="H43" s="6" t="n"/>
      <c r="I43" s="6" t="n"/>
      <c r="J43" s="6" t="n"/>
      <c r="K43" s="6" t="n"/>
      <c r="L43" s="6" t="n"/>
      <c r="M43" s="6" t="n"/>
    </row>
    <row r="44">
      <c r="A44" s="6" t="inlineStr">
        <is>
          <t>Total required stable funding (£'000 — the 2023 edition's own stated unit)</t>
        </is>
      </c>
      <c r="B44" s="6" t="n"/>
      <c r="C44" s="6" t="n"/>
      <c r="D44" s="6" t="n">
        <v>2625631</v>
      </c>
      <c r="E44" s="6" t="n"/>
      <c r="F44" s="6" t="n"/>
      <c r="G44" s="6" t="n"/>
      <c r="H44" s="6" t="n"/>
      <c r="I44" s="6" t="n"/>
      <c r="J44" s="6" t="n"/>
      <c r="K44" s="6" t="n"/>
      <c r="L44" s="6" t="n"/>
      <c r="M44" s="6" t="n"/>
    </row>
    <row r="45">
      <c r="A45" s="6" t="inlineStr">
        <is>
          <t>Total required stable funding (£ — whole pounds, as the 2022 edition prints it; that edition states no unit at all)</t>
        </is>
      </c>
      <c r="B45" s="6" t="n"/>
      <c r="C45" s="6" t="n"/>
      <c r="D45" s="6" t="n"/>
      <c r="E45" s="6" t="inlineStr">
        <is>
          <t>2,489,263,786</t>
        </is>
      </c>
      <c r="F45" s="6" t="n"/>
      <c r="G45" s="6" t="n"/>
      <c r="H45" s="6" t="n"/>
      <c r="I45" s="6" t="n"/>
      <c r="J45" s="6" t="n"/>
      <c r="K45" s="6" t="n"/>
      <c r="L45" s="6" t="n"/>
      <c r="M45" s="6" t="n"/>
    </row>
    <row r="46">
      <c r="A46" s="6" t="inlineStr">
        <is>
          <t>NSFR ratio (%)</t>
        </is>
      </c>
      <c r="B46" s="6" t="n"/>
      <c r="C46" s="6" t="n"/>
      <c r="D46" s="6" t="inlineStr">
        <is>
          <t>148.67%</t>
        </is>
      </c>
      <c r="E46" s="6" t="inlineStr">
        <is>
          <t>149.48%</t>
        </is>
      </c>
      <c r="F46" s="6" t="n"/>
      <c r="G46" s="6" t="n"/>
      <c r="H46" s="6" t="n"/>
      <c r="I46" s="6" t="n"/>
      <c r="J46" s="6" t="n"/>
      <c r="K46" s="6" t="n"/>
      <c r="L46" s="6" t="n"/>
      <c r="M46" s="6" t="n"/>
    </row>
    <row r="48" ht="300" customHeight="1">
      <c r="A48" s="8" t="inlineStr">
        <is>
          <t>Sources - Cynergy Bank's own published key-metrics (UK KM1) table, Consolidated Bank basis, reproduced as printed:
FY2023 (own column) and the FY2022 comparative (NOT used - see the restatement note below): Cynergy Bank Limited 2023 Pillar 3 Disclosures, 'Key metrics', p.7. The document's own contents page names this table 'Key metrics table (UK KM1)'. Columns: '31-Dec-23' and '31-Dec-22' - https://assets.ctfassets.net/xzmqg68ot16t/5lTzyJuIg2zRrc7GGyH6Gv/6eb39217d6164e649f946b7aed50a0cb/Cynergy_Bank_Pillar_3_Disclosures_2023.pdf
FY2022 (own column) and FY2021 (comparative column): Cynergy Bank Limited - 2022 Pillar 3, 'Key metrics', p.6 (printed 'PAGE 6'). Columns: '31 Dec 2022' and '31 Dec 2021' - https://www.cynergybank.co.uk/media/bkhp10sd/cynergy-bank-2022-pillar-3-disclosures.pdf (delisted from the live site; the identical copy on the Bank's current Contentful CDN was used: https://assets.ctfassets.net/xzmqg68ot16t/3qKJzsAiu3dGAA2EQBSzPo/bbb85f662bef802d29fb7144d087c761/cynergy-bank-2022-pillar-3-disclosures.pdf , and the archived copy https://web.archive.org/web/20230807203320if_/https://www.cynergybank.co.uk/media/bkhp10sd/cynergy-bank-2022-pillar-3-disclosures.pdf agrees)
PRESENTATION NOTES, all of them things the Bank did rather than choices made here:
* NO TEMPLATE ROW NUMBERS. Neither edition prints the template's row numbers ('1', 'UK 7a', '11a' ...). The row labels, their order and the section headings are the UK KM1 template line for line, which is what identifies the table; the numbers are simply absent from the source and are not added here.
* EACH AMOUNT ROW IS PRINTED TWICE, one caption per unit, and that is a presentation of the Bank's 24 published rows rather than 35 disclosed ones. Because the unit break falls between COLUMNS (editions) while a spreadsheet row can carry only one unit, each of the 11 amount rows appears as two adjacent rows: a "(£'000 ...)" caption carrying the FY2023 column, and a "(£ — whole pounds ...)" caption carrying FY2022/FY2021. The two captions of a pair are the SAME template row, read out of two editions that printed it in two different units; neither series is merged into the other and no figure is restated. This is the shape the KM1 map's rule 17 prescribes for a unit break between editions, and the same shape rule 5 uses for the 1 January 2022 leverage basis break. Ratio rows are single, because percentages are percentages in both editions.
* REDUCED ROW SET. Both editions print the same 24 value rows. The template rows Cynergy omits entirely - UK 7b/7c/7d in part, UK 8a, UK 9a, 10, UK 10a, 14a-14e and the MREL block - are not shown as blank rows because the Bank does not print them at all; an omitted row and a row printed empty are different disclosures. Cynergy does print 'Additional CET1 SREP requirements (%)' and 'Total SREP own funds requirements (%)' but not the AT1/T2 SREP split.
* UNIT BREAK BETWEEN EDITIONS, the reason the amount rows above carry a per-year unit marker. The 2023 edition says 'All amounts are presented rounded to the nearest thousand except where stated' and prints CET1 capital as 306,251. The 2022 edition prints the same row in WHOLE POUNDS (287,446,662) and states no unit at all, on or above the table. Each cell here is the figure the edition in which that year is the reporting year actually printed, so FY2023 amounts are £'000 and FY2022/FY2021 amounts are £. They are deliberately NOT rescaled onto one unit: this sheet reproduces a published template, and the £'000 equivalents for FY2022/FY2021 are already on the individual Pillar 3 metric sheets that follow (e.g. CET1 Capital FY2022 = 287,447). Percentage rows are unaffected.
  DO NOT 'FIX' THIS. The four amount rows that also appear on a metric sheet (CET1 capital, Tier 1 capital, Total capital, Total risk-weighted exposure amount) look a thousand times too large in their "(£ — whole pounds)" caption beside those sheets. That is the Bank's own presentation, not an error: 287,446,662 / 1000 = 287,446.662 vs the metric sheet's 287,447, and 1,417,122,603 / 1000 = 1,417,122.603 vs 1,417,123 - each pair agrees to the rounding, which is itself the proof that the difference is the unit and not a digit slip. All four rows were re-read cell by cell off p.6 of the 2022 edition on 2026-09-16 and are exactly as printed, as were the other seven amount rows. Rescaling them onto £'000 would make this sheet stop reproducing the disclosure. With the two-caption split above, verify_workbook.py resolves each cell's unit from its own row label and cross-checks all of them against the metric sheets automatically - they agree.
* PRECISION AS PRINTED. The countercyclical buffer row is printed '2.00%' in the 2023 edition but '1%' and '0%' (no decimals) in the 2022 edition; '0%' is a printed zero and is kept as such.
* A DASH IS NOT A ZERO. The 2022 edition prints '-' in all three Net Stable Funding Ratio rows of its FY2021 comparative column - the Bank had no NSFR disclosure for 2021 on this basis - so those three FY2021 cells are BLANK here, not zero. (The 2021 edition's own narrative states an FY2021 NSFR of 130%, on its own different basis; that figure is on the NSFR sheet, not here.)
* FY2021 COMES FROM THE 2022 EDITION'S COMPARATIVE, not from its own year's document. The 2021 Pillar 3's own table (p.20, 'Key capital, liquidity and leverage metrics', columns '2021' and '2020', figures in £m) is a much narrower PRE-KM1 disclosure: nine value rows, no SREP, buffer, NSFR or HQLA sections at all, and captioned 'Total risk-weighted assets' rather than the template's 'Total risk-weighted exposure amount'. It is not the KM1 template and is not reproduced here as one. Its rounded figures do agree with the comparative used (CET1 £197m, Total capital £227m, RWAs £1,417m, CET1 ratio 13.9%, Total capital ratio 16.0%, leverage 5.5%, LCR 243%).
WHY FY2024, FY2025 AND FY2020-FY2014 ARE BLANK - both ends are enumerated absences, not failed searches: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Re-run independently on 2026-09-16 for this ticket with the same result: the page serves six Pillar 3 editions (FY2018, FY2019, FY2020, FY2021, FY2022, FY2023) and nothing later.
At the older end, the FY2018, FY2019 and FY2020 editions contain no key-metrics table of any kind (the UK KM1 template arrives with the Disclosure (CRR) Part of the PRA Rulebook, which post-dates them), and FY2014-FY2017 predate standalone Pillar 3 publication by this entity altogether. Those years' individual capital and ratio figures, where the Bank disclosed them at all, are on the metric sheets that follow, sourced from narrative capital tables rather than from a KM1.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That restatement is visible on this sheet as a deliberate difference between what the 2023 edition shows in its FY2022 comparative column (LCR 249.66%, NSFR 144.09%, HQLA 525,228, net outflows 212,745, available stable funding 3,546,316, leverage exposure 3,886,759 - all £'000) and the FY2022 column reproduced above from the 2022 edition itself.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sheetData>
  <mergeCells count="1">
    <mergeCell ref="A48:M4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to CET1 - see note)</t>
        </is>
      </c>
      <c r="B5" s="6" t="n"/>
      <c r="C5" s="6" t="n"/>
      <c r="D5" s="6" t="n"/>
      <c r="E5" s="6" t="n"/>
      <c r="F5" s="6" t="n"/>
      <c r="G5" s="6" t="n"/>
      <c r="H5" s="6" t="n"/>
      <c r="I5" s="6" t="n"/>
      <c r="J5" s="6" t="n"/>
      <c r="K5" s="6" t="n">
        <v>65017</v>
      </c>
      <c r="L5" s="6" t="n">
        <v>69180</v>
      </c>
      <c r="M5" s="6" t="n">
        <v>65533</v>
      </c>
    </row>
    <row r="6" ht="60" customHeight="1">
      <c r="A6" s="7" t="inlineStr">
        <is>
          <t>Note: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n"/>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n"/>
      <c r="L4" s="6" t="n"/>
      <c r="M4" s="6" t="n"/>
    </row>
    <row r="5">
      <c r="A5" s="6" t="inlineStr">
        <is>
          <t>Core Tier 1 / Tier 1 ratio (Basel II/CRD III era terminology; closest equivalent to CET1 ratio)</t>
        </is>
      </c>
      <c r="B5" s="6" t="n"/>
      <c r="C5" s="6" t="n"/>
      <c r="D5" s="6" t="n"/>
      <c r="E5" s="6" t="n"/>
      <c r="F5" s="6" t="n"/>
      <c r="G5" s="6" t="n"/>
      <c r="H5" s="6" t="n"/>
      <c r="I5" s="6" t="n"/>
      <c r="J5" s="6" t="n"/>
      <c r="K5" s="6" t="inlineStr">
        <is>
          <t>12.1%</t>
        </is>
      </c>
      <c r="L5" s="6" t="inlineStr">
        <is>
          <t>16.6%</t>
        </is>
      </c>
      <c r="M5" s="6" t="inlineStr">
        <is>
          <t>16.9%</t>
        </is>
      </c>
    </row>
    <row r="6" ht="60" customHeight="1">
      <c r="A6"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 see note)</t>
        </is>
      </c>
      <c r="B5" s="6" t="n"/>
      <c r="C5" s="6" t="n"/>
      <c r="D5" s="6" t="n"/>
      <c r="E5" s="6" t="n"/>
      <c r="F5" s="6" t="n"/>
      <c r="G5" s="6" t="n"/>
      <c r="H5" s="6" t="n"/>
      <c r="I5" s="6" t="n"/>
      <c r="J5" s="6" t="n"/>
      <c r="K5" s="6" t="n">
        <v>65017</v>
      </c>
      <c r="L5" s="6" t="n">
        <v>69180</v>
      </c>
      <c r="M5" s="6" t="n">
        <v>65533</v>
      </c>
    </row>
    <row r="6" ht="60" customHeight="1">
      <c r="A6" s="7" t="inlineStr">
        <is>
          <t>Note: Cynergy Bank's own Annual Report labels this line 'Total eligible Tier 1 capital (CET1)' - i.e. it states Tier 1 capital and CET1 capital are identical (no Additional Tier 1 instruments in issue) - see the CET1 Capital sheet for the same figures and source.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Additional Tier 1 instrument in issue any year reviewed)</t>
        </is>
      </c>
      <c r="B4" s="6" t="n"/>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inlineStr">
        <is>
          <t>12.1%</t>
        </is>
      </c>
      <c r="L4" s="6" t="inlineStr">
        <is>
          <t>16.6%</t>
        </is>
      </c>
      <c r="M4" s="6" t="inlineStr">
        <is>
          <t>16.9%</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Cynergy Bank's own Annual Report labels this line 'Total eligible Tier 1 capital (CET1)' - i.e. it states Tier 1 capital and CET1 capital are identical (no Additional Tier 1 instruments in issue) - see the CET1 Capital sheet for the same figures and source.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regulatory capital (CET1/Core Tier 1 + Tier 2 subordinated debt)</t>
        </is>
      </c>
      <c r="B4" s="6" t="n">
        <v>398606</v>
      </c>
      <c r="C4" s="6" t="n">
        <v>336877</v>
      </c>
      <c r="D4" s="6" t="n">
        <v>321251</v>
      </c>
      <c r="E4" s="6" t="n">
        <v>287447</v>
      </c>
      <c r="F4" s="6" t="n">
        <v>227200</v>
      </c>
      <c r="G4" s="6" t="n">
        <v>212588</v>
      </c>
      <c r="H4" s="6" t="n">
        <v>186465</v>
      </c>
      <c r="I4" s="6" t="n">
        <v>165416</v>
      </c>
      <c r="J4" s="6" t="n"/>
      <c r="K4" s="6" t="n">
        <v>96777</v>
      </c>
      <c r="L4" s="6" t="n">
        <v>101139</v>
      </c>
      <c r="M4" s="6" t="n">
        <v>98022</v>
      </c>
    </row>
    <row r="5" ht="60" customHeight="1">
      <c r="A5" s="7" t="inlineStr">
        <is>
          <t>Note: FY2017 Total Capital (£) and Total RWAs are left blank deliberately, not omitted by oversight: the FY2018 Pillar 3 document's FY2017 comparative discloses CET1/Tier 1 capital (£109,910k) and three ratios (CET1 16.6%, Total Capital 21.0%, Leverage 5.8%) but never states a Total Capital £ amount or a Total RWA £ amount directly, and the same document's own FY2017 credit-risk RWA figure (£629,000k) is larger than either of the two different 'implied total RWA' figures that back-solving from the two disclosed ratios would produce (~£523m assuming Total Capital = CET1 that year, or ~£662m assuming CET1 ratio alone pins down RWA) - these are inconsistent with each other and with the disclosed credit-risk RWA, so no single figure can be derived reliably. Rather than guess, these two cells are left blank for FY2017 only; the three ratios above are the source's own directly-stated figures and are populated.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n"/>
      <c r="D4" s="6" t="inlineStr">
        <is>
          <t>15.41%</t>
        </is>
      </c>
      <c r="E4" s="6" t="inlineStr">
        <is>
          <t>15.78%</t>
        </is>
      </c>
      <c r="F4" s="6" t="inlineStr">
        <is>
          <t>16.03%</t>
        </is>
      </c>
      <c r="G4" s="6" t="inlineStr">
        <is>
          <t>16.42%</t>
        </is>
      </c>
      <c r="H4" s="6" t="inlineStr">
        <is>
          <t>16.3%</t>
        </is>
      </c>
      <c r="I4" s="6" t="inlineStr">
        <is>
          <t>20.7%</t>
        </is>
      </c>
      <c r="J4" s="6" t="inlineStr">
        <is>
          <t>21.0%</t>
        </is>
      </c>
      <c r="K4" s="6" t="inlineStr">
        <is>
          <t>18.2%</t>
        </is>
      </c>
      <c r="L4" s="6" t="inlineStr">
        <is>
          <t>24.4%</t>
        </is>
      </c>
      <c r="M4" s="6" t="inlineStr">
        <is>
          <t>25.4%</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FY2024 and FY2025 are blank because no total capital ratio is stated anywhere in those years' Annual Reports (the FY2024 report states only a CET1 ratio) and no Pillar 3 document exists for them - it is NOT derived from the disclosed Total Capital amount, which would require back-solving RWAs. FY2024's disclosed CET1 ratio of 13.59% is on the CET1/Tier 1 Ratio sheets.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RWAs</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c r="C4" s="6" t="n"/>
      <c r="D4" s="6" t="n">
        <v>2084246</v>
      </c>
      <c r="E4" s="6" t="n">
        <v>1822159</v>
      </c>
      <c r="F4" s="6" t="n">
        <v>1417123</v>
      </c>
      <c r="G4" s="6" t="n">
        <v>1294931</v>
      </c>
      <c r="H4" s="6" t="n">
        <v>1144428</v>
      </c>
      <c r="I4" s="6" t="n">
        <v>796565</v>
      </c>
      <c r="J4" s="6" t="n"/>
      <c r="K4" s="6" t="n">
        <v>531742</v>
      </c>
      <c r="L4" s="6" t="n">
        <v>416813</v>
      </c>
      <c r="M4" s="6" t="n">
        <v>385638</v>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FY2017 Total Capital (£) and Total RWAs are left blank deliberately, not omitted by oversight: the FY2018 Pillar 3 document's FY2017 comparative discloses CET1/Tier 1 capital (£109,910k) and three ratios (CET1 16.6%, Total Capital 21.0%, Leverage 5.8%) but never states a Total Capital £ amount or a Total RWA £ amount directly, and the same document's own FY2017 credit-risk RWA figure (£629,000k) is larger than either of the two different 'implied total RWA' figures that back-solving from the two disclosed ratios would produce (~£523m assuming Total Capital = CET1 that year, or ~£662m assuming CET1 ratio alone pins down RWA) - these are inconsistent with each other and with the disclosed credit-risk RWA, so no single figure can be derived reliably. Rather than guess, these two cells are left blank for FY2017 only; the three ratios above are the source's own directly-stated figures and are populated.
FY2020 is the document's own directly-stated Total RWA figure; FY2014-2016, FY2018 and FY2019 are derived from that year's own disclosed Total Capital (or minimum capital requirement) divided by that year's own disclosed Total Capital ratio (or x12.5 of the minimum capital requirement) - both inputs to each derivation come from the same source document/year, not mixed across years.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FY2024 or FY2025 RWA figure is stated in any Annual Report (the word 'risk weighted assets' appears in AR2025 only inside a restatement note, with no amount), and none is back-solved here from the FY2024 CET1 ratio and CET1 capital amount - that is exactly the derivation this project does not make. FY2023 is no longer in that category: it is the 2023 Pillar 3's own directly-stated UK KM1 figure (2,084,246), which its UK OV1 table independently corroborates at the source's own £m granularity (1,905 credit + 179 operational + nil CCR = 2,084).</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RWA Breakdown</t>
        </is>
      </c>
    </row>
    <row r="2">
      <c r="A2" s="2" t="inlineStr">
        <is>
          <t>Consolidated (Company-only FY2014-2015) basis, £'000. FY2023 added 2026-09-15 from the 2023 Pillar 3's UK OV1 table. FY2020 credit-risk exposure-class RWA summary is shown separately; FY2016/FY2017 remain unavailable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Risk-weighted assets by category</t>
        </is>
      </c>
      <c r="B4" s="6" t="n"/>
      <c r="C4" s="6" t="n"/>
      <c r="D4" s="6" t="n"/>
      <c r="E4" s="6" t="n"/>
      <c r="F4" s="6" t="n"/>
      <c r="G4" s="6" t="n"/>
      <c r="H4" s="6" t="n"/>
      <c r="I4" s="6" t="n"/>
      <c r="J4" s="6" t="n"/>
      <c r="K4" s="6" t="n"/>
      <c r="L4" s="6" t="n"/>
      <c r="M4" s="6" t="n"/>
    </row>
    <row r="5">
      <c r="A5" s="5" t="inlineStr">
        <is>
          <t>FY2020 credit-risk RWA by exposure class (source summary; not complete Pillar 1 total)</t>
        </is>
      </c>
      <c r="B5" s="6" t="n"/>
      <c r="C5" s="6" t="n"/>
      <c r="D5" s="6" t="n"/>
      <c r="E5" s="6" t="n"/>
      <c r="F5" s="6" t="n"/>
      <c r="G5" s="6" t="n"/>
      <c r="H5" s="6" t="n"/>
      <c r="I5" s="6" t="n"/>
      <c r="J5" s="6" t="n"/>
      <c r="K5" s="6" t="n"/>
      <c r="L5" s="6" t="n"/>
      <c r="M5" s="6" t="n"/>
    </row>
    <row r="6">
      <c r="A6" s="6" t="inlineStr">
        <is>
          <t>Central governments or central banks</t>
        </is>
      </c>
      <c r="B6" s="6" t="n"/>
      <c r="C6" s="6" t="n"/>
      <c r="D6" s="6" t="n"/>
      <c r="E6" s="6" t="n"/>
      <c r="F6" s="6" t="n"/>
      <c r="G6" s="6" t="n">
        <v>0</v>
      </c>
      <c r="H6" s="6" t="n"/>
      <c r="I6" s="6" t="n"/>
      <c r="J6" s="6" t="n"/>
      <c r="K6" s="6" t="n"/>
      <c r="L6" s="6" t="n"/>
      <c r="M6" s="6" t="n"/>
    </row>
    <row r="7">
      <c r="A7" s="6" t="inlineStr">
        <is>
          <t>Institutions</t>
        </is>
      </c>
      <c r="B7" s="6" t="n"/>
      <c r="C7" s="6" t="n"/>
      <c r="D7" s="6" t="n"/>
      <c r="E7" s="6" t="n"/>
      <c r="F7" s="6" t="n"/>
      <c r="G7" s="6" t="n">
        <v>9000</v>
      </c>
      <c r="H7" s="6" t="n"/>
      <c r="I7" s="6" t="n"/>
      <c r="J7" s="6" t="n"/>
      <c r="K7" s="6" t="n"/>
      <c r="L7" s="6" t="n"/>
      <c r="M7" s="6" t="n"/>
    </row>
    <row r="8">
      <c r="A8" s="6" t="inlineStr">
        <is>
          <t>Corporates</t>
        </is>
      </c>
      <c r="B8" s="6" t="n"/>
      <c r="C8" s="6" t="n"/>
      <c r="D8" s="6" t="n"/>
      <c r="E8" s="6" t="n"/>
      <c r="F8" s="6" t="n"/>
      <c r="G8" s="6" t="n">
        <v>401000</v>
      </c>
      <c r="H8" s="6" t="n"/>
      <c r="I8" s="6" t="n"/>
      <c r="J8" s="6" t="n"/>
      <c r="K8" s="6" t="n"/>
      <c r="L8" s="6" t="n"/>
      <c r="M8" s="6" t="n"/>
    </row>
    <row r="9">
      <c r="A9" s="6" t="inlineStr">
        <is>
          <t>Retail</t>
        </is>
      </c>
      <c r="B9" s="6" t="n"/>
      <c r="C9" s="6" t="n"/>
      <c r="D9" s="6" t="n"/>
      <c r="E9" s="6" t="n"/>
      <c r="F9" s="6" t="n"/>
      <c r="G9" s="6" t="n">
        <v>74000</v>
      </c>
      <c r="H9" s="6" t="n"/>
      <c r="I9" s="6" t="n"/>
      <c r="J9" s="6" t="n"/>
      <c r="K9" s="6" t="n"/>
      <c r="L9" s="6" t="n"/>
      <c r="M9" s="6" t="n"/>
    </row>
    <row r="10">
      <c r="A10" s="6" t="inlineStr">
        <is>
          <t>Secured by mortgages on immovable property</t>
        </is>
      </c>
      <c r="B10" s="6" t="n"/>
      <c r="C10" s="6" t="n"/>
      <c r="D10" s="6" t="n"/>
      <c r="E10" s="6" t="n"/>
      <c r="F10" s="6" t="n"/>
      <c r="G10" s="6" t="n">
        <v>638000</v>
      </c>
      <c r="H10" s="6" t="n"/>
      <c r="I10" s="6" t="n"/>
      <c r="J10" s="6" t="n"/>
      <c r="K10" s="6" t="n"/>
      <c r="L10" s="6" t="n"/>
      <c r="M10" s="6" t="n"/>
    </row>
    <row r="11">
      <c r="A11" s="6" t="inlineStr">
        <is>
          <t>Exposures in default</t>
        </is>
      </c>
      <c r="B11" s="6" t="n"/>
      <c r="C11" s="6" t="n"/>
      <c r="D11" s="6" t="n"/>
      <c r="E11" s="6" t="n"/>
      <c r="F11" s="6" t="n"/>
      <c r="G11" s="6" t="n">
        <v>30000</v>
      </c>
      <c r="H11" s="6" t="n"/>
      <c r="I11" s="6" t="n"/>
      <c r="J11" s="6" t="n"/>
      <c r="K11" s="6" t="n"/>
      <c r="L11" s="6" t="n"/>
      <c r="M11" s="6" t="n"/>
    </row>
    <row r="12">
      <c r="A12" s="6" t="inlineStr">
        <is>
          <t>Items associated with particularly high risk</t>
        </is>
      </c>
      <c r="B12" s="6" t="n"/>
      <c r="C12" s="6" t="n"/>
      <c r="D12" s="6" t="n"/>
      <c r="E12" s="6" t="n"/>
      <c r="F12" s="6" t="n"/>
      <c r="G12" s="6" t="n">
        <v>24000</v>
      </c>
      <c r="H12" s="6" t="n"/>
      <c r="I12" s="6" t="n"/>
      <c r="J12" s="6" t="n"/>
      <c r="K12" s="6" t="n"/>
      <c r="L12" s="6" t="n"/>
      <c r="M12" s="6" t="n"/>
    </row>
    <row r="13">
      <c r="A13" s="6" t="inlineStr">
        <is>
          <t>Other items</t>
        </is>
      </c>
      <c r="B13" s="6" t="n"/>
      <c r="C13" s="6" t="n"/>
      <c r="D13" s="6" t="n"/>
      <c r="E13" s="6" t="n"/>
      <c r="F13" s="6" t="n"/>
      <c r="G13" s="6" t="n">
        <v>19000</v>
      </c>
      <c r="H13" s="6" t="n"/>
      <c r="I13" s="6" t="n"/>
      <c r="J13" s="6" t="n"/>
      <c r="K13" s="6" t="n"/>
      <c r="L13" s="6" t="n"/>
      <c r="M13" s="6" t="n"/>
    </row>
    <row r="14">
      <c r="A14" s="5" t="inlineStr">
        <is>
          <t>Total credit-risk RWA (FY2020 source summary)</t>
        </is>
      </c>
      <c r="B14" s="5" t="n"/>
      <c r="C14" s="5" t="n"/>
      <c r="D14" s="5" t="n"/>
      <c r="E14" s="5" t="n"/>
      <c r="F14" s="5" t="n"/>
      <c r="G14" s="5" t="n">
        <v>1195000</v>
      </c>
      <c r="H14" s="5" t="n"/>
      <c r="I14" s="5" t="n"/>
      <c r="J14" s="5" t="n"/>
      <c r="K14" s="5" t="n"/>
      <c r="L14" s="5" t="n"/>
      <c r="M14" s="5" t="n"/>
    </row>
    <row r="15">
      <c r="A15" s="5" t="inlineStr">
        <is>
          <t>UK OV1 basis (2023 and 2022 Pillar 3 editions)</t>
        </is>
      </c>
      <c r="B15" s="6" t="n"/>
      <c r="C15" s="6" t="n"/>
      <c r="D15" s="6" t="n"/>
      <c r="E15" s="6" t="n"/>
      <c r="F15" s="6" t="n"/>
      <c r="G15" s="6" t="n"/>
      <c r="H15" s="6" t="n"/>
      <c r="I15" s="6" t="n"/>
      <c r="J15" s="6" t="n"/>
      <c r="K15" s="6" t="n"/>
      <c r="L15" s="6" t="n"/>
      <c r="M15" s="6" t="n"/>
    </row>
    <row r="16">
      <c r="A16" s="6" t="inlineStr">
        <is>
          <t>Total credit risk (excluding CCR)</t>
        </is>
      </c>
      <c r="B16" s="6" t="n"/>
      <c r="C16" s="6" t="n"/>
      <c r="D16" s="6" t="n">
        <v>1905000</v>
      </c>
      <c r="E16" s="6" t="n">
        <v>1685000</v>
      </c>
      <c r="F16" s="6" t="n">
        <v>1272000</v>
      </c>
      <c r="G16" s="6" t="n"/>
      <c r="H16" s="6" t="n"/>
      <c r="I16" s="6" t="n"/>
      <c r="J16" s="6" t="n"/>
      <c r="K16" s="6" t="n"/>
      <c r="L16" s="6" t="n"/>
      <c r="M16" s="6" t="n"/>
    </row>
    <row r="17">
      <c r="A17" s="6" t="inlineStr">
        <is>
          <t>of which: securitisations</t>
        </is>
      </c>
      <c r="B17" s="6" t="n"/>
      <c r="C17" s="6" t="n"/>
      <c r="D17" s="6" t="n">
        <v>13000</v>
      </c>
      <c r="E17" s="6" t="n">
        <v>19000</v>
      </c>
      <c r="F17" s="6" t="n"/>
      <c r="G17" s="6" t="n"/>
      <c r="H17" s="6" t="n"/>
      <c r="I17" s="6" t="n"/>
      <c r="J17" s="6" t="n"/>
      <c r="K17" s="6" t="n"/>
      <c r="L17" s="6" t="n"/>
      <c r="M17" s="6" t="n"/>
    </row>
    <row r="18">
      <c r="A18" s="6" t="inlineStr">
        <is>
          <t>Counterparty credit risk (CCR)</t>
        </is>
      </c>
      <c r="B18" s="6" t="n"/>
      <c r="C18" s="6" t="n"/>
      <c r="D18" s="6" t="n">
        <v>0</v>
      </c>
      <c r="E18" s="6" t="n">
        <v>2000</v>
      </c>
      <c r="F18" s="6" t="n"/>
      <c r="G18" s="6" t="n"/>
      <c r="H18" s="6" t="n"/>
      <c r="I18" s="6" t="n"/>
      <c r="J18" s="6" t="n"/>
      <c r="K18" s="6" t="n"/>
      <c r="L18" s="6" t="n"/>
      <c r="M18" s="6" t="n"/>
    </row>
    <row r="19">
      <c r="A19" s="6" t="inlineStr">
        <is>
          <t>Total operational risk (standardised approach)</t>
        </is>
      </c>
      <c r="B19" s="6" t="n"/>
      <c r="C19" s="6" t="n"/>
      <c r="D19" s="6" t="n">
        <v>179000</v>
      </c>
      <c r="E19" s="6" t="n">
        <v>136000</v>
      </c>
      <c r="F19" s="6" t="n">
        <v>117000</v>
      </c>
      <c r="G19" s="6" t="n"/>
      <c r="H19" s="6" t="n"/>
      <c r="I19" s="6" t="n"/>
      <c r="J19" s="6" t="n"/>
      <c r="K19" s="6" t="n"/>
      <c r="L19" s="6" t="n"/>
      <c r="M19" s="6" t="n"/>
    </row>
    <row r="20">
      <c r="A20" s="5" t="inlineStr">
        <is>
          <t>Total Pillar 1 RWA per the OV1 table</t>
        </is>
      </c>
      <c r="B20" s="5" t="n"/>
      <c r="C20" s="5" t="n"/>
      <c r="D20" s="5" t="n">
        <v>2084000</v>
      </c>
      <c r="E20" s="5" t="n">
        <v>1822000</v>
      </c>
      <c r="F20" s="5" t="n">
        <v>1389000</v>
      </c>
      <c r="G20" s="5" t="n"/>
      <c r="H20" s="5" t="n"/>
      <c r="I20" s="5" t="n"/>
      <c r="J20" s="5" t="n"/>
      <c r="K20" s="5" t="n"/>
      <c r="L20" s="5" t="n"/>
      <c r="M20" s="5" t="n"/>
    </row>
    <row r="21">
      <c r="A21" s="5" t="inlineStr">
        <is>
          <t>Earlier editions</t>
        </is>
      </c>
      <c r="B21" s="6" t="n"/>
      <c r="C21" s="6" t="n"/>
      <c r="D21" s="6" t="n"/>
      <c r="E21" s="6" t="n"/>
      <c r="F21" s="6" t="n"/>
      <c r="G21" s="6" t="n"/>
      <c r="H21" s="6" t="n"/>
      <c r="I21" s="6" t="n"/>
      <c r="J21" s="6" t="n"/>
      <c r="K21" s="6" t="n"/>
      <c r="L21" s="6" t="n"/>
      <c r="M21" s="6" t="n"/>
    </row>
    <row r="22">
      <c r="A22" s="6" t="inlineStr">
        <is>
          <t>Credit risk RWA</t>
        </is>
      </c>
      <c r="B22" s="6" t="n"/>
      <c r="C22" s="6" t="n"/>
      <c r="D22" s="6" t="n"/>
      <c r="E22" s="6" t="n"/>
      <c r="F22" s="6" t="n"/>
      <c r="G22" s="6" t="n"/>
      <c r="H22" s="6" t="n">
        <v>1066000</v>
      </c>
      <c r="I22" s="6" t="n">
        <v>742000</v>
      </c>
      <c r="J22" s="6" t="n"/>
      <c r="K22" s="6" t="n"/>
      <c r="L22" s="6" t="n">
        <v>385977</v>
      </c>
      <c r="M22" s="6" t="n">
        <v>355707</v>
      </c>
    </row>
    <row r="23">
      <c r="A23" s="6" t="inlineStr">
        <is>
          <t>Operational risk RWA (derived from disclosed capital requirement x12.5)</t>
        </is>
      </c>
      <c r="B23" s="6" t="n"/>
      <c r="C23" s="6" t="n"/>
      <c r="D23" s="6" t="n"/>
      <c r="E23" s="6" t="n"/>
      <c r="F23" s="6" t="n"/>
      <c r="G23" s="6" t="n"/>
      <c r="H23" s="6" t="n"/>
      <c r="I23" s="6" t="n"/>
      <c r="J23" s="6" t="n"/>
      <c r="K23" s="6" t="n"/>
      <c r="L23" s="6" t="n">
        <v>30838</v>
      </c>
      <c r="M23" s="6" t="n">
        <v>29938</v>
      </c>
    </row>
    <row r="24">
      <c r="A24" s="5" t="inlineStr">
        <is>
          <t>Total RWA</t>
        </is>
      </c>
      <c r="B24" s="5" t="n"/>
      <c r="C24" s="5" t="n"/>
      <c r="D24" s="5" t="n"/>
      <c r="E24" s="5" t="n"/>
      <c r="F24" s="5" t="n"/>
      <c r="G24" s="5" t="n"/>
      <c r="H24" s="5" t="n">
        <v>1066000</v>
      </c>
      <c r="I24" s="5" t="n">
        <v>742000</v>
      </c>
      <c r="J24" s="5" t="n"/>
      <c r="K24" s="5" t="n"/>
      <c r="L24" s="5" t="n">
        <v>416815</v>
      </c>
      <c r="M24" s="5" t="n">
        <v>385645</v>
      </c>
    </row>
    <row r="26" ht="280" customHeight="1">
      <c r="A26"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
FY2020: Cynergy Bank Pillar 3 Disclosures 2020, 'Summary of On Balance Sheet Credit Risk Exposure', p.25 (source reports £m; converted to £'000) - https://www.cynergybank.co.uk/media/liqngpna/pillar-3-disclosures-2020.pdf
FY2023: Cynergy Bank Limited 2023 Pillar 3 Disclosures, 'Overview of risk-weighted exposure amounts' (UK OV1) table, p.8 (source reports £m; converted to £'000) - https://assets.ctfassets.net/xzmqg68ot16t/5lTzyJuIg2zRrc7GGyH6Gv/6eb39217d6164e649f946b7aed50a0cb/Cynergy_Bank_Pillar_3_Disclosures_2023.pdf
FY2022 &amp; FY2021: Cynergy Bank Limited 2022 Pillar 3, 'Overview of risk-weighted exposure amounts' table, p.6 (source reports £m; converted to £'000) - https://www.cynergybank.co.uk/media/bkhp10sd/cynergy-bank-2022-pillar-3-disclosures.pdf
TWO DOCUMENTED INCONSISTENCIES IN THE 2022 SOURCE TABLE, shown as published rather than silently reconciled. (1) Its FY2021 comparative column totals £1,389m (credit 1,272 + operational 117), but the SAME document's own FY2021 Key-metrics comparative - and the 2021 edition's own Key-metrics table - both state total RWAs of £1,417m, a £28m (2.0%) difference. The Total RWAs sheet uses the Key-metrics figure (£1,417m) because that is the figure both editions agree on and the one the disclosed FY2021 ratios are computed against; this OV1 row is kept at its own stated £1,389m. (2) Its FY2022 components (1,685 credit + 2 CCR + 136 operational) sum to £1,823m against a stated total of £1,822m - a £1m rounding artifact of the source's own £m presentation. 'Securitisations' (£19m) is shown as an 'of which' line because including it as a fourth component would overstate the total by that amount.
FY2016 and FY2017 are deliberately left blank on this sheet, not omitted by oversight: FY2016's Annual Report discloses only the aggregate Total Capital and ratio, no risk-category RWA split at all; FY2017 is left blank for the same reason given on the Total RWAs sheet (the disclosed ratios don't reliably pin down a single RWA figure that year). FY2020's own Pillar 3 document does disclose a summary of on-balance-sheet credit-risk RWA by exposure class (p.25); those figures are now included below as a separate credit-risk section. They are not the complete Total RWAs figure because the source does not provide the corresponding operational-risk/other Pillar 1 components at this granularity. FY2014/FY2015 Operational risk RWA is derived (that year's own disclosed operational risk capital requirement x12.5); FY2018/FY2019 only Credit risk RWA was located (no Operational/Market risk category breakdown found in either Pillar 3 document), so Total RWA on this sheet for those two years is Credit risk RWA alone and will not tie to the (higher) Total RWAs sheet figure for the same year - that gap is the other, undisclosed risk categories, not an error.
FY2023 (added 2026-09-15) has none of those problems: its OV1 components (credit risk 1,905 + operational risk 179 + CCR nil) foot exactly to the stated total of 2,084, which in turn matches the same document's UK KM1 total RWA of 2,084,246 once the £m presentation is allowed for. CCR is shown as 0 rather than blank because the source prints a dash for it in 2023, i.e. it is a disclosed nil, not an undisclosed component. 'Securitisations' (13) is again an 'of which' line inside credit risk, not a fourth component.</t>
        </is>
      </c>
    </row>
  </sheetData>
  <mergeCells count="1">
    <mergeCell ref="A26:M2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Leverage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n"/>
      <c r="D4" s="6" t="inlineStr">
        <is>
          <t>6.96%</t>
        </is>
      </c>
      <c r="E4" s="6" t="inlineStr">
        <is>
          <t>7.40%</t>
        </is>
      </c>
      <c r="F4" s="6" t="inlineStr">
        <is>
          <t>5.46%</t>
        </is>
      </c>
      <c r="G4" s="6" t="inlineStr">
        <is>
          <t>6.1%</t>
        </is>
      </c>
      <c r="H4" s="6" t="inlineStr">
        <is>
          <t>6.3%</t>
        </is>
      </c>
      <c r="I4" s="6" t="inlineStr">
        <is>
          <t>6.9%</t>
        </is>
      </c>
      <c r="J4" s="6" t="inlineStr">
        <is>
          <t>5.8%</t>
        </is>
      </c>
      <c r="K4" s="6" t="inlineStr">
        <is>
          <t>4.7%</t>
        </is>
      </c>
      <c r="L4" s="6" t="inlineStr">
        <is>
          <t>6.0%</t>
        </is>
      </c>
      <c r="M4" s="6" t="inlineStr">
        <is>
          <t>6.1%</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The FY2023 leverage ratio of 6.96% is stated directly in the 2023 UK KM1 table, on a leverage ratio total exposure measure of 4,398,669 (against Tier 1 capital of 306,251); it is not recomputed here from those two inputs.
FY2020's Pillar 3 document states two different leverage exposure measure figures on different pages (£3,006,579k in the reconciliation table vs £2,953,625k in the common disclosure table) that would imply slightly different ratios from the same £182,844k Tier 1 capital - the document's own stated 6.1% ratio is used here rather than recomputing from either exposure figure. FY2018's own Pillar 3 document states 6.9% for FY2018; FY2019's Pillar 3 document's own FY2018 comparative instead shows 6.8% - each year's own report is used for its own figure (FY2018 = 6.9%), per this project's standing convention; the two documents disagree on FY2018 by 0.1pp.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leverage ratio figure appears anywhere in the FY2024 or FY2025 Annual Reports (full-text searched 2026-09-15 - the only hits for 'leverage' are unrelated lending/business usages), and there is no Pillar 3 edition for either year, so those two years stay blank.</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LCR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 basis; source labels the HQLA input 'Weighted value - average')</t>
        </is>
      </c>
      <c r="B4" s="6" t="n"/>
      <c r="C4" s="6" t="n"/>
      <c r="D4" s="6" t="inlineStr">
        <is>
          <t>304.44%</t>
        </is>
      </c>
      <c r="E4" s="6" t="inlineStr">
        <is>
          <t>315.98%</t>
        </is>
      </c>
      <c r="F4" s="6" t="inlineStr">
        <is>
          <t>242.91%</t>
        </is>
      </c>
      <c r="G4" s="6" t="inlineStr">
        <is>
          <t>340%</t>
        </is>
      </c>
      <c r="H4" s="6" t="n"/>
      <c r="I4" s="6" t="n"/>
      <c r="J4" s="6" t="n"/>
      <c r="K4" s="6" t="n"/>
      <c r="L4" s="6" t="n"/>
      <c r="M4" s="6" t="n"/>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NOTE ON FY2020: this sheet's FY2020 figure (340%) comes from the 2020 Pillar 3 edition's own statement, but the 2021 edition's FY2020 comparative column instead shows 330%. Each year's own report is used for its own figure per this project's standing convention, so 340% is retained for FY2020; the 1.0pp disagreement between the two documents is recorded here rather than silently reconciled.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The FY2024 and FY2025 Annual Reports describe the LCR only qualitatively ('the liquidity coverage ratio has exceeded the regulatory requirements throughout 2025', AR2025 p.37) - a statement, not a value - so nothing is transcribed from them, and there is no Pillar 3 edition for either year. FY2023's Annual Report is equally qualitative, but its Pillar 3 edition is not, which is where this sheet's FY2023 figure comes from.</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NSFR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inlineStr">
        <is>
          <t>148.67%</t>
        </is>
      </c>
      <c r="E4" s="6" t="inlineStr">
        <is>
          <t>149.48%</t>
        </is>
      </c>
      <c r="F4" s="6" t="inlineStr">
        <is>
          <t>130%</t>
        </is>
      </c>
      <c r="G4" s="6" t="inlineStr">
        <is>
          <t>132%</t>
        </is>
      </c>
      <c r="H4" s="6" t="n"/>
      <c r="I4" s="6" t="n"/>
      <c r="J4" s="6" t="n"/>
      <c r="K4" s="6" t="n"/>
      <c r="L4" s="6" t="n"/>
      <c r="M4" s="6" t="n"/>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FY2021's NSFR is taken from the 2021 edition's own ratio table (130%); the 2022 edition shows a dash rather than an FY2021 NSFR comparative, so the 2021 edition is the only source for that year.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NSFR SPECIFICALLY: the SDDT approval does not merely stop publication of this metric, it replaces it. AR2024 p.71 says the Bank 'will submit only a simplified retail deposit ratio instead of a full Net Stable Funding Ratio (NSFR) going forward', and AR2025 p.45 confirms 'the Simplified Retail Deposit Ratio (SRDR) replacing the full Net Stable Funding Ratio (NSFR) requirement'. From FY2025 the Bank does not report a full NSFR at all, so no figure exists to disclose - the blank is the correct answer, not a gap.</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MREL in particular is not a metric Cynergy Bank has ever disclosed, in any year or any document reviewed, including the 2018-2022 Pillar 3 editions. For FY2024/FY2025 the SDDT exemption below removes the Pillar 3 obligation entirely.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5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2026-09-16T15:23:18Z</dcterms:created>
  <dcterms:modified xmlns:dcterms="http://purl.org/dc/terms/" xmlns:xsi="http://www.w3.org/2001/XMLSchema-instance" xsi:type="dcterms:W3CDTF">2026-09-16T15:23:18Z</dcterms:modified>
</cp:coreProperties>
</file>