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6C505"/>
        <bgColor rgb="0046C5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Cynergy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a:prstDash val="solid"/>
            </a:ln>
          </spPr>
          <cat>
            <numRef>
              <f>'Overview'!$Q$5:$AB$5</f>
            </numRef>
          </cat>
          <val>
            <numRef>
              <f>'Overview'!$Q$6:$AB$6</f>
            </numRef>
          </val>
        </ser>
        <ser>
          <idx val="1"/>
          <order val="1"/>
          <tx>
            <strRef>
              <f>'Overview'!P7</f>
            </strRef>
          </tx>
          <spPr>
            <a:ln>
              <a:prstDash val="solid"/>
            </a:ln>
          </spPr>
          <cat>
            <numRef>
              <f>'Overview'!$Q$5:$AB$5</f>
            </numRef>
          </cat>
          <val>
            <numRef>
              <f>'Overview'!$Q$7:$AB$7</f>
            </numRef>
          </val>
        </ser>
        <ser>
          <idx val="2"/>
          <order val="2"/>
          <tx>
            <strRef>
              <f>'Overview'!P8</f>
            </strRef>
          </tx>
          <spPr>
            <a:ln>
              <a:prstDash val="solid"/>
            </a:ln>
          </spPr>
          <cat>
            <numRef>
              <f>'Overview'!$Q$5:$AB$5</f>
            </numRef>
          </cat>
          <val>
            <numRef>
              <f>'Overview'!$Q$8:$AB$8</f>
            </numRef>
          </val>
        </ser>
        <ser>
          <idx val="3"/>
          <order val="3"/>
          <tx>
            <strRef>
              <f>'Overview'!P9</f>
            </strRef>
          </tx>
          <spPr>
            <a:l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Cynergy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a:prstDash val="solid"/>
            </a:ln>
          </spPr>
          <cat>
            <numRef>
              <f>'Overview'!$AF$12:$AQ$12</f>
            </numRef>
          </cat>
          <val>
            <numRef>
              <f>'Overview'!$AF$13:$AQ$13</f>
            </numRef>
          </val>
        </ser>
        <ser>
          <idx val="1"/>
          <order val="1"/>
          <tx>
            <strRef>
              <f>'Overview'!AE14</f>
            </strRef>
          </tx>
          <spPr>
            <a:ln>
              <a:prstDash val="solid"/>
            </a:ln>
          </spPr>
          <cat>
            <numRef>
              <f>'Overview'!$AF$12:$AQ$12</f>
            </numRef>
          </cat>
          <val>
            <numRef>
              <f>'Overview'!$AF$14:$AQ$14</f>
            </numRef>
          </val>
        </ser>
        <ser>
          <idx val="2"/>
          <order val="2"/>
          <tx>
            <strRef>
              <f>'Overview'!AE15</f>
            </strRef>
          </tx>
          <spPr>
            <a:l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Cynergy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a:prstDash val="solid"/>
            </a:ln>
          </spPr>
          <cat>
            <numRef>
              <f>'Overview'!$AU$18:$BF$18</f>
            </numRef>
          </cat>
          <val>
            <numRef>
              <f>'Overview'!$AU$19:$BF$19</f>
            </numRef>
          </val>
        </ser>
        <ser>
          <idx val="1"/>
          <order val="1"/>
          <tx>
            <strRef>
              <f>'Overview'!AT20</f>
            </strRef>
          </tx>
          <spPr>
            <a:ln>
              <a:prstDash val="solid"/>
            </a:ln>
          </spPr>
          <cat>
            <numRef>
              <f>'Overview'!$AU$18:$BF$18</f>
            </numRef>
          </cat>
          <val>
            <numRef>
              <f>'Overview'!$AU$20:$BF$20</f>
            </numRef>
          </val>
        </ser>
        <ser>
          <idx val="2"/>
          <order val="2"/>
          <tx>
            <strRef>
              <f>'Overview'!AT21</f>
            </strRef>
          </tx>
          <spPr>
            <a:ln>
              <a:prstDash val="solid"/>
            </a:ln>
          </spPr>
          <cat>
            <numRef>
              <f>'Overview'!$AU$18:$BF$18</f>
            </numRef>
          </cat>
          <val>
            <numRef>
              <f>'Overview'!$AU$21:$BF$21</f>
            </numRef>
          </val>
        </ser>
        <ser>
          <idx val="3"/>
          <order val="3"/>
          <tx>
            <strRef>
              <f>'Overview'!AT22</f>
            </strRef>
          </tx>
          <spPr>
            <a:l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Cynergy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a:prstDash val="solid"/>
            </a:ln>
          </spPr>
          <cat>
            <numRef>
              <f>'Overview'!$BJ$25:$BU$25</f>
            </numRef>
          </cat>
          <val>
            <numRef>
              <f>'Overview'!$BJ$26:$BU$26</f>
            </numRef>
          </val>
        </ser>
        <ser>
          <idx val="1"/>
          <order val="1"/>
          <tx>
            <strRef>
              <f>'Overview'!BI27</f>
            </strRef>
          </tx>
          <spPr>
            <a:ln>
              <a:prstDash val="solid"/>
            </a:ln>
          </spPr>
          <cat>
            <numRef>
              <f>'Overview'!$BJ$25:$BU$25</f>
            </numRef>
          </cat>
          <val>
            <numRef>
              <f>'Overview'!$BJ$27:$BU$27</f>
            </numRef>
          </val>
        </ser>
        <ser>
          <idx val="2"/>
          <order val="2"/>
          <tx>
            <strRef>
              <f>'Overview'!BI28</f>
            </strRef>
          </tx>
          <spPr>
            <a:ln>
              <a:prstDash val="solid"/>
            </a:ln>
          </spPr>
          <cat>
            <numRef>
              <f>'Overview'!$BJ$25:$BU$25</f>
            </numRef>
          </cat>
          <val>
            <numRef>
              <f>'Overview'!$BJ$28:$BU$28</f>
            </numRef>
          </val>
        </ser>
        <ser>
          <idx val="3"/>
          <order val="3"/>
          <tx>
            <strRef>
              <f>'Overview'!BI29</f>
            </strRef>
          </tx>
          <spPr>
            <a:l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Cynergy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a:prstDash val="solid"/>
            </a:ln>
          </spPr>
          <marker>
            <symbol val="none"/>
            <spPr>
              <a:ln>
                <a:prstDash val="solid"/>
              </a:ln>
            </spPr>
          </marker>
          <cat>
            <numRef>
              <f>'Overview'!$BY$5:$CJ$5</f>
            </numRef>
          </cat>
          <val>
            <numRef>
              <f>'Overview'!$BY$6:$CJ$6</f>
            </numRef>
          </val>
          <smooth val="0"/>
        </ser>
        <ser>
          <idx val="1"/>
          <order val="1"/>
          <tx>
            <strRef>
              <f>'Overview'!BX7</f>
            </strRef>
          </tx>
          <spPr>
            <a:ln>
              <a:prstDash val="solid"/>
            </a:ln>
          </spPr>
          <marker>
            <symbol val="none"/>
            <spPr>
              <a:ln>
                <a:prstDash val="solid"/>
              </a:ln>
            </spPr>
          </marker>
          <cat>
            <numRef>
              <f>'Overview'!$BY$5:$CJ$5</f>
            </numRef>
          </cat>
          <val>
            <numRef>
              <f>'Overview'!$BY$7:$CJ$7</f>
            </numRef>
          </val>
          <smooth val="0"/>
        </ser>
        <ser>
          <idx val="2"/>
          <order val="2"/>
          <tx>
            <strRef>
              <f>'Overview'!BX8</f>
            </strRef>
          </tx>
          <spPr>
            <a:ln>
              <a:prstDash val="solid"/>
            </a:ln>
          </spPr>
          <marker>
            <symbol val="none"/>
            <spPr>
              <a:ln>
                <a:prstDash val="solid"/>
              </a:ln>
            </spPr>
          </marker>
          <cat>
            <numRef>
              <f>'Overview'!$BY$5:$CJ$5</f>
            </numRef>
          </cat>
          <val>
            <numRef>
              <f>'Overview'!$BY$8:$CJ$8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61</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83</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105</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127</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Cynergy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5597322</v>
      </c>
      <c r="C6" s="5" t="n">
        <v>5098500</v>
      </c>
      <c r="D6" s="5" t="n">
        <v>4611231</v>
      </c>
      <c r="E6" s="5" t="n">
        <v>4124713</v>
      </c>
      <c r="F6" s="5" t="n">
        <v>3518034</v>
      </c>
      <c r="G6" s="5" t="n">
        <v>2943446</v>
      </c>
      <c r="H6" s="5" t="n">
        <v>2471904</v>
      </c>
      <c r="I6" s="5" t="n">
        <v>1955020</v>
      </c>
      <c r="J6" s="5" t="n">
        <v>1877118</v>
      </c>
      <c r="K6" s="5" t="n">
        <v>1402977</v>
      </c>
      <c r="L6" s="5" t="n">
        <v>1168863</v>
      </c>
      <c r="M6" s="5" t="n">
        <v>1069043</v>
      </c>
      <c r="P6" t="inlineStr">
        <is>
          <t>Total assets</t>
        </is>
      </c>
      <c r="Q6" t="n">
        <v>1069043</v>
      </c>
      <c r="R6" t="n">
        <v>1168863</v>
      </c>
      <c r="S6" t="n">
        <v>1402977</v>
      </c>
      <c r="T6" t="n">
        <v>1877118</v>
      </c>
      <c r="U6" t="n">
        <v>1955020</v>
      </c>
      <c r="V6" t="n">
        <v>2471904</v>
      </c>
      <c r="W6" t="n">
        <v>2943446</v>
      </c>
      <c r="X6" t="n">
        <v>3518034</v>
      </c>
      <c r="Y6" t="n">
        <v>4124713</v>
      </c>
      <c r="Z6" t="n">
        <v>4611231</v>
      </c>
      <c r="AA6" t="n">
        <v>5098500</v>
      </c>
      <c r="AB6" t="n">
        <v>5597322</v>
      </c>
      <c r="BX6" t="inlineStr">
        <is>
          <t>CET1/Core Tier 1 ratio</t>
        </is>
      </c>
      <c r="BY6" t="n">
        <v>16.9</v>
      </c>
      <c r="BZ6" t="n">
        <v>16.6</v>
      </c>
      <c r="CA6" t="n">
        <v>12.1</v>
      </c>
      <c r="CB6" t="n">
        <v>16.6</v>
      </c>
      <c r="CC6" t="n">
        <v>17</v>
      </c>
      <c r="CD6" t="n">
        <v>13.7</v>
      </c>
      <c r="CE6" t="n">
        <v>14.12</v>
      </c>
    </row>
    <row r="7">
      <c r="A7" s="5" t="inlineStr">
        <is>
          <t>Loans and advances to customers</t>
        </is>
      </c>
      <c r="B7" s="5" t="n">
        <v>3745133</v>
      </c>
      <c r="C7" s="5" t="n">
        <v>3653477</v>
      </c>
      <c r="D7" s="5" t="n">
        <v>3564297</v>
      </c>
      <c r="E7" s="5" t="n">
        <v>3254230</v>
      </c>
      <c r="F7" s="5" t="n">
        <v>2949578</v>
      </c>
      <c r="G7" s="5" t="n">
        <v>2613962</v>
      </c>
      <c r="H7" s="5" t="n">
        <v>2264381</v>
      </c>
      <c r="I7" s="5" t="n">
        <v>1668923</v>
      </c>
      <c r="J7" s="5" t="n">
        <v>1407200</v>
      </c>
      <c r="K7" s="5" t="n">
        <v>1083922</v>
      </c>
      <c r="L7" s="5" t="n">
        <v>820807</v>
      </c>
      <c r="M7" s="5" t="n">
        <v>617976</v>
      </c>
      <c r="P7" t="inlineStr">
        <is>
          <t>Loans and advances to customers</t>
        </is>
      </c>
      <c r="Q7" t="n">
        <v>617976</v>
      </c>
      <c r="R7" t="n">
        <v>820807</v>
      </c>
      <c r="S7" t="n">
        <v>1083922</v>
      </c>
      <c r="T7" t="n">
        <v>1407200</v>
      </c>
      <c r="U7" t="n">
        <v>1668923</v>
      </c>
      <c r="V7" t="n">
        <v>2264381</v>
      </c>
      <c r="W7" t="n">
        <v>2613962</v>
      </c>
      <c r="X7" t="n">
        <v>2949578</v>
      </c>
      <c r="Y7" t="n">
        <v>3254230</v>
      </c>
      <c r="Z7" t="n">
        <v>3564297</v>
      </c>
      <c r="AA7" t="n">
        <v>3653477</v>
      </c>
      <c r="AB7" t="n">
        <v>3745133</v>
      </c>
      <c r="BX7" t="inlineStr">
        <is>
          <t>Total Capital ratio</t>
        </is>
      </c>
      <c r="BY7" t="n">
        <v>25.4</v>
      </c>
      <c r="BZ7" t="n">
        <v>24.4</v>
      </c>
      <c r="CA7" t="n">
        <v>18.2</v>
      </c>
      <c r="CB7" t="n">
        <v>21</v>
      </c>
      <c r="CC7" t="n">
        <v>20.7</v>
      </c>
      <c r="CD7" t="n">
        <v>16.3</v>
      </c>
      <c r="CE7" t="n">
        <v>16.42</v>
      </c>
    </row>
    <row r="8">
      <c r="A8" s="5" t="inlineStr">
        <is>
          <t>Customer deposits</t>
        </is>
      </c>
      <c r="B8" s="5" t="n">
        <v>4910863</v>
      </c>
      <c r="C8" s="5" t="n">
        <v>4492026</v>
      </c>
      <c r="D8" s="5" t="n">
        <v>3758037</v>
      </c>
      <c r="E8" s="5" t="n">
        <v>3336442</v>
      </c>
      <c r="F8" s="5" t="n">
        <v>2832564</v>
      </c>
      <c r="G8" s="5" t="n">
        <v>2352241</v>
      </c>
      <c r="H8" s="5" t="n">
        <v>2227678</v>
      </c>
      <c r="I8" s="5" t="n">
        <v>1762654</v>
      </c>
      <c r="J8" s="5" t="n">
        <v>1656975</v>
      </c>
      <c r="K8" s="5" t="n">
        <v>1257403</v>
      </c>
      <c r="L8" s="5" t="n">
        <v>1038348</v>
      </c>
      <c r="M8" s="5" t="n">
        <v>955464</v>
      </c>
      <c r="P8" t="inlineStr">
        <is>
          <t>Customer deposits</t>
        </is>
      </c>
      <c r="Q8" t="n">
        <v>955464</v>
      </c>
      <c r="R8" t="n">
        <v>1038348</v>
      </c>
      <c r="S8" t="n">
        <v>1257403</v>
      </c>
      <c r="T8" t="n">
        <v>1656975</v>
      </c>
      <c r="U8" t="n">
        <v>1762654</v>
      </c>
      <c r="V8" t="n">
        <v>2227678</v>
      </c>
      <c r="W8" t="n">
        <v>2352241</v>
      </c>
      <c r="X8" t="n">
        <v>2832564</v>
      </c>
      <c r="Y8" t="n">
        <v>3336442</v>
      </c>
      <c r="Z8" t="n">
        <v>3758037</v>
      </c>
      <c r="AA8" t="n">
        <v>4492026</v>
      </c>
      <c r="AB8" t="n">
        <v>4910863</v>
      </c>
      <c r="BX8" t="inlineStr">
        <is>
          <t>Leverage ratio</t>
        </is>
      </c>
      <c r="BY8" t="n">
        <v>6.1</v>
      </c>
      <c r="BZ8" t="n">
        <v>6</v>
      </c>
      <c r="CA8" t="n">
        <v>4.7</v>
      </c>
      <c r="CB8" t="n">
        <v>5.8</v>
      </c>
      <c r="CC8" t="n">
        <v>6.9</v>
      </c>
      <c r="CD8" t="n">
        <v>6.3</v>
      </c>
      <c r="CE8" t="n">
        <v>6.1</v>
      </c>
    </row>
    <row r="9">
      <c r="A9" s="5" t="inlineStr">
        <is>
          <t>Total equity</t>
        </is>
      </c>
      <c r="B9" s="5" t="n">
        <v>426229</v>
      </c>
      <c r="C9" s="5" t="n">
        <v>387856</v>
      </c>
      <c r="D9" s="5" t="n">
        <v>349550</v>
      </c>
      <c r="E9" s="5" t="n">
        <v>309446</v>
      </c>
      <c r="F9" s="5" t="n">
        <v>220716</v>
      </c>
      <c r="G9" s="5" t="n">
        <v>195787</v>
      </c>
      <c r="H9" s="5" t="n">
        <v>166650</v>
      </c>
      <c r="I9" s="5" t="n">
        <v>137331</v>
      </c>
      <c r="J9" s="5" t="n">
        <v>112718</v>
      </c>
      <c r="K9" s="5" t="n">
        <v>65857</v>
      </c>
      <c r="L9" s="5" t="n">
        <v>69820</v>
      </c>
      <c r="M9" s="5" t="n">
        <v>66216</v>
      </c>
      <c r="P9" t="inlineStr">
        <is>
          <t>Total equity</t>
        </is>
      </c>
      <c r="Q9" t="n">
        <v>66216</v>
      </c>
      <c r="R9" t="n">
        <v>69820</v>
      </c>
      <c r="S9" t="n">
        <v>65857</v>
      </c>
      <c r="T9" t="n">
        <v>112718</v>
      </c>
      <c r="U9" t="n">
        <v>137331</v>
      </c>
      <c r="V9" t="n">
        <v>166650</v>
      </c>
      <c r="W9" t="n">
        <v>195787</v>
      </c>
      <c r="X9" t="n">
        <v>220716</v>
      </c>
      <c r="Y9" t="n">
        <v>309446</v>
      </c>
      <c r="Z9" t="n">
        <v>349550</v>
      </c>
      <c r="AA9" t="n">
        <v>387856</v>
      </c>
      <c r="AB9" t="n">
        <v>426229</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140485</v>
      </c>
      <c r="C13" s="5" t="n">
        <v>134646</v>
      </c>
      <c r="D13" s="5" t="n">
        <v>159546</v>
      </c>
      <c r="E13" s="5" t="n">
        <v>127584</v>
      </c>
      <c r="F13" s="5" t="n">
        <v>88029</v>
      </c>
      <c r="G13" s="5" t="n">
        <v>78325</v>
      </c>
      <c r="H13" s="5" t="n">
        <v>58998</v>
      </c>
      <c r="I13" s="5" t="n">
        <v>48596</v>
      </c>
      <c r="J13" s="5" t="n">
        <v>40021</v>
      </c>
      <c r="K13" s="5" t="n">
        <v>30051</v>
      </c>
      <c r="L13" s="5" t="n">
        <v>23999</v>
      </c>
      <c r="M13" s="5" t="n">
        <v>18719</v>
      </c>
      <c r="AE13" t="inlineStr">
        <is>
          <t>Total operating income</t>
        </is>
      </c>
      <c r="AF13" t="n">
        <v>18719</v>
      </c>
      <c r="AG13" t="n">
        <v>23999</v>
      </c>
      <c r="AH13" t="n">
        <v>30051</v>
      </c>
      <c r="AI13" t="n">
        <v>40021</v>
      </c>
      <c r="AJ13" t="n">
        <v>48596</v>
      </c>
      <c r="AK13" t="n">
        <v>58998</v>
      </c>
      <c r="AL13" t="n">
        <v>78325</v>
      </c>
      <c r="AM13" t="n">
        <v>88029</v>
      </c>
      <c r="AN13" t="n">
        <v>127584</v>
      </c>
      <c r="AO13" t="n">
        <v>159546</v>
      </c>
      <c r="AP13" t="n">
        <v>134646</v>
      </c>
      <c r="AQ13" t="n">
        <v>140485</v>
      </c>
    </row>
    <row r="14">
      <c r="A14" s="5" t="inlineStr">
        <is>
          <t>Total operating expenses</t>
        </is>
      </c>
      <c r="B14" s="5" t="n">
        <v>-89416</v>
      </c>
      <c r="C14" s="5" t="n">
        <v>-80932</v>
      </c>
      <c r="D14" s="5" t="n">
        <v>-100220</v>
      </c>
      <c r="E14" s="5" t="n">
        <v>-77225</v>
      </c>
      <c r="F14" s="5" t="n">
        <v>-52233</v>
      </c>
      <c r="G14" s="5" t="n">
        <v>-46323</v>
      </c>
      <c r="H14" s="5" t="n">
        <v>-36135</v>
      </c>
      <c r="I14" s="5" t="n">
        <v>-42216</v>
      </c>
      <c r="J14" s="5" t="n">
        <v>-34602</v>
      </c>
      <c r="K14" s="5" t="n">
        <v>-24151</v>
      </c>
      <c r="L14" s="5" t="n">
        <v>-20104</v>
      </c>
      <c r="M14" s="5" t="n">
        <v>-17824</v>
      </c>
      <c r="AE14" t="inlineStr">
        <is>
          <t>Total operating expenses</t>
        </is>
      </c>
      <c r="AF14" t="n">
        <v>-17824</v>
      </c>
      <c r="AG14" t="n">
        <v>-20104</v>
      </c>
      <c r="AH14" t="n">
        <v>-24151</v>
      </c>
      <c r="AI14" t="n">
        <v>-34602</v>
      </c>
      <c r="AJ14" t="n">
        <v>-42216</v>
      </c>
      <c r="AK14" t="n">
        <v>-36135</v>
      </c>
      <c r="AL14" t="n">
        <v>-46323</v>
      </c>
      <c r="AM14" t="n">
        <v>-52233</v>
      </c>
      <c r="AN14" t="n">
        <v>-77225</v>
      </c>
      <c r="AO14" t="n">
        <v>-100220</v>
      </c>
      <c r="AP14" t="n">
        <v>-80932</v>
      </c>
      <c r="AQ14" t="n">
        <v>-89416</v>
      </c>
    </row>
    <row r="15">
      <c r="A15" s="5" t="inlineStr">
        <is>
          <t>Profit for the year</t>
        </is>
      </c>
      <c r="B15" s="5" t="n">
        <v>37940</v>
      </c>
      <c r="C15" s="5" t="n">
        <v>40234</v>
      </c>
      <c r="D15" s="5" t="n">
        <v>40613</v>
      </c>
      <c r="E15" s="5" t="n">
        <v>40256</v>
      </c>
      <c r="F15" s="5" t="n">
        <v>24929</v>
      </c>
      <c r="G15" s="5" t="n">
        <v>20828</v>
      </c>
      <c r="H15" s="5" t="n">
        <v>13519</v>
      </c>
      <c r="I15" s="5" t="n">
        <v>4600</v>
      </c>
      <c r="J15" s="5" t="n">
        <v>861</v>
      </c>
      <c r="K15" s="5" t="n">
        <v>-9020</v>
      </c>
      <c r="L15" s="5" t="n">
        <v>3604</v>
      </c>
      <c r="M15" s="5" t="n">
        <v>3301</v>
      </c>
      <c r="AE15" t="inlineStr">
        <is>
          <t>Profit for the year</t>
        </is>
      </c>
      <c r="AF15" t="n">
        <v>3301</v>
      </c>
      <c r="AG15" t="n">
        <v>3604</v>
      </c>
      <c r="AH15" t="n">
        <v>-9020</v>
      </c>
      <c r="AI15" t="n">
        <v>861</v>
      </c>
      <c r="AJ15" t="n">
        <v>4600</v>
      </c>
      <c r="AK15" t="n">
        <v>13519</v>
      </c>
      <c r="AL15" t="n">
        <v>20828</v>
      </c>
      <c r="AM15" t="n">
        <v>24929</v>
      </c>
      <c r="AN15" t="n">
        <v>40256</v>
      </c>
      <c r="AO15" t="n">
        <v>40613</v>
      </c>
      <c r="AP15" t="n">
        <v>40234</v>
      </c>
      <c r="AQ15" t="n">
        <v>37940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387856</v>
      </c>
      <c r="C19" s="5" t="n">
        <v>349550</v>
      </c>
      <c r="D19" s="5" t="n">
        <v>309446</v>
      </c>
      <c r="E19" s="5" t="n">
        <v>220716</v>
      </c>
      <c r="F19" s="5" t="n">
        <v>195787</v>
      </c>
      <c r="G19" s="5" t="n">
        <v>166650</v>
      </c>
      <c r="H19" s="5" t="n">
        <v>137331</v>
      </c>
      <c r="I19" s="5" t="n">
        <v>112718</v>
      </c>
      <c r="J19" s="5" t="n">
        <v>65857</v>
      </c>
      <c r="K19" s="5" t="n">
        <v>69820</v>
      </c>
      <c r="L19" s="5" t="n">
        <v>66216</v>
      </c>
      <c r="M19" s="5" t="n">
        <v>59583</v>
      </c>
      <c r="AT19" t="inlineStr">
        <is>
          <t>Opening equity</t>
        </is>
      </c>
      <c r="AU19" t="n">
        <v>59583</v>
      </c>
      <c r="AV19" t="n">
        <v>66216</v>
      </c>
      <c r="AW19" t="n">
        <v>69820</v>
      </c>
      <c r="AX19" t="n">
        <v>65857</v>
      </c>
      <c r="AY19" t="n">
        <v>112718</v>
      </c>
      <c r="AZ19" t="n">
        <v>137331</v>
      </c>
      <c r="BA19" t="n">
        <v>166650</v>
      </c>
      <c r="BB19" t="n">
        <v>195787</v>
      </c>
      <c r="BC19" t="n">
        <v>220716</v>
      </c>
      <c r="BD19" t="n">
        <v>309446</v>
      </c>
      <c r="BE19" t="n">
        <v>349550</v>
      </c>
      <c r="BF19" t="n">
        <v>387856</v>
      </c>
    </row>
    <row r="20">
      <c r="A20" s="5" t="inlineStr">
        <is>
          <t>Total comprehensive income for the year</t>
        </is>
      </c>
      <c r="B20" s="5" t="n">
        <v>37940</v>
      </c>
      <c r="C20" s="5" t="n">
        <v>38306</v>
      </c>
      <c r="D20" s="5" t="n">
        <v>40104</v>
      </c>
      <c r="E20" s="5" t="n">
        <v>41730</v>
      </c>
      <c r="F20" s="5" t="n">
        <v>24929</v>
      </c>
      <c r="G20" s="5" t="n">
        <v>20137</v>
      </c>
      <c r="H20" s="5" t="n">
        <v>14648</v>
      </c>
      <c r="I20" s="5" t="n">
        <v>4517</v>
      </c>
      <c r="J20" s="5" t="n">
        <v>861</v>
      </c>
      <c r="K20" s="5" t="n">
        <v>-3963</v>
      </c>
      <c r="L20" s="5" t="n">
        <v>3604</v>
      </c>
      <c r="M20" s="5" t="n">
        <v>6633</v>
      </c>
      <c r="AT20" t="inlineStr">
        <is>
          <t>Total comprehensive income for the year</t>
        </is>
      </c>
      <c r="AU20" t="n">
        <v>6633</v>
      </c>
      <c r="AV20" t="n">
        <v>3604</v>
      </c>
      <c r="AW20" t="n">
        <v>-3963</v>
      </c>
      <c r="AX20" t="n">
        <v>861</v>
      </c>
      <c r="AY20" t="n">
        <v>4517</v>
      </c>
      <c r="AZ20" t="n">
        <v>14648</v>
      </c>
      <c r="BA20" t="n">
        <v>20137</v>
      </c>
      <c r="BB20" t="n">
        <v>24929</v>
      </c>
      <c r="BC20" t="n">
        <v>41730</v>
      </c>
      <c r="BD20" t="n">
        <v>40104</v>
      </c>
      <c r="BE20" t="n">
        <v>38306</v>
      </c>
      <c r="BF20" t="n">
        <v>37940</v>
      </c>
    </row>
    <row r="21">
      <c r="A21" s="5" t="inlineStr">
        <is>
          <t>Other equity movements, net</t>
        </is>
      </c>
      <c r="B21" s="5" t="n">
        <v>433</v>
      </c>
      <c r="C21" s="5" t="n">
        <v>0</v>
      </c>
      <c r="D21" s="5" t="n">
        <v>0</v>
      </c>
      <c r="E21" s="5" t="n">
        <v>47000</v>
      </c>
      <c r="F21" s="5" t="n">
        <v>0</v>
      </c>
      <c r="G21" s="5" t="n">
        <v>9000</v>
      </c>
      <c r="H21" s="5" t="n">
        <v>14671</v>
      </c>
      <c r="I21" s="5" t="n">
        <v>20096</v>
      </c>
      <c r="J21" s="5" t="n">
        <v>46000</v>
      </c>
      <c r="K21" s="5" t="n">
        <v>0</v>
      </c>
      <c r="L21" s="5" t="n">
        <v>0</v>
      </c>
      <c r="M21" s="5" t="n">
        <v>0</v>
      </c>
      <c r="AT21" t="inlineStr">
        <is>
          <t>Other equity movements, net</t>
        </is>
      </c>
      <c r="AU21" t="n">
        <v>0</v>
      </c>
      <c r="AV21" t="n">
        <v>0</v>
      </c>
      <c r="AW21" t="n">
        <v>0</v>
      </c>
      <c r="AX21" t="n">
        <v>46000</v>
      </c>
      <c r="AY21" t="n">
        <v>20096</v>
      </c>
      <c r="AZ21" t="n">
        <v>14671</v>
      </c>
      <c r="BA21" t="n">
        <v>9000</v>
      </c>
      <c r="BB21" t="n">
        <v>0</v>
      </c>
      <c r="BC21" t="n">
        <v>47000</v>
      </c>
      <c r="BD21" t="n">
        <v>0</v>
      </c>
      <c r="BE21" t="n">
        <v>0</v>
      </c>
      <c r="BF21" t="n">
        <v>433</v>
      </c>
    </row>
    <row r="22">
      <c r="A22" s="5" t="inlineStr">
        <is>
          <t>Closing equity</t>
        </is>
      </c>
      <c r="B22" s="5" t="n">
        <v>426229</v>
      </c>
      <c r="C22" s="5" t="n">
        <v>387856</v>
      </c>
      <c r="D22" s="5" t="n">
        <v>349550</v>
      </c>
      <c r="E22" s="5" t="n">
        <v>309446</v>
      </c>
      <c r="F22" s="5" t="n">
        <v>220716</v>
      </c>
      <c r="G22" s="5" t="n">
        <v>195787</v>
      </c>
      <c r="H22" s="5" t="n">
        <v>166650</v>
      </c>
      <c r="I22" s="5" t="n">
        <v>137331</v>
      </c>
      <c r="J22" s="5" t="n">
        <v>112718</v>
      </c>
      <c r="K22" s="5" t="n">
        <v>65857</v>
      </c>
      <c r="L22" s="5" t="n">
        <v>69820</v>
      </c>
      <c r="M22" s="5" t="n">
        <v>66216</v>
      </c>
      <c r="AT22" t="inlineStr">
        <is>
          <t>Closing equity</t>
        </is>
      </c>
      <c r="AU22" t="n">
        <v>66216</v>
      </c>
      <c r="AV22" t="n">
        <v>69820</v>
      </c>
      <c r="AW22" t="n">
        <v>65857</v>
      </c>
      <c r="AX22" t="n">
        <v>112718</v>
      </c>
      <c r="AY22" t="n">
        <v>137331</v>
      </c>
      <c r="AZ22" t="n">
        <v>166650</v>
      </c>
      <c r="BA22" t="n">
        <v>195787</v>
      </c>
      <c r="BB22" t="n">
        <v>220716</v>
      </c>
      <c r="BC22" t="n">
        <v>309446</v>
      </c>
      <c r="BD22" t="n">
        <v>349550</v>
      </c>
      <c r="BE22" t="n">
        <v>387856</v>
      </c>
      <c r="BF22" t="n">
        <v>426229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from/(used in) operating activities</t>
        </is>
      </c>
      <c r="B26" s="5" t="n">
        <v>-17143</v>
      </c>
      <c r="C26" s="5" t="n">
        <v>445559</v>
      </c>
      <c r="D26" s="5" t="n">
        <v>130953</v>
      </c>
      <c r="E26" s="5" t="n">
        <v>190786</v>
      </c>
      <c r="F26" s="5" t="n">
        <v>234303</v>
      </c>
      <c r="G26" s="5" t="n">
        <v>117909</v>
      </c>
      <c r="H26" s="5" t="n">
        <v>-83910</v>
      </c>
      <c r="I26" s="5" t="n">
        <v>-157299</v>
      </c>
      <c r="J26" s="5" t="n">
        <v>75543</v>
      </c>
      <c r="K26" s="5" t="n">
        <v>-44784</v>
      </c>
      <c r="L26" s="5" t="n">
        <v>-108406</v>
      </c>
      <c r="M26" s="5" t="n">
        <v>-85437</v>
      </c>
      <c r="BI26" t="inlineStr">
        <is>
          <t>Net cash flow from/(used in) operating activities</t>
        </is>
      </c>
      <c r="BJ26" t="n">
        <v>-85437</v>
      </c>
      <c r="BK26" t="n">
        <v>-108406</v>
      </c>
      <c r="BL26" t="n">
        <v>-44784</v>
      </c>
      <c r="BM26" t="n">
        <v>75543</v>
      </c>
      <c r="BN26" t="n">
        <v>-157299</v>
      </c>
      <c r="BO26" t="n">
        <v>-83910</v>
      </c>
      <c r="BP26" t="n">
        <v>117909</v>
      </c>
      <c r="BQ26" t="n">
        <v>234303</v>
      </c>
      <c r="BR26" t="n">
        <v>190786</v>
      </c>
      <c r="BS26" t="n">
        <v>130953</v>
      </c>
      <c r="BT26" t="n">
        <v>445559</v>
      </c>
      <c r="BU26" t="n">
        <v>-17143</v>
      </c>
    </row>
    <row r="27">
      <c r="A27" s="5" t="inlineStr">
        <is>
          <t>Net cash flow from/(used in) investing activities</t>
        </is>
      </c>
      <c r="B27" s="5" t="n">
        <v>-459330</v>
      </c>
      <c r="C27" s="5" t="n">
        <v>-135783</v>
      </c>
      <c r="D27" s="5" t="n">
        <v>-39022</v>
      </c>
      <c r="E27" s="5" t="n">
        <v>36420</v>
      </c>
      <c r="F27" s="5" t="n">
        <v>-147084</v>
      </c>
      <c r="G27" s="5" t="n">
        <v>-12691</v>
      </c>
      <c r="H27" s="5" t="n">
        <v>-8787</v>
      </c>
      <c r="I27" s="5" t="n">
        <v>-2257</v>
      </c>
      <c r="J27" s="5" t="n">
        <v>-1620</v>
      </c>
      <c r="K27" s="5" t="n">
        <v>-1034</v>
      </c>
      <c r="L27" s="5" t="n">
        <v>-542</v>
      </c>
      <c r="M27" s="5" t="n">
        <v>-766</v>
      </c>
      <c r="BI27" t="inlineStr">
        <is>
          <t>Net cash flow from/(used in) investing activities</t>
        </is>
      </c>
      <c r="BJ27" t="n">
        <v>-766</v>
      </c>
      <c r="BK27" t="n">
        <v>-542</v>
      </c>
      <c r="BL27" t="n">
        <v>-1034</v>
      </c>
      <c r="BM27" t="n">
        <v>-1620</v>
      </c>
      <c r="BN27" t="n">
        <v>-2257</v>
      </c>
      <c r="BO27" t="n">
        <v>-8787</v>
      </c>
      <c r="BP27" t="n">
        <v>-12691</v>
      </c>
      <c r="BQ27" t="n">
        <v>-147084</v>
      </c>
      <c r="BR27" t="n">
        <v>36420</v>
      </c>
      <c r="BS27" t="n">
        <v>-39022</v>
      </c>
      <c r="BT27" t="n">
        <v>-135783</v>
      </c>
      <c r="BU27" t="n">
        <v>-459330</v>
      </c>
    </row>
    <row r="28">
      <c r="A28" s="5" t="inlineStr">
        <is>
          <t>Net cash flow from/(used in) financing activities</t>
        </is>
      </c>
      <c r="B28" s="5" t="n">
        <v>29481</v>
      </c>
      <c r="C28" s="5" t="n">
        <v>-2292</v>
      </c>
      <c r="D28" s="5" t="n">
        <v>13701</v>
      </c>
      <c r="E28" s="5" t="n">
        <v>47034</v>
      </c>
      <c r="F28" s="5" t="n">
        <v>-238</v>
      </c>
      <c r="G28" s="5" t="n">
        <v>8834</v>
      </c>
      <c r="H28" s="5" t="n">
        <v>14642</v>
      </c>
      <c r="I28" s="5" t="n">
        <v>19957</v>
      </c>
      <c r="J28" s="5" t="n">
        <v>44526</v>
      </c>
      <c r="K28" s="5" t="n">
        <v>-2265</v>
      </c>
      <c r="L28" s="5" t="n">
        <v>-2271</v>
      </c>
      <c r="M28" s="5" t="n">
        <v>-2256</v>
      </c>
      <c r="BI28" t="inlineStr">
        <is>
          <t>Net cash flow from/(used in) financing activities</t>
        </is>
      </c>
      <c r="BJ28" t="n">
        <v>-2256</v>
      </c>
      <c r="BK28" t="n">
        <v>-2271</v>
      </c>
      <c r="BL28" t="n">
        <v>-2265</v>
      </c>
      <c r="BM28" t="n">
        <v>44526</v>
      </c>
      <c r="BN28" t="n">
        <v>19957</v>
      </c>
      <c r="BO28" t="n">
        <v>14642</v>
      </c>
      <c r="BP28" t="n">
        <v>8834</v>
      </c>
      <c r="BQ28" t="n">
        <v>-238</v>
      </c>
      <c r="BR28" t="n">
        <v>47034</v>
      </c>
      <c r="BS28" t="n">
        <v>13701</v>
      </c>
      <c r="BT28" t="n">
        <v>-2292</v>
      </c>
      <c r="BU28" t="n">
        <v>29481</v>
      </c>
    </row>
    <row r="29">
      <c r="A29" s="5" t="inlineStr">
        <is>
          <t>Cash and cash equivalents at end of year</t>
        </is>
      </c>
      <c r="B29" s="5" t="n">
        <v>611903</v>
      </c>
      <c r="C29" s="5" t="n">
        <v>1058851</v>
      </c>
      <c r="D29" s="5" t="n">
        <v>751598</v>
      </c>
      <c r="E29" s="5" t="n">
        <v>646528</v>
      </c>
      <c r="F29" s="5" t="n">
        <v>372288</v>
      </c>
      <c r="G29" s="5" t="n">
        <v>285307</v>
      </c>
      <c r="H29" s="5" t="n">
        <v>171255</v>
      </c>
      <c r="I29" s="5" t="n">
        <v>249310</v>
      </c>
      <c r="J29" s="5" t="n">
        <v>388909</v>
      </c>
      <c r="K29" s="5" t="n">
        <v>268981</v>
      </c>
      <c r="L29" s="5" t="n">
        <v>309135</v>
      </c>
      <c r="M29" s="5" t="n">
        <v>422348</v>
      </c>
      <c r="BI29" t="inlineStr">
        <is>
          <t>Cash and cash equivalents at end of year</t>
        </is>
      </c>
      <c r="BJ29" t="n">
        <v>422348</v>
      </c>
      <c r="BK29" t="n">
        <v>309135</v>
      </c>
      <c r="BL29" t="n">
        <v>268981</v>
      </c>
      <c r="BM29" t="n">
        <v>388909</v>
      </c>
      <c r="BN29" t="n">
        <v>249310</v>
      </c>
      <c r="BO29" t="n">
        <v>171255</v>
      </c>
      <c r="BP29" t="n">
        <v>285307</v>
      </c>
      <c r="BQ29" t="n">
        <v>372288</v>
      </c>
      <c r="BR29" t="n">
        <v>646528</v>
      </c>
      <c r="BS29" t="n">
        <v>751598</v>
      </c>
      <c r="BT29" t="n">
        <v>1058851</v>
      </c>
      <c r="BU29" t="n">
        <v>611903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CET1/Core Tier 1 ratio</t>
        </is>
      </c>
      <c r="B33" s="6" t="n"/>
      <c r="C33" s="6" t="n"/>
      <c r="D33" s="6" t="n"/>
      <c r="E33" s="6" t="n"/>
      <c r="F33" s="6" t="n"/>
      <c r="G33" s="6" t="inlineStr">
        <is>
          <t>14.12%</t>
        </is>
      </c>
      <c r="H33" s="6" t="inlineStr">
        <is>
          <t>13.7%</t>
        </is>
      </c>
      <c r="I33" s="6" t="inlineStr">
        <is>
          <t>17.0%</t>
        </is>
      </c>
      <c r="J33" s="6" t="inlineStr">
        <is>
          <t>16.6%</t>
        </is>
      </c>
      <c r="K33" s="6" t="inlineStr">
        <is>
          <t>12.1%</t>
        </is>
      </c>
      <c r="L33" s="6" t="inlineStr">
        <is>
          <t>16.6%</t>
        </is>
      </c>
      <c r="M33" s="6" t="inlineStr">
        <is>
          <t>16.9%</t>
        </is>
      </c>
    </row>
    <row r="34">
      <c r="A34" s="6" t="inlineStr">
        <is>
          <t>Total Capital ratio</t>
        </is>
      </c>
      <c r="B34" s="6" t="n"/>
      <c r="C34" s="6" t="n"/>
      <c r="D34" s="6" t="n"/>
      <c r="E34" s="6" t="n"/>
      <c r="F34" s="6" t="n"/>
      <c r="G34" s="6" t="inlineStr">
        <is>
          <t>16.42%</t>
        </is>
      </c>
      <c r="H34" s="6" t="inlineStr">
        <is>
          <t>16.3%</t>
        </is>
      </c>
      <c r="I34" s="6" t="inlineStr">
        <is>
          <t>20.7%</t>
        </is>
      </c>
      <c r="J34" s="6" t="inlineStr">
        <is>
          <t>21.0%</t>
        </is>
      </c>
      <c r="K34" s="6" t="inlineStr">
        <is>
          <t>18.2%</t>
        </is>
      </c>
      <c r="L34" s="6" t="inlineStr">
        <is>
          <t>24.4%</t>
        </is>
      </c>
      <c r="M34" s="6" t="inlineStr">
        <is>
          <t>25.4%</t>
        </is>
      </c>
    </row>
    <row r="35">
      <c r="A35" s="6" t="inlineStr">
        <is>
          <t>Leverage ratio</t>
        </is>
      </c>
      <c r="B35" s="6" t="n"/>
      <c r="C35" s="6" t="n"/>
      <c r="D35" s="6" t="n"/>
      <c r="E35" s="6" t="n"/>
      <c r="F35" s="6" t="n"/>
      <c r="G35" s="6" t="inlineStr">
        <is>
          <t>6.1%</t>
        </is>
      </c>
      <c r="H35" s="6" t="inlineStr">
        <is>
          <t>6.3%</t>
        </is>
      </c>
      <c r="I35" s="6" t="inlineStr">
        <is>
          <t>6.9%</t>
        </is>
      </c>
      <c r="J35" s="6" t="inlineStr">
        <is>
          <t>5.8%</t>
        </is>
      </c>
      <c r="K35" s="6" t="inlineStr">
        <is>
          <t>4.7%</t>
        </is>
      </c>
      <c r="L35" s="6" t="inlineStr">
        <is>
          <t>6.0%</t>
        </is>
      </c>
      <c r="M35" s="6" t="inlineStr">
        <is>
          <t>6.1%</t>
        </is>
      </c>
    </row>
    <row r="37" ht="45" customHeight="1">
      <c r="A37" s="7" t="inlineStr">
        <is>
          <t>Note: This batch (HD-051) found real Pillar 3 capital/leverage ratios for FY2014-FY2020 (see the individual Pillar 3 sheets) - shown here even though FY2021-FY2025 have none disclosed (a prior sourcing note claiming no ratio-type Pillar 3 metric exists in any year was wrong; corrected on each affected sheet, see the Cash Flow Statement sheet's source note). CET1 Capital, Tier 1 Capital and Total Capital (£'000) are disclosed for FY2014-FY2020 and FY2023-FY2024 - see their own sheets. Cash flow figures are duplicated from the Cash Flow Statement sheet for at-a-glance trend viewing.</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Consolidated Statement of Financial Position</t>
        </is>
      </c>
    </row>
    <row r="2">
      <c r="A2" s="2" t="inlineStr">
        <is>
          <t>Consolidated basis, £'000. See source note at bottom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balances with central banks</t>
        </is>
      </c>
      <c r="B5" s="6" t="n">
        <v>575031</v>
      </c>
      <c r="C5" s="6" t="n">
        <v>1014572</v>
      </c>
      <c r="D5" s="6" t="n">
        <v>697790</v>
      </c>
      <c r="E5" s="6" t="n">
        <v>553007</v>
      </c>
      <c r="F5" s="6" t="n">
        <v>324982</v>
      </c>
      <c r="G5" s="6" t="n">
        <v>246256</v>
      </c>
      <c r="H5" s="6" t="n">
        <v>111754</v>
      </c>
      <c r="I5" s="6" t="n">
        <v>196454</v>
      </c>
      <c r="J5" s="6" t="n">
        <v>358724</v>
      </c>
      <c r="K5" s="6" t="n">
        <v>205062</v>
      </c>
      <c r="L5" s="6" t="n">
        <v>228858</v>
      </c>
      <c r="M5" s="6" t="n">
        <v>367398</v>
      </c>
    </row>
    <row r="6">
      <c r="A6" s="6" t="inlineStr">
        <is>
          <t>Placements with banks</t>
        </is>
      </c>
      <c r="B6" s="6" t="n">
        <v>36872</v>
      </c>
      <c r="C6" s="6" t="n">
        <v>44279</v>
      </c>
      <c r="D6" s="6" t="n">
        <v>63156</v>
      </c>
      <c r="E6" s="6" t="n">
        <v>102320</v>
      </c>
      <c r="F6" s="6" t="n">
        <v>54529</v>
      </c>
      <c r="G6" s="6" t="n">
        <v>44784</v>
      </c>
      <c r="H6" s="6" t="n">
        <v>63265</v>
      </c>
      <c r="I6" s="6" t="n">
        <v>55538</v>
      </c>
      <c r="J6" s="6" t="n">
        <v>32625</v>
      </c>
      <c r="K6" s="6" t="n">
        <v>67948</v>
      </c>
      <c r="L6" s="6" t="n">
        <v>83373</v>
      </c>
      <c r="M6" s="6" t="n">
        <v>58528</v>
      </c>
    </row>
    <row r="7">
      <c r="A7" s="6" t="inlineStr">
        <is>
          <t>Placements with related entities</t>
        </is>
      </c>
      <c r="B7" s="6" t="n"/>
      <c r="C7" s="6" t="n"/>
      <c r="D7" s="6" t="n"/>
      <c r="E7" s="6" t="n"/>
      <c r="F7" s="6" t="n"/>
      <c r="G7" s="6" t="n"/>
      <c r="H7" s="6" t="n"/>
      <c r="I7" s="6" t="n"/>
      <c r="J7" s="6" t="n">
        <v>25226</v>
      </c>
      <c r="K7" s="6" t="n">
        <v>24949</v>
      </c>
      <c r="L7" s="6" t="n">
        <v>21127</v>
      </c>
      <c r="M7" s="6" t="n">
        <v>9555</v>
      </c>
    </row>
    <row r="8">
      <c r="A8" s="6" t="inlineStr">
        <is>
          <t>Investment in subsidiary</t>
        </is>
      </c>
      <c r="B8" s="6" t="n"/>
      <c r="C8" s="6" t="n"/>
      <c r="D8" s="6" t="n"/>
      <c r="E8" s="6" t="n"/>
      <c r="F8" s="6" t="n"/>
      <c r="G8" s="6" t="n"/>
      <c r="H8" s="6" t="n">
        <v>10</v>
      </c>
      <c r="I8" s="6" t="n">
        <v>10</v>
      </c>
      <c r="J8" s="6" t="n">
        <v>400</v>
      </c>
      <c r="K8" s="6" t="n">
        <v>400</v>
      </c>
      <c r="L8" s="6" t="n">
        <v>400</v>
      </c>
      <c r="M8" s="6" t="n">
        <v>400</v>
      </c>
    </row>
    <row r="9">
      <c r="A9" s="6" t="inlineStr">
        <is>
          <t>Loans and advances to customers</t>
        </is>
      </c>
      <c r="B9" s="6" t="n">
        <v>3745133</v>
      </c>
      <c r="C9" s="6" t="n">
        <v>3653477</v>
      </c>
      <c r="D9" s="6" t="n">
        <v>3564297</v>
      </c>
      <c r="E9" s="6" t="n">
        <v>3254230</v>
      </c>
      <c r="F9" s="6" t="n">
        <v>2949578</v>
      </c>
      <c r="G9" s="6" t="n">
        <v>2613962</v>
      </c>
      <c r="H9" s="6" t="n">
        <v>2264381</v>
      </c>
      <c r="I9" s="6" t="n">
        <v>1668923</v>
      </c>
      <c r="J9" s="6" t="n">
        <v>1407200</v>
      </c>
      <c r="K9" s="6" t="n">
        <v>1083922</v>
      </c>
      <c r="L9" s="6" t="n">
        <v>820807</v>
      </c>
      <c r="M9" s="6" t="n">
        <v>617976</v>
      </c>
    </row>
    <row r="10">
      <c r="A10" s="6" t="inlineStr">
        <is>
          <t>Investment in securities</t>
        </is>
      </c>
      <c r="B10" s="6" t="n">
        <v>1080929</v>
      </c>
      <c r="C10" s="6" t="n">
        <v>252914</v>
      </c>
      <c r="D10" s="6" t="n">
        <v>127547</v>
      </c>
      <c r="E10" s="6" t="n">
        <v>113377</v>
      </c>
      <c r="F10" s="6" t="n">
        <v>137782</v>
      </c>
      <c r="G10" s="6" t="n"/>
      <c r="H10" s="6" t="n"/>
      <c r="I10" s="6" t="n"/>
      <c r="J10" s="6" t="n"/>
      <c r="K10" s="6" t="n"/>
      <c r="L10" s="6" t="n"/>
      <c r="M10" s="6" t="n"/>
    </row>
    <row r="11">
      <c r="A11" s="6" t="inlineStr">
        <is>
          <t>Derivative assets</t>
        </is>
      </c>
      <c r="B11" s="6" t="n">
        <v>1843</v>
      </c>
      <c r="C11" s="6" t="n">
        <v>6404</v>
      </c>
      <c r="D11" s="6" t="n">
        <v>4512</v>
      </c>
      <c r="E11" s="6" t="n">
        <v>12404</v>
      </c>
      <c r="F11" s="6" t="n">
        <v>54</v>
      </c>
      <c r="G11" s="6" t="n">
        <v>31</v>
      </c>
      <c r="H11" s="6" t="n"/>
      <c r="I11" s="6" t="n"/>
      <c r="J11" s="6" t="n"/>
      <c r="K11" s="6" t="n"/>
      <c r="L11" s="6" t="n"/>
      <c r="M11" s="6" t="n"/>
    </row>
    <row r="12">
      <c r="A12" s="6" t="inlineStr">
        <is>
          <t>Intangible assets</t>
        </is>
      </c>
      <c r="B12" s="6" t="n">
        <v>78293</v>
      </c>
      <c r="C12" s="6" t="n">
        <v>63455</v>
      </c>
      <c r="D12" s="6" t="n">
        <v>49303</v>
      </c>
      <c r="E12" s="6" t="n">
        <v>27469</v>
      </c>
      <c r="F12" s="6" t="n">
        <v>26513</v>
      </c>
      <c r="G12" s="6" t="n">
        <v>19712</v>
      </c>
      <c r="H12" s="6" t="n">
        <v>9804</v>
      </c>
      <c r="I12" s="6" t="n">
        <v>1010</v>
      </c>
      <c r="J12" s="6" t="n">
        <v>1623</v>
      </c>
      <c r="K12" s="6" t="n">
        <v>840</v>
      </c>
      <c r="L12" s="6" t="n">
        <v>640</v>
      </c>
      <c r="M12" s="6" t="n">
        <v>683</v>
      </c>
    </row>
    <row r="13">
      <c r="A13" s="6" t="inlineStr">
        <is>
          <t>Right-of-use assets</t>
        </is>
      </c>
      <c r="B13" s="6" t="n">
        <v>9918</v>
      </c>
      <c r="C13" s="6" t="n">
        <v>11060</v>
      </c>
      <c r="D13" s="6" t="n">
        <v>11553</v>
      </c>
      <c r="E13" s="6" t="n">
        <v>11891</v>
      </c>
      <c r="F13" s="6" t="n">
        <v>220</v>
      </c>
      <c r="G13" s="6" t="n">
        <v>242</v>
      </c>
      <c r="H13" s="6" t="n">
        <v>87</v>
      </c>
      <c r="I13" s="6" t="n"/>
      <c r="J13" s="6" t="n"/>
      <c r="K13" s="6" t="n"/>
      <c r="L13" s="6" t="n"/>
      <c r="M13" s="6" t="n"/>
    </row>
    <row r="14">
      <c r="A14" s="6" t="inlineStr">
        <is>
          <t>Property and equipment</t>
        </is>
      </c>
      <c r="B14" s="6" t="n">
        <v>3080</v>
      </c>
      <c r="C14" s="6" t="n">
        <v>7934</v>
      </c>
      <c r="D14" s="6" t="n">
        <v>3861</v>
      </c>
      <c r="E14" s="6" t="n">
        <v>914</v>
      </c>
      <c r="F14" s="6" t="n">
        <v>12875</v>
      </c>
      <c r="G14" s="6" t="n">
        <v>13573</v>
      </c>
      <c r="H14" s="6" t="n">
        <v>7514</v>
      </c>
      <c r="I14" s="6" t="n">
        <v>15652</v>
      </c>
      <c r="J14" s="6" t="n">
        <v>15773</v>
      </c>
      <c r="K14" s="6" t="n">
        <v>16445</v>
      </c>
      <c r="L14" s="6" t="n">
        <v>11178</v>
      </c>
      <c r="M14" s="6" t="n">
        <v>12085</v>
      </c>
    </row>
    <row r="15">
      <c r="A15" s="6" t="inlineStr">
        <is>
          <t>Assets classified as held for sale</t>
        </is>
      </c>
      <c r="B15" s="6" t="n"/>
      <c r="C15" s="6" t="n"/>
      <c r="D15" s="6" t="n">
        <v>7070</v>
      </c>
      <c r="E15" s="6" t="n">
        <v>7070</v>
      </c>
      <c r="F15" s="6" t="n"/>
      <c r="G15" s="6" t="n"/>
      <c r="H15" s="6" t="n">
        <v>8819</v>
      </c>
      <c r="I15" s="6" t="n"/>
      <c r="J15" s="6" t="n"/>
      <c r="K15" s="6" t="n"/>
      <c r="L15" s="6" t="n"/>
      <c r="M15" s="6" t="n"/>
    </row>
    <row r="16">
      <c r="A16" s="6" t="inlineStr">
        <is>
          <t>Other assets</t>
        </is>
      </c>
      <c r="B16" s="6" t="n">
        <v>58369</v>
      </c>
      <c r="C16" s="6" t="n">
        <v>44405</v>
      </c>
      <c r="D16" s="6" t="n">
        <v>82142</v>
      </c>
      <c r="E16" s="6" t="n">
        <v>42031</v>
      </c>
      <c r="F16" s="6" t="n">
        <v>11501</v>
      </c>
      <c r="G16" s="6" t="n">
        <v>4886</v>
      </c>
      <c r="H16" s="6" t="n">
        <v>6270</v>
      </c>
      <c r="I16" s="6" t="n">
        <v>17433</v>
      </c>
      <c r="J16" s="6" t="n">
        <v>35547</v>
      </c>
      <c r="K16" s="6" t="n">
        <v>3411</v>
      </c>
      <c r="L16" s="6" t="n">
        <v>2480</v>
      </c>
      <c r="M16" s="6" t="n">
        <v>2418</v>
      </c>
    </row>
    <row r="17">
      <c r="A17" s="6" t="inlineStr">
        <is>
          <t>Current tax assets</t>
        </is>
      </c>
      <c r="B17" s="6" t="n">
        <v>7854</v>
      </c>
      <c r="C17" s="6" t="n"/>
      <c r="D17" s="6" t="n"/>
      <c r="E17" s="6" t="n"/>
      <c r="F17" s="6" t="n"/>
      <c r="G17" s="6" t="n"/>
      <c r="H17" s="6" t="n"/>
      <c r="I17" s="6" t="n"/>
      <c r="J17" s="6" t="n"/>
      <c r="K17" s="6" t="n"/>
      <c r="L17" s="6" t="n"/>
      <c r="M17" s="6" t="n"/>
    </row>
    <row r="18">
      <c r="A18" s="5" t="inlineStr">
        <is>
          <t>Total assets</t>
        </is>
      </c>
      <c r="B18" s="5" t="n">
        <v>5597322</v>
      </c>
      <c r="C18" s="5" t="n">
        <v>5098500</v>
      </c>
      <c r="D18" s="5" t="n">
        <v>4611231</v>
      </c>
      <c r="E18" s="5" t="n">
        <v>4124713</v>
      </c>
      <c r="F18" s="5" t="n">
        <v>3518034</v>
      </c>
      <c r="G18" s="5" t="n">
        <v>2943446</v>
      </c>
      <c r="H18" s="5" t="n">
        <v>2471904</v>
      </c>
      <c r="I18" s="5" t="n">
        <v>1955020</v>
      </c>
      <c r="J18" s="5" t="n">
        <v>1877118</v>
      </c>
      <c r="K18" s="5" t="n">
        <v>1402977</v>
      </c>
      <c r="L18" s="5" t="n">
        <v>1168863</v>
      </c>
      <c r="M18" s="5" t="n">
        <v>1069043</v>
      </c>
    </row>
    <row r="19">
      <c r="A19" s="5" t="inlineStr">
        <is>
          <t>Liabilities</t>
        </is>
      </c>
      <c r="B19" s="6" t="n"/>
      <c r="C19" s="6" t="n"/>
      <c r="D19" s="6" t="n"/>
      <c r="E19" s="6" t="n"/>
      <c r="F19" s="6" t="n"/>
      <c r="G19" s="6" t="n"/>
      <c r="H19" s="6" t="n"/>
      <c r="I19" s="6" t="n"/>
      <c r="J19" s="6" t="n"/>
      <c r="K19" s="6" t="n"/>
      <c r="L19" s="6" t="n"/>
      <c r="M19" s="6" t="n"/>
    </row>
    <row r="20">
      <c r="A20" s="6" t="inlineStr">
        <is>
          <t>Placements by related entities</t>
        </is>
      </c>
      <c r="B20" s="6" t="n"/>
      <c r="C20" s="6" t="n"/>
      <c r="D20" s="6" t="n"/>
      <c r="E20" s="6" t="n"/>
      <c r="F20" s="6" t="n"/>
      <c r="G20" s="6" t="n"/>
      <c r="H20" s="6" t="n"/>
      <c r="I20" s="6" t="n"/>
      <c r="J20" s="6" t="n">
        <v>26605</v>
      </c>
      <c r="K20" s="6" t="n">
        <v>28381</v>
      </c>
      <c r="L20" s="6" t="n">
        <v>24216</v>
      </c>
      <c r="M20" s="6" t="n">
        <v>13123</v>
      </c>
    </row>
    <row r="21">
      <c r="A21" s="6" t="inlineStr">
        <is>
          <t>Amounts due to banks</t>
        </is>
      </c>
      <c r="B21" s="6" t="n"/>
      <c r="C21" s="6" t="n"/>
      <c r="D21" s="6" t="n"/>
      <c r="E21" s="6" t="n"/>
      <c r="F21" s="6" t="n"/>
      <c r="G21" s="6" t="n"/>
      <c r="H21" s="6" t="n"/>
      <c r="I21" s="6" t="n"/>
      <c r="J21" s="6" t="n"/>
      <c r="K21" s="6" t="n">
        <v>0</v>
      </c>
      <c r="L21" s="6" t="n">
        <v>7</v>
      </c>
      <c r="M21" s="6" t="n">
        <v>10</v>
      </c>
    </row>
    <row r="22">
      <c r="A22" s="6" t="inlineStr">
        <is>
          <t>Customer deposits</t>
        </is>
      </c>
      <c r="B22" s="6" t="n">
        <v>4910863</v>
      </c>
      <c r="C22" s="6" t="n">
        <v>4492026</v>
      </c>
      <c r="D22" s="6" t="n">
        <v>3758037</v>
      </c>
      <c r="E22" s="6" t="n">
        <v>3336442</v>
      </c>
      <c r="F22" s="6" t="n">
        <v>2832564</v>
      </c>
      <c r="G22" s="6" t="n">
        <v>2352241</v>
      </c>
      <c r="H22" s="6" t="n">
        <v>2227678</v>
      </c>
      <c r="I22" s="6" t="n">
        <v>1762654</v>
      </c>
      <c r="J22" s="6" t="n">
        <v>1656975</v>
      </c>
      <c r="K22" s="6" t="n">
        <v>1257403</v>
      </c>
      <c r="L22" s="6" t="n">
        <v>1038348</v>
      </c>
      <c r="M22" s="6" t="n">
        <v>955464</v>
      </c>
    </row>
    <row r="23">
      <c r="A23" s="6" t="inlineStr">
        <is>
          <t>Bank deposits</t>
        </is>
      </c>
      <c r="B23" s="6" t="n">
        <v>85131</v>
      </c>
      <c r="C23" s="6" t="n">
        <v>80924</v>
      </c>
      <c r="D23" s="6" t="n">
        <v>359667</v>
      </c>
      <c r="E23" s="6" t="n">
        <v>390170</v>
      </c>
      <c r="F23" s="6" t="n">
        <v>400125</v>
      </c>
      <c r="G23" s="6" t="n">
        <v>340131</v>
      </c>
      <c r="H23" s="6" t="n">
        <v>25063</v>
      </c>
      <c r="I23" s="6" t="n">
        <v>240</v>
      </c>
      <c r="J23" s="6" t="n"/>
      <c r="K23" s="6" t="n"/>
      <c r="L23" s="6" t="n"/>
      <c r="M23" s="6" t="n"/>
    </row>
    <row r="24">
      <c r="A24" s="6" t="inlineStr">
        <is>
          <t>Subordinated loan(s)</t>
        </is>
      </c>
      <c r="B24" s="6" t="n">
        <v>49805</v>
      </c>
      <c r="C24" s="6" t="n">
        <v>14881</v>
      </c>
      <c r="D24" s="6" t="n">
        <v>14847</v>
      </c>
      <c r="E24" s="6" t="n">
        <v>0</v>
      </c>
      <c r="F24" s="6" t="n">
        <v>29868</v>
      </c>
      <c r="G24" s="6" t="n">
        <v>29744</v>
      </c>
      <c r="H24" s="6" t="n">
        <v>29629</v>
      </c>
      <c r="I24" s="6" t="n">
        <v>29524</v>
      </c>
      <c r="J24" s="6" t="n">
        <v>29537</v>
      </c>
      <c r="K24" s="6" t="n">
        <v>30061</v>
      </c>
      <c r="L24" s="6" t="n">
        <v>30062</v>
      </c>
      <c r="M24" s="6" t="n">
        <v>30062</v>
      </c>
    </row>
    <row r="25">
      <c r="A25" s="6" t="inlineStr">
        <is>
          <t>Lease liabilities</t>
        </is>
      </c>
      <c r="B25" s="6" t="n">
        <v>10690</v>
      </c>
      <c r="C25" s="6" t="n">
        <v>11895</v>
      </c>
      <c r="D25" s="6" t="n">
        <v>12873</v>
      </c>
      <c r="E25" s="6" t="n">
        <v>12065</v>
      </c>
      <c r="F25" s="6" t="n">
        <v>278</v>
      </c>
      <c r="G25" s="6" t="n">
        <v>261</v>
      </c>
      <c r="H25" s="6" t="n">
        <v>110</v>
      </c>
      <c r="I25" s="6" t="n"/>
      <c r="J25" s="6" t="n"/>
      <c r="K25" s="6" t="n"/>
      <c r="L25" s="6" t="n"/>
      <c r="M25" s="6" t="n"/>
    </row>
    <row r="26">
      <c r="A26" s="6" t="inlineStr">
        <is>
          <t>Provision for customer redress</t>
        </is>
      </c>
      <c r="B26" s="6" t="n"/>
      <c r="C26" s="6" t="n"/>
      <c r="D26" s="6" t="n"/>
      <c r="E26" s="6" t="n">
        <v>716</v>
      </c>
      <c r="F26" s="6" t="n">
        <v>261</v>
      </c>
      <c r="G26" s="6" t="n">
        <v>132</v>
      </c>
      <c r="H26" s="6" t="n">
        <v>1164</v>
      </c>
      <c r="I26" s="6" t="n">
        <v>12221</v>
      </c>
      <c r="J26" s="6" t="n">
        <v>41516</v>
      </c>
      <c r="K26" s="6" t="n">
        <v>14910</v>
      </c>
      <c r="L26" s="6" t="n"/>
      <c r="M26" s="6" t="n"/>
    </row>
    <row r="27">
      <c r="A27" s="6" t="inlineStr">
        <is>
          <t>Deferred tax liabilities</t>
        </is>
      </c>
      <c r="B27" s="6" t="n">
        <v>11526</v>
      </c>
      <c r="C27" s="6" t="n"/>
      <c r="D27" s="6" t="n"/>
      <c r="E27" s="6" t="n"/>
      <c r="F27" s="6" t="n"/>
      <c r="G27" s="6" t="n"/>
      <c r="H27" s="6" t="n"/>
      <c r="I27" s="6" t="n"/>
      <c r="J27" s="6" t="n"/>
      <c r="K27" s="6" t="n"/>
      <c r="L27" s="6" t="n"/>
      <c r="M27" s="6" t="n"/>
    </row>
    <row r="28">
      <c r="A28" s="6" t="inlineStr">
        <is>
          <t>Derivative liabilities</t>
        </is>
      </c>
      <c r="B28" s="6" t="n">
        <v>14563</v>
      </c>
      <c r="C28" s="6" t="n">
        <v>11478</v>
      </c>
      <c r="D28" s="6" t="n">
        <v>32374</v>
      </c>
      <c r="E28" s="6" t="n">
        <v>3838</v>
      </c>
      <c r="F28" s="6" t="n">
        <v>429</v>
      </c>
      <c r="G28" s="6" t="n">
        <v>772</v>
      </c>
      <c r="H28" s="6" t="n"/>
      <c r="I28" s="6" t="n"/>
      <c r="J28" s="6" t="n"/>
      <c r="K28" s="6" t="n"/>
      <c r="L28" s="6" t="n"/>
      <c r="M28" s="6" t="n"/>
    </row>
    <row r="29">
      <c r="A29" s="6" t="inlineStr">
        <is>
          <t>Other liabilities</t>
        </is>
      </c>
      <c r="B29" s="6" t="n">
        <v>88515</v>
      </c>
      <c r="C29" s="6" t="n">
        <v>99440</v>
      </c>
      <c r="D29" s="6" t="n">
        <v>83883</v>
      </c>
      <c r="E29" s="6" t="n">
        <v>72036</v>
      </c>
      <c r="F29" s="6" t="n">
        <v>33793</v>
      </c>
      <c r="G29" s="6" t="n">
        <v>24378</v>
      </c>
      <c r="H29" s="6" t="n">
        <v>21810</v>
      </c>
      <c r="I29" s="6" t="n">
        <v>13050</v>
      </c>
      <c r="J29" s="6" t="n">
        <v>9767</v>
      </c>
      <c r="K29" s="6" t="n">
        <v>6365</v>
      </c>
      <c r="L29" s="6" t="n">
        <v>6410</v>
      </c>
      <c r="M29" s="6" t="n">
        <v>4168</v>
      </c>
    </row>
    <row r="30">
      <c r="A30" s="5" t="inlineStr">
        <is>
          <t>Total liabilities</t>
        </is>
      </c>
      <c r="B30" s="5" t="n">
        <v>5171093</v>
      </c>
      <c r="C30" s="5" t="n">
        <v>4710644</v>
      </c>
      <c r="D30" s="5" t="n">
        <v>4261681</v>
      </c>
      <c r="E30" s="5" t="n">
        <v>3815267</v>
      </c>
      <c r="F30" s="5" t="n">
        <v>3297318</v>
      </c>
      <c r="G30" s="5" t="n">
        <v>2747659</v>
      </c>
      <c r="H30" s="5" t="n">
        <v>2305254</v>
      </c>
      <c r="I30" s="5" t="n">
        <v>1817689</v>
      </c>
      <c r="J30" s="5" t="n">
        <v>1764400</v>
      </c>
      <c r="K30" s="5" t="n">
        <v>1337120</v>
      </c>
      <c r="L30" s="5" t="n">
        <v>1099043</v>
      </c>
      <c r="M30" s="5" t="n">
        <v>1002827</v>
      </c>
    </row>
    <row r="31">
      <c r="A31" s="5" t="inlineStr">
        <is>
          <t>Equity</t>
        </is>
      </c>
      <c r="B31" s="6" t="n"/>
      <c r="C31" s="6" t="n"/>
      <c r="D31" s="6" t="n"/>
      <c r="E31" s="6" t="n"/>
      <c r="F31" s="6" t="n"/>
      <c r="G31" s="6" t="n"/>
      <c r="H31" s="6" t="n"/>
      <c r="I31" s="6" t="n"/>
      <c r="J31" s="6" t="n"/>
      <c r="K31" s="6" t="n"/>
      <c r="L31" s="6" t="n"/>
      <c r="M31" s="6" t="n"/>
    </row>
    <row r="32">
      <c r="A32" s="6" t="inlineStr">
        <is>
          <t>Share capital</t>
        </is>
      </c>
      <c r="B32" s="6" t="n">
        <v>202000</v>
      </c>
      <c r="C32" s="6" t="n">
        <v>202000</v>
      </c>
      <c r="D32" s="6" t="n">
        <v>202000</v>
      </c>
      <c r="E32" s="6" t="n">
        <v>202000</v>
      </c>
      <c r="F32" s="6" t="n">
        <v>155000</v>
      </c>
      <c r="G32" s="6" t="n">
        <v>155000</v>
      </c>
      <c r="H32" s="6" t="n">
        <v>146000</v>
      </c>
      <c r="I32" s="6" t="n">
        <v>131000</v>
      </c>
      <c r="J32" s="6" t="n">
        <v>111000</v>
      </c>
      <c r="K32" s="6" t="n">
        <v>65000</v>
      </c>
      <c r="L32" s="6" t="n">
        <v>65000</v>
      </c>
      <c r="M32" s="6" t="n">
        <v>65000</v>
      </c>
    </row>
    <row r="33">
      <c r="A33" s="6" t="inlineStr">
        <is>
          <t>Property revaluation reserve</t>
        </is>
      </c>
      <c r="B33" s="6" t="n"/>
      <c r="C33" s="6" t="n">
        <v>505</v>
      </c>
      <c r="D33" s="6" t="n">
        <v>2433</v>
      </c>
      <c r="E33" s="6" t="n">
        <v>3148</v>
      </c>
      <c r="F33" s="6" t="n">
        <v>1674</v>
      </c>
      <c r="G33" s="6" t="n">
        <v>1674</v>
      </c>
      <c r="H33" s="6" t="n">
        <v>2435</v>
      </c>
      <c r="I33" s="6" t="n">
        <v>1306</v>
      </c>
      <c r="J33" s="6" t="n">
        <v>8389</v>
      </c>
      <c r="K33" s="6" t="n">
        <v>8389</v>
      </c>
      <c r="L33" s="6" t="n">
        <v>3332</v>
      </c>
      <c r="M33" s="6" t="n">
        <v>3332</v>
      </c>
    </row>
    <row r="34">
      <c r="A34" s="6" t="inlineStr">
        <is>
          <t>Accumulated profits</t>
        </is>
      </c>
      <c r="B34" s="6" t="n">
        <v>222240</v>
      </c>
      <c r="C34" s="6" t="n">
        <v>184557</v>
      </c>
      <c r="D34" s="6" t="n">
        <v>145003</v>
      </c>
      <c r="E34" s="6" t="n">
        <v>104490</v>
      </c>
      <c r="F34" s="6" t="n">
        <v>64191</v>
      </c>
      <c r="G34" s="6" t="n">
        <v>39113</v>
      </c>
      <c r="H34" s="6" t="n">
        <v>18215</v>
      </c>
      <c r="I34" s="6" t="n">
        <v>5025</v>
      </c>
      <c r="J34" s="6" t="n">
        <v>-6671</v>
      </c>
      <c r="K34" s="6" t="n">
        <v>-7532</v>
      </c>
      <c r="L34" s="6" t="n">
        <v>1488</v>
      </c>
      <c r="M34" s="6" t="n">
        <v>-2116</v>
      </c>
    </row>
    <row r="35">
      <c r="A35" s="5" t="inlineStr">
        <is>
          <t>Equity attributable to owners of the company</t>
        </is>
      </c>
      <c r="B35" s="5" t="n">
        <v>424240</v>
      </c>
      <c r="C35" s="5" t="n">
        <v>387062</v>
      </c>
      <c r="D35" s="5" t="n">
        <v>349436</v>
      </c>
      <c r="E35" s="5" t="n">
        <v>309638</v>
      </c>
      <c r="F35" s="5" t="n">
        <v>220865</v>
      </c>
      <c r="G35" s="5" t="n">
        <v>195787</v>
      </c>
      <c r="H35" s="5" t="n">
        <v>166650</v>
      </c>
      <c r="I35" s="5" t="n">
        <v>137331</v>
      </c>
      <c r="J35" s="5" t="n">
        <v>112718</v>
      </c>
      <c r="K35" s="5" t="n">
        <v>65857</v>
      </c>
      <c r="L35" s="5" t="n">
        <v>69820</v>
      </c>
      <c r="M35" s="5" t="n">
        <v>66216</v>
      </c>
    </row>
    <row r="36">
      <c r="A36" s="6" t="inlineStr">
        <is>
          <t>Non-controlling interest</t>
        </is>
      </c>
      <c r="B36" s="6" t="n">
        <v>1989</v>
      </c>
      <c r="C36" s="6" t="n">
        <v>794</v>
      </c>
      <c r="D36" s="6" t="n">
        <v>114</v>
      </c>
      <c r="E36" s="6" t="n">
        <v>-192</v>
      </c>
      <c r="F36" s="6" t="n">
        <v>-149</v>
      </c>
      <c r="G36" s="6" t="n"/>
      <c r="H36" s="6" t="n"/>
      <c r="I36" s="6" t="n"/>
      <c r="J36" s="6" t="n"/>
      <c r="K36" s="6" t="n"/>
      <c r="L36" s="6" t="n"/>
      <c r="M36" s="6" t="n"/>
    </row>
    <row r="37">
      <c r="A37" s="5" t="inlineStr">
        <is>
          <t>Total equity</t>
        </is>
      </c>
      <c r="B37" s="5" t="n">
        <v>426229</v>
      </c>
      <c r="C37" s="5" t="n">
        <v>387856</v>
      </c>
      <c r="D37" s="5" t="n">
        <v>349550</v>
      </c>
      <c r="E37" s="5" t="n">
        <v>309446</v>
      </c>
      <c r="F37" s="5" t="n">
        <v>220716</v>
      </c>
      <c r="G37" s="5" t="n">
        <v>195787</v>
      </c>
      <c r="H37" s="5" t="n">
        <v>166650</v>
      </c>
      <c r="I37" s="5" t="n">
        <v>137331</v>
      </c>
      <c r="J37" s="5" t="n">
        <v>112718</v>
      </c>
      <c r="K37" s="5" t="n">
        <v>65857</v>
      </c>
      <c r="L37" s="5" t="n">
        <v>69820</v>
      </c>
      <c r="M37" s="5" t="n">
        <v>66216</v>
      </c>
    </row>
    <row r="38">
      <c r="A38" s="5" t="inlineStr">
        <is>
          <t>Total liabilities and equity</t>
        </is>
      </c>
      <c r="B38" s="5" t="n">
        <v>5597322</v>
      </c>
      <c r="C38" s="5" t="n">
        <v>5098500</v>
      </c>
      <c r="D38" s="5" t="n">
        <v>4611231</v>
      </c>
      <c r="E38" s="5" t="n">
        <v>4124713</v>
      </c>
      <c r="F38" s="5" t="n">
        <v>3518034</v>
      </c>
      <c r="G38" s="5" t="n">
        <v>2943446</v>
      </c>
      <c r="H38" s="5" t="n">
        <v>2471904</v>
      </c>
      <c r="I38" s="5" t="n">
        <v>1955020</v>
      </c>
      <c r="J38" s="5" t="n">
        <v>1877118</v>
      </c>
      <c r="K38" s="5" t="n">
        <v>1402977</v>
      </c>
      <c r="L38" s="5" t="n">
        <v>1168863</v>
      </c>
      <c r="M38" s="5" t="n">
        <v>1069043</v>
      </c>
    </row>
    <row r="40" ht="320" customHeight="1">
      <c r="A40"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t>
        </is>
      </c>
    </row>
  </sheetData>
  <mergeCells count="1">
    <mergeCell ref="A40:M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Consolidated Statement of Comprehensive Income</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income calculated using the effective interest method</t>
        </is>
      </c>
      <c r="B5" s="6" t="n">
        <v>328554</v>
      </c>
      <c r="C5" s="6" t="n">
        <v>312777</v>
      </c>
      <c r="D5" s="6" t="n">
        <v>276395</v>
      </c>
      <c r="E5" s="6" t="n">
        <v>167199</v>
      </c>
      <c r="F5" s="6" t="n">
        <v>105716</v>
      </c>
      <c r="G5" s="6" t="n">
        <v>103143</v>
      </c>
      <c r="H5" s="6" t="n">
        <v>78051</v>
      </c>
      <c r="I5" s="6" t="n">
        <v>63667</v>
      </c>
      <c r="J5" s="6" t="n"/>
      <c r="K5" s="6" t="n"/>
      <c r="L5" s="6" t="n"/>
      <c r="M5" s="6" t="n"/>
    </row>
    <row r="6">
      <c r="A6" s="6" t="inlineStr">
        <is>
          <t>Other interest and similar income/(expense)</t>
        </is>
      </c>
      <c r="B6" s="6" t="n">
        <v>59793</v>
      </c>
      <c r="C6" s="6" t="n">
        <v>57827</v>
      </c>
      <c r="D6" s="6" t="n">
        <v>41559</v>
      </c>
      <c r="E6" s="6" t="n">
        <v>1610</v>
      </c>
      <c r="F6" s="6" t="n">
        <v>-187</v>
      </c>
      <c r="G6" s="6" t="n">
        <v>729</v>
      </c>
      <c r="H6" s="6" t="n">
        <v>4407</v>
      </c>
      <c r="I6" s="6" t="n">
        <v>3565</v>
      </c>
      <c r="J6" s="6" t="n"/>
      <c r="K6" s="6" t="n"/>
      <c r="L6" s="6" t="n"/>
      <c r="M6" s="6" t="n"/>
    </row>
    <row r="7">
      <c r="A7" s="6" t="inlineStr">
        <is>
          <t>Interest income (FY2014-2017 Company-only presentation, not split into EIM/other)</t>
        </is>
      </c>
      <c r="B7" s="6" t="n"/>
      <c r="C7" s="6" t="n"/>
      <c r="D7" s="6" t="n"/>
      <c r="E7" s="6" t="n"/>
      <c r="F7" s="6" t="n"/>
      <c r="G7" s="6" t="n"/>
      <c r="H7" s="6" t="n"/>
      <c r="I7" s="6" t="n"/>
      <c r="J7" s="6" t="n">
        <v>52715</v>
      </c>
      <c r="K7" s="6" t="n">
        <v>43419</v>
      </c>
      <c r="L7" s="6" t="n">
        <v>33757</v>
      </c>
      <c r="M7" s="6" t="n">
        <v>31070</v>
      </c>
    </row>
    <row r="8">
      <c r="A8" s="6" t="inlineStr">
        <is>
          <t>Interest expense calculated using the effective interest method</t>
        </is>
      </c>
      <c r="B8" s="6" t="n">
        <v>-193820</v>
      </c>
      <c r="C8" s="6" t="n">
        <v>-191478</v>
      </c>
      <c r="D8" s="6" t="n">
        <v>-128355</v>
      </c>
      <c r="E8" s="6" t="n">
        <v>-44103</v>
      </c>
      <c r="F8" s="6" t="n">
        <v>-18356</v>
      </c>
      <c r="G8" s="6" t="n">
        <v>-26915</v>
      </c>
      <c r="H8" s="6" t="n">
        <v>-26348</v>
      </c>
      <c r="I8" s="6" t="n">
        <v>-21565</v>
      </c>
      <c r="J8" s="6" t="n"/>
      <c r="K8" s="6" t="n"/>
      <c r="L8" s="6" t="n"/>
      <c r="M8" s="6" t="n"/>
    </row>
    <row r="9">
      <c r="A9" s="6" t="inlineStr">
        <is>
          <t>Other interest expense</t>
        </is>
      </c>
      <c r="B9" s="6" t="n">
        <v>-61768</v>
      </c>
      <c r="C9" s="6" t="n">
        <v>-48550</v>
      </c>
      <c r="D9" s="6" t="n">
        <v>-34811</v>
      </c>
      <c r="E9" s="6" t="n">
        <v>-1578</v>
      </c>
      <c r="F9" s="6" t="n"/>
      <c r="G9" s="6" t="n"/>
      <c r="H9" s="6" t="n"/>
      <c r="I9" s="6" t="n"/>
      <c r="J9" s="6" t="n"/>
      <c r="K9" s="6" t="n"/>
      <c r="L9" s="6" t="n"/>
      <c r="M9" s="6" t="n"/>
    </row>
    <row r="10">
      <c r="A10" s="6" t="inlineStr">
        <is>
          <t>Interest expense (FY2014-2017 Company-only presentation, not split into EIM/other)</t>
        </is>
      </c>
      <c r="B10" s="6" t="n"/>
      <c r="C10" s="6" t="n"/>
      <c r="D10" s="6" t="n"/>
      <c r="E10" s="6" t="n"/>
      <c r="F10" s="6" t="n"/>
      <c r="G10" s="6" t="n"/>
      <c r="H10" s="6" t="n"/>
      <c r="I10" s="6" t="n"/>
      <c r="J10" s="6" t="n">
        <v>-15318</v>
      </c>
      <c r="K10" s="6" t="n">
        <v>-16340</v>
      </c>
      <c r="L10" s="6" t="n">
        <v>-14577</v>
      </c>
      <c r="M10" s="6" t="n">
        <v>-16467</v>
      </c>
    </row>
    <row r="11">
      <c r="A11" s="5" t="inlineStr">
        <is>
          <t>Net interest income</t>
        </is>
      </c>
      <c r="B11" s="5" t="n">
        <v>132759</v>
      </c>
      <c r="C11" s="5" t="n">
        <v>130576</v>
      </c>
      <c r="D11" s="5" t="n">
        <v>154788</v>
      </c>
      <c r="E11" s="5" t="n">
        <v>123128</v>
      </c>
      <c r="F11" s="5" t="n">
        <v>87173</v>
      </c>
      <c r="G11" s="5" t="n">
        <v>76957</v>
      </c>
      <c r="H11" s="5" t="n">
        <v>56110</v>
      </c>
      <c r="I11" s="5" t="n">
        <v>45667</v>
      </c>
      <c r="J11" s="5" t="n">
        <v>37397</v>
      </c>
      <c r="K11" s="5" t="n">
        <v>27079</v>
      </c>
      <c r="L11" s="5" t="n">
        <v>19180</v>
      </c>
      <c r="M11" s="5" t="n">
        <v>14603</v>
      </c>
    </row>
    <row r="12">
      <c r="A12" s="6" t="inlineStr">
        <is>
          <t>Fee and commission income</t>
        </is>
      </c>
      <c r="B12" s="6" t="n">
        <v>3777</v>
      </c>
      <c r="C12" s="6" t="n">
        <v>3089</v>
      </c>
      <c r="D12" s="6" t="n">
        <v>2606</v>
      </c>
      <c r="E12" s="6" t="n">
        <v>1667</v>
      </c>
      <c r="F12" s="6" t="n">
        <v>1193</v>
      </c>
      <c r="G12" s="6" t="n">
        <v>1814</v>
      </c>
      <c r="H12" s="6" t="n">
        <v>2364</v>
      </c>
      <c r="I12" s="6" t="n">
        <v>2433</v>
      </c>
      <c r="J12" s="6" t="n">
        <v>2360</v>
      </c>
      <c r="K12" s="6" t="n">
        <v>2556</v>
      </c>
      <c r="L12" s="6" t="n">
        <v>4238</v>
      </c>
      <c r="M12" s="6" t="n">
        <v>3590</v>
      </c>
    </row>
    <row r="13">
      <c r="A13" s="6" t="inlineStr">
        <is>
          <t>Foreign exchange (losses)/gains</t>
        </is>
      </c>
      <c r="B13" s="6" t="n">
        <v>-677</v>
      </c>
      <c r="C13" s="6" t="n">
        <v>712</v>
      </c>
      <c r="D13" s="6" t="n">
        <v>42</v>
      </c>
      <c r="E13" s="6" t="n">
        <v>-1194</v>
      </c>
      <c r="F13" s="6" t="n">
        <v>1853</v>
      </c>
      <c r="G13" s="6" t="n">
        <v>-1626</v>
      </c>
      <c r="H13" s="6" t="n">
        <v>424</v>
      </c>
      <c r="I13" s="6" t="n">
        <v>285</v>
      </c>
      <c r="J13" s="6" t="n">
        <v>302</v>
      </c>
      <c r="K13" s="6" t="n">
        <v>348</v>
      </c>
      <c r="L13" s="6" t="n">
        <v>372</v>
      </c>
      <c r="M13" s="6" t="n">
        <v>341</v>
      </c>
    </row>
    <row r="14">
      <c r="A14" s="6" t="inlineStr">
        <is>
          <t>Fair value adjustment/(loss)/gain on hedging or derivative instruments</t>
        </is>
      </c>
      <c r="B14" s="6" t="n">
        <v>544</v>
      </c>
      <c r="C14" s="6" t="n">
        <v>-204</v>
      </c>
      <c r="D14" s="6" t="n">
        <v>2110</v>
      </c>
      <c r="E14" s="6" t="n">
        <v>3983</v>
      </c>
      <c r="F14" s="6" t="n">
        <v>-2190</v>
      </c>
      <c r="G14" s="6" t="n">
        <v>1180</v>
      </c>
      <c r="H14" s="6" t="n">
        <v>100</v>
      </c>
      <c r="I14" s="6" t="n">
        <v>211</v>
      </c>
      <c r="J14" s="6" t="n">
        <v>-38</v>
      </c>
      <c r="K14" s="6" t="n">
        <v>68</v>
      </c>
      <c r="L14" s="6" t="n">
        <v>209</v>
      </c>
      <c r="M14" s="6" t="n">
        <v>185</v>
      </c>
    </row>
    <row r="15">
      <c r="A15" s="6" t="inlineStr">
        <is>
          <t>Net gains on derecognition of financial assets</t>
        </is>
      </c>
      <c r="B15" s="6" t="n">
        <v>3578</v>
      </c>
      <c r="C15" s="6" t="n"/>
      <c r="D15" s="6" t="n"/>
      <c r="E15" s="6" t="n"/>
      <c r="F15" s="6" t="n"/>
      <c r="G15" s="6" t="n"/>
      <c r="H15" s="6" t="n"/>
      <c r="I15" s="6" t="n"/>
      <c r="J15" s="6" t="n"/>
      <c r="K15" s="6" t="n"/>
      <c r="L15" s="6" t="n"/>
      <c r="M15" s="6" t="n"/>
    </row>
    <row r="16">
      <c r="A16" s="6" t="inlineStr">
        <is>
          <t>Other income</t>
        </is>
      </c>
      <c r="B16" s="6" t="n">
        <v>504</v>
      </c>
      <c r="C16" s="6" t="n">
        <v>473</v>
      </c>
      <c r="D16" s="6" t="n"/>
      <c r="E16" s="6" t="n"/>
      <c r="F16" s="6" t="n"/>
      <c r="G16" s="6" t="n"/>
      <c r="H16" s="6" t="n"/>
      <c r="I16" s="6" t="n"/>
      <c r="J16" s="6" t="n"/>
      <c r="K16" s="6" t="n"/>
      <c r="L16" s="6" t="n"/>
      <c r="M16" s="6" t="n"/>
    </row>
    <row r="17">
      <c r="A17" s="5" t="inlineStr">
        <is>
          <t>Total operating income</t>
        </is>
      </c>
      <c r="B17" s="5" t="n">
        <v>140485</v>
      </c>
      <c r="C17" s="5" t="n">
        <v>134646</v>
      </c>
      <c r="D17" s="5" t="n">
        <v>159546</v>
      </c>
      <c r="E17" s="5" t="n">
        <v>127584</v>
      </c>
      <c r="F17" s="5" t="n">
        <v>88029</v>
      </c>
      <c r="G17" s="5" t="n">
        <v>78325</v>
      </c>
      <c r="H17" s="5" t="n">
        <v>58998</v>
      </c>
      <c r="I17" s="5" t="n">
        <v>48596</v>
      </c>
      <c r="J17" s="5" t="n">
        <v>40021</v>
      </c>
      <c r="K17" s="5" t="n">
        <v>30051</v>
      </c>
      <c r="L17" s="5" t="n">
        <v>23999</v>
      </c>
      <c r="M17" s="5" t="n">
        <v>18719</v>
      </c>
    </row>
    <row r="18">
      <c r="A18" s="5" t="inlineStr">
        <is>
          <t>Expenses</t>
        </is>
      </c>
      <c r="B18" s="6" t="n"/>
      <c r="C18" s="6" t="n"/>
      <c r="D18" s="6" t="n"/>
      <c r="E18" s="6" t="n"/>
      <c r="F18" s="6" t="n"/>
      <c r="G18" s="6" t="n"/>
      <c r="H18" s="6" t="n"/>
      <c r="I18" s="6" t="n"/>
      <c r="J18" s="6" t="n"/>
      <c r="K18" s="6" t="n"/>
      <c r="L18" s="6" t="n"/>
      <c r="M18" s="6" t="n"/>
    </row>
    <row r="19">
      <c r="A19" s="6" t="inlineStr">
        <is>
          <t>Staff costs</t>
        </is>
      </c>
      <c r="B19" s="6" t="n">
        <v>-41616</v>
      </c>
      <c r="C19" s="6" t="n">
        <v>-42783</v>
      </c>
      <c r="D19" s="6" t="n">
        <v>-49464</v>
      </c>
      <c r="E19" s="6" t="n">
        <v>-38334</v>
      </c>
      <c r="F19" s="6" t="n">
        <v>-28874</v>
      </c>
      <c r="G19" s="6" t="n">
        <v>-23715</v>
      </c>
      <c r="H19" s="6" t="n">
        <v>-20015</v>
      </c>
      <c r="I19" s="6" t="n">
        <v>-22221</v>
      </c>
      <c r="J19" s="6" t="n">
        <v>-18689</v>
      </c>
      <c r="K19" s="6" t="n">
        <v>-13260</v>
      </c>
      <c r="L19" s="6" t="n">
        <v>-10042</v>
      </c>
      <c r="M19" s="6" t="n">
        <v>-9273</v>
      </c>
    </row>
    <row r="20">
      <c r="A20" s="6" t="inlineStr">
        <is>
          <t>Depreciation, amortisation and impairment/write-offs</t>
        </is>
      </c>
      <c r="B20" s="6" t="n">
        <v>-12516</v>
      </c>
      <c r="C20" s="6" t="n">
        <v>-9766</v>
      </c>
      <c r="D20" s="6" t="n">
        <v>-7072</v>
      </c>
      <c r="E20" s="6" t="n">
        <v>-5758</v>
      </c>
      <c r="F20" s="6" t="n">
        <v>-3447</v>
      </c>
      <c r="G20" s="6" t="n">
        <v>-4446</v>
      </c>
      <c r="H20" s="6" t="n">
        <v>-1274</v>
      </c>
      <c r="I20" s="6" t="n">
        <v>-3382</v>
      </c>
      <c r="J20" s="6" t="n">
        <v>-1509</v>
      </c>
      <c r="K20" s="6" t="n">
        <v>-1426</v>
      </c>
      <c r="L20" s="6" t="n">
        <v>-1491</v>
      </c>
      <c r="M20" s="6" t="n">
        <v>-1453</v>
      </c>
    </row>
    <row r="21">
      <c r="A21" s="6" t="inlineStr">
        <is>
          <t>Other operating expenses</t>
        </is>
      </c>
      <c r="B21" s="6" t="n">
        <v>-35284</v>
      </c>
      <c r="C21" s="6" t="n">
        <v>-28383</v>
      </c>
      <c r="D21" s="6" t="n">
        <v>-43684</v>
      </c>
      <c r="E21" s="6" t="n">
        <v>-33133</v>
      </c>
      <c r="F21" s="6" t="n">
        <v>-19912</v>
      </c>
      <c r="G21" s="6" t="n">
        <v>-18162</v>
      </c>
      <c r="H21" s="6" t="n">
        <v>-14846</v>
      </c>
      <c r="I21" s="6" t="n">
        <v>-16613</v>
      </c>
      <c r="J21" s="6" t="n">
        <v>-14404</v>
      </c>
      <c r="K21" s="6" t="n">
        <v>-9465</v>
      </c>
      <c r="L21" s="6" t="n">
        <v>-8571</v>
      </c>
      <c r="M21" s="6" t="n">
        <v>-7098</v>
      </c>
    </row>
    <row r="22">
      <c r="A22" s="5" t="inlineStr">
        <is>
          <t>Total operating expenses</t>
        </is>
      </c>
      <c r="B22" s="5" t="n">
        <v>-89416</v>
      </c>
      <c r="C22" s="5" t="n">
        <v>-80932</v>
      </c>
      <c r="D22" s="5" t="n">
        <v>-100220</v>
      </c>
      <c r="E22" s="5" t="n">
        <v>-77225</v>
      </c>
      <c r="F22" s="5" t="n">
        <v>-52233</v>
      </c>
      <c r="G22" s="5" t="n">
        <v>-46323</v>
      </c>
      <c r="H22" s="5" t="n">
        <v>-36135</v>
      </c>
      <c r="I22" s="5" t="n">
        <v>-42216</v>
      </c>
      <c r="J22" s="5" t="n">
        <v>-34602</v>
      </c>
      <c r="K22" s="5" t="n">
        <v>-24151</v>
      </c>
      <c r="L22" s="5" t="n">
        <v>-20104</v>
      </c>
      <c r="M22" s="5" t="n">
        <v>-17824</v>
      </c>
    </row>
    <row r="23">
      <c r="A23" s="6" t="inlineStr">
        <is>
          <t>Provision for customer redress</t>
        </is>
      </c>
      <c r="B23" s="6" t="n"/>
      <c r="C23" s="6" t="n"/>
      <c r="D23" s="6" t="n"/>
      <c r="E23" s="6" t="n"/>
      <c r="F23" s="6" t="n"/>
      <c r="G23" s="6" t="n"/>
      <c r="H23" s="6" t="n"/>
      <c r="I23" s="6" t="n"/>
      <c r="J23" s="6" t="n">
        <v>-4000</v>
      </c>
      <c r="K23" s="6" t="n">
        <v>-14910</v>
      </c>
      <c r="L23" s="6" t="n"/>
      <c r="M23" s="6" t="n"/>
    </row>
    <row r="24">
      <c r="A24" s="6" t="inlineStr">
        <is>
          <t>Other gains</t>
        </is>
      </c>
      <c r="B24" s="6" t="n">
        <v>404</v>
      </c>
      <c r="C24" s="6" t="n">
        <v>1000</v>
      </c>
      <c r="D24" s="6" t="n"/>
      <c r="E24" s="6" t="n"/>
      <c r="F24" s="6" t="n"/>
      <c r="G24" s="6" t="n"/>
      <c r="H24" s="6" t="n"/>
      <c r="I24" s="6" t="n"/>
      <c r="J24" s="6" t="n"/>
      <c r="K24" s="6" t="n"/>
      <c r="L24" s="6" t="n"/>
      <c r="M24" s="6" t="n"/>
    </row>
    <row r="25">
      <c r="A25" s="6" t="inlineStr">
        <is>
          <t>Gain on sale of property</t>
        </is>
      </c>
      <c r="B25" s="6" t="n"/>
      <c r="C25" s="6" t="n"/>
      <c r="D25" s="6" t="n">
        <v>276</v>
      </c>
      <c r="E25" s="6" t="n">
        <v>9230</v>
      </c>
      <c r="F25" s="6" t="n"/>
      <c r="G25" s="6" t="n"/>
      <c r="H25" s="6" t="n"/>
      <c r="I25" s="6" t="n"/>
      <c r="J25" s="6" t="n"/>
      <c r="K25" s="6" t="n"/>
      <c r="L25" s="6" t="n"/>
      <c r="M25" s="6" t="n"/>
    </row>
    <row r="26">
      <c r="A26" s="5" t="inlineStr">
        <is>
          <t>Profit before credit impairment reversals/(charges)</t>
        </is>
      </c>
      <c r="B26" s="5" t="n">
        <v>51473</v>
      </c>
      <c r="C26" s="5" t="n">
        <v>54714</v>
      </c>
      <c r="D26" s="5" t="n">
        <v>59602</v>
      </c>
      <c r="E26" s="5" t="n">
        <v>59589</v>
      </c>
      <c r="F26" s="5" t="n">
        <v>35796</v>
      </c>
      <c r="G26" s="5" t="n">
        <v>32002</v>
      </c>
      <c r="H26" s="5" t="n">
        <v>16863</v>
      </c>
      <c r="I26" s="5" t="n">
        <v>6380</v>
      </c>
      <c r="J26" s="5" t="n">
        <v>1419</v>
      </c>
      <c r="K26" s="5" t="n">
        <v>-9010</v>
      </c>
      <c r="L26" s="5" t="n">
        <v>3895</v>
      </c>
      <c r="M26" s="5" t="n">
        <v>895</v>
      </c>
    </row>
    <row r="27">
      <c r="A27" s="6" t="inlineStr">
        <is>
          <t>Credit impairment reversals/(charges) on financial assets</t>
        </is>
      </c>
      <c r="B27" s="6" t="n">
        <v>91</v>
      </c>
      <c r="C27" s="6" t="n">
        <v>-2082</v>
      </c>
      <c r="D27" s="6" t="n">
        <v>-4445</v>
      </c>
      <c r="E27" s="6" t="n">
        <v>-9100</v>
      </c>
      <c r="F27" s="6" t="n">
        <v>-5396</v>
      </c>
      <c r="G27" s="6" t="n">
        <v>-4986</v>
      </c>
      <c r="H27" s="6" t="n">
        <v>-292</v>
      </c>
      <c r="I27" s="6" t="n">
        <v>-223</v>
      </c>
      <c r="J27" s="6" t="n">
        <v>497</v>
      </c>
      <c r="K27" s="6" t="n">
        <v>898</v>
      </c>
      <c r="L27" s="6" t="n">
        <v>688</v>
      </c>
      <c r="M27" s="6" t="n">
        <v>3294</v>
      </c>
    </row>
    <row r="28">
      <c r="A28" s="5" t="inlineStr">
        <is>
          <t>Profit before tax</t>
        </is>
      </c>
      <c r="B28" s="5" t="n">
        <v>51564</v>
      </c>
      <c r="C28" s="5" t="n">
        <v>52632</v>
      </c>
      <c r="D28" s="5" t="n">
        <v>55157</v>
      </c>
      <c r="E28" s="5" t="n">
        <v>50489</v>
      </c>
      <c r="F28" s="5" t="n">
        <v>30400</v>
      </c>
      <c r="G28" s="5" t="n">
        <v>27016</v>
      </c>
      <c r="H28" s="5" t="n">
        <v>16571</v>
      </c>
      <c r="I28" s="5" t="n">
        <v>6157</v>
      </c>
      <c r="J28" s="5" t="n">
        <v>1916</v>
      </c>
      <c r="K28" s="5" t="n">
        <v>-8112</v>
      </c>
      <c r="L28" s="5" t="n">
        <v>4583</v>
      </c>
      <c r="M28" s="5" t="n">
        <v>4189</v>
      </c>
    </row>
    <row r="29">
      <c r="A29" s="6" t="inlineStr">
        <is>
          <t>Income tax expense</t>
        </is>
      </c>
      <c r="B29" s="6" t="n">
        <v>-13624</v>
      </c>
      <c r="C29" s="6" t="n">
        <v>-12398</v>
      </c>
      <c r="D29" s="6" t="n">
        <v>-14544</v>
      </c>
      <c r="E29" s="6" t="n">
        <v>-10233</v>
      </c>
      <c r="F29" s="6" t="n">
        <v>-5471</v>
      </c>
      <c r="G29" s="6" t="n">
        <v>-6188</v>
      </c>
      <c r="H29" s="6" t="n">
        <v>-3052</v>
      </c>
      <c r="I29" s="6" t="n">
        <v>-1557</v>
      </c>
      <c r="J29" s="6" t="n">
        <v>-1055</v>
      </c>
      <c r="K29" s="6" t="n">
        <v>-908</v>
      </c>
      <c r="L29" s="6" t="n">
        <v>-979</v>
      </c>
      <c r="M29" s="6" t="n">
        <v>-888</v>
      </c>
    </row>
    <row r="30">
      <c r="A30" s="5" t="inlineStr">
        <is>
          <t>Profit for the year</t>
        </is>
      </c>
      <c r="B30" s="5" t="n">
        <v>37940</v>
      </c>
      <c r="C30" s="5" t="n">
        <v>40234</v>
      </c>
      <c r="D30" s="5" t="n">
        <v>40613</v>
      </c>
      <c r="E30" s="5" t="n">
        <v>40256</v>
      </c>
      <c r="F30" s="5" t="n">
        <v>24929</v>
      </c>
      <c r="G30" s="5" t="n">
        <v>20828</v>
      </c>
      <c r="H30" s="5" t="n">
        <v>13519</v>
      </c>
      <c r="I30" s="5" t="n">
        <v>4600</v>
      </c>
      <c r="J30" s="5" t="n">
        <v>861</v>
      </c>
      <c r="K30" s="5" t="n">
        <v>-9020</v>
      </c>
      <c r="L30" s="5" t="n">
        <v>3604</v>
      </c>
      <c r="M30" s="5" t="n">
        <v>3301</v>
      </c>
    </row>
    <row r="31">
      <c r="A31" s="6" t="inlineStr">
        <is>
          <t>Profit attributable to: Owners of the company</t>
        </is>
      </c>
      <c r="B31" s="6" t="n">
        <v>36745</v>
      </c>
      <c r="C31" s="6" t="n">
        <v>39554</v>
      </c>
      <c r="D31" s="6" t="n">
        <v>40307</v>
      </c>
      <c r="E31" s="6" t="n">
        <v>40299</v>
      </c>
      <c r="F31" s="6" t="n">
        <v>25078</v>
      </c>
      <c r="G31" s="6" t="n"/>
      <c r="H31" s="6" t="n"/>
      <c r="I31" s="6" t="n"/>
      <c r="J31" s="6" t="n"/>
      <c r="K31" s="6" t="n"/>
      <c r="L31" s="6" t="n"/>
      <c r="M31" s="6" t="n"/>
    </row>
    <row r="32">
      <c r="A32" s="6" t="inlineStr">
        <is>
          <t>Profit/(loss) attributable to: Non-controlling interest</t>
        </is>
      </c>
      <c r="B32" s="6" t="n">
        <v>1195</v>
      </c>
      <c r="C32" s="6" t="n">
        <v>680</v>
      </c>
      <c r="D32" s="6" t="n">
        <v>306</v>
      </c>
      <c r="E32" s="6" t="n">
        <v>-43</v>
      </c>
      <c r="F32" s="6" t="n">
        <v>-149</v>
      </c>
      <c r="G32" s="6" t="n"/>
      <c r="H32" s="6" t="n"/>
      <c r="I32" s="6" t="n"/>
      <c r="J32" s="6" t="n"/>
      <c r="K32" s="6" t="n"/>
      <c r="L32" s="6" t="n"/>
      <c r="M32" s="6" t="n"/>
    </row>
    <row r="33">
      <c r="A33" s="5" t="inlineStr">
        <is>
          <t>Other comprehensive income</t>
        </is>
      </c>
      <c r="B33" s="6" t="n"/>
      <c r="C33" s="6" t="n"/>
      <c r="D33" s="6" t="n"/>
      <c r="E33" s="6" t="n"/>
      <c r="F33" s="6" t="n"/>
      <c r="G33" s="6" t="n"/>
      <c r="H33" s="6" t="n"/>
      <c r="I33" s="6" t="n"/>
      <c r="J33" s="6" t="n"/>
      <c r="K33" s="6" t="n"/>
      <c r="L33" s="6" t="n"/>
      <c r="M33" s="6" t="n"/>
    </row>
    <row r="34">
      <c r="A34" s="6" t="inlineStr">
        <is>
          <t>Revaluation gain/(loss) on property</t>
        </is>
      </c>
      <c r="B34" s="6" t="n"/>
      <c r="C34" s="6" t="n">
        <v>-2571</v>
      </c>
      <c r="D34" s="6" t="n"/>
      <c r="E34" s="6" t="n">
        <v>1474</v>
      </c>
      <c r="F34" s="6" t="n"/>
      <c r="G34" s="6" t="n">
        <v>-1227</v>
      </c>
      <c r="H34" s="6" t="n">
        <v>1024</v>
      </c>
      <c r="I34" s="6" t="n"/>
      <c r="J34" s="6" t="n"/>
      <c r="K34" s="6" t="n"/>
      <c r="L34" s="6" t="n"/>
      <c r="M34" s="6" t="n">
        <v>3535</v>
      </c>
    </row>
    <row r="35">
      <c r="A35" s="6" t="inlineStr">
        <is>
          <t>Income tax relating to property revaluation</t>
        </is>
      </c>
      <c r="B35" s="6" t="n"/>
      <c r="C35" s="6" t="n">
        <v>643</v>
      </c>
      <c r="D35" s="6" t="n">
        <v>-509</v>
      </c>
      <c r="E35" s="6" t="n"/>
      <c r="F35" s="6" t="n"/>
      <c r="G35" s="6" t="n">
        <v>536</v>
      </c>
      <c r="H35" s="6" t="n">
        <v>105</v>
      </c>
      <c r="I35" s="6" t="n">
        <v>-83</v>
      </c>
      <c r="J35" s="6" t="n"/>
      <c r="K35" s="6" t="n"/>
      <c r="L35" s="6" t="n"/>
      <c r="M35" s="6" t="n">
        <v>-203</v>
      </c>
    </row>
    <row r="36">
      <c r="A36" s="5" t="inlineStr">
        <is>
          <t>Other comprehensive income/(expense) for the year, net of tax</t>
        </is>
      </c>
      <c r="B36" s="5" t="n">
        <v>0</v>
      </c>
      <c r="C36" s="5" t="n">
        <v>-1928</v>
      </c>
      <c r="D36" s="5" t="n">
        <v>-509</v>
      </c>
      <c r="E36" s="5" t="n">
        <v>1474</v>
      </c>
      <c r="F36" s="5" t="n">
        <v>0</v>
      </c>
      <c r="G36" s="5" t="n">
        <v>-691</v>
      </c>
      <c r="H36" s="5" t="n">
        <v>1129</v>
      </c>
      <c r="I36" s="5" t="n">
        <v>-83</v>
      </c>
      <c r="J36" s="5" t="n">
        <v>0</v>
      </c>
      <c r="K36" s="5" t="n">
        <v>0</v>
      </c>
      <c r="L36" s="5" t="n">
        <v>0</v>
      </c>
      <c r="M36" s="5" t="n">
        <v>3332</v>
      </c>
    </row>
    <row r="37">
      <c r="A37" s="5" t="inlineStr">
        <is>
          <t>Total comprehensive income for the year</t>
        </is>
      </c>
      <c r="B37" s="5" t="n">
        <v>37940</v>
      </c>
      <c r="C37" s="5" t="n">
        <v>38306</v>
      </c>
      <c r="D37" s="5" t="n">
        <v>40104</v>
      </c>
      <c r="E37" s="5" t="n">
        <v>41730</v>
      </c>
      <c r="F37" s="5" t="n">
        <v>24929</v>
      </c>
      <c r="G37" s="5" t="n">
        <v>20137</v>
      </c>
      <c r="H37" s="5" t="n">
        <v>14648</v>
      </c>
      <c r="I37" s="5" t="n">
        <v>4517</v>
      </c>
      <c r="J37" s="5" t="n">
        <v>861</v>
      </c>
      <c r="K37" s="5" t="n">
        <v>-9020</v>
      </c>
      <c r="L37" s="5" t="n">
        <v>3604</v>
      </c>
      <c r="M37" s="5" t="n">
        <v>6633</v>
      </c>
    </row>
    <row r="39" ht="320" customHeight="1">
      <c r="A39"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t>
        </is>
      </c>
    </row>
  </sheetData>
  <mergeCells count="1">
    <mergeCell ref="A39:M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Cynergy Bank Plc — Consolidated Statement of Changes in Equity</t>
        </is>
      </c>
    </row>
    <row r="2">
      <c r="A2" s="2" t="inlineStr">
        <is>
          <t>Consolidated basis, £'000, chronological (oldest to newest). See source note at bottom.</t>
        </is>
      </c>
    </row>
    <row r="3">
      <c r="A3" s="4" t="inlineStr">
        <is>
          <t>Movement</t>
        </is>
      </c>
      <c r="B3" s="4" t="inlineStr">
        <is>
          <t>Share capital</t>
        </is>
      </c>
      <c r="C3" s="4" t="inlineStr">
        <is>
          <t>Property revaluation reserve</t>
        </is>
      </c>
      <c r="D3" s="4" t="inlineStr">
        <is>
          <t>Accumulated profits</t>
        </is>
      </c>
      <c r="E3" s="4" t="inlineStr">
        <is>
          <t>Total attributable to owners</t>
        </is>
      </c>
      <c r="F3" s="4" t="inlineStr">
        <is>
          <t>Non-controlling interest</t>
        </is>
      </c>
      <c r="G3" s="4" t="inlineStr">
        <is>
          <t>Total equity</t>
        </is>
      </c>
    </row>
    <row r="4">
      <c r="A4" s="5" t="inlineStr">
        <is>
          <t>At 1 January 2014</t>
        </is>
      </c>
      <c r="B4" s="5" t="n">
        <v>65000</v>
      </c>
      <c r="C4" s="5" t="n">
        <v>0</v>
      </c>
      <c r="D4" s="5" t="n">
        <v>-5417</v>
      </c>
      <c r="E4" s="5" t="n">
        <v>59583</v>
      </c>
      <c r="F4" s="5" t="n"/>
      <c r="G4" s="5" t="n">
        <v>59583</v>
      </c>
    </row>
    <row r="5">
      <c r="A5" s="6" t="inlineStr">
        <is>
          <t>Total comprehensive profit for the year</t>
        </is>
      </c>
      <c r="B5" s="6" t="n"/>
      <c r="C5" s="6" t="n">
        <v>3332</v>
      </c>
      <c r="D5" s="6" t="n">
        <v>3301</v>
      </c>
      <c r="E5" s="6" t="n">
        <v>6633</v>
      </c>
      <c r="F5" s="6" t="n"/>
      <c r="G5" s="6" t="n">
        <v>6633</v>
      </c>
    </row>
    <row r="6">
      <c r="A6" s="5" t="inlineStr">
        <is>
          <t>At 31 December 2014</t>
        </is>
      </c>
      <c r="B6" s="5" t="n">
        <v>65000</v>
      </c>
      <c r="C6" s="5" t="n">
        <v>3332</v>
      </c>
      <c r="D6" s="5" t="n">
        <v>-2116</v>
      </c>
      <c r="E6" s="5" t="n">
        <v>66216</v>
      </c>
      <c r="F6" s="5" t="n"/>
      <c r="G6" s="5" t="n">
        <v>66216</v>
      </c>
    </row>
    <row r="7">
      <c r="A7" s="5" t="inlineStr">
        <is>
          <t>At 1 January 2015</t>
        </is>
      </c>
      <c r="B7" s="5" t="n">
        <v>65000</v>
      </c>
      <c r="C7" s="5" t="n">
        <v>3332</v>
      </c>
      <c r="D7" s="5" t="n">
        <v>-2116</v>
      </c>
      <c r="E7" s="5" t="n">
        <v>66216</v>
      </c>
      <c r="F7" s="5" t="n"/>
      <c r="G7" s="5" t="n">
        <v>66216</v>
      </c>
    </row>
    <row r="8">
      <c r="A8" s="6" t="inlineStr">
        <is>
          <t>Total comprehensive profit for the year</t>
        </is>
      </c>
      <c r="B8" s="6" t="n"/>
      <c r="C8" s="6" t="n"/>
      <c r="D8" s="6" t="n">
        <v>3604</v>
      </c>
      <c r="E8" s="6" t="n">
        <v>3604</v>
      </c>
      <c r="F8" s="6" t="n"/>
      <c r="G8" s="6" t="n">
        <v>3604</v>
      </c>
    </row>
    <row r="9">
      <c r="A9" s="5" t="inlineStr">
        <is>
          <t>At 31 December 2015</t>
        </is>
      </c>
      <c r="B9" s="5" t="n">
        <v>65000</v>
      </c>
      <c r="C9" s="5" t="n">
        <v>3332</v>
      </c>
      <c r="D9" s="5" t="n">
        <v>1488</v>
      </c>
      <c r="E9" s="5" t="n">
        <v>69820</v>
      </c>
      <c r="F9" s="5" t="n"/>
      <c r="G9" s="5" t="n">
        <v>69820</v>
      </c>
    </row>
    <row r="10">
      <c r="A10" s="5" t="inlineStr">
        <is>
          <t>At 1 January 2016</t>
        </is>
      </c>
      <c r="B10" s="5" t="n">
        <v>65000</v>
      </c>
      <c r="C10" s="5" t="n">
        <v>3332</v>
      </c>
      <c r="D10" s="5" t="n">
        <v>1488</v>
      </c>
      <c r="E10" s="5" t="n">
        <v>69820</v>
      </c>
      <c r="F10" s="5" t="n"/>
      <c r="G10" s="5" t="n">
        <v>69820</v>
      </c>
    </row>
    <row r="11">
      <c r="A11" s="6" t="inlineStr">
        <is>
          <t>Total comprehensive (loss)/profit for the year</t>
        </is>
      </c>
      <c r="B11" s="6" t="n"/>
      <c r="C11" s="6" t="n">
        <v>5057</v>
      </c>
      <c r="D11" s="6" t="n">
        <v>-9020</v>
      </c>
      <c r="E11" s="6" t="n">
        <v>-3963</v>
      </c>
      <c r="F11" s="6" t="n"/>
      <c r="G11" s="6" t="n">
        <v>-3963</v>
      </c>
    </row>
    <row r="12">
      <c r="A12" s="5" t="inlineStr">
        <is>
          <t>At 31 December 2016</t>
        </is>
      </c>
      <c r="B12" s="5" t="n">
        <v>65000</v>
      </c>
      <c r="C12" s="5" t="n">
        <v>8389</v>
      </c>
      <c r="D12" s="5" t="n">
        <v>-7532</v>
      </c>
      <c r="E12" s="5" t="n">
        <v>65857</v>
      </c>
      <c r="F12" s="5" t="n"/>
      <c r="G12" s="5" t="n">
        <v>65857</v>
      </c>
    </row>
    <row r="13">
      <c r="A13" s="5" t="inlineStr">
        <is>
          <t>At 1 January 2017</t>
        </is>
      </c>
      <c r="B13" s="5" t="n">
        <v>65000</v>
      </c>
      <c r="C13" s="5" t="n">
        <v>8389</v>
      </c>
      <c r="D13" s="5" t="n">
        <v>-7532</v>
      </c>
      <c r="E13" s="5" t="n">
        <v>65857</v>
      </c>
      <c r="F13" s="5" t="n"/>
      <c r="G13" s="5" t="n">
        <v>65857</v>
      </c>
    </row>
    <row r="14">
      <c r="A14" s="6" t="inlineStr">
        <is>
          <t>Profit for the year after tax</t>
        </is>
      </c>
      <c r="B14" s="6" t="n"/>
      <c r="C14" s="6" t="n"/>
      <c r="D14" s="6" t="n">
        <v>861</v>
      </c>
      <c r="E14" s="6" t="n">
        <v>861</v>
      </c>
      <c r="F14" s="6" t="n"/>
      <c r="G14" s="6" t="n">
        <v>861</v>
      </c>
    </row>
    <row r="15">
      <c r="A15" s="6" t="inlineStr">
        <is>
          <t>Issue of share capital (note 25)</t>
        </is>
      </c>
      <c r="B15" s="6" t="n">
        <v>46000</v>
      </c>
      <c r="C15" s="6" t="n"/>
      <c r="D15" s="6" t="n"/>
      <c r="E15" s="6" t="n">
        <v>46000</v>
      </c>
      <c r="F15" s="6" t="n"/>
      <c r="G15" s="6" t="n">
        <v>46000</v>
      </c>
    </row>
    <row r="16">
      <c r="A16" s="5" t="inlineStr">
        <is>
          <t>At 31 December 2017</t>
        </is>
      </c>
      <c r="B16" s="5" t="n">
        <v>111000</v>
      </c>
      <c r="C16" s="5" t="n">
        <v>8389</v>
      </c>
      <c r="D16" s="5" t="n">
        <v>-6671</v>
      </c>
      <c r="E16" s="5" t="n">
        <v>112718</v>
      </c>
      <c r="F16" s="5" t="n"/>
      <c r="G16" s="5" t="n">
        <v>112718</v>
      </c>
    </row>
    <row r="17">
      <c r="A17" s="5" t="inlineStr">
        <is>
          <t>At 1 January 2018</t>
        </is>
      </c>
      <c r="B17" s="5" t="n">
        <v>111000</v>
      </c>
      <c r="C17" s="5" t="n">
        <v>8389</v>
      </c>
      <c r="D17" s="5" t="n">
        <v>-6671</v>
      </c>
      <c r="E17" s="5" t="n">
        <v>112718</v>
      </c>
      <c r="F17" s="5" t="n"/>
      <c r="G17" s="5" t="n">
        <v>112718</v>
      </c>
    </row>
    <row r="18">
      <c r="A18" s="6" t="inlineStr">
        <is>
          <t>Impact of adopting IFRS 9 (Note 33)</t>
        </is>
      </c>
      <c r="B18" s="6" t="n"/>
      <c r="C18" s="6" t="n"/>
      <c r="D18" s="6" t="n">
        <v>96</v>
      </c>
      <c r="E18" s="6" t="n">
        <v>96</v>
      </c>
      <c r="F18" s="6" t="n"/>
      <c r="G18" s="6" t="n">
        <v>96</v>
      </c>
    </row>
    <row r="19">
      <c r="A19" s="6" t="inlineStr">
        <is>
          <t>Issue of shares by way of capitalisation of revaluation reserve</t>
        </is>
      </c>
      <c r="B19" s="6" t="n">
        <v>7000</v>
      </c>
      <c r="C19" s="6" t="n">
        <v>-7000</v>
      </c>
      <c r="D19" s="6" t="n"/>
      <c r="E19" s="6" t="n"/>
      <c r="F19" s="6" t="n"/>
      <c r="G19" s="6" t="n"/>
    </row>
    <row r="20">
      <c r="A20" s="6" t="inlineStr">
        <is>
          <t>Reduction in share capital</t>
        </is>
      </c>
      <c r="B20" s="6" t="n">
        <v>-7000</v>
      </c>
      <c r="C20" s="6" t="n"/>
      <c r="D20" s="6" t="n">
        <v>7000</v>
      </c>
      <c r="E20" s="6" t="n"/>
      <c r="F20" s="6" t="n"/>
      <c r="G20" s="6" t="n"/>
    </row>
    <row r="21">
      <c r="A21" s="6" t="inlineStr">
        <is>
          <t>Profit for the year after tax</t>
        </is>
      </c>
      <c r="B21" s="6" t="n"/>
      <c r="C21" s="6" t="n"/>
      <c r="D21" s="6" t="n">
        <v>4600</v>
      </c>
      <c r="E21" s="6" t="n">
        <v>4600</v>
      </c>
      <c r="F21" s="6" t="n"/>
      <c r="G21" s="6" t="n">
        <v>4600</v>
      </c>
    </row>
    <row r="22">
      <c r="A22" s="6" t="inlineStr">
        <is>
          <t>Other comprehensive income (tax on property revaluation)</t>
        </is>
      </c>
      <c r="B22" s="6" t="n"/>
      <c r="C22" s="6" t="n">
        <v>-83</v>
      </c>
      <c r="D22" s="6" t="n"/>
      <c r="E22" s="6" t="n">
        <v>-83</v>
      </c>
      <c r="F22" s="6" t="n"/>
      <c r="G22" s="6" t="n">
        <v>-83</v>
      </c>
    </row>
    <row r="23">
      <c r="A23" s="6" t="inlineStr">
        <is>
          <t>Issue of share capital (note 26)</t>
        </is>
      </c>
      <c r="B23" s="6" t="n">
        <v>20000</v>
      </c>
      <c r="C23" s="6" t="n"/>
      <c r="D23" s="6" t="n"/>
      <c r="E23" s="6" t="n">
        <v>20000</v>
      </c>
      <c r="F23" s="6" t="n"/>
      <c r="G23" s="6" t="n">
        <v>20000</v>
      </c>
    </row>
    <row r="24">
      <c r="A24" s="5" t="inlineStr">
        <is>
          <t>At 31 December 2018</t>
        </is>
      </c>
      <c r="B24" s="5" t="n">
        <v>131000</v>
      </c>
      <c r="C24" s="5" t="n">
        <v>1306</v>
      </c>
      <c r="D24" s="5" t="n">
        <v>5025</v>
      </c>
      <c r="E24" s="5" t="n">
        <v>137331</v>
      </c>
      <c r="F24" s="5" t="n"/>
      <c r="G24" s="5" t="n">
        <v>137331</v>
      </c>
    </row>
    <row r="25">
      <c r="A25" s="5" t="inlineStr">
        <is>
          <t>At 1 January 2019</t>
        </is>
      </c>
      <c r="B25" s="5" t="n">
        <v>131000</v>
      </c>
      <c r="C25" s="5" t="n">
        <v>1306</v>
      </c>
      <c r="D25" s="5" t="n">
        <v>5025</v>
      </c>
      <c r="E25" s="5" t="n">
        <v>137331</v>
      </c>
      <c r="F25" s="5" t="n"/>
      <c r="G25" s="5" t="n">
        <v>137331</v>
      </c>
    </row>
    <row r="26">
      <c r="A26" s="6" t="inlineStr">
        <is>
          <t>Impact of adopting IFRS 16 (Note 20)</t>
        </is>
      </c>
      <c r="B26" s="6" t="n"/>
      <c r="C26" s="6" t="n"/>
      <c r="D26" s="6" t="n">
        <v>-29</v>
      </c>
      <c r="E26" s="6" t="n">
        <v>-29</v>
      </c>
      <c r="F26" s="6" t="n"/>
      <c r="G26" s="6" t="n">
        <v>-29</v>
      </c>
    </row>
    <row r="27">
      <c r="A27" s="6" t="inlineStr">
        <is>
          <t>Dividend to Cynergy Capital Ltd</t>
        </is>
      </c>
      <c r="B27" s="6" t="n"/>
      <c r="C27" s="6" t="n"/>
      <c r="D27" s="6" t="n">
        <v>-300</v>
      </c>
      <c r="E27" s="6" t="n">
        <v>-300</v>
      </c>
      <c r="F27" s="6" t="n"/>
      <c r="G27" s="6" t="n">
        <v>-300</v>
      </c>
    </row>
    <row r="28">
      <c r="A28" s="6" t="inlineStr">
        <is>
          <t>Profit for the year after tax</t>
        </is>
      </c>
      <c r="B28" s="6" t="n"/>
      <c r="C28" s="6" t="n"/>
      <c r="D28" s="6" t="n">
        <v>13519</v>
      </c>
      <c r="E28" s="6" t="n">
        <v>13519</v>
      </c>
      <c r="F28" s="6" t="n"/>
      <c r="G28" s="6" t="n">
        <v>13519</v>
      </c>
    </row>
    <row r="29">
      <c r="A29" s="6" t="inlineStr">
        <is>
          <t>Other comprehensive income</t>
        </is>
      </c>
      <c r="B29" s="6" t="n"/>
      <c r="C29" s="6" t="n">
        <v>1129</v>
      </c>
      <c r="D29" s="6" t="n"/>
      <c r="E29" s="6" t="n">
        <v>1129</v>
      </c>
      <c r="F29" s="6" t="n"/>
      <c r="G29" s="6" t="n">
        <v>1129</v>
      </c>
    </row>
    <row r="30">
      <c r="A30" s="6" t="inlineStr">
        <is>
          <t>Issue of share capital (Note 27)</t>
        </is>
      </c>
      <c r="B30" s="6" t="n">
        <v>15000</v>
      </c>
      <c r="C30" s="6" t="n"/>
      <c r="D30" s="6" t="n"/>
      <c r="E30" s="6" t="n">
        <v>15000</v>
      </c>
      <c r="F30" s="6" t="n"/>
      <c r="G30" s="6" t="n">
        <v>15000</v>
      </c>
    </row>
    <row r="31">
      <c r="A31" s="5" t="inlineStr">
        <is>
          <t>At 31 December 2019</t>
        </is>
      </c>
      <c r="B31" s="5" t="n">
        <v>146000</v>
      </c>
      <c r="C31" s="5" t="n">
        <v>2435</v>
      </c>
      <c r="D31" s="5" t="n">
        <v>18215</v>
      </c>
      <c r="E31" s="5" t="n">
        <v>166650</v>
      </c>
      <c r="F31" s="5" t="n"/>
      <c r="G31" s="5" t="n">
        <v>166650</v>
      </c>
    </row>
    <row r="32">
      <c r="A32" s="5" t="inlineStr">
        <is>
          <t>At 1 January 2020</t>
        </is>
      </c>
      <c r="B32" s="5" t="n">
        <v>146000</v>
      </c>
      <c r="C32" s="5" t="n">
        <v>2435</v>
      </c>
      <c r="D32" s="5" t="n">
        <v>18215</v>
      </c>
      <c r="E32" s="5" t="n">
        <v>166650</v>
      </c>
      <c r="F32" s="5" t="n"/>
      <c r="G32" s="5" t="n">
        <v>166650</v>
      </c>
    </row>
    <row r="33">
      <c r="A33" s="6" t="inlineStr">
        <is>
          <t>Profit for the year after tax</t>
        </is>
      </c>
      <c r="B33" s="6" t="n"/>
      <c r="C33" s="6" t="n"/>
      <c r="D33" s="6" t="n">
        <v>20828</v>
      </c>
      <c r="E33" s="6" t="n">
        <v>20828</v>
      </c>
      <c r="F33" s="6" t="n"/>
      <c r="G33" s="6" t="n">
        <v>20828</v>
      </c>
    </row>
    <row r="34">
      <c r="A34" s="6" t="inlineStr">
        <is>
          <t>Other comprehensive expense</t>
        </is>
      </c>
      <c r="B34" s="6" t="n"/>
      <c r="C34" s="6" t="n">
        <v>-761</v>
      </c>
      <c r="D34" s="6" t="n">
        <v>70</v>
      </c>
      <c r="E34" s="6" t="n">
        <v>-691</v>
      </c>
      <c r="F34" s="6" t="n"/>
      <c r="G34" s="6" t="n">
        <v>-691</v>
      </c>
    </row>
    <row r="35">
      <c r="A35" s="6" t="inlineStr">
        <is>
          <t>Issue of share capital (note 27)</t>
        </is>
      </c>
      <c r="B35" s="6" t="n">
        <v>9000</v>
      </c>
      <c r="C35" s="6" t="n"/>
      <c r="D35" s="6" t="n"/>
      <c r="E35" s="6" t="n">
        <v>9000</v>
      </c>
      <c r="F35" s="6" t="n"/>
      <c r="G35" s="6" t="n">
        <v>9000</v>
      </c>
    </row>
    <row r="36">
      <c r="A36" s="5" t="inlineStr">
        <is>
          <t>At 31 December 2020</t>
        </is>
      </c>
      <c r="B36" s="5" t="n">
        <v>155000</v>
      </c>
      <c r="C36" s="5" t="n">
        <v>1674</v>
      </c>
      <c r="D36" s="5" t="n">
        <v>39113</v>
      </c>
      <c r="E36" s="5" t="n">
        <v>195787</v>
      </c>
      <c r="F36" s="5" t="n"/>
      <c r="G36" s="5" t="n">
        <v>195787</v>
      </c>
    </row>
    <row r="37">
      <c r="A37" s="5" t="inlineStr">
        <is>
          <t>At 1 January 2021 (via FY2022 report's own comparative)</t>
        </is>
      </c>
      <c r="B37" s="5" t="n">
        <v>155000</v>
      </c>
      <c r="C37" s="5" t="n">
        <v>1674</v>
      </c>
      <c r="D37" s="5" t="n">
        <v>39113</v>
      </c>
      <c r="E37" s="5" t="n">
        <v>195787</v>
      </c>
      <c r="F37" s="5" t="n">
        <v>0</v>
      </c>
      <c r="G37" s="5" t="n">
        <v>195787</v>
      </c>
    </row>
    <row r="38">
      <c r="A38" s="6" t="inlineStr">
        <is>
          <t>Profit for the year after tax</t>
        </is>
      </c>
      <c r="B38" s="6" t="n"/>
      <c r="C38" s="6" t="n"/>
      <c r="D38" s="6" t="n">
        <v>25078</v>
      </c>
      <c r="E38" s="6" t="n">
        <v>25078</v>
      </c>
      <c r="F38" s="6" t="n">
        <v>-149</v>
      </c>
      <c r="G38" s="6" t="n">
        <v>24929</v>
      </c>
    </row>
    <row r="39">
      <c r="A39" s="5" t="inlineStr">
        <is>
          <t>At 31 December 2021</t>
        </is>
      </c>
      <c r="B39" s="5" t="n">
        <v>155000</v>
      </c>
      <c r="C39" s="5" t="n">
        <v>1674</v>
      </c>
      <c r="D39" s="5" t="n">
        <v>64191</v>
      </c>
      <c r="E39" s="5" t="n">
        <v>220865</v>
      </c>
      <c r="F39" s="5" t="n">
        <v>-149</v>
      </c>
      <c r="G39" s="5" t="n">
        <v>220716</v>
      </c>
    </row>
    <row r="40">
      <c r="A40" s="5" t="inlineStr">
        <is>
          <t>At 1 January 2022</t>
        </is>
      </c>
      <c r="B40" s="5" t="n">
        <v>155000</v>
      </c>
      <c r="C40" s="5" t="n">
        <v>1674</v>
      </c>
      <c r="D40" s="5" t="n">
        <v>64191</v>
      </c>
      <c r="E40" s="5" t="n">
        <v>220865</v>
      </c>
      <c r="F40" s="5" t="n">
        <v>-149</v>
      </c>
      <c r="G40" s="5" t="n">
        <v>220716</v>
      </c>
    </row>
    <row r="41">
      <c r="A41" s="6" t="inlineStr">
        <is>
          <t>Profit/(loss) for the year after tax</t>
        </is>
      </c>
      <c r="B41" s="6" t="n"/>
      <c r="C41" s="6" t="n"/>
      <c r="D41" s="6" t="n">
        <v>40299</v>
      </c>
      <c r="E41" s="6" t="n">
        <v>40299</v>
      </c>
      <c r="F41" s="6" t="n">
        <v>-43</v>
      </c>
      <c r="G41" s="6" t="n">
        <v>40256</v>
      </c>
    </row>
    <row r="42">
      <c r="A42" s="6" t="inlineStr">
        <is>
          <t>Other comprehensive income (revaluation of own properties)</t>
        </is>
      </c>
      <c r="B42" s="6" t="n"/>
      <c r="C42" s="6" t="n">
        <v>1474</v>
      </c>
      <c r="D42" s="6" t="n"/>
      <c r="E42" s="6" t="n">
        <v>1474</v>
      </c>
      <c r="F42" s="6" t="n"/>
      <c r="G42" s="6" t="n">
        <v>1474</v>
      </c>
    </row>
    <row r="43">
      <c r="A43" s="6" t="inlineStr">
        <is>
          <t>Issue of share capital</t>
        </is>
      </c>
      <c r="B43" s="6" t="n">
        <v>47000</v>
      </c>
      <c r="C43" s="6" t="n"/>
      <c r="D43" s="6" t="n"/>
      <c r="E43" s="6" t="n">
        <v>47000</v>
      </c>
      <c r="F43" s="6" t="n"/>
      <c r="G43" s="6" t="n">
        <v>47000</v>
      </c>
    </row>
    <row r="44">
      <c r="A44" s="5" t="inlineStr">
        <is>
          <t>At 31 December 2022</t>
        </is>
      </c>
      <c r="B44" s="5" t="n">
        <v>202000</v>
      </c>
      <c r="C44" s="5" t="n">
        <v>3148</v>
      </c>
      <c r="D44" s="5" t="n">
        <v>104490</v>
      </c>
      <c r="E44" s="5" t="n">
        <v>309638</v>
      </c>
      <c r="F44" s="5" t="n">
        <v>-192</v>
      </c>
      <c r="G44" s="5" t="n">
        <v>309446</v>
      </c>
    </row>
    <row r="45">
      <c r="A45" s="5" t="inlineStr">
        <is>
          <t>At 1 January 2023</t>
        </is>
      </c>
      <c r="B45" s="5" t="n">
        <v>202000</v>
      </c>
      <c r="C45" s="5" t="n">
        <v>3148</v>
      </c>
      <c r="D45" s="5" t="n">
        <v>104490</v>
      </c>
      <c r="E45" s="5" t="n">
        <v>309638</v>
      </c>
      <c r="F45" s="5" t="n">
        <v>-192</v>
      </c>
      <c r="G45" s="5" t="n">
        <v>309446</v>
      </c>
    </row>
    <row r="46">
      <c r="A46" s="6" t="inlineStr">
        <is>
          <t>Profit for the year after tax</t>
        </is>
      </c>
      <c r="B46" s="6" t="n"/>
      <c r="C46" s="6" t="n"/>
      <c r="D46" s="6" t="n">
        <v>40307</v>
      </c>
      <c r="E46" s="6" t="n">
        <v>40307</v>
      </c>
      <c r="F46" s="6" t="n">
        <v>306</v>
      </c>
      <c r="G46" s="6" t="n">
        <v>40613</v>
      </c>
    </row>
    <row r="47">
      <c r="A47" s="6" t="inlineStr">
        <is>
          <t>Other comprehensive income (tax on property revaluation)</t>
        </is>
      </c>
      <c r="B47" s="6" t="n"/>
      <c r="C47" s="6" t="n">
        <v>-509</v>
      </c>
      <c r="D47" s="6" t="n"/>
      <c r="E47" s="6" t="n">
        <v>-509</v>
      </c>
      <c r="F47" s="6" t="n"/>
      <c r="G47" s="6" t="n">
        <v>-509</v>
      </c>
    </row>
    <row r="48">
      <c r="A48" s="6" t="inlineStr">
        <is>
          <t>Transfer from revaluation reserve to retained earnings</t>
        </is>
      </c>
      <c r="B48" s="6" t="n"/>
      <c r="C48" s="6" t="n">
        <v>-206</v>
      </c>
      <c r="D48" s="6" t="n">
        <v>206</v>
      </c>
      <c r="E48" s="6" t="n"/>
      <c r="F48" s="6" t="n"/>
      <c r="G48" s="6" t="n"/>
    </row>
    <row r="49">
      <c r="A49" s="5" t="inlineStr">
        <is>
          <t>At 31 December 2023</t>
        </is>
      </c>
      <c r="B49" s="5" t="n">
        <v>202000</v>
      </c>
      <c r="C49" s="5" t="n">
        <v>2433</v>
      </c>
      <c r="D49" s="5" t="n">
        <v>145003</v>
      </c>
      <c r="E49" s="5" t="n">
        <v>349436</v>
      </c>
      <c r="F49" s="5" t="n">
        <v>114</v>
      </c>
      <c r="G49" s="5" t="n">
        <v>349550</v>
      </c>
    </row>
    <row r="50">
      <c r="A50" s="5" t="inlineStr">
        <is>
          <t>At 1 January 2024</t>
        </is>
      </c>
      <c r="B50" s="5" t="n">
        <v>202000</v>
      </c>
      <c r="C50" s="5" t="n">
        <v>2433</v>
      </c>
      <c r="D50" s="5" t="n">
        <v>145003</v>
      </c>
      <c r="E50" s="5" t="n">
        <v>349436</v>
      </c>
      <c r="F50" s="5" t="n">
        <v>114</v>
      </c>
      <c r="G50" s="5" t="n">
        <v>349550</v>
      </c>
    </row>
    <row r="51">
      <c r="A51" s="6" t="inlineStr">
        <is>
          <t>Profit for the year after tax</t>
        </is>
      </c>
      <c r="B51" s="6" t="n"/>
      <c r="C51" s="6" t="n"/>
      <c r="D51" s="6" t="n">
        <v>39554</v>
      </c>
      <c r="E51" s="6" t="n">
        <v>39554</v>
      </c>
      <c r="F51" s="6" t="n">
        <v>680</v>
      </c>
      <c r="G51" s="6" t="n">
        <v>40234</v>
      </c>
    </row>
    <row r="52">
      <c r="A52" s="6" t="inlineStr">
        <is>
          <t>Other comprehensive income (revaluation loss on property, net of tax)</t>
        </is>
      </c>
      <c r="B52" s="6" t="n"/>
      <c r="C52" s="6" t="n">
        <v>-1928</v>
      </c>
      <c r="D52" s="6" t="n"/>
      <c r="E52" s="6" t="n">
        <v>-1928</v>
      </c>
      <c r="F52" s="6" t="n"/>
      <c r="G52" s="6" t="n">
        <v>-1928</v>
      </c>
    </row>
    <row r="53">
      <c r="A53" s="5" t="inlineStr">
        <is>
          <t>At 31 December 2024</t>
        </is>
      </c>
      <c r="B53" s="5" t="n">
        <v>202000</v>
      </c>
      <c r="C53" s="5" t="n">
        <v>505</v>
      </c>
      <c r="D53" s="5" t="n">
        <v>184557</v>
      </c>
      <c r="E53" s="5" t="n">
        <v>387062</v>
      </c>
      <c r="F53" s="5" t="n">
        <v>794</v>
      </c>
      <c r="G53" s="5" t="n">
        <v>387856</v>
      </c>
    </row>
    <row r="54">
      <c r="A54" s="5" t="inlineStr">
        <is>
          <t>At 1 January 2025</t>
        </is>
      </c>
      <c r="B54" s="5" t="n">
        <v>202000</v>
      </c>
      <c r="C54" s="5" t="n">
        <v>505</v>
      </c>
      <c r="D54" s="5" t="n">
        <v>184557</v>
      </c>
      <c r="E54" s="5" t="n">
        <v>387062</v>
      </c>
      <c r="F54" s="5" t="n">
        <v>794</v>
      </c>
      <c r="G54" s="5" t="n">
        <v>387856</v>
      </c>
    </row>
    <row r="55">
      <c r="A55" s="6" t="inlineStr">
        <is>
          <t>Profit for the year after tax</t>
        </is>
      </c>
      <c r="B55" s="6" t="n"/>
      <c r="C55" s="6" t="n"/>
      <c r="D55" s="6" t="n">
        <v>36745</v>
      </c>
      <c r="E55" s="6" t="n">
        <v>36745</v>
      </c>
      <c r="F55" s="6" t="n">
        <v>1195</v>
      </c>
      <c r="G55" s="6" t="n">
        <v>37940</v>
      </c>
    </row>
    <row r="56">
      <c r="A56" s="6" t="inlineStr">
        <is>
          <t>Transfer and tax release on disposal of revalued asset</t>
        </is>
      </c>
      <c r="B56" s="6" t="n"/>
      <c r="C56" s="6" t="n">
        <v>-505</v>
      </c>
      <c r="D56" s="6" t="n">
        <v>938</v>
      </c>
      <c r="E56" s="6" t="n">
        <v>433</v>
      </c>
      <c r="F56" s="6" t="n"/>
      <c r="G56" s="6" t="n">
        <v>433</v>
      </c>
    </row>
    <row r="57">
      <c r="A57" s="5" t="inlineStr">
        <is>
          <t>At 31 December 2025</t>
        </is>
      </c>
      <c r="B57" s="5" t="n">
        <v>202000</v>
      </c>
      <c r="C57" s="5" t="n">
        <v>0</v>
      </c>
      <c r="D57" s="5" t="n">
        <v>222240</v>
      </c>
      <c r="E57" s="5" t="n">
        <v>424240</v>
      </c>
      <c r="F57" s="5" t="n">
        <v>1989</v>
      </c>
      <c r="G57" s="5" t="n">
        <v>426229</v>
      </c>
    </row>
    <row r="59" ht="320" customHeight="1">
      <c r="A59"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t>
        </is>
      </c>
    </row>
  </sheetData>
  <mergeCells count="1">
    <mergeCell ref="A59:G5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Consolidated and Company Statement of Cash Flows</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Operating activities</t>
        </is>
      </c>
      <c r="B4" s="6" t="n"/>
      <c r="C4" s="6" t="n"/>
      <c r="D4" s="6" t="n"/>
      <c r="E4" s="6" t="n"/>
      <c r="F4" s="6" t="n"/>
      <c r="G4" s="6" t="n"/>
      <c r="H4" s="6" t="n"/>
      <c r="I4" s="6" t="n"/>
      <c r="J4" s="6" t="n"/>
      <c r="K4" s="6" t="n"/>
      <c r="L4" s="6" t="n"/>
      <c r="M4" s="6" t="n"/>
    </row>
    <row r="5">
      <c r="A5" s="6" t="inlineStr">
        <is>
          <t>Profit before tax</t>
        </is>
      </c>
      <c r="B5" s="6" t="n">
        <v>51564</v>
      </c>
      <c r="C5" s="6" t="n">
        <v>52632</v>
      </c>
      <c r="D5" s="6" t="n">
        <v>55157</v>
      </c>
      <c r="E5" s="6" t="n">
        <v>50489</v>
      </c>
      <c r="F5" s="6" t="n">
        <v>30400</v>
      </c>
      <c r="G5" s="6" t="n">
        <v>27016</v>
      </c>
      <c r="H5" s="6" t="n">
        <v>16571</v>
      </c>
      <c r="I5" s="6" t="n">
        <v>6157</v>
      </c>
      <c r="J5" s="6" t="n">
        <v>1916</v>
      </c>
      <c r="K5" s="6" t="n">
        <v>-8112</v>
      </c>
      <c r="L5" s="6" t="n">
        <v>4583</v>
      </c>
      <c r="M5" s="6" t="n">
        <v>4189</v>
      </c>
    </row>
    <row r="6">
      <c r="A6" s="6" t="inlineStr">
        <is>
          <t>Credit impairment charges/(reversals) on financial assets</t>
        </is>
      </c>
      <c r="B6" s="6" t="n">
        <v>-91</v>
      </c>
      <c r="C6" s="6" t="n">
        <v>2082</v>
      </c>
      <c r="D6" s="6" t="n">
        <v>4445</v>
      </c>
      <c r="E6" s="6" t="n">
        <v>9100</v>
      </c>
      <c r="F6" s="6" t="n">
        <v>5396</v>
      </c>
      <c r="G6" s="6" t="n">
        <v>4986</v>
      </c>
      <c r="H6" s="6" t="n">
        <v>292</v>
      </c>
      <c r="I6" s="6" t="n">
        <v>223</v>
      </c>
      <c r="J6" s="6" t="n">
        <v>-497</v>
      </c>
      <c r="K6" s="6" t="n">
        <v>-898</v>
      </c>
      <c r="L6" s="6" t="n">
        <v>-688</v>
      </c>
      <c r="M6" s="6" t="n">
        <v>-3294</v>
      </c>
    </row>
    <row r="7">
      <c r="A7" s="6" t="inlineStr">
        <is>
          <t>Depreciation of property, equipment and right-of-use assets</t>
        </is>
      </c>
      <c r="B7" s="6" t="n">
        <v>2028</v>
      </c>
      <c r="C7" s="6" t="n">
        <v>2197</v>
      </c>
      <c r="D7" s="6" t="n">
        <v>1730</v>
      </c>
      <c r="E7" s="6" t="n">
        <v>378</v>
      </c>
      <c r="F7" s="6" t="n">
        <v>1018</v>
      </c>
      <c r="G7" s="6" t="n">
        <v>1301</v>
      </c>
      <c r="H7" s="6" t="n">
        <v>773</v>
      </c>
      <c r="I7" s="6" t="n">
        <v>1036</v>
      </c>
      <c r="J7" s="6" t="n">
        <v>940</v>
      </c>
      <c r="K7" s="6" t="n">
        <v>969</v>
      </c>
      <c r="L7" s="6" t="n">
        <v>1085</v>
      </c>
      <c r="M7" s="6" t="n">
        <v>1087</v>
      </c>
    </row>
    <row r="8">
      <c r="A8" s="6" t="inlineStr">
        <is>
          <t>Amortisation of intangible assets</t>
        </is>
      </c>
      <c r="B8" s="6" t="n">
        <v>9891</v>
      </c>
      <c r="C8" s="6" t="n">
        <v>7264</v>
      </c>
      <c r="D8" s="6" t="n">
        <v>4636</v>
      </c>
      <c r="E8" s="6" t="n">
        <v>3876</v>
      </c>
      <c r="F8" s="6" t="n">
        <v>2429</v>
      </c>
      <c r="G8" s="6" t="n">
        <v>3070</v>
      </c>
      <c r="H8" s="6" t="n">
        <v>501</v>
      </c>
      <c r="I8" s="6" t="n">
        <v>643</v>
      </c>
      <c r="J8" s="6" t="n">
        <v>569</v>
      </c>
      <c r="K8" s="6" t="n">
        <v>457</v>
      </c>
      <c r="L8" s="6" t="n">
        <v>406</v>
      </c>
      <c r="M8" s="6" t="n">
        <v>366</v>
      </c>
    </row>
    <row r="9">
      <c r="A9" s="6" t="inlineStr">
        <is>
          <t>Write-off/impairment of fixed and intangible assets</t>
        </is>
      </c>
      <c r="B9" s="6" t="n">
        <v>597</v>
      </c>
      <c r="C9" s="6" t="n">
        <v>305</v>
      </c>
      <c r="D9" s="6" t="n">
        <v>706</v>
      </c>
      <c r="E9" s="6" t="n">
        <v>1215</v>
      </c>
      <c r="F9" s="6" t="n"/>
      <c r="G9" s="6" t="n">
        <v>77</v>
      </c>
      <c r="H9" s="6" t="n"/>
      <c r="I9" s="6" t="n">
        <v>1703</v>
      </c>
      <c r="J9" s="6" t="n"/>
      <c r="K9" s="6" t="n"/>
      <c r="L9" s="6" t="n"/>
      <c r="M9" s="6" t="n"/>
    </row>
    <row r="10">
      <c r="A10" s="6" t="inlineStr">
        <is>
          <t>Gain on disposal of property</t>
        </is>
      </c>
      <c r="B10" s="6" t="n"/>
      <c r="C10" s="6" t="n"/>
      <c r="D10" s="6" t="n"/>
      <c r="E10" s="6" t="n">
        <v>-9230</v>
      </c>
      <c r="F10" s="6" t="n"/>
      <c r="G10" s="6" t="n">
        <v>-30</v>
      </c>
      <c r="H10" s="6" t="n"/>
      <c r="I10" s="6" t="n"/>
      <c r="J10" s="6" t="n"/>
      <c r="K10" s="6" t="n"/>
      <c r="L10" s="6" t="n"/>
      <c r="M10" s="6" t="n"/>
    </row>
    <row r="11">
      <c r="A11" s="6" t="inlineStr">
        <is>
          <t>Deferred gain on disposal of property</t>
        </is>
      </c>
      <c r="B11" s="6" t="n"/>
      <c r="C11" s="6" t="n"/>
      <c r="D11" s="6" t="n">
        <v>-276</v>
      </c>
      <c r="E11" s="6" t="n">
        <v>-277</v>
      </c>
      <c r="F11" s="6" t="n"/>
      <c r="G11" s="6" t="n"/>
      <c r="H11" s="6" t="n"/>
      <c r="I11" s="6" t="n"/>
      <c r="J11" s="6" t="n"/>
      <c r="K11" s="6" t="n"/>
      <c r="L11" s="6" t="n"/>
      <c r="M11" s="6" t="n"/>
    </row>
    <row r="12">
      <c r="A12" s="6" t="inlineStr">
        <is>
          <t>Other gains</t>
        </is>
      </c>
      <c r="B12" s="6" t="n">
        <v>-404</v>
      </c>
      <c r="C12" s="6" t="n">
        <v>-1000</v>
      </c>
      <c r="D12" s="6" t="n"/>
      <c r="E12" s="6" t="n"/>
      <c r="F12" s="6" t="n"/>
      <c r="G12" s="6" t="n"/>
      <c r="H12" s="6" t="n"/>
      <c r="I12" s="6" t="n"/>
      <c r="J12" s="6" t="n"/>
      <c r="K12" s="6" t="n"/>
      <c r="L12" s="6" t="n"/>
      <c r="M12" s="6" t="n"/>
    </row>
    <row r="13">
      <c r="A13" s="6" t="inlineStr">
        <is>
          <t>Net gains on derecognition of financial assets</t>
        </is>
      </c>
      <c r="B13" s="6" t="n">
        <v>-3578</v>
      </c>
      <c r="C13" s="6" t="n"/>
      <c r="D13" s="6" t="n"/>
      <c r="E13" s="6" t="n"/>
      <c r="F13" s="6" t="n"/>
      <c r="G13" s="6" t="n"/>
      <c r="H13" s="6" t="n"/>
      <c r="I13" s="6" t="n"/>
      <c r="J13" s="6" t="n"/>
      <c r="K13" s="6" t="n"/>
      <c r="L13" s="6" t="n"/>
      <c r="M13" s="6" t="n"/>
    </row>
    <row r="14">
      <c r="A14" s="6" t="inlineStr">
        <is>
          <t>Dissolution of subsidiary</t>
        </is>
      </c>
      <c r="B14" s="6" t="n"/>
      <c r="C14" s="6" t="n"/>
      <c r="D14" s="6" t="n"/>
      <c r="E14" s="6" t="n"/>
      <c r="F14" s="6" t="n"/>
      <c r="G14" s="6" t="n">
        <v>10</v>
      </c>
      <c r="H14" s="6" t="n"/>
      <c r="I14" s="6" t="n"/>
      <c r="J14" s="6" t="n"/>
      <c r="K14" s="6" t="n"/>
      <c r="L14" s="6" t="n"/>
      <c r="M14" s="6" t="n"/>
    </row>
    <row r="15">
      <c r="A15" s="6" t="inlineStr">
        <is>
          <t>Collection of previously written off debt</t>
        </is>
      </c>
      <c r="B15" s="6" t="n"/>
      <c r="C15" s="6" t="n"/>
      <c r="D15" s="6" t="n"/>
      <c r="E15" s="6" t="n"/>
      <c r="F15" s="6" t="n"/>
      <c r="G15" s="6" t="n"/>
      <c r="H15" s="6" t="n"/>
      <c r="I15" s="6" t="n"/>
      <c r="J15" s="6" t="n">
        <v>249</v>
      </c>
      <c r="K15" s="6" t="n"/>
      <c r="L15" s="6" t="n"/>
      <c r="M15" s="6" t="n"/>
    </row>
    <row r="16">
      <c r="A16" s="6" t="inlineStr">
        <is>
          <t>Lease interest</t>
        </is>
      </c>
      <c r="B16" s="6" t="n">
        <v>877</v>
      </c>
      <c r="C16" s="6" t="n">
        <v>946</v>
      </c>
      <c r="D16" s="6" t="n">
        <v>937</v>
      </c>
      <c r="E16" s="6" t="n">
        <v>81</v>
      </c>
      <c r="F16" s="6" t="n">
        <v>29</v>
      </c>
      <c r="G16" s="6" t="n">
        <v>18</v>
      </c>
      <c r="H16" s="6" t="n">
        <v>8</v>
      </c>
      <c r="I16" s="6" t="n"/>
      <c r="J16" s="6" t="n"/>
      <c r="K16" s="6" t="n"/>
      <c r="L16" s="6" t="n"/>
      <c r="M16" s="6" t="n"/>
    </row>
    <row r="17">
      <c r="A17" s="6" t="inlineStr">
        <is>
          <t>Interest expense on subordinated loan(s)</t>
        </is>
      </c>
      <c r="B17" s="6" t="n">
        <v>4218</v>
      </c>
      <c r="C17" s="6" t="n">
        <v>1851</v>
      </c>
      <c r="D17" s="6" t="n">
        <v>783</v>
      </c>
      <c r="E17" s="6" t="n">
        <v>2328</v>
      </c>
      <c r="F17" s="6" t="n">
        <v>2400</v>
      </c>
      <c r="G17" s="6" t="n">
        <v>2406</v>
      </c>
      <c r="H17" s="6" t="n">
        <v>2400</v>
      </c>
      <c r="I17" s="6" t="n">
        <v>2500</v>
      </c>
      <c r="J17" s="6" t="n">
        <v>949</v>
      </c>
      <c r="K17" s="6" t="n">
        <v>2264</v>
      </c>
      <c r="L17" s="6" t="n">
        <v>2272</v>
      </c>
      <c r="M17" s="6" t="n">
        <v>2262</v>
      </c>
    </row>
    <row r="18">
      <c r="A18" s="6" t="inlineStr">
        <is>
          <t>Interest income on asset-backed securities (accrual adjustment)</t>
        </is>
      </c>
      <c r="B18" s="6" t="n">
        <v>-21020</v>
      </c>
      <c r="C18" s="6" t="n">
        <v>-11703</v>
      </c>
      <c r="D18" s="6" t="n">
        <v>-5667</v>
      </c>
      <c r="E18" s="6" t="n">
        <v>-2570</v>
      </c>
      <c r="F18" s="6" t="n">
        <v>-76</v>
      </c>
      <c r="G18" s="6" t="n"/>
      <c r="H18" s="6" t="n"/>
      <c r="I18" s="6" t="n"/>
      <c r="J18" s="6" t="n"/>
      <c r="K18" s="6" t="n"/>
      <c r="L18" s="6" t="n"/>
      <c r="M18" s="6" t="n"/>
    </row>
    <row r="19">
      <c r="A19" s="6" t="inlineStr">
        <is>
          <t>Amortisation of issuance costs relating to subordinated loan(s)</t>
        </is>
      </c>
      <c r="B19" s="6" t="n">
        <v>-76</v>
      </c>
      <c r="C19" s="6" t="n">
        <v>34</v>
      </c>
      <c r="D19" s="6" t="n">
        <v>21</v>
      </c>
      <c r="E19" s="6" t="n"/>
      <c r="F19" s="6" t="n">
        <v>125</v>
      </c>
      <c r="G19" s="6" t="n">
        <v>115</v>
      </c>
      <c r="H19" s="6" t="n">
        <v>105</v>
      </c>
      <c r="I19" s="6" t="n">
        <v>100</v>
      </c>
      <c r="J19" s="6" t="n"/>
      <c r="K19" s="6" t="n"/>
      <c r="L19" s="6" t="n"/>
      <c r="M19" s="6" t="n"/>
    </row>
    <row r="20">
      <c r="A20" s="6" t="inlineStr">
        <is>
          <t>Interest paid on lease liabilities (accrual adjustment)</t>
        </is>
      </c>
      <c r="B20" s="6" t="n">
        <v>-839</v>
      </c>
      <c r="C20" s="6" t="n"/>
      <c r="D20" s="6" t="n"/>
      <c r="E20" s="6" t="n"/>
      <c r="F20" s="6" t="n"/>
      <c r="G20" s="6" t="n"/>
      <c r="H20" s="6" t="n"/>
      <c r="I20" s="6" t="n"/>
      <c r="J20" s="6" t="n"/>
      <c r="K20" s="6" t="n"/>
      <c r="L20" s="6" t="n"/>
      <c r="M20" s="6" t="n"/>
    </row>
    <row r="21">
      <c r="A21" s="6" t="inlineStr">
        <is>
          <t>Tax paid</t>
        </is>
      </c>
      <c r="B21" s="6" t="n">
        <v>-13475</v>
      </c>
      <c r="C21" s="6" t="n">
        <v>-6580</v>
      </c>
      <c r="D21" s="6" t="n">
        <v>-17052</v>
      </c>
      <c r="E21" s="6" t="n">
        <v>-9937</v>
      </c>
      <c r="F21" s="6" t="n">
        <v>-6409</v>
      </c>
      <c r="G21" s="6" t="n">
        <v>-5255</v>
      </c>
      <c r="H21" s="6" t="n">
        <v>-2087</v>
      </c>
      <c r="I21" s="6" t="n">
        <v>-1613</v>
      </c>
      <c r="J21" s="6" t="n">
        <v>-820</v>
      </c>
      <c r="K21" s="6" t="n">
        <v>998</v>
      </c>
      <c r="L21" s="6" t="n">
        <v>407</v>
      </c>
      <c r="M21" s="6" t="n">
        <v>0</v>
      </c>
    </row>
    <row r="22">
      <c r="A22" s="6" t="inlineStr">
        <is>
          <t>Foreign exchange losses/(gains)</t>
        </is>
      </c>
      <c r="B22" s="6" t="n">
        <v>677</v>
      </c>
      <c r="C22" s="6" t="n">
        <v>-711</v>
      </c>
      <c r="D22" s="6" t="n">
        <v>-42</v>
      </c>
      <c r="E22" s="6" t="n">
        <v>977</v>
      </c>
      <c r="F22" s="6" t="n">
        <v>68</v>
      </c>
      <c r="G22" s="6" t="n"/>
      <c r="H22" s="6" t="n">
        <v>-424</v>
      </c>
      <c r="I22" s="6" t="n">
        <v>-285</v>
      </c>
      <c r="J22" s="6" t="n">
        <v>-302</v>
      </c>
      <c r="K22" s="6" t="n"/>
      <c r="L22" s="6" t="n"/>
      <c r="M22" s="6" t="n"/>
    </row>
    <row r="23">
      <c r="A23" s="6" t="inlineStr">
        <is>
          <t>Foreign exchange and fair value losses/(gains) on derivative instruments (combined, as reported)</t>
        </is>
      </c>
      <c r="B23" s="6" t="n"/>
      <c r="C23" s="6" t="n"/>
      <c r="D23" s="6" t="n"/>
      <c r="E23" s="6" t="n"/>
      <c r="F23" s="6" t="n"/>
      <c r="G23" s="6" t="n">
        <v>446</v>
      </c>
      <c r="H23" s="6" t="n"/>
      <c r="I23" s="6" t="n"/>
      <c r="J23" s="6" t="n"/>
      <c r="K23" s="6" t="n"/>
      <c r="L23" s="6" t="n"/>
      <c r="M23" s="6" t="n"/>
    </row>
    <row r="24">
      <c r="A24" s="6" t="inlineStr">
        <is>
          <t>Fair value (gains)/losses on derivative/hedging instruments</t>
        </is>
      </c>
      <c r="B24" s="6" t="n">
        <v>-544</v>
      </c>
      <c r="C24" s="6" t="n">
        <v>204</v>
      </c>
      <c r="D24" s="6" t="n">
        <v>-2111</v>
      </c>
      <c r="E24" s="6" t="n">
        <v>-3983</v>
      </c>
      <c r="F24" s="6" t="n"/>
      <c r="G24" s="6" t="n"/>
      <c r="H24" s="6" t="n"/>
      <c r="I24" s="6" t="n"/>
      <c r="J24" s="6" t="n"/>
      <c r="K24" s="6" t="n"/>
      <c r="L24" s="6" t="n"/>
      <c r="M24" s="6" t="n"/>
    </row>
    <row r="25">
      <c r="A25" s="5" t="inlineStr">
        <is>
          <t>Changes in operating assets</t>
        </is>
      </c>
      <c r="B25" s="6" t="n"/>
      <c r="C25" s="6" t="n"/>
      <c r="D25" s="6" t="n"/>
      <c r="E25" s="6" t="n"/>
      <c r="F25" s="6" t="n"/>
      <c r="G25" s="6" t="n"/>
      <c r="H25" s="6" t="n"/>
      <c r="I25" s="6" t="n"/>
      <c r="J25" s="6" t="n"/>
      <c r="K25" s="6" t="n"/>
      <c r="L25" s="6" t="n"/>
      <c r="M25" s="6" t="n"/>
    </row>
    <row r="26">
      <c r="A26" s="6" t="inlineStr">
        <is>
          <t>Mandatory deposits with central bank</t>
        </is>
      </c>
      <c r="B26" s="6" t="n">
        <v>0</v>
      </c>
      <c r="C26" s="6" t="n">
        <v>9348</v>
      </c>
      <c r="D26" s="6" t="n">
        <v>-549</v>
      </c>
      <c r="E26" s="6" t="n">
        <v>-1576</v>
      </c>
      <c r="F26" s="6" t="n">
        <v>-1491</v>
      </c>
      <c r="G26" s="6" t="n">
        <v>-1969</v>
      </c>
      <c r="H26" s="6" t="n">
        <v>-1081</v>
      </c>
      <c r="I26" s="6" t="n">
        <v>-1621</v>
      </c>
      <c r="J26" s="6" t="n">
        <v>-464</v>
      </c>
      <c r="K26" s="6" t="n">
        <v>-258</v>
      </c>
      <c r="L26" s="6" t="n"/>
      <c r="M26" s="6" t="n">
        <v>0</v>
      </c>
    </row>
    <row r="27">
      <c r="A27" s="6" t="inlineStr">
        <is>
          <t>Loans and advances to customers</t>
        </is>
      </c>
      <c r="B27" s="6" t="n">
        <v>-545166</v>
      </c>
      <c r="C27" s="6" t="n">
        <v>-90320</v>
      </c>
      <c r="D27" s="6" t="n">
        <v>-313908</v>
      </c>
      <c r="E27" s="6" t="n">
        <v>-313752</v>
      </c>
      <c r="F27" s="6" t="n">
        <v>-341012</v>
      </c>
      <c r="G27" s="6" t="n">
        <v>-354567</v>
      </c>
      <c r="H27" s="6" t="n">
        <v>-595750</v>
      </c>
      <c r="I27" s="6" t="n">
        <v>-261849</v>
      </c>
      <c r="J27" s="6" t="n">
        <v>-323808</v>
      </c>
      <c r="K27" s="6" t="n">
        <v>-259271</v>
      </c>
      <c r="L27" s="6" t="n">
        <v>-201878</v>
      </c>
      <c r="M27" s="6" t="n">
        <v>-64908</v>
      </c>
    </row>
    <row r="28">
      <c r="A28" s="6" t="inlineStr">
        <is>
          <t>Other assets</t>
        </is>
      </c>
      <c r="B28" s="6" t="n">
        <v>-11434</v>
      </c>
      <c r="C28" s="6" t="n">
        <v>38737</v>
      </c>
      <c r="D28" s="6" t="n">
        <v>-41284</v>
      </c>
      <c r="E28" s="6" t="n">
        <v>-23449</v>
      </c>
      <c r="F28" s="6" t="n">
        <v>-225</v>
      </c>
      <c r="G28" s="6" t="n">
        <v>1647</v>
      </c>
      <c r="H28" s="6" t="n">
        <v>10869</v>
      </c>
      <c r="I28" s="6" t="n">
        <v>18440</v>
      </c>
      <c r="J28" s="6" t="n">
        <v>-32309</v>
      </c>
      <c r="K28" s="6" t="n">
        <v>-366</v>
      </c>
      <c r="L28" s="6" t="n">
        <v>70</v>
      </c>
      <c r="M28" s="6" t="n">
        <v>-58</v>
      </c>
    </row>
    <row r="29">
      <c r="A29" s="6" t="inlineStr">
        <is>
          <t>Derivative assets</t>
        </is>
      </c>
      <c r="B29" s="6" t="n">
        <v>4299</v>
      </c>
      <c r="C29" s="6" t="n">
        <v>-2096</v>
      </c>
      <c r="D29" s="6" t="n">
        <v>10003</v>
      </c>
      <c r="E29" s="6" t="n">
        <v>-12350</v>
      </c>
      <c r="F29" s="6" t="n">
        <v>-23</v>
      </c>
      <c r="G29" s="6" t="n">
        <v>451</v>
      </c>
      <c r="H29" s="6" t="n"/>
      <c r="I29" s="6" t="n"/>
      <c r="J29" s="6" t="n"/>
      <c r="K29" s="6" t="n"/>
      <c r="L29" s="6" t="n"/>
      <c r="M29" s="6" t="n"/>
    </row>
    <row r="30">
      <c r="A30" s="6" t="inlineStr">
        <is>
          <t>Accrued income and prepaid expenses</t>
        </is>
      </c>
      <c r="B30" s="6" t="n"/>
      <c r="C30" s="6" t="n"/>
      <c r="D30" s="6" t="n"/>
      <c r="E30" s="6" t="n">
        <v>-4072</v>
      </c>
      <c r="F30" s="6" t="n">
        <v>-6391</v>
      </c>
      <c r="G30" s="6" t="n">
        <v>-744</v>
      </c>
      <c r="H30" s="6" t="n">
        <v>-602</v>
      </c>
      <c r="I30" s="6" t="n">
        <v>-328</v>
      </c>
      <c r="J30" s="6" t="n">
        <v>235</v>
      </c>
      <c r="K30" s="6" t="n">
        <v>-338</v>
      </c>
      <c r="L30" s="6" t="n">
        <v>-362</v>
      </c>
      <c r="M30" s="6" t="n">
        <v>248</v>
      </c>
    </row>
    <row r="31">
      <c r="A31" s="6" t="inlineStr">
        <is>
          <t>Proceeds from sale of financial assets</t>
        </is>
      </c>
      <c r="B31" s="6" t="n">
        <v>76687</v>
      </c>
      <c r="C31" s="6" t="n"/>
      <c r="D31" s="6" t="n"/>
      <c r="E31" s="6" t="n"/>
      <c r="F31" s="6" t="n"/>
      <c r="G31" s="6" t="n"/>
      <c r="H31" s="6" t="n"/>
      <c r="I31" s="6" t="n"/>
      <c r="J31" s="6" t="n"/>
      <c r="K31" s="6" t="n"/>
      <c r="L31" s="6" t="n"/>
      <c r="M31" s="6" t="n"/>
    </row>
    <row r="32">
      <c r="A32" s="5" t="inlineStr">
        <is>
          <t>Changes in operating liabilities</t>
        </is>
      </c>
      <c r="B32" s="6" t="n"/>
      <c r="C32" s="6" t="n"/>
      <c r="D32" s="6" t="n"/>
      <c r="E32" s="6" t="n"/>
      <c r="F32" s="6" t="n"/>
      <c r="G32" s="6" t="n"/>
      <c r="H32" s="6" t="n"/>
      <c r="I32" s="6" t="n"/>
      <c r="J32" s="6" t="n"/>
      <c r="K32" s="6" t="n"/>
      <c r="L32" s="6" t="n"/>
      <c r="M32" s="6" t="n"/>
    </row>
    <row r="33">
      <c r="A33" s="6" t="inlineStr">
        <is>
          <t>Customer and bank deposits</t>
        </is>
      </c>
      <c r="B33" s="6" t="n">
        <v>423044</v>
      </c>
      <c r="C33" s="6" t="n">
        <v>455246</v>
      </c>
      <c r="D33" s="6" t="n">
        <v>391092</v>
      </c>
      <c r="E33" s="6" t="n">
        <v>493923</v>
      </c>
      <c r="F33" s="6" t="n">
        <v>540317</v>
      </c>
      <c r="G33" s="6" t="n">
        <v>439631</v>
      </c>
      <c r="H33" s="6" t="n">
        <v>489847</v>
      </c>
      <c r="I33" s="6" t="n">
        <v>105920</v>
      </c>
      <c r="J33" s="6" t="n">
        <v>398877</v>
      </c>
      <c r="K33" s="6" t="n">
        <v>207610</v>
      </c>
      <c r="L33" s="6" t="n">
        <v>84697</v>
      </c>
      <c r="M33" s="6" t="n">
        <v>-23721</v>
      </c>
    </row>
    <row r="34">
      <c r="A34" s="6" t="inlineStr">
        <is>
          <t>Derivative liabilities</t>
        </is>
      </c>
      <c r="B34" s="6" t="n">
        <v>3085</v>
      </c>
      <c r="C34" s="6" t="n">
        <v>-20896</v>
      </c>
      <c r="D34" s="6" t="n">
        <v>28536</v>
      </c>
      <c r="E34" s="6" t="n">
        <v>3409</v>
      </c>
      <c r="F34" s="6" t="n">
        <v>-344</v>
      </c>
      <c r="G34" s="6" t="n">
        <v>99</v>
      </c>
      <c r="H34" s="6" t="n"/>
      <c r="I34" s="6" t="n"/>
      <c r="J34" s="6" t="n"/>
      <c r="K34" s="6" t="n"/>
      <c r="L34" s="6" t="n"/>
      <c r="M34" s="6" t="n"/>
    </row>
    <row r="35">
      <c r="A35" s="6" t="inlineStr">
        <is>
          <t>Other liabilities</t>
        </is>
      </c>
      <c r="B35" s="6" t="n">
        <v>2517</v>
      </c>
      <c r="C35" s="6" t="n">
        <v>8019</v>
      </c>
      <c r="D35" s="6" t="n">
        <v>13796</v>
      </c>
      <c r="E35" s="6" t="n">
        <v>4916</v>
      </c>
      <c r="F35" s="6" t="n">
        <v>-213</v>
      </c>
      <c r="G35" s="6" t="n"/>
      <c r="H35" s="6" t="n"/>
      <c r="I35" s="6" t="n"/>
      <c r="J35" s="6" t="n"/>
      <c r="K35" s="6" t="n">
        <v>11495</v>
      </c>
      <c r="L35" s="6" t="n">
        <v>-97</v>
      </c>
      <c r="M35" s="6" t="n">
        <v>-1903</v>
      </c>
    </row>
    <row r="36">
      <c r="A36" s="6" t="inlineStr">
        <is>
          <t>Other liabilities and provision for customer redress (combined, as reported)</t>
        </is>
      </c>
      <c r="B36" s="6" t="n"/>
      <c r="C36" s="6" t="n"/>
      <c r="D36" s="6" t="n"/>
      <c r="E36" s="6" t="n"/>
      <c r="F36" s="6" t="n"/>
      <c r="G36" s="6" t="n">
        <v>-4128</v>
      </c>
      <c r="H36" s="6" t="n">
        <v>-8240</v>
      </c>
      <c r="I36" s="6" t="n">
        <v>-29349</v>
      </c>
      <c r="J36" s="6" t="n">
        <v>27381</v>
      </c>
      <c r="K36" s="6" t="n"/>
      <c r="L36" s="6" t="n"/>
      <c r="M36" s="6" t="n"/>
    </row>
    <row r="37">
      <c r="A37" s="6" t="inlineStr">
        <is>
          <t>Accrued expenses</t>
        </is>
      </c>
      <c r="B37" s="6" t="n"/>
      <c r="C37" s="6" t="n"/>
      <c r="D37" s="6" t="n"/>
      <c r="E37" s="6" t="n">
        <v>1290</v>
      </c>
      <c r="F37" s="6" t="n">
        <v>8305</v>
      </c>
      <c r="G37" s="6" t="n">
        <v>3329</v>
      </c>
      <c r="H37" s="6" t="n">
        <v>2908</v>
      </c>
      <c r="I37" s="6" t="n">
        <v>1024</v>
      </c>
      <c r="J37" s="6" t="n">
        <v>2627</v>
      </c>
      <c r="K37" s="6" t="n">
        <v>666</v>
      </c>
      <c r="L37" s="6" t="n">
        <v>1099</v>
      </c>
      <c r="M37" s="6" t="n">
        <v>295</v>
      </c>
    </row>
    <row r="38">
      <c r="A38" s="5" t="inlineStr">
        <is>
          <t>Net cash flow generated from/(used in) operating activities</t>
        </is>
      </c>
      <c r="B38" s="5" t="n">
        <v>-17143</v>
      </c>
      <c r="C38" s="5" t="n">
        <v>445559</v>
      </c>
      <c r="D38" s="5" t="n">
        <v>130953</v>
      </c>
      <c r="E38" s="5" t="n">
        <v>190786</v>
      </c>
      <c r="F38" s="5" t="n">
        <v>234303</v>
      </c>
      <c r="G38" s="5" t="n">
        <v>117909</v>
      </c>
      <c r="H38" s="5" t="n">
        <v>-83910</v>
      </c>
      <c r="I38" s="5" t="n">
        <v>-157299</v>
      </c>
      <c r="J38" s="5" t="n">
        <v>75543</v>
      </c>
      <c r="K38" s="5" t="n">
        <v>-44784</v>
      </c>
      <c r="L38" s="5" t="n">
        <v>-108406</v>
      </c>
      <c r="M38" s="5" t="n">
        <v>-85437</v>
      </c>
    </row>
    <row r="39">
      <c r="A39" s="5" t="inlineStr">
        <is>
          <t>Investing activities</t>
        </is>
      </c>
      <c r="B39" s="6" t="n"/>
      <c r="C39" s="6" t="n"/>
      <c r="D39" s="6" t="n"/>
      <c r="E39" s="6" t="n"/>
      <c r="F39" s="6" t="n"/>
      <c r="G39" s="6" t="n"/>
      <c r="H39" s="6" t="n"/>
      <c r="I39" s="6" t="n"/>
      <c r="J39" s="6" t="n"/>
      <c r="K39" s="6" t="n"/>
      <c r="L39" s="6" t="n"/>
      <c r="M39" s="6" t="n"/>
    </row>
    <row r="40">
      <c r="A40" s="6" t="inlineStr">
        <is>
          <t>Purchase of property and equipment</t>
        </is>
      </c>
      <c r="B40" s="6" t="n">
        <v>-204</v>
      </c>
      <c r="C40" s="6" t="n">
        <v>-398</v>
      </c>
      <c r="D40" s="6" t="n">
        <v>-3343</v>
      </c>
      <c r="E40" s="6" t="n">
        <v>-877</v>
      </c>
      <c r="F40" s="6" t="n">
        <v>-72</v>
      </c>
      <c r="G40" s="6" t="n">
        <v>-230</v>
      </c>
      <c r="H40" s="6" t="n">
        <v>-387</v>
      </c>
      <c r="I40" s="6" t="n">
        <v>-1281</v>
      </c>
      <c r="J40" s="6" t="n">
        <v>-268</v>
      </c>
      <c r="K40" s="6" t="n">
        <v>-380</v>
      </c>
      <c r="L40" s="6" t="n">
        <v>-178</v>
      </c>
      <c r="M40" s="6" t="n">
        <v>-227</v>
      </c>
    </row>
    <row r="41">
      <c r="A41" s="6" t="inlineStr">
        <is>
          <t>Purchase of intangible assets</t>
        </is>
      </c>
      <c r="B41" s="6" t="n">
        <v>-25325</v>
      </c>
      <c r="C41" s="6" t="n">
        <v>-21721</v>
      </c>
      <c r="D41" s="6" t="n">
        <v>-27176</v>
      </c>
      <c r="E41" s="6" t="n">
        <v>-6048</v>
      </c>
      <c r="F41" s="6" t="n">
        <v>-9230</v>
      </c>
      <c r="G41" s="6" t="n">
        <v>-12992</v>
      </c>
      <c r="H41" s="6" t="n">
        <v>-8400</v>
      </c>
      <c r="I41" s="6" t="n">
        <v>-1366</v>
      </c>
      <c r="J41" s="6" t="n">
        <v>-1352</v>
      </c>
      <c r="K41" s="6" t="n">
        <v>-654</v>
      </c>
      <c r="L41" s="6" t="n">
        <v>-364</v>
      </c>
      <c r="M41" s="6" t="n">
        <v>-539</v>
      </c>
    </row>
    <row r="42">
      <c r="A42" s="6" t="inlineStr">
        <is>
          <t>Purchase of asset-backed/debt securities</t>
        </is>
      </c>
      <c r="B42" s="6" t="n">
        <v>-484349</v>
      </c>
      <c r="C42" s="6" t="n">
        <v>-149500</v>
      </c>
      <c r="D42" s="6" t="n">
        <v>-76396</v>
      </c>
      <c r="E42" s="6" t="n"/>
      <c r="F42" s="6" t="n"/>
      <c r="G42" s="6" t="n"/>
      <c r="H42" s="6" t="n"/>
      <c r="I42" s="6" t="n"/>
      <c r="J42" s="6" t="n"/>
      <c r="K42" s="6" t="n"/>
      <c r="L42" s="6" t="n"/>
      <c r="M42" s="6" t="n"/>
    </row>
    <row r="43">
      <c r="A43" s="6" t="inlineStr">
        <is>
          <t>Redemption of asset-backed/debt securities</t>
        </is>
      </c>
      <c r="B43" s="6" t="n">
        <v>26952</v>
      </c>
      <c r="C43" s="6" t="n">
        <v>35836</v>
      </c>
      <c r="D43" s="6" t="n">
        <v>67893</v>
      </c>
      <c r="E43" s="6" t="n"/>
      <c r="F43" s="6" t="n"/>
      <c r="G43" s="6" t="n"/>
      <c r="H43" s="6" t="n"/>
      <c r="I43" s="6" t="n"/>
      <c r="J43" s="6" t="n"/>
      <c r="K43" s="6" t="n"/>
      <c r="L43" s="6" t="n"/>
      <c r="M43" s="6" t="n"/>
    </row>
    <row r="44">
      <c r="A44" s="6" t="inlineStr">
        <is>
          <t>Redemption/(purchase) of asset-backed securities (combined, as reported)</t>
        </is>
      </c>
      <c r="B44" s="6" t="n"/>
      <c r="C44" s="6" t="n"/>
      <c r="D44" s="6" t="n"/>
      <c r="E44" s="6" t="n">
        <v>26975</v>
      </c>
      <c r="F44" s="6" t="n">
        <v>-137782</v>
      </c>
      <c r="G44" s="6" t="n"/>
      <c r="H44" s="6" t="n"/>
      <c r="I44" s="6" t="n"/>
      <c r="J44" s="6" t="n"/>
      <c r="K44" s="6" t="n"/>
      <c r="L44" s="6" t="n"/>
      <c r="M44" s="6" t="n"/>
    </row>
    <row r="45">
      <c r="A45" s="6" t="inlineStr">
        <is>
          <t>Interest received on asset-backed securities</t>
        </is>
      </c>
      <c r="B45" s="6" t="n">
        <v>17692</v>
      </c>
      <c r="C45" s="6" t="n"/>
      <c r="D45" s="6" t="n"/>
      <c r="E45" s="6" t="n"/>
      <c r="F45" s="6" t="n"/>
      <c r="G45" s="6" t="n"/>
      <c r="H45" s="6" t="n"/>
      <c r="I45" s="6" t="n"/>
      <c r="J45" s="6" t="n"/>
      <c r="K45" s="6" t="n"/>
      <c r="L45" s="6" t="n"/>
      <c r="M45" s="6" t="n"/>
    </row>
    <row r="46">
      <c r="A46" s="6" t="inlineStr">
        <is>
          <t>Proceeds of sale of investment</t>
        </is>
      </c>
      <c r="B46" s="6" t="n"/>
      <c r="C46" s="6" t="n"/>
      <c r="D46" s="6" t="n"/>
      <c r="E46" s="6" t="n"/>
      <c r="F46" s="6" t="n"/>
      <c r="G46" s="6" t="n"/>
      <c r="H46" s="6" t="n"/>
      <c r="I46" s="6" t="n">
        <v>390</v>
      </c>
      <c r="J46" s="6" t="n"/>
      <c r="K46" s="6" t="n"/>
      <c r="L46" s="6" t="n"/>
      <c r="M46" s="6" t="n"/>
    </row>
    <row r="47">
      <c r="A47" s="6" t="inlineStr">
        <is>
          <t>Proceeds from sale of property</t>
        </is>
      </c>
      <c r="B47" s="6" t="n">
        <v>5904</v>
      </c>
      <c r="C47" s="6" t="n"/>
      <c r="D47" s="6" t="n"/>
      <c r="E47" s="6" t="n">
        <v>16370</v>
      </c>
      <c r="F47" s="6" t="n"/>
      <c r="G47" s="6" t="n">
        <v>531</v>
      </c>
      <c r="H47" s="6" t="n"/>
      <c r="I47" s="6" t="n"/>
      <c r="J47" s="6" t="n"/>
      <c r="K47" s="6" t="n"/>
      <c r="L47" s="6" t="n"/>
      <c r="M47" s="6" t="n"/>
    </row>
    <row r="48">
      <c r="A48" s="5" t="inlineStr">
        <is>
          <t>Net cash flow generated from/(used in) investing activities</t>
        </is>
      </c>
      <c r="B48" s="5" t="n">
        <v>-459330</v>
      </c>
      <c r="C48" s="5" t="n">
        <v>-135783</v>
      </c>
      <c r="D48" s="5" t="n">
        <v>-39022</v>
      </c>
      <c r="E48" s="5" t="n">
        <v>36420</v>
      </c>
      <c r="F48" s="5" t="n">
        <v>-147084</v>
      </c>
      <c r="G48" s="5" t="n">
        <v>-12691</v>
      </c>
      <c r="H48" s="5" t="n">
        <v>-8787</v>
      </c>
      <c r="I48" s="5" t="n">
        <v>-2257</v>
      </c>
      <c r="J48" s="5" t="n">
        <v>-1620</v>
      </c>
      <c r="K48" s="5" t="n">
        <v>-1034</v>
      </c>
      <c r="L48" s="5" t="n">
        <v>-542</v>
      </c>
      <c r="M48" s="5" t="n">
        <v>-766</v>
      </c>
    </row>
    <row r="49">
      <c r="A49" s="5" t="inlineStr">
        <is>
          <t>Financing activities</t>
        </is>
      </c>
      <c r="B49" s="6" t="n"/>
      <c r="C49" s="6" t="n"/>
      <c r="D49" s="6" t="n"/>
      <c r="E49" s="6" t="n"/>
      <c r="F49" s="6" t="n"/>
      <c r="G49" s="6" t="n"/>
      <c r="H49" s="6" t="n"/>
      <c r="I49" s="6" t="n"/>
      <c r="J49" s="6" t="n"/>
      <c r="K49" s="6" t="n"/>
      <c r="L49" s="6" t="n"/>
      <c r="M49" s="6" t="n"/>
    </row>
    <row r="50">
      <c r="A50" s="6" t="inlineStr">
        <is>
          <t>Proceeds from issuance of new share capital</t>
        </is>
      </c>
      <c r="B50" s="6" t="n"/>
      <c r="C50" s="6" t="n"/>
      <c r="D50" s="6" t="n"/>
      <c r="E50" s="6" t="n">
        <v>47000</v>
      </c>
      <c r="F50" s="6" t="n"/>
      <c r="G50" s="6" t="n">
        <v>9000</v>
      </c>
      <c r="H50" s="6" t="n">
        <v>15000</v>
      </c>
      <c r="I50" s="6" t="n">
        <v>20000</v>
      </c>
      <c r="J50" s="6" t="n">
        <v>16000</v>
      </c>
      <c r="K50" s="6" t="n"/>
      <c r="L50" s="6" t="n"/>
      <c r="M50" s="6" t="n"/>
    </row>
    <row r="51">
      <c r="A51" s="6" t="inlineStr">
        <is>
          <t>Proceeds from issuance of subordinated loan(s)</t>
        </is>
      </c>
      <c r="B51" s="6" t="n">
        <v>35000</v>
      </c>
      <c r="C51" s="6" t="n"/>
      <c r="D51" s="6" t="n">
        <v>14826</v>
      </c>
      <c r="E51" s="6" t="n"/>
      <c r="F51" s="6" t="n"/>
      <c r="G51" s="6" t="n"/>
      <c r="H51" s="6" t="n"/>
      <c r="I51" s="6" t="n"/>
      <c r="J51" s="6" t="n">
        <v>29464</v>
      </c>
      <c r="K51" s="6" t="n"/>
      <c r="L51" s="6" t="n"/>
      <c r="M51" s="6" t="n"/>
    </row>
    <row r="52">
      <c r="A52" s="6" t="inlineStr">
        <is>
          <t>(Decrease)/increase in subordinated loan</t>
        </is>
      </c>
      <c r="B52" s="6" t="n"/>
      <c r="C52" s="6" t="n"/>
      <c r="D52" s="6" t="n"/>
      <c r="E52" s="6" t="n"/>
      <c r="F52" s="6" t="n"/>
      <c r="G52" s="6" t="n"/>
      <c r="H52" s="6" t="n"/>
      <c r="I52" s="6" t="n">
        <v>-43</v>
      </c>
      <c r="J52" s="6" t="n"/>
      <c r="K52" s="6" t="n"/>
      <c r="L52" s="6" t="n"/>
      <c r="M52" s="6" t="n"/>
    </row>
    <row r="53">
      <c r="A53" s="6" t="inlineStr">
        <is>
          <t>Capital repayment from finance lease obligations</t>
        </is>
      </c>
      <c r="B53" s="6" t="n">
        <v>-1487</v>
      </c>
      <c r="C53" s="6" t="n">
        <v>-2292</v>
      </c>
      <c r="D53" s="6" t="n">
        <v>-1125</v>
      </c>
      <c r="E53" s="6" t="n">
        <v>34</v>
      </c>
      <c r="F53" s="6" t="n">
        <v>-238</v>
      </c>
      <c r="G53" s="6" t="n">
        <v>-166</v>
      </c>
      <c r="H53" s="6" t="n">
        <v>-58</v>
      </c>
      <c r="I53" s="6" t="n"/>
      <c r="J53" s="6" t="n"/>
      <c r="K53" s="6" t="n"/>
      <c r="L53" s="6" t="n"/>
      <c r="M53" s="6" t="n"/>
    </row>
    <row r="54">
      <c r="A54" s="6" t="inlineStr">
        <is>
          <t>Interest paid on subordinated loan(s)</t>
        </is>
      </c>
      <c r="B54" s="6" t="n">
        <v>-4032</v>
      </c>
      <c r="C54" s="6" t="n"/>
      <c r="D54" s="6" t="n"/>
      <c r="E54" s="6" t="n"/>
      <c r="F54" s="6" t="n"/>
      <c r="G54" s="6" t="n"/>
      <c r="H54" s="6" t="n"/>
      <c r="I54" s="6" t="n"/>
      <c r="J54" s="6" t="n">
        <v>-938</v>
      </c>
      <c r="K54" s="6" t="n">
        <v>-2265</v>
      </c>
      <c r="L54" s="6" t="n">
        <v>-2271</v>
      </c>
      <c r="M54" s="6" t="n">
        <v>-2256</v>
      </c>
    </row>
    <row r="55">
      <c r="A55" s="6" t="inlineStr">
        <is>
          <t>Dividend paid</t>
        </is>
      </c>
      <c r="B55" s="6" t="n"/>
      <c r="C55" s="6" t="n"/>
      <c r="D55" s="6" t="n"/>
      <c r="E55" s="6" t="n"/>
      <c r="F55" s="6" t="n"/>
      <c r="G55" s="6" t="n"/>
      <c r="H55" s="6" t="n">
        <v>-300</v>
      </c>
      <c r="I55" s="6" t="n"/>
      <c r="J55" s="6" t="n"/>
      <c r="K55" s="6" t="n"/>
      <c r="L55" s="6" t="n"/>
      <c r="M55" s="6" t="n"/>
    </row>
    <row r="56">
      <c r="A56" s="5" t="inlineStr">
        <is>
          <t>Net cash flow generated from/(used in) financing activities</t>
        </is>
      </c>
      <c r="B56" s="5" t="n">
        <v>29481</v>
      </c>
      <c r="C56" s="5" t="n">
        <v>-2292</v>
      </c>
      <c r="D56" s="5" t="n">
        <v>13701</v>
      </c>
      <c r="E56" s="5" t="n">
        <v>47034</v>
      </c>
      <c r="F56" s="5" t="n">
        <v>-238</v>
      </c>
      <c r="G56" s="5" t="n">
        <v>8834</v>
      </c>
      <c r="H56" s="5" t="n">
        <v>14642</v>
      </c>
      <c r="I56" s="5" t="n">
        <v>19957</v>
      </c>
      <c r="J56" s="5" t="n">
        <v>44526</v>
      </c>
      <c r="K56" s="5" t="n">
        <v>-2265</v>
      </c>
      <c r="L56" s="5" t="n">
        <v>-2271</v>
      </c>
      <c r="M56" s="5" t="n">
        <v>-2256</v>
      </c>
    </row>
    <row r="57">
      <c r="A57" s="5" t="inlineStr">
        <is>
          <t>Net (decrease)/increase in cash and cash equivalents for the year</t>
        </is>
      </c>
      <c r="B57" s="5" t="n">
        <v>-446992</v>
      </c>
      <c r="C57" s="5" t="n">
        <v>307484</v>
      </c>
      <c r="D57" s="5" t="n">
        <v>105632</v>
      </c>
      <c r="E57" s="5" t="n">
        <v>274240</v>
      </c>
      <c r="F57" s="5" t="n">
        <v>86981</v>
      </c>
      <c r="G57" s="5" t="n">
        <v>114052</v>
      </c>
      <c r="H57" s="5" t="n">
        <v>-78055</v>
      </c>
      <c r="I57" s="5" t="n">
        <v>-139599</v>
      </c>
      <c r="J57" s="5" t="n">
        <v>118449</v>
      </c>
      <c r="K57" s="5" t="n">
        <v>-48083</v>
      </c>
      <c r="L57" s="5" t="n">
        <v>-111119</v>
      </c>
      <c r="M57" s="5" t="n">
        <v>-88459</v>
      </c>
    </row>
    <row r="58">
      <c r="A58" s="6" t="inlineStr">
        <is>
          <t>Cash and cash equivalents at the beginning of the year</t>
        </is>
      </c>
      <c r="B58" s="6" t="n">
        <v>1058851</v>
      </c>
      <c r="C58" s="6" t="n">
        <v>751598</v>
      </c>
      <c r="D58" s="6" t="n">
        <v>646528</v>
      </c>
      <c r="E58" s="6" t="n">
        <v>372288</v>
      </c>
      <c r="F58" s="6" t="n">
        <v>285307</v>
      </c>
      <c r="G58" s="6" t="n">
        <v>171255</v>
      </c>
      <c r="H58" s="6" t="n">
        <v>249310</v>
      </c>
      <c r="I58" s="6" t="n">
        <v>388909</v>
      </c>
      <c r="J58" s="6" t="n">
        <v>268981</v>
      </c>
      <c r="K58" s="6" t="n">
        <v>308796</v>
      </c>
      <c r="L58" s="6" t="n">
        <v>422348</v>
      </c>
      <c r="M58" s="6" t="n">
        <v>511643</v>
      </c>
    </row>
    <row r="59">
      <c r="A59" s="6" t="inlineStr">
        <is>
          <t>Effects of exchange rate changes on cash and cash equivalents</t>
        </is>
      </c>
      <c r="B59" s="6" t="n">
        <v>44</v>
      </c>
      <c r="C59" s="6" t="n">
        <v>-231</v>
      </c>
      <c r="D59" s="6" t="n">
        <v>-562</v>
      </c>
      <c r="E59" s="6" t="n"/>
      <c r="F59" s="6" t="n"/>
      <c r="G59" s="6" t="n"/>
      <c r="H59" s="6" t="n"/>
      <c r="I59" s="6" t="n"/>
      <c r="J59" s="6" t="n">
        <v>1479</v>
      </c>
      <c r="K59" s="6" t="n">
        <v>8268</v>
      </c>
      <c r="L59" s="6" t="n">
        <v>-1994</v>
      </c>
      <c r="M59" s="6" t="n">
        <v>-836</v>
      </c>
    </row>
    <row r="60">
      <c r="A60" s="5" t="inlineStr">
        <is>
          <t>Cash and cash equivalents at the end of the year</t>
        </is>
      </c>
      <c r="B60" s="5" t="n">
        <v>611903</v>
      </c>
      <c r="C60" s="5" t="n">
        <v>1058851</v>
      </c>
      <c r="D60" s="5" t="n">
        <v>751598</v>
      </c>
      <c r="E60" s="5" t="n">
        <v>646528</v>
      </c>
      <c r="F60" s="5" t="n">
        <v>372288</v>
      </c>
      <c r="G60" s="5" t="n">
        <v>285307</v>
      </c>
      <c r="H60" s="5" t="n">
        <v>171255</v>
      </c>
      <c r="I60" s="5" t="n">
        <v>249310</v>
      </c>
      <c r="J60" s="5" t="n">
        <v>388909</v>
      </c>
      <c r="K60" s="5" t="n">
        <v>268981</v>
      </c>
      <c r="L60" s="5" t="n">
        <v>309135</v>
      </c>
      <c r="M60" s="5" t="n">
        <v>422348</v>
      </c>
    </row>
    <row r="62" ht="260" customHeight="1">
      <c r="A62" s="8" t="inlineStr">
        <is>
          <t>Sources - all figures are Cynergy Bank Plc's own Consolidated statement of cash flows, £'000:
FY2025 (&amp; FY2024 restated comparative, not used - see note): Cynergy Bank plc Annual Report &amp; Accounts 2025, p.54 (Consolidated and company statement of cash flows) - https://assets.ctfassets.net/xzmqg68ot16t/1aUkuB7BcAd8Pj5Kq0RNqh/101ced4af6be2d55cd37fad3542829b2/Cynergy_Bank_-_Annual_Report_2025.pdf
FY2024 (own, &amp; FY2023 comparative cross-checked): Cynergy Bank plc Annual Report &amp; Accounts 2024, p.87-88 (Consolidated and company statement of cash flows) - https://assets.ctfassets.net/xzmqg68ot16t/2AeSbXsBP7fwKhngGTLWxb/ca86e60128ab83d41842b85ae74aa326/Annual_Report_2024.pdf
FY2023 (own, &amp; FY2022 comparative cross-checked): Cynergy Bank Limited Annual Report &amp; Accounts 2023, p.93-94 (Consolidated and company statement of cash flows) - https://assets.ctfassets.net/xzmqg68ot16t/2oPLoaeUJ2c4kRJcNMSyMp/54230fc39821a0d6ede6f81f1c7528ce/Cynergy_Bank_Limited_-_Annual_Report_2023.pdf
FY2022 (own) &amp; FY2021 (comparative): Cynergy Bank Limited Annual Report &amp; Accounts 2022 (Companies House filing, scanned), p.95-96 (Consolidated and Company statement of cash flows) - https://find-and-update.company-information.service.gov.uk/company/04728421/filing-history/MzM3OTM0NzA5MmFkaXF6a2N4/document?format=pdf&amp;download=0
FY2020 (own): Cynergy Bank Limited Annual Report &amp; Accounts 2020 (Companies House filing, scanned), p.58-60 (Statement of cash flows) - https://find-and-update.company-information.service.gov.uk/company/04728421/filing-history/MzMwMTMwNjM2MWFkaXF6a2N4/document?format=pdf&amp;download=0
FY2019 (own): Cynergy Bank Limited Annual Report &amp; Accounts 2019 (Companies House filing, scanned), p.53-54 (Statement of cash flows) - https://find-and-update.company-information.service.gov.uk/company/04728421/filing-history/MzI2ODIzMzE4NmFkaXF6a2N4/document?format=pdf&amp;download=0
FY2018 (own): Cynergy Bank Limited Annual Report &amp; Accounts 2018 (Companies House filing, scanned), p.23 (Statement of cash flows, Company-only basis) - https://find-and-update.company-information.service.gov.uk/company/04728421/filing-history/MzI0NTUxMzA1N2FkaXF6a2N4/document?format=pdf&amp;download=0
FY2017 (own): Bank of Cyprus UK Limited Annual Report &amp; Accounts 2017 (Companies House filing, scanned), p.22 (Statement of cash flows, Company-only basis) - https://find-and-update.company-information.service.gov.uk/company/04728421/filing-history/MzIwNjAyOTg3MmFkaXF6a2N4/document?format=pdf&amp;download=0
FY2016 (own): Bank of Cyprus UK Limited Annual Report &amp; Accounts 2016 (Companies House filing, scanned), p.13 (Statement of cash flows, Company-only basis) - https://find-and-update.company-information.service.gov.uk/company/04728421/filing-history/MzE4MTU5MjQyMmFkaXF6a2N4/document?format=pdf&amp;download=0
FY2015 (own): Bank of Cyprus UK Limited Annual Report &amp; Accounts 2015 (Companies House filing, scanned), p.12 (Statement of cash flows, Company-only basis) - https://find-and-update.company-information.service.gov.uk/company/04728421/filing-history/MzE0NDMzNzcwNGFkaXF6a2N4/document?format=pdf&amp;download=0
FY2014 (own): Bank of Cyprus UK Limited Annual Report &amp; Accounts 2014 (Companies House filing, scanned), p.12 (Statement of cash flows, Company-only basis) - https://find-and-update.company-information.service.gov.uk/company/04728421/filing-history/MzEyMTQ1OTQ5MGFkaXF6a2N4/document?format=pdf&amp;download=0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t>
        </is>
      </c>
    </row>
  </sheetData>
  <mergeCells count="1">
    <mergeCell ref="A62:M6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Asset Quality</t>
        </is>
      </c>
    </row>
    <row r="2">
      <c r="A2" s="2" t="inlineStr">
        <is>
          <t>Consolidated (Company-only FY2014-2017) basis, £'000 (ratios as calculated), combining the Loans and Overdrafts credit risk note tables. Two methodology sections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IFRS 9 stage (Loans + Overdrafts; Consolidated FY2018-2025, Company-only FY2018 per that year's own report)</t>
        </is>
      </c>
      <c r="B4" s="6" t="n"/>
      <c r="C4" s="6" t="n"/>
      <c r="D4" s="6" t="n"/>
      <c r="E4" s="6" t="n"/>
      <c r="F4" s="6" t="n"/>
      <c r="G4" s="6" t="n"/>
      <c r="H4" s="6" t="n"/>
      <c r="I4" s="6" t="n"/>
      <c r="J4" s="6" t="n"/>
      <c r="K4" s="6" t="n"/>
      <c r="L4" s="6" t="n"/>
      <c r="M4" s="6" t="n"/>
    </row>
    <row r="5">
      <c r="A5" s="6" t="inlineStr">
        <is>
          <t>Stage 1 gross carrying amount</t>
        </is>
      </c>
      <c r="B5" s="6" t="n">
        <v>3423245</v>
      </c>
      <c r="C5" s="6" t="n">
        <v>3210782</v>
      </c>
      <c r="D5" s="6" t="n">
        <v>2968247</v>
      </c>
      <c r="E5" s="6" t="n">
        <v>2826161</v>
      </c>
      <c r="F5" s="6" t="n">
        <v>2687050</v>
      </c>
      <c r="G5" s="6" t="n">
        <v>2409575</v>
      </c>
      <c r="H5" s="6" t="n">
        <v>2169994</v>
      </c>
      <c r="I5" s="6" t="n">
        <v>1576985</v>
      </c>
      <c r="J5" s="6" t="n"/>
      <c r="K5" s="6" t="n"/>
      <c r="L5" s="6" t="n"/>
      <c r="M5" s="6" t="n"/>
    </row>
    <row r="6">
      <c r="A6" s="6" t="inlineStr">
        <is>
          <t>Stage 2 gross carrying amount</t>
        </is>
      </c>
      <c r="B6" s="6" t="n">
        <v>259276</v>
      </c>
      <c r="C6" s="6" t="n">
        <v>372480</v>
      </c>
      <c r="D6" s="6" t="n">
        <v>549578</v>
      </c>
      <c r="E6" s="6" t="n">
        <v>385150</v>
      </c>
      <c r="F6" s="6" t="n">
        <v>232788</v>
      </c>
      <c r="G6" s="6" t="n">
        <v>187845</v>
      </c>
      <c r="H6" s="6" t="n">
        <v>78327</v>
      </c>
      <c r="I6" s="6" t="n">
        <v>75151</v>
      </c>
      <c r="J6" s="6" t="n"/>
      <c r="K6" s="6" t="n"/>
      <c r="L6" s="6" t="n"/>
      <c r="M6" s="6" t="n"/>
    </row>
    <row r="7">
      <c r="A7" s="6" t="inlineStr">
        <is>
          <t>Stage 3 gross carrying amount</t>
        </is>
      </c>
      <c r="B7" s="6" t="n">
        <v>91016</v>
      </c>
      <c r="C7" s="6" t="n">
        <v>99046</v>
      </c>
      <c r="D7" s="6" t="n">
        <v>73262</v>
      </c>
      <c r="E7" s="6" t="n">
        <v>65258</v>
      </c>
      <c r="F7" s="6" t="n">
        <v>43661</v>
      </c>
      <c r="G7" s="6" t="n">
        <v>25089</v>
      </c>
      <c r="H7" s="6" t="n">
        <v>19800</v>
      </c>
      <c r="I7" s="6" t="n">
        <v>20333</v>
      </c>
      <c r="J7" s="6" t="n"/>
      <c r="K7" s="6" t="n"/>
      <c r="L7" s="6" t="n"/>
      <c r="M7" s="6" t="n"/>
    </row>
    <row r="8">
      <c r="A8" s="5" t="inlineStr">
        <is>
          <t>Total gross carrying amount</t>
        </is>
      </c>
      <c r="B8" s="5" t="n">
        <v>3773537</v>
      </c>
      <c r="C8" s="5" t="n">
        <v>3682308</v>
      </c>
      <c r="D8" s="5" t="n">
        <v>3591087</v>
      </c>
      <c r="E8" s="5" t="n">
        <v>3276569</v>
      </c>
      <c r="F8" s="5" t="n">
        <v>2963499</v>
      </c>
      <c r="G8" s="5" t="n">
        <v>2622509</v>
      </c>
      <c r="H8" s="5" t="n">
        <v>2268121</v>
      </c>
      <c r="I8" s="5" t="n">
        <v>1672469</v>
      </c>
      <c r="J8" s="5" t="n"/>
      <c r="K8" s="5" t="n"/>
      <c r="L8" s="5" t="n"/>
      <c r="M8" s="5" t="n"/>
    </row>
    <row r="9">
      <c r="A9" s="5" t="inlineStr">
        <is>
          <t>Expected credit loss (ECL) allowance by stage</t>
        </is>
      </c>
      <c r="B9" s="6" t="n"/>
      <c r="C9" s="6" t="n"/>
      <c r="D9" s="6" t="n"/>
      <c r="E9" s="6" t="n"/>
      <c r="F9" s="6" t="n"/>
      <c r="G9" s="6" t="n"/>
      <c r="H9" s="6" t="n"/>
      <c r="I9" s="6" t="n"/>
      <c r="J9" s="6" t="n"/>
      <c r="K9" s="6" t="n"/>
      <c r="L9" s="6" t="n"/>
      <c r="M9" s="6" t="n"/>
    </row>
    <row r="10">
      <c r="A10" s="6" t="inlineStr">
        <is>
          <t>Stage 1 ECL</t>
        </is>
      </c>
      <c r="B10" s="6" t="n">
        <v>3964</v>
      </c>
      <c r="C10" s="6" t="n">
        <v>4403</v>
      </c>
      <c r="D10" s="6" t="n">
        <v>5372</v>
      </c>
      <c r="E10" s="6" t="n">
        <v>3338</v>
      </c>
      <c r="F10" s="6" t="n">
        <v>2124</v>
      </c>
      <c r="G10" s="6" t="n">
        <v>3956</v>
      </c>
      <c r="H10" s="6" t="n">
        <v>1912</v>
      </c>
      <c r="I10" s="6" t="n">
        <v>1443</v>
      </c>
      <c r="J10" s="6" t="n"/>
      <c r="K10" s="6" t="n"/>
      <c r="L10" s="6" t="n"/>
      <c r="M10" s="6" t="n"/>
    </row>
    <row r="11">
      <c r="A11" s="6" t="inlineStr">
        <is>
          <t>Stage 2 ECL</t>
        </is>
      </c>
      <c r="B11" s="6" t="n">
        <v>2951</v>
      </c>
      <c r="C11" s="6" t="n">
        <v>4118</v>
      </c>
      <c r="D11" s="6" t="n">
        <v>8485</v>
      </c>
      <c r="E11" s="6" t="n">
        <v>5321</v>
      </c>
      <c r="F11" s="6" t="n">
        <v>2175</v>
      </c>
      <c r="G11" s="6" t="n">
        <v>3117</v>
      </c>
      <c r="H11" s="6" t="n">
        <v>326</v>
      </c>
      <c r="I11" s="6" t="n">
        <v>349</v>
      </c>
      <c r="J11" s="6" t="n"/>
      <c r="K11" s="6" t="n"/>
      <c r="L11" s="6" t="n"/>
      <c r="M11" s="6" t="n"/>
    </row>
    <row r="12">
      <c r="A12" s="6" t="inlineStr">
        <is>
          <t>Stage 3 ECL</t>
        </is>
      </c>
      <c r="B12" s="6" t="n">
        <v>21489</v>
      </c>
      <c r="C12" s="6" t="n">
        <v>20310</v>
      </c>
      <c r="D12" s="6" t="n">
        <v>12933</v>
      </c>
      <c r="E12" s="6" t="n">
        <v>13680</v>
      </c>
      <c r="F12" s="6" t="n">
        <v>9626</v>
      </c>
      <c r="G12" s="6" t="n">
        <v>1474</v>
      </c>
      <c r="H12" s="6" t="n">
        <v>1502</v>
      </c>
      <c r="I12" s="6" t="n">
        <v>1754</v>
      </c>
      <c r="J12" s="6" t="n"/>
      <c r="K12" s="6" t="n"/>
      <c r="L12" s="6" t="n"/>
      <c r="M12" s="6" t="n"/>
    </row>
    <row r="13">
      <c r="A13" s="5" t="inlineStr">
        <is>
          <t>Total ECL allowance</t>
        </is>
      </c>
      <c r="B13" s="5" t="n">
        <v>28404</v>
      </c>
      <c r="C13" s="5" t="n">
        <v>28831</v>
      </c>
      <c r="D13" s="5" t="n">
        <v>26790</v>
      </c>
      <c r="E13" s="5" t="n">
        <v>22339</v>
      </c>
      <c r="F13" s="5" t="n">
        <v>13925</v>
      </c>
      <c r="G13" s="5" t="n">
        <v>8547</v>
      </c>
      <c r="H13" s="5" t="n">
        <v>3740</v>
      </c>
      <c r="I13" s="5" t="n">
        <v>3546</v>
      </c>
      <c r="J13" s="5" t="n"/>
      <c r="K13" s="5" t="n"/>
      <c r="L13" s="5" t="n"/>
      <c r="M13" s="5" t="n"/>
    </row>
    <row r="14">
      <c r="A14" s="5" t="inlineStr">
        <is>
          <t>Derived ratios (IFRS 9 basis)</t>
        </is>
      </c>
      <c r="B14" s="6" t="n"/>
      <c r="C14" s="6" t="n"/>
      <c r="D14" s="6" t="n"/>
      <c r="E14" s="6" t="n"/>
      <c r="F14" s="6" t="n"/>
      <c r="G14" s="6" t="n"/>
      <c r="H14" s="6" t="n"/>
      <c r="I14" s="6" t="n"/>
      <c r="J14" s="6" t="n"/>
      <c r="K14" s="6" t="n"/>
      <c r="L14" s="6" t="n"/>
      <c r="M14" s="6" t="n"/>
    </row>
    <row r="15">
      <c r="A15" s="6" t="inlineStr">
        <is>
          <t>Stage 3 / total gross carrying amount</t>
        </is>
      </c>
      <c r="B15" s="6" t="inlineStr">
        <is>
          <t>2.412%</t>
        </is>
      </c>
      <c r="C15" s="6" t="inlineStr">
        <is>
          <t>2.690%</t>
        </is>
      </c>
      <c r="D15" s="6" t="inlineStr">
        <is>
          <t>2.040%</t>
        </is>
      </c>
      <c r="E15" s="6" t="inlineStr">
        <is>
          <t>1.992%</t>
        </is>
      </c>
      <c r="F15" s="6" t="inlineStr">
        <is>
          <t>1.473%</t>
        </is>
      </c>
      <c r="G15" s="6" t="inlineStr">
        <is>
          <t>0.957%</t>
        </is>
      </c>
      <c r="H15" s="6" t="inlineStr">
        <is>
          <t>0.873%</t>
        </is>
      </c>
      <c r="I15" s="6" t="inlineStr">
        <is>
          <t>1.216%</t>
        </is>
      </c>
      <c r="J15" s="6" t="n"/>
      <c r="K15" s="6" t="n"/>
      <c r="L15" s="6" t="n"/>
      <c r="M15" s="6" t="n"/>
    </row>
    <row r="16">
      <c r="A16" s="6" t="inlineStr">
        <is>
          <t>Total ECL / total gross carrying amount (overall coverage)</t>
        </is>
      </c>
      <c r="B16" s="6" t="inlineStr">
        <is>
          <t>0.753%</t>
        </is>
      </c>
      <c r="C16" s="6" t="inlineStr">
        <is>
          <t>0.783%</t>
        </is>
      </c>
      <c r="D16" s="6" t="inlineStr">
        <is>
          <t>0.746%</t>
        </is>
      </c>
      <c r="E16" s="6" t="inlineStr">
        <is>
          <t>0.682%</t>
        </is>
      </c>
      <c r="F16" s="6" t="inlineStr">
        <is>
          <t>0.470%</t>
        </is>
      </c>
      <c r="G16" s="6" t="inlineStr">
        <is>
          <t>0.326%</t>
        </is>
      </c>
      <c r="H16" s="6" t="inlineStr">
        <is>
          <t>0.165%</t>
        </is>
      </c>
      <c r="I16" s="6" t="inlineStr">
        <is>
          <t>0.212%</t>
        </is>
      </c>
      <c r="J16" s="6" t="n"/>
      <c r="K16" s="6" t="n"/>
      <c r="L16" s="6" t="n"/>
      <c r="M16" s="6" t="n"/>
    </row>
    <row r="17">
      <c r="A17" s="6" t="inlineStr">
        <is>
          <t>Stage 3 ECL / Stage 3 gross carrying amount (Stage 3 coverage)</t>
        </is>
      </c>
      <c r="B17" s="6" t="inlineStr">
        <is>
          <t>23.61%</t>
        </is>
      </c>
      <c r="C17" s="6" t="inlineStr">
        <is>
          <t>20.51%</t>
        </is>
      </c>
      <c r="D17" s="6" t="inlineStr">
        <is>
          <t>17.65%</t>
        </is>
      </c>
      <c r="E17" s="6" t="inlineStr">
        <is>
          <t>20.96%</t>
        </is>
      </c>
      <c r="F17" s="6" t="inlineStr">
        <is>
          <t>22.05%</t>
        </is>
      </c>
      <c r="G17" s="6" t="inlineStr">
        <is>
          <t>5.876%</t>
        </is>
      </c>
      <c r="H17" s="6" t="inlineStr">
        <is>
          <t>7.586%</t>
        </is>
      </c>
      <c r="I17" s="6" t="inlineStr">
        <is>
          <t>8.626%</t>
        </is>
      </c>
      <c r="J17" s="6" t="n"/>
      <c r="K17" s="6" t="n"/>
      <c r="L17" s="6" t="n"/>
      <c r="M17" s="6" t="n"/>
    </row>
    <row r="18">
      <c r="A18" s="5" t="inlineStr">
        <is>
          <t>Legacy IAS 39 basis (FY2014-FY2017, Bank of Cyprus UK Limited, Company-only) - credit quality of gross loans and advances to customers (Loans + Overdrafts combined)</t>
        </is>
      </c>
      <c r="B18" s="6" t="n"/>
      <c r="C18" s="6" t="n"/>
      <c r="D18" s="6" t="n"/>
      <c r="E18" s="6" t="n"/>
      <c r="F18" s="6" t="n"/>
      <c r="G18" s="6" t="n"/>
      <c r="H18" s="6" t="n"/>
      <c r="I18" s="6" t="n"/>
      <c r="J18" s="6" t="n"/>
      <c r="K18" s="6" t="n"/>
      <c r="L18" s="6" t="n"/>
      <c r="M18" s="6" t="n"/>
    </row>
    <row r="19">
      <c r="A19" s="6" t="inlineStr">
        <is>
          <t>Gross loans and advances</t>
        </is>
      </c>
      <c r="B19" s="6" t="n"/>
      <c r="C19" s="6" t="n"/>
      <c r="D19" s="6" t="n"/>
      <c r="E19" s="6" t="n"/>
      <c r="F19" s="6" t="n"/>
      <c r="G19" s="6" t="n"/>
      <c r="H19" s="6" t="n"/>
      <c r="I19" s="6" t="n"/>
      <c r="J19" s="6" t="n">
        <v>1411255</v>
      </c>
      <c r="K19" s="6" t="n">
        <v>1088298</v>
      </c>
      <c r="L19" s="6" t="n">
        <v>827016</v>
      </c>
      <c r="M19" s="6" t="n">
        <v>629744</v>
      </c>
    </row>
    <row r="20">
      <c r="A20" s="6" t="inlineStr">
        <is>
          <t>Provisions for impairment of loans and advances (individual + collective, IAS 39 incurred-loss basis)</t>
        </is>
      </c>
      <c r="B20" s="6" t="n"/>
      <c r="C20" s="6" t="n"/>
      <c r="D20" s="6" t="n"/>
      <c r="E20" s="6" t="n"/>
      <c r="F20" s="6" t="n"/>
      <c r="G20" s="6" t="n"/>
      <c r="H20" s="6" t="n"/>
      <c r="I20" s="6" t="n"/>
      <c r="J20" s="6" t="n">
        <v>-4055</v>
      </c>
      <c r="K20" s="6" t="n">
        <v>-4376</v>
      </c>
      <c r="L20" s="6" t="n">
        <v>-6209</v>
      </c>
      <c r="M20" s="6" t="n">
        <v>-11768</v>
      </c>
    </row>
    <row r="21">
      <c r="A21" s="5" t="inlineStr">
        <is>
          <t>Net loans and advances to customers</t>
        </is>
      </c>
      <c r="B21" s="5" t="n"/>
      <c r="C21" s="5" t="n"/>
      <c r="D21" s="5" t="n"/>
      <c r="E21" s="5" t="n"/>
      <c r="F21" s="5" t="n"/>
      <c r="G21" s="5" t="n"/>
      <c r="H21" s="5" t="n"/>
      <c r="I21" s="5" t="n"/>
      <c r="J21" s="5" t="n">
        <v>1407200</v>
      </c>
      <c r="K21" s="5" t="n">
        <v>1083922</v>
      </c>
      <c r="L21" s="5" t="n">
        <v>820807</v>
      </c>
      <c r="M21" s="5" t="n">
        <v>617976</v>
      </c>
    </row>
    <row r="22">
      <c r="A22" s="6" t="inlineStr">
        <is>
          <t>Neither past due nor impaired</t>
        </is>
      </c>
      <c r="B22" s="6" t="n"/>
      <c r="C22" s="6" t="n"/>
      <c r="D22" s="6" t="n"/>
      <c r="E22" s="6" t="n"/>
      <c r="F22" s="6" t="n"/>
      <c r="G22" s="6" t="n"/>
      <c r="H22" s="6" t="n"/>
      <c r="I22" s="6" t="n"/>
      <c r="J22" s="6" t="n">
        <v>1373534</v>
      </c>
      <c r="K22" s="6" t="n">
        <v>1064883</v>
      </c>
      <c r="L22" s="6" t="n">
        <v>797582</v>
      </c>
      <c r="M22" s="6" t="n">
        <v>579666</v>
      </c>
    </row>
    <row r="23">
      <c r="A23" s="6" t="inlineStr">
        <is>
          <t>Past due but not impaired</t>
        </is>
      </c>
      <c r="B23" s="6" t="n"/>
      <c r="C23" s="6" t="n"/>
      <c r="D23" s="6" t="n"/>
      <c r="E23" s="6" t="n"/>
      <c r="F23" s="6" t="n"/>
      <c r="G23" s="6" t="n"/>
      <c r="H23" s="6" t="n"/>
      <c r="I23" s="6" t="n"/>
      <c r="J23" s="6" t="n">
        <v>34850</v>
      </c>
      <c r="K23" s="6" t="n">
        <v>18330</v>
      </c>
      <c r="L23" s="6" t="n">
        <v>19698</v>
      </c>
      <c r="M23" s="6" t="n">
        <v>33370</v>
      </c>
    </row>
    <row r="24">
      <c r="A24" s="6" t="inlineStr">
        <is>
          <t>Impaired</t>
        </is>
      </c>
      <c r="B24" s="6" t="n"/>
      <c r="C24" s="6" t="n"/>
      <c r="D24" s="6" t="n"/>
      <c r="E24" s="6" t="n"/>
      <c r="F24" s="6" t="n"/>
      <c r="G24" s="6" t="n"/>
      <c r="H24" s="6" t="n"/>
      <c r="I24" s="6" t="n"/>
      <c r="J24" s="6" t="n">
        <v>2871</v>
      </c>
      <c r="K24" s="6" t="n">
        <v>5085</v>
      </c>
      <c r="L24" s="6" t="n">
        <v>9736</v>
      </c>
      <c r="M24" s="6" t="n">
        <v>16708</v>
      </c>
    </row>
    <row r="25">
      <c r="A25" s="5" t="inlineStr">
        <is>
          <t>Total gross loans and advances (credit-quality analysis)</t>
        </is>
      </c>
      <c r="B25" s="5" t="n"/>
      <c r="C25" s="5" t="n"/>
      <c r="D25" s="5" t="n"/>
      <c r="E25" s="5" t="n"/>
      <c r="F25" s="5" t="n"/>
      <c r="G25" s="5" t="n"/>
      <c r="H25" s="5" t="n"/>
      <c r="I25" s="5" t="n"/>
      <c r="J25" s="5" t="n">
        <v>1411255</v>
      </c>
      <c r="K25" s="5" t="n">
        <v>1088298</v>
      </c>
      <c r="L25" s="5" t="n">
        <v>827016</v>
      </c>
      <c r="M25" s="5" t="n">
        <v>629744</v>
      </c>
    </row>
    <row r="26">
      <c r="A26" s="5" t="inlineStr">
        <is>
          <t>Ageing of past due but not impaired loans and advances (Legacy IAS 39 basis)</t>
        </is>
      </c>
      <c r="B26" s="6" t="n"/>
      <c r="C26" s="6" t="n"/>
      <c r="D26" s="6" t="n"/>
      <c r="E26" s="6" t="n"/>
      <c r="F26" s="6" t="n"/>
      <c r="G26" s="6" t="n"/>
      <c r="H26" s="6" t="n"/>
      <c r="I26" s="6" t="n"/>
      <c r="J26" s="6" t="n"/>
      <c r="K26" s="6" t="n"/>
      <c r="L26" s="6" t="n"/>
      <c r="M26" s="6" t="n"/>
    </row>
    <row r="27">
      <c r="A27" s="6" t="inlineStr">
        <is>
          <t>Up to 30 days</t>
        </is>
      </c>
      <c r="B27" s="6" t="n"/>
      <c r="C27" s="6" t="n"/>
      <c r="D27" s="6" t="n"/>
      <c r="E27" s="6" t="n"/>
      <c r="F27" s="6" t="n"/>
      <c r="G27" s="6" t="n"/>
      <c r="H27" s="6" t="n"/>
      <c r="I27" s="6" t="n"/>
      <c r="J27" s="6" t="n">
        <v>21107</v>
      </c>
      <c r="K27" s="6" t="n">
        <v>10818</v>
      </c>
      <c r="L27" s="6" t="n">
        <v>8258</v>
      </c>
      <c r="M27" s="6" t="n">
        <v>18716</v>
      </c>
    </row>
    <row r="28">
      <c r="A28" s="6" t="inlineStr">
        <is>
          <t>31 to 90 days</t>
        </is>
      </c>
      <c r="B28" s="6" t="n"/>
      <c r="C28" s="6" t="n"/>
      <c r="D28" s="6" t="n"/>
      <c r="E28" s="6" t="n"/>
      <c r="F28" s="6" t="n"/>
      <c r="G28" s="6" t="n"/>
      <c r="H28" s="6" t="n"/>
      <c r="I28" s="6" t="n"/>
      <c r="J28" s="6" t="n">
        <v>6475</v>
      </c>
      <c r="K28" s="6" t="n">
        <v>311</v>
      </c>
      <c r="L28" s="6" t="n">
        <v>2768</v>
      </c>
      <c r="M28" s="6" t="n">
        <v>3494</v>
      </c>
    </row>
    <row r="29">
      <c r="A29" s="6" t="inlineStr">
        <is>
          <t>91 to 180 days</t>
        </is>
      </c>
      <c r="B29" s="6" t="n"/>
      <c r="C29" s="6" t="n"/>
      <c r="D29" s="6" t="n"/>
      <c r="E29" s="6" t="n"/>
      <c r="F29" s="6" t="n"/>
      <c r="G29" s="6" t="n"/>
      <c r="H29" s="6" t="n"/>
      <c r="I29" s="6" t="n"/>
      <c r="J29" s="6" t="n">
        <v>2823</v>
      </c>
      <c r="K29" s="6" t="n">
        <v>2752</v>
      </c>
      <c r="L29" s="6" t="n">
        <v>1558</v>
      </c>
      <c r="M29" s="6" t="n">
        <v>1247</v>
      </c>
    </row>
    <row r="30">
      <c r="A30" s="6" t="inlineStr">
        <is>
          <t>181 to 365 days</t>
        </is>
      </c>
      <c r="B30" s="6" t="n"/>
      <c r="C30" s="6" t="n"/>
      <c r="D30" s="6" t="n"/>
      <c r="E30" s="6" t="n"/>
      <c r="F30" s="6" t="n"/>
      <c r="G30" s="6" t="n"/>
      <c r="H30" s="6" t="n"/>
      <c r="I30" s="6" t="n"/>
      <c r="J30" s="6" t="n">
        <v>2910</v>
      </c>
      <c r="K30" s="6" t="n">
        <v>546</v>
      </c>
      <c r="L30" s="6" t="n">
        <v>649</v>
      </c>
      <c r="M30" s="6" t="n">
        <v>2118</v>
      </c>
    </row>
    <row r="31">
      <c r="A31" s="6" t="inlineStr">
        <is>
          <t>Over one year</t>
        </is>
      </c>
      <c r="B31" s="6" t="n"/>
      <c r="C31" s="6" t="n"/>
      <c r="D31" s="6" t="n"/>
      <c r="E31" s="6" t="n"/>
      <c r="F31" s="6" t="n"/>
      <c r="G31" s="6" t="n"/>
      <c r="H31" s="6" t="n"/>
      <c r="I31" s="6" t="n"/>
      <c r="J31" s="6" t="n">
        <v>1535</v>
      </c>
      <c r="K31" s="6" t="n">
        <v>3903</v>
      </c>
      <c r="L31" s="6" t="n">
        <v>6465</v>
      </c>
      <c r="M31" s="6" t="n">
        <v>7795</v>
      </c>
    </row>
    <row r="32">
      <c r="A32" s="5" t="inlineStr">
        <is>
          <t>Derived ratios (Legacy IAS 39 basis)</t>
        </is>
      </c>
      <c r="B32" s="6" t="n"/>
      <c r="C32" s="6" t="n"/>
      <c r="D32" s="6" t="n"/>
      <c r="E32" s="6" t="n"/>
      <c r="F32" s="6" t="n"/>
      <c r="G32" s="6" t="n"/>
      <c r="H32" s="6" t="n"/>
      <c r="I32" s="6" t="n"/>
      <c r="J32" s="6" t="n"/>
      <c r="K32" s="6" t="n"/>
      <c r="L32" s="6" t="n"/>
      <c r="M32" s="6" t="n"/>
    </row>
    <row r="33">
      <c r="A33" s="6" t="inlineStr">
        <is>
          <t>Impaired / total gross loans and advances</t>
        </is>
      </c>
      <c r="B33" s="6" t="n"/>
      <c r="C33" s="6" t="n"/>
      <c r="D33" s="6" t="n"/>
      <c r="E33" s="6" t="n"/>
      <c r="F33" s="6" t="n"/>
      <c r="G33" s="6" t="n"/>
      <c r="H33" s="6" t="n"/>
      <c r="I33" s="6" t="n"/>
      <c r="J33" s="6" t="inlineStr">
        <is>
          <t>0.203%</t>
        </is>
      </c>
      <c r="K33" s="6" t="inlineStr">
        <is>
          <t>0.467%</t>
        </is>
      </c>
      <c r="L33" s="6" t="inlineStr">
        <is>
          <t>1.177%</t>
        </is>
      </c>
      <c r="M33" s="6" t="inlineStr">
        <is>
          <t>2.653%</t>
        </is>
      </c>
    </row>
    <row r="34">
      <c r="A34" s="6" t="inlineStr">
        <is>
          <t>Total provisions / total gross loans and advances (overall coverage)</t>
        </is>
      </c>
      <c r="B34" s="6" t="n"/>
      <c r="C34" s="6" t="n"/>
      <c r="D34" s="6" t="n"/>
      <c r="E34" s="6" t="n"/>
      <c r="F34" s="6" t="n"/>
      <c r="G34" s="6" t="n"/>
      <c r="H34" s="6" t="n"/>
      <c r="I34" s="6" t="n"/>
      <c r="J34" s="6" t="inlineStr">
        <is>
          <t>0.287%</t>
        </is>
      </c>
      <c r="K34" s="6" t="inlineStr">
        <is>
          <t>0.402%</t>
        </is>
      </c>
      <c r="L34" s="6" t="inlineStr">
        <is>
          <t>0.751%</t>
        </is>
      </c>
      <c r="M34" s="6" t="inlineStr">
        <is>
          <t>1.869%</t>
        </is>
      </c>
    </row>
    <row r="36" ht="420" customHeight="1">
      <c r="A36" s="8" t="inlineStr">
        <is>
          <t>Sources - Cynergy Bank Plc's own Credit Risk note (IFRS 9 staging, Consolidated Loans + Overdrafts gross carrying amount and ECL reconciliation tables combined):
FY2025 (&amp; FY2024 own-report comparative used for cross-check only): Annual Report &amp; Accounts 2025, Note 15/Credit risk section, p.65-67 - https://assets.ctfassets.net/xzmqg68ot16t/1aUkuB7BcAd8Pj5Kq0RNqh/101ced4af6be2d55cd37fad3542829b2/Cynergy_Bank_-_Annual_Report_2025.pdf
FY2024 (own) &amp; FY2023 (own-report comparative, cross-checked against AR2023's own FY2023 figures): Annual Report &amp; Accounts 2024, p.113-118 - https://assets.ctfassets.net/xzmqg68ot16t/2AeSbXsBP7fwKhngGTLWxb/ca86e60128ab83d41842b85ae74aa326/Annual_Report_2024.pdf
FY2022 (own, via AR2023's own comparative column) &amp; the FY2021 closing balance (via AR2023's own 'At 1 January 2022' opening-balance row, which is FY2021's own closing balance): Annual Report &amp; Accounts 2023, p.123-126 - https://assets.ctfassets.net/xzmqg68ot16t/2oPLoaeUJ2c4kRJcNMSyMp/54230fc39821a0d6ede6f81f1c7528ce/Cynergy_Bank_Limited_-_Annual_Report_2023.pdf
FY2020 (own): Cynergy Bank Limited Annual Report &amp; Accounts 2020 (Companies House filing, scanned), Note 17 (Loans and advances to customers), p.89-91 - https://find-and-update.company-information.service.gov.uk/company/04728421/filing-history/MzMwMTMwNjM2MWFkaXF6a2N4/document?format=pdf&amp;download=0
FY2019 (own): Cynergy Bank Limited Annual Report &amp; Accounts 2019 (Companies House filing, scanned), Note 17, p.81-83 - https://find-and-update.company-information.service.gov.uk/company/04728421/filing-history/MzI2ODIzMzE4NmFkaXF6a2N4/document?format=pdf&amp;download=0
FY2018 (own): Cynergy Bank Limited Annual Report &amp; Accounts 2018 (Companies House filing, scanned), Note 17, p.43-45 - https://find-and-update.company-information.service.gov.uk/company/04728421/filing-history/MzI0NTUxMzA1N2FkaXF6a2N4/document?format=pdf&amp;download=0
FY2017 (own): Bank of Cyprus UK Limited Annual Report &amp; Accounts 2017 (Companies House filing, scanned), Note 17, p.35, Company-only basis - https://find-and-update.company-information.service.gov.uk/company/04728421/filing-history/MzIwNjAyOTg3MmFkaXF6a2N4/document?format=pdf&amp;download=0
FY2016 (own): Bank of Cyprus UK Limited Annual Report &amp; Accounts 2016 (Companies House filing, scanned), Note 17, p.29, Company-only basis - https://find-and-update.company-information.service.gov.uk/company/04728421/filing-history/MzE4MTU5MjQyMmFkaXF6a2N4/document?format=pdf&amp;download=0
FY2015 (own): Bank of Cyprus UK Limited Annual Report &amp; Accounts 2015 (Companies House filing, scanned), Note 16, p.20, Company-only basis - https://find-and-update.company-information.service.gov.uk/company/04728421/filing-history/MzE0NDMzNzcwNGFkaXF6a2N4/document?format=pdf&amp;download=0
FY2014 (own): Bank of Cyprus UK Limited Annual Report &amp; Accounts 2014 (Companies House filing, scanned), Note 16, p.24, Company-only basis - https://find-and-update.company-information.service.gov.uk/company/04728421/filing-history/MzEyMTQ1OTQ5MGFkaXF6a2N4/document?format=pdf&amp;download=0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FY2021's stage split is the FY2021 closing balance recovered from FY2022's own reconciliation table 'At 1 January' row (the FY2021 Annual Report's own credit risk note was not independently re-checked) - same 'sourced from the following year's own comparative' pattern used elsewhere in this project. Ratios (Stage 3/Total gross exposure, Total ECL/Total gross exposure coverage, Stage 3 coverage) are calculated from the gross carrying amount and ECL figures above, not separately disclosed.
HD-051 note: FY2014-FY2017 predate IFRS 9 (effective 1 Jan 2018) and use the IAS 39 incurred-loss framework instead of the IFRS 9 expected-credit-loss stage model used from FY2018 onward - these years are shown in a separate 'Legacy IAS 39 basis' section using that era's own terminology ('neither past due nor impaired' / 'past due but not impaired' / 'impaired', with an arrears-ageing analysis of the past-due-but-not-impaired category), not forced into the Stage 1/2/3 framework, and not skipped. Figures are Bank of Cyprus UK Limited's own Company-only (non-consolidated) Loans and advances to customers note (Loans + Overdrafts columns summed) for each year's own Annual Report - same Companies House filings already used for the Balance Sheet/P&amp;L/Cash Flow sheets, re-read for this note specifically (no new documents sourced). FY2018 is the first year presented under IFRS 9's Stage 1/2/3 model (Cynergy Bank Limited's own FY2018 Annual Report note 17 already discloses the gross-carrying and ECL tables by stage, individual/collective-split that first year only) and is included directly in the IFRS 9 section above, not as a separate transitional block - no further transitional treatment was needed because the FY2018 report itself already presents the post-transition Stage 1/2/3 basis in full.
FY2019 Stage 2 ECL is a balancing figure, not a direct transcription: the FY2019 Annual Report's Overdrafts ECL movement table (scanned filing) was faint enough that its own reported per-stage 'Total' row (£110k) did not sum from its own individually-legible Stage 1/2/3 cells (£31k/£40k/£69k = £140k, not £110k) - rather than transcribe an internally-inconsistent reading, the Overdrafts Stage 2 figure is backed out as £110k - £31k - £69k = £10k so that the combined Stage 1/2/3 ECL ties exactly to the report's own disclosed combined total of £3,740k; this affects only the Stage 2 ECL split, not any total.</t>
        </is>
      </c>
    </row>
  </sheetData>
  <mergeCells count="1">
    <mergeCell ref="A36:M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CET1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Tier 1 capital (CET1)</t>
        </is>
      </c>
      <c r="B4" s="6" t="n"/>
      <c r="C4" s="6" t="n">
        <v>321877</v>
      </c>
      <c r="D4" s="6" t="n">
        <v>306251</v>
      </c>
      <c r="E4" s="6" t="n"/>
      <c r="F4" s="6" t="n"/>
      <c r="G4" s="6" t="n">
        <v>182844</v>
      </c>
      <c r="H4" s="6" t="n">
        <v>156836</v>
      </c>
      <c r="I4" s="6" t="n">
        <v>135416</v>
      </c>
      <c r="J4" s="6" t="n">
        <v>109910</v>
      </c>
      <c r="K4" s="6" t="n"/>
      <c r="L4" s="6" t="n"/>
      <c r="M4" s="6" t="n"/>
    </row>
    <row r="5">
      <c r="A5" s="6" t="inlineStr">
        <is>
          <t>Core Tier 1 capital (Basel II/CRD III era terminology; shown as the closest equivalent to CET1 - see note)</t>
        </is>
      </c>
      <c r="B5" s="6" t="n"/>
      <c r="C5" s="6" t="n"/>
      <c r="D5" s="6" t="n"/>
      <c r="E5" s="6" t="n"/>
      <c r="F5" s="6" t="n"/>
      <c r="G5" s="6" t="n"/>
      <c r="H5" s="6" t="n"/>
      <c r="I5" s="6" t="n"/>
      <c r="J5" s="6" t="n"/>
      <c r="K5" s="6" t="n">
        <v>65017</v>
      </c>
      <c r="L5" s="6" t="n">
        <v>69180</v>
      </c>
      <c r="M5" s="6" t="n">
        <v>65533</v>
      </c>
    </row>
    <row r="7" ht="17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1">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CET1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n"/>
      <c r="C4" s="6" t="n"/>
      <c r="D4" s="6" t="n"/>
      <c r="E4" s="6" t="n"/>
      <c r="F4" s="6" t="n"/>
      <c r="G4" s="6" t="inlineStr">
        <is>
          <t>14.12%</t>
        </is>
      </c>
      <c r="H4" s="6" t="inlineStr">
        <is>
          <t>13.7%</t>
        </is>
      </c>
      <c r="I4" s="6" t="inlineStr">
        <is>
          <t>17.0%</t>
        </is>
      </c>
      <c r="J4" s="6" t="inlineStr">
        <is>
          <t>16.6%</t>
        </is>
      </c>
      <c r="K4" s="6" t="n"/>
      <c r="L4" s="6" t="n"/>
      <c r="M4" s="6" t="n"/>
    </row>
    <row r="5">
      <c r="A5" s="6" t="inlineStr">
        <is>
          <t>Core Tier 1 / Tier 1 ratio (Basel II/CRD III era terminology; closest equivalent to CET1 ratio)</t>
        </is>
      </c>
      <c r="B5" s="6" t="n"/>
      <c r="C5" s="6" t="n"/>
      <c r="D5" s="6" t="n"/>
      <c r="E5" s="6" t="n"/>
      <c r="F5" s="6" t="n"/>
      <c r="G5" s="6" t="n"/>
      <c r="H5" s="6" t="n"/>
      <c r="I5" s="6" t="n"/>
      <c r="J5" s="6" t="n"/>
      <c r="K5" s="6" t="inlineStr">
        <is>
          <t>12.1%</t>
        </is>
      </c>
      <c r="L5" s="6" t="inlineStr">
        <is>
          <t>16.6%</t>
        </is>
      </c>
      <c r="M5" s="6" t="inlineStr">
        <is>
          <t>16.9%</t>
        </is>
      </c>
    </row>
    <row r="7" ht="17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1">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Tier 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Tier 1 capital (CET1)</t>
        </is>
      </c>
      <c r="B4" s="6" t="n"/>
      <c r="C4" s="6" t="n">
        <v>321877</v>
      </c>
      <c r="D4" s="6" t="n">
        <v>306251</v>
      </c>
      <c r="E4" s="6" t="n"/>
      <c r="F4" s="6" t="n"/>
      <c r="G4" s="6" t="n">
        <v>182844</v>
      </c>
      <c r="H4" s="6" t="n">
        <v>156836</v>
      </c>
      <c r="I4" s="6" t="n">
        <v>135416</v>
      </c>
      <c r="J4" s="6" t="n">
        <v>109910</v>
      </c>
      <c r="K4" s="6" t="n"/>
      <c r="L4" s="6" t="n"/>
      <c r="M4" s="6" t="n"/>
    </row>
    <row r="5">
      <c r="A5" s="6" t="inlineStr">
        <is>
          <t>Core Tier 1 capital (Basel II/CRD III era terminology; shown as the closest equivalent - see note)</t>
        </is>
      </c>
      <c r="B5" s="6" t="n"/>
      <c r="C5" s="6" t="n"/>
      <c r="D5" s="6" t="n"/>
      <c r="E5" s="6" t="n"/>
      <c r="F5" s="6" t="n"/>
      <c r="G5" s="6" t="n"/>
      <c r="H5" s="6" t="n"/>
      <c r="I5" s="6" t="n"/>
      <c r="J5" s="6" t="n"/>
      <c r="K5" s="6" t="n">
        <v>65017</v>
      </c>
      <c r="L5" s="6" t="n">
        <v>69180</v>
      </c>
      <c r="M5" s="6" t="n">
        <v>65533</v>
      </c>
    </row>
    <row r="6" ht="60" customHeight="1">
      <c r="A6" s="7" t="inlineStr">
        <is>
          <t>Note: Cynergy Bank's own Annual Report labels this line 'Total eligible Tier 1 capital (CET1)' - i.e. it states Tier 1 capital and CET1 capital are identical (no Additional Tier 1 instruments in issue) - see the CET1 Capital sheet for the same figures and source.</t>
        </is>
      </c>
    </row>
    <row r="8" ht="170" customHeight="1">
      <c r="A8"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8:M8"/>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Tier 1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Additional Tier 1 instrument in issue any year reviewed)</t>
        </is>
      </c>
      <c r="B4" s="6" t="n"/>
      <c r="C4" s="6" t="n"/>
      <c r="D4" s="6" t="n"/>
      <c r="E4" s="6" t="n"/>
      <c r="F4" s="6" t="n"/>
      <c r="G4" s="6" t="inlineStr">
        <is>
          <t>14.12%</t>
        </is>
      </c>
      <c r="H4" s="6" t="inlineStr">
        <is>
          <t>13.7%</t>
        </is>
      </c>
      <c r="I4" s="6" t="inlineStr">
        <is>
          <t>17.0%</t>
        </is>
      </c>
      <c r="J4" s="6" t="inlineStr">
        <is>
          <t>16.6%</t>
        </is>
      </c>
      <c r="K4" s="6" t="inlineStr">
        <is>
          <t>12.1%</t>
        </is>
      </c>
      <c r="L4" s="6" t="inlineStr">
        <is>
          <t>16.6%</t>
        </is>
      </c>
      <c r="M4" s="6" t="inlineStr">
        <is>
          <t>16.9%</t>
        </is>
      </c>
    </row>
    <row r="5" ht="60" customHeight="1">
      <c r="A5" s="7" t="inlineStr">
        <is>
          <t>Note: Cynergy Bank's own Annual Report labels this line 'Total eligible Tier 1 capital (CET1)' - i.e. it states Tier 1 capital and CET1 capital are identical (no Additional Tier 1 instruments in issue) - see the CET1 Capital sheet for the same figures and source.</t>
        </is>
      </c>
    </row>
    <row r="7" ht="17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regulatory capital (CET1/Core Tier 1 + Tier 2 subordinated debt)</t>
        </is>
      </c>
      <c r="B4" s="6" t="n"/>
      <c r="C4" s="6" t="n">
        <v>336877</v>
      </c>
      <c r="D4" s="6" t="n">
        <v>321251</v>
      </c>
      <c r="E4" s="6" t="n"/>
      <c r="F4" s="6" t="n"/>
      <c r="G4" s="6" t="n">
        <v>212588</v>
      </c>
      <c r="H4" s="6" t="n">
        <v>186465</v>
      </c>
      <c r="I4" s="6" t="n">
        <v>165416</v>
      </c>
      <c r="J4" s="6" t="n"/>
      <c r="K4" s="6" t="n">
        <v>96777</v>
      </c>
      <c r="L4" s="6" t="n">
        <v>101139</v>
      </c>
      <c r="M4" s="6" t="n">
        <v>98022</v>
      </c>
    </row>
    <row r="5" ht="60" customHeight="1">
      <c r="A5" s="7" t="inlineStr">
        <is>
          <t>Note: FY2017 Total Capital (£) and Total RWAs are left blank deliberately, not omitted by oversight: the FY2018 Pillar 3 document's FY2017 comparative discloses CET1/Tier 1 capital (£109,910k) and three ratios (CET1 16.6%, Total Capital 21.0%, Leverage 5.8%) but never states a Total Capital £ amount or a Total RWA £ amount directly, and the same document's own FY2017 credit-risk RWA figure (£629,000k) is larger than either of the two different 'implied total RWA' figures that back-solving from the two disclosed ratios would produce (~£523m assuming Total Capital = CET1 that year, or ~£662m assuming CET1 ratio alone pins down RWA) - these are inconsistent with each other and with the disclosed credit-risk RWA, so no single figure can be derived reliably. Rather than guess, these two cells are left blank for FY2017 only; the three ratios above are the source's own directly-stated figures and are populated.</t>
        </is>
      </c>
    </row>
    <row r="7" ht="17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Capital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n"/>
      <c r="C4" s="6" t="n"/>
      <c r="D4" s="6" t="n"/>
      <c r="E4" s="6" t="n"/>
      <c r="F4" s="6" t="n"/>
      <c r="G4" s="6" t="inlineStr">
        <is>
          <t>16.42%</t>
        </is>
      </c>
      <c r="H4" s="6" t="inlineStr">
        <is>
          <t>16.3%</t>
        </is>
      </c>
      <c r="I4" s="6" t="inlineStr">
        <is>
          <t>20.7%</t>
        </is>
      </c>
      <c r="J4" s="6" t="inlineStr">
        <is>
          <t>21.0%</t>
        </is>
      </c>
      <c r="K4" s="6" t="inlineStr">
        <is>
          <t>18.2%</t>
        </is>
      </c>
      <c r="L4" s="6" t="inlineStr">
        <is>
          <t>24.4%</t>
        </is>
      </c>
      <c r="M4" s="6" t="inlineStr">
        <is>
          <t>25.4%</t>
        </is>
      </c>
    </row>
    <row r="6" ht="170" customHeight="1">
      <c r="A6"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RWAs</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t>
        </is>
      </c>
      <c r="B4" s="6" t="n"/>
      <c r="C4" s="6" t="n"/>
      <c r="D4" s="6" t="n"/>
      <c r="E4" s="6" t="n"/>
      <c r="F4" s="6" t="n"/>
      <c r="G4" s="6" t="n">
        <v>1294931</v>
      </c>
      <c r="H4" s="6" t="n">
        <v>1144428</v>
      </c>
      <c r="I4" s="6" t="n">
        <v>796565</v>
      </c>
      <c r="J4" s="6" t="n"/>
      <c r="K4" s="6" t="n">
        <v>531742</v>
      </c>
      <c r="L4" s="6" t="n">
        <v>416813</v>
      </c>
      <c r="M4" s="6" t="n">
        <v>385638</v>
      </c>
    </row>
    <row r="5" ht="60" customHeight="1">
      <c r="A5" s="7" t="inlineStr">
        <is>
          <t>Note: FY2017 Total Capital (£) and Total RWAs are left blank deliberately, not omitted by oversight: the FY2018 Pillar 3 document's FY2017 comparative discloses CET1/Tier 1 capital (£109,910k) and three ratios (CET1 16.6%, Total Capital 21.0%, Leverage 5.8%) but never states a Total Capital £ amount or a Total RWA £ amount directly, and the same document's own FY2017 credit-risk RWA figure (£629,000k) is larger than either of the two different 'implied total RWA' figures that back-solving from the two disclosed ratios would produce (~£523m assuming Total Capital = CET1 that year, or ~£662m assuming CET1 ratio alone pins down RWA) - these are inconsistent with each other and with the disclosed credit-risk RWA, so no single figure can be derived reliably. Rather than guess, these two cells are left blank for FY2017 only; the three ratios above are the source's own directly-stated figures and are populated.
FY2020 is the document's own directly-stated Total RWA figure; FY2014-2016, FY2018 and FY2019 are derived from that year's own disclosed Total Capital (or minimum capital requirement) divided by that year's own disclosed Total Capital ratio (or x12.5 of the minimum capital requirement) - both inputs to each derivation come from the same source document/year, not mixed across years.</t>
        </is>
      </c>
    </row>
    <row r="7" ht="17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RWA Breakdown</t>
        </is>
      </c>
    </row>
    <row r="2">
      <c r="A2" s="2" t="inlineStr">
        <is>
          <t>Consolidated (Company-only FY2014-2015) basis, £'000. FY2020 credit-risk exposure-class RWA summary is shown separately; FY2016/FY2017 remain unavailable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Risk-weighted assets by category</t>
        </is>
      </c>
      <c r="B4" s="6" t="n"/>
      <c r="C4" s="6" t="n"/>
      <c r="D4" s="6" t="n"/>
      <c r="E4" s="6" t="n"/>
      <c r="F4" s="6" t="n"/>
      <c r="G4" s="6" t="n"/>
      <c r="H4" s="6" t="n"/>
      <c r="I4" s="6" t="n"/>
      <c r="J4" s="6" t="n"/>
      <c r="K4" s="6" t="n"/>
      <c r="L4" s="6" t="n"/>
      <c r="M4" s="6" t="n"/>
    </row>
    <row r="5">
      <c r="A5" s="5" t="inlineStr">
        <is>
          <t>FY2020 credit-risk RWA by exposure class (source summary; not complete Pillar 1 total)</t>
        </is>
      </c>
      <c r="B5" s="6" t="n"/>
      <c r="C5" s="6" t="n"/>
      <c r="D5" s="6" t="n"/>
      <c r="E5" s="6" t="n"/>
      <c r="F5" s="6" t="n"/>
      <c r="G5" s="6" t="n"/>
      <c r="H5" s="6" t="n"/>
      <c r="I5" s="6" t="n"/>
      <c r="J5" s="6" t="n"/>
      <c r="K5" s="6" t="n"/>
      <c r="L5" s="6" t="n"/>
      <c r="M5" s="6" t="n"/>
    </row>
    <row r="6">
      <c r="A6" s="6" t="inlineStr">
        <is>
          <t>Central governments or central banks</t>
        </is>
      </c>
      <c r="B6" s="6" t="n"/>
      <c r="C6" s="6" t="n"/>
      <c r="D6" s="6" t="n"/>
      <c r="E6" s="6" t="n"/>
      <c r="F6" s="6" t="n"/>
      <c r="G6" s="6" t="n">
        <v>0</v>
      </c>
      <c r="H6" s="6" t="n"/>
      <c r="I6" s="6" t="n"/>
      <c r="J6" s="6" t="n"/>
      <c r="K6" s="6" t="n"/>
      <c r="L6" s="6" t="n"/>
      <c r="M6" s="6" t="n"/>
    </row>
    <row r="7">
      <c r="A7" s="6" t="inlineStr">
        <is>
          <t>Institutions</t>
        </is>
      </c>
      <c r="B7" s="6" t="n"/>
      <c r="C7" s="6" t="n"/>
      <c r="D7" s="6" t="n"/>
      <c r="E7" s="6" t="n"/>
      <c r="F7" s="6" t="n"/>
      <c r="G7" s="6" t="n">
        <v>9000</v>
      </c>
      <c r="H7" s="6" t="n"/>
      <c r="I7" s="6" t="n"/>
      <c r="J7" s="6" t="n"/>
      <c r="K7" s="6" t="n"/>
      <c r="L7" s="6" t="n"/>
      <c r="M7" s="6" t="n"/>
    </row>
    <row r="8">
      <c r="A8" s="6" t="inlineStr">
        <is>
          <t>Corporates</t>
        </is>
      </c>
      <c r="B8" s="6" t="n"/>
      <c r="C8" s="6" t="n"/>
      <c r="D8" s="6" t="n"/>
      <c r="E8" s="6" t="n"/>
      <c r="F8" s="6" t="n"/>
      <c r="G8" s="6" t="n">
        <v>401000</v>
      </c>
      <c r="H8" s="6" t="n"/>
      <c r="I8" s="6" t="n"/>
      <c r="J8" s="6" t="n"/>
      <c r="K8" s="6" t="n"/>
      <c r="L8" s="6" t="n"/>
      <c r="M8" s="6" t="n"/>
    </row>
    <row r="9">
      <c r="A9" s="6" t="inlineStr">
        <is>
          <t>Retail</t>
        </is>
      </c>
      <c r="B9" s="6" t="n"/>
      <c r="C9" s="6" t="n"/>
      <c r="D9" s="6" t="n"/>
      <c r="E9" s="6" t="n"/>
      <c r="F9" s="6" t="n"/>
      <c r="G9" s="6" t="n">
        <v>74000</v>
      </c>
      <c r="H9" s="6" t="n"/>
      <c r="I9" s="6" t="n"/>
      <c r="J9" s="6" t="n"/>
      <c r="K9" s="6" t="n"/>
      <c r="L9" s="6" t="n"/>
      <c r="M9" s="6" t="n"/>
    </row>
    <row r="10">
      <c r="A10" s="6" t="inlineStr">
        <is>
          <t>Secured by mortgages on immovable property</t>
        </is>
      </c>
      <c r="B10" s="6" t="n"/>
      <c r="C10" s="6" t="n"/>
      <c r="D10" s="6" t="n"/>
      <c r="E10" s="6" t="n"/>
      <c r="F10" s="6" t="n"/>
      <c r="G10" s="6" t="n">
        <v>638000</v>
      </c>
      <c r="H10" s="6" t="n"/>
      <c r="I10" s="6" t="n"/>
      <c r="J10" s="6" t="n"/>
      <c r="K10" s="6" t="n"/>
      <c r="L10" s="6" t="n"/>
      <c r="M10" s="6" t="n"/>
    </row>
    <row r="11">
      <c r="A11" s="6" t="inlineStr">
        <is>
          <t>Exposures in default</t>
        </is>
      </c>
      <c r="B11" s="6" t="n"/>
      <c r="C11" s="6" t="n"/>
      <c r="D11" s="6" t="n"/>
      <c r="E11" s="6" t="n"/>
      <c r="F11" s="6" t="n"/>
      <c r="G11" s="6" t="n">
        <v>30000</v>
      </c>
      <c r="H11" s="6" t="n"/>
      <c r="I11" s="6" t="n"/>
      <c r="J11" s="6" t="n"/>
      <c r="K11" s="6" t="n"/>
      <c r="L11" s="6" t="n"/>
      <c r="M11" s="6" t="n"/>
    </row>
    <row r="12">
      <c r="A12" s="6" t="inlineStr">
        <is>
          <t>Items associated with particularly high risk</t>
        </is>
      </c>
      <c r="B12" s="6" t="n"/>
      <c r="C12" s="6" t="n"/>
      <c r="D12" s="6" t="n"/>
      <c r="E12" s="6" t="n"/>
      <c r="F12" s="6" t="n"/>
      <c r="G12" s="6" t="n">
        <v>24000</v>
      </c>
      <c r="H12" s="6" t="n"/>
      <c r="I12" s="6" t="n"/>
      <c r="J12" s="6" t="n"/>
      <c r="K12" s="6" t="n"/>
      <c r="L12" s="6" t="n"/>
      <c r="M12" s="6" t="n"/>
    </row>
    <row r="13">
      <c r="A13" s="6" t="inlineStr">
        <is>
          <t>Other items</t>
        </is>
      </c>
      <c r="B13" s="6" t="n"/>
      <c r="C13" s="6" t="n"/>
      <c r="D13" s="6" t="n"/>
      <c r="E13" s="6" t="n"/>
      <c r="F13" s="6" t="n"/>
      <c r="G13" s="6" t="n">
        <v>19000</v>
      </c>
      <c r="H13" s="6" t="n"/>
      <c r="I13" s="6" t="n"/>
      <c r="J13" s="6" t="n"/>
      <c r="K13" s="6" t="n"/>
      <c r="L13" s="6" t="n"/>
      <c r="M13" s="6" t="n"/>
    </row>
    <row r="14">
      <c r="A14" s="5" t="inlineStr">
        <is>
          <t>Total credit-risk RWA (FY2020 source summary)</t>
        </is>
      </c>
      <c r="B14" s="5" t="n"/>
      <c r="C14" s="5" t="n"/>
      <c r="D14" s="5" t="n"/>
      <c r="E14" s="5" t="n"/>
      <c r="F14" s="5" t="n"/>
      <c r="G14" s="5" t="n">
        <v>1195000</v>
      </c>
      <c r="H14" s="5" t="n"/>
      <c r="I14" s="5" t="n"/>
      <c r="J14" s="5" t="n"/>
      <c r="K14" s="5" t="n"/>
      <c r="L14" s="5" t="n"/>
      <c r="M14" s="5" t="n"/>
    </row>
    <row r="15">
      <c r="A15" s="6" t="inlineStr">
        <is>
          <t>Credit risk RWA</t>
        </is>
      </c>
      <c r="B15" s="6" t="n"/>
      <c r="C15" s="6" t="n"/>
      <c r="D15" s="6" t="n"/>
      <c r="E15" s="6" t="n"/>
      <c r="F15" s="6" t="n"/>
      <c r="G15" s="6" t="n"/>
      <c r="H15" s="6" t="n">
        <v>1066000</v>
      </c>
      <c r="I15" s="6" t="n">
        <v>742000</v>
      </c>
      <c r="J15" s="6" t="n"/>
      <c r="K15" s="6" t="n"/>
      <c r="L15" s="6" t="n">
        <v>385977</v>
      </c>
      <c r="M15" s="6" t="n">
        <v>355707</v>
      </c>
    </row>
    <row r="16">
      <c r="A16" s="6" t="inlineStr">
        <is>
          <t>Operational risk RWA (derived from disclosed capital requirement x12.5)</t>
        </is>
      </c>
      <c r="B16" s="6" t="n"/>
      <c r="C16" s="6" t="n"/>
      <c r="D16" s="6" t="n"/>
      <c r="E16" s="6" t="n"/>
      <c r="F16" s="6" t="n"/>
      <c r="G16" s="6" t="n"/>
      <c r="H16" s="6" t="n"/>
      <c r="I16" s="6" t="n"/>
      <c r="J16" s="6" t="n"/>
      <c r="K16" s="6" t="n"/>
      <c r="L16" s="6" t="n">
        <v>30838</v>
      </c>
      <c r="M16" s="6" t="n">
        <v>29938</v>
      </c>
    </row>
    <row r="17">
      <c r="A17" s="5" t="inlineStr">
        <is>
          <t>Total RWA</t>
        </is>
      </c>
      <c r="B17" s="5" t="n"/>
      <c r="C17" s="5" t="n"/>
      <c r="D17" s="5" t="n"/>
      <c r="E17" s="5" t="n"/>
      <c r="F17" s="5" t="n"/>
      <c r="G17" s="5" t="n"/>
      <c r="H17" s="5" t="n">
        <v>1066000</v>
      </c>
      <c r="I17" s="5" t="n">
        <v>742000</v>
      </c>
      <c r="J17" s="5" t="n"/>
      <c r="K17" s="5" t="n"/>
      <c r="L17" s="5" t="n">
        <v>416815</v>
      </c>
      <c r="M17" s="5" t="n">
        <v>385645</v>
      </c>
    </row>
    <row r="19" ht="280" customHeight="1">
      <c r="A19"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
FY2020: Cynergy Bank Pillar 3 Disclosures 2020, 'Summary of On Balance Sheet Credit Risk Exposure', p.25 (source reports £m; converted to £'000) - https://www.cynergybank.co.uk/media/liqngpna/pillar-3-disclosures-2020.pdf
FY2016 and FY2017 are deliberately left blank on this sheet, not omitted by oversight: FY2016's Annual Report discloses only the aggregate Total Capital and ratio, no risk-category RWA split at all; FY2017 is left blank for the same reason given on the Total RWAs sheet (the disclosed ratios don't reliably pin down a single RWA figure that year). FY2020's own Pillar 3 document does disclose a summary of on-balance-sheet credit-risk RWA by exposure class (p.25); those figures are now included below as a separate credit-risk section. They are not the complete Total RWAs figure because the source does not provide the corresponding operational-risk/other Pillar 1 components at this granularity. FY2014/FY2015 Operational risk RWA is derived (that year's own disclosed operational risk capital requirement x12.5); FY2018/FY2019 only Credit risk RWA was located (no Operational/Market risk category breakdown found in either Pillar 3 document), so Total RWA on this sheet for those two years is Credit risk RWA alone and will not tie to the (higher) Total RWAs sheet figure for the same year - that gap is the other, undisclosed risk categories, not an error.</t>
        </is>
      </c>
    </row>
  </sheetData>
  <mergeCells count="1">
    <mergeCell ref="A19:M1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Leverage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n"/>
      <c r="C4" s="6" t="n"/>
      <c r="D4" s="6" t="n"/>
      <c r="E4" s="6" t="n"/>
      <c r="F4" s="6" t="n"/>
      <c r="G4" s="6" t="inlineStr">
        <is>
          <t>6.1%</t>
        </is>
      </c>
      <c r="H4" s="6" t="inlineStr">
        <is>
          <t>6.3%</t>
        </is>
      </c>
      <c r="I4" s="6" t="inlineStr">
        <is>
          <t>6.9%</t>
        </is>
      </c>
      <c r="J4" s="6" t="inlineStr">
        <is>
          <t>5.8%</t>
        </is>
      </c>
      <c r="K4" s="6" t="inlineStr">
        <is>
          <t>4.7%</t>
        </is>
      </c>
      <c r="L4" s="6" t="inlineStr">
        <is>
          <t>6.0%</t>
        </is>
      </c>
      <c r="M4" s="6" t="inlineStr">
        <is>
          <t>6.1%</t>
        </is>
      </c>
    </row>
    <row r="5" ht="60" customHeight="1">
      <c r="A5" s="7" t="inlineStr">
        <is>
          <t>Note: FY2020's Pillar 3 document states two different leverage exposure measure figures on different pages (£3,006,579k in the reconciliation table vs £2,953,625k in the common disclosure table) that would imply slightly different ratios from the same £182,844k Tier 1 capital - the document's own stated 6.1% ratio is used here rather than recomputing from either exposure figure. FY2018's own Pillar 3 document states 6.9% for FY2018; FY2019's Pillar 3 document's own FY2018 comparative instead shows 6.8% - each year's own report is used for its own figure (FY2018 = 6.9%), per this project's standing convention; the two documents disagree on FY2018 by 0.1pp.</t>
        </is>
      </c>
    </row>
    <row r="7" ht="17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LCR</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n"/>
      <c r="C4" s="6" t="n"/>
      <c r="D4" s="6" t="n"/>
      <c r="E4" s="6" t="n"/>
      <c r="F4" s="6" t="n"/>
      <c r="G4" s="6" t="inlineStr">
        <is>
          <t>340%</t>
        </is>
      </c>
      <c r="H4" s="6" t="n"/>
      <c r="I4" s="6" t="n"/>
      <c r="J4" s="6" t="n"/>
      <c r="K4" s="6" t="n"/>
      <c r="L4" s="6" t="n"/>
      <c r="M4" s="6" t="n"/>
    </row>
    <row r="6" ht="170" customHeight="1">
      <c r="A6"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1">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NSFR</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n"/>
      <c r="C4" s="6" t="n"/>
      <c r="D4" s="6" t="n"/>
      <c r="E4" s="6" t="n"/>
      <c r="F4" s="6" t="n"/>
      <c r="G4" s="6" t="inlineStr">
        <is>
          <t>132%</t>
        </is>
      </c>
      <c r="H4" s="6" t="n"/>
      <c r="I4" s="6" t="n"/>
      <c r="J4" s="6" t="n"/>
      <c r="K4" s="6" t="n"/>
      <c r="L4" s="6" t="n"/>
      <c r="M4" s="6" t="n"/>
    </row>
    <row r="6" ht="170" customHeight="1">
      <c r="A6"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1">
    <mergeCell ref="A6:M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See the Cash Flow Statement sheet's source note for the SDDT-regime context that plausibly explains this.</t>
        </is>
      </c>
    </row>
    <row r="7" ht="15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2026-09-06T14:14:14Z</dcterms:created>
  <dcterms:modified xsi:type="dcterms:W3CDTF">2026-09-06T14:14:14Z</dcterms:modified>
</cp:coreProperties>
</file>