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ser>
          <idx val="1"/>
          <order val="1"/>
          <tx>
            <strRef>
              <f>'Overview'!Y19</f>
            </strRef>
          </tx>
          <spPr>
            <a:ln xmlns:a="http://schemas.openxmlformats.org/drawingml/2006/main">
              <a:prstDash val="solid"/>
            </a:ln>
          </spPr>
          <cat>
            <numRef>
              <f>'Overview'!$Z$17:$AD$17</f>
            </numRef>
          </cat>
          <val>
            <numRef>
              <f>'Overview'!$Z$19:$AD$19</f>
            </numRef>
          </val>
        </ser>
        <ser>
          <idx val="2"/>
          <order val="2"/>
          <tx>
            <strRef>
              <f>'Overview'!Y20</f>
            </strRef>
          </tx>
          <spPr>
            <a:ln xmlns:a="http://schemas.openxmlformats.org/drawingml/2006/main">
              <a:prstDash val="solid"/>
            </a:ln>
          </spPr>
          <cat>
            <numRef>
              <f>'Overview'!$Z$17:$AD$17</f>
            </numRef>
          </cat>
          <val>
            <numRef>
              <f>'Overview'!$Z$20:$AD$20</f>
            </numRef>
          </val>
        </ser>
        <ser>
          <idx val="3"/>
          <order val="3"/>
          <tx>
            <strRef>
              <f>'Overview'!Y21</f>
            </strRef>
          </tx>
          <spPr>
            <a:ln xmlns:a="http://schemas.openxmlformats.org/drawingml/2006/main">
              <a:prstDash val="solid"/>
            </a:ln>
          </spPr>
          <cat>
            <numRef>
              <f>'Overview'!$Z$17:$AD$17</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2043128</v>
      </c>
      <c r="C6" s="5" t="n">
        <v>1964329</v>
      </c>
      <c r="D6" s="5" t="n">
        <v>1897815</v>
      </c>
      <c r="E6" s="5" t="n">
        <v>1876832</v>
      </c>
      <c r="F6" s="5" t="n">
        <v>1834464</v>
      </c>
      <c r="I6" t="inlineStr">
        <is>
          <t>Total assets</t>
        </is>
      </c>
      <c r="J6" t="n">
        <v>1834464</v>
      </c>
      <c r="K6" t="n">
        <v>1876832</v>
      </c>
      <c r="L6" t="n">
        <v>1897815</v>
      </c>
      <c r="M6" t="n">
        <v>1964329</v>
      </c>
      <c r="N6" t="n">
        <v>2043128</v>
      </c>
      <c r="AO6" t="inlineStr">
        <is>
          <t>CET1 Ratio</t>
        </is>
      </c>
      <c r="AP6" t="n">
        <v>21.2</v>
      </c>
      <c r="AQ6" t="n">
        <v>21.57</v>
      </c>
      <c r="AR6" t="n">
        <v>22.36</v>
      </c>
      <c r="AS6" t="n">
        <v>22.1</v>
      </c>
      <c r="AT6" t="n">
        <v>21.3</v>
      </c>
    </row>
    <row r="7">
      <c r="A7" s="5" t="inlineStr">
        <is>
          <t>Total liabilities</t>
        </is>
      </c>
      <c r="B7" s="5" t="n">
        <v>1834506</v>
      </c>
      <c r="C7" s="5" t="n">
        <v>1764141</v>
      </c>
      <c r="D7" s="5" t="n">
        <v>1701730</v>
      </c>
      <c r="E7" s="5" t="n">
        <v>1680735</v>
      </c>
      <c r="F7" s="5" t="n">
        <v>1647571</v>
      </c>
      <c r="I7" t="inlineStr">
        <is>
          <t>Total liabilities</t>
        </is>
      </c>
      <c r="J7" t="n">
        <v>1647571</v>
      </c>
      <c r="K7" t="n">
        <v>1680735</v>
      </c>
      <c r="L7" t="n">
        <v>1701730</v>
      </c>
      <c r="M7" t="n">
        <v>1764141</v>
      </c>
      <c r="N7" t="n">
        <v>1834506</v>
      </c>
      <c r="AO7" t="inlineStr">
        <is>
          <t>Tier 1 Ratio</t>
        </is>
      </c>
      <c r="AP7" t="n">
        <v>21.2</v>
      </c>
      <c r="AQ7" t="n">
        <v>21.57</v>
      </c>
      <c r="AR7" t="n">
        <v>22.36</v>
      </c>
      <c r="AS7" t="n">
        <v>22.1</v>
      </c>
      <c r="AT7" t="n">
        <v>21.3</v>
      </c>
    </row>
    <row r="8">
      <c r="A8" s="5" t="inlineStr">
        <is>
          <t>Total equity</t>
        </is>
      </c>
      <c r="B8" s="5" t="n">
        <v>208622</v>
      </c>
      <c r="C8" s="5" t="n">
        <v>200188</v>
      </c>
      <c r="D8" s="5" t="n">
        <v>196085</v>
      </c>
      <c r="E8" s="5" t="n">
        <v>196097</v>
      </c>
      <c r="F8" s="5" t="n">
        <v>186893</v>
      </c>
      <c r="I8" t="inlineStr">
        <is>
          <t>Total equity</t>
        </is>
      </c>
      <c r="J8" t="n">
        <v>186893</v>
      </c>
      <c r="K8" t="n">
        <v>196097</v>
      </c>
      <c r="L8" t="n">
        <v>196085</v>
      </c>
      <c r="M8" t="n">
        <v>200188</v>
      </c>
      <c r="N8" t="n">
        <v>208622</v>
      </c>
      <c r="AO8" t="inlineStr">
        <is>
          <t>Total Capital Ratio</t>
        </is>
      </c>
      <c r="AP8" t="n">
        <v>21.8</v>
      </c>
      <c r="AQ8" t="n">
        <v>22.2</v>
      </c>
      <c r="AR8" t="n">
        <v>23.02</v>
      </c>
      <c r="AS8" t="n">
        <v>22.7</v>
      </c>
      <c r="AT8" t="n">
        <v>21.3</v>
      </c>
    </row>
    <row r="9">
      <c r="AO9" t="inlineStr">
        <is>
          <t>Leverage Ratio</t>
        </is>
      </c>
      <c r="AP9" t="n">
        <v>9.300000000000001</v>
      </c>
      <c r="AQ9" t="n">
        <v>11.73</v>
      </c>
      <c r="AR9" t="n">
        <v>11.57</v>
      </c>
      <c r="AS9" t="n">
        <v>11.27</v>
      </c>
    </row>
    <row r="10">
      <c r="A10" s="3" t="inlineStr">
        <is>
          <t>Profit &amp; Loss Summary (£'000)</t>
        </is>
      </c>
      <c r="AO10" t="inlineStr">
        <is>
          <t>LCR</t>
        </is>
      </c>
      <c r="AP10" t="n">
        <v>413.6</v>
      </c>
      <c r="AQ10" t="n">
        <v>442.7</v>
      </c>
      <c r="AR10" t="n">
        <v>420.8</v>
      </c>
      <c r="AS10" t="n">
        <v>471.1</v>
      </c>
      <c r="AT10" t="n">
        <v>446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Q11" t="n">
        <v>181</v>
      </c>
      <c r="AR11" t="n">
        <v>188</v>
      </c>
      <c r="AS11" t="n">
        <v>206</v>
      </c>
    </row>
    <row r="12">
      <c r="A12" s="5" t="inlineStr">
        <is>
          <t>Total income</t>
        </is>
      </c>
      <c r="B12" s="5" t="n">
        <v>61603</v>
      </c>
      <c r="C12" s="5" t="n">
        <v>57338</v>
      </c>
      <c r="D12" s="5" t="n">
        <v>55645</v>
      </c>
      <c r="E12" s="5" t="n">
        <v>47860</v>
      </c>
      <c r="F12" s="5" t="n">
        <v>39108</v>
      </c>
      <c r="Q12" t="inlineStr">
        <is>
          <t>Total income</t>
        </is>
      </c>
      <c r="R12" t="n">
        <v>39108</v>
      </c>
      <c r="S12" t="n">
        <v>47860</v>
      </c>
      <c r="T12" t="n">
        <v>55645</v>
      </c>
      <c r="U12" t="n">
        <v>57338</v>
      </c>
      <c r="V12" t="n">
        <v>61603</v>
      </c>
    </row>
    <row r="13">
      <c r="A13" s="5" t="inlineStr">
        <is>
          <t>Profit on ordinary activities before tax</t>
        </is>
      </c>
      <c r="B13" s="5" t="n">
        <v>18175</v>
      </c>
      <c r="C13" s="5" t="n">
        <v>6970</v>
      </c>
      <c r="D13" s="5" t="n">
        <v>2915</v>
      </c>
      <c r="E13" s="5" t="n">
        <v>10201</v>
      </c>
      <c r="F13" s="5" t="n">
        <v>8478</v>
      </c>
      <c r="Q13" t="inlineStr">
        <is>
          <t>Profit on ordinary activities before tax</t>
        </is>
      </c>
      <c r="R13" t="n">
        <v>8478</v>
      </c>
      <c r="S13" t="n">
        <v>10201</v>
      </c>
      <c r="T13" t="n">
        <v>2915</v>
      </c>
      <c r="U13" t="n">
        <v>6970</v>
      </c>
      <c r="V13" t="n">
        <v>18175</v>
      </c>
    </row>
    <row r="14">
      <c r="A14" s="5" t="inlineStr">
        <is>
          <t>Profit and total comprehensive income for the year</t>
        </is>
      </c>
      <c r="B14" s="5" t="n">
        <v>13928</v>
      </c>
      <c r="C14" s="5" t="n">
        <v>5503</v>
      </c>
      <c r="D14" s="5" t="n">
        <v>2788</v>
      </c>
      <c r="E14" s="5" t="n">
        <v>9204</v>
      </c>
      <c r="F14" s="5" t="n">
        <v>7841</v>
      </c>
      <c r="Q14" t="inlineStr">
        <is>
          <t>Profit and total comprehensive income for the year</t>
        </is>
      </c>
      <c r="R14" t="n">
        <v>7841</v>
      </c>
      <c r="S14" t="n">
        <v>9204</v>
      </c>
      <c r="T14" t="n">
        <v>2788</v>
      </c>
      <c r="U14" t="n">
        <v>5503</v>
      </c>
      <c r="V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Opening equity</t>
        </is>
      </c>
      <c r="B18" s="5" t="n">
        <v>200188</v>
      </c>
      <c r="C18" s="5" t="n">
        <v>196085</v>
      </c>
      <c r="D18" s="5" t="n">
        <v>196097</v>
      </c>
      <c r="E18" s="5" t="n">
        <v>186893</v>
      </c>
      <c r="F18" s="5" t="n">
        <v>181352</v>
      </c>
      <c r="Y18" t="inlineStr">
        <is>
          <t>Opening equity</t>
        </is>
      </c>
      <c r="Z18" t="n">
        <v>181352</v>
      </c>
      <c r="AA18" t="n">
        <v>186893</v>
      </c>
      <c r="AB18" t="n">
        <v>196097</v>
      </c>
      <c r="AC18" t="n">
        <v>196085</v>
      </c>
      <c r="AD18" t="n">
        <v>200188</v>
      </c>
    </row>
    <row r="19">
      <c r="A19" s="5" t="inlineStr">
        <is>
          <t>Profit for the year</t>
        </is>
      </c>
      <c r="B19" s="5" t="n">
        <v>13930</v>
      </c>
      <c r="C19" s="5" t="n">
        <v>5503</v>
      </c>
      <c r="D19" s="5" t="n">
        <v>2788</v>
      </c>
      <c r="E19" s="5" t="n">
        <v>9204</v>
      </c>
      <c r="F19" s="5" t="n">
        <v>7841</v>
      </c>
      <c r="Y19" t="inlineStr">
        <is>
          <t>Profit for the year</t>
        </is>
      </c>
      <c r="Z19" t="n">
        <v>7841</v>
      </c>
      <c r="AA19" t="n">
        <v>9204</v>
      </c>
      <c r="AB19" t="n">
        <v>2788</v>
      </c>
      <c r="AC19" t="n">
        <v>5503</v>
      </c>
      <c r="AD19" t="n">
        <v>13930</v>
      </c>
    </row>
    <row r="20">
      <c r="A20" s="5" t="inlineStr">
        <is>
          <t>Other equity movements, net</t>
        </is>
      </c>
      <c r="B20" s="5" t="n">
        <v>-5500</v>
      </c>
      <c r="C20" s="5" t="n">
        <v>-1400</v>
      </c>
      <c r="D20" s="5" t="n">
        <v>-2800</v>
      </c>
      <c r="E20" s="5" t="n">
        <v>0</v>
      </c>
      <c r="F20" s="5" t="n">
        <v>-2300</v>
      </c>
      <c r="Y20" t="inlineStr">
        <is>
          <t>Other equity movements, net</t>
        </is>
      </c>
      <c r="Z20" t="n">
        <v>-2300</v>
      </c>
      <c r="AA20" t="n">
        <v>0</v>
      </c>
      <c r="AB20" t="n">
        <v>-2800</v>
      </c>
      <c r="AC20" t="n">
        <v>-1400</v>
      </c>
      <c r="AD20" t="n">
        <v>-5500</v>
      </c>
    </row>
    <row r="21">
      <c r="A21" s="5" t="inlineStr">
        <is>
          <t>Closing equity</t>
        </is>
      </c>
      <c r="B21" s="5" t="n">
        <v>208618</v>
      </c>
      <c r="C21" s="5" t="n">
        <v>200188</v>
      </c>
      <c r="D21" s="5" t="n">
        <v>196085</v>
      </c>
      <c r="E21" s="5" t="n">
        <v>196097</v>
      </c>
      <c r="F21" s="5" t="n">
        <v>186893</v>
      </c>
      <c r="Y21" t="inlineStr">
        <is>
          <t>Closing equity</t>
        </is>
      </c>
      <c r="Z21" t="n">
        <v>186893</v>
      </c>
      <c r="AA21" t="n">
        <v>196097</v>
      </c>
      <c r="AB21" t="n">
        <v>196085</v>
      </c>
      <c r="AC21" t="n">
        <v>200188</v>
      </c>
      <c r="AD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Cash flow from operating activities</t>
        </is>
      </c>
      <c r="B25" s="5" t="n">
        <v>72976</v>
      </c>
      <c r="C25" s="5" t="n">
        <v>86371</v>
      </c>
      <c r="D25" s="5" t="n">
        <v>31877</v>
      </c>
      <c r="E25" s="5" t="n">
        <v>55072</v>
      </c>
      <c r="F25" s="5" t="n">
        <v>138909</v>
      </c>
      <c r="AG25" t="inlineStr">
        <is>
          <t>Cash flow from operating activities</t>
        </is>
      </c>
      <c r="AH25" t="n">
        <v>138909</v>
      </c>
      <c r="AI25" t="n">
        <v>55072</v>
      </c>
      <c r="AJ25" t="n">
        <v>31877</v>
      </c>
      <c r="AK25" t="n">
        <v>86371</v>
      </c>
      <c r="AL25" t="n">
        <v>72976</v>
      </c>
    </row>
    <row r="26">
      <c r="A26" s="5" t="inlineStr">
        <is>
          <t>Net cash from/(used in) investing activities</t>
        </is>
      </c>
      <c r="B26" s="5" t="n">
        <v>-83688</v>
      </c>
      <c r="C26" s="5" t="n">
        <v>-89472</v>
      </c>
      <c r="D26" s="5" t="n">
        <v>-109476</v>
      </c>
      <c r="E26" s="5" t="n">
        <v>-77389</v>
      </c>
      <c r="F26" s="5" t="n">
        <v>-117873</v>
      </c>
      <c r="AG26" t="inlineStr">
        <is>
          <t>Net cash from/(used in) investing activities</t>
        </is>
      </c>
      <c r="AH26" t="n">
        <v>-117873</v>
      </c>
      <c r="AI26" t="n">
        <v>-77389</v>
      </c>
      <c r="AJ26" t="n">
        <v>-109476</v>
      </c>
      <c r="AK26" t="n">
        <v>-89472</v>
      </c>
      <c r="AL26" t="n">
        <v>-83688</v>
      </c>
    </row>
    <row r="27">
      <c r="A27" s="5" t="inlineStr">
        <is>
          <t>Net cash from/(used in) financing activities</t>
        </is>
      </c>
      <c r="B27" s="5" t="n">
        <v>-11291</v>
      </c>
      <c r="C27" s="5" t="n">
        <v>-1575</v>
      </c>
      <c r="D27" s="5" t="n">
        <v>-2965</v>
      </c>
      <c r="E27" s="5" t="n">
        <v>-164</v>
      </c>
      <c r="F27" s="5" t="n">
        <v>-2423</v>
      </c>
      <c r="AG27" t="inlineStr">
        <is>
          <t>Net cash from/(used in) financing activities</t>
        </is>
      </c>
      <c r="AH27" t="n">
        <v>-2423</v>
      </c>
      <c r="AI27" t="n">
        <v>-164</v>
      </c>
      <c r="AJ27" t="n">
        <v>-2965</v>
      </c>
      <c r="AK27" t="n">
        <v>-1575</v>
      </c>
      <c r="AL27" t="n">
        <v>-11291</v>
      </c>
    </row>
    <row r="28">
      <c r="A28" s="5" t="inlineStr">
        <is>
          <t>Cash and cash equivalents at end of year</t>
        </is>
      </c>
      <c r="B28" s="5" t="n">
        <v>287274</v>
      </c>
      <c r="C28" s="5" t="n">
        <v>309277</v>
      </c>
      <c r="D28" s="5" t="n">
        <v>313953</v>
      </c>
      <c r="E28" s="5" t="n">
        <v>394517</v>
      </c>
      <c r="F28" s="5" t="n">
        <v>416998</v>
      </c>
      <c r="AG28" t="inlineStr">
        <is>
          <t>Cash and cash equivalents at end of year</t>
        </is>
      </c>
      <c r="AH28" t="n">
        <v>416998</v>
      </c>
      <c r="AI28" t="n">
        <v>394517</v>
      </c>
      <c r="AJ28" t="n">
        <v>313953</v>
      </c>
      <c r="AK28" t="n">
        <v>309277</v>
      </c>
      <c r="AL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21.3%</t>
        </is>
      </c>
      <c r="C32" s="6" t="inlineStr">
        <is>
          <t>22.1%</t>
        </is>
      </c>
      <c r="D32" s="6" t="inlineStr">
        <is>
          <t>22.36%</t>
        </is>
      </c>
      <c r="E32" s="6" t="inlineStr">
        <is>
          <t>21.57%</t>
        </is>
      </c>
      <c r="F32" s="6" t="inlineStr">
        <is>
          <t>21.2%</t>
        </is>
      </c>
    </row>
    <row r="33">
      <c r="A33" s="6" t="inlineStr">
        <is>
          <t>Tier 1 Ratio</t>
        </is>
      </c>
      <c r="B33" s="6" t="inlineStr">
        <is>
          <t>21.3%</t>
        </is>
      </c>
      <c r="C33" s="6" t="inlineStr">
        <is>
          <t>22.1%</t>
        </is>
      </c>
      <c r="D33" s="6" t="inlineStr">
        <is>
          <t>22.36%</t>
        </is>
      </c>
      <c r="E33" s="6" t="inlineStr">
        <is>
          <t>21.57%</t>
        </is>
      </c>
      <c r="F33" s="6" t="inlineStr">
        <is>
          <t>21.2%</t>
        </is>
      </c>
    </row>
    <row r="34">
      <c r="A34" s="6" t="inlineStr">
        <is>
          <t>Total Capital Ratio</t>
        </is>
      </c>
      <c r="B34" s="6" t="inlineStr">
        <is>
          <t>21.3%</t>
        </is>
      </c>
      <c r="C34" s="6" t="inlineStr">
        <is>
          <t>22.7%</t>
        </is>
      </c>
      <c r="D34" s="6" t="inlineStr">
        <is>
          <t>23.02%</t>
        </is>
      </c>
      <c r="E34" s="6" t="inlineStr">
        <is>
          <t>22.20%</t>
        </is>
      </c>
      <c r="F34" s="6" t="inlineStr">
        <is>
          <t>21.8%</t>
        </is>
      </c>
    </row>
    <row r="35">
      <c r="A35" s="6" t="inlineStr">
        <is>
          <t>Leverage Ratio</t>
        </is>
      </c>
      <c r="B35" s="6" t="n"/>
      <c r="C35" s="6" t="inlineStr">
        <is>
          <t>11.27%</t>
        </is>
      </c>
      <c r="D35" s="6" t="inlineStr">
        <is>
          <t>11.57%</t>
        </is>
      </c>
      <c r="E35" s="6" t="inlineStr">
        <is>
          <t>11.73%</t>
        </is>
      </c>
      <c r="F35" s="6" t="inlineStr">
        <is>
          <t>9.3%</t>
        </is>
      </c>
    </row>
    <row r="36">
      <c r="A36" s="6" t="inlineStr">
        <is>
          <t>LCR</t>
        </is>
      </c>
      <c r="B36" s="6" t="inlineStr">
        <is>
          <t>446%</t>
        </is>
      </c>
      <c r="C36" s="6" t="inlineStr">
        <is>
          <t>471.1%</t>
        </is>
      </c>
      <c r="D36" s="6" t="inlineStr">
        <is>
          <t>420.8%</t>
        </is>
      </c>
      <c r="E36" s="6" t="inlineStr">
        <is>
          <t>442.7%</t>
        </is>
      </c>
      <c r="F36" s="6" t="inlineStr">
        <is>
          <t>413.6%</t>
        </is>
      </c>
    </row>
    <row r="37">
      <c r="A37" s="6" t="inlineStr">
        <is>
          <t>NSFR</t>
        </is>
      </c>
      <c r="B37" s="6" t="n"/>
      <c r="C37" s="6" t="inlineStr">
        <is>
          <t>206%</t>
        </is>
      </c>
      <c r="D37" s="6" t="inlineStr">
        <is>
          <t>188%</t>
        </is>
      </c>
      <c r="E37" s="6" t="inlineStr">
        <is>
          <t>181%</t>
        </is>
      </c>
      <c r="F37" s="6" t="n"/>
    </row>
    <row r="39" ht="45" customHeight="1">
      <c r="A39" s="7" t="inlineStr">
        <is>
          <t>Note: Figures are duplicated from the detail sheets for at-a-glance trend viewing; see each sheet's own source citation for the underlying document/page. No FY2025 Pillar 3 report has been published yet, so Leverage Ratio and NSFR are blank for FY2025 (Total RWAs on that sheet is a calculated figure for FY2025 - see its own note). TBUK does not take the FRS 101/102 cash-flow exemption used by several other single-parent foreign subsidiary banks in this project - a full Statement of Cash Flows exists for all 5 years.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Triodos Bank UK Limited — Balance Sheet</t>
        </is>
      </c>
    </row>
    <row r="2">
      <c r="A2" s="2" t="inlineStr">
        <is>
          <t>TBUK entity-level (Company) basis, £'000. Total assets = Total liabilities + Total equity for every year. FY2025 Total equity has a genuine £4k gap against the Statement of Changes in Equity sheet's own closing figure - see source note, not a plug.</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269090</v>
      </c>
      <c r="C5" s="6" t="n">
        <v>298593</v>
      </c>
      <c r="D5" s="6" t="n">
        <v>282378</v>
      </c>
      <c r="E5" s="6" t="n">
        <v>359906</v>
      </c>
      <c r="F5" s="6" t="n">
        <v>374820</v>
      </c>
    </row>
    <row r="6">
      <c r="A6" s="6" t="inlineStr">
        <is>
          <t>On demand deposits with credit institutions</t>
        </is>
      </c>
      <c r="B6" s="6" t="n">
        <v>18184</v>
      </c>
      <c r="C6" s="6" t="n">
        <v>10684</v>
      </c>
      <c r="D6" s="6" t="n"/>
      <c r="E6" s="6" t="n"/>
      <c r="F6" s="6" t="n"/>
    </row>
    <row r="7">
      <c r="A7" s="6" t="inlineStr">
        <is>
          <t>Loans and advances to credit institutions</t>
        </is>
      </c>
      <c r="B7" s="6" t="n"/>
      <c r="C7" s="6" t="n"/>
      <c r="D7" s="6" t="n">
        <v>31575</v>
      </c>
      <c r="E7" s="6" t="n">
        <v>34611</v>
      </c>
      <c r="F7" s="6" t="n">
        <v>42177</v>
      </c>
    </row>
    <row r="8">
      <c r="A8" s="6" t="inlineStr">
        <is>
          <t>Loans and advances to customers</t>
        </is>
      </c>
      <c r="B8" s="6" t="n">
        <v>1098334</v>
      </c>
      <c r="C8" s="6" t="n">
        <v>1088413</v>
      </c>
      <c r="D8" s="6" t="n">
        <v>1111377</v>
      </c>
      <c r="E8" s="6" t="n">
        <v>1121305</v>
      </c>
      <c r="F8" s="6" t="n">
        <v>1132132</v>
      </c>
    </row>
    <row r="9">
      <c r="A9" s="6" t="inlineStr">
        <is>
          <t>Debt securities</t>
        </is>
      </c>
      <c r="B9" s="6" t="n">
        <v>643064</v>
      </c>
      <c r="C9" s="6" t="n">
        <v>551669</v>
      </c>
      <c r="D9" s="6" t="n">
        <v>456689</v>
      </c>
      <c r="E9" s="6" t="n">
        <v>345801</v>
      </c>
      <c r="F9" s="6" t="n">
        <v>269035</v>
      </c>
    </row>
    <row r="10">
      <c r="A10" s="6" t="inlineStr">
        <is>
          <t>Intangible fixed assets</t>
        </is>
      </c>
      <c r="B10" s="6" t="n">
        <v>1183</v>
      </c>
      <c r="C10" s="6" t="n">
        <v>1371</v>
      </c>
      <c r="D10" s="6" t="n">
        <v>927</v>
      </c>
      <c r="E10" s="6" t="n">
        <v>1162</v>
      </c>
      <c r="F10" s="6" t="n">
        <v>1183</v>
      </c>
    </row>
    <row r="11">
      <c r="A11" s="6" t="inlineStr">
        <is>
          <t>Property, plant and equipment</t>
        </is>
      </c>
      <c r="B11" s="6" t="n">
        <v>10497</v>
      </c>
      <c r="C11" s="6" t="n">
        <v>11032</v>
      </c>
      <c r="D11" s="6" t="n">
        <v>11230</v>
      </c>
      <c r="E11" s="6" t="n">
        <v>11624</v>
      </c>
      <c r="F11" s="6" t="n">
        <v>11957</v>
      </c>
    </row>
    <row r="12">
      <c r="A12" s="6" t="inlineStr">
        <is>
          <t>Right of use assets</t>
        </is>
      </c>
      <c r="B12" s="6" t="n">
        <v>733</v>
      </c>
      <c r="C12" s="6" t="n">
        <v>766</v>
      </c>
      <c r="D12" s="6" t="n">
        <v>912</v>
      </c>
      <c r="E12" s="6" t="n">
        <v>1049</v>
      </c>
      <c r="F12" s="6" t="n">
        <v>1180</v>
      </c>
    </row>
    <row r="13">
      <c r="A13" s="6" t="inlineStr">
        <is>
          <t>Deferred tax asset</t>
        </is>
      </c>
      <c r="B13" s="6" t="n">
        <v>325</v>
      </c>
      <c r="C13" s="6" t="n">
        <v>254</v>
      </c>
      <c r="D13" s="6" t="n">
        <v>288</v>
      </c>
      <c r="E13" s="6" t="n">
        <v>235</v>
      </c>
      <c r="F13" s="6" t="n">
        <v>238</v>
      </c>
    </row>
    <row r="14">
      <c r="A14" s="6" t="inlineStr">
        <is>
          <t>Current tax asset</t>
        </is>
      </c>
      <c r="B14" s="6" t="n"/>
      <c r="C14" s="6" t="n"/>
      <c r="D14" s="6" t="n">
        <v>640</v>
      </c>
      <c r="E14" s="6" t="n"/>
      <c r="F14" s="6" t="n"/>
    </row>
    <row r="15">
      <c r="A15" s="6" t="inlineStr">
        <is>
          <t>Other assets</t>
        </is>
      </c>
      <c r="B15" s="6" t="n">
        <v>1718</v>
      </c>
      <c r="C15" s="6" t="n">
        <v>1547</v>
      </c>
      <c r="D15" s="6" t="n">
        <v>1799</v>
      </c>
      <c r="E15" s="6" t="n">
        <v>1139</v>
      </c>
      <c r="F15" s="6" t="n">
        <v>1742</v>
      </c>
    </row>
    <row r="16">
      <c r="A16" s="5" t="inlineStr">
        <is>
          <t>Total assets</t>
        </is>
      </c>
      <c r="B16" s="5" t="n">
        <v>2043128</v>
      </c>
      <c r="C16" s="5" t="n">
        <v>1964329</v>
      </c>
      <c r="D16" s="5" t="n">
        <v>1897815</v>
      </c>
      <c r="E16" s="5" t="n">
        <v>1876832</v>
      </c>
      <c r="F16" s="5" t="n">
        <v>1834464</v>
      </c>
    </row>
    <row r="17">
      <c r="A17" s="5" t="inlineStr">
        <is>
          <t>Liabilities</t>
        </is>
      </c>
      <c r="B17" s="6" t="n"/>
      <c r="C17" s="6" t="n"/>
      <c r="D17" s="6" t="n"/>
      <c r="E17" s="6" t="n"/>
      <c r="F17" s="6" t="n"/>
    </row>
    <row r="18">
      <c r="A18" s="6" t="inlineStr">
        <is>
          <t>Deposits from credit institutions</t>
        </is>
      </c>
      <c r="B18" s="6" t="n">
        <v>9760</v>
      </c>
      <c r="C18" s="6" t="n">
        <v>12743</v>
      </c>
      <c r="D18" s="6" t="n">
        <v>18008</v>
      </c>
      <c r="E18" s="6" t="n">
        <v>24692</v>
      </c>
      <c r="F18" s="6" t="n">
        <v>27899</v>
      </c>
    </row>
    <row r="19">
      <c r="A19" s="6" t="inlineStr">
        <is>
          <t>Customer accounts</t>
        </is>
      </c>
      <c r="B19" s="6" t="n">
        <v>1817763</v>
      </c>
      <c r="C19" s="6" t="n">
        <v>1736002</v>
      </c>
      <c r="D19" s="6" t="n">
        <v>1664051</v>
      </c>
      <c r="E19" s="6" t="n">
        <v>1641905</v>
      </c>
      <c r="F19" s="6" t="n">
        <v>1607602</v>
      </c>
    </row>
    <row r="20">
      <c r="A20" s="6" t="inlineStr">
        <is>
          <t>Debt issued</t>
        </is>
      </c>
      <c r="B20" s="6" t="n"/>
      <c r="C20" s="6" t="n">
        <v>5736</v>
      </c>
      <c r="D20" s="6" t="n">
        <v>5736</v>
      </c>
      <c r="E20" s="6" t="n">
        <v>5733</v>
      </c>
      <c r="F20" s="6" t="n">
        <v>5736</v>
      </c>
    </row>
    <row r="21">
      <c r="A21" s="6" t="inlineStr">
        <is>
          <t>Lease liabilities</t>
        </is>
      </c>
      <c r="B21" s="6" t="n">
        <v>764</v>
      </c>
      <c r="C21" s="6" t="n">
        <v>803</v>
      </c>
      <c r="D21" s="6" t="n">
        <v>950</v>
      </c>
      <c r="E21" s="6" t="n">
        <v>1080</v>
      </c>
      <c r="F21" s="6" t="n">
        <v>1205</v>
      </c>
    </row>
    <row r="22">
      <c r="A22" s="6" t="inlineStr">
        <is>
          <t>Current tax</t>
        </is>
      </c>
      <c r="B22" s="6" t="n">
        <v>2205</v>
      </c>
      <c r="C22" s="6" t="n">
        <v>477</v>
      </c>
      <c r="D22" s="6" t="n"/>
      <c r="E22" s="6" t="n">
        <v>317</v>
      </c>
      <c r="F22" s="6" t="n">
        <v>382</v>
      </c>
    </row>
    <row r="23">
      <c r="A23" s="6" t="inlineStr">
        <is>
          <t>Other liabilities</t>
        </is>
      </c>
      <c r="B23" s="6" t="n">
        <v>3470</v>
      </c>
      <c r="C23" s="6" t="n">
        <v>7305</v>
      </c>
      <c r="D23" s="6" t="n">
        <v>12730</v>
      </c>
      <c r="E23" s="6" t="n">
        <v>6674</v>
      </c>
      <c r="F23" s="6" t="n">
        <v>3886</v>
      </c>
    </row>
    <row r="24">
      <c r="A24" s="6" t="inlineStr">
        <is>
          <t>Provisions</t>
        </is>
      </c>
      <c r="B24" s="6" t="n">
        <v>544</v>
      </c>
      <c r="C24" s="6" t="n">
        <v>1075</v>
      </c>
      <c r="D24" s="6" t="n">
        <v>255</v>
      </c>
      <c r="E24" s="6" t="n">
        <v>334</v>
      </c>
      <c r="F24" s="6" t="n">
        <v>861</v>
      </c>
    </row>
    <row r="25">
      <c r="A25" s="5" t="inlineStr">
        <is>
          <t>Total liabilities</t>
        </is>
      </c>
      <c r="B25" s="5" t="n">
        <v>1834506</v>
      </c>
      <c r="C25" s="5" t="n">
        <v>1764141</v>
      </c>
      <c r="D25" s="5" t="n">
        <v>1701730</v>
      </c>
      <c r="E25" s="5" t="n">
        <v>1680735</v>
      </c>
      <c r="F25" s="5" t="n">
        <v>1647571</v>
      </c>
    </row>
    <row r="26">
      <c r="A26" s="5" t="inlineStr">
        <is>
          <t>Equity</t>
        </is>
      </c>
      <c r="B26" s="6" t="n"/>
      <c r="C26" s="6" t="n"/>
      <c r="D26" s="6" t="n"/>
      <c r="E26" s="6" t="n"/>
      <c r="F26" s="6" t="n"/>
    </row>
    <row r="27">
      <c r="A27" s="6" t="inlineStr">
        <is>
          <t>Called up share capital</t>
        </is>
      </c>
      <c r="B27" s="6" t="n">
        <v>172000</v>
      </c>
      <c r="C27" s="6" t="n">
        <v>172000</v>
      </c>
      <c r="D27" s="6" t="n">
        <v>172000</v>
      </c>
      <c r="E27" s="6" t="n">
        <v>172000</v>
      </c>
      <c r="F27" s="6" t="n">
        <v>172000</v>
      </c>
    </row>
    <row r="28">
      <c r="A28" s="6" t="inlineStr">
        <is>
          <t>Merger reserve</t>
        </is>
      </c>
      <c r="B28" s="6" t="n">
        <v>55</v>
      </c>
      <c r="C28" s="6" t="n">
        <v>55</v>
      </c>
      <c r="D28" s="6" t="n">
        <v>55</v>
      </c>
      <c r="E28" s="6" t="n">
        <v>55</v>
      </c>
      <c r="F28" s="6" t="n">
        <v>55</v>
      </c>
    </row>
    <row r="29">
      <c r="A29" s="6" t="inlineStr">
        <is>
          <t>Retained earnings</t>
        </is>
      </c>
      <c r="B29" s="6" t="n">
        <v>36567</v>
      </c>
      <c r="C29" s="6" t="n">
        <v>28133</v>
      </c>
      <c r="D29" s="6" t="n">
        <v>24030</v>
      </c>
      <c r="E29" s="6" t="n">
        <v>24042</v>
      </c>
      <c r="F29" s="6" t="n">
        <v>14838</v>
      </c>
    </row>
    <row r="30">
      <c r="A30" s="5" t="inlineStr">
        <is>
          <t>Total equity</t>
        </is>
      </c>
      <c r="B30" s="5" t="n">
        <v>208622</v>
      </c>
      <c r="C30" s="5" t="n">
        <v>200188</v>
      </c>
      <c r="D30" s="5" t="n">
        <v>196085</v>
      </c>
      <c r="E30" s="5" t="n">
        <v>196097</v>
      </c>
      <c r="F30" s="5" t="n">
        <v>186893</v>
      </c>
    </row>
    <row r="31">
      <c r="A31" s="5" t="inlineStr">
        <is>
          <t>Total equity and liabilities</t>
        </is>
      </c>
      <c r="B31" s="5" t="n">
        <v>2043128</v>
      </c>
      <c r="C31" s="5" t="n">
        <v>1964329</v>
      </c>
      <c r="D31" s="5" t="n">
        <v>1897815</v>
      </c>
      <c r="E31" s="5" t="n">
        <v>1876832</v>
      </c>
      <c r="F31" s="5" t="n">
        <v>1834464</v>
      </c>
    </row>
    <row r="33" ht="320" customHeight="1">
      <c r="A33"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FY2021-FY2024 - all four of those years tie to the pound across all three statements.</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98092</v>
      </c>
      <c r="C5" s="6" t="n">
        <v>98818</v>
      </c>
      <c r="D5" s="6" t="n">
        <v>88278</v>
      </c>
      <c r="E5" s="6" t="n">
        <v>53932</v>
      </c>
      <c r="F5" s="6" t="n">
        <v>39075</v>
      </c>
    </row>
    <row r="6">
      <c r="A6" s="6" t="inlineStr">
        <is>
          <t>Interest expense</t>
        </is>
      </c>
      <c r="B6" s="6" t="n">
        <v>-39517</v>
      </c>
      <c r="C6" s="6" t="n">
        <v>-43573</v>
      </c>
      <c r="D6" s="6" t="n">
        <v>-34637</v>
      </c>
      <c r="E6" s="6" t="n">
        <v>-8528</v>
      </c>
      <c r="F6" s="6" t="n">
        <v>-2900</v>
      </c>
    </row>
    <row r="7">
      <c r="A7" s="5" t="inlineStr">
        <is>
          <t>Net interest income</t>
        </is>
      </c>
      <c r="B7" s="5" t="n">
        <v>58575</v>
      </c>
      <c r="C7" s="5" t="n">
        <v>55245</v>
      </c>
      <c r="D7" s="5" t="n">
        <v>53641</v>
      </c>
      <c r="E7" s="5" t="n">
        <v>45404</v>
      </c>
      <c r="F7" s="5" t="n">
        <v>36175</v>
      </c>
    </row>
    <row r="8">
      <c r="A8" s="6" t="inlineStr">
        <is>
          <t>Fee and commission income</t>
        </is>
      </c>
      <c r="B8" s="6" t="n">
        <v>4561</v>
      </c>
      <c r="C8" s="6" t="n">
        <v>4077</v>
      </c>
      <c r="D8" s="6" t="n">
        <v>4348</v>
      </c>
      <c r="E8" s="6" t="n">
        <v>4387</v>
      </c>
      <c r="F8" s="6" t="n">
        <v>4221</v>
      </c>
    </row>
    <row r="9">
      <c r="A9" s="6" t="inlineStr">
        <is>
          <t>Fee and commission expense</t>
        </is>
      </c>
      <c r="B9" s="6" t="n">
        <v>-1449</v>
      </c>
      <c r="C9" s="6" t="n">
        <v>-2031</v>
      </c>
      <c r="D9" s="6" t="n">
        <v>-2295</v>
      </c>
      <c r="E9" s="6" t="n">
        <v>-1985</v>
      </c>
      <c r="F9" s="6" t="n">
        <v>-1520</v>
      </c>
    </row>
    <row r="10">
      <c r="A10" s="5" t="inlineStr">
        <is>
          <t>Net fee and commission income</t>
        </is>
      </c>
      <c r="B10" s="5" t="n">
        <v>3112</v>
      </c>
      <c r="C10" s="5" t="n">
        <v>2046</v>
      </c>
      <c r="D10" s="5" t="n">
        <v>2053</v>
      </c>
      <c r="E10" s="5" t="n">
        <v>2402</v>
      </c>
      <c r="F10" s="5" t="n">
        <v>2701</v>
      </c>
    </row>
    <row r="11">
      <c r="A11" s="6" t="inlineStr">
        <is>
          <t>Other operating income/(expense)</t>
        </is>
      </c>
      <c r="B11" s="6" t="n">
        <v>-84</v>
      </c>
      <c r="C11" s="6" t="n">
        <v>47</v>
      </c>
      <c r="D11" s="6" t="n">
        <v>-49</v>
      </c>
      <c r="E11" s="6" t="n">
        <v>54</v>
      </c>
      <c r="F11" s="6" t="n">
        <v>232</v>
      </c>
    </row>
    <row r="12">
      <c r="A12" s="5" t="inlineStr">
        <is>
          <t>Total income</t>
        </is>
      </c>
      <c r="B12" s="5" t="n">
        <v>61603</v>
      </c>
      <c r="C12" s="5" t="n">
        <v>57338</v>
      </c>
      <c r="D12" s="5" t="n">
        <v>55645</v>
      </c>
      <c r="E12" s="5" t="n">
        <v>47860</v>
      </c>
      <c r="F12" s="5" t="n">
        <v>39108</v>
      </c>
    </row>
    <row r="13">
      <c r="A13" s="5" t="inlineStr">
        <is>
          <t>Operating expenses</t>
        </is>
      </c>
      <c r="B13" s="6" t="n"/>
      <c r="C13" s="6" t="n"/>
      <c r="D13" s="6" t="n"/>
      <c r="E13" s="6" t="n"/>
      <c r="F13" s="6" t="n"/>
    </row>
    <row r="14">
      <c r="A14" s="6" t="inlineStr">
        <is>
          <t>Personnel expenses</t>
        </is>
      </c>
      <c r="B14" s="6" t="n">
        <v>-21508</v>
      </c>
      <c r="C14" s="6" t="n">
        <v>-21310</v>
      </c>
      <c r="D14" s="6" t="n">
        <v>-18185</v>
      </c>
      <c r="E14" s="6" t="n">
        <v>-14704</v>
      </c>
      <c r="F14" s="6" t="n">
        <v>-12087</v>
      </c>
    </row>
    <row r="15">
      <c r="A15" s="6" t="inlineStr">
        <is>
          <t>Other administrative expenses</t>
        </is>
      </c>
      <c r="B15" s="6" t="n">
        <v>-21626</v>
      </c>
      <c r="C15" s="6" t="n">
        <v>-25393</v>
      </c>
      <c r="D15" s="6" t="n">
        <v>-23177</v>
      </c>
      <c r="E15" s="6" t="n">
        <v>-18093</v>
      </c>
      <c r="F15" s="6" t="n">
        <v>-16384</v>
      </c>
    </row>
    <row r="16">
      <c r="A16" s="5" t="inlineStr">
        <is>
          <t>Operating expenses</t>
        </is>
      </c>
      <c r="B16" s="5" t="n">
        <v>-43134</v>
      </c>
      <c r="C16" s="5" t="n">
        <v>-46703</v>
      </c>
      <c r="D16" s="5" t="n">
        <v>-41362</v>
      </c>
      <c r="E16" s="5" t="n">
        <v>-32797</v>
      </c>
      <c r="F16" s="5" t="n">
        <v>-28471</v>
      </c>
    </row>
    <row r="17">
      <c r="A17" s="6" t="inlineStr">
        <is>
          <t>Impairment loss on financial instruments</t>
        </is>
      </c>
      <c r="B17" s="6" t="n">
        <v>-294</v>
      </c>
      <c r="C17" s="6" t="n">
        <v>-3665</v>
      </c>
      <c r="D17" s="6" t="n">
        <v>-11368</v>
      </c>
      <c r="E17" s="6" t="n">
        <v>-4862</v>
      </c>
      <c r="F17" s="6" t="n">
        <v>-2159</v>
      </c>
    </row>
    <row r="18">
      <c r="A18" s="5" t="inlineStr">
        <is>
          <t>Profit on ordinary activities before tax</t>
        </is>
      </c>
      <c r="B18" s="5" t="n">
        <v>18175</v>
      </c>
      <c r="C18" s="5" t="n">
        <v>6970</v>
      </c>
      <c r="D18" s="5" t="n">
        <v>2915</v>
      </c>
      <c r="E18" s="5" t="n">
        <v>10201</v>
      </c>
      <c r="F18" s="5" t="n">
        <v>8478</v>
      </c>
    </row>
    <row r="19">
      <c r="A19" s="6" t="inlineStr">
        <is>
          <t>Tax on profit on ordinary activities</t>
        </is>
      </c>
      <c r="B19" s="6" t="n">
        <v>-4247</v>
      </c>
      <c r="C19" s="6" t="n">
        <v>-1467</v>
      </c>
      <c r="D19" s="6" t="n">
        <v>-127</v>
      </c>
      <c r="E19" s="6" t="n">
        <v>-997</v>
      </c>
      <c r="F19" s="6" t="n">
        <v>-637</v>
      </c>
    </row>
    <row r="20">
      <c r="A20" s="5" t="inlineStr">
        <is>
          <t>Profit and total comprehensive income for the year</t>
        </is>
      </c>
      <c r="B20" s="5" t="n">
        <v>13928</v>
      </c>
      <c r="C20" s="5" t="n">
        <v>5503</v>
      </c>
      <c r="D20" s="5" t="n">
        <v>2788</v>
      </c>
      <c r="E20" s="5" t="n">
        <v>9204</v>
      </c>
      <c r="F20" s="5" t="n">
        <v>7841</v>
      </c>
    </row>
    <row r="22" ht="32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FY2021-FY2024 - all four of those years tie to the pound across all three statements.</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Zero undocumented plug rows across all 5 years - only 'Profit for the year' and 'Prior year dividend paid' ever move equity; no share issuances, treasury shares, share-based payments, FX reserve movements, or restatements appear anywhere in this note. FY2021-FY2024 closing balances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5" t="inlineStr">
        <is>
          <t>Balance at 1 January 2021</t>
        </is>
      </c>
      <c r="B4" s="5" t="n">
        <v>172000</v>
      </c>
      <c r="C4" s="5" t="n">
        <v>55</v>
      </c>
      <c r="D4" s="5" t="n">
        <v>9297</v>
      </c>
      <c r="E4" s="5" t="n">
        <v>181352</v>
      </c>
    </row>
    <row r="5">
      <c r="A5" s="6" t="inlineStr">
        <is>
          <t>Profit and total comprehensive income for the year</t>
        </is>
      </c>
      <c r="B5" s="6" t="n"/>
      <c r="C5" s="6" t="n"/>
      <c r="D5" s="6" t="n">
        <v>7841</v>
      </c>
      <c r="E5" s="6" t="n">
        <v>7841</v>
      </c>
    </row>
    <row r="6">
      <c r="A6" s="6" t="inlineStr">
        <is>
          <t>Prior year dividend paid</t>
        </is>
      </c>
      <c r="B6" s="6" t="n"/>
      <c r="C6" s="6" t="n"/>
      <c r="D6" s="6" t="n">
        <v>-2300</v>
      </c>
      <c r="E6" s="6" t="n">
        <v>-2300</v>
      </c>
    </row>
    <row r="7">
      <c r="A7" s="5" t="inlineStr">
        <is>
          <t>Balance at 31 December 2021 / 1 January 2022</t>
        </is>
      </c>
      <c r="B7" s="5" t="n">
        <v>172000</v>
      </c>
      <c r="C7" s="5" t="n">
        <v>55</v>
      </c>
      <c r="D7" s="5" t="n">
        <v>14838</v>
      </c>
      <c r="E7" s="5" t="n">
        <v>186893</v>
      </c>
    </row>
    <row r="8">
      <c r="A8" s="6" t="inlineStr">
        <is>
          <t>Profit and total comprehensive income for the year</t>
        </is>
      </c>
      <c r="B8" s="6" t="n"/>
      <c r="C8" s="6" t="n"/>
      <c r="D8" s="6" t="n">
        <v>9204</v>
      </c>
      <c r="E8" s="6" t="n">
        <v>9204</v>
      </c>
    </row>
    <row r="9">
      <c r="A9" s="6" t="inlineStr">
        <is>
          <t>Prior year dividend paid</t>
        </is>
      </c>
      <c r="B9" s="6" t="n"/>
      <c r="C9" s="6" t="n"/>
      <c r="D9" s="6" t="n">
        <v>0</v>
      </c>
      <c r="E9" s="6" t="n">
        <v>0</v>
      </c>
    </row>
    <row r="10">
      <c r="A10" s="5" t="inlineStr">
        <is>
          <t>Balance at 31 December 2022 / 1 January 2023</t>
        </is>
      </c>
      <c r="B10" s="5" t="n">
        <v>172000</v>
      </c>
      <c r="C10" s="5" t="n">
        <v>55</v>
      </c>
      <c r="D10" s="5" t="n">
        <v>24042</v>
      </c>
      <c r="E10" s="5" t="n">
        <v>196097</v>
      </c>
    </row>
    <row r="11">
      <c r="A11" s="6" t="inlineStr">
        <is>
          <t>Profit and total comprehensive income for the year</t>
        </is>
      </c>
      <c r="B11" s="6" t="n"/>
      <c r="C11" s="6" t="n"/>
      <c r="D11" s="6" t="n">
        <v>2788</v>
      </c>
      <c r="E11" s="6" t="n">
        <v>2788</v>
      </c>
    </row>
    <row r="12">
      <c r="A12" s="6" t="inlineStr">
        <is>
          <t>Prior year dividend paid</t>
        </is>
      </c>
      <c r="B12" s="6" t="n"/>
      <c r="C12" s="6" t="n"/>
      <c r="D12" s="6" t="n">
        <v>-2800</v>
      </c>
      <c r="E12" s="6" t="n">
        <v>-2800</v>
      </c>
    </row>
    <row r="13">
      <c r="A13" s="5" t="inlineStr">
        <is>
          <t>Balance at 31 December 2023 / 1 January 2024</t>
        </is>
      </c>
      <c r="B13" s="5" t="n">
        <v>172000</v>
      </c>
      <c r="C13" s="5" t="n">
        <v>55</v>
      </c>
      <c r="D13" s="5" t="n">
        <v>24030</v>
      </c>
      <c r="E13" s="5" t="n">
        <v>196085</v>
      </c>
    </row>
    <row r="14">
      <c r="A14" s="6" t="inlineStr">
        <is>
          <t>Total profit and comprehensive income</t>
        </is>
      </c>
      <c r="B14" s="6" t="n"/>
      <c r="C14" s="6" t="n"/>
      <c r="D14" s="6" t="n">
        <v>5503</v>
      </c>
      <c r="E14" s="6" t="n">
        <v>5503</v>
      </c>
    </row>
    <row r="15">
      <c r="A15" s="6" t="inlineStr">
        <is>
          <t>Prior year dividend paid</t>
        </is>
      </c>
      <c r="B15" s="6" t="n"/>
      <c r="C15" s="6" t="n"/>
      <c r="D15" s="6" t="n">
        <v>-1400</v>
      </c>
      <c r="E15" s="6" t="n">
        <v>-1400</v>
      </c>
    </row>
    <row r="16">
      <c r="A16" s="5" t="inlineStr">
        <is>
          <t>Balance at 31 December 2024 / 1 January 2025</t>
        </is>
      </c>
      <c r="B16" s="5" t="n">
        <v>172000</v>
      </c>
      <c r="C16" s="5" t="n">
        <v>55</v>
      </c>
      <c r="D16" s="5" t="n">
        <v>28133</v>
      </c>
      <c r="E16" s="5" t="n">
        <v>200188</v>
      </c>
    </row>
    <row r="17">
      <c r="A17" s="6" t="inlineStr">
        <is>
          <t>Total profit and comprehensive income</t>
        </is>
      </c>
      <c r="B17" s="6" t="n"/>
      <c r="C17" s="6" t="n"/>
      <c r="D17" s="6" t="n">
        <v>13930</v>
      </c>
      <c r="E17" s="6" t="n">
        <v>13930</v>
      </c>
    </row>
    <row r="18">
      <c r="A18" s="6" t="inlineStr">
        <is>
          <t>Prior year dividend paid</t>
        </is>
      </c>
      <c r="B18" s="6" t="n"/>
      <c r="C18" s="6" t="n"/>
      <c r="D18" s="6" t="n">
        <v>-5500</v>
      </c>
      <c r="E18" s="6" t="n">
        <v>-5500</v>
      </c>
    </row>
    <row r="19">
      <c r="A19" s="5" t="inlineStr">
        <is>
          <t>Balance at 31 December 2025 (per this statement)</t>
        </is>
      </c>
      <c r="B19" s="5" t="n">
        <v>172000</v>
      </c>
      <c r="C19" s="5" t="n">
        <v>55</v>
      </c>
      <c r="D19" s="5" t="n">
        <v>36563</v>
      </c>
      <c r="E19" s="5" t="n">
        <v>208618</v>
      </c>
    </row>
    <row r="21" ht="320" customHeight="1">
      <c r="A21"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FY2021-FY2024 - all four of those years tie to the pound across all three statements.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Triodos Bank UK Limited — Cash Flow Statement</t>
        </is>
      </c>
    </row>
    <row r="2">
      <c r="A2" s="2" t="inlineStr">
        <is>
          <t>TBUK entity-level (Company) basis, £'000. See source note for the two-level operating subtotal.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18175</v>
      </c>
      <c r="C5" s="6" t="n">
        <v>6970</v>
      </c>
      <c r="D5" s="6" t="n">
        <v>2915</v>
      </c>
      <c r="E5" s="6" t="n">
        <v>10201</v>
      </c>
      <c r="F5" s="6" t="n">
        <v>8478</v>
      </c>
    </row>
    <row r="6">
      <c r="A6" s="6" t="inlineStr">
        <is>
          <t>Depreciation and amortisation</t>
        </is>
      </c>
      <c r="B6" s="6" t="n">
        <v>388</v>
      </c>
      <c r="C6" s="6" t="n">
        <v>1082</v>
      </c>
      <c r="D6" s="6" t="n">
        <v>1045</v>
      </c>
      <c r="E6" s="6" t="n">
        <v>1022</v>
      </c>
      <c r="F6" s="6" t="n">
        <v>980</v>
      </c>
    </row>
    <row r="7">
      <c r="A7" s="6" t="inlineStr">
        <is>
          <t>Loss on fixed asset disposal</t>
        </is>
      </c>
      <c r="B7" s="6" t="n"/>
      <c r="C7" s="6" t="n"/>
      <c r="D7" s="6" t="n">
        <v>20</v>
      </c>
      <c r="E7" s="6" t="n">
        <v>5</v>
      </c>
      <c r="F7" s="6" t="n">
        <v>0</v>
      </c>
    </row>
    <row r="8">
      <c r="A8" s="6" t="inlineStr">
        <is>
          <t>Debt securities premium and discount amortisation</t>
        </is>
      </c>
      <c r="B8" s="6" t="n">
        <v>-5116</v>
      </c>
      <c r="C8" s="6" t="n">
        <v>-4528</v>
      </c>
      <c r="D8" s="6" t="n">
        <v>-1710</v>
      </c>
      <c r="E8" s="6" t="n">
        <v>82</v>
      </c>
      <c r="F8" s="6" t="n">
        <v>1509</v>
      </c>
    </row>
    <row r="9">
      <c r="A9" s="6" t="inlineStr">
        <is>
          <t>Increase in interest receivable on debt securities</t>
        </is>
      </c>
      <c r="B9" s="6" t="n">
        <v>-2225</v>
      </c>
      <c r="C9" s="6" t="n">
        <v>-2163</v>
      </c>
      <c r="D9" s="6" t="n"/>
      <c r="E9" s="6" t="n"/>
      <c r="F9" s="6" t="n"/>
    </row>
    <row r="10">
      <c r="A10" s="6" t="inlineStr">
        <is>
          <t>Increase/(Decrease) in ECL on financial instruments</t>
        </is>
      </c>
      <c r="B10" s="6" t="n">
        <v>-1246</v>
      </c>
      <c r="C10" s="6" t="n">
        <v>-3590</v>
      </c>
      <c r="D10" s="6" t="n">
        <v>-787</v>
      </c>
      <c r="E10" s="6" t="n">
        <v>4262</v>
      </c>
      <c r="F10" s="6" t="n">
        <v>2268</v>
      </c>
    </row>
    <row r="11">
      <c r="A11" s="6" t="inlineStr">
        <is>
          <t>Write off of financial instruments</t>
        </is>
      </c>
      <c r="B11" s="6" t="n">
        <v>1539</v>
      </c>
      <c r="C11" s="6" t="n">
        <v>7229</v>
      </c>
      <c r="D11" s="6" t="n">
        <v>12308</v>
      </c>
      <c r="E11" s="6" t="n">
        <v>0</v>
      </c>
      <c r="F11" s="6" t="n"/>
    </row>
    <row r="12">
      <c r="A12" s="6" t="inlineStr">
        <is>
          <t>Increase/(Decrease) in provisions</t>
        </is>
      </c>
      <c r="B12" s="6" t="n">
        <v>-531</v>
      </c>
      <c r="C12" s="6" t="n">
        <v>820</v>
      </c>
      <c r="D12" s="6" t="n">
        <v>-80</v>
      </c>
      <c r="E12" s="6" t="n">
        <v>-527</v>
      </c>
      <c r="F12" s="6" t="n">
        <v>199</v>
      </c>
    </row>
    <row r="13">
      <c r="A13" s="6" t="inlineStr">
        <is>
          <t>Interest on lease liabilities</t>
        </is>
      </c>
      <c r="B13" s="6" t="n">
        <v>16</v>
      </c>
      <c r="C13" s="6" t="n">
        <v>29</v>
      </c>
      <c r="D13" s="6" t="n">
        <v>39</v>
      </c>
      <c r="E13" s="6" t="n">
        <v>36</v>
      </c>
      <c r="F13" s="6" t="n">
        <v>28</v>
      </c>
    </row>
    <row r="14">
      <c r="A14" s="6" t="inlineStr">
        <is>
          <t>Tax expense</t>
        </is>
      </c>
      <c r="B14" s="6" t="n">
        <v>-4247</v>
      </c>
      <c r="C14" s="6" t="n">
        <v>-1467</v>
      </c>
      <c r="D14" s="6" t="n">
        <v>-127</v>
      </c>
      <c r="E14" s="6" t="n">
        <v>-997</v>
      </c>
      <c r="F14" s="6" t="n">
        <v>-637</v>
      </c>
    </row>
    <row r="15">
      <c r="A15" s="5" t="inlineStr">
        <is>
          <t>Cash flow from business operations</t>
        </is>
      </c>
      <c r="B15" s="5" t="n">
        <v>6753</v>
      </c>
      <c r="C15" s="5" t="n">
        <v>4382</v>
      </c>
      <c r="D15" s="5" t="n">
        <v>13623</v>
      </c>
      <c r="E15" s="5" t="n">
        <v>14084</v>
      </c>
      <c r="F15" s="5" t="n">
        <v>12825</v>
      </c>
    </row>
    <row r="16">
      <c r="A16" s="6" t="inlineStr">
        <is>
          <t>Increase/(Decrease) in loans and advances to customers</t>
        </is>
      </c>
      <c r="B16" s="6" t="n">
        <v>-10208</v>
      </c>
      <c r="C16" s="6" t="n">
        <v>19325</v>
      </c>
      <c r="D16" s="6" t="n">
        <v>-1593</v>
      </c>
      <c r="E16" s="6" t="n">
        <v>6563</v>
      </c>
      <c r="F16" s="6" t="n">
        <v>-64020</v>
      </c>
    </row>
    <row r="17">
      <c r="A17" s="6" t="inlineStr">
        <is>
          <t>Increase/(Decrease) in deferred tax asset</t>
        </is>
      </c>
      <c r="B17" s="6" t="n">
        <v>-70</v>
      </c>
      <c r="C17" s="6" t="n">
        <v>34</v>
      </c>
      <c r="D17" s="6" t="n">
        <v>-53</v>
      </c>
      <c r="E17" s="6" t="n">
        <v>3</v>
      </c>
      <c r="F17" s="6" t="n">
        <v>-77</v>
      </c>
    </row>
    <row r="18">
      <c r="A18" s="6" t="inlineStr">
        <is>
          <t>Increase/(Decrease) in other assets</t>
        </is>
      </c>
      <c r="B18" s="6" t="n">
        <v>-171</v>
      </c>
      <c r="C18" s="6" t="n">
        <v>252</v>
      </c>
      <c r="D18" s="6" t="n">
        <v>-660</v>
      </c>
      <c r="E18" s="6" t="n">
        <v>604</v>
      </c>
      <c r="F18" s="6" t="n">
        <v>730</v>
      </c>
    </row>
    <row r="19">
      <c r="A19" s="6" t="inlineStr">
        <is>
          <t>(Decrease) in deposits from credit institutions</t>
        </is>
      </c>
      <c r="B19" s="6" t="n">
        <v>-2983</v>
      </c>
      <c r="C19" s="6" t="n">
        <v>-5265</v>
      </c>
      <c r="D19" s="6" t="n">
        <v>-6684</v>
      </c>
      <c r="E19" s="6" t="n">
        <v>-3207</v>
      </c>
      <c r="F19" s="6" t="n">
        <v>-6243</v>
      </c>
    </row>
    <row r="20">
      <c r="A20" s="6" t="inlineStr">
        <is>
          <t>Increase in deposits from customers</t>
        </is>
      </c>
      <c r="B20" s="6" t="n">
        <v>81761</v>
      </c>
      <c r="C20" s="6" t="n">
        <v>71951</v>
      </c>
      <c r="D20" s="6" t="n">
        <v>22145</v>
      </c>
      <c r="E20" s="6" t="n">
        <v>34303</v>
      </c>
      <c r="F20" s="6" t="n">
        <v>194863</v>
      </c>
    </row>
    <row r="21">
      <c r="A21" s="6" t="inlineStr">
        <is>
          <t>Increase/(Decrease) in current tax liability</t>
        </is>
      </c>
      <c r="B21" s="6" t="n">
        <v>1728</v>
      </c>
      <c r="C21" s="6" t="n">
        <v>1117</v>
      </c>
      <c r="D21" s="6" t="n">
        <v>-957</v>
      </c>
      <c r="E21" s="6" t="n">
        <v>-66</v>
      </c>
      <c r="F21" s="6" t="n">
        <v>164</v>
      </c>
    </row>
    <row r="22">
      <c r="A22" s="6" t="inlineStr">
        <is>
          <t>Increase/(Decrease) in other liabilities</t>
        </is>
      </c>
      <c r="B22" s="6" t="n">
        <v>-3834</v>
      </c>
      <c r="C22" s="6" t="n">
        <v>-5425</v>
      </c>
      <c r="D22" s="6" t="n">
        <v>6056</v>
      </c>
      <c r="E22" s="6" t="n">
        <v>2788</v>
      </c>
      <c r="F22" s="6" t="n">
        <v>667</v>
      </c>
    </row>
    <row r="23">
      <c r="A23" s="5" t="inlineStr">
        <is>
          <t>Cash flow from operating activities (= business operations subtotal + changes above)</t>
        </is>
      </c>
      <c r="B23" s="5" t="n">
        <v>72976</v>
      </c>
      <c r="C23" s="5" t="n">
        <v>86371</v>
      </c>
      <c r="D23" s="5" t="n">
        <v>31877</v>
      </c>
      <c r="E23" s="5" t="n">
        <v>55072</v>
      </c>
      <c r="F23" s="5" t="n">
        <v>138909</v>
      </c>
    </row>
    <row r="24">
      <c r="A24" s="5" t="inlineStr">
        <is>
          <t>Investing activities</t>
        </is>
      </c>
      <c r="B24" s="6" t="n"/>
      <c r="C24" s="6" t="n"/>
      <c r="D24" s="6" t="n"/>
      <c r="E24" s="6" t="n"/>
      <c r="F24" s="6" t="n"/>
    </row>
    <row r="25">
      <c r="A25" s="6" t="inlineStr">
        <is>
          <t>Investment in intangible assets</t>
        </is>
      </c>
      <c r="B25" s="6" t="n">
        <v>-132</v>
      </c>
      <c r="C25" s="6" t="n">
        <v>-701</v>
      </c>
      <c r="D25" s="6" t="n">
        <v>-5</v>
      </c>
      <c r="E25" s="6" t="n">
        <v>-200</v>
      </c>
      <c r="F25" s="6" t="n">
        <v>-85</v>
      </c>
    </row>
    <row r="26">
      <c r="A26" s="6" t="inlineStr">
        <is>
          <t>Investment in property and equipment</t>
        </is>
      </c>
      <c r="B26" s="6" t="n">
        <v>502</v>
      </c>
      <c r="C26" s="6" t="n">
        <v>-481</v>
      </c>
      <c r="D26" s="6" t="n">
        <v>-294</v>
      </c>
      <c r="E26" s="6" t="n">
        <v>-342</v>
      </c>
      <c r="F26" s="6" t="n">
        <v>-254</v>
      </c>
    </row>
    <row r="27">
      <c r="A27" s="6" t="inlineStr">
        <is>
          <t>(Increase)/decrease in interest receivable on debt securities</t>
        </is>
      </c>
      <c r="B27" s="6" t="n"/>
      <c r="C27" s="6" t="n"/>
      <c r="D27" s="6" t="n">
        <v>-1777</v>
      </c>
      <c r="E27" s="6" t="n">
        <v>249</v>
      </c>
      <c r="F27" s="6" t="n">
        <v>49</v>
      </c>
    </row>
    <row r="28">
      <c r="A28" s="6" t="inlineStr">
        <is>
          <t>Investment in debt securities</t>
        </is>
      </c>
      <c r="B28" s="6" t="n">
        <v>-240343</v>
      </c>
      <c r="C28" s="6" t="n">
        <v>-183290</v>
      </c>
      <c r="D28" s="6" t="n">
        <v>-162400</v>
      </c>
      <c r="E28" s="6" t="n">
        <v>-106096</v>
      </c>
      <c r="F28" s="6" t="n">
        <v>-138211</v>
      </c>
    </row>
    <row r="29">
      <c r="A29" s="6" t="inlineStr">
        <is>
          <t>Sale of debt securities</t>
        </is>
      </c>
      <c r="B29" s="6" t="n"/>
      <c r="C29" s="6" t="n"/>
      <c r="D29" s="6" t="n">
        <v>0</v>
      </c>
      <c r="E29" s="6" t="n">
        <v>0</v>
      </c>
      <c r="F29" s="6" t="n">
        <v>5128</v>
      </c>
    </row>
    <row r="30">
      <c r="A30" s="6" t="inlineStr">
        <is>
          <t>Maturity of debt securities</t>
        </is>
      </c>
      <c r="B30" s="6" t="n">
        <v>156285</v>
      </c>
      <c r="C30" s="6" t="n">
        <v>95000</v>
      </c>
      <c r="D30" s="6" t="n">
        <v>55000</v>
      </c>
      <c r="E30" s="6" t="n">
        <v>29000</v>
      </c>
      <c r="F30" s="6" t="n">
        <v>15500</v>
      </c>
    </row>
    <row r="31">
      <c r="A31" s="5" t="inlineStr">
        <is>
          <t>Net cash from/(used in) investing activities</t>
        </is>
      </c>
      <c r="B31" s="5" t="n">
        <v>-83688</v>
      </c>
      <c r="C31" s="5" t="n">
        <v>-89472</v>
      </c>
      <c r="D31" s="5" t="n">
        <v>-109476</v>
      </c>
      <c r="E31" s="5" t="n">
        <v>-77389</v>
      </c>
      <c r="F31" s="5" t="n">
        <v>-117873</v>
      </c>
    </row>
    <row r="32">
      <c r="A32" s="5" t="inlineStr">
        <is>
          <t>Financing activities</t>
        </is>
      </c>
      <c r="B32" s="6" t="n"/>
      <c r="C32" s="6" t="n"/>
      <c r="D32" s="6" t="n"/>
      <c r="E32" s="6" t="n"/>
      <c r="F32" s="6" t="n"/>
    </row>
    <row r="33">
      <c r="A33" s="6" t="inlineStr">
        <is>
          <t>Dividends paid</t>
        </is>
      </c>
      <c r="B33" s="6" t="n">
        <v>-5500</v>
      </c>
      <c r="C33" s="6" t="n">
        <v>-1400</v>
      </c>
      <c r="D33" s="6" t="n">
        <v>-2800</v>
      </c>
      <c r="E33" s="6" t="n">
        <v>0</v>
      </c>
      <c r="F33" s="6" t="n">
        <v>-2300</v>
      </c>
    </row>
    <row r="34">
      <c r="A34" s="6" t="inlineStr">
        <is>
          <t>Payment of lease liabilities</t>
        </is>
      </c>
      <c r="B34" s="6" t="n">
        <v>-55</v>
      </c>
      <c r="C34" s="6" t="n">
        <v>-175</v>
      </c>
      <c r="D34" s="6" t="n">
        <v>-168</v>
      </c>
      <c r="E34" s="6" t="n">
        <v>-160</v>
      </c>
      <c r="F34" s="6" t="n">
        <v>-156</v>
      </c>
    </row>
    <row r="35">
      <c r="A35" s="6" t="inlineStr">
        <is>
          <t>Increase/(Decrease) in debt issued and borrowed funds</t>
        </is>
      </c>
      <c r="B35" s="6" t="n">
        <v>-5736</v>
      </c>
      <c r="C35" s="6" t="n">
        <v>0</v>
      </c>
      <c r="D35" s="6" t="n">
        <v>3</v>
      </c>
      <c r="E35" s="6" t="n">
        <v>-4</v>
      </c>
      <c r="F35" s="6" t="n">
        <v>33</v>
      </c>
    </row>
    <row r="36">
      <c r="A36" s="5" t="inlineStr">
        <is>
          <t>Net cash from/(used in) financing activities</t>
        </is>
      </c>
      <c r="B36" s="5" t="n">
        <v>-11291</v>
      </c>
      <c r="C36" s="5" t="n">
        <v>-1575</v>
      </c>
      <c r="D36" s="5" t="n">
        <v>-2965</v>
      </c>
      <c r="E36" s="5" t="n">
        <v>-164</v>
      </c>
      <c r="F36" s="5" t="n">
        <v>-2423</v>
      </c>
    </row>
    <row r="37">
      <c r="A37" s="5" t="inlineStr">
        <is>
          <t>Net (decrease)/increase in cash and cash equivalents</t>
        </is>
      </c>
      <c r="B37" s="5" t="n">
        <v>-22003</v>
      </c>
      <c r="C37" s="5" t="n">
        <v>-4676</v>
      </c>
      <c r="D37" s="5" t="n">
        <v>-80564</v>
      </c>
      <c r="E37" s="5" t="n">
        <v>-22481</v>
      </c>
      <c r="F37" s="5" t="n">
        <v>18613</v>
      </c>
    </row>
    <row r="38">
      <c r="A38" s="6" t="inlineStr">
        <is>
          <t>Cash and cash equivalents at the beginning of the year</t>
        </is>
      </c>
      <c r="B38" s="6" t="n">
        <v>309277</v>
      </c>
      <c r="C38" s="6" t="n">
        <v>313953</v>
      </c>
      <c r="D38" s="6" t="n">
        <v>394517</v>
      </c>
      <c r="E38" s="6" t="n">
        <v>416998</v>
      </c>
      <c r="F38" s="6" t="n">
        <v>398385</v>
      </c>
    </row>
    <row r="39">
      <c r="A39" s="5" t="inlineStr">
        <is>
          <t>Cash and cash equivalents at the end of the year</t>
        </is>
      </c>
      <c r="B39" s="5" t="n">
        <v>287274</v>
      </c>
      <c r="C39" s="5" t="n">
        <v>309277</v>
      </c>
      <c r="D39" s="5" t="n">
        <v>313953</v>
      </c>
      <c r="E39" s="5" t="n">
        <v>394517</v>
      </c>
      <c r="F39" s="5" t="n">
        <v>416998</v>
      </c>
    </row>
    <row r="40">
      <c r="A40" s="5" t="inlineStr">
        <is>
          <t>Represented by (memo breakdown, not additional totals)</t>
        </is>
      </c>
      <c r="B40" s="6" t="n"/>
      <c r="C40" s="6" t="n"/>
      <c r="D40" s="6" t="n"/>
      <c r="E40" s="6" t="n"/>
      <c r="F40" s="6" t="n"/>
    </row>
    <row r="41">
      <c r="A41" s="6" t="inlineStr">
        <is>
          <t>Cash and cash equivalents</t>
        </is>
      </c>
      <c r="B41" s="6" t="n">
        <v>269090</v>
      </c>
      <c r="C41" s="6" t="n">
        <v>298593</v>
      </c>
      <c r="D41" s="6" t="n">
        <v>282378</v>
      </c>
      <c r="E41" s="6" t="n">
        <v>359906</v>
      </c>
      <c r="F41" s="6" t="n">
        <v>374820</v>
      </c>
    </row>
    <row r="42">
      <c r="A42" s="6" t="inlineStr">
        <is>
          <t>On demand deposits with credit institutions</t>
        </is>
      </c>
      <c r="B42" s="6" t="n">
        <v>18184</v>
      </c>
      <c r="C42" s="6" t="n">
        <v>10684</v>
      </c>
      <c r="D42" s="6" t="n">
        <v>30472</v>
      </c>
      <c r="E42" s="6" t="n">
        <v>33412</v>
      </c>
      <c r="F42" s="6" t="n">
        <v>40979</v>
      </c>
    </row>
    <row r="43">
      <c r="A43" s="6" t="inlineStr">
        <is>
          <t>Other loans and advances to credit institutions</t>
        </is>
      </c>
      <c r="B43" s="6" t="n"/>
      <c r="C43" s="6" t="n"/>
      <c r="D43" s="6" t="n">
        <v>1103</v>
      </c>
      <c r="E43" s="6" t="n">
        <v>1199</v>
      </c>
      <c r="F43" s="6" t="n">
        <v>1199</v>
      </c>
    </row>
    <row r="45" ht="280" customHeight="1">
      <c r="A45"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Triodos Bank UK Limited — Asset Quality</t>
        </is>
      </c>
    </row>
    <row r="2">
      <c r="A2" s="2" t="inlineStr">
        <is>
          <t>TBUK entity-level (Company) basis, £'000. FY2022-FY2024 ties exactly to Balance Sheet net loans and advances to customers; FY2025 has a £1k rounding gap.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1069935</v>
      </c>
      <c r="C5" s="6" t="n">
        <v>1061389</v>
      </c>
      <c r="D5" s="6" t="n">
        <v>1090721</v>
      </c>
      <c r="E5" s="6" t="n">
        <v>1104291</v>
      </c>
      <c r="F5" s="6" t="n"/>
    </row>
    <row r="6">
      <c r="A6" s="6" t="inlineStr">
        <is>
          <t>Stage 2 (lifetime ECL, not credit-impaired)</t>
        </is>
      </c>
      <c r="B6" s="6" t="n">
        <v>22764</v>
      </c>
      <c r="C6" s="6" t="n">
        <v>22323</v>
      </c>
      <c r="D6" s="6" t="n">
        <v>15718</v>
      </c>
      <c r="E6" s="6" t="n">
        <v>12724</v>
      </c>
      <c r="F6" s="6" t="n"/>
    </row>
    <row r="7">
      <c r="A7" s="6" t="inlineStr">
        <is>
          <t>Stage 3 (lifetime ECL, credit-impaired)</t>
        </is>
      </c>
      <c r="B7" s="6" t="n">
        <v>15827</v>
      </c>
      <c r="C7" s="6" t="n">
        <v>14663</v>
      </c>
      <c r="D7" s="6" t="n">
        <v>13977</v>
      </c>
      <c r="E7" s="6" t="n">
        <v>12045</v>
      </c>
      <c r="F7" s="6" t="n"/>
    </row>
    <row r="8">
      <c r="A8" s="5" t="inlineStr">
        <is>
          <t>Total gross carrying amount</t>
        </is>
      </c>
      <c r="B8" s="5" t="n">
        <v>1108526</v>
      </c>
      <c r="C8" s="5" t="n">
        <v>1098375</v>
      </c>
      <c r="D8" s="5" t="n">
        <v>1120416</v>
      </c>
      <c r="E8" s="5" t="n">
        <v>1129060</v>
      </c>
      <c r="F8" s="5" t="n"/>
    </row>
    <row r="9">
      <c r="A9" s="5" t="inlineStr">
        <is>
          <t>ECL allowance by IFRS 9 stage</t>
        </is>
      </c>
      <c r="B9" s="6" t="n"/>
      <c r="C9" s="6" t="n"/>
      <c r="D9" s="6" t="n"/>
      <c r="E9" s="6" t="n"/>
      <c r="F9" s="6" t="n"/>
    </row>
    <row r="10">
      <c r="A10" s="6" t="inlineStr">
        <is>
          <t>Stage 1 allowance</t>
        </is>
      </c>
      <c r="B10" s="6" t="n">
        <v>1657</v>
      </c>
      <c r="C10" s="6" t="n">
        <v>1584</v>
      </c>
      <c r="D10" s="6" t="n">
        <v>1653</v>
      </c>
      <c r="E10" s="6" t="n">
        <v>1602</v>
      </c>
      <c r="F10" s="6" t="n"/>
    </row>
    <row r="11">
      <c r="A11" s="6" t="inlineStr">
        <is>
          <t>Stage 2 allowance</t>
        </is>
      </c>
      <c r="B11" s="6" t="n">
        <v>979</v>
      </c>
      <c r="C11" s="6" t="n">
        <v>963</v>
      </c>
      <c r="D11" s="6" t="n">
        <v>663</v>
      </c>
      <c r="E11" s="6" t="n">
        <v>557</v>
      </c>
      <c r="F11" s="6" t="n"/>
    </row>
    <row r="12">
      <c r="A12" s="6" t="inlineStr">
        <is>
          <t>Stage 3 allowance</t>
        </is>
      </c>
      <c r="B12" s="6" t="n">
        <v>7556</v>
      </c>
      <c r="C12" s="6" t="n">
        <v>7415</v>
      </c>
      <c r="D12" s="6" t="n">
        <v>6723</v>
      </c>
      <c r="E12" s="6" t="n">
        <v>5596</v>
      </c>
      <c r="F12" s="6" t="n"/>
    </row>
    <row r="13">
      <c r="A13" s="5" t="inlineStr">
        <is>
          <t>Total ECL allowance</t>
        </is>
      </c>
      <c r="B13" s="5" t="n">
        <v>10192</v>
      </c>
      <c r="C13" s="5" t="n">
        <v>9962</v>
      </c>
      <c r="D13" s="5" t="n">
        <v>9039</v>
      </c>
      <c r="E13" s="5" t="n">
        <v>7755</v>
      </c>
      <c r="F13" s="5" t="n"/>
    </row>
    <row r="14">
      <c r="A14" s="5" t="inlineStr">
        <is>
          <t>Net loans and advances to customers</t>
        </is>
      </c>
      <c r="B14" s="5" t="n">
        <v>1098334</v>
      </c>
      <c r="C14" s="5" t="n">
        <v>1088413</v>
      </c>
      <c r="D14" s="5" t="n">
        <v>1111377</v>
      </c>
      <c r="E14" s="5" t="n">
        <v>1121305</v>
      </c>
      <c r="F14" s="5" t="n"/>
    </row>
    <row r="15">
      <c r="A15" s="5" t="inlineStr">
        <is>
          <t>FY2021 product-level split (no by-stage table disclosed that year - see source note)</t>
        </is>
      </c>
      <c r="B15" s="6" t="n"/>
      <c r="C15" s="6" t="n"/>
      <c r="D15" s="6" t="n"/>
      <c r="E15" s="6" t="n"/>
      <c r="F15" s="6" t="n"/>
    </row>
    <row r="16">
      <c r="A16" s="6" t="inlineStr">
        <is>
          <t>Corporate loans</t>
        </is>
      </c>
      <c r="B16" s="6" t="n"/>
      <c r="C16" s="6" t="n"/>
      <c r="D16" s="6" t="n"/>
      <c r="E16" s="6" t="n"/>
      <c r="F16" s="6" t="n">
        <v>1108956</v>
      </c>
    </row>
    <row r="17">
      <c r="A17" s="6" t="inlineStr">
        <is>
          <t>Current accounts</t>
        </is>
      </c>
      <c r="B17" s="6" t="n"/>
      <c r="C17" s="6" t="n"/>
      <c r="D17" s="6" t="n"/>
      <c r="E17" s="6" t="n"/>
      <c r="F17" s="6" t="n">
        <v>23176</v>
      </c>
    </row>
    <row r="18">
      <c r="A18" s="5" t="inlineStr">
        <is>
          <t>Total loans and advances to customers (gross, FY2021)</t>
        </is>
      </c>
      <c r="B18" s="5" t="n"/>
      <c r="C18" s="5" t="n"/>
      <c r="D18" s="5" t="n"/>
      <c r="E18" s="5" t="n"/>
      <c r="F18" s="5" t="n">
        <v>1132132</v>
      </c>
    </row>
    <row r="19">
      <c r="A19" s="5" t="inlineStr">
        <is>
          <t>Asset quality ratios</t>
        </is>
      </c>
      <c r="B19" s="6" t="n"/>
      <c r="C19" s="6" t="n"/>
      <c r="D19" s="6" t="n"/>
      <c r="E19" s="6" t="n"/>
      <c r="F19" s="6" t="n"/>
    </row>
    <row r="20">
      <c r="A20" s="6" t="inlineStr">
        <is>
          <t>NPL ratio (Stage 3 gross / Total gross)</t>
        </is>
      </c>
      <c r="B20" s="6" t="inlineStr">
        <is>
          <t>1.43%</t>
        </is>
      </c>
      <c r="C20" s="6" t="inlineStr">
        <is>
          <t>1.33%</t>
        </is>
      </c>
      <c r="D20" s="6" t="inlineStr">
        <is>
          <t>1.25%</t>
        </is>
      </c>
      <c r="E20" s="6" t="inlineStr">
        <is>
          <t>1.07%</t>
        </is>
      </c>
      <c r="F20" s="6" t="n"/>
    </row>
    <row r="21">
      <c r="A21" s="6" t="inlineStr">
        <is>
          <t>Coverage ratio (Total ECL allowance / Total gross)</t>
        </is>
      </c>
      <c r="B21" s="6" t="inlineStr">
        <is>
          <t>0.92%</t>
        </is>
      </c>
      <c r="C21" s="6" t="inlineStr">
        <is>
          <t>0.91%</t>
        </is>
      </c>
      <c r="D21" s="6" t="inlineStr">
        <is>
          <t>0.81%</t>
        </is>
      </c>
      <c r="E21" s="6" t="inlineStr">
        <is>
          <t>0.69%</t>
        </is>
      </c>
      <c r="F21" s="6" t="n"/>
    </row>
    <row r="22">
      <c r="A22" s="6" t="inlineStr">
        <is>
          <t>Stage 3 coverage ratio (Stage 3 allowance / Stage 3 gross)</t>
        </is>
      </c>
      <c r="B22" s="6" t="inlineStr">
        <is>
          <t>47.74%</t>
        </is>
      </c>
      <c r="C22" s="6" t="inlineStr">
        <is>
          <t>50.57%</t>
        </is>
      </c>
      <c r="D22" s="6" t="inlineStr">
        <is>
          <t>48.10%</t>
        </is>
      </c>
      <c r="E22" s="6" t="inlineStr">
        <is>
          <t>46.46%</t>
        </is>
      </c>
      <c r="F22" s="6" t="n"/>
    </row>
    <row r="24" ht="280" customHeight="1">
      <c r="A24"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193448</v>
      </c>
      <c r="C4" s="6" t="n">
        <v>193259</v>
      </c>
      <c r="D4" s="6" t="n">
        <v>192544</v>
      </c>
      <c r="E4" s="6" t="n">
        <v>185772</v>
      </c>
      <c r="F4" s="6" t="n">
        <v>177905</v>
      </c>
    </row>
    <row r="5" ht="60" customHeight="1">
      <c r="A5" s="7" t="inlineStr">
        <is>
          <t>Note: FY2025 is from the Annual Report's own 'Total capital resources' note (Note 26/27, audited) since no FY2025 Pillar 3 report has been published yet - not derived, directly stated.</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21.3%</t>
        </is>
      </c>
      <c r="C4" s="6" t="inlineStr">
        <is>
          <t>22.1%</t>
        </is>
      </c>
      <c r="D4" s="6" t="inlineStr">
        <is>
          <t>22.36%</t>
        </is>
      </c>
      <c r="E4" s="6" t="inlineStr">
        <is>
          <t>21.57%</t>
        </is>
      </c>
      <c r="F4" s="6" t="inlineStr">
        <is>
          <t>21.2%</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193448</v>
      </c>
      <c r="C4" s="6" t="n">
        <v>193259</v>
      </c>
      <c r="D4" s="6" t="n">
        <v>192544</v>
      </c>
      <c r="E4" s="6" t="n">
        <v>185772</v>
      </c>
      <c r="F4" s="6" t="n">
        <v>177905</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21.3%</t>
        </is>
      </c>
      <c r="C4" s="6" t="inlineStr">
        <is>
          <t>22.1%</t>
        </is>
      </c>
      <c r="D4" s="6" t="inlineStr">
        <is>
          <t>22.36%</t>
        </is>
      </c>
      <c r="E4" s="6" t="inlineStr">
        <is>
          <t>21.57%</t>
        </is>
      </c>
      <c r="F4" s="6" t="inlineStr">
        <is>
          <t>21.2%</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193448</v>
      </c>
      <c r="C4" s="6" t="n">
        <v>198954</v>
      </c>
      <c r="D4" s="6" t="n">
        <v>198239</v>
      </c>
      <c r="E4" s="6" t="n">
        <v>191467</v>
      </c>
      <c r="F4" s="6" t="n">
        <v>183600</v>
      </c>
    </row>
    <row r="5" ht="60" customHeight="1">
      <c r="A5" s="7" t="inlineStr">
        <is>
          <t>Note: Total capital = CET1 + Tier 2 (subordinated debt, £5.7m issued Dec 2020). The Tier 2 note was fully repaid in 2025, so FY2025 Total capital equals CET1 exactly for the first time in this series.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21.3%</t>
        </is>
      </c>
      <c r="C4" s="6" t="inlineStr">
        <is>
          <t>22.7%</t>
        </is>
      </c>
      <c r="D4" s="6" t="inlineStr">
        <is>
          <t>23.02%</t>
        </is>
      </c>
      <c r="E4" s="6" t="inlineStr">
        <is>
          <t>22.20%</t>
        </is>
      </c>
      <c r="F4" s="6" t="inlineStr">
        <is>
          <t>21.8%</t>
        </is>
      </c>
    </row>
    <row r="5" ht="60" customHeight="1">
      <c r="A5" s="7" t="inlineStr">
        <is>
          <t>Note: FY2025/FY2024 from the Annual Report narrative (p.15); FY2024's Pillar 3 Report states this ratio as 22.71% (Table 7) - a minor rounding difference from the Annual Report's 22.7%, both as-stated.</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(credit + operational + market + counterparty credit risk)</t>
        </is>
      </c>
      <c r="B4" s="6" t="n">
        <v>908207</v>
      </c>
      <c r="C4" s="6" t="n">
        <v>876076</v>
      </c>
      <c r="D4" s="6" t="n">
        <v>861016</v>
      </c>
      <c r="E4" s="6" t="n">
        <v>861273</v>
      </c>
      <c r="F4" s="6" t="n">
        <v>840391</v>
      </c>
    </row>
    <row r="5" ht="60" customHeight="1">
      <c r="A5" s="7" t="inlineStr">
        <is>
          <t>Note: FY2025 is CALCULATED (Total capital £193,448k / Total capital ratio 21.3% = ~£908.2m), not directly stated, since no FY2025 Pillar 3 report exists yet to give the audited RWA breakdown - simple arithmetic on two audited/stated figures, not an estimate, flagged per this project's convention (see Bank of Ireland UK workbook for the same approach). FY2024-FY2021 are Total RWA figures directly stated in each year's own Pillar 3 Report (Credit + Operational risk RWA; Market risk and Counterparty Credit risk RWA are nil every year).</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Triodos Bank UK Limited — RWA Breakdown</t>
        </is>
      </c>
    </row>
    <row r="2">
      <c r="A2" s="2" t="inlineStr">
        <is>
          <t>TBUK entity-level basis, £'000. Category sums tie exactly to the Total RWAs sheet's own figures for every year with a Pillar 3 report. FY2021's Credit and Counterparty Credit risk are combined as that year's own report presented them (see source note). No FY2025 Pillar 3 report exists yet,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RWA</t>
        </is>
      </c>
      <c r="B4" s="6" t="n"/>
      <c r="C4" s="6" t="n">
        <v>806870</v>
      </c>
      <c r="D4" s="6" t="n">
        <v>799630</v>
      </c>
      <c r="E4" s="6" t="n">
        <v>799316</v>
      </c>
      <c r="F4" s="6" t="n"/>
    </row>
    <row r="5">
      <c r="A5" s="6" t="inlineStr">
        <is>
          <t>Credit and Counterparty Credit risk RWA (combined, FY2021 basis)</t>
        </is>
      </c>
      <c r="B5" s="6" t="n"/>
      <c r="C5" s="6" t="n"/>
      <c r="D5" s="6" t="n"/>
      <c r="E5" s="6" t="n"/>
      <c r="F5" s="6" t="n">
        <v>780882</v>
      </c>
    </row>
    <row r="6">
      <c r="A6" s="6" t="inlineStr">
        <is>
          <t>Counterparty Credit risk RWA</t>
        </is>
      </c>
      <c r="B6" s="6" t="n"/>
      <c r="C6" s="6" t="n">
        <v>0</v>
      </c>
      <c r="D6" s="6" t="n">
        <v>0</v>
      </c>
      <c r="E6" s="6" t="n">
        <v>0</v>
      </c>
      <c r="F6" s="6" t="n"/>
    </row>
    <row r="7">
      <c r="A7" s="6" t="inlineStr">
        <is>
          <t>Market risk RWA</t>
        </is>
      </c>
      <c r="B7" s="6" t="n"/>
      <c r="C7" s="6" t="n">
        <v>0</v>
      </c>
      <c r="D7" s="6" t="n">
        <v>0</v>
      </c>
      <c r="E7" s="6" t="n">
        <v>0</v>
      </c>
      <c r="F7" s="6" t="n">
        <v>0</v>
      </c>
    </row>
    <row r="8">
      <c r="A8" s="6" t="inlineStr">
        <is>
          <t>Operational risk RWA</t>
        </is>
      </c>
      <c r="B8" s="6" t="n"/>
      <c r="C8" s="6" t="n">
        <v>69206</v>
      </c>
      <c r="D8" s="6" t="n">
        <v>61386</v>
      </c>
      <c r="E8" s="6" t="n">
        <v>61957</v>
      </c>
      <c r="F8" s="6" t="n">
        <v>59509</v>
      </c>
    </row>
    <row r="9">
      <c r="A9" s="5" t="inlineStr">
        <is>
          <t>Total RWAs</t>
        </is>
      </c>
      <c r="B9" s="5" t="n"/>
      <c r="C9" s="5" t="n">
        <v>876076</v>
      </c>
      <c r="D9" s="5" t="n">
        <v>861016</v>
      </c>
      <c r="E9" s="5" t="n">
        <v>861273</v>
      </c>
      <c r="F9" s="5" t="n">
        <v>840391</v>
      </c>
    </row>
    <row r="11" ht="240" customHeight="1">
      <c r="A11"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FY2025: no standalone Pillar 3 report has been published yet as of this workbook's build date - blank, consistent with every other Pillar 3 sheet in this workbook.
PRESENTATION NOTE: FY2021's own Pillar 3 Report combines Credit risk and Counterparty Credit risk into a single exposure-class table (no separate CCR line existed as a distinct category that year) - kept as a single combined row exactly as that year's own report presented it, not split.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after deductions</t>
        </is>
      </c>
      <c r="B4" s="6" t="n"/>
      <c r="C4" s="6" t="n">
        <v>193258</v>
      </c>
      <c r="D4" s="6" t="n">
        <v>192544</v>
      </c>
      <c r="E4" s="6" t="n">
        <v>185772</v>
      </c>
      <c r="F4" s="6" t="n">
        <v>177905</v>
      </c>
    </row>
    <row r="5">
      <c r="A5" s="6" t="inlineStr">
        <is>
          <t>Leverage ratio exposure measure</t>
        </is>
      </c>
      <c r="B5" s="6" t="n"/>
      <c r="C5" s="6" t="n">
        <v>1715067</v>
      </c>
      <c r="D5" s="6" t="n">
        <v>1664149</v>
      </c>
      <c r="E5" s="6" t="n">
        <v>1583516</v>
      </c>
      <c r="F5" s="6" t="n">
        <v>1910203</v>
      </c>
    </row>
    <row r="6">
      <c r="A6" s="6" t="inlineStr">
        <is>
          <t>Leverage ratio (%)</t>
        </is>
      </c>
      <c r="B6" s="6" t="n"/>
      <c r="C6" s="6" t="inlineStr">
        <is>
          <t>11.27%</t>
        </is>
      </c>
      <c r="D6" s="6" t="inlineStr">
        <is>
          <t>11.57%</t>
        </is>
      </c>
      <c r="E6" s="6" t="inlineStr">
        <is>
          <t>11.73%</t>
        </is>
      </c>
      <c r="F6" s="6" t="inlineStr">
        <is>
          <t>9.3%</t>
        </is>
      </c>
    </row>
    <row r="7" ht="60" customHeight="1">
      <c r="A7" s="7" t="inlineStr">
        <is>
          <t>Note: TBUK is below the £50bn deposit threshold that triggers a binding UK leverage ratio requirement (PRA expectation only, minimum 3.25%). FY2022 onward uses the 'excluding claims on central banks' exposure basis (introduced in the 2022 Pillar 3 Report); FY2021's own 2021 Pillar 3 Report used a broader, non-comparable CRR2 full-exposure basis (9.3%, exposure measure £1,910.2m, including central bank claims) - shown here exactly as that year's own report stated it, NOT the later report's restated comparative, consistent with this project's practice of not blending non-comparable methodology vintages. No FY2025 figure: not disclosed in the Annual Report and no FY2025 Pillar 3 report exists yet.</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(point-in-time, year-end)</t>
        </is>
      </c>
      <c r="B4" s="6" t="n"/>
      <c r="C4" s="6" t="n">
        <v>826600</v>
      </c>
      <c r="D4" s="6" t="n">
        <v>715900</v>
      </c>
      <c r="E4" s="6" t="n">
        <v>668900</v>
      </c>
      <c r="F4" s="6" t="n">
        <v>628207</v>
      </c>
    </row>
    <row r="5">
      <c r="A5" s="6" t="inlineStr">
        <is>
          <t>Total net cash outflows over 30-day stress (point-in-time, year-end)</t>
        </is>
      </c>
      <c r="B5" s="6" t="n"/>
      <c r="C5" s="6" t="n">
        <v>175400</v>
      </c>
      <c r="D5" s="6" t="n">
        <v>170100</v>
      </c>
      <c r="E5" s="6" t="n">
        <v>151100</v>
      </c>
      <c r="F5" s="6" t="n">
        <v>151875</v>
      </c>
    </row>
    <row r="6">
      <c r="A6" s="6" t="inlineStr">
        <is>
          <t>Liquidity Coverage Ratio (%)</t>
        </is>
      </c>
      <c r="B6" s="6" t="inlineStr">
        <is>
          <t>446%</t>
        </is>
      </c>
      <c r="C6" s="6" t="inlineStr">
        <is>
          <t>471.1%</t>
        </is>
      </c>
      <c r="D6" s="6" t="inlineStr">
        <is>
          <t>420.8%</t>
        </is>
      </c>
      <c r="E6" s="6" t="inlineStr">
        <is>
          <t>442.7%</t>
        </is>
      </c>
      <c r="F6" s="6" t="inlineStr">
        <is>
          <t>413.6%</t>
        </is>
      </c>
    </row>
    <row r="7" ht="60" customHeight="1">
      <c r="A7" s="7" t="inlineStr">
        <is>
          <t>Note: All ratios are the year-end point-in-time LCR (not the 12-month average-by-quarter tables each Pillar 3 report also separately discloses). FY2025's ratio (446%) is from the Annual Report narrative only (p.15) - no £ HQLA/outflow breakdown is available since no FY2025 Pillar 3 report exists yet.</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c r="C4" s="6" t="n">
        <v>1731150</v>
      </c>
      <c r="D4" s="6" t="n"/>
      <c r="E4" s="6" t="n">
        <v>1637537</v>
      </c>
      <c r="F4" s="6" t="n"/>
    </row>
    <row r="5">
      <c r="A5" s="6" t="inlineStr">
        <is>
          <t>Required stable funding</t>
        </is>
      </c>
      <c r="B5" s="6" t="n"/>
      <c r="C5" s="6" t="n">
        <v>866978</v>
      </c>
      <c r="D5" s="6" t="n"/>
      <c r="E5" s="6" t="n">
        <v>903741</v>
      </c>
      <c r="F5" s="6" t="n"/>
    </row>
    <row r="6">
      <c r="A6" s="6" t="inlineStr">
        <is>
          <t>Net Stable Funding Ratio (%)</t>
        </is>
      </c>
      <c r="B6" s="6" t="n"/>
      <c r="C6" s="6" t="inlineStr">
        <is>
          <t>206%</t>
        </is>
      </c>
      <c r="D6" s="6" t="inlineStr">
        <is>
          <t>188%</t>
        </is>
      </c>
      <c r="E6" s="6" t="inlineStr">
        <is>
          <t>181%</t>
        </is>
      </c>
      <c r="F6" s="6" t="n"/>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no NSFR section appears in TBUK's 2021 Pillar 3 Report at all (the metric was not yet part of that year's disclosure). FY2025: not disclosed - no FY2025 Pillar 3 report exists yet and the Annual Report gives no NSFR percentage (only confirms the ratio is monitored).</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or qualitative MREL disclosure appears in any of TBUK's Annual Reports or Pillar 3 Reports (FY2021-FY2024)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2026-09-03T22:18:24Z</dcterms:created>
  <dcterms:modified xmlns:dcterms="http://purl.org/dc/terms/" xmlns:xsi="http://www.w3.org/2001/XMLSchema-instance" xsi:type="dcterms:W3CDTF">2026-09-03T22:18:25Z</dcterms:modified>
</cp:coreProperties>
</file>