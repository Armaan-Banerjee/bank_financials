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A3E85"/>
        <bgColor rgb="005A3E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Triodos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Triodos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Triodos Bank UK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Cash flow from operating activities</t>
        </is>
      </c>
      <c r="B6" s="5" t="n">
        <v>72976</v>
      </c>
      <c r="C6" s="5" t="n">
        <v>86371</v>
      </c>
      <c r="D6" s="5" t="n">
        <v>31877</v>
      </c>
      <c r="E6" s="5" t="n">
        <v>55072</v>
      </c>
      <c r="F6" s="5" t="n">
        <v>138909</v>
      </c>
      <c r="I6" t="inlineStr">
        <is>
          <t>Cash flow from operating activities</t>
        </is>
      </c>
      <c r="J6" t="n">
        <v>138909</v>
      </c>
      <c r="K6" t="n">
        <v>55072</v>
      </c>
      <c r="L6" t="n">
        <v>31877</v>
      </c>
      <c r="M6" t="n">
        <v>86371</v>
      </c>
      <c r="N6" t="n">
        <v>72976</v>
      </c>
      <c r="Q6" t="inlineStr">
        <is>
          <t>CET1 Ratio</t>
        </is>
      </c>
      <c r="R6" t="n">
        <v>21.2</v>
      </c>
      <c r="S6" t="n">
        <v>21.57</v>
      </c>
      <c r="T6" t="n">
        <v>22.36</v>
      </c>
      <c r="U6" t="n">
        <v>22.1</v>
      </c>
      <c r="V6" t="n">
        <v>21.3</v>
      </c>
    </row>
    <row r="7">
      <c r="A7" s="5" t="inlineStr">
        <is>
          <t>Net cash from/(used in) investing activities</t>
        </is>
      </c>
      <c r="B7" s="5" t="n">
        <v>-83688</v>
      </c>
      <c r="C7" s="5" t="n">
        <v>-89472</v>
      </c>
      <c r="D7" s="5" t="n">
        <v>-109476</v>
      </c>
      <c r="E7" s="5" t="n">
        <v>-77389</v>
      </c>
      <c r="F7" s="5" t="n">
        <v>-117873</v>
      </c>
      <c r="I7" t="inlineStr">
        <is>
          <t>Net cash from/(used in) investing activities</t>
        </is>
      </c>
      <c r="J7" t="n">
        <v>-117873</v>
      </c>
      <c r="K7" t="n">
        <v>-77389</v>
      </c>
      <c r="L7" t="n">
        <v>-109476</v>
      </c>
      <c r="M7" t="n">
        <v>-89472</v>
      </c>
      <c r="N7" t="n">
        <v>-83688</v>
      </c>
      <c r="Q7" t="inlineStr">
        <is>
          <t>Tier 1 Ratio</t>
        </is>
      </c>
      <c r="R7" t="n">
        <v>21.2</v>
      </c>
      <c r="S7" t="n">
        <v>21.57</v>
      </c>
      <c r="T7" t="n">
        <v>22.36</v>
      </c>
      <c r="U7" t="n">
        <v>22.1</v>
      </c>
      <c r="V7" t="n">
        <v>21.3</v>
      </c>
    </row>
    <row r="8">
      <c r="A8" s="5" t="inlineStr">
        <is>
          <t>Net cash from/(used in) financing activities</t>
        </is>
      </c>
      <c r="B8" s="5" t="n">
        <v>-11291</v>
      </c>
      <c r="C8" s="5" t="n">
        <v>-1575</v>
      </c>
      <c r="D8" s="5" t="n">
        <v>-2965</v>
      </c>
      <c r="E8" s="5" t="n">
        <v>-164</v>
      </c>
      <c r="F8" s="5" t="n">
        <v>-2423</v>
      </c>
      <c r="I8" t="inlineStr">
        <is>
          <t>Net cash from/(used in) financing activities</t>
        </is>
      </c>
      <c r="J8" t="n">
        <v>-2423</v>
      </c>
      <c r="K8" t="n">
        <v>-164</v>
      </c>
      <c r="L8" t="n">
        <v>-2965</v>
      </c>
      <c r="M8" t="n">
        <v>-1575</v>
      </c>
      <c r="N8" t="n">
        <v>-11291</v>
      </c>
      <c r="Q8" t="inlineStr">
        <is>
          <t>Total Capital Ratio</t>
        </is>
      </c>
      <c r="R8" t="n">
        <v>21.8</v>
      </c>
      <c r="S8" t="n">
        <v>22.2</v>
      </c>
      <c r="T8" t="n">
        <v>23.02</v>
      </c>
      <c r="U8" t="n">
        <v>22.7</v>
      </c>
      <c r="V8" t="n">
        <v>21.3</v>
      </c>
    </row>
    <row r="9">
      <c r="A9" s="5" t="inlineStr">
        <is>
          <t>Cash and cash equivalents at end of year</t>
        </is>
      </c>
      <c r="B9" s="5" t="n">
        <v>287274</v>
      </c>
      <c r="C9" s="5" t="n">
        <v>309277</v>
      </c>
      <c r="D9" s="5" t="n">
        <v>313953</v>
      </c>
      <c r="E9" s="5" t="n">
        <v>394517</v>
      </c>
      <c r="F9" s="5" t="n">
        <v>416998</v>
      </c>
      <c r="I9" t="inlineStr">
        <is>
          <t>Cash and cash equivalents at end of year</t>
        </is>
      </c>
      <c r="J9" t="n">
        <v>416998</v>
      </c>
      <c r="K9" t="n">
        <v>394517</v>
      </c>
      <c r="L9" t="n">
        <v>313953</v>
      </c>
      <c r="M9" t="n">
        <v>309277</v>
      </c>
      <c r="N9" t="n">
        <v>287274</v>
      </c>
      <c r="Q9" t="inlineStr">
        <is>
          <t>Leverage Ratio</t>
        </is>
      </c>
      <c r="R9" t="n">
        <v>9.300000000000001</v>
      </c>
      <c r="S9" t="n">
        <v>11.73</v>
      </c>
      <c r="T9" t="n">
        <v>11.57</v>
      </c>
      <c r="U9" t="n">
        <v>11.27</v>
      </c>
    </row>
    <row r="10">
      <c r="Q10" t="inlineStr">
        <is>
          <t>LCR</t>
        </is>
      </c>
      <c r="R10" t="n">
        <v>413.6</v>
      </c>
      <c r="S10" t="n">
        <v>442.7</v>
      </c>
      <c r="T10" t="n">
        <v>420.8</v>
      </c>
      <c r="U10" t="n">
        <v>471.1</v>
      </c>
      <c r="V10" t="n">
        <v>446</v>
      </c>
    </row>
    <row r="11">
      <c r="A11" s="3" t="inlineStr">
        <is>
          <t>Pillar 3 Key Metrics</t>
        </is>
      </c>
      <c r="Q11" t="inlineStr">
        <is>
          <t>NSFR</t>
        </is>
      </c>
      <c r="S11" t="n">
        <v>181</v>
      </c>
      <c r="T11" t="n">
        <v>188</v>
      </c>
      <c r="U11" t="n">
        <v>206</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21.3%</t>
        </is>
      </c>
      <c r="C13" s="6" t="inlineStr">
        <is>
          <t>22.1%</t>
        </is>
      </c>
      <c r="D13" s="6" t="inlineStr">
        <is>
          <t>22.36%</t>
        </is>
      </c>
      <c r="E13" s="6" t="inlineStr">
        <is>
          <t>21.57%</t>
        </is>
      </c>
      <c r="F13" s="6" t="inlineStr">
        <is>
          <t>21.2%</t>
        </is>
      </c>
    </row>
    <row r="14">
      <c r="A14" s="6" t="inlineStr">
        <is>
          <t>Tier 1 Ratio</t>
        </is>
      </c>
      <c r="B14" s="6" t="inlineStr">
        <is>
          <t>21.3%</t>
        </is>
      </c>
      <c r="C14" s="6" t="inlineStr">
        <is>
          <t>22.1%</t>
        </is>
      </c>
      <c r="D14" s="6" t="inlineStr">
        <is>
          <t>22.36%</t>
        </is>
      </c>
      <c r="E14" s="6" t="inlineStr">
        <is>
          <t>21.57%</t>
        </is>
      </c>
      <c r="F14" s="6" t="inlineStr">
        <is>
          <t>21.2%</t>
        </is>
      </c>
    </row>
    <row r="15">
      <c r="A15" s="6" t="inlineStr">
        <is>
          <t>Total Capital Ratio</t>
        </is>
      </c>
      <c r="B15" s="6" t="inlineStr">
        <is>
          <t>21.3%</t>
        </is>
      </c>
      <c r="C15" s="6" t="inlineStr">
        <is>
          <t>22.7%</t>
        </is>
      </c>
      <c r="D15" s="6" t="inlineStr">
        <is>
          <t>23.02%</t>
        </is>
      </c>
      <c r="E15" s="6" t="inlineStr">
        <is>
          <t>22.20%</t>
        </is>
      </c>
      <c r="F15" s="6" t="inlineStr">
        <is>
          <t>21.8%</t>
        </is>
      </c>
    </row>
    <row r="16">
      <c r="A16" s="6" t="inlineStr">
        <is>
          <t>Leverage Ratio</t>
        </is>
      </c>
      <c r="B16" s="6" t="n"/>
      <c r="C16" s="6" t="inlineStr">
        <is>
          <t>11.27%</t>
        </is>
      </c>
      <c r="D16" s="6" t="inlineStr">
        <is>
          <t>11.57%</t>
        </is>
      </c>
      <c r="E16" s="6" t="inlineStr">
        <is>
          <t>11.73%</t>
        </is>
      </c>
      <c r="F16" s="6" t="inlineStr">
        <is>
          <t>9.3%</t>
        </is>
      </c>
    </row>
    <row r="17">
      <c r="A17" s="6" t="inlineStr">
        <is>
          <t>LCR</t>
        </is>
      </c>
      <c r="B17" s="6" t="inlineStr">
        <is>
          <t>446%</t>
        </is>
      </c>
      <c r="C17" s="6" t="inlineStr">
        <is>
          <t>471.1%</t>
        </is>
      </c>
      <c r="D17" s="6" t="inlineStr">
        <is>
          <t>420.8%</t>
        </is>
      </c>
      <c r="E17" s="6" t="inlineStr">
        <is>
          <t>442.7%</t>
        </is>
      </c>
      <c r="F17" s="6" t="inlineStr">
        <is>
          <t>413.6%</t>
        </is>
      </c>
    </row>
    <row r="18">
      <c r="A18" s="6" t="inlineStr">
        <is>
          <t>NSFR</t>
        </is>
      </c>
      <c r="B18" s="6" t="n"/>
      <c r="C18" s="6" t="inlineStr">
        <is>
          <t>206%</t>
        </is>
      </c>
      <c r="D18" s="6" t="inlineStr">
        <is>
          <t>188%</t>
        </is>
      </c>
      <c r="E18" s="6" t="inlineStr">
        <is>
          <t>181%</t>
        </is>
      </c>
      <c r="F18" s="6" t="n"/>
    </row>
    <row r="20" ht="45" customHeight="1">
      <c r="A20" s="7" t="inlineStr">
        <is>
          <t>Note: Figures are duplicated from the detail sheets for at-a-glance trend viewing; see each sheet's own source citation for the underlying document/page. No FY2025 Pillar 3 report has been published yet, so Leverage Ratio and NSFR are blank for FY2025 (Total RWAs on that sheet is a calculated figure for FY2025 - see its own note). TBUK does not take the FRS 101/102 cash-flow exemption used by several other single-parent foreign subsidiary banks in this project - a full Statement of Cash Flows exists for all 5 years.</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Triodos Bank UK Limited — Cash Flow Statement</t>
        </is>
      </c>
    </row>
    <row r="2">
      <c r="A2" s="2" t="inlineStr">
        <is>
          <t>TBUK entity-level (Company) basis, £'000. See source note for the two-level operating subtotal.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v>18175</v>
      </c>
      <c r="C5" s="6" t="n">
        <v>6970</v>
      </c>
      <c r="D5" s="6" t="n">
        <v>2915</v>
      </c>
      <c r="E5" s="6" t="n">
        <v>10201</v>
      </c>
      <c r="F5" s="6" t="n">
        <v>8478</v>
      </c>
    </row>
    <row r="6">
      <c r="A6" s="6" t="inlineStr">
        <is>
          <t>Depreciation and amortisation</t>
        </is>
      </c>
      <c r="B6" s="6" t="n">
        <v>388</v>
      </c>
      <c r="C6" s="6" t="n">
        <v>1082</v>
      </c>
      <c r="D6" s="6" t="n">
        <v>1045</v>
      </c>
      <c r="E6" s="6" t="n">
        <v>1022</v>
      </c>
      <c r="F6" s="6" t="n">
        <v>980</v>
      </c>
    </row>
    <row r="7">
      <c r="A7" s="6" t="inlineStr">
        <is>
          <t>Loss on fixed asset disposal</t>
        </is>
      </c>
      <c r="B7" s="6" t="n"/>
      <c r="C7" s="6" t="n"/>
      <c r="D7" s="6" t="n">
        <v>20</v>
      </c>
      <c r="E7" s="6" t="n">
        <v>5</v>
      </c>
      <c r="F7" s="6" t="n">
        <v>0</v>
      </c>
    </row>
    <row r="8">
      <c r="A8" s="6" t="inlineStr">
        <is>
          <t>Debt securities premium and discount amortisation</t>
        </is>
      </c>
      <c r="B8" s="6" t="n">
        <v>-5116</v>
      </c>
      <c r="C8" s="6" t="n">
        <v>-4528</v>
      </c>
      <c r="D8" s="6" t="n">
        <v>-1710</v>
      </c>
      <c r="E8" s="6" t="n">
        <v>82</v>
      </c>
      <c r="F8" s="6" t="n">
        <v>1509</v>
      </c>
    </row>
    <row r="9">
      <c r="A9" s="6" t="inlineStr">
        <is>
          <t>Increase in interest receivable on debt securities</t>
        </is>
      </c>
      <c r="B9" s="6" t="n">
        <v>-2225</v>
      </c>
      <c r="C9" s="6" t="n">
        <v>-2163</v>
      </c>
      <c r="D9" s="6" t="n"/>
      <c r="E9" s="6" t="n"/>
      <c r="F9" s="6" t="n"/>
    </row>
    <row r="10">
      <c r="A10" s="6" t="inlineStr">
        <is>
          <t>Increase/(Decrease) in ECL on financial instruments</t>
        </is>
      </c>
      <c r="B10" s="6" t="n">
        <v>-1246</v>
      </c>
      <c r="C10" s="6" t="n">
        <v>-3590</v>
      </c>
      <c r="D10" s="6" t="n">
        <v>-787</v>
      </c>
      <c r="E10" s="6" t="n">
        <v>4262</v>
      </c>
      <c r="F10" s="6" t="n">
        <v>2268</v>
      </c>
    </row>
    <row r="11">
      <c r="A11" s="6" t="inlineStr">
        <is>
          <t>Write off of financial instruments</t>
        </is>
      </c>
      <c r="B11" s="6" t="n">
        <v>1539</v>
      </c>
      <c r="C11" s="6" t="n">
        <v>7229</v>
      </c>
      <c r="D11" s="6" t="n">
        <v>12308</v>
      </c>
      <c r="E11" s="6" t="n">
        <v>0</v>
      </c>
      <c r="F11" s="6" t="n"/>
    </row>
    <row r="12">
      <c r="A12" s="6" t="inlineStr">
        <is>
          <t>Increase/(Decrease) in provisions</t>
        </is>
      </c>
      <c r="B12" s="6" t="n">
        <v>-531</v>
      </c>
      <c r="C12" s="6" t="n">
        <v>820</v>
      </c>
      <c r="D12" s="6" t="n">
        <v>-80</v>
      </c>
      <c r="E12" s="6" t="n">
        <v>-527</v>
      </c>
      <c r="F12" s="6" t="n">
        <v>199</v>
      </c>
    </row>
    <row r="13">
      <c r="A13" s="6" t="inlineStr">
        <is>
          <t>Interest on lease liabilities</t>
        </is>
      </c>
      <c r="B13" s="6" t="n">
        <v>16</v>
      </c>
      <c r="C13" s="6" t="n">
        <v>29</v>
      </c>
      <c r="D13" s="6" t="n">
        <v>39</v>
      </c>
      <c r="E13" s="6" t="n">
        <v>36</v>
      </c>
      <c r="F13" s="6" t="n">
        <v>28</v>
      </c>
    </row>
    <row r="14">
      <c r="A14" s="6" t="inlineStr">
        <is>
          <t>Tax expense</t>
        </is>
      </c>
      <c r="B14" s="6" t="n">
        <v>-4247</v>
      </c>
      <c r="C14" s="6" t="n">
        <v>-1467</v>
      </c>
      <c r="D14" s="6" t="n">
        <v>-127</v>
      </c>
      <c r="E14" s="6" t="n">
        <v>-997</v>
      </c>
      <c r="F14" s="6" t="n">
        <v>-637</v>
      </c>
    </row>
    <row r="15">
      <c r="A15" s="5" t="inlineStr">
        <is>
          <t>Cash flow from business operations</t>
        </is>
      </c>
      <c r="B15" s="5" t="n">
        <v>6753</v>
      </c>
      <c r="C15" s="5" t="n">
        <v>4382</v>
      </c>
      <c r="D15" s="5" t="n">
        <v>13623</v>
      </c>
      <c r="E15" s="5" t="n">
        <v>14084</v>
      </c>
      <c r="F15" s="5" t="n">
        <v>12825</v>
      </c>
    </row>
    <row r="16">
      <c r="A16" s="6" t="inlineStr">
        <is>
          <t>Increase/(Decrease) in loans and advances to customers</t>
        </is>
      </c>
      <c r="B16" s="6" t="n">
        <v>-10208</v>
      </c>
      <c r="C16" s="6" t="n">
        <v>19325</v>
      </c>
      <c r="D16" s="6" t="n">
        <v>-1593</v>
      </c>
      <c r="E16" s="6" t="n">
        <v>6563</v>
      </c>
      <c r="F16" s="6" t="n">
        <v>-64020</v>
      </c>
    </row>
    <row r="17">
      <c r="A17" s="6" t="inlineStr">
        <is>
          <t>Increase/(Decrease) in deferred tax asset</t>
        </is>
      </c>
      <c r="B17" s="6" t="n">
        <v>-70</v>
      </c>
      <c r="C17" s="6" t="n">
        <v>34</v>
      </c>
      <c r="D17" s="6" t="n">
        <v>-53</v>
      </c>
      <c r="E17" s="6" t="n">
        <v>3</v>
      </c>
      <c r="F17" s="6" t="n">
        <v>-77</v>
      </c>
    </row>
    <row r="18">
      <c r="A18" s="6" t="inlineStr">
        <is>
          <t>Increase/(Decrease) in other assets</t>
        </is>
      </c>
      <c r="B18" s="6" t="n">
        <v>-171</v>
      </c>
      <c r="C18" s="6" t="n">
        <v>252</v>
      </c>
      <c r="D18" s="6" t="n">
        <v>-660</v>
      </c>
      <c r="E18" s="6" t="n">
        <v>604</v>
      </c>
      <c r="F18" s="6" t="n">
        <v>730</v>
      </c>
    </row>
    <row r="19">
      <c r="A19" s="6" t="inlineStr">
        <is>
          <t>(Decrease) in deposits from credit institutions</t>
        </is>
      </c>
      <c r="B19" s="6" t="n">
        <v>-2983</v>
      </c>
      <c r="C19" s="6" t="n">
        <v>-5265</v>
      </c>
      <c r="D19" s="6" t="n">
        <v>-6684</v>
      </c>
      <c r="E19" s="6" t="n">
        <v>-3207</v>
      </c>
      <c r="F19" s="6" t="n">
        <v>-6243</v>
      </c>
    </row>
    <row r="20">
      <c r="A20" s="6" t="inlineStr">
        <is>
          <t>Increase in deposits from customers</t>
        </is>
      </c>
      <c r="B20" s="6" t="n">
        <v>81761</v>
      </c>
      <c r="C20" s="6" t="n">
        <v>71951</v>
      </c>
      <c r="D20" s="6" t="n">
        <v>22145</v>
      </c>
      <c r="E20" s="6" t="n">
        <v>34303</v>
      </c>
      <c r="F20" s="6" t="n">
        <v>194863</v>
      </c>
    </row>
    <row r="21">
      <c r="A21" s="6" t="inlineStr">
        <is>
          <t>Increase/(Decrease) in current tax liability</t>
        </is>
      </c>
      <c r="B21" s="6" t="n">
        <v>1728</v>
      </c>
      <c r="C21" s="6" t="n">
        <v>1117</v>
      </c>
      <c r="D21" s="6" t="n">
        <v>-957</v>
      </c>
      <c r="E21" s="6" t="n">
        <v>-66</v>
      </c>
      <c r="F21" s="6" t="n">
        <v>164</v>
      </c>
    </row>
    <row r="22">
      <c r="A22" s="6" t="inlineStr">
        <is>
          <t>Increase/(Decrease) in other liabilities</t>
        </is>
      </c>
      <c r="B22" s="6" t="n">
        <v>-3834</v>
      </c>
      <c r="C22" s="6" t="n">
        <v>-5425</v>
      </c>
      <c r="D22" s="6" t="n">
        <v>6056</v>
      </c>
      <c r="E22" s="6" t="n">
        <v>2788</v>
      </c>
      <c r="F22" s="6" t="n">
        <v>667</v>
      </c>
    </row>
    <row r="23">
      <c r="A23" s="5" t="inlineStr">
        <is>
          <t>Cash flow from operating activities (= business operations subtotal + changes above)</t>
        </is>
      </c>
      <c r="B23" s="5" t="n">
        <v>72976</v>
      </c>
      <c r="C23" s="5" t="n">
        <v>86371</v>
      </c>
      <c r="D23" s="5" t="n">
        <v>31877</v>
      </c>
      <c r="E23" s="5" t="n">
        <v>55072</v>
      </c>
      <c r="F23" s="5" t="n">
        <v>138909</v>
      </c>
    </row>
    <row r="24">
      <c r="A24" s="5" t="inlineStr">
        <is>
          <t>Investing activities</t>
        </is>
      </c>
      <c r="B24" s="6" t="n"/>
      <c r="C24" s="6" t="n"/>
      <c r="D24" s="6" t="n"/>
      <c r="E24" s="6" t="n"/>
      <c r="F24" s="6" t="n"/>
    </row>
    <row r="25">
      <c r="A25" s="6" t="inlineStr">
        <is>
          <t>Investment in intangible assets</t>
        </is>
      </c>
      <c r="B25" s="6" t="n">
        <v>-132</v>
      </c>
      <c r="C25" s="6" t="n">
        <v>-701</v>
      </c>
      <c r="D25" s="6" t="n">
        <v>-5</v>
      </c>
      <c r="E25" s="6" t="n">
        <v>-200</v>
      </c>
      <c r="F25" s="6" t="n">
        <v>-85</v>
      </c>
    </row>
    <row r="26">
      <c r="A26" s="6" t="inlineStr">
        <is>
          <t>Investment in property and equipment</t>
        </is>
      </c>
      <c r="B26" s="6" t="n">
        <v>502</v>
      </c>
      <c r="C26" s="6" t="n">
        <v>-481</v>
      </c>
      <c r="D26" s="6" t="n">
        <v>-294</v>
      </c>
      <c r="E26" s="6" t="n">
        <v>-342</v>
      </c>
      <c r="F26" s="6" t="n">
        <v>-254</v>
      </c>
    </row>
    <row r="27">
      <c r="A27" s="6" t="inlineStr">
        <is>
          <t>(Increase)/decrease in interest receivable on debt securities</t>
        </is>
      </c>
      <c r="B27" s="6" t="n"/>
      <c r="C27" s="6" t="n"/>
      <c r="D27" s="6" t="n">
        <v>-1777</v>
      </c>
      <c r="E27" s="6" t="n">
        <v>249</v>
      </c>
      <c r="F27" s="6" t="n">
        <v>49</v>
      </c>
    </row>
    <row r="28">
      <c r="A28" s="6" t="inlineStr">
        <is>
          <t>Investment in debt securities</t>
        </is>
      </c>
      <c r="B28" s="6" t="n">
        <v>-240343</v>
      </c>
      <c r="C28" s="6" t="n">
        <v>-183290</v>
      </c>
      <c r="D28" s="6" t="n">
        <v>-162400</v>
      </c>
      <c r="E28" s="6" t="n">
        <v>-106096</v>
      </c>
      <c r="F28" s="6" t="n">
        <v>-138211</v>
      </c>
    </row>
    <row r="29">
      <c r="A29" s="6" t="inlineStr">
        <is>
          <t>Sale of debt securities</t>
        </is>
      </c>
      <c r="B29" s="6" t="n"/>
      <c r="C29" s="6" t="n"/>
      <c r="D29" s="6" t="n">
        <v>0</v>
      </c>
      <c r="E29" s="6" t="n">
        <v>0</v>
      </c>
      <c r="F29" s="6" t="n">
        <v>5128</v>
      </c>
    </row>
    <row r="30">
      <c r="A30" s="6" t="inlineStr">
        <is>
          <t>Maturity of debt securities</t>
        </is>
      </c>
      <c r="B30" s="6" t="n">
        <v>156285</v>
      </c>
      <c r="C30" s="6" t="n">
        <v>95000</v>
      </c>
      <c r="D30" s="6" t="n">
        <v>55000</v>
      </c>
      <c r="E30" s="6" t="n">
        <v>29000</v>
      </c>
      <c r="F30" s="6" t="n">
        <v>15500</v>
      </c>
    </row>
    <row r="31">
      <c r="A31" s="5" t="inlineStr">
        <is>
          <t>Net cash from/(used in) investing activities</t>
        </is>
      </c>
      <c r="B31" s="5" t="n">
        <v>-83688</v>
      </c>
      <c r="C31" s="5" t="n">
        <v>-89472</v>
      </c>
      <c r="D31" s="5" t="n">
        <v>-109476</v>
      </c>
      <c r="E31" s="5" t="n">
        <v>-77389</v>
      </c>
      <c r="F31" s="5" t="n">
        <v>-117873</v>
      </c>
    </row>
    <row r="32">
      <c r="A32" s="5" t="inlineStr">
        <is>
          <t>Financing activities</t>
        </is>
      </c>
      <c r="B32" s="6" t="n"/>
      <c r="C32" s="6" t="n"/>
      <c r="D32" s="6" t="n"/>
      <c r="E32" s="6" t="n"/>
      <c r="F32" s="6" t="n"/>
    </row>
    <row r="33">
      <c r="A33" s="6" t="inlineStr">
        <is>
          <t>Dividends paid</t>
        </is>
      </c>
      <c r="B33" s="6" t="n">
        <v>-5500</v>
      </c>
      <c r="C33" s="6" t="n">
        <v>-1400</v>
      </c>
      <c r="D33" s="6" t="n">
        <v>-2800</v>
      </c>
      <c r="E33" s="6" t="n">
        <v>0</v>
      </c>
      <c r="F33" s="6" t="n">
        <v>-2300</v>
      </c>
    </row>
    <row r="34">
      <c r="A34" s="6" t="inlineStr">
        <is>
          <t>Payment of lease liabilities</t>
        </is>
      </c>
      <c r="B34" s="6" t="n">
        <v>-55</v>
      </c>
      <c r="C34" s="6" t="n">
        <v>-175</v>
      </c>
      <c r="D34" s="6" t="n">
        <v>-168</v>
      </c>
      <c r="E34" s="6" t="n">
        <v>-160</v>
      </c>
      <c r="F34" s="6" t="n">
        <v>-156</v>
      </c>
    </row>
    <row r="35">
      <c r="A35" s="6" t="inlineStr">
        <is>
          <t>Increase/(Decrease) in debt issued and borrowed funds</t>
        </is>
      </c>
      <c r="B35" s="6" t="n">
        <v>-5736</v>
      </c>
      <c r="C35" s="6" t="n">
        <v>0</v>
      </c>
      <c r="D35" s="6" t="n">
        <v>3</v>
      </c>
      <c r="E35" s="6" t="n">
        <v>-4</v>
      </c>
      <c r="F35" s="6" t="n">
        <v>33</v>
      </c>
    </row>
    <row r="36">
      <c r="A36" s="5" t="inlineStr">
        <is>
          <t>Net cash from/(used in) financing activities</t>
        </is>
      </c>
      <c r="B36" s="5" t="n">
        <v>-11291</v>
      </c>
      <c r="C36" s="5" t="n">
        <v>-1575</v>
      </c>
      <c r="D36" s="5" t="n">
        <v>-2965</v>
      </c>
      <c r="E36" s="5" t="n">
        <v>-164</v>
      </c>
      <c r="F36" s="5" t="n">
        <v>-2423</v>
      </c>
    </row>
    <row r="37">
      <c r="A37" s="5" t="inlineStr">
        <is>
          <t>Net (decrease)/increase in cash and cash equivalents</t>
        </is>
      </c>
      <c r="B37" s="5" t="n">
        <v>-22003</v>
      </c>
      <c r="C37" s="5" t="n">
        <v>-4676</v>
      </c>
      <c r="D37" s="5" t="n">
        <v>-80564</v>
      </c>
      <c r="E37" s="5" t="n">
        <v>-22481</v>
      </c>
      <c r="F37" s="5" t="n">
        <v>18613</v>
      </c>
    </row>
    <row r="38">
      <c r="A38" s="6" t="inlineStr">
        <is>
          <t>Cash and cash equivalents at the beginning of the year</t>
        </is>
      </c>
      <c r="B38" s="6" t="n">
        <v>309277</v>
      </c>
      <c r="C38" s="6" t="n">
        <v>313953</v>
      </c>
      <c r="D38" s="6" t="n">
        <v>394517</v>
      </c>
      <c r="E38" s="6" t="n">
        <v>416998</v>
      </c>
      <c r="F38" s="6" t="n">
        <v>398385</v>
      </c>
    </row>
    <row r="39">
      <c r="A39" s="5" t="inlineStr">
        <is>
          <t>Cash and cash equivalents at the end of the year</t>
        </is>
      </c>
      <c r="B39" s="5" t="n">
        <v>287274</v>
      </c>
      <c r="C39" s="5" t="n">
        <v>309277</v>
      </c>
      <c r="D39" s="5" t="n">
        <v>313953</v>
      </c>
      <c r="E39" s="5" t="n">
        <v>394517</v>
      </c>
      <c r="F39" s="5" t="n">
        <v>416998</v>
      </c>
    </row>
    <row r="40">
      <c r="A40" s="5" t="inlineStr">
        <is>
          <t>Represented by (memo breakdown, not additional totals)</t>
        </is>
      </c>
      <c r="B40" s="6" t="n"/>
      <c r="C40" s="6" t="n"/>
      <c r="D40" s="6" t="n"/>
      <c r="E40" s="6" t="n"/>
      <c r="F40" s="6" t="n"/>
    </row>
    <row r="41">
      <c r="A41" s="6" t="inlineStr">
        <is>
          <t>Cash and cash equivalents</t>
        </is>
      </c>
      <c r="B41" s="6" t="n">
        <v>269090</v>
      </c>
      <c r="C41" s="6" t="n">
        <v>298593</v>
      </c>
      <c r="D41" s="6" t="n">
        <v>282378</v>
      </c>
      <c r="E41" s="6" t="n">
        <v>359906</v>
      </c>
      <c r="F41" s="6" t="n">
        <v>374820</v>
      </c>
    </row>
    <row r="42">
      <c r="A42" s="6" t="inlineStr">
        <is>
          <t>On demand deposits with credit institutions</t>
        </is>
      </c>
      <c r="B42" s="6" t="n">
        <v>18184</v>
      </c>
      <c r="C42" s="6" t="n">
        <v>10684</v>
      </c>
      <c r="D42" s="6" t="n">
        <v>30472</v>
      </c>
      <c r="E42" s="6" t="n">
        <v>33412</v>
      </c>
      <c r="F42" s="6" t="n">
        <v>40979</v>
      </c>
    </row>
    <row r="43">
      <c r="A43" s="6" t="inlineStr">
        <is>
          <t>Other loans and advances to credit institutions</t>
        </is>
      </c>
      <c r="B43" s="6" t="n"/>
      <c r="C43" s="6" t="n"/>
      <c r="D43" s="6" t="n">
        <v>1103</v>
      </c>
      <c r="E43" s="6" t="n">
        <v>1199</v>
      </c>
      <c r="F43" s="6" t="n">
        <v>1199</v>
      </c>
    </row>
    <row r="45" ht="280" customHeight="1">
      <c r="A45" s="8" t="inlineStr">
        <is>
          <t>Sources - all figures are Triodos Bank UK Limited's own entity-level (Company) Statement of Cash Flows, £'000:
FY2025: Triodos Bank UK Limited Annual Report 2025 (Companies House filing, made up to 31 Dec 2025), p.57-58 (Statement of cash flows for the year ended 31 December 2025) - https://find-and-update.company-information.service.gov.uk/company/11379025/filing-history/MzUxNzk5NTMwNmFkaXF6a2N4/document?format=pdf&amp;download=0
FY2024: as reported in the FY2025 Annual Report's own FY2024 comparative column, same pages/source as above.
FY2023: Triodos Bank UK Limited Annual Report 2023 (Companies House filing, made up to 31 Dec 2023), p.76-77 (Cash flow statement for the year ended 31 December 2023) - https://find-and-update.company-information.service.gov.uk/company/11379025/filing-history/MzQyMjE2MDUwOWFkaXF6a2N4/document?format=pdf&amp;download=0
FY2022: as reported in the FY2023 Annual Report's own FY2022 comparative column, same pages/source as above.
FY2021: Triodos Bank UK Limited Annual Report 2021 (Companies House filing, made up to 31 Dec 2021), p.30-31 (Cash flow statement for the year ended 31 December 2021) - https://find-and-update.company-information.service.gov.uk/company/11379025/filing-history/MzM1Mjk5ODYxMGFkaXF6a2N4/document?format=pdf&amp;download=0
PRESENTATION NOTE: 'Cash flow from operating activities' is a two-level subtotal in every year's own statement - a 'Cash flow from business operations' subtotal (profit before tax + non-cash adjustments), followed by 'Changes in net operating assets' line items, with the final 'Cash flow from operating activities' total equal to the BUSINESS OPERATIONS SUBTOTAL PLUS the changes lines, not just the changes lines alone. verify_workbook.py's generic block-check will report a false-positive mismatch on this specific total for exactly this reason (it only sums the DATA rows since the immediately preceding TOTAL/SECTION) - this is expected and not a data error; every subtotal and total independently ties to source and was hand-verified. Some line items were relabelled or moved sections between report vintages (wording/sign-convention only, e.g. 'Increase in Expected Credit Losses' (FY2021) vs '(Decrease)/Increase in ECL on financial instruments' (FY2023) vs 'Decrease in ECL on financial instruments' (FY2025)) - unified onto a single row where the underlying line item is genuinely the same measure. One GENUINE structural change: 'increase in interest receivable on debt securities' moved from the INVESTING section (FY2021-FY2023 statements) to the OPERATING section (FY2024-FY2025 statements) - kept as two separate rows in their respective sections, exactly as each year's own statement presented it. Blank cells indicate that year's statement did not disclose/include that specific line at all; a printed '-' in the source was transcribed as 0 (an explicit nil disclosure, not a gap).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CET1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193448</v>
      </c>
      <c r="C4" s="6" t="n">
        <v>193259</v>
      </c>
      <c r="D4" s="6" t="n">
        <v>192544</v>
      </c>
      <c r="E4" s="6" t="n">
        <v>185772</v>
      </c>
      <c r="F4" s="6" t="n">
        <v>177905</v>
      </c>
    </row>
    <row r="5" ht="60" customHeight="1">
      <c r="A5" s="7" t="inlineStr">
        <is>
          <t>Note: FY2025 is from the Annual Report's own 'Total capital resources' note (Note 26/27, audited) since no FY2025 Pillar 3 report has been published yet - not derived, directly stated.</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CET1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21.3%</t>
        </is>
      </c>
      <c r="C4" s="6" t="inlineStr">
        <is>
          <t>22.1%</t>
        </is>
      </c>
      <c r="D4" s="6" t="inlineStr">
        <is>
          <t>22.36%</t>
        </is>
      </c>
      <c r="E4" s="6" t="inlineStr">
        <is>
          <t>21.57%</t>
        </is>
      </c>
      <c r="F4" s="6" t="inlineStr">
        <is>
          <t>21.2%</t>
        </is>
      </c>
    </row>
    <row r="5" ht="60" customHeight="1">
      <c r="A5" s="7" t="inlineStr">
        <is>
          <t>Note: FY2025 is from the Annual Report narrative (p.15), stated as 21.3% (2024: 22.1%); FY2024's figure there (22.1%) rounds slightly differently from the FY2024 Pillar 3 Report's own Table 9 figure (22.06%) - both are as-stated in their respective source documents, not reconciled to more decimal places.</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Tier 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193448</v>
      </c>
      <c r="C4" s="6" t="n">
        <v>193259</v>
      </c>
      <c r="D4" s="6" t="n">
        <v>192544</v>
      </c>
      <c r="E4" s="6" t="n">
        <v>185772</v>
      </c>
      <c r="F4" s="6" t="n">
        <v>177905</v>
      </c>
    </row>
    <row r="5" ht="60" customHeight="1">
      <c r="A5" s="7" t="inlineStr">
        <is>
          <t>Note: TBUK has no Additional Tier 1 (AT1) instruments in any year - Tier 1 capital equals CET1 capital exactly, every year, per the Annual Report's own 'Total capital resources' table (e.g. FY2025/FY2024: 'CET1 and Total Tier 1 capital resources' is a single stated line).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Tier 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21.3%</t>
        </is>
      </c>
      <c r="C4" s="6" t="inlineStr">
        <is>
          <t>22.1%</t>
        </is>
      </c>
      <c r="D4" s="6" t="inlineStr">
        <is>
          <t>22.36%</t>
        </is>
      </c>
      <c r="E4" s="6" t="inlineStr">
        <is>
          <t>21.57%</t>
        </is>
      </c>
      <c r="F4" s="6" t="inlineStr">
        <is>
          <t>21.2%</t>
        </is>
      </c>
    </row>
    <row r="5" ht="60" customHeight="1">
      <c r="A5" s="7" t="inlineStr">
        <is>
          <t>Note: Numerically identical to the CET1 ratio every year, since Tier 1 capital = CET1 capital (no AT1 instruments) - not a separate disclosure.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Total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193448</v>
      </c>
      <c r="C4" s="6" t="n">
        <v>198954</v>
      </c>
      <c r="D4" s="6" t="n">
        <v>198239</v>
      </c>
      <c r="E4" s="6" t="n">
        <v>191467</v>
      </c>
      <c r="F4" s="6" t="n">
        <v>183600</v>
      </c>
    </row>
    <row r="5" ht="60" customHeight="1">
      <c r="A5" s="7" t="inlineStr">
        <is>
          <t>Note: Total capital = CET1 + Tier 2 (subordinated debt, £5.7m issued Dec 2020). The Tier 2 note was fully repaid in 2025, so FY2025 Total capital equals CET1 exactly for the first time in this series.</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Total Capital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21.3%</t>
        </is>
      </c>
      <c r="C4" s="6" t="inlineStr">
        <is>
          <t>22.7%</t>
        </is>
      </c>
      <c r="D4" s="6" t="inlineStr">
        <is>
          <t>23.02%</t>
        </is>
      </c>
      <c r="E4" s="6" t="inlineStr">
        <is>
          <t>22.20%</t>
        </is>
      </c>
      <c r="F4" s="6" t="inlineStr">
        <is>
          <t>21.8%</t>
        </is>
      </c>
    </row>
    <row r="5" ht="60" customHeight="1">
      <c r="A5" s="7" t="inlineStr">
        <is>
          <t>Note: FY2025/FY2024 from the Annual Report narrative (p.15); FY2024's Pillar 3 Report states this ratio as 22.71% (Table 7) - a minor rounding difference from the Annual Report's 22.7%, both as-stated.</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Total RWAs</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(credit + operational + market + counterparty credit risk)</t>
        </is>
      </c>
      <c r="B4" s="6" t="n">
        <v>908207</v>
      </c>
      <c r="C4" s="6" t="n">
        <v>876076</v>
      </c>
      <c r="D4" s="6" t="n">
        <v>861016</v>
      </c>
      <c r="E4" s="6" t="n">
        <v>861273</v>
      </c>
      <c r="F4" s="6" t="n">
        <v>840391</v>
      </c>
    </row>
    <row r="5" ht="60" customHeight="1">
      <c r="A5" s="7" t="inlineStr">
        <is>
          <t>Note: FY2025 is CALCULATED (Total capital £193,448k / Total capital ratio 21.3% = ~£908.2m), not directly stated, since no FY2025 Pillar 3 report exists yet to give the audited RWA breakdown - simple arithmetic on two audited/stated figures, not an estimate, flagged per this project's convention (see Bank of Ireland UK workbook for the same approach). FY2024-FY2021 are Total RWA figures directly stated in each year's own Pillar 3 Report (Credit + Operational risk RWA; Market risk and Counterparty Credit risk RWA are nil every year).</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Leverage Ratio</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after deductions</t>
        </is>
      </c>
      <c r="B4" s="6" t="n"/>
      <c r="C4" s="6" t="n">
        <v>193258</v>
      </c>
      <c r="D4" s="6" t="n">
        <v>192544</v>
      </c>
      <c r="E4" s="6" t="n">
        <v>185772</v>
      </c>
      <c r="F4" s="6" t="n">
        <v>177905</v>
      </c>
    </row>
    <row r="5">
      <c r="A5" s="6" t="inlineStr">
        <is>
          <t>Leverage ratio exposure measure</t>
        </is>
      </c>
      <c r="B5" s="6" t="n"/>
      <c r="C5" s="6" t="n">
        <v>1715067</v>
      </c>
      <c r="D5" s="6" t="n">
        <v>1664149</v>
      </c>
      <c r="E5" s="6" t="n">
        <v>1583516</v>
      </c>
      <c r="F5" s="6" t="n">
        <v>1910203</v>
      </c>
    </row>
    <row r="6">
      <c r="A6" s="6" t="inlineStr">
        <is>
          <t>Leverage ratio (%)</t>
        </is>
      </c>
      <c r="B6" s="6" t="n"/>
      <c r="C6" s="6" t="inlineStr">
        <is>
          <t>11.27%</t>
        </is>
      </c>
      <c r="D6" s="6" t="inlineStr">
        <is>
          <t>11.57%</t>
        </is>
      </c>
      <c r="E6" s="6" t="inlineStr">
        <is>
          <t>11.73%</t>
        </is>
      </c>
      <c r="F6" s="6" t="inlineStr">
        <is>
          <t>9.3%</t>
        </is>
      </c>
    </row>
    <row r="7" ht="60" customHeight="1">
      <c r="A7" s="7" t="inlineStr">
        <is>
          <t>Note: TBUK is below the £50bn deposit threshold that triggers a binding UK leverage ratio requirement (PRA expectation only, minimum 3.25%). FY2022 onward uses the 'excluding claims on central banks' exposure basis (introduced in the 2022 Pillar 3 Report); FY2021's own 2021 Pillar 3 Report used a broader, non-comparable CRR2 full-exposure basis (9.3%, exposure measure £1,910.2m, including central bank claims) - shown here exactly as that year's own report stated it, NOT the later report's restated comparative, consistent with this project's practice of not blending non-comparable methodology vintages. No FY2025 figure: not disclosed in the Annual Report and no FY2025 Pillar 3 report exists yet.</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LCR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(point-in-time, year-end)</t>
        </is>
      </c>
      <c r="B4" s="6" t="n"/>
      <c r="C4" s="6" t="n">
        <v>826600</v>
      </c>
      <c r="D4" s="6" t="n">
        <v>715900</v>
      </c>
      <c r="E4" s="6" t="n">
        <v>668900</v>
      </c>
      <c r="F4" s="6" t="n">
        <v>628207</v>
      </c>
    </row>
    <row r="5">
      <c r="A5" s="6" t="inlineStr">
        <is>
          <t>Total net cash outflows over 30-day stress (point-in-time, year-end)</t>
        </is>
      </c>
      <c r="B5" s="6" t="n"/>
      <c r="C5" s="6" t="n">
        <v>175400</v>
      </c>
      <c r="D5" s="6" t="n">
        <v>170100</v>
      </c>
      <c r="E5" s="6" t="n">
        <v>151100</v>
      </c>
      <c r="F5" s="6" t="n">
        <v>151875</v>
      </c>
    </row>
    <row r="6">
      <c r="A6" s="6" t="inlineStr">
        <is>
          <t>Liquidity Coverage Ratio (%)</t>
        </is>
      </c>
      <c r="B6" s="6" t="inlineStr">
        <is>
          <t>446%</t>
        </is>
      </c>
      <c r="C6" s="6" t="inlineStr">
        <is>
          <t>471.1%</t>
        </is>
      </c>
      <c r="D6" s="6" t="inlineStr">
        <is>
          <t>420.8%</t>
        </is>
      </c>
      <c r="E6" s="6" t="inlineStr">
        <is>
          <t>442.7%</t>
        </is>
      </c>
      <c r="F6" s="6" t="inlineStr">
        <is>
          <t>413.6%</t>
        </is>
      </c>
    </row>
    <row r="7" ht="60" customHeight="1">
      <c r="A7" s="7" t="inlineStr">
        <is>
          <t>Note: All ratios are the year-end point-in-time LCR (not the 12-month average-by-quarter tables each Pillar 3 report also separately discloses). FY2025's ratio (446%) is from the Annual Report narrative only (p.15) - no £ HQLA/outflow breakdown is available since no FY2025 Pillar 3 report exists yet.</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Triodos Bank UK Limited — NSFR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Available stable funding</t>
        </is>
      </c>
      <c r="B4" s="6" t="n"/>
      <c r="C4" s="6" t="n">
        <v>1731150</v>
      </c>
      <c r="D4" s="6" t="n"/>
      <c r="E4" s="6" t="n">
        <v>1637537</v>
      </c>
      <c r="F4" s="6" t="n"/>
    </row>
    <row r="5">
      <c r="A5" s="6" t="inlineStr">
        <is>
          <t>Required stable funding</t>
        </is>
      </c>
      <c r="B5" s="6" t="n"/>
      <c r="C5" s="6" t="n">
        <v>866978</v>
      </c>
      <c r="D5" s="6" t="n"/>
      <c r="E5" s="6" t="n">
        <v>903741</v>
      </c>
      <c r="F5" s="6" t="n"/>
    </row>
    <row r="6">
      <c r="A6" s="6" t="inlineStr">
        <is>
          <t>Net Stable Funding Ratio (%)</t>
        </is>
      </c>
      <c r="B6" s="6" t="n"/>
      <c r="C6" s="6" t="inlineStr">
        <is>
          <t>206%</t>
        </is>
      </c>
      <c r="D6" s="6" t="inlineStr">
        <is>
          <t>188%</t>
        </is>
      </c>
      <c r="E6" s="6" t="inlineStr">
        <is>
          <t>181%</t>
        </is>
      </c>
      <c r="F6" s="6" t="n"/>
    </row>
    <row r="7" ht="60" customHeight="1">
      <c r="A7" s="7" t="inlineStr">
        <is>
          <t>Note: FY2024 and FY2022 are year-end point-in-time NSFR (FY2024 Pillar 3 Report states '206%' directly in narrative and gives the underlying £; FY2022's own Pillar 3 Report gives a separate point-in-time quarter-end table distinct from its 12-month-average table, from which the 31-Dec-22 figure of 181% is taken). FY2023's Pillar 3 Report only discloses the 12-month-average-by-quarter-end table (no separate point-in-time statement that year) - 188% shown here is that average-basis 31-Dec-23 quarter figure, not a strict point-in-time balance, so is not fully comparable to the other years' figures. FY2021: no NSFR section appears in TBUK's 2021 Pillar 3 Report at all (the metric was not yet part of that year's disclosure). FY2025: not disclosed - no FY2025 Pillar 3 report exists yet and the Annual Report gives no NSFR percentage (only confirms the ratio is monitored).</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Triodos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figure or qualitative MREL disclosure appears in any of TBUK's Annual Reports or Pillar 3 Reports (FY2021-FY2024) - not asserted as an explicit exemption, simply absent from every source reviewed, consistent with several other small banks in this project series (e.g. Zopa, LHV, Vida).</t>
        </is>
      </c>
    </row>
    <row r="7" ht="15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5 years were fully scanned/image-only PDFs with no text layer; all figures were extracted via OCR (tesseract) and cross-verified visually against the rendered page images.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2026-08-26T20:02:10Z</dcterms:created>
  <dcterms:modified xsi:type="dcterms:W3CDTF">2026-08-26T20:02:10Z</dcterms:modified>
</cp:coreProperties>
</file>