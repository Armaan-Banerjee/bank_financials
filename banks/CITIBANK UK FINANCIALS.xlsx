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Citibank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Citibank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'Overview'!AC6</f>
            </strRef>
          </tx>
          <spPr>
            <a:ln xmlns:a="http://schemas.openxmlformats.org/drawingml/2006/main">
              <a:prstDash val="solid"/>
            </a:ln>
          </spPr>
          <marker>
            <symbol val="none"/>
            <spPr>
              <a:ln xmlns:a="http://schemas.openxmlformats.org/drawingml/2006/main">
                <a:prstDash val="solid"/>
              </a:ln>
            </spPr>
          </marker>
          <cat>
            <numRef>
              <f>'Overview'!$AD$5:$AG$5</f>
            </numRef>
          </cat>
          <val>
            <numRef>
              <f>'Overview'!$AD$6:$AG$6</f>
            </numRef>
          </val>
          <smooth val="0"/>
        </ser>
        <ser>
          <idx val="1"/>
          <order val="1"/>
          <tx>
            <strRef>
              <f>'Overview'!AC7</f>
            </strRef>
          </tx>
          <spPr>
            <a:ln xmlns:a="http://schemas.openxmlformats.org/drawingml/2006/main">
              <a:prstDash val="solid"/>
            </a:ln>
          </spPr>
          <marker>
            <symbol val="none"/>
            <spPr>
              <a:ln xmlns:a="http://schemas.openxmlformats.org/drawingml/2006/main">
                <a:prstDash val="solid"/>
              </a:ln>
            </spPr>
          </marker>
          <cat>
            <numRef>
              <f>'Overview'!$AD$5:$AG$5</f>
            </numRef>
          </cat>
          <val>
            <numRef>
              <f>'Overview'!$AD$7:$AG$7</f>
            </numRef>
          </val>
          <smooth val="0"/>
        </ser>
        <ser>
          <idx val="2"/>
          <order val="2"/>
          <tx>
            <strRef>
              <f>'Overview'!AC8</f>
            </strRef>
          </tx>
          <spPr>
            <a:ln xmlns:a="http://schemas.openxmlformats.org/drawingml/2006/main">
              <a:prstDash val="solid"/>
            </a:ln>
          </spPr>
          <marker>
            <symbol val="none"/>
            <spPr>
              <a:ln xmlns:a="http://schemas.openxmlformats.org/drawingml/2006/main">
                <a:prstDash val="solid"/>
              </a:ln>
            </spPr>
          </marker>
          <cat>
            <numRef>
              <f>'Overview'!$AD$5:$AG$5</f>
            </numRef>
          </cat>
          <val>
            <numRef>
              <f>'Overview'!$AD$8:$AG$8</f>
            </numRef>
          </val>
          <smooth val="0"/>
        </ser>
        <ser>
          <idx val="3"/>
          <order val="3"/>
          <tx>
            <strRef>
              <f>'Overview'!AC9</f>
            </strRef>
          </tx>
          <spPr>
            <a:ln xmlns:a="http://schemas.openxmlformats.org/drawingml/2006/main">
              <a:prstDash val="solid"/>
            </a:ln>
          </spPr>
          <marker>
            <symbol val="none"/>
            <spPr>
              <a:ln xmlns:a="http://schemas.openxmlformats.org/drawingml/2006/main">
                <a:prstDash val="solid"/>
              </a:ln>
            </spPr>
          </marker>
          <cat>
            <numRef>
              <f>'Overview'!$AD$5:$AG$5</f>
            </numRef>
          </cat>
          <val>
            <numRef>
              <f>'Overview'!$AD$9:$AG$9</f>
            </numRef>
          </val>
          <smooth val="0"/>
        </ser>
        <ser>
          <idx val="4"/>
          <order val="4"/>
          <tx>
            <strRef>
              <f>'Overview'!AC10</f>
            </strRef>
          </tx>
          <spPr>
            <a:ln xmlns:a="http://schemas.openxmlformats.org/drawingml/2006/main">
              <a:prstDash val="solid"/>
            </a:ln>
          </spPr>
          <marker>
            <symbol val="none"/>
            <spPr>
              <a:ln xmlns:a="http://schemas.openxmlformats.org/drawingml/2006/main">
                <a:prstDash val="solid"/>
              </a:ln>
            </spPr>
          </marker>
          <cat>
            <numRef>
              <f>'Overview'!$AD$5:$AG$5</f>
            </numRef>
          </cat>
          <val>
            <numRef>
              <f>'Overview'!$AD$10:$AG$10</f>
            </numRef>
          </val>
          <smooth val="0"/>
        </ser>
        <ser>
          <idx val="5"/>
          <order val="5"/>
          <tx>
            <strRef>
              <f>'Overview'!AC11</f>
            </strRef>
          </tx>
          <spPr>
            <a:ln xmlns:a="http://schemas.openxmlformats.org/drawingml/2006/main">
              <a:prstDash val="solid"/>
            </a:ln>
          </spPr>
          <marker>
            <symbol val="none"/>
            <spPr>
              <a:ln xmlns:a="http://schemas.openxmlformats.org/drawingml/2006/main">
                <a:prstDash val="solid"/>
              </a:ln>
            </spPr>
          </marker>
          <cat>
            <numRef>
              <f>'Overview'!$AD$5:$AG$5</f>
            </numRef>
          </cat>
          <val>
            <numRef>
              <f>'Overview'!$AD$11:$AG$11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G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s>
  <sheetData>
    <row r="1">
      <c r="A1" s="1" t="inlineStr">
        <is>
          <t>Citibank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D5" t="inlineStr">
        <is>
          <t>FY2021</t>
        </is>
      </c>
      <c r="AE5" t="inlineStr">
        <is>
          <t>FY2022</t>
        </is>
      </c>
      <c r="AF5" t="inlineStr">
        <is>
          <t>FY2023</t>
        </is>
      </c>
      <c r="AG5" t="inlineStr">
        <is>
          <t>FY2024</t>
        </is>
      </c>
    </row>
    <row r="6">
      <c r="A6" s="5" t="inlineStr">
        <is>
          <t>Total assets</t>
        </is>
      </c>
      <c r="B6" s="5" t="n">
        <v>684629</v>
      </c>
      <c r="C6" s="5" t="n">
        <v>3499217</v>
      </c>
      <c r="D6" s="5" t="n">
        <v>6487240</v>
      </c>
      <c r="E6" s="5" t="n">
        <v>7194284</v>
      </c>
      <c r="H6" t="inlineStr">
        <is>
          <t>Total assets</t>
        </is>
      </c>
      <c r="I6" t="n">
        <v>7194284</v>
      </c>
      <c r="J6" t="n">
        <v>6487240</v>
      </c>
      <c r="K6" t="n">
        <v>3499217</v>
      </c>
      <c r="L6" t="n">
        <v>684629</v>
      </c>
      <c r="AC6" t="inlineStr">
        <is>
          <t>CET1 Ratio</t>
        </is>
      </c>
      <c r="AD6" t="n">
        <v>37.8</v>
      </c>
      <c r="AE6" t="n">
        <v>59.1</v>
      </c>
      <c r="AF6" t="n">
        <v>72.7</v>
      </c>
    </row>
    <row r="7">
      <c r="A7" s="5" t="inlineStr">
        <is>
          <t>Loans and advances to customers</t>
        </is>
      </c>
      <c r="B7" s="5" t="n">
        <v>160</v>
      </c>
      <c r="C7" s="5" t="n">
        <v>40801</v>
      </c>
      <c r="D7" s="5" t="n">
        <v>70599</v>
      </c>
      <c r="E7" s="5" t="n">
        <v>265672</v>
      </c>
      <c r="H7" t="inlineStr">
        <is>
          <t>Loans and advances to customers</t>
        </is>
      </c>
      <c r="I7" t="n">
        <v>265672</v>
      </c>
      <c r="J7" t="n">
        <v>70599</v>
      </c>
      <c r="K7" t="n">
        <v>40801</v>
      </c>
      <c r="L7" t="n">
        <v>160</v>
      </c>
      <c r="AC7" t="inlineStr">
        <is>
          <t>Tier 1 Ratio</t>
        </is>
      </c>
      <c r="AD7" t="n">
        <v>44.2</v>
      </c>
      <c r="AE7" t="n">
        <v>66.40000000000001</v>
      </c>
      <c r="AF7" t="n">
        <v>81.8</v>
      </c>
    </row>
    <row r="8">
      <c r="A8" s="5" t="inlineStr">
        <is>
          <t>Customer accounts</t>
        </is>
      </c>
      <c r="B8" s="5" t="n">
        <v>140207</v>
      </c>
      <c r="C8" s="5" t="n">
        <v>2790344</v>
      </c>
      <c r="D8" s="5" t="n">
        <v>5672994</v>
      </c>
      <c r="E8" s="5" t="n">
        <v>6372454</v>
      </c>
      <c r="H8" t="inlineStr">
        <is>
          <t>Customer accounts</t>
        </is>
      </c>
      <c r="I8" t="n">
        <v>6372454</v>
      </c>
      <c r="J8" t="n">
        <v>5672994</v>
      </c>
      <c r="K8" t="n">
        <v>2790344</v>
      </c>
      <c r="L8" t="n">
        <v>140207</v>
      </c>
      <c r="AC8" t="inlineStr">
        <is>
          <t>Total Capital Ratio</t>
        </is>
      </c>
      <c r="AD8" t="n">
        <v>50.7</v>
      </c>
      <c r="AE8" t="n">
        <v>73.8</v>
      </c>
      <c r="AF8" t="n">
        <v>90.8</v>
      </c>
    </row>
    <row r="9">
      <c r="A9" s="5" t="inlineStr">
        <is>
          <t>Total equity</t>
        </is>
      </c>
      <c r="B9" s="5" t="n">
        <v>517960</v>
      </c>
      <c r="C9" s="5" t="n">
        <v>573219</v>
      </c>
      <c r="D9" s="5" t="n">
        <v>489004</v>
      </c>
      <c r="E9" s="5" t="n">
        <v>378126</v>
      </c>
      <c r="H9" t="inlineStr">
        <is>
          <t>Total equity</t>
        </is>
      </c>
      <c r="I9" t="n">
        <v>378126</v>
      </c>
      <c r="J9" t="n">
        <v>489004</v>
      </c>
      <c r="K9" t="n">
        <v>573219</v>
      </c>
      <c r="L9" t="n">
        <v>517960</v>
      </c>
      <c r="AC9" t="inlineStr">
        <is>
          <t>Leverage Ratio</t>
        </is>
      </c>
      <c r="AD9" t="n">
        <v>5.2</v>
      </c>
      <c r="AE9" t="n">
        <v>9.9</v>
      </c>
      <c r="AF9" t="n">
        <v>16.7</v>
      </c>
    </row>
    <row r="10">
      <c r="AC10" t="inlineStr">
        <is>
          <t>LCR</t>
        </is>
      </c>
      <c r="AD10" t="n">
        <v>659</v>
      </c>
      <c r="AE10" t="n">
        <v>654.5</v>
      </c>
      <c r="AF10" t="n">
        <v>836</v>
      </c>
    </row>
    <row r="11">
      <c r="A11" s="3" t="inlineStr">
        <is>
          <t>Profit &amp; Loss Summary (£'000)</t>
        </is>
      </c>
      <c r="AC11" t="inlineStr">
        <is>
          <t>NSFR</t>
        </is>
      </c>
      <c r="AE11" t="n">
        <v>342.2</v>
      </c>
      <c r="AF11" t="n">
        <v>401.6</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Interest receivable</t>
        </is>
      </c>
      <c r="B13" s="5" t="n">
        <v>65131</v>
      </c>
      <c r="C13" s="5" t="n">
        <v>160605</v>
      </c>
      <c r="D13" s="5" t="n">
        <v>98603</v>
      </c>
      <c r="E13" s="5" t="n">
        <v>42733</v>
      </c>
      <c r="O13" t="inlineStr">
        <is>
          <t>Interest receivable</t>
        </is>
      </c>
      <c r="P13" t="n">
        <v>42733</v>
      </c>
      <c r="Q13" t="n">
        <v>98603</v>
      </c>
      <c r="R13" t="n">
        <v>160605</v>
      </c>
      <c r="S13" t="n">
        <v>65131</v>
      </c>
    </row>
    <row r="14">
      <c r="A14" s="5" t="inlineStr">
        <is>
          <t>Administrative expenses</t>
        </is>
      </c>
      <c r="B14" s="5" t="n">
        <v>-77701</v>
      </c>
      <c r="C14" s="5" t="n">
        <v>-95512</v>
      </c>
      <c r="D14" s="5" t="n">
        <v>-98726</v>
      </c>
      <c r="E14" s="5" t="n">
        <v>-61763</v>
      </c>
      <c r="O14" t="inlineStr">
        <is>
          <t>Administrative expenses</t>
        </is>
      </c>
      <c r="P14" t="n">
        <v>-61763</v>
      </c>
      <c r="Q14" t="n">
        <v>-98726</v>
      </c>
      <c r="R14" t="n">
        <v>-95512</v>
      </c>
      <c r="S14" t="n">
        <v>-77701</v>
      </c>
    </row>
    <row r="15">
      <c r="A15" s="5" t="inlineStr">
        <is>
          <t>Profit/(loss) for the financial year</t>
        </is>
      </c>
      <c r="B15" s="5" t="n">
        <v>-57172</v>
      </c>
      <c r="C15" s="5" t="n">
        <v>19981</v>
      </c>
      <c r="D15" s="5" t="n">
        <v>21815</v>
      </c>
      <c r="E15" s="5" t="n">
        <v>10814</v>
      </c>
      <c r="O15" t="inlineStr">
        <is>
          <t>Profit/(loss) for the financial year</t>
        </is>
      </c>
      <c r="P15" t="n">
        <v>10814</v>
      </c>
      <c r="Q15" t="n">
        <v>21815</v>
      </c>
      <c r="R15" t="n">
        <v>19981</v>
      </c>
      <c r="S15" t="n">
        <v>-57172</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573219</v>
      </c>
      <c r="C19" s="5" t="n">
        <v>489004</v>
      </c>
      <c r="D19" s="5" t="n">
        <v>378126</v>
      </c>
      <c r="E19" s="5" t="n">
        <v>404330</v>
      </c>
      <c r="V19" t="inlineStr">
        <is>
          <t>Opening equity</t>
        </is>
      </c>
      <c r="W19" t="n">
        <v>404330</v>
      </c>
      <c r="X19" t="n">
        <v>378126</v>
      </c>
      <c r="Y19" t="n">
        <v>489004</v>
      </c>
      <c r="Z19" t="n">
        <v>573219</v>
      </c>
    </row>
    <row r="20">
      <c r="A20" s="5" t="inlineStr">
        <is>
          <t>Total comprehensive income/(loss) for the year</t>
        </is>
      </c>
      <c r="B20" s="5" t="n">
        <v>1258</v>
      </c>
      <c r="C20" s="5" t="n">
        <v>87538</v>
      </c>
      <c r="D20" s="5" t="n">
        <v>-85961</v>
      </c>
      <c r="E20" s="5" t="n">
        <v>-22948</v>
      </c>
      <c r="V20" t="inlineStr">
        <is>
          <t>Total comprehensive income/(loss) for the year</t>
        </is>
      </c>
      <c r="W20" t="n">
        <v>-22948</v>
      </c>
      <c r="X20" t="n">
        <v>-85961</v>
      </c>
      <c r="Y20" t="n">
        <v>87538</v>
      </c>
      <c r="Z20" t="n">
        <v>1258</v>
      </c>
    </row>
    <row r="21">
      <c r="A21" s="5" t="inlineStr">
        <is>
          <t>Other equity movements, net</t>
        </is>
      </c>
      <c r="B21" s="5" t="n">
        <v>-56517</v>
      </c>
      <c r="C21" s="5" t="n">
        <v>-3323</v>
      </c>
      <c r="D21" s="5" t="n">
        <v>196839</v>
      </c>
      <c r="E21" s="5" t="n">
        <v>-3256</v>
      </c>
      <c r="V21" t="inlineStr">
        <is>
          <t>Other equity movements, net</t>
        </is>
      </c>
      <c r="W21" t="n">
        <v>-3256</v>
      </c>
      <c r="X21" t="n">
        <v>196839</v>
      </c>
      <c r="Y21" t="n">
        <v>-3323</v>
      </c>
      <c r="Z21" t="n">
        <v>-56517</v>
      </c>
    </row>
    <row r="22">
      <c r="A22" s="5" t="inlineStr">
        <is>
          <t>Closing equity</t>
        </is>
      </c>
      <c r="B22" s="5" t="n">
        <v>517960</v>
      </c>
      <c r="C22" s="5" t="n">
        <v>573219</v>
      </c>
      <c r="D22" s="5" t="n">
        <v>489004</v>
      </c>
      <c r="E22" s="5" t="n">
        <v>378126</v>
      </c>
      <c r="V22" t="inlineStr">
        <is>
          <t>Closing equity</t>
        </is>
      </c>
      <c r="W22" t="n">
        <v>378126</v>
      </c>
      <c r="X22" t="n">
        <v>489004</v>
      </c>
      <c r="Y22" t="n">
        <v>573219</v>
      </c>
      <c r="Z22" t="n">
        <v>517960</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FY2024</t>
        </is>
      </c>
      <c r="C27" s="4" t="inlineStr">
        <is>
          <t>FY2023</t>
        </is>
      </c>
      <c r="D27" s="4" t="inlineStr">
        <is>
          <t>FY2022</t>
        </is>
      </c>
      <c r="E27" s="4" t="inlineStr">
        <is>
          <t>FY2021</t>
        </is>
      </c>
    </row>
    <row r="28">
      <c r="A28" s="6" t="inlineStr">
        <is>
          <t>CET1 Ratio</t>
        </is>
      </c>
      <c r="B28" s="6" t="n"/>
      <c r="C28" s="6" t="inlineStr">
        <is>
          <t>72.7%</t>
        </is>
      </c>
      <c r="D28" s="6" t="inlineStr">
        <is>
          <t>59.1%</t>
        </is>
      </c>
      <c r="E28" s="6" t="inlineStr">
        <is>
          <t>37.8%</t>
        </is>
      </c>
    </row>
    <row r="29">
      <c r="A29" s="6" t="inlineStr">
        <is>
          <t>Tier 1 Ratio</t>
        </is>
      </c>
      <c r="B29" s="6" t="n"/>
      <c r="C29" s="6" t="inlineStr">
        <is>
          <t>81.8%</t>
        </is>
      </c>
      <c r="D29" s="6" t="inlineStr">
        <is>
          <t>66.4%</t>
        </is>
      </c>
      <c r="E29" s="6" t="inlineStr">
        <is>
          <t>44.2%</t>
        </is>
      </c>
    </row>
    <row r="30">
      <c r="A30" s="6" t="inlineStr">
        <is>
          <t>Total Capital Ratio</t>
        </is>
      </c>
      <c r="B30" s="6" t="n"/>
      <c r="C30" s="6" t="inlineStr">
        <is>
          <t>90.8%</t>
        </is>
      </c>
      <c r="D30" s="6" t="inlineStr">
        <is>
          <t>73.8%</t>
        </is>
      </c>
      <c r="E30" s="6" t="inlineStr">
        <is>
          <t>50.7%</t>
        </is>
      </c>
    </row>
    <row r="31">
      <c r="A31" s="6" t="inlineStr">
        <is>
          <t>Leverage Ratio</t>
        </is>
      </c>
      <c r="B31" s="6" t="n"/>
      <c r="C31" s="6" t="inlineStr">
        <is>
          <t>16.7%</t>
        </is>
      </c>
      <c r="D31" s="6" t="inlineStr">
        <is>
          <t>9.9%</t>
        </is>
      </c>
      <c r="E31" s="6" t="inlineStr">
        <is>
          <t>5.2%</t>
        </is>
      </c>
    </row>
    <row r="32">
      <c r="A32" s="6" t="inlineStr">
        <is>
          <t>LCR</t>
        </is>
      </c>
      <c r="B32" s="6" t="n"/>
      <c r="C32" s="6" t="inlineStr">
        <is>
          <t>836.0%</t>
        </is>
      </c>
      <c r="D32" s="6" t="inlineStr">
        <is>
          <t>654.5%</t>
        </is>
      </c>
      <c r="E32" s="6" t="inlineStr">
        <is>
          <t>659%</t>
        </is>
      </c>
    </row>
    <row r="33">
      <c r="A33" s="6" t="inlineStr">
        <is>
          <t>NSFR</t>
        </is>
      </c>
      <c r="B33" s="6" t="n"/>
      <c r="C33" s="6" t="inlineStr">
        <is>
          <t>401.6%</t>
        </is>
      </c>
      <c r="D33" s="6" t="inlineStr">
        <is>
          <t>342.2%</t>
        </is>
      </c>
      <c r="E33" s="6" t="n"/>
    </row>
    <row r="35" ht="45" customHeight="1">
      <c r="A35" s="7" t="inlineStr">
        <is>
          <t>Note: Statement sheets (Balance Sheet/P&amp;L/Equity/Asset Quality) cover FY2021-FY2024 (full statutory accounts). Pillar 3 ratios/RWA sheets remain FY2021-FY2023 only: no official standalone CUKL Pillar 3 report was located for FY2024, and Companies House shows FY2025 accounts are not yet filed as at this build. See source notes for the FRS 101 IAS 7 cash-flow exemption and full source coverage.</t>
        </is>
      </c>
    </row>
  </sheetData>
  <mergeCells count="1">
    <mergeCell ref="A35:E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Consolidated Statement of Financial Position</t>
        </is>
      </c>
    </row>
    <row r="2">
      <c r="A2" s="2" t="inlineStr">
        <is>
          <t>Company (entity-level) basis, £'000. See sources for the combined Total liabilities/equity presentation.</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and balances at central banks</t>
        </is>
      </c>
      <c r="B5" s="6" t="n">
        <v>484139</v>
      </c>
      <c r="C5" s="6" t="n">
        <v>680797</v>
      </c>
      <c r="D5" s="6" t="n">
        <v>1526980</v>
      </c>
      <c r="E5" s="6" t="n">
        <v>1176483</v>
      </c>
    </row>
    <row r="6">
      <c r="A6" s="6" t="inlineStr">
        <is>
          <t>Derivative financial instruments</t>
        </is>
      </c>
      <c r="B6" s="6" t="n">
        <v>2592</v>
      </c>
      <c r="C6" s="6" t="n">
        <v>43848</v>
      </c>
      <c r="D6" s="6" t="n">
        <v>201825</v>
      </c>
      <c r="E6" s="6" t="n">
        <v>324553</v>
      </c>
    </row>
    <row r="7">
      <c r="A7" s="6" t="inlineStr">
        <is>
          <t>Treasury bills and other eligible bills</t>
        </is>
      </c>
      <c r="B7" s="6" t="n">
        <v>0</v>
      </c>
      <c r="C7" s="6" t="n">
        <v>1651630</v>
      </c>
      <c r="D7" s="6" t="n">
        <v>2623200</v>
      </c>
      <c r="E7" s="6" t="n">
        <v>2309712</v>
      </c>
    </row>
    <row r="8">
      <c r="A8" s="6" t="inlineStr">
        <is>
          <t>Loans and advances to banks</t>
        </is>
      </c>
      <c r="B8" s="6" t="n">
        <v>191422</v>
      </c>
      <c r="C8" s="6" t="n">
        <v>173568</v>
      </c>
      <c r="D8" s="6" t="n">
        <v>170277</v>
      </c>
      <c r="E8" s="6" t="n">
        <v>1287129</v>
      </c>
    </row>
    <row r="9">
      <c r="A9" s="6" t="inlineStr">
        <is>
          <t>Loans and advances to customers</t>
        </is>
      </c>
      <c r="B9" s="6" t="n">
        <v>160</v>
      </c>
      <c r="C9" s="6" t="n">
        <v>40801</v>
      </c>
      <c r="D9" s="6" t="n">
        <v>70599</v>
      </c>
      <c r="E9" s="6" t="n">
        <v>265672</v>
      </c>
    </row>
    <row r="10">
      <c r="A10" s="6" t="inlineStr">
        <is>
          <t>Debt securities</t>
        </is>
      </c>
      <c r="B10" s="6" t="n">
        <v>0</v>
      </c>
      <c r="C10" s="6" t="n">
        <v>865731</v>
      </c>
      <c r="D10" s="6" t="n">
        <v>1823106</v>
      </c>
      <c r="E10" s="6" t="n">
        <v>1756683</v>
      </c>
    </row>
    <row r="11">
      <c r="A11" s="6" t="inlineStr">
        <is>
          <t>Intangible fixed assets</t>
        </is>
      </c>
      <c r="B11" s="6" t="n">
        <v>24</v>
      </c>
      <c r="C11" s="6" t="n">
        <v>2936</v>
      </c>
      <c r="D11" s="6" t="n">
        <v>4467</v>
      </c>
      <c r="E11" s="6" t="n">
        <v>6687</v>
      </c>
    </row>
    <row r="12">
      <c r="A12" s="6" t="inlineStr">
        <is>
          <t>Other assets</t>
        </is>
      </c>
      <c r="B12" s="6" t="n">
        <v>4174</v>
      </c>
      <c r="C12" s="6" t="n">
        <v>37418</v>
      </c>
      <c r="D12" s="6" t="n">
        <v>65125</v>
      </c>
      <c r="E12" s="6" t="n">
        <v>65217</v>
      </c>
    </row>
    <row r="13">
      <c r="A13" s="6" t="inlineStr">
        <is>
          <t>Prepayment and accrued income</t>
        </is>
      </c>
      <c r="B13" s="6" t="n">
        <v>2118</v>
      </c>
      <c r="C13" s="6" t="n">
        <v>2488</v>
      </c>
      <c r="D13" s="6" t="n">
        <v>1661</v>
      </c>
      <c r="E13" s="6" t="n">
        <v>2148</v>
      </c>
    </row>
    <row r="14">
      <c r="A14" s="5" t="inlineStr">
        <is>
          <t>Total assets</t>
        </is>
      </c>
      <c r="B14" s="5" t="n">
        <v>684629</v>
      </c>
      <c r="C14" s="5" t="n">
        <v>3499217</v>
      </c>
      <c r="D14" s="5" t="n">
        <v>6487240</v>
      </c>
      <c r="E14" s="5" t="n">
        <v>7194284</v>
      </c>
    </row>
    <row r="15">
      <c r="A15" s="5" t="inlineStr">
        <is>
          <t>Liabilities</t>
        </is>
      </c>
      <c r="B15" s="6" t="n"/>
      <c r="C15" s="6" t="n"/>
      <c r="D15" s="6" t="n"/>
      <c r="E15" s="6" t="n"/>
    </row>
    <row r="16">
      <c r="A16" s="6" t="inlineStr">
        <is>
          <t>Deposits by banks</t>
        </is>
      </c>
      <c r="B16" s="6" t="n">
        <v>84</v>
      </c>
      <c r="C16" s="6" t="n">
        <v>9400</v>
      </c>
      <c r="D16" s="6" t="n">
        <v>32184</v>
      </c>
      <c r="E16" s="6" t="n">
        <v>8316</v>
      </c>
    </row>
    <row r="17">
      <c r="A17" s="6" t="inlineStr">
        <is>
          <t>Customer accounts</t>
        </is>
      </c>
      <c r="B17" s="6" t="n">
        <v>140207</v>
      </c>
      <c r="C17" s="6" t="n">
        <v>2790344</v>
      </c>
      <c r="D17" s="6" t="n">
        <v>5672994</v>
      </c>
      <c r="E17" s="6" t="n">
        <v>6372454</v>
      </c>
    </row>
    <row r="18">
      <c r="A18" s="6" t="inlineStr">
        <is>
          <t>Derivative financial instruments</t>
        </is>
      </c>
      <c r="B18" s="6" t="n">
        <v>3015</v>
      </c>
      <c r="C18" s="6" t="n">
        <v>43411</v>
      </c>
      <c r="D18" s="6" t="n">
        <v>203089</v>
      </c>
      <c r="E18" s="6" t="n">
        <v>320789</v>
      </c>
    </row>
    <row r="19">
      <c r="A19" s="6" t="inlineStr">
        <is>
          <t>Other liabilities</t>
        </is>
      </c>
      <c r="B19" s="6" t="n">
        <v>8843</v>
      </c>
      <c r="C19" s="6" t="n">
        <v>15330</v>
      </c>
      <c r="D19" s="6" t="n">
        <v>19456</v>
      </c>
      <c r="E19" s="6" t="n">
        <v>56809</v>
      </c>
    </row>
    <row r="20">
      <c r="A20" s="6" t="inlineStr">
        <is>
          <t>Accruals and deferred income</t>
        </is>
      </c>
      <c r="B20" s="6" t="n">
        <v>3687</v>
      </c>
      <c r="C20" s="6" t="n">
        <v>4877</v>
      </c>
      <c r="D20" s="6" t="n">
        <v>7840</v>
      </c>
      <c r="E20" s="6" t="n">
        <v>4868</v>
      </c>
    </row>
    <row r="21">
      <c r="A21" s="6" t="inlineStr">
        <is>
          <t>Provisions for liabilities</t>
        </is>
      </c>
      <c r="B21" s="6" t="n">
        <v>10833</v>
      </c>
      <c r="C21" s="6" t="n">
        <v>10254</v>
      </c>
      <c r="D21" s="6" t="n">
        <v>10436</v>
      </c>
      <c r="E21" s="6" t="n">
        <v>850</v>
      </c>
    </row>
    <row r="22">
      <c r="A22" s="6" t="inlineStr">
        <is>
          <t>Subordinated liabilities</t>
        </is>
      </c>
      <c r="B22" s="6" t="n">
        <v>0</v>
      </c>
      <c r="C22" s="6" t="n">
        <v>52382</v>
      </c>
      <c r="D22" s="6" t="n">
        <v>52237</v>
      </c>
      <c r="E22" s="6" t="n">
        <v>52072</v>
      </c>
    </row>
    <row r="23">
      <c r="A23" s="5" t="inlineStr">
        <is>
          <t>Equity</t>
        </is>
      </c>
      <c r="B23" s="6" t="n"/>
      <c r="C23" s="6" t="n"/>
      <c r="D23" s="6" t="n"/>
      <c r="E23" s="6" t="n"/>
    </row>
    <row r="24">
      <c r="A24" s="6" t="inlineStr">
        <is>
          <t>Called up share capital</t>
        </is>
      </c>
      <c r="B24" s="6" t="n">
        <v>0</v>
      </c>
      <c r="C24" s="6" t="n">
        <v>0</v>
      </c>
      <c r="D24" s="6" t="n">
        <v>0</v>
      </c>
      <c r="E24" s="6" t="n">
        <v>0</v>
      </c>
    </row>
    <row r="25">
      <c r="A25" s="6" t="inlineStr">
        <is>
          <t>Reserves</t>
        </is>
      </c>
      <c r="B25" s="6" t="n">
        <v>510934</v>
      </c>
      <c r="C25" s="6" t="n">
        <v>505184</v>
      </c>
      <c r="D25" s="6" t="n">
        <v>434300</v>
      </c>
      <c r="E25" s="6" t="n">
        <v>341987</v>
      </c>
    </row>
    <row r="26">
      <c r="A26" s="6" t="inlineStr">
        <is>
          <t>Profit and loss account</t>
        </is>
      </c>
      <c r="B26" s="6" t="n">
        <v>7026</v>
      </c>
      <c r="C26" s="6" t="n">
        <v>68035</v>
      </c>
      <c r="D26" s="6" t="n">
        <v>54704</v>
      </c>
      <c r="E26" s="6" t="n">
        <v>36139</v>
      </c>
    </row>
    <row r="27">
      <c r="A27" s="5" t="inlineStr">
        <is>
          <t>Total liabilities (incl. equity - see sources)</t>
        </is>
      </c>
      <c r="B27" s="5" t="n">
        <v>684629</v>
      </c>
      <c r="C27" s="5" t="n">
        <v>3499217</v>
      </c>
      <c r="D27" s="5" t="n">
        <v>6487240</v>
      </c>
      <c r="E27" s="5" t="n">
        <v>7194284</v>
      </c>
    </row>
    <row r="29" ht="180" customHeight="1">
      <c r="A29"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9:E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Income Statement</t>
        </is>
      </c>
    </row>
    <row r="2">
      <c r="A2" s="2" t="inlineStr">
        <is>
          <t>Company (entity-level) basis, £'000.</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receivable</t>
        </is>
      </c>
      <c r="B5" s="6" t="n">
        <v>65131</v>
      </c>
      <c r="C5" s="6" t="n">
        <v>160605</v>
      </c>
      <c r="D5" s="6" t="n">
        <v>98603</v>
      </c>
      <c r="E5" s="6" t="n">
        <v>42733</v>
      </c>
    </row>
    <row r="6">
      <c r="A6" s="6" t="inlineStr">
        <is>
          <t>Interest payable</t>
        </is>
      </c>
      <c r="B6" s="6" t="n">
        <v>-20935</v>
      </c>
      <c r="C6" s="6" t="n">
        <v>-43107</v>
      </c>
      <c r="D6" s="6" t="n">
        <v>-11677</v>
      </c>
      <c r="E6" s="6" t="n">
        <v>-1816</v>
      </c>
    </row>
    <row r="7">
      <c r="A7" s="6" t="inlineStr">
        <is>
          <t>Fees and commissions receivable</t>
        </is>
      </c>
      <c r="B7" s="6" t="n">
        <v>24476</v>
      </c>
      <c r="C7" s="6" t="n">
        <v>38466</v>
      </c>
      <c r="D7" s="6" t="n">
        <v>48022</v>
      </c>
      <c r="E7" s="6" t="n">
        <v>34505</v>
      </c>
    </row>
    <row r="8">
      <c r="A8" s="6" t="inlineStr">
        <is>
          <t>Fees and commissions payable</t>
        </is>
      </c>
      <c r="B8" s="6" t="n">
        <v>-3389</v>
      </c>
      <c r="C8" s="6" t="n">
        <v>-4333</v>
      </c>
      <c r="D8" s="6" t="n">
        <v>-4516</v>
      </c>
      <c r="E8" s="6" t="n">
        <v>-5050</v>
      </c>
    </row>
    <row r="9">
      <c r="A9" s="6" t="inlineStr">
        <is>
          <t>Dealing profits/(loss)</t>
        </is>
      </c>
      <c r="B9" s="6" t="n">
        <v>-70424</v>
      </c>
      <c r="C9" s="6" t="n">
        <v>-35246</v>
      </c>
      <c r="D9" s="6" t="n">
        <v>-606</v>
      </c>
      <c r="E9" s="6" t="n">
        <v>3743</v>
      </c>
    </row>
    <row r="10">
      <c r="A10" s="6" t="inlineStr">
        <is>
          <t>Other operating income</t>
        </is>
      </c>
      <c r="B10" s="6" t="n">
        <v>1093</v>
      </c>
      <c r="C10" s="6" t="n">
        <v>1559</v>
      </c>
      <c r="D10" s="6" t="n">
        <v>825</v>
      </c>
      <c r="E10" s="6" t="n">
        <v>530</v>
      </c>
    </row>
    <row r="11">
      <c r="A11" s="6" t="inlineStr">
        <is>
          <t>Administrative expenses</t>
        </is>
      </c>
      <c r="B11" s="6" t="n">
        <v>-77701</v>
      </c>
      <c r="C11" s="6" t="n">
        <v>-95512</v>
      </c>
      <c r="D11" s="6" t="n">
        <v>-98726</v>
      </c>
      <c r="E11" s="6" t="n">
        <v>-61763</v>
      </c>
    </row>
    <row r="12">
      <c r="A12" s="6" t="inlineStr">
        <is>
          <t>Depreciation and amortization</t>
        </is>
      </c>
      <c r="B12" s="6" t="n">
        <v>-2913</v>
      </c>
      <c r="C12" s="6" t="n">
        <v>-1530</v>
      </c>
      <c r="D12" s="6" t="n">
        <v>-2187</v>
      </c>
      <c r="E12" s="6" t="n">
        <v>-2346</v>
      </c>
    </row>
    <row r="13">
      <c r="A13" s="6" t="inlineStr">
        <is>
          <t>Other operating charges</t>
        </is>
      </c>
      <c r="B13" s="6" t="n">
        <v>-7</v>
      </c>
      <c r="C13" s="6" t="n">
        <v>-15</v>
      </c>
      <c r="D13" s="6" t="n">
        <v>-292</v>
      </c>
      <c r="E13" s="6" t="n">
        <v>-103</v>
      </c>
    </row>
    <row r="14">
      <c r="A14" s="6" t="inlineStr">
        <is>
          <t>Impairment on financial assets / Provisions</t>
        </is>
      </c>
      <c r="B14" s="6" t="n">
        <v>53</v>
      </c>
      <c r="C14" s="6" t="n">
        <v>110</v>
      </c>
      <c r="D14" s="6" t="n">
        <v>416</v>
      </c>
      <c r="E14" s="6" t="n">
        <v>1309</v>
      </c>
    </row>
    <row r="15">
      <c r="A15" s="5" t="inlineStr">
        <is>
          <t>Profit/(loss) on ordinary activities before tax</t>
        </is>
      </c>
      <c r="B15" s="5" t="n">
        <v>-84616</v>
      </c>
      <c r="C15" s="5" t="n">
        <v>20997</v>
      </c>
      <c r="D15" s="5" t="n">
        <v>29862</v>
      </c>
      <c r="E15" s="5" t="n">
        <v>11742</v>
      </c>
    </row>
    <row r="16">
      <c r="A16" s="6" t="inlineStr">
        <is>
          <t>Tax on profit on ordinary activities</t>
        </is>
      </c>
      <c r="B16" s="6" t="n">
        <v>27444</v>
      </c>
      <c r="C16" s="6" t="n">
        <v>-1016</v>
      </c>
      <c r="D16" s="6" t="n">
        <v>-8047</v>
      </c>
      <c r="E16" s="6" t="n">
        <v>-928</v>
      </c>
    </row>
    <row r="17">
      <c r="A17" s="5" t="inlineStr">
        <is>
          <t>Profit/(loss) for the financial year</t>
        </is>
      </c>
      <c r="B17" s="5" t="n">
        <v>-57172</v>
      </c>
      <c r="C17" s="5" t="n">
        <v>19981</v>
      </c>
      <c r="D17" s="5" t="n">
        <v>21815</v>
      </c>
      <c r="E17" s="5" t="n">
        <v>10814</v>
      </c>
    </row>
    <row r="18">
      <c r="A18" s="5" t="inlineStr">
        <is>
          <t>Other comprehensive income</t>
        </is>
      </c>
      <c r="B18" s="6" t="n"/>
      <c r="C18" s="6" t="n"/>
      <c r="D18" s="6" t="n"/>
      <c r="E18" s="6" t="n"/>
    </row>
    <row r="19">
      <c r="A19" s="6" t="inlineStr">
        <is>
          <t>Debt instruments at FVOCI - net change in fair value</t>
        </is>
      </c>
      <c r="B19" s="6" t="n">
        <v>12450</v>
      </c>
      <c r="C19" s="6" t="n">
        <v>66975</v>
      </c>
      <c r="D19" s="6" t="n">
        <v>-147555</v>
      </c>
      <c r="E19" s="6" t="n">
        <v>-44921</v>
      </c>
    </row>
    <row r="20">
      <c r="A20" s="6" t="inlineStr">
        <is>
          <t>Debt instruments at FVOCI - reclassified to profit or loss</t>
        </is>
      </c>
      <c r="B20" s="6" t="n">
        <v>70082</v>
      </c>
      <c r="C20" s="6" t="n">
        <v>26902</v>
      </c>
      <c r="D20" s="6" t="n">
        <v>0</v>
      </c>
      <c r="E20" s="6" t="n">
        <v>-3980</v>
      </c>
    </row>
    <row r="21">
      <c r="A21" s="6" t="inlineStr">
        <is>
          <t>Related tax</t>
        </is>
      </c>
      <c r="B21" s="6" t="n">
        <v>-24102</v>
      </c>
      <c r="C21" s="6" t="n">
        <v>-26320</v>
      </c>
      <c r="D21" s="6" t="n">
        <v>39779</v>
      </c>
      <c r="E21" s="6" t="n">
        <v>15139</v>
      </c>
    </row>
    <row r="22">
      <c r="A22" s="5" t="inlineStr">
        <is>
          <t>Other comprehensive income/(loss) for the year, net of tax</t>
        </is>
      </c>
      <c r="B22" s="5" t="n">
        <v>58430</v>
      </c>
      <c r="C22" s="5" t="n">
        <v>67557</v>
      </c>
      <c r="D22" s="5" t="n">
        <v>-107776</v>
      </c>
      <c r="E22" s="5" t="n">
        <v>-33762</v>
      </c>
    </row>
    <row r="23">
      <c r="A23" s="5" t="inlineStr">
        <is>
          <t>Total comprehensive income/(loss) for the year</t>
        </is>
      </c>
      <c r="B23" s="5" t="n">
        <v>1258</v>
      </c>
      <c r="C23" s="5" t="n">
        <v>87538</v>
      </c>
      <c r="D23" s="5" t="n">
        <v>-85961</v>
      </c>
      <c r="E23" s="5" t="n">
        <v>-22948</v>
      </c>
    </row>
    <row r="25" ht="180" customHeight="1">
      <c r="A25"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5:E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Statement of Changes in Equity</t>
        </is>
      </c>
    </row>
    <row r="2">
      <c r="A2" s="2" t="inlineStr">
        <is>
          <t>Company (entity-level) basis, £'000. Read chronologically oldest-to-newest.</t>
        </is>
      </c>
    </row>
    <row r="3">
      <c r="A3" s="4" t="inlineStr">
        <is>
          <t>Movement</t>
        </is>
      </c>
      <c r="B3" s="4" t="inlineStr">
        <is>
          <t>Called up share capital</t>
        </is>
      </c>
      <c r="C3" s="4" t="inlineStr">
        <is>
          <t>Other reserve</t>
        </is>
      </c>
      <c r="D3" s="4" t="inlineStr">
        <is>
          <t>Fair value reserve</t>
        </is>
      </c>
      <c r="E3" s="4" t="inlineStr">
        <is>
          <t>Equity reserve</t>
        </is>
      </c>
      <c r="F3" s="4" t="inlineStr">
        <is>
          <t>Profit and loss account</t>
        </is>
      </c>
      <c r="G3" s="4" t="inlineStr">
        <is>
          <t>Total</t>
        </is>
      </c>
    </row>
    <row r="4">
      <c r="A4" s="5" t="inlineStr">
        <is>
          <t>At 1 January 2021</t>
        </is>
      </c>
      <c r="B4" s="5" t="n">
        <v>0</v>
      </c>
      <c r="C4" s="5" t="n">
        <v>363589</v>
      </c>
      <c r="D4" s="5" t="n">
        <v>12151</v>
      </c>
      <c r="E4" s="5" t="n">
        <v>15</v>
      </c>
      <c r="F4" s="5" t="n">
        <v>28575</v>
      </c>
      <c r="G4" s="5" t="n">
        <v>404330</v>
      </c>
    </row>
    <row r="5">
      <c r="A5" s="6" t="inlineStr">
        <is>
          <t>Profit for the financial year (FY2021)</t>
        </is>
      </c>
      <c r="B5" s="6" t="n"/>
      <c r="C5" s="6" t="n"/>
      <c r="D5" s="6" t="n"/>
      <c r="E5" s="6" t="n"/>
      <c r="F5" s="6" t="n">
        <v>10814</v>
      </c>
      <c r="G5" s="6" t="n">
        <v>10814</v>
      </c>
    </row>
    <row r="6">
      <c r="A6" s="6" t="inlineStr">
        <is>
          <t>Debt instruments at FVOCI - net change in fair value</t>
        </is>
      </c>
      <c r="B6" s="6" t="n"/>
      <c r="C6" s="6" t="n"/>
      <c r="D6" s="6" t="n">
        <v>-44921</v>
      </c>
      <c r="E6" s="6" t="n"/>
      <c r="F6" s="6" t="n"/>
      <c r="G6" s="6" t="n">
        <v>-44921</v>
      </c>
    </row>
    <row r="7">
      <c r="A7" s="6" t="inlineStr">
        <is>
          <t>Debt instruments at FVOCI - reclassified to profit or loss</t>
        </is>
      </c>
      <c r="B7" s="6" t="n"/>
      <c r="C7" s="6" t="n"/>
      <c r="D7" s="6" t="n">
        <v>-3980</v>
      </c>
      <c r="E7" s="6" t="n"/>
      <c r="F7" s="6" t="n"/>
      <c r="G7" s="6" t="n">
        <v>-3980</v>
      </c>
    </row>
    <row r="8">
      <c r="A8" s="6" t="inlineStr">
        <is>
          <t>Tax on other comprehensive loss</t>
        </is>
      </c>
      <c r="B8" s="6" t="n"/>
      <c r="C8" s="6" t="n"/>
      <c r="D8" s="6" t="n">
        <v>15139</v>
      </c>
      <c r="E8" s="6" t="n"/>
      <c r="F8" s="6" t="n"/>
      <c r="G8" s="6" t="n">
        <v>15139</v>
      </c>
    </row>
    <row r="9">
      <c r="A9" s="6" t="inlineStr">
        <is>
          <t>Capital contribution</t>
        </is>
      </c>
      <c r="B9" s="6" t="n"/>
      <c r="C9" s="6" t="n">
        <v>22991</v>
      </c>
      <c r="D9" s="6" t="n"/>
      <c r="E9" s="6" t="n"/>
      <c r="F9" s="6" t="n"/>
      <c r="G9" s="6" t="n">
        <v>22991</v>
      </c>
    </row>
    <row r="10">
      <c r="A10" s="6" t="inlineStr">
        <is>
          <t>Equity decrease resulting from common control transaction</t>
        </is>
      </c>
      <c r="B10" s="6" t="n"/>
      <c r="C10" s="6" t="n">
        <v>-22991</v>
      </c>
      <c r="D10" s="6" t="n"/>
      <c r="E10" s="6" t="n"/>
      <c r="F10" s="6" t="n"/>
      <c r="G10" s="6" t="n">
        <v>-22991</v>
      </c>
    </row>
    <row r="11">
      <c r="A11" s="6" t="inlineStr">
        <is>
          <t>Dividends on Additional Tier 1 Capital</t>
        </is>
      </c>
      <c r="B11" s="6" t="n"/>
      <c r="C11" s="6" t="n"/>
      <c r="D11" s="6" t="n"/>
      <c r="E11" s="6" t="n"/>
      <c r="F11" s="6" t="n">
        <v>-3250</v>
      </c>
      <c r="G11" s="6" t="n">
        <v>-3250</v>
      </c>
    </row>
    <row r="12">
      <c r="A12" s="6" t="inlineStr">
        <is>
          <t>Equity settled share-based payment, net of tax</t>
        </is>
      </c>
      <c r="B12" s="6" t="n"/>
      <c r="C12" s="6" t="n"/>
      <c r="D12" s="6" t="n"/>
      <c r="E12" s="6" t="n">
        <v>-6</v>
      </c>
      <c r="F12" s="6" t="n"/>
      <c r="G12" s="6" t="n">
        <v>-6</v>
      </c>
    </row>
    <row r="13">
      <c r="A13" s="5" t="inlineStr">
        <is>
          <t>At 31 December 2021</t>
        </is>
      </c>
      <c r="B13" s="5" t="n">
        <v>0</v>
      </c>
      <c r="C13" s="5" t="n">
        <v>363589</v>
      </c>
      <c r="D13" s="5" t="n">
        <v>-21611</v>
      </c>
      <c r="E13" s="5" t="n">
        <v>9</v>
      </c>
      <c r="F13" s="5" t="n">
        <v>36139</v>
      </c>
      <c r="G13" s="5" t="n">
        <v>378126</v>
      </c>
    </row>
    <row r="14">
      <c r="A14" s="6" t="inlineStr">
        <is>
          <t>Profit for the financial year (FY2022)</t>
        </is>
      </c>
      <c r="B14" s="6" t="n"/>
      <c r="C14" s="6" t="n"/>
      <c r="D14" s="6" t="n"/>
      <c r="E14" s="6" t="n"/>
      <c r="F14" s="6" t="n">
        <v>21815</v>
      </c>
      <c r="G14" s="6" t="n">
        <v>21815</v>
      </c>
    </row>
    <row r="15">
      <c r="A15" s="6" t="inlineStr">
        <is>
          <t>Debt instruments at FVOCI - net change in fair value</t>
        </is>
      </c>
      <c r="B15" s="6" t="n"/>
      <c r="C15" s="6" t="n"/>
      <c r="D15" s="6" t="n">
        <v>-147555</v>
      </c>
      <c r="E15" s="6" t="n"/>
      <c r="F15" s="6" t="n"/>
      <c r="G15" s="6" t="n">
        <v>-147555</v>
      </c>
    </row>
    <row r="16">
      <c r="A16" s="6" t="inlineStr">
        <is>
          <t>Tax on other comprehensive loss</t>
        </is>
      </c>
      <c r="B16" s="6" t="n"/>
      <c r="C16" s="6" t="n"/>
      <c r="D16" s="6" t="n">
        <v>39779</v>
      </c>
      <c r="E16" s="6" t="n"/>
      <c r="F16" s="6" t="n"/>
      <c r="G16" s="6" t="n">
        <v>39779</v>
      </c>
    </row>
    <row r="17">
      <c r="A17" s="6" t="inlineStr">
        <is>
          <t>Capital contribution</t>
        </is>
      </c>
      <c r="B17" s="6" t="n"/>
      <c r="C17" s="6" t="n">
        <v>200000</v>
      </c>
      <c r="D17" s="6" t="n"/>
      <c r="E17" s="6" t="n"/>
      <c r="F17" s="6" t="n"/>
      <c r="G17" s="6" t="n">
        <v>200000</v>
      </c>
    </row>
    <row r="18">
      <c r="A18" s="6" t="inlineStr">
        <is>
          <t>Dividends on Additional Tier 1 Capital</t>
        </is>
      </c>
      <c r="B18" s="6" t="n"/>
      <c r="C18" s="6" t="n"/>
      <c r="D18" s="6" t="n"/>
      <c r="E18" s="6" t="n"/>
      <c r="F18" s="6" t="n">
        <v>-3250</v>
      </c>
      <c r="G18" s="6" t="n">
        <v>-3250</v>
      </c>
    </row>
    <row r="19">
      <c r="A19" s="6" t="inlineStr">
        <is>
          <t>Equity settled share-based payment</t>
        </is>
      </c>
      <c r="B19" s="6" t="n"/>
      <c r="C19" s="6" t="n"/>
      <c r="D19" s="6" t="n"/>
      <c r="E19" s="6" t="n">
        <v>89</v>
      </c>
      <c r="F19" s="6" t="n"/>
      <c r="G19" s="6" t="n">
        <v>89</v>
      </c>
    </row>
    <row r="20">
      <c r="A20" s="5" t="inlineStr">
        <is>
          <t>At 31 December 2022</t>
        </is>
      </c>
      <c r="B20" s="5" t="n">
        <v>0</v>
      </c>
      <c r="C20" s="5" t="n">
        <v>563589</v>
      </c>
      <c r="D20" s="5" t="n">
        <v>-129387</v>
      </c>
      <c r="E20" s="5" t="n">
        <v>98</v>
      </c>
      <c r="F20" s="5" t="n">
        <v>54704</v>
      </c>
      <c r="G20" s="5" t="n">
        <v>489004</v>
      </c>
    </row>
    <row r="21">
      <c r="A21" s="6" t="inlineStr">
        <is>
          <t>Profit for the financial year (FY2023)</t>
        </is>
      </c>
      <c r="B21" s="6" t="n"/>
      <c r="C21" s="6" t="n"/>
      <c r="D21" s="6" t="n"/>
      <c r="E21" s="6" t="n"/>
      <c r="F21" s="6" t="n">
        <v>19981</v>
      </c>
      <c r="G21" s="6" t="n">
        <v>19981</v>
      </c>
    </row>
    <row r="22">
      <c r="A22" s="6" t="inlineStr">
        <is>
          <t>Debt instruments at FVOCI - net change in fair value</t>
        </is>
      </c>
      <c r="B22" s="6" t="n"/>
      <c r="C22" s="6" t="n"/>
      <c r="D22" s="6" t="n">
        <v>66975</v>
      </c>
      <c r="E22" s="6" t="n"/>
      <c r="F22" s="6" t="n"/>
      <c r="G22" s="6" t="n">
        <v>66975</v>
      </c>
    </row>
    <row r="23">
      <c r="A23" s="6" t="inlineStr">
        <is>
          <t>Debt instruments at FVOCI - reclassified to profit or loss</t>
        </is>
      </c>
      <c r="B23" s="6" t="n"/>
      <c r="C23" s="6" t="n"/>
      <c r="D23" s="6" t="n">
        <v>26902</v>
      </c>
      <c r="E23" s="6" t="n"/>
      <c r="F23" s="6" t="n"/>
      <c r="G23" s="6" t="n">
        <v>26902</v>
      </c>
    </row>
    <row r="24">
      <c r="A24" s="6" t="inlineStr">
        <is>
          <t>Tax on other comprehensive loss</t>
        </is>
      </c>
      <c r="B24" s="6" t="n"/>
      <c r="C24" s="6" t="n"/>
      <c r="D24" s="6" t="n">
        <v>-26320</v>
      </c>
      <c r="E24" s="6" t="n"/>
      <c r="F24" s="6" t="n"/>
      <c r="G24" s="6" t="n">
        <v>-26320</v>
      </c>
    </row>
    <row r="25">
      <c r="A25" s="6" t="inlineStr">
        <is>
          <t>Adjustment (reclassification within reserves - see sources)</t>
        </is>
      </c>
      <c r="B25" s="6" t="n"/>
      <c r="C25" s="6" t="n"/>
      <c r="D25" s="6" t="n">
        <v>3400</v>
      </c>
      <c r="E25" s="6" t="n"/>
      <c r="F25" s="6" t="n">
        <v>-3400</v>
      </c>
      <c r="G25" s="6" t="n">
        <v>0</v>
      </c>
    </row>
    <row r="26">
      <c r="A26" s="6" t="inlineStr">
        <is>
          <t>Dividends on Additional Tier 1 Capital</t>
        </is>
      </c>
      <c r="B26" s="6" t="n"/>
      <c r="C26" s="6" t="n"/>
      <c r="D26" s="6" t="n"/>
      <c r="E26" s="6" t="n"/>
      <c r="F26" s="6" t="n">
        <v>-3250</v>
      </c>
      <c r="G26" s="6" t="n">
        <v>-3250</v>
      </c>
    </row>
    <row r="27">
      <c r="A27" s="6" t="inlineStr">
        <is>
          <t>Equity settled share-based payment</t>
        </is>
      </c>
      <c r="B27" s="6" t="n"/>
      <c r="C27" s="6" t="n"/>
      <c r="D27" s="6" t="n"/>
      <c r="E27" s="6" t="n">
        <v>-73</v>
      </c>
      <c r="F27" s="6" t="n"/>
      <c r="G27" s="6" t="n">
        <v>-73</v>
      </c>
    </row>
    <row r="28">
      <c r="A28" s="5" t="inlineStr">
        <is>
          <t>At 31 December 2023</t>
        </is>
      </c>
      <c r="B28" s="5" t="n">
        <v>0</v>
      </c>
      <c r="C28" s="5" t="n">
        <v>563589</v>
      </c>
      <c r="D28" s="5" t="n">
        <v>-58430</v>
      </c>
      <c r="E28" s="5" t="n">
        <v>25</v>
      </c>
      <c r="F28" s="5" t="n">
        <v>68035</v>
      </c>
      <c r="G28" s="5" t="n">
        <v>573219</v>
      </c>
    </row>
    <row r="29">
      <c r="A29" s="6" t="inlineStr">
        <is>
          <t>Profit/(loss) for the financial year (FY2024)</t>
        </is>
      </c>
      <c r="B29" s="6" t="n"/>
      <c r="C29" s="6" t="n"/>
      <c r="D29" s="6" t="n"/>
      <c r="E29" s="6" t="n"/>
      <c r="F29" s="6" t="n">
        <v>-57172</v>
      </c>
      <c r="G29" s="6" t="n">
        <v>-57172</v>
      </c>
    </row>
    <row r="30">
      <c r="A30" s="6" t="inlineStr">
        <is>
          <t>Debt instruments at FVOCI - net change in fair value</t>
        </is>
      </c>
      <c r="B30" s="6" t="n"/>
      <c r="C30" s="6" t="n"/>
      <c r="D30" s="6" t="n">
        <v>12450</v>
      </c>
      <c r="E30" s="6" t="n"/>
      <c r="F30" s="6" t="n"/>
      <c r="G30" s="6" t="n">
        <v>12450</v>
      </c>
    </row>
    <row r="31">
      <c r="A31" s="6" t="inlineStr">
        <is>
          <t>Debt instruments at FVOCI - reclassified to profit or loss</t>
        </is>
      </c>
      <c r="B31" s="6" t="n"/>
      <c r="C31" s="6" t="n"/>
      <c r="D31" s="6" t="n">
        <v>70082</v>
      </c>
      <c r="E31" s="6" t="n"/>
      <c r="F31" s="6" t="n"/>
      <c r="G31" s="6" t="n">
        <v>70082</v>
      </c>
    </row>
    <row r="32">
      <c r="A32" s="6" t="inlineStr">
        <is>
          <t>Tax on other comprehensive income</t>
        </is>
      </c>
      <c r="B32" s="6" t="n"/>
      <c r="C32" s="6" t="n"/>
      <c r="D32" s="6" t="n">
        <v>-24102</v>
      </c>
      <c r="E32" s="6" t="n"/>
      <c r="F32" s="6" t="n"/>
      <c r="G32" s="6" t="n">
        <v>-24102</v>
      </c>
    </row>
    <row r="33">
      <c r="A33" s="6" t="inlineStr">
        <is>
          <t>Dividends on Additional Tier 1 Capital</t>
        </is>
      </c>
      <c r="B33" s="6" t="n"/>
      <c r="C33" s="6" t="n"/>
      <c r="D33" s="6" t="n"/>
      <c r="E33" s="6" t="n"/>
      <c r="F33" s="6" t="n">
        <v>-3837</v>
      </c>
      <c r="G33" s="6" t="n">
        <v>-3837</v>
      </c>
    </row>
    <row r="34">
      <c r="A34" s="6" t="inlineStr">
        <is>
          <t>Additional Tier 1 Capital redemption</t>
        </is>
      </c>
      <c r="B34" s="6" t="n"/>
      <c r="C34" s="6" t="n">
        <v>-52000</v>
      </c>
      <c r="D34" s="6" t="n"/>
      <c r="E34" s="6" t="n"/>
      <c r="F34" s="6" t="n"/>
      <c r="G34" s="6" t="n">
        <v>-52000</v>
      </c>
    </row>
    <row r="35">
      <c r="A35" s="6" t="inlineStr">
        <is>
          <t>Equity settled share-based payment</t>
        </is>
      </c>
      <c r="B35" s="6" t="n"/>
      <c r="C35" s="6" t="n"/>
      <c r="D35" s="6" t="n"/>
      <c r="E35" s="6" t="n">
        <v>-680</v>
      </c>
      <c r="F35" s="6" t="n"/>
      <c r="G35" s="6" t="n">
        <v>-680</v>
      </c>
    </row>
    <row r="36">
      <c r="A36" s="5" t="inlineStr">
        <is>
          <t>At 31 December 2024</t>
        </is>
      </c>
      <c r="B36" s="5" t="n">
        <v>0</v>
      </c>
      <c r="C36" s="5" t="n">
        <v>511589</v>
      </c>
      <c r="D36" s="5" t="n">
        <v>0</v>
      </c>
      <c r="E36" s="5" t="n">
        <v>-655</v>
      </c>
      <c r="F36" s="5" t="n">
        <v>7026</v>
      </c>
      <c r="G36" s="5" t="n">
        <v>517960</v>
      </c>
    </row>
    <row r="38" ht="180" customHeight="1">
      <c r="A38" s="8" t="inlineStr">
        <is>
          <t>Sources - Citibank UK Limited's own audited Annual Report and Financial Statements, transcribed from each year's own filing (not a later year's comparative column):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FY2024</t>
        </is>
      </c>
      <c r="C3" s="4" t="inlineStr">
        <is>
          <t>FY2023</t>
        </is>
      </c>
      <c r="D3" s="4" t="inlineStr">
        <is>
          <t>FY2022</t>
        </is>
      </c>
      <c r="E3" s="4" t="inlineStr">
        <is>
          <t>FY2021</t>
        </is>
      </c>
    </row>
    <row r="4">
      <c r="A4" s="5" t="inlineStr">
        <is>
          <t>No Statement of Cash Flows is published for the covered entity</t>
        </is>
      </c>
      <c r="B4" s="6" t="n"/>
      <c r="C4" s="6" t="n"/>
      <c r="D4" s="6" t="n"/>
      <c r="E4" s="6" t="n"/>
    </row>
    <row r="5">
      <c r="A5" s="6" t="inlineStr">
        <is>
          <t>Pillar-3-only scope used because the statutory cash-flow statement is exempted and unavailable.</t>
        </is>
      </c>
      <c r="B5" s="6" t="n"/>
      <c r="C5" s="6" t="n"/>
      <c r="D5" s="6" t="n"/>
      <c r="E5" s="6"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E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Citibank UK Limited — Asset Quality</t>
        </is>
      </c>
    </row>
    <row r="2">
      <c r="A2" s="2" t="inlineStr">
        <is>
          <t>Company (entity-level) basis, £'000. See sources - stage-split basis differs FY2024/23 vs FY2022/21.</t>
        </is>
      </c>
    </row>
    <row r="3">
      <c r="A3" s="4" t="inlineStr">
        <is>
          <t>Line item</t>
        </is>
      </c>
      <c r="B3" s="4" t="inlineStr">
        <is>
          <t>FY2024 (£'000)</t>
        </is>
      </c>
      <c r="C3" s="4" t="inlineStr">
        <is>
          <t>FY2023 (£'000)</t>
        </is>
      </c>
      <c r="D3" s="4" t="inlineStr">
        <is>
          <t>FY2022 (£'000)</t>
        </is>
      </c>
      <c r="E3" s="4" t="inlineStr">
        <is>
          <t>FY2021 (£'000)</t>
        </is>
      </c>
    </row>
    <row r="4">
      <c r="A4" s="5" t="inlineStr">
        <is>
          <t>Loan book</t>
        </is>
      </c>
      <c r="B4" s="6" t="n"/>
      <c r="C4" s="6" t="n"/>
      <c r="D4" s="6" t="n"/>
      <c r="E4" s="6" t="n"/>
    </row>
    <row r="5">
      <c r="A5" s="6" t="inlineStr">
        <is>
          <t>Loans and advances to customers, net</t>
        </is>
      </c>
      <c r="B5" s="6" t="n">
        <v>160</v>
      </c>
      <c r="C5" s="6" t="n">
        <v>40801</v>
      </c>
      <c r="D5" s="6" t="n">
        <v>70599</v>
      </c>
      <c r="E5" s="6" t="n">
        <v>265672</v>
      </c>
    </row>
    <row r="6">
      <c r="A6" s="5" t="inlineStr">
        <is>
          <t>Stage split (FY2024/23: full customer loan book; FY2022/21: CRE component only - see sources)</t>
        </is>
      </c>
      <c r="B6" s="6" t="n"/>
      <c r="C6" s="6" t="n"/>
      <c r="D6" s="6" t="n"/>
      <c r="E6" s="6" t="n"/>
    </row>
    <row r="7">
      <c r="A7" s="6" t="inlineStr">
        <is>
          <t>Stage 1 gross exposure</t>
        </is>
      </c>
      <c r="B7" s="6" t="n">
        <v>162</v>
      </c>
      <c r="C7" s="6" t="n">
        <v>40742</v>
      </c>
      <c r="D7" s="6" t="n"/>
      <c r="E7" s="6" t="n">
        <v>161246</v>
      </c>
    </row>
    <row r="8">
      <c r="A8" s="6" t="inlineStr">
        <is>
          <t>Stage 2 gross exposure</t>
        </is>
      </c>
      <c r="B8" s="6" t="n"/>
      <c r="C8" s="6" t="n">
        <v>53</v>
      </c>
      <c r="D8" s="6" t="n"/>
      <c r="E8" s="6" t="n"/>
    </row>
    <row r="9">
      <c r="A9" s="6" t="inlineStr">
        <is>
          <t>Stage 3 gross exposure</t>
        </is>
      </c>
      <c r="B9" s="6" t="n"/>
      <c r="C9" s="6" t="n">
        <v>17</v>
      </c>
      <c r="D9" s="6" t="n"/>
      <c r="E9" s="6" t="n"/>
    </row>
    <row r="10">
      <c r="A10" s="6" t="inlineStr">
        <is>
          <t>Stage 1 ECL allowance</t>
        </is>
      </c>
      <c r="B10" s="6" t="n">
        <v>-2</v>
      </c>
      <c r="C10" s="6" t="n">
        <v>-11</v>
      </c>
      <c r="D10" s="6" t="n"/>
      <c r="E10" s="6" t="n"/>
    </row>
    <row r="11">
      <c r="A11" s="6" t="inlineStr">
        <is>
          <t>Stage 2 ECL allowance</t>
        </is>
      </c>
      <c r="B11" s="6" t="n"/>
      <c r="C11" s="6" t="n"/>
      <c r="D11" s="6" t="n"/>
      <c r="E11" s="6" t="n"/>
    </row>
    <row r="12">
      <c r="A12" s="6" t="inlineStr">
        <is>
          <t>Stage 3 ECL allowance</t>
        </is>
      </c>
      <c r="B12" s="6" t="n"/>
      <c r="C12" s="6" t="n"/>
      <c r="D12" s="6" t="n"/>
      <c r="E12" s="6" t="n"/>
    </row>
    <row r="13">
      <c r="A13" s="5" t="inlineStr">
        <is>
          <t>Total ECL allowance, closing balance</t>
        </is>
      </c>
      <c r="B13" s="5" t="n">
        <v>-2</v>
      </c>
      <c r="C13" s="5" t="n">
        <v>-11</v>
      </c>
      <c r="D13" s="5" t="n">
        <v>0</v>
      </c>
      <c r="E13" s="5" t="n">
        <v>0</v>
      </c>
    </row>
    <row r="15" ht="150" customHeight="1">
      <c r="A15" s="8" t="inlineStr">
        <is>
          <t>Sources - Citibank UK Limited's own Note 12 (Risk management / Credit Risk):
FY2024/FY2023: Annual Financial Statements 2024, Note 12.2 Credit Risk, 'Expected credit loss' tables (loans and advances to customers) p.58 - https://www.citigroup.com/rcs/citigpa/storage/public/citibank-uk-limited-annual-fs-2024.pdf
FY2022/FY2021: Annual Report and Financial Statements for the year ended 31 December 2022, Note 12.2 Credit Risk, 'Risk Ratings' classifiably-managed exposure table (by Obligor Risk Rating stage) p.58 - https://find-and-update.company-information.service.gov.uk/company/11283101/filing-history/MzM3OTI1NDA3NWFkaXF6a2N4/document?format=pdf&amp;download=0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DISCLOSURE BASIS NOTE: CUKL's loan book is negligible relative to its balance sheet (a wholesale/treasury bank whose main assets are cash at central banks, treasury bills, and interbank placements) and its own ECL allowances on every asset class are correspondingly tiny (well under £0.1m in every year shown). FY2024/FY2023 use the Bank's own IFRS 9 stage-by-stage ECL movement table for 'Loans and advances to customers' (note 12.2(b)). FY2022/FY2021 instead use the Bank's own 'Risk Ratings' classifiably-managed exposure table, which only breaks out the CRE (commercial real estate) loan component of the customer loan book by stage - the remainder of FY2022/FY2021's customer loans (Margin and Securities Backed Finance, a delinquency-managed retail product per the Bank's own note) is not broken out by IFRS 9 stage in either source document, so the 'Loans and advances to customers, net' row for FY2022/FY2021 is the Balance Sheet's own total (not just the CRE component) while the stage split beneath it covers CRE only - documented, not blended or backfilled.</t>
        </is>
      </c>
    </row>
  </sheetData>
  <mergeCells count="1">
    <mergeCell ref="A15:E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CET1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c r="C4" s="6" t="n">
        <v>418</v>
      </c>
      <c r="D4" s="6" t="n">
        <v>417</v>
      </c>
      <c r="E4" s="6" t="n">
        <v>304.2</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n"/>
      <c r="C4" s="6" t="inlineStr">
        <is>
          <t>72.7%</t>
        </is>
      </c>
      <c r="D4" s="6" t="inlineStr">
        <is>
          <t>59.1%</t>
        </is>
      </c>
      <c r="E4" s="6" t="inlineStr">
        <is>
          <t>37.8%</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Tier 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Tier 1 capital</t>
        </is>
      </c>
      <c r="B4" s="6" t="n"/>
      <c r="C4" s="6" t="n">
        <v>470</v>
      </c>
      <c r="D4" s="6" t="n">
        <v>469</v>
      </c>
      <c r="E4" s="6" t="n">
        <v>356.2</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ratio</t>
        </is>
      </c>
      <c r="B4" s="6" t="n"/>
      <c r="C4" s="6" t="inlineStr">
        <is>
          <t>81.8%</t>
        </is>
      </c>
      <c r="D4" s="6" t="inlineStr">
        <is>
          <t>66.4%</t>
        </is>
      </c>
      <c r="E4" s="6" t="inlineStr">
        <is>
          <t>44.2%</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Total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capital</t>
        </is>
      </c>
      <c r="B4" s="6" t="n"/>
      <c r="C4" s="6" t="n">
        <v>522</v>
      </c>
      <c r="D4" s="6" t="n">
        <v>521</v>
      </c>
      <c r="E4" s="6" t="n">
        <v>408.2</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n"/>
      <c r="C4" s="6" t="inlineStr">
        <is>
          <t>90.8%</t>
        </is>
      </c>
      <c r="D4" s="6" t="inlineStr">
        <is>
          <t>73.8%</t>
        </is>
      </c>
      <c r="E4" s="6" t="inlineStr">
        <is>
          <t>50.7%</t>
        </is>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Total RWAs</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c r="C4" s="6" t="n">
        <v>574.7</v>
      </c>
      <c r="D4" s="6" t="n">
        <v>706.1</v>
      </c>
      <c r="E4" s="6" t="n">
        <v>805.3</v>
      </c>
    </row>
    <row r="6" ht="145" customHeight="1">
      <c r="A6"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Citibank UK Limited — RWA Breakdown</t>
        </is>
      </c>
    </row>
    <row r="2">
      <c r="A2" s="2" t="inlineStr">
        <is>
          <t>UK OV1 template, £m.</t>
        </is>
      </c>
    </row>
    <row r="3">
      <c r="A3" s="4" t="inlineStr">
        <is>
          <t>Line item</t>
        </is>
      </c>
      <c r="B3" s="4" t="inlineStr">
        <is>
          <t>FY2024 (£m)</t>
        </is>
      </c>
      <c r="C3" s="4" t="inlineStr">
        <is>
          <t>FY2023 (£m)</t>
        </is>
      </c>
      <c r="D3" s="4" t="inlineStr">
        <is>
          <t>FY2022 (£m)</t>
        </is>
      </c>
      <c r="E3" s="4" t="inlineStr">
        <is>
          <t>FY2021 (£m)</t>
        </is>
      </c>
    </row>
    <row r="4">
      <c r="A4" s="6" t="inlineStr">
        <is>
          <t>Credit risk (excluding CCR)</t>
        </is>
      </c>
      <c r="B4" s="6" t="n"/>
      <c r="C4" s="6" t="n">
        <v>264.1</v>
      </c>
      <c r="D4" s="6" t="n">
        <v>193.6</v>
      </c>
      <c r="E4" s="6" t="n">
        <v>419.2</v>
      </c>
    </row>
    <row r="5">
      <c r="A5" s="6" t="inlineStr">
        <is>
          <t>Counterparty credit risk (CCR)</t>
        </is>
      </c>
      <c r="B5" s="6" t="n"/>
      <c r="C5" s="6" t="n">
        <v>0.9</v>
      </c>
      <c r="D5" s="6" t="n">
        <v>3.4</v>
      </c>
      <c r="E5" s="6" t="n">
        <v>15.2</v>
      </c>
    </row>
    <row r="6">
      <c r="A6" s="6" t="inlineStr">
        <is>
          <t>Securitisation exposures in the non-trading/banking book</t>
        </is>
      </c>
      <c r="B6" s="6" t="n"/>
      <c r="C6" s="6" t="n">
        <v>124</v>
      </c>
      <c r="D6" s="6" t="n">
        <v>261.5</v>
      </c>
      <c r="E6" s="6" t="n">
        <v>245.9</v>
      </c>
    </row>
    <row r="7">
      <c r="A7" s="6" t="inlineStr">
        <is>
          <t>Market risk (position, FX and commodities)</t>
        </is>
      </c>
      <c r="B7" s="6" t="n"/>
      <c r="C7" s="6" t="n">
        <v>43.2</v>
      </c>
      <c r="D7" s="6" t="n">
        <v>106.3</v>
      </c>
      <c r="E7" s="6" t="n">
        <v>14.1</v>
      </c>
    </row>
    <row r="8">
      <c r="A8" s="6" t="inlineStr">
        <is>
          <t>Operational risk</t>
        </is>
      </c>
      <c r="B8" s="6" t="n"/>
      <c r="C8" s="6" t="n">
        <v>142.4</v>
      </c>
      <c r="D8" s="6" t="n">
        <v>141.3</v>
      </c>
      <c r="E8" s="6" t="n">
        <v>110.9</v>
      </c>
    </row>
    <row r="9">
      <c r="A9" s="6" t="inlineStr">
        <is>
          <t>Amounts below the thresholds for deduction (250% risk weight)</t>
        </is>
      </c>
      <c r="B9" s="6" t="n"/>
      <c r="C9" s="6" t="n">
        <v>107.2</v>
      </c>
      <c r="D9" s="6" t="n">
        <v>27.9</v>
      </c>
      <c r="E9" s="6" t="n"/>
    </row>
    <row r="10">
      <c r="A10" s="5" t="inlineStr">
        <is>
          <t>Total RWAs</t>
        </is>
      </c>
      <c r="B10" s="5" t="n"/>
      <c r="C10" s="5" t="n">
        <v>574.7</v>
      </c>
      <c r="D10" s="5" t="n">
        <v>706.1</v>
      </c>
      <c r="E10" s="5" t="n">
        <v>805.3</v>
      </c>
    </row>
    <row r="12" ht="150" customHeight="1">
      <c r="A12" s="8" t="inlineStr">
        <is>
          <t>Sources - official Citibank UK Limited standalone Pillar 3 disclosures, Table 'Overview of risk weighted exposure amounts (UK OV1)':
FY2023/FY2022: CUKL Pillar 3 Disclosures December 2023, Table 5 (UK OV1), p.10 - https://www.citigroup.com/rcs/citigpa/storage/public/b3p3d231231_uk.pdf
FY2021: CUKL Pillar 3 Disclosures December 2021, Table 4 (OV1), p.13 -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PRESENTATION NOTE: the FY2021 table's category labels differ slightly from FY2022/FY2023's (CCR is broken into mark-to-market/SFT sub-components in FY2021 vs a single CCR line in FY2022/FY2023; FY2021 has no 'amounts below the thresholds for deduction' line, FY2022/FY2023 do) - both years' own category totals are reproduced as each report presents them, summing exactly to that year's own disclosed Total RWA (which ties to the existing Total RWAs sheet). FY2024 is blank: no standalone CUKL Pillar 3 report for FY2024 was located.</t>
        </is>
      </c>
    </row>
  </sheetData>
  <mergeCells count="1">
    <mergeCell ref="A12:E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Leverage Ratio</t>
        </is>
      </c>
    </row>
    <row r="2">
      <c r="A2" s="2" t="inlineStr">
        <is>
          <t>£m / %</t>
        </is>
      </c>
    </row>
    <row r="3">
      <c r="A3" s="4" t="inlineStr">
        <is>
          <t>Metric</t>
        </is>
      </c>
      <c r="B3" s="4" t="inlineStr">
        <is>
          <t>FY2024</t>
        </is>
      </c>
      <c r="C3" s="4" t="inlineStr">
        <is>
          <t>FY2023</t>
        </is>
      </c>
      <c r="D3" s="4" t="inlineStr">
        <is>
          <t>FY2022</t>
        </is>
      </c>
      <c r="E3" s="4" t="inlineStr">
        <is>
          <t>FY2021</t>
        </is>
      </c>
    </row>
    <row r="4">
      <c r="A4" s="6" t="inlineStr">
        <is>
          <t>Total exposure measure</t>
        </is>
      </c>
      <c r="B4" s="6" t="n"/>
      <c r="C4" s="6" t="n">
        <v>2812</v>
      </c>
      <c r="D4" s="6" t="n">
        <v>4733</v>
      </c>
      <c r="E4" s="6" t="n">
        <v>6818.1</v>
      </c>
    </row>
    <row r="5">
      <c r="A5" s="6" t="inlineStr">
        <is>
          <t>Leverage ratio</t>
        </is>
      </c>
      <c r="B5" s="6" t="n"/>
      <c r="C5" s="6" t="inlineStr">
        <is>
          <t>16.7%</t>
        </is>
      </c>
      <c r="D5" s="6" t="inlineStr">
        <is>
          <t>9.9%</t>
        </is>
      </c>
      <c r="E5" s="6" t="inlineStr">
        <is>
          <t>5.2%</t>
        </is>
      </c>
    </row>
    <row r="6" ht="60" customHeight="1">
      <c r="A6" s="7" t="inlineStr">
        <is>
          <t>Note: FY2021 is reported on the pre-2022 Basel III basis; FY2022-FY2023 use the UK KM1 leverage measure excluding claims on central banks.</t>
        </is>
      </c>
    </row>
    <row r="8" ht="145" customHeight="1">
      <c r="A8"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2">
    <mergeCell ref="A6:E6"/>
    <mergeCell ref="A8:E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LCR</t>
        </is>
      </c>
    </row>
    <row r="2">
      <c r="A2" s="2" t="inlineStr">
        <is>
          <t>£m / %</t>
        </is>
      </c>
    </row>
    <row r="3">
      <c r="A3" s="4" t="inlineStr">
        <is>
          <t>Metric</t>
        </is>
      </c>
      <c r="B3" s="4" t="inlineStr">
        <is>
          <t>FY2024</t>
        </is>
      </c>
      <c r="C3" s="4" t="inlineStr">
        <is>
          <t>FY2023</t>
        </is>
      </c>
      <c r="D3" s="4" t="inlineStr">
        <is>
          <t>FY2022</t>
        </is>
      </c>
      <c r="E3" s="4" t="inlineStr">
        <is>
          <t>FY2021</t>
        </is>
      </c>
    </row>
    <row r="4">
      <c r="A4" s="6" t="inlineStr">
        <is>
          <t>Total HQLA (weighted value / average)</t>
        </is>
      </c>
      <c r="B4" s="6" t="n"/>
      <c r="C4" s="6" t="n">
        <v>2988.6</v>
      </c>
      <c r="D4" s="6" t="n">
        <v>4476.6</v>
      </c>
      <c r="E4" s="6" t="n">
        <v>4219.7</v>
      </c>
    </row>
    <row r="5">
      <c r="A5" s="6" t="inlineStr">
        <is>
          <t>Total net cash outflows (adjusted value)</t>
        </is>
      </c>
      <c r="B5" s="6" t="n"/>
      <c r="C5" s="6" t="n">
        <v>357.5</v>
      </c>
      <c r="D5" s="6" t="n">
        <v>687.1</v>
      </c>
      <c r="E5" s="6" t="n">
        <v>639.8</v>
      </c>
    </row>
    <row r="6">
      <c r="A6" s="6" t="inlineStr">
        <is>
          <t>Liquidity coverage ratio</t>
        </is>
      </c>
      <c r="B6" s="6" t="n"/>
      <c r="C6" s="6" t="inlineStr">
        <is>
          <t>836.0%</t>
        </is>
      </c>
      <c r="D6" s="6" t="inlineStr">
        <is>
          <t>654.5%</t>
        </is>
      </c>
      <c r="E6" s="6" t="inlineStr">
        <is>
          <t>659%</t>
        </is>
      </c>
    </row>
    <row r="7" ht="60" customHeight="1">
      <c r="A7" s="7" t="inlineStr">
        <is>
          <t>Note: FY2021 is based on daily averages; FY2022-FY2023 use the revised UK KM1 weighted-average presentation.</t>
        </is>
      </c>
    </row>
    <row r="9" ht="145" customHeight="1">
      <c r="A9"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2">
    <mergeCell ref="A7:E7"/>
    <mergeCell ref="A9:E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NSFR</t>
        </is>
      </c>
    </row>
    <row r="2">
      <c r="A2" s="2" t="inlineStr">
        <is>
          <t>£m / %</t>
        </is>
      </c>
    </row>
    <row r="3">
      <c r="A3" s="4" t="inlineStr">
        <is>
          <t>Metric</t>
        </is>
      </c>
      <c r="B3" s="4" t="inlineStr">
        <is>
          <t>FY2024</t>
        </is>
      </c>
      <c r="C3" s="4" t="inlineStr">
        <is>
          <t>FY2023</t>
        </is>
      </c>
      <c r="D3" s="4" t="inlineStr">
        <is>
          <t>FY2022</t>
        </is>
      </c>
      <c r="E3" s="4" t="inlineStr">
        <is>
          <t>FY2021</t>
        </is>
      </c>
    </row>
    <row r="4">
      <c r="A4" s="6" t="inlineStr">
        <is>
          <t>Total available stable funding</t>
        </is>
      </c>
      <c r="B4" s="6" t="n"/>
      <c r="C4" s="6" t="n">
        <v>4091.4</v>
      </c>
      <c r="D4" s="6" t="n">
        <v>6249.1</v>
      </c>
      <c r="E4" s="6" t="n"/>
    </row>
    <row r="5">
      <c r="A5" s="6" t="inlineStr">
        <is>
          <t>Total required stable funding</t>
        </is>
      </c>
      <c r="B5" s="6" t="n"/>
      <c r="C5" s="6" t="n">
        <v>1018.8</v>
      </c>
      <c r="D5" s="6" t="n">
        <v>1839.5</v>
      </c>
      <c r="E5" s="6" t="n"/>
    </row>
    <row r="6">
      <c r="A6" s="6" t="inlineStr">
        <is>
          <t>NSFR ratio</t>
        </is>
      </c>
      <c r="B6" s="6" t="n"/>
      <c r="C6" s="6" t="inlineStr">
        <is>
          <t>401.6%</t>
        </is>
      </c>
      <c r="D6" s="6" t="inlineStr">
        <is>
          <t>342.2%</t>
        </is>
      </c>
      <c r="E6" s="6" t="n"/>
    </row>
    <row r="7" ht="60" customHeight="1">
      <c r="A7" s="7" t="inlineStr">
        <is>
          <t>Note: NSFR was implemented in the UK reporting framework from 2022; no FY2021 NSFR figure is populated.</t>
        </is>
      </c>
    </row>
    <row r="9" ht="145" customHeight="1">
      <c r="A9"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2">
    <mergeCell ref="A7:E7"/>
    <mergeCell ref="A9:E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Citibank UK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t>
        </is>
      </c>
    </row>
    <row r="7" ht="150" customHeight="1">
      <c r="A7" s="8" t="inlineStr">
        <is>
          <t>Sources - official Citibank UK Limited standalone Pillar 3 disclosures, UK KM1 and related tables:
FY2023: CUKL Pillar 3 Disclosures December 2023, pp. 3-5 and 8 - https://www.citigroup.com/rcs/citigpa/storage/public/b3p3d231231_uk.pdf
FY2022: FY2022 comparative column in the CUKL Pillar 3 Disclosures December 2023, p. 5 - https://www.citigroup.com/rcs/citigpa/storage/public/b3p3d231231_uk.pdf
FY2021: CUKL Pillar 3 Disclosures December 2021, pp. 6 and 15 - https://www.citigroup.com/rcs/citigpa/akpublic/storage/public/b3p3d211231_uk.pdf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2026-09-02T20:43:27Z</dcterms:created>
  <dcterms:modified xmlns:dcterms="http://purl.org/dc/terms/" xmlns:xsi="http://www.w3.org/2001/XMLSchema-instance" xsi:type="dcterms:W3CDTF">2026-09-02T20:43:27Z</dcterms:modified>
</cp:coreProperties>
</file>