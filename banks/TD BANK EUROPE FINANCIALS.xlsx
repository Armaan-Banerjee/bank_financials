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TD Bank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TD Bank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TD Bank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TD Bank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TD Bank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(CAD'000)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24303535</v>
      </c>
      <c r="C6" s="5" t="n">
        <v>23701833</v>
      </c>
      <c r="D6" s="5" t="n">
        <v>21902569</v>
      </c>
      <c r="E6" s="5" t="n">
        <v>21411125</v>
      </c>
      <c r="F6" s="5" t="n">
        <v>19119360</v>
      </c>
      <c r="I6" t="inlineStr">
        <is>
          <t>Total assets</t>
        </is>
      </c>
      <c r="J6" t="n">
        <v>19119360</v>
      </c>
      <c r="K6" t="n">
        <v>21411125</v>
      </c>
      <c r="L6" t="n">
        <v>21902569</v>
      </c>
      <c r="M6" t="n">
        <v>23701833</v>
      </c>
      <c r="N6" t="n">
        <v>24303535</v>
      </c>
      <c r="AG6" t="inlineStr">
        <is>
          <t>CET1 Ratio</t>
        </is>
      </c>
      <c r="AH6" t="n">
        <v>96</v>
      </c>
      <c r="AI6" t="n">
        <v>87</v>
      </c>
      <c r="AJ6" t="n">
        <v>71</v>
      </c>
      <c r="AK6" t="n">
        <v>150</v>
      </c>
      <c r="AL6" t="n">
        <v>158</v>
      </c>
    </row>
    <row r="7">
      <c r="A7" s="5" t="inlineStr">
        <is>
          <t>Debt securities at amortised cost</t>
        </is>
      </c>
      <c r="B7" s="5" t="n">
        <v>23455915</v>
      </c>
      <c r="C7" s="5" t="n">
        <v>21297771</v>
      </c>
      <c r="D7" s="5" t="n">
        <v>21193385</v>
      </c>
      <c r="E7" s="5" t="n">
        <v>19221927</v>
      </c>
      <c r="F7" s="5" t="n">
        <v>16375260</v>
      </c>
      <c r="I7" t="inlineStr">
        <is>
          <t>Debt securities at amortised cost</t>
        </is>
      </c>
      <c r="J7" t="n">
        <v>16375260</v>
      </c>
      <c r="K7" t="n">
        <v>19221927</v>
      </c>
      <c r="L7" t="n">
        <v>21193385</v>
      </c>
      <c r="M7" t="n">
        <v>21297771</v>
      </c>
      <c r="N7" t="n">
        <v>23455915</v>
      </c>
      <c r="AG7" t="inlineStr">
        <is>
          <t>Tier 1 Ratio</t>
        </is>
      </c>
      <c r="AH7" t="n">
        <v>96</v>
      </c>
      <c r="AI7" t="n">
        <v>87</v>
      </c>
      <c r="AJ7" t="n">
        <v>71</v>
      </c>
      <c r="AK7" t="n">
        <v>150</v>
      </c>
      <c r="AL7" t="n">
        <v>158</v>
      </c>
    </row>
    <row r="8">
      <c r="A8" s="5" t="inlineStr">
        <is>
          <t>Other deposits (customer/wholesale funding)</t>
        </is>
      </c>
      <c r="B8" s="5" t="n">
        <v>21016787</v>
      </c>
      <c r="C8" s="5" t="n">
        <v>20690780</v>
      </c>
      <c r="D8" s="5" t="n">
        <v>20161902</v>
      </c>
      <c r="E8" s="5" t="n">
        <v>19925444</v>
      </c>
      <c r="F8" s="5" t="n">
        <v>17969614</v>
      </c>
      <c r="I8" t="inlineStr">
        <is>
          <t>Other deposits (customer/wholesale funding)</t>
        </is>
      </c>
      <c r="J8" t="n">
        <v>17969614</v>
      </c>
      <c r="K8" t="n">
        <v>19925444</v>
      </c>
      <c r="L8" t="n">
        <v>20161902</v>
      </c>
      <c r="M8" t="n">
        <v>20690780</v>
      </c>
      <c r="N8" t="n">
        <v>21016787</v>
      </c>
      <c r="AG8" t="inlineStr">
        <is>
          <t>Total Capital Ratio</t>
        </is>
      </c>
      <c r="AH8" t="n">
        <v>96</v>
      </c>
      <c r="AI8" t="n">
        <v>87</v>
      </c>
      <c r="AJ8" t="n">
        <v>71</v>
      </c>
      <c r="AK8" t="n">
        <v>150</v>
      </c>
      <c r="AL8" t="n">
        <v>158</v>
      </c>
    </row>
    <row r="9">
      <c r="A9" s="5" t="inlineStr">
        <is>
          <t>Total shareholder's equity</t>
        </is>
      </c>
      <c r="B9" s="5" t="n">
        <v>1426705</v>
      </c>
      <c r="C9" s="5" t="n">
        <v>1408127</v>
      </c>
      <c r="D9" s="5" t="n">
        <v>1187508</v>
      </c>
      <c r="E9" s="5" t="n">
        <v>1174679</v>
      </c>
      <c r="F9" s="5" t="n">
        <v>866701</v>
      </c>
      <c r="I9" t="inlineStr">
        <is>
          <t>Total shareholder's equity</t>
        </is>
      </c>
      <c r="J9" t="n">
        <v>866701</v>
      </c>
      <c r="K9" t="n">
        <v>1174679</v>
      </c>
      <c r="L9" t="n">
        <v>1187508</v>
      </c>
      <c r="M9" t="n">
        <v>1408127</v>
      </c>
      <c r="N9" t="n">
        <v>1426705</v>
      </c>
      <c r="AG9" t="inlineStr">
        <is>
          <t>Leverage Ratio</t>
        </is>
      </c>
      <c r="AH9" t="n">
        <v>5.1</v>
      </c>
      <c r="AI9" t="n">
        <v>4.7</v>
      </c>
      <c r="AJ9" t="n">
        <v>5</v>
      </c>
      <c r="AK9" t="n">
        <v>5.1</v>
      </c>
      <c r="AL9" t="n">
        <v>5</v>
      </c>
    </row>
    <row r="10">
      <c r="AG10" t="inlineStr">
        <is>
          <t>LCR</t>
        </is>
      </c>
      <c r="AH10" t="n">
        <v>18136</v>
      </c>
      <c r="AI10" t="n">
        <v>29989</v>
      </c>
      <c r="AJ10" t="n">
        <v>2575</v>
      </c>
      <c r="AK10" t="n">
        <v>3170</v>
      </c>
      <c r="AL10" t="n">
        <v>4039</v>
      </c>
    </row>
    <row r="11">
      <c r="A11" s="3" t="inlineStr">
        <is>
          <t>Profit &amp; Loss Summary (CAD'000)</t>
        </is>
      </c>
      <c r="AG11" t="inlineStr">
        <is>
          <t>NSFR</t>
        </is>
      </c>
      <c r="AH11" t="n">
        <v>800</v>
      </c>
      <c r="AI11" t="n">
        <v>8307</v>
      </c>
      <c r="AJ11" t="n">
        <v>6804</v>
      </c>
      <c r="AK11" t="n">
        <v>5240</v>
      </c>
      <c r="AL11" t="n">
        <v>5467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88609</v>
      </c>
      <c r="C13" s="5" t="n">
        <v>75348</v>
      </c>
      <c r="D13" s="5" t="n">
        <v>69984</v>
      </c>
      <c r="E13" s="5" t="n">
        <v>55340</v>
      </c>
      <c r="F13" s="5" t="n">
        <v>31064</v>
      </c>
      <c r="Q13" t="inlineStr">
        <is>
          <t>Net interest income</t>
        </is>
      </c>
      <c r="R13" t="n">
        <v>31064</v>
      </c>
      <c r="S13" t="n">
        <v>55340</v>
      </c>
      <c r="T13" t="n">
        <v>69984</v>
      </c>
      <c r="U13" t="n">
        <v>75348</v>
      </c>
      <c r="V13" t="n">
        <v>88609</v>
      </c>
    </row>
    <row r="14">
      <c r="A14" s="5" t="inlineStr">
        <is>
          <t>Total operating expense</t>
        </is>
      </c>
      <c r="B14" s="5" t="n">
        <v>-8286</v>
      </c>
      <c r="C14" s="5" t="n">
        <v>-13812</v>
      </c>
      <c r="D14" s="5" t="n">
        <v>-23995</v>
      </c>
      <c r="E14" s="5" t="n">
        <v>-15647</v>
      </c>
      <c r="F14" s="5" t="n">
        <v>-11288</v>
      </c>
      <c r="Q14" t="inlineStr">
        <is>
          <t>Total operating expense</t>
        </is>
      </c>
      <c r="R14" t="n">
        <v>-11288</v>
      </c>
      <c r="S14" t="n">
        <v>-15647</v>
      </c>
      <c r="T14" t="n">
        <v>-23995</v>
      </c>
      <c r="U14" t="n">
        <v>-13812</v>
      </c>
      <c r="V14" t="n">
        <v>-8286</v>
      </c>
    </row>
    <row r="15">
      <c r="A15" s="5" t="inlineStr">
        <is>
          <t>Profit for the financial year</t>
        </is>
      </c>
      <c r="B15" s="5" t="n">
        <v>61644</v>
      </c>
      <c r="C15" s="5" t="n">
        <v>47944</v>
      </c>
      <c r="D15" s="5" t="n">
        <v>56037</v>
      </c>
      <c r="E15" s="5" t="n">
        <v>52735</v>
      </c>
      <c r="F15" s="5" t="n">
        <v>44279</v>
      </c>
      <c r="Q15" t="inlineStr">
        <is>
          <t>Profit for the financial year</t>
        </is>
      </c>
      <c r="R15" t="n">
        <v>44279</v>
      </c>
      <c r="S15" t="n">
        <v>52735</v>
      </c>
      <c r="T15" t="n">
        <v>56037</v>
      </c>
      <c r="U15" t="n">
        <v>47944</v>
      </c>
      <c r="V15" t="n">
        <v>61644</v>
      </c>
    </row>
    <row r="17">
      <c r="A17" s="3" t="inlineStr">
        <is>
          <t>Statement of Changes in Equity Summary (CAD'000)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1408127</v>
      </c>
      <c r="C19" s="5" t="n">
        <v>1187508</v>
      </c>
      <c r="D19" s="5" t="n">
        <v>1174679</v>
      </c>
      <c r="E19" s="5" t="n">
        <v>866701</v>
      </c>
      <c r="F19" s="5" t="n">
        <v>1002644</v>
      </c>
      <c r="Y19" t="inlineStr">
        <is>
          <t>Opening equity</t>
        </is>
      </c>
      <c r="Z19" t="n">
        <v>1002644</v>
      </c>
      <c r="AA19" t="n">
        <v>866701</v>
      </c>
      <c r="AB19" t="n">
        <v>1174679</v>
      </c>
      <c r="AC19" t="n">
        <v>1187508</v>
      </c>
      <c r="AD19" t="n">
        <v>1408127</v>
      </c>
    </row>
    <row r="20">
      <c r="A20" s="5" t="inlineStr">
        <is>
          <t>Total comprehensive income/(loss) for the year</t>
        </is>
      </c>
      <c r="B20" s="5" t="n">
        <v>18578</v>
      </c>
      <c r="C20" s="5" t="n">
        <v>220619</v>
      </c>
      <c r="D20" s="5" t="n">
        <v>12829</v>
      </c>
      <c r="E20" s="5" t="n">
        <v>307978</v>
      </c>
      <c r="F20" s="5" t="n">
        <v>-135943</v>
      </c>
      <c r="Y20" t="inlineStr">
        <is>
          <t>Total comprehensive income/(loss) for the year</t>
        </is>
      </c>
      <c r="Z20" t="n">
        <v>-135943</v>
      </c>
      <c r="AA20" t="n">
        <v>307978</v>
      </c>
      <c r="AB20" t="n">
        <v>12829</v>
      </c>
      <c r="AC20" t="n">
        <v>220619</v>
      </c>
      <c r="AD20" t="n">
        <v>18578</v>
      </c>
    </row>
    <row r="21">
      <c r="A21" s="5" t="inlineStr">
        <is>
          <t>Closing equity</t>
        </is>
      </c>
      <c r="B21" s="5" t="n">
        <v>1426705</v>
      </c>
      <c r="C21" s="5" t="n">
        <v>1408127</v>
      </c>
      <c r="D21" s="5" t="n">
        <v>1187508</v>
      </c>
      <c r="E21" s="5" t="n">
        <v>1174679</v>
      </c>
      <c r="F21" s="5" t="n">
        <v>866701</v>
      </c>
      <c r="Y21" t="inlineStr">
        <is>
          <t>Closing equity</t>
        </is>
      </c>
      <c r="Z21" t="n">
        <v>866701</v>
      </c>
      <c r="AA21" t="n">
        <v>1174679</v>
      </c>
      <c r="AB21" t="n">
        <v>1187508</v>
      </c>
      <c r="AC21" t="n">
        <v>1408127</v>
      </c>
      <c r="AD21" t="n">
        <v>1426705</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158%</t>
        </is>
      </c>
      <c r="C27" s="6" t="inlineStr">
        <is>
          <t>150%</t>
        </is>
      </c>
      <c r="D27" s="6" t="inlineStr">
        <is>
          <t>71%</t>
        </is>
      </c>
      <c r="E27" s="6" t="inlineStr">
        <is>
          <t>87%</t>
        </is>
      </c>
      <c r="F27" s="6" t="inlineStr">
        <is>
          <t>96%</t>
        </is>
      </c>
    </row>
    <row r="28">
      <c r="A28" s="6" t="inlineStr">
        <is>
          <t>Tier 1 Ratio</t>
        </is>
      </c>
      <c r="B28" s="6" t="inlineStr">
        <is>
          <t>158%</t>
        </is>
      </c>
      <c r="C28" s="6" t="inlineStr">
        <is>
          <t>150%</t>
        </is>
      </c>
      <c r="D28" s="6" t="inlineStr">
        <is>
          <t>71%</t>
        </is>
      </c>
      <c r="E28" s="6" t="inlineStr">
        <is>
          <t>87%</t>
        </is>
      </c>
      <c r="F28" s="6" t="inlineStr">
        <is>
          <t>96%</t>
        </is>
      </c>
    </row>
    <row r="29">
      <c r="A29" s="6" t="inlineStr">
        <is>
          <t>Total Capital Ratio</t>
        </is>
      </c>
      <c r="B29" s="6" t="inlineStr">
        <is>
          <t>158%</t>
        </is>
      </c>
      <c r="C29" s="6" t="inlineStr">
        <is>
          <t>150%</t>
        </is>
      </c>
      <c r="D29" s="6" t="inlineStr">
        <is>
          <t>71%</t>
        </is>
      </c>
      <c r="E29" s="6" t="inlineStr">
        <is>
          <t>87%</t>
        </is>
      </c>
      <c r="F29" s="6" t="inlineStr">
        <is>
          <t>96%</t>
        </is>
      </c>
    </row>
    <row r="30">
      <c r="A30" s="6" t="inlineStr">
        <is>
          <t>Leverage Ratio</t>
        </is>
      </c>
      <c r="B30" s="6" t="inlineStr">
        <is>
          <t>5.0%</t>
        </is>
      </c>
      <c r="C30" s="6" t="inlineStr">
        <is>
          <t>5.1%</t>
        </is>
      </c>
      <c r="D30" s="6" t="inlineStr">
        <is>
          <t>5.0%</t>
        </is>
      </c>
      <c r="E30" s="6" t="inlineStr">
        <is>
          <t>4.7%</t>
        </is>
      </c>
      <c r="F30" s="6" t="inlineStr">
        <is>
          <t>5.1%</t>
        </is>
      </c>
    </row>
    <row r="31">
      <c r="A31" s="6" t="inlineStr">
        <is>
          <t>LCR</t>
        </is>
      </c>
      <c r="B31" s="6" t="inlineStr">
        <is>
          <t>4039%</t>
        </is>
      </c>
      <c r="C31" s="6" t="inlineStr">
        <is>
          <t>3170%</t>
        </is>
      </c>
      <c r="D31" s="6" t="inlineStr">
        <is>
          <t>2575%</t>
        </is>
      </c>
      <c r="E31" s="6" t="inlineStr">
        <is>
          <t>29989%</t>
        </is>
      </c>
      <c r="F31" s="6" t="inlineStr">
        <is>
          <t>18136%</t>
        </is>
      </c>
    </row>
    <row r="32">
      <c r="A32" s="6" t="inlineStr">
        <is>
          <t>NSFR</t>
        </is>
      </c>
      <c r="B32" s="6" t="inlineStr">
        <is>
          <t>5467%</t>
        </is>
      </c>
      <c r="C32" s="6" t="inlineStr">
        <is>
          <t>5240%</t>
        </is>
      </c>
      <c r="D32" s="6" t="inlineStr">
        <is>
          <t>6804%</t>
        </is>
      </c>
      <c r="E32" s="6" t="inlineStr">
        <is>
          <t>8307%</t>
        </is>
      </c>
      <c r="F32" s="6" t="inlineStr">
        <is>
          <t>800%</t>
        </is>
      </c>
    </row>
    <row r="34" ht="45" customHeight="1">
      <c r="A34" s="7" t="inlineStr">
        <is>
          <t>Note: Balance Sheet/Profit &amp; Loss/Statement of Changes in Equity figures are in CAD'000 (Companies House Annual Report basis); Pillar 3 ratios and the individual Pillar 3/RWA Breakdown sheets are in CAD MM - the two sources use different reporting units, reproduced as published. No cash-flow totals are shown because the entity's accounts take the applicable cash-flow-statement exemption.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Balance Sheet</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Assets</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Debt securities at amortised cost, net of allowance for credit losses</t>
        </is>
      </c>
      <c r="B6" s="6" t="n">
        <v>23455915</v>
      </c>
      <c r="C6" s="6" t="n">
        <v>21297771</v>
      </c>
      <c r="D6" s="6" t="n">
        <v>21193385</v>
      </c>
      <c r="E6" s="6" t="n">
        <v>19221927</v>
      </c>
      <c r="F6" s="6" t="n">
        <v>16375260</v>
      </c>
    </row>
    <row r="7">
      <c r="A7" s="6" t="inlineStr">
        <is>
          <t>Loans and advances to banks</t>
        </is>
      </c>
      <c r="B7" s="6" t="n">
        <v>512755</v>
      </c>
      <c r="C7" s="6" t="n">
        <v>1310183</v>
      </c>
      <c r="D7" s="6" t="n">
        <v>319740</v>
      </c>
      <c r="E7" s="6" t="n">
        <v>285427</v>
      </c>
      <c r="F7" s="6" t="n">
        <v>293637</v>
      </c>
    </row>
    <row r="8">
      <c r="A8" s="6" t="inlineStr">
        <is>
          <t>Loans and advances to customers, net of allowance for credit losses</t>
        </is>
      </c>
      <c r="B8" s="6" t="n"/>
      <c r="C8" s="6" t="n"/>
      <c r="D8" s="6" t="n">
        <v>22977</v>
      </c>
      <c r="E8" s="6" t="n">
        <v>70648</v>
      </c>
      <c r="F8" s="6" t="n">
        <v>176208</v>
      </c>
    </row>
    <row r="9">
      <c r="A9" s="6" t="inlineStr">
        <is>
          <t>Derivative financial instruments</t>
        </is>
      </c>
      <c r="B9" s="6" t="n">
        <v>0</v>
      </c>
      <c r="C9" s="6" t="n">
        <v>159</v>
      </c>
      <c r="D9" s="6" t="n">
        <v>137226</v>
      </c>
      <c r="E9" s="6" t="n">
        <v>1698556</v>
      </c>
      <c r="F9" s="6" t="n">
        <v>1151448</v>
      </c>
    </row>
    <row r="10">
      <c r="A10" s="6" t="inlineStr">
        <is>
          <t>Tangible fixed assets</t>
        </is>
      </c>
      <c r="B10" s="6" t="n">
        <v>4</v>
      </c>
      <c r="C10" s="6" t="n">
        <v>14</v>
      </c>
      <c r="D10" s="6" t="n">
        <v>55</v>
      </c>
      <c r="E10" s="6" t="n">
        <v>113</v>
      </c>
      <c r="F10" s="6" t="n">
        <v>172</v>
      </c>
    </row>
    <row r="11">
      <c r="A11" s="6" t="inlineStr">
        <is>
          <t>Current tax assets</t>
        </is>
      </c>
      <c r="B11" s="6" t="n">
        <v>0</v>
      </c>
      <c r="C11" s="6" t="n">
        <v>1507</v>
      </c>
      <c r="D11" s="6" t="n">
        <v>883</v>
      </c>
      <c r="E11" s="6" t="n"/>
      <c r="F11" s="6" t="n">
        <v>3793</v>
      </c>
    </row>
    <row r="12">
      <c r="A12" s="6" t="inlineStr">
        <is>
          <t>Deferred tax assets</t>
        </is>
      </c>
      <c r="B12" s="6" t="n">
        <v>0</v>
      </c>
      <c r="C12" s="6" t="n">
        <v>23</v>
      </c>
      <c r="D12" s="6" t="n"/>
      <c r="E12" s="6" t="n"/>
      <c r="F12" s="6" t="n">
        <v>69577</v>
      </c>
    </row>
    <row r="13">
      <c r="A13" s="6" t="inlineStr">
        <is>
          <t>Other assets</t>
        </is>
      </c>
      <c r="B13" s="6" t="n">
        <v>395</v>
      </c>
      <c r="C13" s="6" t="n">
        <v>455</v>
      </c>
      <c r="D13" s="6" t="n">
        <v>2733</v>
      </c>
      <c r="E13" s="6" t="n">
        <v>1484</v>
      </c>
      <c r="F13" s="6" t="n">
        <v>3589</v>
      </c>
    </row>
    <row r="14">
      <c r="A14" s="6" t="inlineStr">
        <is>
          <t>Prepayments and accrued income</t>
        </is>
      </c>
      <c r="B14" s="6" t="n">
        <v>170855</v>
      </c>
      <c r="C14" s="6" t="n">
        <v>131043</v>
      </c>
      <c r="D14" s="6" t="n">
        <v>89659</v>
      </c>
      <c r="E14" s="6" t="n">
        <v>48916</v>
      </c>
      <c r="F14" s="6" t="n">
        <v>36570</v>
      </c>
    </row>
    <row r="15">
      <c r="A15" s="5" t="inlineStr">
        <is>
          <t>Total assets</t>
        </is>
      </c>
      <c r="B15" s="5" t="n">
        <v>24303535</v>
      </c>
      <c r="C15" s="5" t="n">
        <v>23701833</v>
      </c>
      <c r="D15" s="5" t="n">
        <v>21902569</v>
      </c>
      <c r="E15" s="5" t="n">
        <v>21411125</v>
      </c>
      <c r="F15" s="5" t="n">
        <v>19119360</v>
      </c>
    </row>
    <row r="16">
      <c r="A16" s="5" t="inlineStr">
        <is>
          <t>Liabilities</t>
        </is>
      </c>
      <c r="B16" s="6" t="n"/>
      <c r="C16" s="6" t="n"/>
      <c r="D16" s="6" t="n"/>
      <c r="E16" s="6" t="n"/>
      <c r="F16" s="6" t="n"/>
    </row>
    <row r="17">
      <c r="A17" s="6" t="inlineStr">
        <is>
          <t>Deposits from banks</t>
        </is>
      </c>
      <c r="B17" s="6" t="n">
        <v>450776</v>
      </c>
      <c r="C17" s="6" t="n">
        <v>1238909</v>
      </c>
      <c r="D17" s="6" t="n">
        <v>340060</v>
      </c>
      <c r="E17" s="6" t="n">
        <v>186223</v>
      </c>
      <c r="F17" s="6" t="n">
        <v>237439</v>
      </c>
    </row>
    <row r="18">
      <c r="A18" s="6" t="inlineStr">
        <is>
          <t>Other deposits</t>
        </is>
      </c>
      <c r="B18" s="6" t="n">
        <v>21016787</v>
      </c>
      <c r="C18" s="6" t="n">
        <v>20690780</v>
      </c>
      <c r="D18" s="6" t="n">
        <v>20161902</v>
      </c>
      <c r="E18" s="6" t="n">
        <v>19925444</v>
      </c>
      <c r="F18" s="6" t="n">
        <v>17969614</v>
      </c>
    </row>
    <row r="19">
      <c r="A19" s="6" t="inlineStr">
        <is>
          <t>Derivative financial instruments</t>
        </is>
      </c>
      <c r="B19" s="6" t="n">
        <v>1102192</v>
      </c>
      <c r="C19" s="6" t="n">
        <v>197974</v>
      </c>
      <c r="D19" s="6" t="n">
        <v>1272</v>
      </c>
      <c r="E19" s="6" t="n">
        <v>0</v>
      </c>
      <c r="F19" s="6" t="n">
        <v>0</v>
      </c>
    </row>
    <row r="20">
      <c r="A20" s="6" t="inlineStr">
        <is>
          <t>Repurchase agreements</t>
        </is>
      </c>
      <c r="B20" s="6" t="n">
        <v>0</v>
      </c>
      <c r="C20" s="6" t="n">
        <v>26174</v>
      </c>
      <c r="D20" s="6" t="n"/>
      <c r="E20" s="6" t="n"/>
      <c r="F20" s="6" t="n"/>
    </row>
    <row r="21">
      <c r="A21" s="6" t="inlineStr">
        <is>
          <t>Current tax liabilities</t>
        </is>
      </c>
      <c r="B21" s="6" t="n">
        <v>6717</v>
      </c>
      <c r="C21" s="6" t="n">
        <v>258</v>
      </c>
      <c r="D21" s="6" t="n">
        <v>0</v>
      </c>
      <c r="E21" s="6" t="n">
        <v>5905</v>
      </c>
      <c r="F21" s="6" t="n"/>
    </row>
    <row r="22">
      <c r="A22" s="6" t="inlineStr">
        <is>
          <t>Deferred tax liability</t>
        </is>
      </c>
      <c r="B22" s="6" t="n">
        <v>52864</v>
      </c>
      <c r="C22" s="6" t="n">
        <v>67245</v>
      </c>
      <c r="D22" s="6" t="n">
        <v>9704</v>
      </c>
      <c r="E22" s="6" t="n">
        <v>23971</v>
      </c>
      <c r="F22" s="6" t="n"/>
    </row>
    <row r="23">
      <c r="A23" s="6" t="inlineStr">
        <is>
          <t>Other liabilities</t>
        </is>
      </c>
      <c r="B23" s="6" t="n">
        <v>247494</v>
      </c>
      <c r="C23" s="6" t="n">
        <v>72366</v>
      </c>
      <c r="D23" s="6" t="n">
        <v>202123</v>
      </c>
      <c r="E23" s="6" t="n">
        <v>94903</v>
      </c>
      <c r="F23" s="6" t="n">
        <v>45606</v>
      </c>
    </row>
    <row r="24">
      <c r="A24" s="5" t="inlineStr">
        <is>
          <t>Total liabilities</t>
        </is>
      </c>
      <c r="B24" s="5" t="n">
        <v>22876830</v>
      </c>
      <c r="C24" s="5" t="n">
        <v>22293706</v>
      </c>
      <c r="D24" s="5" t="n">
        <v>20715061</v>
      </c>
      <c r="E24" s="5" t="n">
        <v>20236446</v>
      </c>
      <c r="F24" s="5" t="n">
        <v>18252659</v>
      </c>
    </row>
    <row r="25">
      <c r="A25" s="5" t="inlineStr">
        <is>
          <t>Shareholder's equity</t>
        </is>
      </c>
      <c r="B25" s="6" t="n"/>
      <c r="C25" s="6" t="n"/>
      <c r="D25" s="6" t="n"/>
      <c r="E25" s="6" t="n"/>
      <c r="F25" s="6" t="n"/>
    </row>
    <row r="26">
      <c r="A26" s="6" t="inlineStr">
        <is>
          <t>Called up share capital</t>
        </is>
      </c>
      <c r="B26" s="6" t="n">
        <v>629878</v>
      </c>
      <c r="C26" s="6" t="n">
        <v>629878</v>
      </c>
      <c r="D26" s="6" t="n">
        <v>629878</v>
      </c>
      <c r="E26" s="6" t="n">
        <v>629878</v>
      </c>
      <c r="F26" s="6" t="n">
        <v>629878</v>
      </c>
    </row>
    <row r="27">
      <c r="A27" s="6" t="inlineStr">
        <is>
          <t>Retained earnings</t>
        </is>
      </c>
      <c r="B27" s="6" t="n">
        <v>638244</v>
      </c>
      <c r="C27" s="6" t="n">
        <v>576600</v>
      </c>
      <c r="D27" s="6" t="n">
        <v>528656</v>
      </c>
      <c r="E27" s="6" t="n">
        <v>472619</v>
      </c>
      <c r="F27" s="6" t="n">
        <v>419884</v>
      </c>
    </row>
    <row r="28">
      <c r="A28" s="6" t="inlineStr">
        <is>
          <t>FVTOCI reserve</t>
        </is>
      </c>
      <c r="B28" s="6" t="n">
        <v>598</v>
      </c>
      <c r="C28" s="6" t="n">
        <v>370</v>
      </c>
      <c r="D28" s="6" t="n">
        <v>548</v>
      </c>
      <c r="E28" s="6" t="n">
        <v>508</v>
      </c>
      <c r="F28" s="6" t="n">
        <v>532</v>
      </c>
    </row>
    <row r="29">
      <c r="A29" s="6" t="inlineStr">
        <is>
          <t>Cash flow hedging reserve</t>
        </is>
      </c>
      <c r="B29" s="6" t="n">
        <v>157985</v>
      </c>
      <c r="C29" s="6" t="n">
        <v>201279</v>
      </c>
      <c r="D29" s="6" t="n">
        <v>28426</v>
      </c>
      <c r="E29" s="6" t="n">
        <v>71674</v>
      </c>
      <c r="F29" s="6" t="n">
        <v>-183593</v>
      </c>
    </row>
    <row r="30">
      <c r="A30" s="5" t="inlineStr">
        <is>
          <t>Total shareholder's equity</t>
        </is>
      </c>
      <c r="B30" s="5" t="n">
        <v>1426705</v>
      </c>
      <c r="C30" s="5" t="n">
        <v>1408127</v>
      </c>
      <c r="D30" s="5" t="n">
        <v>1187508</v>
      </c>
      <c r="E30" s="5" t="n">
        <v>1174679</v>
      </c>
      <c r="F30" s="5" t="n">
        <v>866701</v>
      </c>
    </row>
    <row r="31">
      <c r="A31" s="5" t="inlineStr">
        <is>
          <t>Total liabilities and shareholder's equity</t>
        </is>
      </c>
      <c r="B31" s="5" t="n">
        <v>24303535</v>
      </c>
      <c r="C31" s="5" t="n">
        <v>23701833</v>
      </c>
      <c r="D31" s="5" t="n">
        <v>21902569</v>
      </c>
      <c r="E31" s="5" t="n">
        <v>21411125</v>
      </c>
      <c r="F31" s="5" t="n">
        <v>19119360</v>
      </c>
    </row>
    <row r="33" ht="280" customHeight="1">
      <c r="A33"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Profit &amp; Loss</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Income</t>
        </is>
      </c>
      <c r="B4" s="6" t="n"/>
      <c r="C4" s="6" t="n"/>
      <c r="D4" s="6" t="n"/>
      <c r="E4" s="6" t="n"/>
      <c r="F4" s="6" t="n"/>
    </row>
    <row r="5">
      <c r="A5" s="6" t="inlineStr">
        <is>
          <t>Interest income using the effective interest rate method</t>
        </is>
      </c>
      <c r="B5" s="6" t="n">
        <v>668472</v>
      </c>
      <c r="C5" s="6" t="n">
        <v>552834</v>
      </c>
      <c r="D5" s="6" t="n">
        <v>370139</v>
      </c>
      <c r="E5" s="6" t="n">
        <v>194043</v>
      </c>
      <c r="F5" s="6" t="n">
        <v>95526</v>
      </c>
    </row>
    <row r="6">
      <c r="A6" s="6" t="inlineStr">
        <is>
          <t>Interest expense using the effective interest rate method</t>
        </is>
      </c>
      <c r="B6" s="6" t="n">
        <v>-579863</v>
      </c>
      <c r="C6" s="6" t="n">
        <v>-477486</v>
      </c>
      <c r="D6" s="6" t="n">
        <v>-300155</v>
      </c>
      <c r="E6" s="6" t="n">
        <v>-138703</v>
      </c>
      <c r="F6" s="6" t="n">
        <v>-64462</v>
      </c>
    </row>
    <row r="7">
      <c r="A7" s="5" t="inlineStr">
        <is>
          <t>Net interest income</t>
        </is>
      </c>
      <c r="B7" s="5" t="n">
        <v>88609</v>
      </c>
      <c r="C7" s="5" t="n">
        <v>75348</v>
      </c>
      <c r="D7" s="5" t="n">
        <v>69984</v>
      </c>
      <c r="E7" s="5" t="n">
        <v>55340</v>
      </c>
      <c r="F7" s="5" t="n">
        <v>31064</v>
      </c>
    </row>
    <row r="8">
      <c r="A8" s="6" t="inlineStr">
        <is>
          <t>Fee &amp; commission income</t>
        </is>
      </c>
      <c r="B8" s="6" t="n">
        <v>222</v>
      </c>
      <c r="C8" s="6" t="n">
        <v>1151</v>
      </c>
      <c r="D8" s="6" t="n">
        <v>23812</v>
      </c>
      <c r="E8" s="6" t="n">
        <v>30577</v>
      </c>
      <c r="F8" s="6" t="n">
        <v>41313</v>
      </c>
    </row>
    <row r="9">
      <c r="A9" s="5" t="inlineStr">
        <is>
          <t>Net fee &amp; commission income</t>
        </is>
      </c>
      <c r="B9" s="5" t="n">
        <v>222</v>
      </c>
      <c r="C9" s="5" t="n">
        <v>1151</v>
      </c>
      <c r="D9" s="5" t="n">
        <v>23812</v>
      </c>
      <c r="E9" s="5" t="n">
        <v>30577</v>
      </c>
      <c r="F9" s="5" t="n">
        <v>41313</v>
      </c>
    </row>
    <row r="10">
      <c r="A10" s="6" t="inlineStr">
        <is>
          <t>Foreign exchange gain/(loss)</t>
        </is>
      </c>
      <c r="B10" s="6" t="n">
        <v>-566</v>
      </c>
      <c r="C10" s="6" t="n">
        <v>-1072</v>
      </c>
      <c r="D10" s="6" t="n">
        <v>-303</v>
      </c>
      <c r="E10" s="6" t="n">
        <v>2191</v>
      </c>
      <c r="F10" s="6" t="n">
        <v>122</v>
      </c>
    </row>
    <row r="11">
      <c r="A11" s="6" t="inlineStr">
        <is>
          <t>Income/(loss) on financial assets at fair value</t>
        </is>
      </c>
      <c r="B11" s="6" t="n">
        <v>2666</v>
      </c>
      <c r="C11" s="6" t="n">
        <v>-218</v>
      </c>
      <c r="D11" s="6" t="n">
        <v>205</v>
      </c>
      <c r="E11" s="6" t="n">
        <v>-889</v>
      </c>
      <c r="F11" s="6" t="n">
        <v>374</v>
      </c>
    </row>
    <row r="12">
      <c r="A12" s="6" t="inlineStr">
        <is>
          <t>Other operating income</t>
        </is>
      </c>
      <c r="B12" s="6" t="n">
        <v>0</v>
      </c>
      <c r="C12" s="6" t="n">
        <v>396</v>
      </c>
      <c r="D12" s="6" t="n">
        <v>11</v>
      </c>
      <c r="E12" s="6" t="n">
        <v>11</v>
      </c>
      <c r="F12" s="6" t="n">
        <v>288</v>
      </c>
    </row>
    <row r="13">
      <c r="A13" s="6" t="inlineStr">
        <is>
          <t>Personnel expenses</t>
        </is>
      </c>
      <c r="B13" s="6" t="n">
        <v>1265</v>
      </c>
      <c r="C13" s="6" t="n">
        <v>-5342</v>
      </c>
      <c r="D13" s="6" t="n">
        <v>-10029</v>
      </c>
      <c r="E13" s="6" t="n">
        <v>-7063</v>
      </c>
      <c r="F13" s="6" t="n">
        <v>-5869</v>
      </c>
    </row>
    <row r="14">
      <c r="A14" s="6" t="inlineStr">
        <is>
          <t>Other expenses</t>
        </is>
      </c>
      <c r="B14" s="6" t="n">
        <v>-9551</v>
      </c>
      <c r="C14" s="6" t="n">
        <v>-8470</v>
      </c>
      <c r="D14" s="6" t="n">
        <v>-13966</v>
      </c>
      <c r="E14" s="6" t="n">
        <v>-8584</v>
      </c>
      <c r="F14" s="6" t="n">
        <v>-5419</v>
      </c>
    </row>
    <row r="15">
      <c r="A15" s="6" t="inlineStr">
        <is>
          <t>Credit loss (expense)/recovery</t>
        </is>
      </c>
      <c r="B15" s="6" t="n">
        <v>-25</v>
      </c>
      <c r="C15" s="6" t="n">
        <v>-31</v>
      </c>
      <c r="D15" s="6" t="n">
        <v>745</v>
      </c>
      <c r="E15" s="6" t="n">
        <v>706</v>
      </c>
      <c r="F15" s="6" t="n">
        <v>-753</v>
      </c>
    </row>
    <row r="16">
      <c r="A16" s="5" t="inlineStr">
        <is>
          <t>Profit on ordinary activities before taxation</t>
        </is>
      </c>
      <c r="B16" s="5" t="n">
        <v>82620</v>
      </c>
      <c r="C16" s="5" t="n">
        <v>61762</v>
      </c>
      <c r="D16" s="5" t="n">
        <v>70459</v>
      </c>
      <c r="E16" s="5" t="n">
        <v>72289</v>
      </c>
      <c r="F16" s="5" t="n">
        <v>61120</v>
      </c>
    </row>
    <row r="17">
      <c r="A17" s="6" t="inlineStr">
        <is>
          <t>Tax on profit on ordinary activities</t>
        </is>
      </c>
      <c r="B17" s="6" t="n">
        <v>-20976</v>
      </c>
      <c r="C17" s="6" t="n">
        <v>-13818</v>
      </c>
      <c r="D17" s="6" t="n">
        <v>-14422</v>
      </c>
      <c r="E17" s="6" t="n">
        <v>-19554</v>
      </c>
      <c r="F17" s="6" t="n">
        <v>-16841</v>
      </c>
    </row>
    <row r="18">
      <c r="A18" s="5" t="inlineStr">
        <is>
          <t>Profit for the financial year</t>
        </is>
      </c>
      <c r="B18" s="5" t="n">
        <v>61644</v>
      </c>
      <c r="C18" s="5" t="n">
        <v>47944</v>
      </c>
      <c r="D18" s="5" t="n">
        <v>56037</v>
      </c>
      <c r="E18" s="5" t="n">
        <v>52735</v>
      </c>
      <c r="F18" s="5" t="n">
        <v>44279</v>
      </c>
    </row>
    <row r="19">
      <c r="A19" s="5" t="inlineStr">
        <is>
          <t>Other comprehensive income (OCI)</t>
        </is>
      </c>
      <c r="B19" s="6" t="n"/>
      <c r="C19" s="6" t="n"/>
      <c r="D19" s="6" t="n"/>
      <c r="E19" s="6" t="n"/>
      <c r="F19" s="6" t="n"/>
    </row>
    <row r="20">
      <c r="A20" s="6" t="inlineStr">
        <is>
          <t>Net gain/(loss) on derivatives designated as cash flow hedges</t>
        </is>
      </c>
      <c r="B20" s="6" t="n">
        <v>-43294</v>
      </c>
      <c r="C20" s="6" t="n">
        <v>172853</v>
      </c>
      <c r="D20" s="6" t="n">
        <v>-43248</v>
      </c>
      <c r="E20" s="6" t="n">
        <v>255267</v>
      </c>
      <c r="F20" s="6" t="n">
        <v>-180323</v>
      </c>
    </row>
    <row r="21">
      <c r="A21" s="6" t="inlineStr">
        <is>
          <t>Financial assets at fair value through OCI - realised gain/(loss)</t>
        </is>
      </c>
      <c r="B21" s="6" t="n">
        <v>228</v>
      </c>
      <c r="C21" s="6" t="n">
        <v>-178</v>
      </c>
      <c r="D21" s="6" t="n">
        <v>40</v>
      </c>
      <c r="E21" s="6" t="n">
        <v>-24</v>
      </c>
      <c r="F21" s="6" t="n">
        <v>101</v>
      </c>
    </row>
    <row r="22">
      <c r="A22" s="5" t="inlineStr">
        <is>
          <t>Total comprehensive income/(loss) for the year</t>
        </is>
      </c>
      <c r="B22" s="5" t="n">
        <v>18578</v>
      </c>
      <c r="C22" s="5" t="n">
        <v>220619</v>
      </c>
      <c r="D22" s="5" t="n">
        <v>12829</v>
      </c>
      <c r="E22" s="5" t="n">
        <v>307978</v>
      </c>
      <c r="F22" s="5" t="n">
        <v>-135943</v>
      </c>
    </row>
    <row r="24" ht="280" customHeight="1">
      <c r="A24"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4:F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Statement of Changes in Equity</t>
        </is>
      </c>
    </row>
    <row r="2">
      <c r="A2" s="2" t="inlineStr">
        <is>
          <t>Entity/Company basis, CAD'000. Chronological roll-forward, 1 November 2020 to 31 October 2025 - zero undocumented plug rows; called up share capital unchanged (CAD629,878k) throughout the window.</t>
        </is>
      </c>
    </row>
    <row r="3">
      <c r="A3" s="4" t="inlineStr">
        <is>
          <t>Movement</t>
        </is>
      </c>
      <c r="B3" s="4" t="inlineStr">
        <is>
          <t>Called up share capital</t>
        </is>
      </c>
      <c r="C3" s="4" t="inlineStr">
        <is>
          <t>Retained earnings</t>
        </is>
      </c>
      <c r="D3" s="4" t="inlineStr">
        <is>
          <t>FVTOCI reserve</t>
        </is>
      </c>
      <c r="E3" s="4" t="inlineStr">
        <is>
          <t>Cash flow hedging reserve</t>
        </is>
      </c>
      <c r="F3" s="4" t="inlineStr">
        <is>
          <t>Total shareholder's equity</t>
        </is>
      </c>
    </row>
    <row r="4">
      <c r="A4" s="5" t="inlineStr">
        <is>
          <t>Balance as at 1 November 2020</t>
        </is>
      </c>
      <c r="B4" s="5" t="n">
        <v>629878</v>
      </c>
      <c r="C4" s="5" t="n">
        <v>375605</v>
      </c>
      <c r="D4" s="5" t="n">
        <v>431</v>
      </c>
      <c r="E4" s="5" t="n">
        <v>-3270</v>
      </c>
      <c r="F4" s="5" t="n">
        <v>1002644</v>
      </c>
    </row>
    <row r="5">
      <c r="A5" s="6" t="inlineStr">
        <is>
          <t>Profit for the financial year (FY2021)</t>
        </is>
      </c>
      <c r="B5" s="6" t="n"/>
      <c r="C5" s="6" t="n">
        <v>44279</v>
      </c>
      <c r="D5" s="6" t="n"/>
      <c r="E5" s="6" t="n"/>
      <c r="F5" s="6" t="n">
        <v>44279</v>
      </c>
    </row>
    <row r="6">
      <c r="A6" s="6" t="inlineStr">
        <is>
          <t>Losses on derivatives designated as cash flow hedges</t>
        </is>
      </c>
      <c r="B6" s="6" t="n"/>
      <c r="C6" s="6" t="n"/>
      <c r="D6" s="6" t="n"/>
      <c r="E6" s="6" t="n">
        <v>-180323</v>
      </c>
      <c r="F6" s="6" t="n">
        <v>-180323</v>
      </c>
    </row>
    <row r="7">
      <c r="A7" s="6" t="inlineStr">
        <is>
          <t>Financial assets at fair value through OCI - realised gain</t>
        </is>
      </c>
      <c r="B7" s="6" t="n"/>
      <c r="C7" s="6" t="n"/>
      <c r="D7" s="6" t="n">
        <v>101</v>
      </c>
      <c r="E7" s="6" t="n"/>
      <c r="F7" s="6" t="n">
        <v>101</v>
      </c>
    </row>
    <row r="8">
      <c r="A8" s="5" t="inlineStr">
        <is>
          <t>At 31 October 2021</t>
        </is>
      </c>
      <c r="B8" s="5" t="n">
        <v>629878</v>
      </c>
      <c r="C8" s="5" t="n">
        <v>419884</v>
      </c>
      <c r="D8" s="5" t="n">
        <v>532</v>
      </c>
      <c r="E8" s="5" t="n">
        <v>-183593</v>
      </c>
      <c r="F8" s="5" t="n">
        <v>866701</v>
      </c>
    </row>
    <row r="9">
      <c r="A9" s="6" t="inlineStr">
        <is>
          <t>Profit for the financial year (FY2022)</t>
        </is>
      </c>
      <c r="B9" s="6" t="n"/>
      <c r="C9" s="6" t="n">
        <v>52735</v>
      </c>
      <c r="D9" s="6" t="n"/>
      <c r="E9" s="6" t="n"/>
      <c r="F9" s="6" t="n">
        <v>52735</v>
      </c>
    </row>
    <row r="10">
      <c r="A10" s="6" t="inlineStr">
        <is>
          <t>Gains on derivatives designated as cash flow hedges</t>
        </is>
      </c>
      <c r="B10" s="6" t="n"/>
      <c r="C10" s="6" t="n"/>
      <c r="D10" s="6" t="n"/>
      <c r="E10" s="6" t="n">
        <v>255267</v>
      </c>
      <c r="F10" s="6" t="n">
        <v>255267</v>
      </c>
    </row>
    <row r="11">
      <c r="A11" s="6" t="inlineStr">
        <is>
          <t>Financial assets at fair value through OCI - realised loss</t>
        </is>
      </c>
      <c r="B11" s="6" t="n"/>
      <c r="C11" s="6" t="n"/>
      <c r="D11" s="6" t="n">
        <v>-24</v>
      </c>
      <c r="E11" s="6" t="n"/>
      <c r="F11" s="6" t="n">
        <v>-24</v>
      </c>
    </row>
    <row r="12">
      <c r="A12" s="5" t="inlineStr">
        <is>
          <t>At 31 October 2022</t>
        </is>
      </c>
      <c r="B12" s="5" t="n">
        <v>629878</v>
      </c>
      <c r="C12" s="5" t="n">
        <v>472619</v>
      </c>
      <c r="D12" s="5" t="n">
        <v>508</v>
      </c>
      <c r="E12" s="5" t="n">
        <v>71674</v>
      </c>
      <c r="F12" s="5" t="n">
        <v>1174679</v>
      </c>
    </row>
    <row r="13">
      <c r="A13" s="6" t="inlineStr">
        <is>
          <t>Profit for the financial year (FY2023)</t>
        </is>
      </c>
      <c r="B13" s="6" t="n"/>
      <c r="C13" s="6" t="n">
        <v>56037</v>
      </c>
      <c r="D13" s="6" t="n"/>
      <c r="E13" s="6" t="n"/>
      <c r="F13" s="6" t="n">
        <v>56037</v>
      </c>
    </row>
    <row r="14">
      <c r="A14" s="6" t="inlineStr">
        <is>
          <t>Losses on derivatives designated as cash flow hedges</t>
        </is>
      </c>
      <c r="B14" s="6" t="n"/>
      <c r="C14" s="6" t="n"/>
      <c r="D14" s="6" t="n"/>
      <c r="E14" s="6" t="n">
        <v>-43248</v>
      </c>
      <c r="F14" s="6" t="n">
        <v>-43248</v>
      </c>
    </row>
    <row r="15">
      <c r="A15" s="6" t="inlineStr">
        <is>
          <t>Financial assets at fair value through OCI - realised loss</t>
        </is>
      </c>
      <c r="B15" s="6" t="n"/>
      <c r="C15" s="6" t="n"/>
      <c r="D15" s="6" t="n">
        <v>40</v>
      </c>
      <c r="E15" s="6" t="n"/>
      <c r="F15" s="6" t="n">
        <v>40</v>
      </c>
    </row>
    <row r="16">
      <c r="A16" s="5" t="inlineStr">
        <is>
          <t>At 31 October 2023</t>
        </is>
      </c>
      <c r="B16" s="5" t="n">
        <v>629878</v>
      </c>
      <c r="C16" s="5" t="n">
        <v>528656</v>
      </c>
      <c r="D16" s="5" t="n">
        <v>548</v>
      </c>
      <c r="E16" s="5" t="n">
        <v>28426</v>
      </c>
      <c r="F16" s="5" t="n">
        <v>1187508</v>
      </c>
    </row>
    <row r="17">
      <c r="A17" s="6" t="inlineStr">
        <is>
          <t>Profit for the financial year (FY2024)</t>
        </is>
      </c>
      <c r="B17" s="6" t="n"/>
      <c r="C17" s="6" t="n">
        <v>47944</v>
      </c>
      <c r="D17" s="6" t="n"/>
      <c r="E17" s="6" t="n"/>
      <c r="F17" s="6" t="n">
        <v>47944</v>
      </c>
    </row>
    <row r="18">
      <c r="A18" s="6" t="inlineStr">
        <is>
          <t>Gains on derivatives designated as cash flow hedges</t>
        </is>
      </c>
      <c r="B18" s="6" t="n"/>
      <c r="C18" s="6" t="n"/>
      <c r="D18" s="6" t="n"/>
      <c r="E18" s="6" t="n">
        <v>172853</v>
      </c>
      <c r="F18" s="6" t="n">
        <v>172853</v>
      </c>
    </row>
    <row r="19">
      <c r="A19" s="6" t="inlineStr">
        <is>
          <t>Financial assets at fair value through OCI - realised loss</t>
        </is>
      </c>
      <c r="B19" s="6" t="n"/>
      <c r="C19" s="6" t="n"/>
      <c r="D19" s="6" t="n">
        <v>-178</v>
      </c>
      <c r="E19" s="6" t="n"/>
      <c r="F19" s="6" t="n">
        <v>-178</v>
      </c>
    </row>
    <row r="20">
      <c r="A20" s="5" t="inlineStr">
        <is>
          <t>At 31 October 2024</t>
        </is>
      </c>
      <c r="B20" s="5" t="n">
        <v>629878</v>
      </c>
      <c r="C20" s="5" t="n">
        <v>576600</v>
      </c>
      <c r="D20" s="5" t="n">
        <v>370</v>
      </c>
      <c r="E20" s="5" t="n">
        <v>201279</v>
      </c>
      <c r="F20" s="5" t="n">
        <v>1408127</v>
      </c>
    </row>
    <row r="21">
      <c r="A21" s="6" t="inlineStr">
        <is>
          <t>Profit for the financial year (FY2025)</t>
        </is>
      </c>
      <c r="B21" s="6" t="n"/>
      <c r="C21" s="6" t="n">
        <v>61644</v>
      </c>
      <c r="D21" s="6" t="n"/>
      <c r="E21" s="6" t="n"/>
      <c r="F21" s="6" t="n">
        <v>61644</v>
      </c>
    </row>
    <row r="22">
      <c r="A22" s="6" t="inlineStr">
        <is>
          <t>Losses on derivatives designated as cash flow hedges</t>
        </is>
      </c>
      <c r="B22" s="6" t="n"/>
      <c r="C22" s="6" t="n"/>
      <c r="D22" s="6" t="n"/>
      <c r="E22" s="6" t="n">
        <v>-43294</v>
      </c>
      <c r="F22" s="6" t="n">
        <v>-43294</v>
      </c>
    </row>
    <row r="23">
      <c r="A23" s="6" t="inlineStr">
        <is>
          <t>Financial assets at fair value through OCI - realised gain</t>
        </is>
      </c>
      <c r="B23" s="6" t="n"/>
      <c r="C23" s="6" t="n"/>
      <c r="D23" s="6" t="n">
        <v>228</v>
      </c>
      <c r="E23" s="6" t="n"/>
      <c r="F23" s="6" t="n">
        <v>228</v>
      </c>
    </row>
    <row r="24">
      <c r="A24" s="5" t="inlineStr">
        <is>
          <t>At 31 October 2025</t>
        </is>
      </c>
      <c r="B24" s="5" t="n">
        <v>629878</v>
      </c>
      <c r="C24" s="5" t="n">
        <v>638244</v>
      </c>
      <c r="D24" s="5" t="n">
        <v>598</v>
      </c>
      <c r="E24" s="5" t="n">
        <v>157985</v>
      </c>
      <c r="F24" s="5" t="n">
        <v>1426705</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TD Bank Europe Limited — Cash Flow Statement</t>
        </is>
      </c>
    </row>
    <row r="2">
      <c r="A2" s="2" t="inlineStr">
        <is>
          <t>Pillar-3-only build: no cash-flow statement published under the entity's applicable exemption.</t>
        </is>
      </c>
    </row>
    <row r="3">
      <c r="A3" s="4" t="inlineStr">
        <is>
          <t>Line item</t>
        </is>
      </c>
      <c r="B3" s="4" t="inlineStr">
        <is>
          <t>FY2025 (not disclosed)</t>
        </is>
      </c>
      <c r="C3" s="4" t="inlineStr">
        <is>
          <t>FY2024 (not disclosed)</t>
        </is>
      </c>
      <c r="D3" s="4" t="inlineStr">
        <is>
          <t>FY2023 (not disclosed)</t>
        </is>
      </c>
      <c r="E3" s="4" t="inlineStr">
        <is>
          <t>FY2022 (not disclosed)</t>
        </is>
      </c>
      <c r="F3" s="4" t="inlineStr">
        <is>
          <t>FY2021 (not disclosed)</t>
        </is>
      </c>
    </row>
    <row r="4">
      <c r="A4" s="5" t="inlineStr">
        <is>
          <t>No Statement of Cash Flows is published by this entity</t>
        </is>
      </c>
      <c r="B4" s="6" t="n"/>
      <c r="C4" s="6" t="n"/>
      <c r="D4" s="6" t="n"/>
      <c r="E4" s="6" t="n"/>
      <c r="F4" s="6" t="n"/>
    </row>
    <row r="6" ht="190" customHeight="1">
      <c r="A6" s="8" t="inlineStr">
        <is>
          <t>No Statement of Cash Flows is included because TD Bank Europe Limited's published accounts take the applicable cash-flow-statement exemption. This workbook is therefore Pillar-3-only for quantitative purposes. Entity and filing identity: https://find-and-update.company-information.service.gov.uk/company/02734652/filing-history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TD Bank Europe Limited — Asset Quality</t>
        </is>
      </c>
    </row>
    <row r="2">
      <c r="A2" s="2" t="inlineStr">
        <is>
          <t>Entity/Company basis, CAD'000 unless noted.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Credit-risk-bearing balance sheet exposure by category</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Loans and advances to banks</t>
        </is>
      </c>
      <c r="B6" s="6" t="n">
        <v>512755</v>
      </c>
      <c r="C6" s="6" t="n">
        <v>1310183</v>
      </c>
      <c r="D6" s="6" t="n">
        <v>319740</v>
      </c>
      <c r="E6" s="6" t="n">
        <v>285427</v>
      </c>
      <c r="F6" s="6" t="n">
        <v>293637</v>
      </c>
    </row>
    <row r="7">
      <c r="A7" s="6" t="inlineStr">
        <is>
          <t>Loans and advances to customers, net of allowance for credit losses</t>
        </is>
      </c>
      <c r="B7" s="6" t="n"/>
      <c r="C7" s="6" t="n"/>
      <c r="D7" s="6" t="n">
        <v>22977</v>
      </c>
      <c r="E7" s="6" t="n">
        <v>70648</v>
      </c>
      <c r="F7" s="6" t="n">
        <v>176208</v>
      </c>
    </row>
    <row r="8">
      <c r="A8" s="6" t="inlineStr">
        <is>
          <t>Debt securities at amortised cost, net of allowance for credit losses</t>
        </is>
      </c>
      <c r="B8" s="6" t="n">
        <v>23455915</v>
      </c>
      <c r="C8" s="6" t="n">
        <v>21297771</v>
      </c>
      <c r="D8" s="6" t="n">
        <v>21193385</v>
      </c>
      <c r="E8" s="6" t="n">
        <v>19221927</v>
      </c>
      <c r="F8" s="6" t="n">
        <v>16375260</v>
      </c>
    </row>
    <row r="9">
      <c r="A9" s="5" t="inlineStr">
        <is>
          <t>Total in-scope credit exposure (excludes derivatives, fixed assets, tax and other non-credit assets)</t>
        </is>
      </c>
      <c r="B9" s="5" t="n">
        <v>24132281</v>
      </c>
      <c r="C9" s="5" t="n">
        <v>23568532</v>
      </c>
      <c r="D9" s="5" t="n">
        <v>21672399</v>
      </c>
      <c r="E9" s="5" t="n">
        <v>21122036</v>
      </c>
      <c r="F9" s="5" t="n">
        <v>18754617</v>
      </c>
    </row>
    <row r="10">
      <c r="A10" s="5" t="inlineStr">
        <is>
          <t>Expected credit loss (ECL) allowance by category - all Stage 1 throughout</t>
        </is>
      </c>
      <c r="B10" s="6" t="n"/>
      <c r="C10" s="6" t="n"/>
      <c r="D10" s="6" t="n"/>
      <c r="E10" s="6" t="n"/>
      <c r="F10" s="6" t="n"/>
    </row>
    <row r="11">
      <c r="A11" s="6" t="inlineStr">
        <is>
          <t>Cash and balances at central banks - ECL allowance</t>
        </is>
      </c>
      <c r="B11" s="6" t="n">
        <v>0</v>
      </c>
      <c r="C11" s="6" t="n">
        <v>0</v>
      </c>
      <c r="D11" s="6" t="n">
        <v>0</v>
      </c>
      <c r="E11" s="6" t="n">
        <v>0</v>
      </c>
      <c r="F11" s="6" t="n">
        <v>0</v>
      </c>
    </row>
    <row r="12">
      <c r="A12" s="6" t="inlineStr">
        <is>
          <t>Loans and advances to banks - ECL allowance</t>
        </is>
      </c>
      <c r="B12" s="6" t="n">
        <v>0</v>
      </c>
      <c r="C12" s="6" t="n">
        <v>0</v>
      </c>
      <c r="D12" s="6" t="n">
        <v>0</v>
      </c>
      <c r="E12" s="6" t="n">
        <v>0</v>
      </c>
      <c r="F12" s="6" t="n">
        <v>0</v>
      </c>
    </row>
    <row r="13">
      <c r="A13" s="6" t="inlineStr">
        <is>
          <t>Loans and advances to customers - ECL allowance</t>
        </is>
      </c>
      <c r="B13" s="6" t="n"/>
      <c r="C13" s="6" t="n"/>
      <c r="D13" s="6" t="n">
        <v>21</v>
      </c>
      <c r="E13" s="6" t="n">
        <v>12</v>
      </c>
      <c r="F13" s="6" t="n">
        <v>68</v>
      </c>
    </row>
    <row r="14">
      <c r="A14" s="6" t="inlineStr">
        <is>
          <t>Debt securities at amortised cost - ECL allowance (provision for credit losses)</t>
        </is>
      </c>
      <c r="B14" s="6" t="n">
        <v>314</v>
      </c>
      <c r="C14" s="6" t="n">
        <v>289</v>
      </c>
      <c r="D14" s="6" t="n">
        <v>170</v>
      </c>
      <c r="E14" s="6" t="n">
        <v>36</v>
      </c>
      <c r="F14" s="6" t="n">
        <v>112</v>
      </c>
    </row>
    <row r="15">
      <c r="A15" s="5" t="inlineStr">
        <is>
          <t>Credit quality</t>
        </is>
      </c>
      <c r="B15" s="6" t="n"/>
      <c r="C15" s="6" t="n"/>
      <c r="D15" s="6" t="n"/>
      <c r="E15" s="6" t="n"/>
      <c r="F15" s="6" t="n"/>
    </row>
    <row r="16">
      <c r="A16" s="6" t="inlineStr">
        <is>
          <t>Stage 1 (performing) share of in-scope credit exposure</t>
        </is>
      </c>
      <c r="B16" s="6" t="inlineStr">
        <is>
          <t>100%</t>
        </is>
      </c>
      <c r="C16" s="6" t="inlineStr">
        <is>
          <t>100%</t>
        </is>
      </c>
      <c r="D16" s="6" t="inlineStr">
        <is>
          <t>100%</t>
        </is>
      </c>
      <c r="E16" s="6" t="inlineStr">
        <is>
          <t>100%</t>
        </is>
      </c>
      <c r="F16" s="6" t="inlineStr">
        <is>
          <t>100%</t>
        </is>
      </c>
    </row>
    <row r="18" ht="340" customHeight="1">
      <c r="A18"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1269</v>
      </c>
      <c r="C4" s="6" t="n">
        <v>1206</v>
      </c>
      <c r="D4" s="6" t="n">
        <v>1159</v>
      </c>
      <c r="E4" s="6" t="n">
        <v>1103</v>
      </c>
      <c r="F4" s="6" t="n">
        <v>1050</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1269</v>
      </c>
      <c r="C4" s="6" t="n">
        <v>1206</v>
      </c>
      <c r="D4" s="6" t="n">
        <v>1159</v>
      </c>
      <c r="E4" s="6" t="n">
        <v>1103</v>
      </c>
      <c r="F4" s="6" t="n">
        <v>1050</v>
      </c>
    </row>
    <row r="5" ht="60" customHeight="1">
      <c r="A5" s="7" t="inlineStr">
        <is>
          <t>Note: TDBEL reports no AT1 capital; Tier 1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1269</v>
      </c>
      <c r="C4" s="6" t="n">
        <v>1206</v>
      </c>
      <c r="D4" s="6" t="n">
        <v>1159</v>
      </c>
      <c r="E4" s="6" t="n">
        <v>1103</v>
      </c>
      <c r="F4" s="6" t="n">
        <v>1050</v>
      </c>
    </row>
    <row r="5" ht="60" customHeight="1">
      <c r="A5" s="7" t="inlineStr">
        <is>
          <t>Note: TDBEL reports no AT1 or Tier 2 capital; total capital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RWAs</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801</v>
      </c>
      <c r="C4" s="6" t="n">
        <v>805</v>
      </c>
      <c r="D4" s="6" t="n">
        <v>1635</v>
      </c>
      <c r="E4" s="6" t="n">
        <v>1261</v>
      </c>
      <c r="F4" s="6" t="n">
        <v>1096</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RWA Breakdown</t>
        </is>
      </c>
    </row>
    <row r="2">
      <c r="A2" s="2" t="inlineStr">
        <is>
          <t>CAD MM, Pillar 3 UK OV1-style category split (Table 4: Capital requirements and risk weighted assets).</t>
        </is>
      </c>
    </row>
    <row r="3">
      <c r="A3" s="4" t="inlineStr">
        <is>
          <t>Line item</t>
        </is>
      </c>
      <c r="B3" s="4" t="inlineStr">
        <is>
          <t>FY2025 (CAD MM)</t>
        </is>
      </c>
      <c r="C3" s="4" t="inlineStr">
        <is>
          <t>FY2024 (CAD MM)</t>
        </is>
      </c>
      <c r="D3" s="4" t="inlineStr">
        <is>
          <t>FY2023 (CAD MM)</t>
        </is>
      </c>
      <c r="E3" s="4" t="inlineStr">
        <is>
          <t>FY2022 (CAD MM)</t>
        </is>
      </c>
      <c r="F3" s="4" t="inlineStr">
        <is>
          <t>FY2021 (CAD MM)</t>
        </is>
      </c>
    </row>
    <row r="4">
      <c r="A4" s="5" t="inlineStr">
        <is>
          <t>Risk-weighted assets by category</t>
        </is>
      </c>
      <c r="B4" s="6" t="n"/>
      <c r="C4" s="6" t="n"/>
      <c r="D4" s="6" t="n"/>
      <c r="E4" s="6" t="n"/>
      <c r="F4" s="6" t="n"/>
    </row>
    <row r="5">
      <c r="A5" s="6" t="inlineStr">
        <is>
          <t>Credit Risk (including counterparty credit risk)</t>
        </is>
      </c>
      <c r="B5" s="6" t="n">
        <v>262</v>
      </c>
      <c r="C5" s="6" t="n">
        <v>286</v>
      </c>
      <c r="D5" s="6" t="n">
        <v>427</v>
      </c>
      <c r="E5" s="6" t="n">
        <v>705</v>
      </c>
      <c r="F5" s="6" t="n"/>
    </row>
    <row r="6">
      <c r="A6" s="6" t="inlineStr">
        <is>
          <t>Market Risk</t>
        </is>
      </c>
      <c r="B6" s="6" t="n">
        <v>349</v>
      </c>
      <c r="C6" s="6" t="n">
        <v>317</v>
      </c>
      <c r="D6" s="6" t="n">
        <v>1012</v>
      </c>
      <c r="E6" s="6" t="n">
        <v>386</v>
      </c>
      <c r="F6" s="6" t="n"/>
    </row>
    <row r="7">
      <c r="A7" s="6" t="inlineStr">
        <is>
          <t>CVA Risk</t>
        </is>
      </c>
      <c r="B7" s="6" t="n">
        <v>30</v>
      </c>
      <c r="C7" s="6" t="n">
        <v>42</v>
      </c>
      <c r="D7" s="6" t="n">
        <v>38</v>
      </c>
      <c r="E7" s="6" t="n">
        <v>42</v>
      </c>
      <c r="F7" s="6" t="n"/>
    </row>
    <row r="8">
      <c r="A8" s="6" t="inlineStr">
        <is>
          <t>Operational Risk</t>
        </is>
      </c>
      <c r="B8" s="6" t="n">
        <v>160</v>
      </c>
      <c r="C8" s="6" t="n">
        <v>160</v>
      </c>
      <c r="D8" s="6" t="n">
        <v>158</v>
      </c>
      <c r="E8" s="6" t="n">
        <v>128</v>
      </c>
      <c r="F8" s="6" t="n"/>
    </row>
    <row r="9">
      <c r="A9" s="6" t="inlineStr">
        <is>
          <t>Large Exposure</t>
        </is>
      </c>
      <c r="B9" s="6" t="n">
        <v>0</v>
      </c>
      <c r="C9" s="6" t="n">
        <v>0</v>
      </c>
      <c r="D9" s="6" t="n">
        <v>0</v>
      </c>
      <c r="E9" s="6" t="n">
        <v>0</v>
      </c>
      <c r="F9" s="6" t="n"/>
    </row>
    <row r="10">
      <c r="A10" s="5" t="inlineStr">
        <is>
          <t>Total risk-weighted exposure amount</t>
        </is>
      </c>
      <c r="B10" s="5" t="n">
        <v>801</v>
      </c>
      <c r="C10" s="5" t="n">
        <v>805</v>
      </c>
      <c r="D10" s="5" t="n">
        <v>1635</v>
      </c>
      <c r="E10" s="5" t="n">
        <v>1261</v>
      </c>
      <c r="F10" s="5" t="n">
        <v>1096</v>
      </c>
    </row>
    <row r="12" ht="310" customHeight="1">
      <c r="A12"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FY2021's category-level RWA split is a genuine access gap, not an omission. Checked directly: Table 4 (Capital requirements and risk weighted assets) - the actual source table for this sheet - carries no prior-year comparative column in ANY TDBEL Pillar 3 vintage reviewed. The FY2022 report's Table 4 (p.14) shows only the FY2022 column; the FY2023 report's Table 4 (p.14) shows only the FY2023 column (not even FY2022). This is unlike Tables 2, 3, 6 and 7 in the same reports (Capital Ratio, Capital Resources, CCyB Requirement, Leverage Ratio), which do carry a one-year-prior comparative - so Table 4 specifically has never published a FY2021 category split, in the FY2022 report or anywhere else. The FY2022 report's Appendix 1 Table 21 (Key Metrics) and Table 6 (CCyB Requirement) do give the FY2021 Total risk-weighted exposure amount (CAD1,096MM, already on file in the Total RWAs sheet) as a single comparative figure, but with no category breakdown - consistent with the entity note that FY2021 was disclosed under a different consolidated entity's Pillar 3 report at the time. Category rows are correctly left blank for FY2021.
"Large Exposure" is included as its own category (reported as CAD0MM/nil every year) because the source's own Table 4 lists it as a fifth RWA component alongside Credit Risk, Market Risk, CVA Risk and Operational Risk.
The "Credit Risk (including CCR)" category's own sub-breakdown (by exposure class - Institutions, Covered Bonds, and Corporates until the FY2024 wind-down) changes composition year to year as the corporate lending book runs off; only the category-level total is shown here for a consistent 5-year row.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Leverage Ratio</t>
        </is>
      </c>
    </row>
    <row r="2">
      <c r="A2" s="2" t="inlineStr">
        <is>
          <t>CAD MM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25214</v>
      </c>
      <c r="C4" s="6" t="n">
        <v>23692</v>
      </c>
      <c r="D4" s="6" t="n">
        <v>23004</v>
      </c>
      <c r="E4" s="6" t="n">
        <v>23408</v>
      </c>
      <c r="F4" s="6" t="n">
        <v>20484</v>
      </c>
    </row>
    <row r="5">
      <c r="A5" s="6" t="inlineStr">
        <is>
          <t>Leverage ratio excluding claims on central banks</t>
        </is>
      </c>
      <c r="B5" s="6" t="inlineStr">
        <is>
          <t>5.0%</t>
        </is>
      </c>
      <c r="C5" s="6" t="inlineStr">
        <is>
          <t>5.1%</t>
        </is>
      </c>
      <c r="D5" s="6" t="inlineStr">
        <is>
          <t>5.0%</t>
        </is>
      </c>
      <c r="E5" s="6" t="inlineStr">
        <is>
          <t>4.7%</t>
        </is>
      </c>
      <c r="F5" s="6" t="inlineStr">
        <is>
          <t>5.1%</t>
        </is>
      </c>
    </row>
    <row r="6" ht="60" customHeight="1">
      <c r="A6"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8" ht="250" customHeight="1">
      <c r="A8"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4039%</t>
        </is>
      </c>
      <c r="C4" s="6" t="inlineStr">
        <is>
          <t>3170%</t>
        </is>
      </c>
      <c r="D4" s="6" t="inlineStr">
        <is>
          <t>2575%</t>
        </is>
      </c>
      <c r="E4" s="6" t="inlineStr">
        <is>
          <t>29989%</t>
        </is>
      </c>
      <c r="F4" s="6" t="inlineStr">
        <is>
          <t>18136%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5467%</t>
        </is>
      </c>
      <c r="C4" s="6" t="inlineStr">
        <is>
          <t>5240%</t>
        </is>
      </c>
      <c r="D4" s="6" t="inlineStr">
        <is>
          <t>6804%</t>
        </is>
      </c>
      <c r="E4" s="6" t="inlineStr">
        <is>
          <t>8307%</t>
        </is>
      </c>
      <c r="F4" s="6" t="inlineStr">
        <is>
          <t>800%</t>
        </is>
      </c>
    </row>
    <row r="5" ht="60" customHeight="1">
      <c r="A5" s="7" t="inlineStr">
        <is>
          <t>Note: The FY2025 report's introductory key-metrics table states 5,820% for FY2025, while Appendix 1 Table 21 states 5,467%; this workbook uses the Appendix 1 value and preserves the discrepancy in this 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MREL ratio was identified in the reviewed 2021 comparative or FY2022-FY2025 TD Bank Europe Pillar 3 reports.</t>
        </is>
      </c>
    </row>
    <row r="7" ht="1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2026-09-04T07:10:20Z</dcterms:created>
  <dcterms:modified xmlns:dcterms="http://purl.org/dc/terms/" xmlns:xsi="http://www.w3.org/2001/XMLSchema-instance" xsi:type="dcterms:W3CDTF">2026-09-04T07:10:20Z</dcterms:modified>
</cp:coreProperties>
</file>