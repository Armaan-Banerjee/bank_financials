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7B7"/>
        <bgColor rgb="000057B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Bank of the Philippine Islands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'Overview'!Q8</f>
            </strRef>
          </tx>
          <spPr>
            <a:ln>
              <a:prstDash val="solid"/>
            </a:ln>
          </spPr>
          <marker>
            <symbol val="none"/>
            <spPr>
              <a:ln>
                <a:prstDash val="solid"/>
              </a:ln>
            </spPr>
          </marker>
          <cat>
            <numRef>
              <f>'Overview'!$R$7:$V$7</f>
            </numRef>
          </cat>
          <val>
            <numRef>
              <f>'Overview'!$R$8:$V$8</f>
            </numRef>
          </val>
          <smooth val="0"/>
        </ser>
        <ser>
          <idx val="1"/>
          <order val="1"/>
          <tx>
            <strRef>
              <f>'Overview'!Q9</f>
            </strRef>
          </tx>
          <spPr>
            <a:ln>
              <a:prstDash val="solid"/>
            </a:ln>
          </spPr>
          <marker>
            <symbol val="none"/>
            <spPr>
              <a:ln>
                <a:prstDash val="solid"/>
              </a:ln>
            </spPr>
          </marker>
          <cat>
            <numRef>
              <f>'Overview'!$R$7:$V$7</f>
            </numRef>
          </cat>
          <val>
            <numRef>
              <f>'Overview'!$R$9:$V$9</f>
            </numRef>
          </val>
          <smooth val="0"/>
        </ser>
        <ser>
          <idx val="2"/>
          <order val="2"/>
          <tx>
            <strRef>
              <f>'Overview'!Q10</f>
            </strRef>
          </tx>
          <spPr>
            <a:ln>
              <a:prstDash val="solid"/>
            </a:ln>
          </spPr>
          <marker>
            <symbol val="none"/>
            <spPr>
              <a:ln>
                <a:prstDash val="solid"/>
              </a:ln>
            </spPr>
          </marker>
          <cat>
            <numRef>
              <f>'Overview'!$R$7:$V$7</f>
            </numRef>
          </cat>
          <val>
            <numRef>
              <f>'Overview'!$R$10:$V$10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864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Bank of the Philippine Islands (Europe) PLC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FY2025</t>
        </is>
      </c>
      <c r="C7" s="4" t="inlineStr">
        <is>
          <t>FY2024</t>
        </is>
      </c>
      <c r="D7" s="4" t="inlineStr">
        <is>
          <t>FY2023</t>
        </is>
      </c>
      <c r="E7" s="4" t="inlineStr">
        <is>
          <t>FY2022</t>
        </is>
      </c>
      <c r="F7" s="4" t="inlineStr">
        <is>
          <t>FY2021</t>
        </is>
      </c>
      <c r="R7" t="inlineStr">
        <is>
          <t>FY2021</t>
        </is>
      </c>
      <c r="S7" t="inlineStr">
        <is>
          <t>FY2022</t>
        </is>
      </c>
      <c r="T7" t="inlineStr">
        <is>
          <t>FY2023</t>
        </is>
      </c>
      <c r="U7" t="inlineStr">
        <is>
          <t>FY2024</t>
        </is>
      </c>
      <c r="V7" t="inlineStr">
        <is>
          <t>FY2025</t>
        </is>
      </c>
    </row>
    <row r="8">
      <c r="A8" s="5" t="inlineStr">
        <is>
          <t>Total Capital Ratio</t>
        </is>
      </c>
      <c r="B8" s="5" t="inlineStr">
        <is>
          <t>56.29%</t>
        </is>
      </c>
      <c r="C8" s="5" t="inlineStr">
        <is>
          <t>61.59%</t>
        </is>
      </c>
      <c r="D8" s="5" t="inlineStr">
        <is>
          <t>68.24%</t>
        </is>
      </c>
      <c r="E8" s="5" t="inlineStr">
        <is>
          <t>60.19%</t>
        </is>
      </c>
      <c r="F8" s="5" t="inlineStr">
        <is>
          <t>76.79%</t>
        </is>
      </c>
      <c r="Q8" t="inlineStr">
        <is>
          <t>Total Capital Ratio</t>
        </is>
      </c>
      <c r="R8" t="n">
        <v>76.79000000000001</v>
      </c>
      <c r="S8" t="n">
        <v>60.19</v>
      </c>
      <c r="T8" t="n">
        <v>68.23999999999999</v>
      </c>
      <c r="U8" t="n">
        <v>61.59</v>
      </c>
      <c r="V8" t="n">
        <v>56.29</v>
      </c>
    </row>
    <row r="9">
      <c r="A9" s="5" t="inlineStr">
        <is>
          <t>LCR</t>
        </is>
      </c>
      <c r="B9" s="5" t="inlineStr">
        <is>
          <t>206%</t>
        </is>
      </c>
      <c r="C9" s="5" t="inlineStr">
        <is>
          <t>329%</t>
        </is>
      </c>
      <c r="D9" s="5" t="inlineStr">
        <is>
          <t>410%</t>
        </is>
      </c>
      <c r="E9" s="5" t="inlineStr">
        <is>
          <t>166%</t>
        </is>
      </c>
      <c r="F9" s="5" t="inlineStr">
        <is>
          <t>224%</t>
        </is>
      </c>
      <c r="Q9" t="inlineStr">
        <is>
          <t>LCR</t>
        </is>
      </c>
      <c r="R9" t="n">
        <v>224</v>
      </c>
      <c r="S9" t="n">
        <v>166</v>
      </c>
      <c r="T9" t="n">
        <v>410</v>
      </c>
      <c r="U9" t="n">
        <v>329</v>
      </c>
      <c r="V9" t="n">
        <v>206</v>
      </c>
    </row>
    <row r="10">
      <c r="A10" s="5" t="inlineStr">
        <is>
          <t>NSFR</t>
        </is>
      </c>
      <c r="B10" s="5" t="inlineStr">
        <is>
          <t>154%</t>
        </is>
      </c>
      <c r="C10" s="5" t="inlineStr">
        <is>
          <t>163%</t>
        </is>
      </c>
      <c r="D10" s="5" t="inlineStr">
        <is>
          <t>117%</t>
        </is>
      </c>
      <c r="E10" s="5" t="inlineStr">
        <is>
          <t>119%</t>
        </is>
      </c>
      <c r="F10" s="5" t="n"/>
      <c r="Q10" t="inlineStr">
        <is>
          <t>NSFR</t>
        </is>
      </c>
      <c r="S10" t="n">
        <v>119</v>
      </c>
      <c r="T10" t="n">
        <v>117</v>
      </c>
      <c r="U10" t="n">
        <v>163</v>
      </c>
      <c r="V10" t="n">
        <v>154</v>
      </c>
    </row>
    <row r="12" ht="45" customHeight="1">
      <c r="A12" s="6" t="inlineStr">
        <is>
          <t>Note: This is a PILLAR-3-ONLY workbook: BPI Europe takes the FRS 102 cash-flow-statement exemption every year (see the Cash Flow Statement sheet), so no cash flow summary or chart is shown here. Also note a genuine mid-series functional-currency change (GBP through FY2022, USD from FY2023) - monetary (£'000) figures on the capital/RWA sheets are on a mixed native/converted basis across the window; see each sheet's own source note and the CURRENCY note there for the exact treatment. % ratios are unaffected by the currency change.</t>
        </is>
      </c>
    </row>
  </sheetData>
  <mergeCells count="1">
    <mergeCell ref="A12:F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Cash Flow Statement</t>
        </is>
      </c>
    </row>
    <row r="2">
      <c r="A2" s="2" t="inlineStr">
        <is>
          <t>Not applicable — this entity takes the FRS 102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7" t="inlineStr">
        <is>
          <t>No Statement of Cash Flows is published by this entity in any year</t>
        </is>
      </c>
      <c r="B4" s="5" t="n"/>
      <c r="C4" s="5" t="n"/>
      <c r="D4" s="5" t="n"/>
      <c r="E4" s="5" t="n"/>
      <c r="F4" s="5" t="n"/>
    </row>
    <row r="5">
      <c r="A5" s="5" t="inlineStr">
        <is>
          <t>See the note below for the FRS 102 exemption this entity relies on every year, and why this workbook is built as a Pillar-3-only variant.</t>
        </is>
      </c>
      <c r="B5" s="5" t="n"/>
      <c r="C5" s="5" t="n"/>
      <c r="D5" s="5" t="n"/>
      <c r="E5" s="5" t="n"/>
      <c r="F5" s="5" t="n"/>
    </row>
    <row r="7" ht="320" customHeight="1">
      <c r="A7"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FRS 102 CASH-FLOW EXEMPTION: the FY2025 Annual Report's Note 3(c) "Exemptions for qualifying entities under FRS 102" states: "In preparing these financial statements, BPI Europe has taken advantage of the disclosure exemption on the requirement of Section 7 Statement of Cash Flows, as permitted by FRS 102... The Bank is wholly-owned by BPI, a bank incorporated in the Republic of the Philippines and which publishes a consolidated Cash Flow Statement, Balance Sheet, and Income Statement" - Bank of the Philippine Islands (Europe) PLC Annual Report FY2025, Note 3(c), p.38 - https://find-and-update.company-information.service.gov.uk/company/05888535/filing-history/MzUyMDczNTAwM2FkaXF6a2N4/document?format=pdf&amp;download=0. The Independent Auditor's Report (p.25) confirms the audited primary statements comprise only the Profit and Loss Account, the Balance Sheet, and the Statement of Movement in Shareholder's Funds. Per the project's established policy for this exemption,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Capital</t>
        </is>
      </c>
      <c r="B4" s="5" t="n">
        <v>90882</v>
      </c>
      <c r="C4" s="5" t="n">
        <v>97392</v>
      </c>
      <c r="D4" s="5" t="n">
        <v>95615</v>
      </c>
      <c r="E4" s="5" t="n">
        <v>101839</v>
      </c>
      <c r="F4" s="5"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5" t="inlineStr">
        <is>
          <t>CET1 Capital Ratio</t>
        </is>
      </c>
      <c r="B4" s="5" t="inlineStr">
        <is>
          <t>56.29%</t>
        </is>
      </c>
      <c r="C4" s="5" t="inlineStr">
        <is>
          <t>61.59%</t>
        </is>
      </c>
      <c r="D4" s="5" t="inlineStr">
        <is>
          <t>68.24%</t>
        </is>
      </c>
      <c r="E4" s="5" t="inlineStr">
        <is>
          <t>60.19%</t>
        </is>
      </c>
      <c r="F4" s="5" t="inlineStr">
        <is>
          <t>76.79%</t>
        </is>
      </c>
    </row>
    <row r="5" ht="60" customHeight="1">
      <c r="A5" s="6" t="inlineStr">
        <is>
          <t>Note: CET1 = Tier 1 = Total Capital every year - the Bank holds no AT1 or Tier 2 instruments.</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t>
        </is>
      </c>
      <c r="B4" s="5" t="n">
        <v>90882</v>
      </c>
      <c r="C4" s="5" t="n">
        <v>97392</v>
      </c>
      <c r="D4" s="5" t="n">
        <v>95615</v>
      </c>
      <c r="E4" s="5" t="n">
        <v>101839</v>
      </c>
      <c r="F4" s="5"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 Ratio</t>
        </is>
      </c>
      <c r="B4" s="5" t="inlineStr">
        <is>
          <t>56.29%</t>
        </is>
      </c>
      <c r="C4" s="5" t="inlineStr">
        <is>
          <t>61.59%</t>
        </is>
      </c>
      <c r="D4" s="5" t="inlineStr">
        <is>
          <t>68.24%</t>
        </is>
      </c>
      <c r="E4" s="5" t="inlineStr">
        <is>
          <t>60.19%</t>
        </is>
      </c>
      <c r="F4" s="5"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5" t="inlineStr">
        <is>
          <t>Own Funds / Total Capital</t>
        </is>
      </c>
      <c r="B4" s="5" t="n">
        <v>90882</v>
      </c>
      <c r="C4" s="5" t="n">
        <v>97392</v>
      </c>
      <c r="D4" s="5" t="n">
        <v>95615</v>
      </c>
      <c r="E4" s="5" t="n">
        <v>101839</v>
      </c>
      <c r="F4" s="5"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 Ratio</t>
        </is>
      </c>
      <c r="B4" s="5" t="inlineStr">
        <is>
          <t>56.29%</t>
        </is>
      </c>
      <c r="C4" s="5" t="inlineStr">
        <is>
          <t>61.59%</t>
        </is>
      </c>
      <c r="D4" s="5" t="inlineStr">
        <is>
          <t>68.24%</t>
        </is>
      </c>
      <c r="E4" s="5" t="inlineStr">
        <is>
          <t>60.19%</t>
        </is>
      </c>
      <c r="F4" s="5"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RWAs</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Credit Risk-Weighted Assets (CRWA)</t>
        </is>
      </c>
      <c r="B4" s="5" t="n">
        <v>150420</v>
      </c>
      <c r="C4" s="5" t="n">
        <v>146618</v>
      </c>
      <c r="D4" s="5" t="n">
        <v>128792</v>
      </c>
      <c r="E4" s="5" t="n">
        <v>152940</v>
      </c>
      <c r="F4" s="5" t="n">
        <v>119123</v>
      </c>
    </row>
    <row r="5">
      <c r="A5" s="5" t="inlineStr">
        <is>
          <t>Total Market Risk-Weighted Assets (MRWA)</t>
        </is>
      </c>
      <c r="B5" s="5" t="n">
        <v>6330</v>
      </c>
      <c r="C5" s="5" t="n">
        <v>6942</v>
      </c>
      <c r="D5" s="5" t="n">
        <v>6806</v>
      </c>
      <c r="E5" s="5" t="n">
        <v>11838</v>
      </c>
      <c r="F5" s="5" t="n">
        <v>8938</v>
      </c>
    </row>
    <row r="6">
      <c r="A6" s="5" t="inlineStr">
        <is>
          <t>Total Operational Risk-Weighted Assets (ORWA)</t>
        </is>
      </c>
      <c r="B6" s="5" t="n">
        <v>4703</v>
      </c>
      <c r="C6" s="5" t="n">
        <v>4575</v>
      </c>
      <c r="D6" s="5" t="n">
        <v>4516</v>
      </c>
      <c r="E6" s="5" t="n">
        <v>4400</v>
      </c>
      <c r="F6" s="5" t="n">
        <v>4150</v>
      </c>
    </row>
    <row r="7">
      <c r="A7" s="5" t="inlineStr">
        <is>
          <t>Total Risk Exposure Amount</t>
        </is>
      </c>
      <c r="B7" s="5" t="n">
        <v>161454</v>
      </c>
      <c r="C7" s="5" t="n">
        <v>158135</v>
      </c>
      <c r="D7" s="5" t="n">
        <v>140114</v>
      </c>
      <c r="E7" s="5" t="n">
        <v>169178</v>
      </c>
      <c r="F7" s="5"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Leverage Ratio</t>
        </is>
      </c>
      <c r="B4" s="5" t="inlineStr">
        <is>
          <t>51.22%</t>
        </is>
      </c>
      <c r="C4" s="5" t="inlineStr">
        <is>
          <t>58.71%</t>
        </is>
      </c>
      <c r="D4" s="5" t="inlineStr">
        <is>
          <t>64.62%</t>
        </is>
      </c>
      <c r="E4" s="5" t="n"/>
      <c r="F4" s="5" t="n"/>
    </row>
    <row r="5" ht="60" customHeight="1">
      <c r="A5" s="6" t="inlineStr">
        <is>
          <t>Note: Not disclosed for FY2021/FY2022 in either Annual Report - left blank, not estimated.</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Liquidity Coverage Ratio (LCR)</t>
        </is>
      </c>
      <c r="B4" s="5" t="inlineStr">
        <is>
          <t>206%</t>
        </is>
      </c>
      <c r="C4" s="5" t="inlineStr">
        <is>
          <t>329%</t>
        </is>
      </c>
      <c r="D4" s="5" t="inlineStr">
        <is>
          <t>410%</t>
        </is>
      </c>
      <c r="E4" s="5" t="inlineStr">
        <is>
          <t>166%</t>
        </is>
      </c>
      <c r="F4" s="5" t="inlineStr">
        <is>
          <t>224%</t>
        </is>
      </c>
    </row>
    <row r="5" ht="60" customHeight="1">
      <c r="A5" s="6" t="inlineStr">
        <is>
          <t>Note: No £/$ HQLA/outflow breakdown is disclosed anywhere - only the ratio itself.</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Net Stable Funding Ratio (NSFR)</t>
        </is>
      </c>
      <c r="B4" s="5" t="inlineStr">
        <is>
          <t>154%</t>
        </is>
      </c>
      <c r="C4" s="5" t="inlineStr">
        <is>
          <t>163%</t>
        </is>
      </c>
      <c r="D4" s="5" t="inlineStr">
        <is>
          <t>117%</t>
        </is>
      </c>
      <c r="E4" s="5" t="inlineStr">
        <is>
          <t>119%</t>
        </is>
      </c>
      <c r="F4" s="5" t="n"/>
    </row>
    <row r="5" ht="60" customHeight="1">
      <c r="A5" s="6" t="inlineStr">
        <is>
          <t>Note: FY2021: not disclosed - the FY2021 and FY2022 Annual Reports both describe the Bank securing long-term borrowings "to comply with the requirements of Net Stable Funding Ratio (NSFR), ahead of its full implementation in 2022", i.e. NSFR was not yet a tracked/reported metric for FY2021.</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MREL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dedicated Pillar 3 document is published by this entity - all capital/liquidity figures come from each Annual Report's own Strategic Report narrative and Notes. This metric is not disclosed in any of the 5 Annual Reports checked (FY2021-FY2025).</t>
        </is>
      </c>
    </row>
    <row r="7" ht="15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2026-08-27T23:19:51Z</dcterms:created>
  <dcterms:modified xsi:type="dcterms:W3CDTF">2026-08-27T23:19:51Z</dcterms:modified>
</cp:coreProperties>
</file>