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F5597"/>
        <bgColor rgb="002F559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Oxbury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Oxbury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Oxbury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Oxbury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Oxbury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ser>
          <idx val="6"/>
          <order val="6"/>
          <tx>
            <strRef>
              <f>'Overview'!BD12</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'Overview'!$BE$12:$BL$12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Oxbury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3561908</v>
      </c>
      <c r="C6" s="5" t="n">
        <v>2526857</v>
      </c>
      <c r="D6" s="5" t="n">
        <v>1163925</v>
      </c>
      <c r="E6" s="5" t="n">
        <v>508358</v>
      </c>
      <c r="F6" s="5" t="n">
        <v>165817</v>
      </c>
      <c r="G6" s="5" t="n">
        <v>22663</v>
      </c>
      <c r="H6" s="5" t="n">
        <v>2145</v>
      </c>
      <c r="I6" s="5" t="n">
        <v>4037</v>
      </c>
      <c r="L6" t="inlineStr">
        <is>
          <t>Total Assets</t>
        </is>
      </c>
      <c r="M6" t="n">
        <v>4037</v>
      </c>
      <c r="N6" t="n">
        <v>2145</v>
      </c>
      <c r="O6" t="n">
        <v>22663</v>
      </c>
      <c r="P6" t="n">
        <v>165817</v>
      </c>
      <c r="Q6" t="n">
        <v>508358</v>
      </c>
      <c r="R6" t="n">
        <v>1163925</v>
      </c>
      <c r="S6" t="n">
        <v>2526857</v>
      </c>
      <c r="T6" t="n">
        <v>3561908</v>
      </c>
      <c r="BD6" t="inlineStr">
        <is>
          <t>CET1 Ratio</t>
        </is>
      </c>
      <c r="BH6" t="n">
        <v>23</v>
      </c>
      <c r="BI6" t="n">
        <v>16.16</v>
      </c>
      <c r="BJ6" t="n">
        <v>15.94</v>
      </c>
      <c r="BK6" t="n">
        <v>20.79</v>
      </c>
      <c r="BL6" t="n">
        <v>16.51</v>
      </c>
    </row>
    <row r="7">
      <c r="A7" s="5" t="inlineStr">
        <is>
          <t>Loans and Advances to Customers</t>
        </is>
      </c>
      <c r="B7" s="5" t="n">
        <v>1748444</v>
      </c>
      <c r="C7" s="5" t="n">
        <v>1021621</v>
      </c>
      <c r="D7" s="5" t="n">
        <v>605711</v>
      </c>
      <c r="E7" s="5" t="n">
        <v>349532</v>
      </c>
      <c r="F7" s="5" t="n">
        <v>110545</v>
      </c>
      <c r="G7" s="5" t="n">
        <v>0</v>
      </c>
      <c r="H7" s="5" t="n"/>
      <c r="I7" s="5" t="n"/>
      <c r="L7" t="inlineStr">
        <is>
          <t>Loans and Advances to Customers</t>
        </is>
      </c>
      <c r="O7" t="n">
        <v>0</v>
      </c>
      <c r="P7" t="n">
        <v>110545</v>
      </c>
      <c r="Q7" t="n">
        <v>349532</v>
      </c>
      <c r="R7" t="n">
        <v>605711</v>
      </c>
      <c r="S7" t="n">
        <v>1021621</v>
      </c>
      <c r="T7" t="n">
        <v>1748444</v>
      </c>
      <c r="BD7" t="inlineStr">
        <is>
          <t>Tier 1 Ratio</t>
        </is>
      </c>
      <c r="BH7" t="n">
        <v>23</v>
      </c>
      <c r="BI7" t="n">
        <v>16.16</v>
      </c>
      <c r="BJ7" t="n">
        <v>15.94</v>
      </c>
      <c r="BK7" t="n">
        <v>20.79</v>
      </c>
      <c r="BL7" t="n">
        <v>16.51</v>
      </c>
    </row>
    <row r="8">
      <c r="A8" s="5" t="inlineStr">
        <is>
          <t>Customer Deposits</t>
        </is>
      </c>
      <c r="B8" s="5" t="n">
        <v>3309014</v>
      </c>
      <c r="C8" s="5" t="n">
        <v>2350433</v>
      </c>
      <c r="D8" s="5" t="n">
        <v>1060658</v>
      </c>
      <c r="E8" s="5" t="n">
        <v>441918</v>
      </c>
      <c r="F8" s="5" t="n">
        <v>138217</v>
      </c>
      <c r="G8" s="5" t="n">
        <v>0</v>
      </c>
      <c r="H8" s="5" t="n"/>
      <c r="I8" s="5" t="n"/>
      <c r="L8" t="inlineStr">
        <is>
          <t>Customer Deposits</t>
        </is>
      </c>
      <c r="O8" t="n">
        <v>0</v>
      </c>
      <c r="P8" t="n">
        <v>138217</v>
      </c>
      <c r="Q8" t="n">
        <v>441918</v>
      </c>
      <c r="R8" t="n">
        <v>1060658</v>
      </c>
      <c r="S8" t="n">
        <v>2350433</v>
      </c>
      <c r="T8" t="n">
        <v>3309014</v>
      </c>
      <c r="BD8" t="inlineStr">
        <is>
          <t>Total Capital Ratio</t>
        </is>
      </c>
      <c r="BH8" t="n">
        <v>23</v>
      </c>
      <c r="BI8" t="n">
        <v>18.81</v>
      </c>
      <c r="BJ8" t="n">
        <v>19.27</v>
      </c>
      <c r="BK8" t="n">
        <v>23.35</v>
      </c>
      <c r="BL8" t="n">
        <v>19.39</v>
      </c>
    </row>
    <row r="9">
      <c r="A9" s="5" t="inlineStr">
        <is>
          <t>Total Equity</t>
        </is>
      </c>
      <c r="B9" s="5" t="n">
        <v>210279</v>
      </c>
      <c r="C9" s="5" t="n">
        <v>155307</v>
      </c>
      <c r="D9" s="5" t="n">
        <v>80667</v>
      </c>
      <c r="E9" s="5" t="n">
        <v>54158</v>
      </c>
      <c r="F9" s="5" t="n">
        <v>26398</v>
      </c>
      <c r="G9" s="5" t="n">
        <v>21900</v>
      </c>
      <c r="H9" s="5" t="n">
        <v>1468</v>
      </c>
      <c r="I9" s="5" t="n">
        <v>3752</v>
      </c>
      <c r="L9" t="inlineStr">
        <is>
          <t>Total Equity</t>
        </is>
      </c>
      <c r="M9" t="n">
        <v>3752</v>
      </c>
      <c r="N9" t="n">
        <v>1468</v>
      </c>
      <c r="O9" t="n">
        <v>21900</v>
      </c>
      <c r="P9" t="n">
        <v>26398</v>
      </c>
      <c r="Q9" t="n">
        <v>54158</v>
      </c>
      <c r="R9" t="n">
        <v>80667</v>
      </c>
      <c r="S9" t="n">
        <v>155307</v>
      </c>
      <c r="T9" t="n">
        <v>210279</v>
      </c>
      <c r="BD9" t="inlineStr">
        <is>
          <t>Leverage Ratio</t>
        </is>
      </c>
      <c r="BH9" t="n">
        <v>15</v>
      </c>
      <c r="BI9" t="n">
        <v>12.17</v>
      </c>
      <c r="BJ9" t="n">
        <v>10.69</v>
      </c>
      <c r="BK9" t="n">
        <v>12.66</v>
      </c>
      <c r="BL9" t="n">
        <v>9.4</v>
      </c>
    </row>
    <row r="10">
      <c r="BD10" t="inlineStr">
        <is>
          <t>LCR (Pillar 3, weighted-average basis)</t>
        </is>
      </c>
      <c r="BI10" t="n">
        <v>2132</v>
      </c>
      <c r="BJ10" t="n">
        <v>545.2</v>
      </c>
      <c r="BK10" t="n">
        <v>465.3</v>
      </c>
      <c r="BL10" t="n">
        <v>340.1</v>
      </c>
    </row>
    <row r="11">
      <c r="A11" s="3" t="inlineStr">
        <is>
          <t>Profit &amp; Loss Summary (£'000)</t>
        </is>
      </c>
      <c r="BD11" t="inlineStr">
        <is>
          <t>LCR (Annual Report KPI, point-in-time at 31 December)</t>
        </is>
      </c>
      <c r="BH11" t="n">
        <v>1090</v>
      </c>
      <c r="BI11" t="n">
        <v>2819</v>
      </c>
      <c r="BJ11" t="n">
        <v>614</v>
      </c>
      <c r="BK11" t="n">
        <v>460</v>
      </c>
      <c r="BL11" t="n">
        <v>296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c r="BD12" t="inlineStr">
        <is>
          <t>NSFR</t>
        </is>
      </c>
      <c r="BI12" t="n">
        <v>149.1</v>
      </c>
      <c r="BJ12" t="n">
        <v>201.1</v>
      </c>
      <c r="BK12" t="n">
        <v>262.7</v>
      </c>
      <c r="BL12" t="n">
        <v>160.6</v>
      </c>
    </row>
    <row r="13">
      <c r="A13" s="5" t="inlineStr">
        <is>
          <t>Total Net Income</t>
        </is>
      </c>
      <c r="B13" s="5" t="n">
        <v>47405</v>
      </c>
      <c r="C13" s="5" t="n">
        <v>31303</v>
      </c>
      <c r="D13" s="5" t="n">
        <v>19394</v>
      </c>
      <c r="E13" s="5" t="n">
        <v>5643</v>
      </c>
      <c r="F13" s="5" t="n">
        <v>352</v>
      </c>
      <c r="G13" s="5" t="n">
        <v>24</v>
      </c>
      <c r="H13" s="5" t="n">
        <v>0</v>
      </c>
      <c r="I13" s="5" t="n">
        <v>0</v>
      </c>
      <c r="W13" t="inlineStr">
        <is>
          <t>Total Net Income</t>
        </is>
      </c>
      <c r="X13" t="n">
        <v>0</v>
      </c>
      <c r="Y13" t="n">
        <v>0</v>
      </c>
      <c r="Z13" t="n">
        <v>24</v>
      </c>
      <c r="AA13" t="n">
        <v>352</v>
      </c>
      <c r="AB13" t="n">
        <v>5643</v>
      </c>
      <c r="AC13" t="n">
        <v>19394</v>
      </c>
      <c r="AD13" t="n">
        <v>31303</v>
      </c>
      <c r="AE13" t="n">
        <v>47405</v>
      </c>
    </row>
    <row r="14">
      <c r="A14" s="5" t="inlineStr">
        <is>
          <t>Staff Costs, Other Operating Expense &amp; Depreciation</t>
        </is>
      </c>
      <c r="B14" s="5" t="n">
        <v>-27952</v>
      </c>
      <c r="C14" s="5" t="n">
        <v>-20717</v>
      </c>
      <c r="D14" s="5" t="n">
        <v>-14634</v>
      </c>
      <c r="E14" s="5" t="n">
        <v>-10687</v>
      </c>
      <c r="F14" s="5" t="n">
        <v>-7730</v>
      </c>
      <c r="G14" s="5" t="n">
        <v>-4363</v>
      </c>
      <c r="H14" s="5" t="n">
        <v>-2296</v>
      </c>
      <c r="I14" s="5" t="n">
        <v>-742</v>
      </c>
      <c r="W14" t="inlineStr">
        <is>
          <t>Staff Costs, Other Operating Expense &amp; Depreciation</t>
        </is>
      </c>
      <c r="X14" t="n">
        <v>-742</v>
      </c>
      <c r="Y14" t="n">
        <v>-2296</v>
      </c>
      <c r="Z14" t="n">
        <v>-4363</v>
      </c>
      <c r="AA14" t="n">
        <v>-7730</v>
      </c>
      <c r="AB14" t="n">
        <v>-10687</v>
      </c>
      <c r="AC14" t="n">
        <v>-14634</v>
      </c>
      <c r="AD14" t="n">
        <v>-20717</v>
      </c>
      <c r="AE14" t="n">
        <v>-27952</v>
      </c>
    </row>
    <row r="15">
      <c r="A15" s="5" t="inlineStr">
        <is>
          <t>Profit/(Loss) from Ordinary Activities after tax</t>
        </is>
      </c>
      <c r="B15" s="5" t="n">
        <v>11920</v>
      </c>
      <c r="C15" s="5" t="n">
        <v>5863</v>
      </c>
      <c r="D15" s="5" t="n">
        <v>2314</v>
      </c>
      <c r="E15" s="5" t="n">
        <v>-344</v>
      </c>
      <c r="F15" s="5" t="n">
        <v>-7463</v>
      </c>
      <c r="G15" s="5" t="n">
        <v>-4056</v>
      </c>
      <c r="H15" s="5" t="n">
        <v>-2297</v>
      </c>
      <c r="I15" s="5" t="n">
        <v>-741</v>
      </c>
      <c r="W15" t="inlineStr">
        <is>
          <t>Profit/(Loss) from Ordinary Activities after tax</t>
        </is>
      </c>
      <c r="X15" t="n">
        <v>-741</v>
      </c>
      <c r="Y15" t="n">
        <v>-2297</v>
      </c>
      <c r="Z15" t="n">
        <v>-4056</v>
      </c>
      <c r="AA15" t="n">
        <v>-7463</v>
      </c>
      <c r="AB15" t="n">
        <v>-344</v>
      </c>
      <c r="AC15" t="n">
        <v>2314</v>
      </c>
      <c r="AD15" t="n">
        <v>5863</v>
      </c>
      <c r="AE15" t="n">
        <v>11920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155307</v>
      </c>
      <c r="C19" s="5" t="n">
        <v>80667</v>
      </c>
      <c r="D19" s="5" t="n">
        <v>54158</v>
      </c>
      <c r="E19" s="5" t="n">
        <v>26398</v>
      </c>
      <c r="F19" s="5" t="n">
        <v>21900</v>
      </c>
      <c r="G19" s="5" t="n">
        <v>1468</v>
      </c>
      <c r="H19" s="5" t="n">
        <v>3752</v>
      </c>
      <c r="I19" s="5" t="n">
        <v>0</v>
      </c>
      <c r="AH19" t="inlineStr">
        <is>
          <t>Opening equity</t>
        </is>
      </c>
      <c r="AI19" t="n">
        <v>0</v>
      </c>
      <c r="AJ19" t="n">
        <v>3752</v>
      </c>
      <c r="AK19" t="n">
        <v>1468</v>
      </c>
      <c r="AL19" t="n">
        <v>21900</v>
      </c>
      <c r="AM19" t="n">
        <v>26398</v>
      </c>
      <c r="AN19" t="n">
        <v>54158</v>
      </c>
      <c r="AO19" t="n">
        <v>80667</v>
      </c>
      <c r="AP19" t="n">
        <v>155307</v>
      </c>
    </row>
    <row r="20">
      <c r="A20" s="5" t="inlineStr">
        <is>
          <t>Total comprehensive profit/(loss) for the year</t>
        </is>
      </c>
      <c r="B20" s="5" t="n">
        <v>11920</v>
      </c>
      <c r="C20" s="5" t="n">
        <v>5863</v>
      </c>
      <c r="D20" s="5" t="n">
        <v>2314</v>
      </c>
      <c r="E20" s="5" t="n">
        <v>-334</v>
      </c>
      <c r="F20" s="5" t="n">
        <v>-7463</v>
      </c>
      <c r="G20" s="5" t="n">
        <v>-4056</v>
      </c>
      <c r="H20" s="5" t="n">
        <v>-2297</v>
      </c>
      <c r="I20" s="5" t="n">
        <v>-741</v>
      </c>
      <c r="AH20" t="inlineStr">
        <is>
          <t>Total comprehensive profit/(loss) for the year</t>
        </is>
      </c>
      <c r="AI20" t="n">
        <v>-741</v>
      </c>
      <c r="AJ20" t="n">
        <v>-2297</v>
      </c>
      <c r="AK20" t="n">
        <v>-4056</v>
      </c>
      <c r="AL20" t="n">
        <v>-7463</v>
      </c>
      <c r="AM20" t="n">
        <v>-334</v>
      </c>
      <c r="AN20" t="n">
        <v>2314</v>
      </c>
      <c r="AO20" t="n">
        <v>5863</v>
      </c>
      <c r="AP20" t="n">
        <v>11920</v>
      </c>
    </row>
    <row r="21">
      <c r="A21" s="5" t="inlineStr">
        <is>
          <t>Other equity movements, net</t>
        </is>
      </c>
      <c r="B21" s="5" t="n">
        <v>43052</v>
      </c>
      <c r="C21" s="5" t="n">
        <v>68777</v>
      </c>
      <c r="D21" s="5" t="n">
        <v>24195</v>
      </c>
      <c r="E21" s="5" t="n">
        <v>28094</v>
      </c>
      <c r="F21" s="5" t="n">
        <v>11961</v>
      </c>
      <c r="G21" s="5" t="n">
        <v>24488</v>
      </c>
      <c r="H21" s="5" t="n">
        <v>13</v>
      </c>
      <c r="I21" s="5" t="n">
        <v>4493</v>
      </c>
      <c r="AH21" t="inlineStr">
        <is>
          <t>Other equity movements, net</t>
        </is>
      </c>
      <c r="AI21" t="n">
        <v>4493</v>
      </c>
      <c r="AJ21" t="n">
        <v>13</v>
      </c>
      <c r="AK21" t="n">
        <v>24488</v>
      </c>
      <c r="AL21" t="n">
        <v>11961</v>
      </c>
      <c r="AM21" t="n">
        <v>28094</v>
      </c>
      <c r="AN21" t="n">
        <v>24195</v>
      </c>
      <c r="AO21" t="n">
        <v>68777</v>
      </c>
      <c r="AP21" t="n">
        <v>43052</v>
      </c>
    </row>
    <row r="22">
      <c r="A22" s="5" t="inlineStr">
        <is>
          <t>Closing equity</t>
        </is>
      </c>
      <c r="B22" s="5" t="n">
        <v>210279</v>
      </c>
      <c r="C22" s="5" t="n">
        <v>155307</v>
      </c>
      <c r="D22" s="5" t="n">
        <v>80667</v>
      </c>
      <c r="E22" s="5" t="n">
        <v>54158</v>
      </c>
      <c r="F22" s="5" t="n">
        <v>26398</v>
      </c>
      <c r="G22" s="5" t="n">
        <v>21900</v>
      </c>
      <c r="H22" s="5" t="n">
        <v>1468</v>
      </c>
      <c r="I22" s="5" t="n">
        <v>3752</v>
      </c>
      <c r="AH22" t="inlineStr">
        <is>
          <t>Closing equity</t>
        </is>
      </c>
      <c r="AI22" t="n">
        <v>3752</v>
      </c>
      <c r="AJ22" t="n">
        <v>1468</v>
      </c>
      <c r="AK22" t="n">
        <v>21900</v>
      </c>
      <c r="AL22" t="n">
        <v>26398</v>
      </c>
      <c r="AM22" t="n">
        <v>54158</v>
      </c>
      <c r="AN22" t="n">
        <v>80667</v>
      </c>
      <c r="AO22" t="n">
        <v>155307</v>
      </c>
      <c r="AP22" t="n">
        <v>210279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253910</v>
      </c>
      <c r="C26" s="5" t="n">
        <v>880992</v>
      </c>
      <c r="D26" s="5" t="n">
        <v>370296</v>
      </c>
      <c r="E26" s="5" t="n">
        <v>63900</v>
      </c>
      <c r="F26" s="5" t="n">
        <v>21025</v>
      </c>
      <c r="G26" s="5" t="n">
        <v>-4119</v>
      </c>
      <c r="H26" s="5" t="n">
        <v>-1904</v>
      </c>
      <c r="I26" s="5" t="n">
        <v>-478</v>
      </c>
      <c r="AS26" t="inlineStr">
        <is>
          <t>Net cash from/(used in) operating activities</t>
        </is>
      </c>
      <c r="AT26" t="n">
        <v>-478</v>
      </c>
      <c r="AU26" t="n">
        <v>-1904</v>
      </c>
      <c r="AV26" t="n">
        <v>-4119</v>
      </c>
      <c r="AW26" t="n">
        <v>21025</v>
      </c>
      <c r="AX26" t="n">
        <v>63900</v>
      </c>
      <c r="AY26" t="n">
        <v>370296</v>
      </c>
      <c r="AZ26" t="n">
        <v>880992</v>
      </c>
      <c r="BA26" t="n">
        <v>253910</v>
      </c>
    </row>
    <row r="27">
      <c r="A27" s="5" t="inlineStr">
        <is>
          <t>Net cash used in investing activities</t>
        </is>
      </c>
      <c r="B27" s="5" t="n">
        <v>-374939</v>
      </c>
      <c r="C27" s="5" t="n">
        <v>-1762</v>
      </c>
      <c r="D27" s="5" t="n">
        <v>-2469</v>
      </c>
      <c r="E27" s="5" t="n">
        <v>-4176</v>
      </c>
      <c r="F27" s="5" t="n">
        <v>-1538</v>
      </c>
      <c r="G27" s="5" t="n">
        <v>-1950</v>
      </c>
      <c r="H27" s="5" t="n">
        <v>-1117</v>
      </c>
      <c r="I27" s="5" t="n">
        <v>-211</v>
      </c>
      <c r="AS27" t="inlineStr">
        <is>
          <t>Net cash used in investing activities</t>
        </is>
      </c>
      <c r="AT27" t="n">
        <v>-211</v>
      </c>
      <c r="AU27" t="n">
        <v>-1117</v>
      </c>
      <c r="AV27" t="n">
        <v>-1950</v>
      </c>
      <c r="AW27" t="n">
        <v>-1538</v>
      </c>
      <c r="AX27" t="n">
        <v>-4176</v>
      </c>
      <c r="AY27" t="n">
        <v>-2469</v>
      </c>
      <c r="AZ27" t="n">
        <v>-1762</v>
      </c>
      <c r="BA27" t="n">
        <v>-374939</v>
      </c>
    </row>
    <row r="28">
      <c r="A28" s="5" t="inlineStr">
        <is>
          <t>Net cash from financing activities</t>
        </is>
      </c>
      <c r="B28" s="5" t="n">
        <v>56490</v>
      </c>
      <c r="C28" s="5" t="n">
        <v>69123</v>
      </c>
      <c r="D28" s="5" t="n">
        <v>30194</v>
      </c>
      <c r="E28" s="5" t="n">
        <v>35362</v>
      </c>
      <c r="F28" s="5" t="n">
        <v>11856</v>
      </c>
      <c r="G28" s="5" t="n">
        <v>24488</v>
      </c>
      <c r="H28" s="5" t="n">
        <v>13</v>
      </c>
      <c r="I28" s="5" t="n">
        <v>4493</v>
      </c>
      <c r="AS28" t="inlineStr">
        <is>
          <t>Net cash from financing activities</t>
        </is>
      </c>
      <c r="AT28" t="n">
        <v>4493</v>
      </c>
      <c r="AU28" t="n">
        <v>13</v>
      </c>
      <c r="AV28" t="n">
        <v>24488</v>
      </c>
      <c r="AW28" t="n">
        <v>11856</v>
      </c>
      <c r="AX28" t="n">
        <v>35362</v>
      </c>
      <c r="AY28" t="n">
        <v>30194</v>
      </c>
      <c r="AZ28" t="n">
        <v>69123</v>
      </c>
      <c r="BA28" t="n">
        <v>56490</v>
      </c>
    </row>
    <row r="29">
      <c r="A29" s="5" t="inlineStr">
        <is>
          <t>Cash and cash equivalents at end of year</t>
        </is>
      </c>
      <c r="B29" s="5" t="n">
        <v>1427479</v>
      </c>
      <c r="C29" s="5" t="n">
        <v>1492018</v>
      </c>
      <c r="D29" s="5" t="n">
        <v>543665</v>
      </c>
      <c r="E29" s="5" t="n">
        <v>145644</v>
      </c>
      <c r="F29" s="5" t="n">
        <v>50558</v>
      </c>
      <c r="G29" s="5" t="n">
        <v>19215</v>
      </c>
      <c r="H29" s="5" t="n">
        <v>796</v>
      </c>
      <c r="I29" s="5" t="n">
        <v>3804</v>
      </c>
      <c r="AS29" t="inlineStr">
        <is>
          <t>Cash and cash equivalents at end of year</t>
        </is>
      </c>
      <c r="AT29" t="n">
        <v>3804</v>
      </c>
      <c r="AU29" t="n">
        <v>796</v>
      </c>
      <c r="AV29" t="n">
        <v>19215</v>
      </c>
      <c r="AW29" t="n">
        <v>50558</v>
      </c>
      <c r="AX29" t="n">
        <v>145644</v>
      </c>
      <c r="AY29" t="n">
        <v>543665</v>
      </c>
      <c r="AZ29" t="n">
        <v>1492018</v>
      </c>
      <c r="BA29" t="n">
        <v>1427479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16.51%</t>
        </is>
      </c>
      <c r="C33" s="6" t="inlineStr">
        <is>
          <t>20.79%</t>
        </is>
      </c>
      <c r="D33" s="6" t="inlineStr">
        <is>
          <t>15.94%</t>
        </is>
      </c>
      <c r="E33" s="6" t="inlineStr">
        <is>
          <t>16.16%</t>
        </is>
      </c>
      <c r="F33" s="6" t="inlineStr">
        <is>
          <t>23%</t>
        </is>
      </c>
      <c r="G33" s="6" t="n"/>
      <c r="H33" s="6" t="n"/>
      <c r="I33" s="6" t="n"/>
    </row>
    <row r="34">
      <c r="A34" s="6" t="inlineStr">
        <is>
          <t>Tier 1 Ratio</t>
        </is>
      </c>
      <c r="B34" s="6" t="inlineStr">
        <is>
          <t>16.51%</t>
        </is>
      </c>
      <c r="C34" s="6" t="inlineStr">
        <is>
          <t>20.79%</t>
        </is>
      </c>
      <c r="D34" s="6" t="inlineStr">
        <is>
          <t>15.94%</t>
        </is>
      </c>
      <c r="E34" s="6" t="inlineStr">
        <is>
          <t>16.16%</t>
        </is>
      </c>
      <c r="F34" s="6" t="inlineStr">
        <is>
          <t>23%</t>
        </is>
      </c>
      <c r="G34" s="6" t="n"/>
      <c r="H34" s="6" t="n"/>
      <c r="I34" s="6" t="n"/>
    </row>
    <row r="35">
      <c r="A35" s="6" t="inlineStr">
        <is>
          <t>Total Capital Ratio</t>
        </is>
      </c>
      <c r="B35" s="6" t="inlineStr">
        <is>
          <t>19.39%</t>
        </is>
      </c>
      <c r="C35" s="6" t="inlineStr">
        <is>
          <t>23.35%</t>
        </is>
      </c>
      <c r="D35" s="6" t="inlineStr">
        <is>
          <t>19.27%</t>
        </is>
      </c>
      <c r="E35" s="6" t="inlineStr">
        <is>
          <t>18.81%</t>
        </is>
      </c>
      <c r="F35" s="6" t="inlineStr">
        <is>
          <t>23%</t>
        </is>
      </c>
      <c r="G35" s="6" t="n"/>
      <c r="H35" s="6" t="n"/>
      <c r="I35" s="6" t="n"/>
    </row>
    <row r="36">
      <c r="A36" s="6" t="inlineStr">
        <is>
          <t>Leverage Ratio</t>
        </is>
      </c>
      <c r="B36" s="6" t="inlineStr">
        <is>
          <t>9.40%</t>
        </is>
      </c>
      <c r="C36" s="6" t="inlineStr">
        <is>
          <t>12.66%</t>
        </is>
      </c>
      <c r="D36" s="6" t="inlineStr">
        <is>
          <t>10.69%</t>
        </is>
      </c>
      <c r="E36" s="6" t="inlineStr">
        <is>
          <t>12.17%</t>
        </is>
      </c>
      <c r="F36" s="6" t="inlineStr">
        <is>
          <t>15%</t>
        </is>
      </c>
      <c r="G36" s="6" t="n"/>
      <c r="H36" s="6" t="n"/>
      <c r="I36" s="6" t="n"/>
    </row>
    <row r="37">
      <c r="A37" s="6" t="inlineStr">
        <is>
          <t>LCR (Pillar 3, weighted-average basis)</t>
        </is>
      </c>
      <c r="B37" s="6" t="inlineStr">
        <is>
          <t>340.1%</t>
        </is>
      </c>
      <c r="C37" s="6" t="inlineStr">
        <is>
          <t>465.3%</t>
        </is>
      </c>
      <c r="D37" s="6" t="inlineStr">
        <is>
          <t>545.2%</t>
        </is>
      </c>
      <c r="E37" s="6" t="inlineStr">
        <is>
          <t>2,132%</t>
        </is>
      </c>
      <c r="F37" s="6" t="inlineStr">
        <is>
          <t>Not publicly disclosed</t>
        </is>
      </c>
      <c r="G37" s="6" t="n"/>
      <c r="H37" s="6" t="n"/>
      <c r="I37" s="6" t="n"/>
    </row>
    <row r="38">
      <c r="A38" s="6" t="inlineStr">
        <is>
          <t>LCR (Annual Report KPI, point-in-time at 31 December)</t>
        </is>
      </c>
      <c r="B38" s="6" t="inlineStr">
        <is>
          <t>296%</t>
        </is>
      </c>
      <c r="C38" s="6" t="inlineStr">
        <is>
          <t>460%</t>
        </is>
      </c>
      <c r="D38" s="6" t="inlineStr">
        <is>
          <t>614%</t>
        </is>
      </c>
      <c r="E38" s="6" t="inlineStr">
        <is>
          <t>2,819%</t>
        </is>
      </c>
      <c r="F38" s="6" t="inlineStr">
        <is>
          <t>1,090%</t>
        </is>
      </c>
      <c r="G38" s="6" t="n"/>
      <c r="H38" s="6" t="n"/>
      <c r="I38" s="6" t="n"/>
    </row>
    <row r="39">
      <c r="A39" s="6" t="inlineStr">
        <is>
          <t>NSFR</t>
        </is>
      </c>
      <c r="B39" s="6" t="inlineStr">
        <is>
          <t>160.6%</t>
        </is>
      </c>
      <c r="C39" s="6" t="inlineStr">
        <is>
          <t>262.7%</t>
        </is>
      </c>
      <c r="D39" s="6" t="inlineStr">
        <is>
          <t>201.1%</t>
        </is>
      </c>
      <c r="E39" s="6" t="inlineStr">
        <is>
          <t>149.1%</t>
        </is>
      </c>
      <c r="F39" s="6" t="inlineStr">
        <is>
          <t>Not applicable</t>
        </is>
      </c>
      <c r="G39" s="6" t="n"/>
      <c r="H39" s="6" t="n"/>
      <c r="I39" s="6" t="n"/>
    </row>
    <row r="41" ht="45" customHeight="1">
      <c r="A41" s="7" t="inlineStr">
        <is>
          <t>Note: Eight financial years are covered (FY2018-FY2025), back to Oxbury's confirmed historical floor: the company's own incorporation date of 25 May 2018. All statements use Oxbury Bank Plc Company columns. PILLAR 3 COVERAGE WAS SUBSTANTIALLY EXTENDED ON 2026-09-15 and this note supersedes the previous one, which was wrong: Oxbury has published THREE Pillar 3 editions (December 2023, December 2024 and December 2025), not the single 2023 edition that three earlier passes recorded. Re-fetching oxbury.com/annual-reports/ and extracting every link found the two newer files, whose media URLs use opaque random slugs and so cannot be reached by guessing filenames. Dedicated Pillar 3 quantitative disclosures now exist for FY2022-FY2025, and the FY2024-FY2025 capital, RWA, leverage, LCR and NSFR figures shown here come from those templates rather than from the Annual Report KPI table as before. FY2021 has ratios only, from the FY2021 annual report's KPI table - no Pillar 3 edition reaches that far back and its Annual Report capital note is narrative, so FY2021 capital amounts and RWAs read 'Not publicly disclosed' as an evidenced absence rather than sitting blank. FY2018-FY2020 have no capital/liquidity ratios at all (genuinely not disclosed - the bank was pre-launch, see the ENTITY/BASIS NOTE's HISTORY NOTE). NOTE THE TWO LCR ROWS: the Pillar 3 KM1 ratio is a weighted AVERAGE and the Annual Report KPI is a POINT-IN-TIME December figure; they differ by 44pp in FY2025 and are kept apart deliberately - a single row previously mixed the two bases mid-series. Oxbury is NOT SDDT-exempt: its PRA modification is of rule 2.1(9), an eligibility criterion, not rule 3.1, and it starts 20/05/2026 in any case. Blank cells represent metrics not disclosed for that year, not zero. FY2018-FY2020 also show nil loans, nil deposits and nil interest income/expense - genuine pre-launch figures, not gaps. See the Balance Sheet/Profit &amp; Loss/Statement of Changes in Equity sheets for the £10k FY2022 P&amp;L-vs-equity-statement inconsistency this Overview's equity movement figures follow.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41:I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Balance Sheet</t>
        </is>
      </c>
    </row>
    <row r="2">
      <c r="A2" s="2" t="inlineStr">
        <is>
          <t>Company/entity-level basis, £'000. Investment Securities and the Net Deferred Tax Liability line are new FY2025 items (blank in earlier years, not zero); Investment in Subsidiary starts FY2022 (the Naqoda Ltd/Oxbury Earth Ltd acquisition, January 2022); Net Deferred Tax Asset is blank FY2025 (a small Net Deferred Tax Liability instead) and FY2021 (not disclosed as a separate line that early). Subordinated Debt is blank FY2021 (nil that year). FY2018-FY2020 predate any lending or deposit-taking and use a simpler pre-launch balance sheet shape: 'Cash and Cash Equivalents (undifferentiated)', 'Loans and Advances to Banks (undifferentiated)', 'Debt Securities (Gilts)', 'Accrued Income and Prepayments' and 'Trade Payables' are blank from FY2021 onward, when the statement splits cash between Bank of England/Credit Institutions and folds accrued income into Other Assets; Loans and Advances to Customers and Customer Deposits are explicit £0 for FY2020 (disclosed as nil, the bank was authorised but had not yet launched) and blank (no such line existed) for FY2018-FY2019.</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 (undifferentiated)</t>
        </is>
      </c>
      <c r="B5" s="6" t="n"/>
      <c r="C5" s="6" t="n"/>
      <c r="D5" s="6" t="n"/>
      <c r="E5" s="6" t="n"/>
      <c r="F5" s="6" t="n"/>
      <c r="G5" s="6" t="n">
        <v>51</v>
      </c>
      <c r="H5" s="6" t="n">
        <v>796</v>
      </c>
      <c r="I5" s="6" t="n">
        <v>3804</v>
      </c>
    </row>
    <row r="6">
      <c r="A6" s="6" t="inlineStr">
        <is>
          <t>Cash at Bank of England</t>
        </is>
      </c>
      <c r="B6" s="6" t="n">
        <v>1406822</v>
      </c>
      <c r="C6" s="6" t="n">
        <v>1470898</v>
      </c>
      <c r="D6" s="6" t="n">
        <v>530991</v>
      </c>
      <c r="E6" s="6" t="n">
        <v>130522</v>
      </c>
      <c r="F6" s="6" t="n">
        <v>44016</v>
      </c>
      <c r="G6" s="6" t="n"/>
      <c r="H6" s="6" t="n"/>
      <c r="I6" s="6" t="n"/>
    </row>
    <row r="7">
      <c r="A7" s="6" t="inlineStr">
        <is>
          <t>Cash at Credit Institutions</t>
        </is>
      </c>
      <c r="B7" s="6" t="n">
        <v>20657</v>
      </c>
      <c r="C7" s="6" t="n">
        <v>21120</v>
      </c>
      <c r="D7" s="6" t="n">
        <v>12674</v>
      </c>
      <c r="E7" s="6" t="n">
        <v>15122</v>
      </c>
      <c r="F7" s="6" t="n">
        <v>6542</v>
      </c>
      <c r="G7" s="6" t="n"/>
      <c r="H7" s="6" t="n"/>
      <c r="I7" s="6" t="n"/>
    </row>
    <row r="8">
      <c r="A8" s="6" t="inlineStr">
        <is>
          <t>Loans and Advances to Banks (undifferentiated)</t>
        </is>
      </c>
      <c r="B8" s="6" t="n"/>
      <c r="C8" s="6" t="n"/>
      <c r="D8" s="6" t="n"/>
      <c r="E8" s="6" t="n"/>
      <c r="F8" s="6" t="n"/>
      <c r="G8" s="6" t="n">
        <v>19164</v>
      </c>
      <c r="H8" s="6" t="n"/>
      <c r="I8" s="6" t="n"/>
    </row>
    <row r="9">
      <c r="A9" s="6" t="inlineStr">
        <is>
          <t>Debt Securities (Gilts)</t>
        </is>
      </c>
      <c r="B9" s="6" t="n"/>
      <c r="C9" s="6" t="n"/>
      <c r="D9" s="6" t="n"/>
      <c r="E9" s="6" t="n"/>
      <c r="F9" s="6" t="n"/>
      <c r="G9" s="6" t="n">
        <v>50</v>
      </c>
      <c r="H9" s="6" t="n"/>
      <c r="I9" s="6" t="n"/>
    </row>
    <row r="10">
      <c r="A10" s="6" t="inlineStr">
        <is>
          <t>Investment Securities</t>
        </is>
      </c>
      <c r="B10" s="6" t="n">
        <v>373924</v>
      </c>
      <c r="C10" s="6" t="n"/>
      <c r="D10" s="6" t="n"/>
      <c r="E10" s="6" t="n"/>
      <c r="F10" s="6" t="n"/>
      <c r="G10" s="6" t="n"/>
      <c r="H10" s="6" t="n"/>
      <c r="I10" s="6" t="n"/>
    </row>
    <row r="11">
      <c r="A11" s="6" t="inlineStr">
        <is>
          <t>Loans and Advances to Customers</t>
        </is>
      </c>
      <c r="B11" s="6" t="n">
        <v>1748444</v>
      </c>
      <c r="C11" s="6" t="n">
        <v>1021621</v>
      </c>
      <c r="D11" s="6" t="n">
        <v>605711</v>
      </c>
      <c r="E11" s="6" t="n">
        <v>349532</v>
      </c>
      <c r="F11" s="6" t="n">
        <v>110545</v>
      </c>
      <c r="G11" s="6" t="n">
        <v>0</v>
      </c>
      <c r="H11" s="6" t="n"/>
      <c r="I11" s="6" t="n"/>
    </row>
    <row r="12">
      <c r="A12" s="6" t="inlineStr">
        <is>
          <t>Investment in Subsidiary</t>
        </is>
      </c>
      <c r="B12" s="6" t="n">
        <v>2466</v>
      </c>
      <c r="C12" s="6" t="n">
        <v>2466</v>
      </c>
      <c r="D12" s="6" t="n">
        <v>2466</v>
      </c>
      <c r="E12" s="6" t="n">
        <v>2466</v>
      </c>
      <c r="F12" s="6" t="n"/>
      <c r="G12" s="6" t="n"/>
      <c r="H12" s="6" t="n"/>
      <c r="I12" s="6" t="n"/>
    </row>
    <row r="13">
      <c r="A13" s="6" t="inlineStr">
        <is>
          <t>Other Assets</t>
        </is>
      </c>
      <c r="B13" s="6" t="n">
        <v>3332</v>
      </c>
      <c r="C13" s="6" t="n">
        <v>2598</v>
      </c>
      <c r="D13" s="6" t="n">
        <v>2487</v>
      </c>
      <c r="E13" s="6" t="n">
        <v>1025</v>
      </c>
      <c r="F13" s="6" t="n">
        <v>460</v>
      </c>
      <c r="G13" s="6" t="n"/>
      <c r="H13" s="6" t="n"/>
      <c r="I13" s="6" t="n"/>
    </row>
    <row r="14">
      <c r="A14" s="6" t="inlineStr">
        <is>
          <t>Accrued Income and Prepayments</t>
        </is>
      </c>
      <c r="B14" s="6" t="n"/>
      <c r="C14" s="6" t="n"/>
      <c r="D14" s="6" t="n"/>
      <c r="E14" s="6" t="n"/>
      <c r="F14" s="6" t="n"/>
      <c r="G14" s="6" t="n">
        <v>292</v>
      </c>
      <c r="H14" s="6" t="n">
        <v>27</v>
      </c>
      <c r="I14" s="6" t="n">
        <v>23</v>
      </c>
    </row>
    <row r="15">
      <c r="A15" s="6" t="inlineStr">
        <is>
          <t>Property, Plant &amp; Equipment</t>
        </is>
      </c>
      <c r="B15" s="6" t="n">
        <v>550</v>
      </c>
      <c r="C15" s="6" t="n">
        <v>786</v>
      </c>
      <c r="D15" s="6" t="n">
        <v>971</v>
      </c>
      <c r="E15" s="6" t="n">
        <v>429</v>
      </c>
      <c r="F15" s="6" t="n">
        <v>486</v>
      </c>
      <c r="G15" s="6" t="n">
        <v>60</v>
      </c>
      <c r="H15" s="6" t="n">
        <v>45</v>
      </c>
      <c r="I15" s="6" t="n">
        <v>13</v>
      </c>
    </row>
    <row r="16">
      <c r="A16" s="6" t="inlineStr">
        <is>
          <t>Intangible Assets</t>
        </is>
      </c>
      <c r="B16" s="6" t="n">
        <v>5713</v>
      </c>
      <c r="C16" s="6" t="n">
        <v>5426</v>
      </c>
      <c r="D16" s="6" t="n">
        <v>5416</v>
      </c>
      <c r="E16" s="6" t="n">
        <v>4252</v>
      </c>
      <c r="F16" s="6" t="n">
        <v>3768</v>
      </c>
      <c r="G16" s="6" t="n">
        <v>3046</v>
      </c>
      <c r="H16" s="6" t="n">
        <v>1277</v>
      </c>
      <c r="I16" s="6" t="n">
        <v>197</v>
      </c>
    </row>
    <row r="17">
      <c r="A17" s="6" t="inlineStr">
        <is>
          <t>Net Deferred Tax Asset</t>
        </is>
      </c>
      <c r="B17" s="6" t="n"/>
      <c r="C17" s="6" t="n">
        <v>1942</v>
      </c>
      <c r="D17" s="6" t="n">
        <v>3209</v>
      </c>
      <c r="E17" s="6" t="n">
        <v>4283</v>
      </c>
      <c r="F17" s="6" t="n"/>
      <c r="G17" s="6" t="n"/>
      <c r="H17" s="6" t="n"/>
      <c r="I17" s="6" t="n"/>
    </row>
    <row r="18">
      <c r="A18" s="5" t="inlineStr">
        <is>
          <t>Total Assets</t>
        </is>
      </c>
      <c r="B18" s="5" t="n">
        <v>3561908</v>
      </c>
      <c r="C18" s="5" t="n">
        <v>2526857</v>
      </c>
      <c r="D18" s="5" t="n">
        <v>1163925</v>
      </c>
      <c r="E18" s="5" t="n">
        <v>508358</v>
      </c>
      <c r="F18" s="5" t="n">
        <v>165817</v>
      </c>
      <c r="G18" s="5" t="n">
        <v>22663</v>
      </c>
      <c r="H18" s="5" t="n">
        <v>2145</v>
      </c>
      <c r="I18" s="5" t="n">
        <v>4037</v>
      </c>
    </row>
    <row r="19">
      <c r="A19" s="5" t="inlineStr">
        <is>
          <t>Liabilities</t>
        </is>
      </c>
      <c r="B19" s="6" t="n"/>
      <c r="C19" s="6" t="n"/>
      <c r="D19" s="6" t="n"/>
      <c r="E19" s="6" t="n"/>
      <c r="F19" s="6" t="n"/>
      <c r="G19" s="6" t="n"/>
      <c r="H19" s="6" t="n"/>
      <c r="I19" s="6" t="n"/>
    </row>
    <row r="20">
      <c r="A20" s="6" t="inlineStr">
        <is>
          <t>Customer Deposits</t>
        </is>
      </c>
      <c r="B20" s="6" t="n">
        <v>3309014</v>
      </c>
      <c r="C20" s="6" t="n">
        <v>2350433</v>
      </c>
      <c r="D20" s="6" t="n">
        <v>1060658</v>
      </c>
      <c r="E20" s="6" t="n">
        <v>441918</v>
      </c>
      <c r="F20" s="6" t="n">
        <v>138217</v>
      </c>
      <c r="G20" s="6" t="n">
        <v>0</v>
      </c>
      <c r="H20" s="6" t="n"/>
      <c r="I20" s="6" t="n"/>
    </row>
    <row r="21">
      <c r="A21" s="6" t="inlineStr">
        <is>
          <t>Trade Payables</t>
        </is>
      </c>
      <c r="B21" s="6" t="n"/>
      <c r="C21" s="6" t="n"/>
      <c r="D21" s="6" t="n"/>
      <c r="E21" s="6" t="n"/>
      <c r="F21" s="6" t="n"/>
      <c r="G21" s="6" t="n">
        <v>128</v>
      </c>
      <c r="H21" s="6" t="n"/>
      <c r="I21" s="6" t="n"/>
    </row>
    <row r="22">
      <c r="A22" s="6" t="inlineStr">
        <is>
          <t>Other Liabilities and Accruals</t>
        </is>
      </c>
      <c r="B22" s="6" t="n">
        <v>7993</v>
      </c>
      <c r="C22" s="6" t="n">
        <v>3319</v>
      </c>
      <c r="D22" s="6" t="n">
        <v>7409</v>
      </c>
      <c r="E22" s="6" t="n">
        <v>4617</v>
      </c>
      <c r="F22" s="6" t="n">
        <v>1202</v>
      </c>
      <c r="G22" s="6" t="n">
        <v>635</v>
      </c>
      <c r="H22" s="6" t="n">
        <v>677</v>
      </c>
      <c r="I22" s="6" t="n">
        <v>285</v>
      </c>
    </row>
    <row r="23">
      <c r="A23" s="6" t="inlineStr">
        <is>
          <t>Subordinated Debt</t>
        </is>
      </c>
      <c r="B23" s="6" t="n">
        <v>34191</v>
      </c>
      <c r="C23" s="6" t="n">
        <v>17798</v>
      </c>
      <c r="D23" s="6" t="n">
        <v>15191</v>
      </c>
      <c r="E23" s="6" t="n">
        <v>7665</v>
      </c>
      <c r="F23" s="6" t="n"/>
      <c r="G23" s="6" t="n"/>
      <c r="H23" s="6" t="n"/>
      <c r="I23" s="6" t="n"/>
    </row>
    <row r="24">
      <c r="A24" s="6" t="inlineStr">
        <is>
          <t>Net Deferred Tax Liability</t>
        </is>
      </c>
      <c r="B24" s="6" t="n">
        <v>431</v>
      </c>
      <c r="C24" s="6" t="n"/>
      <c r="D24" s="6" t="n"/>
      <c r="E24" s="6" t="n"/>
      <c r="F24" s="6" t="n"/>
      <c r="G24" s="6" t="n"/>
      <c r="H24" s="6" t="n"/>
      <c r="I24" s="6" t="n"/>
    </row>
    <row r="25">
      <c r="A25" s="5" t="inlineStr">
        <is>
          <t>Total Liabilities</t>
        </is>
      </c>
      <c r="B25" s="5" t="n">
        <v>3351629</v>
      </c>
      <c r="C25" s="5" t="n">
        <v>2371550</v>
      </c>
      <c r="D25" s="5" t="n">
        <v>1083258</v>
      </c>
      <c r="E25" s="5" t="n">
        <v>454200</v>
      </c>
      <c r="F25" s="5" t="n">
        <v>139419</v>
      </c>
      <c r="G25" s="5" t="n">
        <v>763</v>
      </c>
      <c r="H25" s="5" t="n">
        <v>677</v>
      </c>
      <c r="I25" s="5" t="n">
        <v>285</v>
      </c>
    </row>
    <row r="26">
      <c r="A26" s="5" t="inlineStr">
        <is>
          <t>Equity</t>
        </is>
      </c>
      <c r="B26" s="6" t="n"/>
      <c r="C26" s="6" t="n"/>
      <c r="D26" s="6" t="n"/>
      <c r="E26" s="6" t="n"/>
      <c r="F26" s="6" t="n"/>
      <c r="G26" s="6" t="n"/>
      <c r="H26" s="6" t="n"/>
      <c r="I26" s="6" t="n"/>
    </row>
    <row r="27">
      <c r="A27" s="6" t="inlineStr">
        <is>
          <t>Called Up Share Capital</t>
        </is>
      </c>
      <c r="B27" s="6" t="n">
        <v>1156</v>
      </c>
      <c r="C27" s="6" t="n">
        <v>1028</v>
      </c>
      <c r="D27" s="6" t="n">
        <v>762</v>
      </c>
      <c r="E27" s="6" t="n">
        <v>650</v>
      </c>
      <c r="F27" s="6" t="n">
        <v>514</v>
      </c>
      <c r="G27" s="6" t="n">
        <v>448</v>
      </c>
      <c r="H27" s="6" t="n">
        <v>274</v>
      </c>
      <c r="I27" s="6" t="n">
        <v>264</v>
      </c>
    </row>
    <row r="28">
      <c r="A28" s="6" t="inlineStr">
        <is>
          <t>Share Premium</t>
        </is>
      </c>
      <c r="B28" s="6" t="n">
        <v>203356</v>
      </c>
      <c r="C28" s="6" t="n">
        <v>160636</v>
      </c>
      <c r="D28" s="6" t="n">
        <v>92226</v>
      </c>
      <c r="E28" s="6" t="n">
        <v>68302</v>
      </c>
      <c r="F28" s="6" t="n">
        <v>40424</v>
      </c>
      <c r="G28" s="6" t="n">
        <v>28541</v>
      </c>
      <c r="H28" s="6" t="n">
        <v>4229</v>
      </c>
      <c r="I28" s="6" t="n">
        <v>4229</v>
      </c>
    </row>
    <row r="29">
      <c r="A29" s="6" t="inlineStr">
        <is>
          <t>Accumulated Profits/(Losses)</t>
        </is>
      </c>
      <c r="B29" s="6" t="n">
        <v>5196</v>
      </c>
      <c r="C29" s="6" t="n">
        <v>-6724</v>
      </c>
      <c r="D29" s="6" t="n">
        <v>-12587</v>
      </c>
      <c r="E29" s="6" t="n">
        <v>-14901</v>
      </c>
      <c r="F29" s="6" t="n">
        <v>-14557</v>
      </c>
      <c r="G29" s="6" t="n">
        <v>-7094</v>
      </c>
      <c r="H29" s="6" t="n">
        <v>-3038</v>
      </c>
      <c r="I29" s="6" t="n">
        <v>-741</v>
      </c>
    </row>
    <row r="30">
      <c r="A30" s="6" t="inlineStr">
        <is>
          <t>Share-based payment / capital contribution reserve (Note 23)</t>
        </is>
      </c>
      <c r="B30" s="6" t="n">
        <v>571</v>
      </c>
      <c r="C30" s="6" t="n">
        <v>367</v>
      </c>
      <c r="D30" s="6" t="n">
        <v>266</v>
      </c>
      <c r="E30" s="6" t="n">
        <v>107</v>
      </c>
      <c r="F30" s="6" t="n">
        <v>17</v>
      </c>
      <c r="G30" s="6" t="n">
        <v>5</v>
      </c>
      <c r="H30" s="6" t="n">
        <v>3</v>
      </c>
      <c r="I30" s="6" t="n"/>
    </row>
    <row r="31">
      <c r="A31" s="5" t="inlineStr">
        <is>
          <t>Total Equity</t>
        </is>
      </c>
      <c r="B31" s="5" t="n">
        <v>210279</v>
      </c>
      <c r="C31" s="5" t="n">
        <v>155307</v>
      </c>
      <c r="D31" s="5" t="n">
        <v>80667</v>
      </c>
      <c r="E31" s="5" t="n">
        <v>54158</v>
      </c>
      <c r="F31" s="5" t="n">
        <v>26398</v>
      </c>
      <c r="G31" s="5" t="n">
        <v>21900</v>
      </c>
      <c r="H31" s="5" t="n">
        <v>1468</v>
      </c>
      <c r="I31" s="5" t="n">
        <v>3752</v>
      </c>
    </row>
    <row r="32">
      <c r="A32" s="5" t="inlineStr">
        <is>
          <t>Total Liabilities &amp; Equity</t>
        </is>
      </c>
      <c r="B32" s="5" t="n">
        <v>3561908</v>
      </c>
      <c r="C32" s="5" t="n">
        <v>2526857</v>
      </c>
      <c r="D32" s="5" t="n">
        <v>1163925</v>
      </c>
      <c r="E32" s="5" t="n">
        <v>508358</v>
      </c>
      <c r="F32" s="5" t="n">
        <v>165817</v>
      </c>
      <c r="G32" s="5" t="n">
        <v>22663</v>
      </c>
      <c r="H32" s="5" t="n">
        <v>2145</v>
      </c>
      <c r="I32" s="5" t="n">
        <v>4037</v>
      </c>
    </row>
    <row r="34" ht="380" customHeight="1">
      <c r="A34"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34:I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Profit &amp; Loss</t>
        </is>
      </c>
    </row>
    <row r="2">
      <c r="A2" s="2" t="inlineStr">
        <is>
          <t>Company/entity-level basis, £'000. FY2022's Profit/(Loss) after tax of £(344)k reflects the source P&amp;L's own figure - see the DATA QUALITY NOTE in the source citation for the £10k inconsistency against that year's own equity statement. Blank cells indicate that year's own report did not disclose that specific split. FY2018-FY2020 predate any lending, so interest income/expense are explicit £0 (disclosed as nil, not undisclosed); FY2018's own source P&amp;L states its operating subtotal ('Loss from operations', £(741)k) BEFORE deducting that period's £1k of depreciation, unlike every later year - this sheet's 'Operating Profit/(Loss) before expected credit loss provisions' figure of £(742)k for FY2018 instead follows the same convention as every other year (Staff Costs + Other Operating Expense + Depreciation &amp; Amortisation), which nets to the source's own £(741)k Loss before tax once combined with that period's £1k of net finance income - both vintages agree exactly on the bottom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receivable - on loans and advances to customers</t>
        </is>
      </c>
      <c r="B5" s="6" t="n"/>
      <c r="C5" s="6" t="n"/>
      <c r="D5" s="6" t="n">
        <v>34375</v>
      </c>
      <c r="E5" s="6" t="n">
        <v>9222</v>
      </c>
      <c r="F5" s="6" t="n">
        <v>865</v>
      </c>
      <c r="G5" s="6" t="n"/>
      <c r="H5" s="6" t="n"/>
      <c r="I5" s="6" t="n"/>
    </row>
    <row r="6">
      <c r="A6" s="6" t="inlineStr">
        <is>
          <t>Interest income - deposits placed with financial institutions</t>
        </is>
      </c>
      <c r="B6" s="6" t="n"/>
      <c r="C6" s="6" t="n"/>
      <c r="D6" s="6" t="n">
        <v>14255</v>
      </c>
      <c r="E6" s="6" t="n">
        <v>1254</v>
      </c>
      <c r="F6" s="6" t="n">
        <v>39</v>
      </c>
      <c r="G6" s="6" t="n"/>
      <c r="H6" s="6" t="n"/>
      <c r="I6" s="6" t="n"/>
    </row>
    <row r="7">
      <c r="A7" s="5" t="inlineStr">
        <is>
          <t>Total interest income</t>
        </is>
      </c>
      <c r="B7" s="5" t="n">
        <v>151488</v>
      </c>
      <c r="C7" s="5" t="n">
        <v>112467</v>
      </c>
      <c r="D7" s="5" t="n">
        <v>48630</v>
      </c>
      <c r="E7" s="5" t="n">
        <v>10476</v>
      </c>
      <c r="F7" s="5" t="n">
        <v>904</v>
      </c>
      <c r="G7" s="5" t="n">
        <v>0</v>
      </c>
      <c r="H7" s="5" t="n">
        <v>0</v>
      </c>
      <c r="I7" s="5" t="n">
        <v>0</v>
      </c>
    </row>
    <row r="8">
      <c r="A8" s="6" t="inlineStr">
        <is>
          <t>Interest payable &amp; similar expenditure</t>
        </is>
      </c>
      <c r="B8" s="6" t="n">
        <v>-104252</v>
      </c>
      <c r="C8" s="6" t="n">
        <v>-81060</v>
      </c>
      <c r="D8" s="6" t="n">
        <v>-29258</v>
      </c>
      <c r="E8" s="6" t="n">
        <v>-4798</v>
      </c>
      <c r="F8" s="6" t="n">
        <v>-542</v>
      </c>
      <c r="G8" s="6" t="n">
        <v>0</v>
      </c>
      <c r="H8" s="6" t="n"/>
      <c r="I8" s="6" t="n"/>
    </row>
    <row r="9">
      <c r="A9" s="5" t="inlineStr">
        <is>
          <t>Net Interest Income</t>
        </is>
      </c>
      <c r="B9" s="5" t="n">
        <v>47236</v>
      </c>
      <c r="C9" s="5" t="n">
        <v>31407</v>
      </c>
      <c r="D9" s="5" t="n">
        <v>19372</v>
      </c>
      <c r="E9" s="5" t="n">
        <v>5678</v>
      </c>
      <c r="F9" s="5" t="n">
        <v>362</v>
      </c>
      <c r="G9" s="5" t="n">
        <v>0</v>
      </c>
      <c r="H9" s="5" t="n">
        <v>0</v>
      </c>
      <c r="I9" s="5" t="n">
        <v>0</v>
      </c>
    </row>
    <row r="10">
      <c r="A10" s="6" t="inlineStr">
        <is>
          <t>Other Income/(Expenditure)</t>
        </is>
      </c>
      <c r="B10" s="6" t="n">
        <v>169</v>
      </c>
      <c r="C10" s="6" t="n">
        <v>-104</v>
      </c>
      <c r="D10" s="6" t="n">
        <v>22</v>
      </c>
      <c r="E10" s="6" t="n">
        <v>-35</v>
      </c>
      <c r="F10" s="6" t="n">
        <v>-10</v>
      </c>
      <c r="G10" s="6" t="n">
        <v>24</v>
      </c>
      <c r="H10" s="6" t="n"/>
      <c r="I10" s="6" t="n"/>
    </row>
    <row r="11">
      <c r="A11" s="5" t="inlineStr">
        <is>
          <t>Total Net Income</t>
        </is>
      </c>
      <c r="B11" s="5" t="n">
        <v>47405</v>
      </c>
      <c r="C11" s="5" t="n">
        <v>31303</v>
      </c>
      <c r="D11" s="5" t="n">
        <v>19394</v>
      </c>
      <c r="E11" s="5" t="n">
        <v>5643</v>
      </c>
      <c r="F11" s="5" t="n">
        <v>352</v>
      </c>
      <c r="G11" s="5" t="n">
        <v>24</v>
      </c>
      <c r="H11" s="5" t="n">
        <v>0</v>
      </c>
      <c r="I11" s="5" t="n">
        <v>0</v>
      </c>
    </row>
    <row r="12">
      <c r="A12" s="6" t="inlineStr">
        <is>
          <t>Staff Costs</t>
        </is>
      </c>
      <c r="B12" s="6" t="n">
        <v>-14854</v>
      </c>
      <c r="C12" s="6" t="n">
        <v>-10741</v>
      </c>
      <c r="D12" s="6" t="n">
        <v>-7844</v>
      </c>
      <c r="E12" s="6" t="n">
        <v>-5514</v>
      </c>
      <c r="F12" s="6" t="n">
        <v>-4035</v>
      </c>
      <c r="G12" s="6" t="n">
        <v>-2361</v>
      </c>
      <c r="H12" s="6" t="n">
        <v>-1317</v>
      </c>
      <c r="I12" s="6" t="n">
        <v>-500</v>
      </c>
    </row>
    <row r="13">
      <c r="A13" s="5" t="inlineStr">
        <is>
          <t>Other Operating Expense</t>
        </is>
      </c>
      <c r="B13" s="5" t="n">
        <v>-11166</v>
      </c>
      <c r="C13" s="5" t="n">
        <v>-8039</v>
      </c>
      <c r="D13" s="5" t="n">
        <v>-5471</v>
      </c>
      <c r="E13" s="5" t="n">
        <v>-3875</v>
      </c>
      <c r="F13" s="5" t="n">
        <v>-2797</v>
      </c>
      <c r="G13" s="5" t="n">
        <v>-1886</v>
      </c>
      <c r="H13" s="5" t="n">
        <v>-935</v>
      </c>
      <c r="I13" s="5" t="n">
        <v>-241</v>
      </c>
    </row>
    <row r="14">
      <c r="A14" s="6" t="inlineStr">
        <is>
          <t>Depreciation &amp; Amortisation</t>
        </is>
      </c>
      <c r="B14" s="6" t="n">
        <v>-1932</v>
      </c>
      <c r="C14" s="6" t="n">
        <v>-1937</v>
      </c>
      <c r="D14" s="6" t="n">
        <v>-1319</v>
      </c>
      <c r="E14" s="6" t="n">
        <v>-1298</v>
      </c>
      <c r="F14" s="6" t="n">
        <v>-898</v>
      </c>
      <c r="G14" s="6" t="n">
        <v>-116</v>
      </c>
      <c r="H14" s="6" t="n">
        <v>-44</v>
      </c>
      <c r="I14" s="6" t="n">
        <v>-1</v>
      </c>
    </row>
    <row r="15">
      <c r="A15" s="5" t="inlineStr">
        <is>
          <t>Operating Profit/(Loss) before expected credit loss provisions</t>
        </is>
      </c>
      <c r="B15" s="5" t="n">
        <v>19453</v>
      </c>
      <c r="C15" s="5" t="n">
        <v>10586</v>
      </c>
      <c r="D15" s="5" t="n">
        <v>4760</v>
      </c>
      <c r="E15" s="5" t="n">
        <v>-5044</v>
      </c>
      <c r="F15" s="5" t="n">
        <v>-7378</v>
      </c>
      <c r="G15" s="5" t="n">
        <v>-4339</v>
      </c>
      <c r="H15" s="5" t="n">
        <v>-2296</v>
      </c>
      <c r="I15" s="5" t="n">
        <v>-742</v>
      </c>
    </row>
    <row r="16">
      <c r="A16" s="6" t="inlineStr">
        <is>
          <t>Expected credit loss on loans and advances</t>
        </is>
      </c>
      <c r="B16" s="6" t="n">
        <v>-1219</v>
      </c>
      <c r="C16" s="6" t="n">
        <v>-1031</v>
      </c>
      <c r="D16" s="6" t="n">
        <v>-464</v>
      </c>
      <c r="E16" s="6" t="n">
        <v>-95</v>
      </c>
      <c r="F16" s="6" t="n">
        <v>-85</v>
      </c>
      <c r="G16" s="6" t="n"/>
      <c r="H16" s="6" t="n"/>
      <c r="I16" s="6" t="n"/>
    </row>
    <row r="17">
      <c r="A17" s="5" t="inlineStr">
        <is>
          <t>Profit/(Loss) on Operations</t>
        </is>
      </c>
      <c r="B17" s="5" t="n">
        <v>18234</v>
      </c>
      <c r="C17" s="5" t="n">
        <v>9555</v>
      </c>
      <c r="D17" s="5" t="n">
        <v>4296</v>
      </c>
      <c r="E17" s="5" t="n">
        <v>-5139</v>
      </c>
      <c r="F17" s="5" t="n">
        <v>-7463</v>
      </c>
      <c r="G17" s="5" t="n">
        <v>-4339</v>
      </c>
      <c r="H17" s="5" t="n">
        <v>-2296</v>
      </c>
      <c r="I17" s="5" t="n">
        <v>-742</v>
      </c>
    </row>
    <row r="18">
      <c r="A18" s="6" t="inlineStr">
        <is>
          <t>Finance costs/Interest expense</t>
        </is>
      </c>
      <c r="B18" s="6" t="n">
        <v>-2507</v>
      </c>
      <c r="C18" s="6" t="n">
        <v>-2067</v>
      </c>
      <c r="D18" s="6" t="n">
        <v>-1249</v>
      </c>
      <c r="E18" s="6" t="n">
        <v>-215</v>
      </c>
      <c r="F18" s="6" t="n"/>
      <c r="G18" s="6" t="n">
        <v>-2</v>
      </c>
      <c r="H18" s="6" t="n">
        <v>-1</v>
      </c>
      <c r="I18" s="6" t="n">
        <v>1</v>
      </c>
    </row>
    <row r="19">
      <c r="A19" s="5" t="inlineStr">
        <is>
          <t>Profit/(Loss) from Ordinary Activities before tax</t>
        </is>
      </c>
      <c r="B19" s="5" t="n">
        <v>15727</v>
      </c>
      <c r="C19" s="5" t="n">
        <v>7488</v>
      </c>
      <c r="D19" s="5" t="n">
        <v>3047</v>
      </c>
      <c r="E19" s="5" t="n">
        <v>-5354</v>
      </c>
      <c r="F19" s="5" t="n">
        <v>-7463</v>
      </c>
      <c r="G19" s="5" t="n">
        <v>-4341</v>
      </c>
      <c r="H19" s="5" t="n">
        <v>-2297</v>
      </c>
      <c r="I19" s="5" t="n">
        <v>-741</v>
      </c>
    </row>
    <row r="20">
      <c r="A20" s="6" t="inlineStr">
        <is>
          <t>Taxation - Research &amp; Development Credit</t>
        </is>
      </c>
      <c r="B20" s="6" t="n"/>
      <c r="C20" s="6" t="n"/>
      <c r="D20" s="6" t="n"/>
      <c r="E20" s="6" t="n">
        <v>727</v>
      </c>
      <c r="F20" s="6" t="n"/>
      <c r="G20" s="6" t="n"/>
      <c r="H20" s="6" t="n"/>
      <c r="I20" s="6" t="n"/>
    </row>
    <row r="21">
      <c r="A21" s="6" t="inlineStr">
        <is>
          <t>Taxation - Deferred Tax</t>
        </is>
      </c>
      <c r="B21" s="6" t="n"/>
      <c r="C21" s="6" t="n"/>
      <c r="D21" s="6" t="n"/>
      <c r="E21" s="6" t="n">
        <v>4283</v>
      </c>
      <c r="F21" s="6" t="n"/>
      <c r="G21" s="6" t="n"/>
      <c r="H21" s="6" t="n"/>
      <c r="I21" s="6" t="n"/>
    </row>
    <row r="22">
      <c r="A22" s="6" t="inlineStr">
        <is>
          <t>Taxation - Income Tax</t>
        </is>
      </c>
      <c r="B22" s="6" t="n"/>
      <c r="C22" s="6" t="n"/>
      <c r="D22" s="6" t="n"/>
      <c r="E22" s="6" t="n">
        <v>0</v>
      </c>
      <c r="F22" s="6" t="n"/>
      <c r="G22" s="6" t="n"/>
      <c r="H22" s="6" t="n"/>
      <c r="I22" s="6" t="n"/>
    </row>
    <row r="23">
      <c r="A23" s="6" t="inlineStr">
        <is>
          <t>Taxation (combined)</t>
        </is>
      </c>
      <c r="B23" s="6" t="n">
        <v>-3807</v>
      </c>
      <c r="C23" s="6" t="n">
        <v>-1625</v>
      </c>
      <c r="D23" s="6" t="n">
        <v>-733</v>
      </c>
      <c r="E23" s="6" t="n"/>
      <c r="F23" s="6" t="n"/>
      <c r="G23" s="6" t="n">
        <v>285</v>
      </c>
      <c r="H23" s="6" t="n"/>
      <c r="I23" s="6" t="n"/>
    </row>
    <row r="24">
      <c r="A24" s="5" t="inlineStr">
        <is>
          <t>Profit/(Loss) from Ordinary Activities after tax</t>
        </is>
      </c>
      <c r="B24" s="5" t="n">
        <v>11920</v>
      </c>
      <c r="C24" s="5" t="n">
        <v>5863</v>
      </c>
      <c r="D24" s="5" t="n">
        <v>2314</v>
      </c>
      <c r="E24" s="5" t="n">
        <v>-344</v>
      </c>
      <c r="F24" s="5" t="n">
        <v>-7463</v>
      </c>
      <c r="G24" s="5" t="n">
        <v>-4056</v>
      </c>
      <c r="H24" s="5" t="n">
        <v>-2297</v>
      </c>
      <c r="I24" s="5" t="n">
        <v>-741</v>
      </c>
    </row>
    <row r="25">
      <c r="A25" s="5" t="inlineStr">
        <is>
          <t>Total Comprehensive Profit/(Loss)</t>
        </is>
      </c>
      <c r="B25" s="5" t="n">
        <v>11920</v>
      </c>
      <c r="C25" s="5" t="n">
        <v>5863</v>
      </c>
      <c r="D25" s="5" t="n">
        <v>2314</v>
      </c>
      <c r="E25" s="5" t="n">
        <v>-344</v>
      </c>
      <c r="F25" s="5" t="n">
        <v>-7463</v>
      </c>
      <c r="G25" s="5" t="n">
        <v>-4056</v>
      </c>
      <c r="H25" s="5" t="n">
        <v>-2297</v>
      </c>
      <c r="I25" s="5" t="n">
        <v>-741</v>
      </c>
    </row>
    <row r="27" ht="380" customHeight="1">
      <c r="A27"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27:I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Oxbury Bank Plc — Statement of Changes in Equity</t>
        </is>
      </c>
    </row>
    <row r="2">
      <c r="A2" s="2" t="inlineStr">
        <is>
          <t>Chronological roll-forward, oldest to newest, Company/entity-level basis, £'000. Equity reconciliation ladder confirmed: every year's own closing balance ties exactly to both the next year's own opening balance and that year's own Balance Sheet Total Equity - zero plug rows needed anywhere across all 8 years (FY2018-FY2025). FY2022's £(334)k Loss-for-the-year movement is this statement's own figure, £10k different from the P&amp;L's own £(344)k - see the source citation's DATA QUALITY NOTE. FY2018 opens at nil (the company's incorporation date, 25 May 2018) - there is no earlier balance to roll forward from.</t>
        </is>
      </c>
    </row>
    <row r="3">
      <c r="A3" s="4" t="inlineStr">
        <is>
          <t>Movement</t>
        </is>
      </c>
      <c r="B3" s="4" t="inlineStr">
        <is>
          <t>Called Up Share Capital</t>
        </is>
      </c>
      <c r="C3" s="4" t="inlineStr">
        <is>
          <t>Share Premium</t>
        </is>
      </c>
      <c r="D3" s="4" t="inlineStr">
        <is>
          <t>Accumulated Profits/(Losses)</t>
        </is>
      </c>
      <c r="E3" s="4" t="inlineStr">
        <is>
          <t>Share Based Payments</t>
        </is>
      </c>
      <c r="F3" s="4" t="inlineStr">
        <is>
          <t>Capital Contribution Reserve</t>
        </is>
      </c>
      <c r="G3" s="4" t="inlineStr">
        <is>
          <t>Total</t>
        </is>
      </c>
    </row>
    <row r="4">
      <c r="A4" s="5" t="inlineStr">
        <is>
          <t>At incorporation (25 May 2018)</t>
        </is>
      </c>
      <c r="B4" s="5" t="n">
        <v>0</v>
      </c>
      <c r="C4" s="5" t="n">
        <v>0</v>
      </c>
      <c r="D4" s="5" t="n">
        <v>0</v>
      </c>
      <c r="E4" s="5" t="n"/>
      <c r="F4" s="5" t="n"/>
      <c r="G4" s="5" t="n">
        <v>0</v>
      </c>
    </row>
    <row r="5">
      <c r="A5" s="6" t="inlineStr">
        <is>
          <t>Proceeds from Shares Issued</t>
        </is>
      </c>
      <c r="B5" s="6" t="n">
        <v>264</v>
      </c>
      <c r="C5" s="6" t="n">
        <v>4229</v>
      </c>
      <c r="D5" s="6" t="n"/>
      <c r="E5" s="6" t="n"/>
      <c r="F5" s="6" t="n"/>
      <c r="G5" s="6" t="n">
        <v>4493</v>
      </c>
    </row>
    <row r="6">
      <c r="A6" s="6" t="inlineStr">
        <is>
          <t>Loss for the period</t>
        </is>
      </c>
      <c r="B6" s="6" t="n"/>
      <c r="C6" s="6" t="n"/>
      <c r="D6" s="6" t="n">
        <v>-741</v>
      </c>
      <c r="E6" s="6" t="n"/>
      <c r="F6" s="6" t="n"/>
      <c r="G6" s="6" t="n">
        <v>-741</v>
      </c>
    </row>
    <row r="7">
      <c r="A7" s="5" t="inlineStr">
        <is>
          <t>At 31 December 2018 (FY2018 closing)</t>
        </is>
      </c>
      <c r="B7" s="5" t="n">
        <v>264</v>
      </c>
      <c r="C7" s="5" t="n">
        <v>4229</v>
      </c>
      <c r="D7" s="5" t="n">
        <v>-741</v>
      </c>
      <c r="E7" s="5" t="n"/>
      <c r="F7" s="5" t="n"/>
      <c r="G7" s="5" t="n">
        <v>3752</v>
      </c>
    </row>
    <row r="8">
      <c r="A8" s="6" t="inlineStr">
        <is>
          <t>Issue of Share Capital</t>
        </is>
      </c>
      <c r="B8" s="6" t="n">
        <v>10</v>
      </c>
      <c r="C8" s="6" t="n"/>
      <c r="D8" s="6" t="n"/>
      <c r="E8" s="6" t="n"/>
      <c r="F8" s="6" t="n"/>
      <c r="G8" s="6" t="n">
        <v>10</v>
      </c>
    </row>
    <row r="9">
      <c r="A9" s="6" t="inlineStr">
        <is>
          <t>Loss for the year</t>
        </is>
      </c>
      <c r="B9" s="6" t="n"/>
      <c r="C9" s="6" t="n"/>
      <c r="D9" s="6" t="n">
        <v>-2297</v>
      </c>
      <c r="E9" s="6" t="n"/>
      <c r="F9" s="6" t="n"/>
      <c r="G9" s="6" t="n">
        <v>-2297</v>
      </c>
    </row>
    <row r="10">
      <c r="A10" s="6" t="inlineStr">
        <is>
          <t>Employee based share awards</t>
        </is>
      </c>
      <c r="B10" s="6" t="n"/>
      <c r="C10" s="6" t="n"/>
      <c r="D10" s="6" t="n"/>
      <c r="E10" s="6" t="n">
        <v>3</v>
      </c>
      <c r="F10" s="6" t="n"/>
      <c r="G10" s="6" t="n">
        <v>3</v>
      </c>
    </row>
    <row r="11">
      <c r="A11" s="5" t="inlineStr">
        <is>
          <t>At 31 December 2019 (FY2019 closing)</t>
        </is>
      </c>
      <c r="B11" s="5" t="n">
        <v>274</v>
      </c>
      <c r="C11" s="5" t="n">
        <v>4229</v>
      </c>
      <c r="D11" s="5" t="n">
        <v>-3038</v>
      </c>
      <c r="E11" s="5" t="n">
        <v>3</v>
      </c>
      <c r="F11" s="5" t="n"/>
      <c r="G11" s="5" t="n">
        <v>1468</v>
      </c>
    </row>
    <row r="12">
      <c r="A12" s="6" t="inlineStr">
        <is>
          <t>Issue of Share Capital</t>
        </is>
      </c>
      <c r="B12" s="6" t="n">
        <v>174</v>
      </c>
      <c r="C12" s="6" t="n">
        <v>24312</v>
      </c>
      <c r="D12" s="6" t="n"/>
      <c r="E12" s="6" t="n"/>
      <c r="F12" s="6" t="n"/>
      <c r="G12" s="6" t="n">
        <v>24486</v>
      </c>
    </row>
    <row r="13">
      <c r="A13" s="6" t="inlineStr">
        <is>
          <t>Loss for the year</t>
        </is>
      </c>
      <c r="B13" s="6" t="n"/>
      <c r="C13" s="6" t="n"/>
      <c r="D13" s="6" t="n">
        <v>-4056</v>
      </c>
      <c r="E13" s="6" t="n"/>
      <c r="F13" s="6" t="n"/>
      <c r="G13" s="6" t="n">
        <v>-4056</v>
      </c>
    </row>
    <row r="14">
      <c r="A14" s="6" t="inlineStr">
        <is>
          <t>Employee based share awards</t>
        </is>
      </c>
      <c r="B14" s="6" t="n"/>
      <c r="C14" s="6" t="n"/>
      <c r="D14" s="6" t="n"/>
      <c r="E14" s="6" t="n">
        <v>2</v>
      </c>
      <c r="F14" s="6" t="n"/>
      <c r="G14" s="6" t="n">
        <v>2</v>
      </c>
    </row>
    <row r="15">
      <c r="A15" s="5" t="inlineStr">
        <is>
          <t>At 31 December 2020 (FY2021 opening)</t>
        </is>
      </c>
      <c r="B15" s="5" t="n">
        <v>448</v>
      </c>
      <c r="C15" s="5" t="n">
        <v>28541</v>
      </c>
      <c r="D15" s="5" t="n">
        <v>-7094</v>
      </c>
      <c r="E15" s="5" t="n">
        <v>5</v>
      </c>
      <c r="F15" s="5" t="n"/>
      <c r="G15" s="5" t="n">
        <v>21900</v>
      </c>
    </row>
    <row r="16">
      <c r="A16" s="6" t="inlineStr">
        <is>
          <t>Issue of Share Capital</t>
        </is>
      </c>
      <c r="B16" s="6" t="n">
        <v>66</v>
      </c>
      <c r="C16" s="6" t="n">
        <v>11883</v>
      </c>
      <c r="D16" s="6" t="n"/>
      <c r="E16" s="6" t="n"/>
      <c r="F16" s="6" t="n"/>
      <c r="G16" s="6" t="n">
        <v>11949</v>
      </c>
    </row>
    <row r="17">
      <c r="A17" s="6" t="inlineStr">
        <is>
          <t>Loss for the year</t>
        </is>
      </c>
      <c r="B17" s="6" t="n"/>
      <c r="C17" s="6" t="n"/>
      <c r="D17" s="6" t="n">
        <v>-7463</v>
      </c>
      <c r="E17" s="6" t="n"/>
      <c r="F17" s="6" t="n"/>
      <c r="G17" s="6" t="n">
        <v>-7463</v>
      </c>
    </row>
    <row r="18">
      <c r="A18" s="6" t="inlineStr">
        <is>
          <t>Employee based share awards</t>
        </is>
      </c>
      <c r="B18" s="6" t="n"/>
      <c r="C18" s="6" t="n"/>
      <c r="D18" s="6" t="n"/>
      <c r="E18" s="6" t="n">
        <v>12</v>
      </c>
      <c r="F18" s="6" t="n"/>
      <c r="G18" s="6" t="n">
        <v>12</v>
      </c>
    </row>
    <row r="19">
      <c r="A19" s="5" t="inlineStr">
        <is>
          <t>At 31 December 2021 (FY2021 closing)</t>
        </is>
      </c>
      <c r="B19" s="5" t="n">
        <v>514</v>
      </c>
      <c r="C19" s="5" t="n">
        <v>40424</v>
      </c>
      <c r="D19" s="5" t="n">
        <v>-14557</v>
      </c>
      <c r="E19" s="5" t="n">
        <v>17</v>
      </c>
      <c r="F19" s="5" t="n"/>
      <c r="G19" s="5" t="n">
        <v>26398</v>
      </c>
    </row>
    <row r="20">
      <c r="A20" s="6" t="inlineStr">
        <is>
          <t>Issue of Share Capital (net of costs)</t>
        </is>
      </c>
      <c r="B20" s="6" t="n">
        <v>136</v>
      </c>
      <c r="C20" s="6" t="n">
        <v>27878</v>
      </c>
      <c r="D20" s="6" t="n"/>
      <c r="E20" s="6" t="n"/>
      <c r="F20" s="6" t="n"/>
      <c r="G20" s="6" t="n">
        <v>28014</v>
      </c>
    </row>
    <row r="21">
      <c r="A21" s="6" t="inlineStr">
        <is>
          <t>Loss for the year</t>
        </is>
      </c>
      <c r="B21" s="6" t="n"/>
      <c r="C21" s="6" t="n"/>
      <c r="D21" s="6" t="n">
        <v>-334</v>
      </c>
      <c r="E21" s="6" t="n"/>
      <c r="F21" s="6" t="n"/>
      <c r="G21" s="6" t="n">
        <v>-334</v>
      </c>
    </row>
    <row r="22">
      <c r="A22" s="6" t="inlineStr">
        <is>
          <t>Employee based share awards</t>
        </is>
      </c>
      <c r="B22" s="6" t="n"/>
      <c r="C22" s="6" t="n"/>
      <c r="D22" s="6" t="n"/>
      <c r="E22" s="6" t="n">
        <v>90</v>
      </c>
      <c r="F22" s="6" t="n"/>
      <c r="G22" s="6" t="n">
        <v>90</v>
      </c>
    </row>
    <row r="23">
      <c r="A23" s="5" t="inlineStr">
        <is>
          <t>At 31 December 2022 (FY2022 closing)</t>
        </is>
      </c>
      <c r="B23" s="5" t="n">
        <v>650</v>
      </c>
      <c r="C23" s="5" t="n">
        <v>68302</v>
      </c>
      <c r="D23" s="5" t="n">
        <v>-14901</v>
      </c>
      <c r="E23" s="5" t="n">
        <v>107</v>
      </c>
      <c r="F23" s="5" t="n"/>
      <c r="G23" s="5" t="n">
        <v>54158</v>
      </c>
    </row>
    <row r="24">
      <c r="A24" s="6" t="inlineStr">
        <is>
          <t>Issue of Share Capital (net of costs)</t>
        </is>
      </c>
      <c r="B24" s="6" t="n">
        <v>112</v>
      </c>
      <c r="C24" s="6" t="n">
        <v>23924</v>
      </c>
      <c r="D24" s="6" t="n"/>
      <c r="E24" s="6" t="n"/>
      <c r="F24" s="6" t="n"/>
      <c r="G24" s="6" t="n">
        <v>24036</v>
      </c>
    </row>
    <row r="25">
      <c r="A25" s="6" t="inlineStr">
        <is>
          <t>Profit for the year</t>
        </is>
      </c>
      <c r="B25" s="6" t="n"/>
      <c r="C25" s="6" t="n"/>
      <c r="D25" s="6" t="n">
        <v>2314</v>
      </c>
      <c r="E25" s="6" t="n"/>
      <c r="F25" s="6" t="n"/>
      <c r="G25" s="6" t="n">
        <v>2314</v>
      </c>
    </row>
    <row r="26">
      <c r="A26" s="6" t="inlineStr">
        <is>
          <t>Employee based share awards</t>
        </is>
      </c>
      <c r="B26" s="6" t="n"/>
      <c r="C26" s="6" t="n"/>
      <c r="D26" s="6" t="n"/>
      <c r="E26" s="6" t="n">
        <v>159</v>
      </c>
      <c r="F26" s="6" t="n"/>
      <c r="G26" s="6" t="n">
        <v>159</v>
      </c>
    </row>
    <row r="27">
      <c r="A27" s="5" t="inlineStr">
        <is>
          <t>At 31 December 2023 (FY2023 closing)</t>
        </is>
      </c>
      <c r="B27" s="5" t="n">
        <v>762</v>
      </c>
      <c r="C27" s="5" t="n">
        <v>92226</v>
      </c>
      <c r="D27" s="5" t="n">
        <v>-12587</v>
      </c>
      <c r="E27" s="5" t="n">
        <v>266</v>
      </c>
      <c r="F27" s="5" t="n"/>
      <c r="G27" s="5" t="n">
        <v>80667</v>
      </c>
    </row>
    <row r="28">
      <c r="A28" s="6" t="inlineStr">
        <is>
          <t>Issue of Share Capital (net of costs)</t>
        </is>
      </c>
      <c r="B28" s="6" t="n">
        <v>266</v>
      </c>
      <c r="C28" s="6" t="n">
        <v>68410</v>
      </c>
      <c r="D28" s="6" t="n"/>
      <c r="E28" s="6" t="n"/>
      <c r="F28" s="6" t="n"/>
      <c r="G28" s="6" t="n">
        <v>68676</v>
      </c>
    </row>
    <row r="29">
      <c r="A29" s="6" t="inlineStr">
        <is>
          <t>Profit for the year</t>
        </is>
      </c>
      <c r="B29" s="6" t="n"/>
      <c r="C29" s="6" t="n"/>
      <c r="D29" s="6" t="n">
        <v>5863</v>
      </c>
      <c r="E29" s="6" t="n"/>
      <c r="F29" s="6" t="n"/>
      <c r="G29" s="6" t="n">
        <v>5863</v>
      </c>
    </row>
    <row r="30">
      <c r="A30" s="6" t="inlineStr">
        <is>
          <t>Employee based share awards</t>
        </is>
      </c>
      <c r="B30" s="6" t="n"/>
      <c r="C30" s="6" t="n"/>
      <c r="D30" s="6" t="n"/>
      <c r="E30" s="6" t="n">
        <v>101</v>
      </c>
      <c r="F30" s="6" t="n"/>
      <c r="G30" s="6" t="n">
        <v>101</v>
      </c>
    </row>
    <row r="31">
      <c r="A31" s="5" t="inlineStr">
        <is>
          <t>At 31 December 2024 (FY2024 closing, restated)</t>
        </is>
      </c>
      <c r="B31" s="5" t="n">
        <v>1028</v>
      </c>
      <c r="C31" s="5" t="n">
        <v>160636</v>
      </c>
      <c r="D31" s="5" t="n">
        <v>-6724</v>
      </c>
      <c r="E31" s="5" t="n">
        <v>367</v>
      </c>
      <c r="F31" s="5" t="n"/>
      <c r="G31" s="5" t="n">
        <v>155307</v>
      </c>
    </row>
    <row r="32">
      <c r="A32" s="6" t="inlineStr">
        <is>
          <t>Issue of Share Capital (net of costs)</t>
        </is>
      </c>
      <c r="B32" s="6" t="n">
        <v>128</v>
      </c>
      <c r="C32" s="6" t="n">
        <v>42720</v>
      </c>
      <c r="D32" s="6" t="n"/>
      <c r="E32" s="6" t="n"/>
      <c r="F32" s="6" t="n"/>
      <c r="G32" s="6" t="n">
        <v>42848</v>
      </c>
    </row>
    <row r="33">
      <c r="A33" s="6" t="inlineStr">
        <is>
          <t>Profit for the year</t>
        </is>
      </c>
      <c r="B33" s="6" t="n"/>
      <c r="C33" s="6" t="n"/>
      <c r="D33" s="6" t="n">
        <v>11920</v>
      </c>
      <c r="E33" s="6" t="n"/>
      <c r="F33" s="6" t="n"/>
      <c r="G33" s="6" t="n">
        <v>11920</v>
      </c>
    </row>
    <row r="34">
      <c r="A34" s="6" t="inlineStr">
        <is>
          <t>Transfer from Share Based Payment Reserve to Capital Contribution Reserve</t>
        </is>
      </c>
      <c r="B34" s="6" t="n"/>
      <c r="C34" s="6" t="n"/>
      <c r="D34" s="6" t="n"/>
      <c r="E34" s="6" t="n">
        <v>-367</v>
      </c>
      <c r="F34" s="6" t="n">
        <v>367</v>
      </c>
      <c r="G34" s="6" t="n">
        <v>0</v>
      </c>
    </row>
    <row r="35">
      <c r="A35" s="6" t="inlineStr">
        <is>
          <t>Employee based share awards</t>
        </is>
      </c>
      <c r="B35" s="6" t="n"/>
      <c r="C35" s="6" t="n"/>
      <c r="D35" s="6" t="n"/>
      <c r="E35" s="6" t="n"/>
      <c r="F35" s="6" t="n">
        <v>204</v>
      </c>
      <c r="G35" s="6" t="n">
        <v>204</v>
      </c>
    </row>
    <row r="36">
      <c r="A36" s="5" t="inlineStr">
        <is>
          <t>At 31 December 2025 (FY2025 closing)</t>
        </is>
      </c>
      <c r="B36" s="5" t="n">
        <v>1156</v>
      </c>
      <c r="C36" s="5" t="n">
        <v>203356</v>
      </c>
      <c r="D36" s="5" t="n">
        <v>5196</v>
      </c>
      <c r="E36" s="5" t="n">
        <v>0</v>
      </c>
      <c r="F36" s="5" t="n">
        <v>571</v>
      </c>
      <c r="G36" s="5" t="n">
        <v>210279</v>
      </c>
    </row>
    <row r="38" ht="150" customHeight="1">
      <c r="A38"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38:G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Statement of Cash Flows</t>
        </is>
      </c>
    </row>
    <row r="2">
      <c r="A2" s="2" t="inlineStr">
        <is>
          <t>Company/entity-level basis, £'000; FY2024 is the restated comparative presented in the FY2025 report. FY2018-FY2020 predate any lending or deposit-taking - see the ENTITY/BASIS NOTE and RESTATEMENT CHECK in the source citation.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Cash flows from operating activities</t>
        </is>
      </c>
      <c r="B4" s="6" t="n"/>
      <c r="C4" s="6" t="n"/>
      <c r="D4" s="6" t="n"/>
      <c r="E4" s="6" t="n"/>
      <c r="F4" s="6" t="n"/>
      <c r="G4" s="6" t="n"/>
      <c r="H4" s="6" t="n"/>
      <c r="I4" s="6" t="n"/>
    </row>
    <row r="5">
      <c r="A5" s="6" t="inlineStr">
        <is>
          <t>Profit and adjustments before net changes in operating assets and liabilities</t>
        </is>
      </c>
      <c r="B5" s="6" t="n">
        <v>-26222</v>
      </c>
      <c r="C5" s="6" t="n">
        <v>-17894</v>
      </c>
      <c r="D5" s="6" t="n">
        <v>-12067</v>
      </c>
      <c r="E5" s="6" t="n">
        <v>-9138</v>
      </c>
      <c r="F5" s="6" t="n">
        <v>-6468</v>
      </c>
      <c r="G5" s="6" t="n">
        <v>-3940</v>
      </c>
      <c r="H5" s="6" t="n">
        <v>-2253</v>
      </c>
      <c r="I5" s="6" t="n">
        <v>-740</v>
      </c>
    </row>
    <row r="6">
      <c r="A6" s="6" t="inlineStr">
        <is>
          <t>Net changes in operating assets and liabilities (aggregate of source line items)</t>
        </is>
      </c>
      <c r="B6" s="6" t="n">
        <v>280132</v>
      </c>
      <c r="C6" s="6" t="n">
        <v>898886</v>
      </c>
      <c r="D6" s="6" t="n">
        <v>382363</v>
      </c>
      <c r="E6" s="6" t="n">
        <v>73038</v>
      </c>
      <c r="F6" s="6" t="n">
        <v>27493</v>
      </c>
      <c r="G6" s="6" t="n">
        <v>-179</v>
      </c>
      <c r="H6" s="6" t="n">
        <v>349</v>
      </c>
      <c r="I6" s="6" t="n">
        <v>262</v>
      </c>
    </row>
    <row r="7">
      <c r="A7" s="5" t="inlineStr">
        <is>
          <t>Cash flows generated from/(used in) operating activities</t>
        </is>
      </c>
      <c r="B7" s="5" t="n">
        <v>253910</v>
      </c>
      <c r="C7" s="5" t="n">
        <v>880992</v>
      </c>
      <c r="D7" s="5" t="n">
        <v>370296</v>
      </c>
      <c r="E7" s="5" t="n">
        <v>63900</v>
      </c>
      <c r="F7" s="5" t="n">
        <v>21025</v>
      </c>
      <c r="G7" s="5" t="n">
        <v>-4119</v>
      </c>
      <c r="H7" s="5" t="n">
        <v>-1904</v>
      </c>
      <c r="I7" s="5" t="n">
        <v>-478</v>
      </c>
    </row>
    <row r="8">
      <c r="A8" s="5" t="inlineStr">
        <is>
          <t>Investing activities</t>
        </is>
      </c>
      <c r="B8" s="6" t="n"/>
      <c r="C8" s="6" t="n"/>
      <c r="D8" s="6" t="n"/>
      <c r="E8" s="6" t="n"/>
      <c r="F8" s="6" t="n"/>
      <c r="G8" s="6" t="n"/>
      <c r="H8" s="6" t="n"/>
      <c r="I8" s="6" t="n"/>
    </row>
    <row r="9">
      <c r="A9" s="6" t="inlineStr">
        <is>
          <t>Purchase of tangible assets</t>
        </is>
      </c>
      <c r="B9" s="6" t="n">
        <v>-72</v>
      </c>
      <c r="C9" s="6" t="n">
        <v>-119</v>
      </c>
      <c r="D9" s="6" t="n">
        <v>-188</v>
      </c>
      <c r="E9" s="6" t="n">
        <v>-72</v>
      </c>
      <c r="F9" s="6" t="n">
        <v>-64</v>
      </c>
      <c r="G9" s="6" t="n">
        <v>-79</v>
      </c>
      <c r="H9" s="6" t="n">
        <v>-37</v>
      </c>
      <c r="I9" s="6" t="n">
        <v>-14</v>
      </c>
    </row>
    <row r="10">
      <c r="A10" s="6" t="inlineStr">
        <is>
          <t>Disposal/(purchase) of gilts</t>
        </is>
      </c>
      <c r="B10" s="6" t="n"/>
      <c r="C10" s="6" t="n"/>
      <c r="D10" s="6" t="n"/>
      <c r="E10" s="6" t="n"/>
      <c r="F10" s="6" t="n">
        <v>50</v>
      </c>
      <c r="G10" s="6" t="n">
        <v>-50</v>
      </c>
      <c r="H10" s="6" t="n"/>
      <c r="I10" s="6" t="n"/>
    </row>
    <row r="11">
      <c r="A11" s="6" t="inlineStr">
        <is>
          <t>Investment in subsidiary</t>
        </is>
      </c>
      <c r="B11" s="6" t="n"/>
      <c r="C11" s="6" t="n"/>
      <c r="D11" s="6" t="n"/>
      <c r="E11" s="6" t="n">
        <v>-2466</v>
      </c>
      <c r="F11" s="6" t="n"/>
      <c r="G11" s="6" t="n"/>
      <c r="H11" s="6" t="n"/>
      <c r="I11" s="6" t="n"/>
    </row>
    <row r="12">
      <c r="A12" s="6" t="inlineStr">
        <is>
          <t>Addition in intangible assets and trademarks</t>
        </is>
      </c>
      <c r="B12" s="6" t="n">
        <v>-1911</v>
      </c>
      <c r="C12" s="6" t="n">
        <v>-1643</v>
      </c>
      <c r="D12" s="6" t="n">
        <v>-2281</v>
      </c>
      <c r="E12" s="6" t="n">
        <v>-1638</v>
      </c>
      <c r="F12" s="6" t="n">
        <v>-1524</v>
      </c>
      <c r="G12" s="6" t="n">
        <v>-1821</v>
      </c>
      <c r="H12" s="6" t="n">
        <v>-1080</v>
      </c>
      <c r="I12" s="6" t="n">
        <v>-197</v>
      </c>
    </row>
    <row r="13">
      <c r="A13" s="6" t="inlineStr">
        <is>
          <t>Purchase of investment securities</t>
        </is>
      </c>
      <c r="B13" s="6" t="n">
        <v>-820188</v>
      </c>
      <c r="C13" s="6" t="n"/>
      <c r="D13" s="6" t="n"/>
      <c r="E13" s="6" t="n"/>
      <c r="F13" s="6" t="n"/>
      <c r="G13" s="6" t="n"/>
      <c r="H13" s="6" t="n"/>
      <c r="I13" s="6" t="n"/>
    </row>
    <row r="14">
      <c r="A14" s="6" t="inlineStr">
        <is>
          <t>Sale of investment securities</t>
        </is>
      </c>
      <c r="B14" s="6" t="n">
        <v>447232</v>
      </c>
      <c r="C14" s="6" t="n"/>
      <c r="D14" s="6" t="n"/>
      <c r="E14" s="6" t="n"/>
      <c r="F14" s="6" t="n"/>
      <c r="G14" s="6" t="n"/>
      <c r="H14" s="6" t="n"/>
      <c r="I14" s="6" t="n"/>
    </row>
    <row r="15">
      <c r="A15" s="5" t="inlineStr">
        <is>
          <t>Net cash flows used in investing activities</t>
        </is>
      </c>
      <c r="B15" s="5" t="n">
        <v>-374939</v>
      </c>
      <c r="C15" s="5" t="n">
        <v>-1762</v>
      </c>
      <c r="D15" s="5" t="n">
        <v>-2469</v>
      </c>
      <c r="E15" s="5" t="n">
        <v>-4176</v>
      </c>
      <c r="F15" s="5" t="n">
        <v>-1538</v>
      </c>
      <c r="G15" s="5" t="n">
        <v>-1950</v>
      </c>
      <c r="H15" s="5" t="n">
        <v>-1117</v>
      </c>
      <c r="I15" s="5" t="n">
        <v>-211</v>
      </c>
    </row>
    <row r="16">
      <c r="A16" s="5" t="inlineStr">
        <is>
          <t>Financing activities</t>
        </is>
      </c>
      <c r="B16" s="6" t="n"/>
      <c r="C16" s="6" t="n"/>
      <c r="D16" s="6" t="n"/>
      <c r="E16" s="6" t="n"/>
      <c r="F16" s="6" t="n"/>
      <c r="G16" s="6" t="n"/>
      <c r="H16" s="6" t="n"/>
      <c r="I16" s="6" t="n"/>
    </row>
    <row r="17">
      <c r="A17" s="6" t="inlineStr">
        <is>
          <t>Issue of share capital</t>
        </is>
      </c>
      <c r="B17" s="6" t="n">
        <v>43129</v>
      </c>
      <c r="C17" s="6" t="n">
        <v>68951</v>
      </c>
      <c r="D17" s="6" t="n">
        <v>24262</v>
      </c>
      <c r="E17" s="6" t="n">
        <v>28167</v>
      </c>
      <c r="F17" s="6" t="n">
        <v>12019</v>
      </c>
      <c r="G17" s="6" t="n">
        <v>24488</v>
      </c>
      <c r="H17" s="6" t="n">
        <v>13</v>
      </c>
      <c r="I17" s="6" t="n">
        <v>4493</v>
      </c>
    </row>
    <row r="18">
      <c r="A18" s="6" t="inlineStr">
        <is>
          <t>Costs directly related to issue of share capital</t>
        </is>
      </c>
      <c r="B18" s="6" t="n">
        <v>-282</v>
      </c>
      <c r="C18" s="6" t="n">
        <v>-275</v>
      </c>
      <c r="D18" s="6" t="n">
        <v>-226</v>
      </c>
      <c r="E18" s="6" t="n">
        <v>-153</v>
      </c>
      <c r="F18" s="6" t="n">
        <v>-70</v>
      </c>
      <c r="G18" s="6" t="n"/>
      <c r="H18" s="6" t="n"/>
      <c r="I18" s="6" t="n"/>
    </row>
    <row r="19">
      <c r="A19" s="6" t="inlineStr">
        <is>
          <t>Increase in subordinated debt</t>
        </is>
      </c>
      <c r="B19" s="6" t="n">
        <v>16250</v>
      </c>
      <c r="C19" s="6" t="n">
        <v>2500</v>
      </c>
      <c r="D19" s="6" t="n">
        <v>7500</v>
      </c>
      <c r="E19" s="6" t="n">
        <v>7500</v>
      </c>
      <c r="F19" s="6" t="n">
        <v>0</v>
      </c>
      <c r="G19" s="6" t="n"/>
      <c r="H19" s="6" t="n"/>
      <c r="I19" s="6" t="n"/>
    </row>
    <row r="20">
      <c r="A20" s="6" t="inlineStr">
        <is>
          <t>Interest paid on subordinated debt</t>
        </is>
      </c>
      <c r="B20" s="6" t="n">
        <v>-2301</v>
      </c>
      <c r="C20" s="6" t="n">
        <v>-1873</v>
      </c>
      <c r="D20" s="6" t="n">
        <v>-1151</v>
      </c>
      <c r="E20" s="6" t="n">
        <v>0</v>
      </c>
      <c r="F20" s="6" t="n">
        <v>0</v>
      </c>
      <c r="G20" s="6" t="n"/>
      <c r="H20" s="6" t="n"/>
      <c r="I20" s="6" t="n"/>
    </row>
    <row r="21">
      <c r="A21" s="6" t="inlineStr">
        <is>
          <t>Interest paid on lease payments</t>
        </is>
      </c>
      <c r="B21" s="6" t="n">
        <v>-55</v>
      </c>
      <c r="C21" s="6" t="n">
        <v>-71</v>
      </c>
      <c r="D21" s="6" t="n">
        <v>-43</v>
      </c>
      <c r="E21" s="6" t="n">
        <v>-37</v>
      </c>
      <c r="F21" s="6" t="n">
        <v>0</v>
      </c>
      <c r="G21" s="6" t="n"/>
      <c r="H21" s="6" t="n"/>
      <c r="I21" s="6" t="n"/>
    </row>
    <row r="22">
      <c r="A22" s="6" t="inlineStr">
        <is>
          <t>Payments in relation to leases</t>
        </is>
      </c>
      <c r="B22" s="6" t="n">
        <v>-252</v>
      </c>
      <c r="C22" s="6" t="n">
        <v>-109</v>
      </c>
      <c r="D22" s="6" t="n">
        <v>-148</v>
      </c>
      <c r="E22" s="6" t="n">
        <v>-115</v>
      </c>
      <c r="F22" s="6" t="n">
        <v>-93</v>
      </c>
      <c r="G22" s="6" t="n"/>
      <c r="H22" s="6" t="n"/>
      <c r="I22" s="6" t="n"/>
    </row>
    <row r="23">
      <c r="A23" s="6" t="inlineStr">
        <is>
          <t>Rounding adjustment to FY2025 reported financing subtotal</t>
        </is>
      </c>
      <c r="B23" s="6" t="n">
        <v>1</v>
      </c>
      <c r="C23" s="6" t="n"/>
      <c r="D23" s="6" t="n"/>
      <c r="E23" s="6" t="n"/>
      <c r="F23" s="6" t="n"/>
      <c r="G23" s="6" t="n"/>
      <c r="H23" s="6" t="n"/>
      <c r="I23" s="6" t="n"/>
    </row>
    <row r="24">
      <c r="A24" s="5" t="inlineStr">
        <is>
          <t>Net cash flows from financing activities</t>
        </is>
      </c>
      <c r="B24" s="5" t="n">
        <v>56490</v>
      </c>
      <c r="C24" s="5" t="n">
        <v>69123</v>
      </c>
      <c r="D24" s="5" t="n">
        <v>30194</v>
      </c>
      <c r="E24" s="5" t="n">
        <v>35362</v>
      </c>
      <c r="F24" s="5" t="n">
        <v>11856</v>
      </c>
      <c r="G24" s="5" t="n">
        <v>24488</v>
      </c>
      <c r="H24" s="5" t="n">
        <v>13</v>
      </c>
      <c r="I24" s="5" t="n">
        <v>4493</v>
      </c>
    </row>
    <row r="25">
      <c r="A25" s="5" t="inlineStr">
        <is>
          <t>Net increase/(decrease) in cash and cash equivalents in the year</t>
        </is>
      </c>
      <c r="B25" s="5" t="n">
        <v>-64539</v>
      </c>
      <c r="C25" s="5" t="n">
        <v>948353</v>
      </c>
      <c r="D25" s="5" t="n">
        <v>398021</v>
      </c>
      <c r="E25" s="5" t="n">
        <v>95086</v>
      </c>
      <c r="F25" s="5" t="n">
        <v>31343</v>
      </c>
      <c r="G25" s="5" t="n">
        <v>18419</v>
      </c>
      <c r="H25" s="5" t="n">
        <v>-3008</v>
      </c>
      <c r="I25" s="5" t="n">
        <v>3804</v>
      </c>
    </row>
    <row r="26">
      <c r="A26" s="6" t="inlineStr">
        <is>
          <t>Cash and cash equivalents at start of year</t>
        </is>
      </c>
      <c r="B26" s="6" t="n">
        <v>1492018</v>
      </c>
      <c r="C26" s="6" t="n">
        <v>543665</v>
      </c>
      <c r="D26" s="6" t="n">
        <v>145644</v>
      </c>
      <c r="E26" s="6" t="n">
        <v>50558</v>
      </c>
      <c r="F26" s="6" t="n">
        <v>19215</v>
      </c>
      <c r="G26" s="6" t="n">
        <v>796</v>
      </c>
      <c r="H26" s="6" t="n">
        <v>3804</v>
      </c>
      <c r="I26" s="6" t="n">
        <v>0</v>
      </c>
    </row>
    <row r="27">
      <c r="A27" s="5" t="inlineStr">
        <is>
          <t>Cash and cash equivalents at end of year</t>
        </is>
      </c>
      <c r="B27" s="5" t="n">
        <v>1427479</v>
      </c>
      <c r="C27" s="5" t="n">
        <v>1492018</v>
      </c>
      <c r="D27" s="5" t="n">
        <v>543665</v>
      </c>
      <c r="E27" s="5" t="n">
        <v>145644</v>
      </c>
      <c r="F27" s="5" t="n">
        <v>50558</v>
      </c>
      <c r="G27" s="5" t="n">
        <v>19215</v>
      </c>
      <c r="H27" s="5" t="n">
        <v>796</v>
      </c>
      <c r="I27" s="5" t="n">
        <v>3804</v>
      </c>
    </row>
    <row r="29" ht="380" customHeight="1">
      <c r="A29" s="8" t="inlineStr">
        <is>
          <t>Sources - Oxbury Bank Plc Company/entity basis; all figures £'000:
FY2025 and restated FY2024: Oxbury Bank Plc Annual Report and Accounts 2025, pp.40-41, Company columns - https://www.oxbury.com/media/e3xppqoe/2025-company-accounts.pdf
FY2023: Oxbury Bank Plc Annual Report and Accounts 2024, pp.40-41, Company columns - https://www.oxbury.com/media/03rk55or/oxbury-2024-accounts-1pg.pdf
FY2022: Oxbury Bank Plc Annual Report and Accounts 2023, pp.40-41, Company columns; the report marks the affected comparative figures with an asterisk and explains the restatement in Note 31 - https://www.oxbury.com/media/dxeb3xqx/oxbury-bank-annual-accounts-31122023.pdf
FY2021: Oxbury Bank Plc Annual Report and Accounts 2022, p.39, Company columns - https://www.oxbury.com/media/brmf2riv/annual-report-2022.pdf
The FY2021 source report also reproduces the FY2021 statement in the 2021 Annual Report, p.35 - https://www.oxbury.com/media/g5xibgrw/annual-report-2021.pdf
FY2020: Oxbury Bank Plc Annual Report &amp; Accounts, year ended 31 December 2020, p.28 (single-entity Statement of Cash Flows, no Group/Company split yet) - Companies House filing, full accounts made up to 31 December 2020, filed 24 Jun 2021 - https://find-and-update.company-information.service.gov.uk/company/11383418/filing-history/MzMwNDYwNjI5NWFkaXF6a2N4/document?format=pdf&amp;download=0
FY2019: Oxbury Bank Plc (formerly Oxbury FS Plc) Annual Report 2019, p.17 - Companies House filing, full accounts made up to 31 December 2019, filed 1 Jul 2020 - https://find-and-update.company-information.service.gov.uk/company/11383418/filing-history/MzI2ODM0NjU4N2FkaXF6a2N4/document?format=pdf&amp;download=0
FY2018: Oxbury FS Plc 2018 Annual Report, p.11 (period from incorporation 25 May 2018 to 31 December 2018) - Companies House filing, full accounts made up to 31 December 2018, filed 25 Mar 2019 - https://find-and-update.company-information.service.gov.uk/company/11383418/filing-history/MzIzMDIwMjA0MGFkaXF6a2N4/document?format=pdf&amp;download=0
The FY2025 financing subtotal is £1k above the sum of the displayed rounded component lines; the explicit £1k rounding adjustment preserves the report's stated subtotal.
RESTATEMENT CHECK (re-verified for this extension): the FY2022 own-year Annual Report and Accounts 2022 (Company columns, pp.38-39) shows operating/investing/financing subtotals of 63,866/(4,192)/35,412 - each a few £k different from the 63,900/(4,176)/35,362 used here from the FY2023 report's restated comparative - but both vintages agree exactly on the net increase in cash (£95,086k), the opening cash balance (£50,558k) and the closing cash balance (£145,644k). The Note 31 restatement is therefore a reclassification of individual line items between the three cash-flow sections, not a change to any bottom-line cash figure - using the later, refined disclosure was a reasonable, immaterial choice.
FY2020 opening cash of £796k ties to FY2019's own closing cash; FY2019 opening cash of £3,804k ties to FY2018's own closing cash; FY2020's own closing cash of £19,215k ties exactly to the FY2021 sheet's own opening balance above - the full FY2018-FY2025 ladder reconciles with zero plug rows.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29:I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Asset Quality</t>
        </is>
      </c>
    </row>
    <row r="2">
      <c r="A2" s="2" t="inlineStr">
        <is>
          <t>Company/entity-level basis, £'000. Loans and advances to customers, IFRS 9 stage 1/2/3 split. FY2018-FY2020 are blank throughout - the bank had not yet launched (Loans and Advances to Customers was an explicit £0 on the Balance Sheet for FY2020, and did not exist as a line item at all for FY2018-FY2019), so there is genuinely no loan book to analyse for those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and advances to customers, by IFRS 9 stage (gross carrying amount)</t>
        </is>
      </c>
      <c r="B4" s="6" t="n"/>
      <c r="C4" s="6" t="n"/>
      <c r="D4" s="6" t="n"/>
      <c r="E4" s="6" t="n"/>
      <c r="F4" s="6" t="n"/>
      <c r="G4" s="6" t="n"/>
      <c r="H4" s="6" t="n"/>
      <c r="I4" s="6" t="n"/>
    </row>
    <row r="5">
      <c r="A5" s="6" t="inlineStr">
        <is>
          <t>Stage 1 gross carrying amount</t>
        </is>
      </c>
      <c r="B5" s="6" t="n">
        <v>1711257</v>
      </c>
      <c r="C5" s="6" t="n">
        <v>1009280</v>
      </c>
      <c r="D5" s="6" t="n">
        <v>597332</v>
      </c>
      <c r="E5" s="6" t="n"/>
      <c r="F5" s="6" t="n"/>
      <c r="G5" s="6" t="n"/>
      <c r="H5" s="6" t="n"/>
      <c r="I5" s="6" t="n"/>
    </row>
    <row r="6">
      <c r="A6" s="6" t="inlineStr">
        <is>
          <t>Stage 2 gross carrying amount</t>
        </is>
      </c>
      <c r="B6" s="6" t="n">
        <v>33224</v>
      </c>
      <c r="C6" s="6" t="n">
        <v>12698</v>
      </c>
      <c r="D6" s="6" t="n">
        <v>8303</v>
      </c>
      <c r="E6" s="6" t="n"/>
      <c r="F6" s="6" t="n"/>
      <c r="G6" s="6" t="n"/>
      <c r="H6" s="6" t="n"/>
      <c r="I6" s="6" t="n"/>
    </row>
    <row r="7">
      <c r="A7" s="6" t="inlineStr">
        <is>
          <t>Stage 3 gross carrying amount</t>
        </is>
      </c>
      <c r="B7" s="6" t="n">
        <v>6458</v>
      </c>
      <c r="C7" s="6" t="n">
        <v>5190</v>
      </c>
      <c r="D7" s="6" t="n">
        <v>621</v>
      </c>
      <c r="E7" s="6" t="n"/>
      <c r="F7" s="6" t="n"/>
      <c r="G7" s="6" t="n"/>
      <c r="H7" s="6" t="n"/>
      <c r="I7" s="6" t="n"/>
    </row>
    <row r="8">
      <c r="A8" s="5" t="inlineStr">
        <is>
          <t>Gross carrying amount</t>
        </is>
      </c>
      <c r="B8" s="5" t="n">
        <v>1750938</v>
      </c>
      <c r="C8" s="5" t="n">
        <v>1027168</v>
      </c>
      <c r="D8" s="5" t="n">
        <v>606256</v>
      </c>
      <c r="E8" s="5" t="n">
        <v>349676</v>
      </c>
      <c r="F8" s="5" t="n"/>
      <c r="G8" s="5" t="n"/>
      <c r="H8" s="5" t="n"/>
      <c r="I8" s="5" t="n"/>
    </row>
    <row r="9">
      <c r="A9" s="6" t="inlineStr">
        <is>
          <t>Stage 1 ECL allowance</t>
        </is>
      </c>
      <c r="B9" s="6" t="n">
        <v>-1957</v>
      </c>
      <c r="C9" s="6" t="n">
        <v>-1236</v>
      </c>
      <c r="D9" s="6" t="n">
        <v>-507</v>
      </c>
      <c r="E9" s="6" t="n"/>
      <c r="F9" s="6" t="n"/>
      <c r="G9" s="6" t="n"/>
      <c r="H9" s="6" t="n"/>
      <c r="I9" s="6" t="n"/>
    </row>
    <row r="10">
      <c r="A10" s="6" t="inlineStr">
        <is>
          <t>Stage 2 ECL allowance</t>
        </is>
      </c>
      <c r="B10" s="6" t="n">
        <v>-268</v>
      </c>
      <c r="C10" s="6" t="n">
        <v>-45</v>
      </c>
      <c r="D10" s="6" t="n">
        <v>-31</v>
      </c>
      <c r="E10" s="6" t="n"/>
      <c r="F10" s="6" t="n"/>
      <c r="G10" s="6" t="n"/>
      <c r="H10" s="6" t="n"/>
      <c r="I10" s="6" t="n"/>
    </row>
    <row r="11">
      <c r="A11" s="6" t="inlineStr">
        <is>
          <t>Stage 3 ECL allowance</t>
        </is>
      </c>
      <c r="B11" s="6" t="n">
        <v>-269</v>
      </c>
      <c r="C11" s="6" t="n">
        <v>-63</v>
      </c>
      <c r="D11" s="6" t="n">
        <v>-7</v>
      </c>
      <c r="E11" s="6" t="n"/>
      <c r="F11" s="6" t="n"/>
      <c r="G11" s="6" t="n"/>
      <c r="H11" s="6" t="n"/>
      <c r="I11" s="6" t="n"/>
    </row>
    <row r="12">
      <c r="A12" s="5" t="inlineStr">
        <is>
          <t>ECL allowance</t>
        </is>
      </c>
      <c r="B12" s="5" t="n">
        <v>-2494</v>
      </c>
      <c r="C12" s="5" t="n">
        <v>-1344</v>
      </c>
      <c r="D12" s="5" t="n">
        <v>-545</v>
      </c>
      <c r="E12" s="5" t="n">
        <v>-144</v>
      </c>
      <c r="F12" s="5" t="n"/>
      <c r="G12" s="5" t="n"/>
      <c r="H12" s="5" t="n"/>
      <c r="I12" s="5" t="n"/>
    </row>
    <row r="13">
      <c r="A13" s="6" t="inlineStr">
        <is>
          <t>Stage 1 net carrying amount</t>
        </is>
      </c>
      <c r="B13" s="6" t="n">
        <v>1709300</v>
      </c>
      <c r="C13" s="6" t="n">
        <v>1008044</v>
      </c>
      <c r="D13" s="6" t="n">
        <v>596825</v>
      </c>
      <c r="E13" s="6" t="n">
        <v>346425</v>
      </c>
      <c r="F13" s="6" t="n"/>
      <c r="G13" s="6" t="n"/>
      <c r="H13" s="6" t="n"/>
      <c r="I13" s="6" t="n"/>
    </row>
    <row r="14">
      <c r="A14" s="6" t="inlineStr">
        <is>
          <t>Stage 2 net carrying amount</t>
        </is>
      </c>
      <c r="B14" s="6" t="n">
        <v>32956</v>
      </c>
      <c r="C14" s="6" t="n">
        <v>12653</v>
      </c>
      <c r="D14" s="6" t="n">
        <v>8272</v>
      </c>
      <c r="E14" s="6" t="n">
        <v>2602</v>
      </c>
      <c r="F14" s="6" t="n"/>
      <c r="G14" s="6" t="n"/>
      <c r="H14" s="6" t="n"/>
      <c r="I14" s="6" t="n"/>
    </row>
    <row r="15">
      <c r="A15" s="6" t="inlineStr">
        <is>
          <t>Stage 3 net carrying amount</t>
        </is>
      </c>
      <c r="B15" s="6" t="n">
        <v>6189</v>
      </c>
      <c r="C15" s="6" t="n">
        <v>5127</v>
      </c>
      <c r="D15" s="6" t="n">
        <v>614</v>
      </c>
      <c r="E15" s="6" t="n">
        <v>505</v>
      </c>
      <c r="F15" s="6" t="n"/>
      <c r="G15" s="6" t="n"/>
      <c r="H15" s="6" t="n"/>
      <c r="I15" s="6" t="n"/>
    </row>
    <row r="16">
      <c r="A16" s="5" t="inlineStr">
        <is>
          <t>Net carrying amount</t>
        </is>
      </c>
      <c r="B16" s="5" t="n">
        <v>1748444</v>
      </c>
      <c r="C16" s="5" t="n">
        <v>1025824</v>
      </c>
      <c r="D16" s="5" t="n">
        <v>605711</v>
      </c>
      <c r="E16" s="5" t="n">
        <v>349532</v>
      </c>
      <c r="F16" s="5" t="n">
        <v>110545</v>
      </c>
      <c r="G16" s="5" t="n">
        <v>0</v>
      </c>
      <c r="H16" s="5" t="n"/>
      <c r="I16" s="5" t="n"/>
    </row>
    <row r="17">
      <c r="A17" s="6" t="inlineStr">
        <is>
          <t>Stage 3 as % of gross carrying amount (NPL ratio)</t>
        </is>
      </c>
      <c r="B17" s="6" t="inlineStr">
        <is>
          <t>0.37%</t>
        </is>
      </c>
      <c r="C17" s="6" t="inlineStr">
        <is>
          <t>0.51%</t>
        </is>
      </c>
      <c r="D17" s="6" t="inlineStr">
        <is>
          <t>0.10%</t>
        </is>
      </c>
      <c r="E17" s="6" t="n"/>
      <c r="F17" s="6" t="n"/>
      <c r="G17" s="6" t="n"/>
      <c r="H17" s="6" t="n"/>
      <c r="I17" s="6" t="n"/>
    </row>
    <row r="18">
      <c r="A18" s="6" t="inlineStr">
        <is>
          <t>ECL allowance as % of gross carrying amount (coverage)</t>
        </is>
      </c>
      <c r="B18" s="6" t="inlineStr">
        <is>
          <t>0.14%</t>
        </is>
      </c>
      <c r="C18" s="6" t="inlineStr">
        <is>
          <t>0.13%</t>
        </is>
      </c>
      <c r="D18" s="6" t="inlineStr">
        <is>
          <t>0.09%</t>
        </is>
      </c>
      <c r="E18" s="6" t="inlineStr">
        <is>
          <t>0.04%</t>
        </is>
      </c>
      <c r="F18" s="6" t="n"/>
      <c r="G18" s="6" t="n"/>
      <c r="H18" s="6" t="n"/>
      <c r="I18" s="6" t="n"/>
    </row>
    <row r="20" ht="380" customHeight="1">
      <c r="A20"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
Stage-split note references: FY2025 Annual Report and Accounts 2025 p.53 (Note 4.11); FY2024 Annual Report and Accounts 2024 p.51 (Note); FY2023 Annual Report and Accounts 2024 p.51 (comparative note, closing balance) and Annual Report and Accounts 2023 p.27 (own-year note) - https://www.oxbury.com/media/03rk55or/oxbury-2024-accounts-1pg.pdf / https://www.oxbury.com/media/dxeb3xqx/oxbury-bank-annual-accounts-31122023.pdf; FY2022 is only disclosed net of ECL, via the Annual Report and Accounts 2023 p.27 roll-forward's own '1 January 2023' opening balance - https://www.oxbury.com/media/dxeb3xqx/oxbury-bank-annual-accounts-31122023.pdf; FY2021's cumulative £85k provision movement is from the Cash Flow Statement's own 'increase in impairment provisions on loans and advances' line, no stage split disclosed that early.
DATA QUALITY NOTE: FY2024's gross/stage/ECL figures above are the Annual Report and Accounts 2024's own originally-published closing figures (net total £1,025,824k). The Annual Report and Accounts 2025 later restates FY2024's net loans to £1,021,621k (used on the Balance Sheet and Overview sheets, per a deferred income/deferred cost restatement described in that report's Note 25) but does not disclose a restated stage-level split - both figures are genuine Bank disclosures from different report vintages, shown as each report states them rather than blended.
FY2022's Stage 1/2/3 figures are net of ECL (the only granularity disclosed for that year); FY2022's Gross carrying amount and ECL allowance TOTAL rows are the combined (non-stage-split) figures the Bank discloses for that year, so FY2022's coverage ratio is computed on a different basis (net-stage/gross-total) than other years - not directly comparable stage-for-stage.</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192855</v>
      </c>
      <c r="C4" s="6" t="n">
        <v>142312</v>
      </c>
      <c r="D4" s="6" t="n">
        <v>68026</v>
      </c>
      <c r="E4" s="6" t="n">
        <v>45557</v>
      </c>
      <c r="F4" s="6" t="inlineStr">
        <is>
          <t>Not publicly disclosed</t>
        </is>
      </c>
      <c r="G4" s="6" t="n"/>
      <c r="H4" s="6" t="n"/>
      <c r="I4" s="6" t="n"/>
    </row>
    <row r="5" ht="60" customHeight="1">
      <c r="A5" s="7" t="inlineStr">
        <is>
          <t>Note: FY2025 and FY2024 RECOVERED 2026-09-15 and previously blank - the December 2025 and December 2024 Pillar 3 editions were found on the Bank's own listing page, which three earlier passes had recorded as carrying only the 2023 edition (see the PILLAR 3 DISCOVERY NOTE). Both editions state FY2024 as 142,312, so that year has two independent sources. All four years are the CC1 'Total Common Equity Tier 1 (CET1) capital' line, which equals the KM1 'Common Equity Tier 1' row in every edition. FY2021 is an ENUMERATED negative, not an unchecked blank: no Pillar 3 edition reaches back that far and both Annual Reports covering FY2021 carry a purely narrative Note 18 with no capital amount at all - see the source citation. Genuinely not disclosed (no Pillar 3 requirement yet) for FY2020-FY2018.</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16.51%</t>
        </is>
      </c>
      <c r="C4" s="6" t="inlineStr">
        <is>
          <t>20.79%</t>
        </is>
      </c>
      <c r="D4" s="6" t="inlineStr">
        <is>
          <t>15.94%</t>
        </is>
      </c>
      <c r="E4" s="6" t="inlineStr">
        <is>
          <t>16.16%</t>
        </is>
      </c>
      <c r="F4" s="6" t="inlineStr">
        <is>
          <t>23%</t>
        </is>
      </c>
      <c r="G4" s="6" t="n"/>
      <c r="H4" s="6" t="n"/>
      <c r="I4" s="6" t="n"/>
    </row>
    <row r="5" ht="60" customHeight="1">
      <c r="A5" s="7" t="inlineStr">
        <is>
          <t>Note: FY2025 and FY2024 RECOVERED 2026-09-15 and previously blank - from the newly-found December 2025 and December 2024 Pillar 3 editions, where the figure is printed both in the KM1 key-metrics table and again in the CC1 table as 'Common Equity Tier 1 capital (% rwa)'. Both editions agree on FY2024 (20.79%). FY2021 is a different and weaker thing: the annual-report KPI table's single combined ‘CET1 / Total Capital Ratio - Dec-21’ line, which does not separate the two measures, and whose own FY2022-report comparative says 25% rather than 23% - the own-year 23% is used. Genuinely not disclosed for FY2020-FY2018.</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Tier 1 capital</t>
        </is>
      </c>
      <c r="B4" s="6" t="n">
        <v>192855</v>
      </c>
      <c r="C4" s="6" t="n">
        <v>142312</v>
      </c>
      <c r="D4" s="6" t="n">
        <v>68026</v>
      </c>
      <c r="E4" s="6" t="n">
        <v>45557</v>
      </c>
      <c r="F4" s="6" t="inlineStr">
        <is>
          <t>Not publicly disclosed</t>
        </is>
      </c>
      <c r="G4" s="6" t="n"/>
      <c r="H4" s="6" t="n"/>
      <c r="I4" s="6" t="n"/>
    </row>
    <row r="5" ht="60" customHeight="1">
      <c r="A5" s="7" t="inlineStr">
        <is>
          <t>Note: FY2025 and FY2024 RECOVERED 2026-09-15 and previously blank - the CC1 'Total Tier 1 capital' line of the newly-found December 2025 and December 2024 Pillar 3 editions. Equal to CET1 capital in every disclosed year: Oxbury holds no Additional Tier 1 instruments, and each edition's CC1 prints the two lines with identical values. FY2021 is an enumerated negative - see the CET1 Capital sheet's note and the source citation. Genuinely not disclosed for FY2020-FY2018.</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 ratio</t>
        </is>
      </c>
      <c r="B4" s="6" t="inlineStr">
        <is>
          <t>16.51%</t>
        </is>
      </c>
      <c r="C4" s="6" t="inlineStr">
        <is>
          <t>20.79%</t>
        </is>
      </c>
      <c r="D4" s="6" t="inlineStr">
        <is>
          <t>15.94%</t>
        </is>
      </c>
      <c r="E4" s="6" t="inlineStr">
        <is>
          <t>16.16%</t>
        </is>
      </c>
      <c r="F4" s="6" t="inlineStr">
        <is>
          <t>23%</t>
        </is>
      </c>
      <c r="G4" s="6" t="n"/>
      <c r="H4" s="6" t="n"/>
      <c r="I4" s="6" t="n"/>
    </row>
    <row r="5" ht="60" customHeight="1">
      <c r="A5" s="7" t="inlineStr">
        <is>
          <t>Note: BASIS NOTE, applying to every year: Oxbury's Pillar 3 templates print no separate Tier 1 ratio row - the KM1 gives only a CET1 ratio and a Total capital ratio. The figures here are the CET1 ratio, which is the Tier 1 ratio for this bank as an identity rather than a derivation: each edition's CC1 prints Total Tier 1 capital and Total CET1 capital as the same number (FY2025 192,855; FY2024 142,312; FY2023 68,026; FY2022 45,557) because Oxbury holds no Additional Tier 1, so the same numerator over the same denominator gives the same ratio. Nothing is computed from two other figures. FY2025/FY2024 extended 2026-09-15 from the newly-found Pillar 3 editions. FY2021 is the annual-report KPI's single combined ‘CET1 / Total Capital Ratio’ line, the only capital-ratio measure disclosed for that year. Genuinely not disclosed for FY2020-FY2018.</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regulatory capital</t>
        </is>
      </c>
      <c r="B4" s="6" t="n">
        <v>226552</v>
      </c>
      <c r="C4" s="6" t="n">
        <v>159812</v>
      </c>
      <c r="D4" s="6" t="n">
        <v>82214</v>
      </c>
      <c r="E4" s="6" t="n">
        <v>53057</v>
      </c>
      <c r="F4" s="6" t="inlineStr">
        <is>
          <t>Not publicly disclosed</t>
        </is>
      </c>
      <c r="G4" s="6" t="n"/>
      <c r="H4" s="6" t="n"/>
      <c r="I4" s="6" t="n"/>
    </row>
    <row r="5">
      <c r="A5" s="6" t="inlineStr">
        <is>
          <t>of which: Total Tier 2 capital (subordinated debt)</t>
        </is>
      </c>
      <c r="B5" s="6" t="n">
        <v>33697</v>
      </c>
      <c r="C5" s="6" t="n">
        <v>17500</v>
      </c>
      <c r="D5" s="6" t="n">
        <v>14188</v>
      </c>
      <c r="E5" s="6" t="n">
        <v>7500</v>
      </c>
      <c r="F5" s="6" t="inlineStr">
        <is>
          <t>Not publicly disclosed</t>
        </is>
      </c>
      <c r="G5" s="6" t="n"/>
      <c r="H5" s="6" t="n"/>
      <c r="I5" s="6" t="n"/>
    </row>
    <row r="6" ht="60" customHeight="1">
      <c r="A6" s="7" t="inlineStr">
        <is>
          <t>Note: FY2025 and FY2024 RECOVERED 2026-09-15 and previously blank. IMPORTANT - these come from the CC1 table's 'Total regulatory capital' line, NOT from the KM1 'Total capital' row, which is defective in all three Pillar 3 editions: KM1 simply repeats the CET1 figure and omits Tier 2 altogether. The Bank's own printed Total capital ratio settles which is right - 226,552/1,168,300 = 19.39% and 159,812/684,357 = 23.35%, both matching the printed percentages to the decimal, whereas the KM1 numerators do not. The second row breaks out the Tier 2 component so the composition is visible; it is the CC1 'Total Tier 2 capital' line (subordinated debt) and is printed, not inferred. FY2021 is an enumerated negative - see the CET1 Capital sheet's note. Genuinely not disclosed for FY2020-FY2018.</t>
        </is>
      </c>
    </row>
    <row r="8" ht="180" customHeight="1">
      <c r="A8"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8:I8"/>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19.39%</t>
        </is>
      </c>
      <c r="C4" s="6" t="inlineStr">
        <is>
          <t>23.35%</t>
        </is>
      </c>
      <c r="D4" s="6" t="inlineStr">
        <is>
          <t>19.27%</t>
        </is>
      </c>
      <c r="E4" s="6" t="inlineStr">
        <is>
          <t>18.81%</t>
        </is>
      </c>
      <c r="F4" s="6" t="inlineStr">
        <is>
          <t>23%</t>
        </is>
      </c>
      <c r="G4" s="6" t="n"/>
      <c r="H4" s="6" t="n"/>
      <c r="I4" s="6" t="n"/>
    </row>
    <row r="5" ht="60" customHeight="1">
      <c r="A5" s="7" t="inlineStr">
        <is>
          <t>Note: FY2025 and FY2024 REPLACED 2026-09-15. They previously read 18.8% and 22.5%, the rounded Company Key Performance Indicators from the Annual Report; they now read 19.39% and 23.35%, the Pillar 3 KM1/CC1 figures from the newly-found December 2025 and December 2024 editions. This is not a correction of an error - the AR KPI is defined in its own footnote as 'Total Available Regulatory Capital / Total Risk Weighted Assets', the same measure - but the Pillar 3 template is the primary regulatory source and is stated to two decimals, so the whole row now sits on one basis for FY2022-FY2025 instead of switching sources mid-row. Both Pillar 3 editions agree on FY2024. FY2021 remains the annual-report KPI's single combined ‘CET1 / Total Capital Ratio’ line. Genuinely not disclosed for FY2020-FY2018.</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assets</t>
        </is>
      </c>
      <c r="B4" s="6" t="n">
        <v>1168300</v>
      </c>
      <c r="C4" s="6" t="n">
        <v>684357</v>
      </c>
      <c r="D4" s="6" t="n">
        <v>426705</v>
      </c>
      <c r="E4" s="6" t="n">
        <v>282001</v>
      </c>
      <c r="F4" s="6" t="inlineStr">
        <is>
          <t>Not publicly disclosed</t>
        </is>
      </c>
      <c r="G4" s="6" t="n"/>
      <c r="H4" s="6" t="n"/>
      <c r="I4" s="6" t="n"/>
    </row>
    <row r="5" ht="60" customHeight="1">
      <c r="A5" s="7" t="inlineStr">
        <is>
          <t>Note: FY2025 and FY2024 RECOVERED 2026-09-15 and previously blank - from the newly-found December 2025 and December 2024 Pillar 3 editions, where the figure appears three times in agreement (KM1 'Total risk-weighted exposure amount', OV1 'Total', and CC1 'Total risk-weighted assets'), and both editions agree on FY2024. FY2021 is an ENUMERATED negative, not an unchecked blank: no Pillar 3 edition reaches FY2021, and neither Annual Report covering it publishes an RWA figure - Note 18 is narrative only. Deliberately NOT back-solved from the FY2021 KPI ratios, which would manufacture a figure appearing in no source. Genuinely not disclosed for FY2020-FY2018 (pre-launch/mobilisation, no RWA calculation published).</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RWA Breakdown</t>
        </is>
      </c>
    </row>
    <row r="2">
      <c r="A2" s="2" t="inlineStr">
        <is>
          <t>Company/entity-level basis, £'000. Pillar 3 UK OV1 template (4.4 Overview of risk weighted exposure amounts). Counterparty credit risk is disclosed as nil in every year. FY2025 and FY2024 added 2026-09-15 from the newly-found December 2025 and December 2024 Pillar 3 editions (see the PILLAR 3 DISCOVERY NOTE). FY2021 and FY2020-FY2018 remain blank - no RWA breakdown exists for those years (FY2021's Annual Report note is narrative only; FY2020-FY2018 predate any Pillar 3 obligation).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Credit Risk (excluding CCR) - standardised approach</t>
        </is>
      </c>
      <c r="B4" s="6" t="n">
        <v>1168300</v>
      </c>
      <c r="C4" s="6" t="n">
        <v>684357</v>
      </c>
      <c r="D4" s="6" t="n">
        <v>426705</v>
      </c>
      <c r="E4" s="6" t="n">
        <v>282001</v>
      </c>
      <c r="F4" s="6" t="n"/>
      <c r="G4" s="6" t="n"/>
      <c r="H4" s="6" t="n"/>
      <c r="I4" s="6" t="n"/>
    </row>
    <row r="5">
      <c r="A5" s="6" t="inlineStr">
        <is>
          <t>Counterparty credit risk (CCR)</t>
        </is>
      </c>
      <c r="B5" s="6" t="n">
        <v>0</v>
      </c>
      <c r="C5" s="6" t="n">
        <v>0</v>
      </c>
      <c r="D5" s="6" t="n">
        <v>0</v>
      </c>
      <c r="E5" s="6" t="n">
        <v>0</v>
      </c>
      <c r="F5" s="6" t="n"/>
      <c r="G5" s="6" t="n"/>
      <c r="H5" s="6" t="n"/>
      <c r="I5" s="6" t="n"/>
    </row>
    <row r="6">
      <c r="A6" s="6" t="inlineStr">
        <is>
          <t>Operational risk - basic indicator approach</t>
        </is>
      </c>
      <c r="B6" s="6" t="n">
        <v>35232</v>
      </c>
      <c r="C6" s="6" t="n">
        <v>15763</v>
      </c>
      <c r="D6" s="6" t="n">
        <v>18622</v>
      </c>
      <c r="E6" s="6" t="n">
        <v>9411</v>
      </c>
      <c r="F6" s="6" t="n"/>
      <c r="G6" s="6" t="n"/>
      <c r="H6" s="6" t="n"/>
      <c r="I6" s="6" t="n"/>
    </row>
    <row r="7">
      <c r="A7" s="5" t="inlineStr">
        <is>
          <t>Total risk weighted exposure amount (as disclosed - see data quality note)</t>
        </is>
      </c>
      <c r="B7" s="5" t="n">
        <v>1168300</v>
      </c>
      <c r="C7" s="5" t="n">
        <v>684357</v>
      </c>
      <c r="D7" s="5" t="n">
        <v>426705</v>
      </c>
      <c r="E7" s="5" t="n">
        <v>282001</v>
      </c>
      <c r="F7" s="5" t="n"/>
      <c r="G7" s="5" t="n"/>
      <c r="H7" s="5" t="n"/>
      <c r="I7" s="5" t="n"/>
    </row>
    <row r="9" ht="200" customHeight="1">
      <c r="A9"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
DATA QUALITY NOTE - PERSISTENT ACROSS ALL THREE PILLAR 3 EDITIONS, AND REPRODUCED NOT CORRECTED: the source OV1 table's own 'Total' row equals the Credit Risk row ALONE and excludes the separately-disclosed Operational risk row, in every year. FY2025 Total 1,168,300 = Credit Risk 1,168,300 with Operational risk 35,232 sitting outside it; FY2024 684,357 = 684,357 with 15,763 outside; FY2023 426,705 with 18,622 outside; FY2022 282,001 with 9,411 outside. Adding the two would give a larger number in all four years. This was previously recorded as an 'apparent inconsistency' visible in one edition; finding the same pattern in the December 2024 and December 2025 editions (checked 2026-09-15) shows it is a settled feature of Oxbury's template rather than a one-off slip, and confirms the reproduce-as-disclosed decision. The 'Total' row is the operative figure: it ties exactly to the KM1 'Total risk-weighted exposure amount' and to the CC1 'Total risk-weighted assets' in the same document, and it is the denominator that reproduces the Bank's own printed capital ratios (192,855 / 1,168,300 = 16.51%, the printed FY2025 CET1 ratio). Do not sum the component rows to 'fix' the total - doing so would break the tie to every ratio in this workbook.</t>
        </is>
      </c>
    </row>
  </sheetData>
  <mergeCells count="1">
    <mergeCell ref="A9:I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 excluding claims on central banks</t>
        </is>
      </c>
      <c r="B4" s="6" t="inlineStr">
        <is>
          <t>9.40%</t>
        </is>
      </c>
      <c r="C4" s="6" t="inlineStr">
        <is>
          <t>12.66%</t>
        </is>
      </c>
      <c r="D4" s="6" t="inlineStr">
        <is>
          <t>10.69%</t>
        </is>
      </c>
      <c r="E4" s="6" t="inlineStr">
        <is>
          <t>12.17%</t>
        </is>
      </c>
      <c r="F4" s="6" t="inlineStr">
        <is>
          <t>15%</t>
        </is>
      </c>
      <c r="G4" s="6" t="n"/>
      <c r="H4" s="6" t="n"/>
      <c r="I4" s="6" t="n"/>
    </row>
    <row r="5">
      <c r="A5" s="6" t="inlineStr">
        <is>
          <t>Leverage ratio total exposure measure, excluding claims on central banks (£'000)</t>
        </is>
      </c>
      <c r="B5" s="6" t="n">
        <v>2050662</v>
      </c>
      <c r="C5" s="6" t="n">
        <v>1077236</v>
      </c>
      <c r="D5" s="6" t="n">
        <v>636500</v>
      </c>
      <c r="E5" s="6" t="n">
        <v>374370</v>
      </c>
      <c r="F5" s="6" t="inlineStr">
        <is>
          <t>Not publicly disclosed</t>
        </is>
      </c>
      <c r="G5" s="6" t="n"/>
      <c r="H5" s="6" t="n"/>
      <c r="I5" s="6" t="n"/>
    </row>
    <row r="6" ht="60" customHeight="1">
      <c r="A6" s="7" t="inlineStr">
        <is>
          <t>Note: FY2025 and FY2024 REPLACED 2026-09-15: they previously read 9.2% and 12.7%, the Annual Report's rounded 'Leverage Ratio - December' KPI, and now read 9.40% and 12.66% from the newly-found December 2025 and December 2024 Pillar 3 editions' KM1. The two sources agree to rounding, so this is a precision and single-basis improvement rather than a correction, and FY2022-FY2025 now all come from the same Pillar 3 row. Both editions agree on FY2024. The exposure-measure row was added at the same time from the same KM1 block, and makes the basis explicit - Oxbury reports the EXCLUDING-claims-on-central-banks measure in every edition, so do not compare this row like-for-like against a bank reporting the including-central-banks variant. FY2021 keeps the annual-report KPI ratio (15%) but has no published exposure measure. Genuinely not disclosed for FY2020-FY2018.</t>
        </is>
      </c>
    </row>
    <row r="8" ht="180" customHeight="1">
      <c r="A8"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8:I8"/>
    <mergeCell ref="A6:I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 (%) - Pillar 3 KM1, weighted-average basis</t>
        </is>
      </c>
      <c r="B4" s="6" t="inlineStr">
        <is>
          <t>340.1%</t>
        </is>
      </c>
      <c r="C4" s="6" t="inlineStr">
        <is>
          <t>465.3%</t>
        </is>
      </c>
      <c r="D4" s="6" t="inlineStr">
        <is>
          <t>545.2%</t>
        </is>
      </c>
      <c r="E4" s="6" t="inlineStr">
        <is>
          <t>2,132%</t>
        </is>
      </c>
      <c r="F4" s="6" t="inlineStr">
        <is>
          <t>Not publicly disclosed</t>
        </is>
      </c>
      <c r="G4" s="6" t="n"/>
      <c r="H4" s="6" t="n"/>
      <c r="I4" s="6" t="n"/>
    </row>
    <row r="5">
      <c r="A5" s="6" t="inlineStr">
        <is>
          <t>Liquidity coverage ratio (%) - Annual Report KPI, point-in-time at 31 December</t>
        </is>
      </c>
      <c r="B5" s="6" t="inlineStr">
        <is>
          <t>296%</t>
        </is>
      </c>
      <c r="C5" s="6" t="inlineStr">
        <is>
          <t>460%</t>
        </is>
      </c>
      <c r="D5" s="6" t="inlineStr">
        <is>
          <t>614%</t>
        </is>
      </c>
      <c r="E5" s="6" t="inlineStr">
        <is>
          <t>2,819%</t>
        </is>
      </c>
      <c r="F5" s="6" t="inlineStr">
        <is>
          <t>1,090%</t>
        </is>
      </c>
      <c r="G5" s="6" t="n"/>
      <c r="H5" s="6" t="n"/>
      <c r="I5" s="6" t="n"/>
    </row>
    <row r="6">
      <c r="A6" s="6" t="inlineStr">
        <is>
          <t>Total high-quality liquid assets, weighted value - average (£'000)</t>
        </is>
      </c>
      <c r="B6" s="6" t="n">
        <v>1512803</v>
      </c>
      <c r="C6" s="6" t="n">
        <v>1510275</v>
      </c>
      <c r="D6" s="6" t="n">
        <v>525527</v>
      </c>
      <c r="E6" s="6" t="n">
        <v>107106</v>
      </c>
      <c r="F6" s="6" t="inlineStr">
        <is>
          <t>Not publicly disclosed</t>
        </is>
      </c>
      <c r="G6" s="6" t="n"/>
      <c r="H6" s="6" t="n"/>
      <c r="I6" s="6" t="n"/>
    </row>
    <row r="7">
      <c r="A7" s="6" t="inlineStr">
        <is>
          <t>Total net cash outflow (£'000)</t>
        </is>
      </c>
      <c r="B7" s="6" t="n">
        <v>444827</v>
      </c>
      <c r="C7" s="6" t="n">
        <v>324591</v>
      </c>
      <c r="D7" s="6" t="n">
        <v>99162</v>
      </c>
      <c r="E7" s="6" t="n">
        <v>8886</v>
      </c>
      <c r="F7" s="6" t="inlineStr">
        <is>
          <t>Not publicly disclosed</t>
        </is>
      </c>
      <c r="G7" s="6" t="n"/>
      <c r="H7" s="6" t="n"/>
      <c r="I7" s="6" t="n"/>
    </row>
    <row r="8" ht="60" customHeight="1">
      <c r="A8" s="7" t="inlineStr">
        <is>
          <t>Note: TWO BASES, DELIBERATELY SPLIT ONTO SEPARATE ROWS 2026-09-15 - DO NOT MERGE THEM INTO ONE SERIES. Before this pass a single row silently mixed them: FY2025/FY2024 held the Annual Report's point-in-time KPI while FY2023/FY2022 held the Pillar 3 average, so the row stepped between two different measures mid-series. Row 1 is the Pillar 3 KM1 ratio, whose own HQLA line is labelled 'Weighted value-average'. Row 2 is the Annual Report KPI, labelled 'Liquidity Coverage Ratio - December' and footnoted 'High Quality Liquid Assets / Total net cash outflows over the subsequent 30-day period' - a year-end snapshot. The gap between them is large and not a rounding artefact (FY2025: 340.1% average vs 296% point-in-time, 44pp), which is exactly why they cannot share a row. FY2025/FY2024 row 1 RECOVERED from the newly-found Pillar 3 editions, which also reproduce FY2023's 545.2%-versus-529.9% discrepancy discussed in the source citation - that is NOT reconciled here. FY2021 has only the point-in-time KPI. Genuinely not disclosed for FY2020-FY2018.</t>
        </is>
      </c>
    </row>
    <row r="10" ht="180" customHeight="1">
      <c r="A10"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10:I10"/>
    <mergeCell ref="A8:I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Net Stable Funding Ratio</t>
        </is>
      </c>
      <c r="B4" s="6" t="inlineStr">
        <is>
          <t>160.6%</t>
        </is>
      </c>
      <c r="C4" s="6" t="inlineStr">
        <is>
          <t>262.7%</t>
        </is>
      </c>
      <c r="D4" s="6" t="inlineStr">
        <is>
          <t>201.1%</t>
        </is>
      </c>
      <c r="E4" s="6" t="inlineStr">
        <is>
          <t>149.1%</t>
        </is>
      </c>
      <c r="F4" s="6" t="inlineStr">
        <is>
          <t>Not applicable</t>
        </is>
      </c>
      <c r="G4" s="6" t="n"/>
      <c r="H4" s="6" t="n"/>
      <c r="I4" s="6" t="n"/>
    </row>
    <row r="5">
      <c r="A5" s="6" t="inlineStr">
        <is>
          <t>Total available stable funding (£'000)</t>
        </is>
      </c>
      <c r="B5" s="6" t="n">
        <v>2947068</v>
      </c>
      <c r="C5" s="6" t="n">
        <v>2272844</v>
      </c>
      <c r="D5" s="6" t="n">
        <v>1038478</v>
      </c>
      <c r="E5" s="6" t="n">
        <v>450684</v>
      </c>
      <c r="F5" s="6" t="inlineStr">
        <is>
          <t>Not applicable</t>
        </is>
      </c>
      <c r="G5" s="6" t="n"/>
      <c r="H5" s="6" t="n"/>
      <c r="I5" s="6" t="n"/>
    </row>
    <row r="6">
      <c r="A6" s="6" t="inlineStr">
        <is>
          <t>Total required stable funding (£'000)</t>
        </is>
      </c>
      <c r="B6" s="6" t="n">
        <v>1835204</v>
      </c>
      <c r="C6" s="6" t="n">
        <v>865058</v>
      </c>
      <c r="D6" s="6" t="n">
        <v>516484</v>
      </c>
      <c r="E6" s="6" t="n">
        <v>302338</v>
      </c>
      <c r="F6" s="6" t="inlineStr">
        <is>
          <t>Not applicable</t>
        </is>
      </c>
      <c r="G6" s="6" t="n"/>
      <c r="H6" s="6" t="n"/>
      <c r="I6" s="6" t="n"/>
    </row>
    <row r="7" ht="60" customHeight="1">
      <c r="A7" s="7" t="inlineStr">
        <is>
          <t>Note: FY2025 and FY2024 RECOVERED 2026-09-15 and previously blank - from the newly-found Pillar 3 editions' KM1 Net Stable Funding Ratio block; both editions agree on FY2024, and the FY2023 comparative reproduces the 201.1% already held here. The two component rows were added at the same time from the same block. FY2021 reads 'Not applicable' rather than 'Not publicly disclosed' because the UK NSFR requirement began only on 1 January 2022 under PRA PS17/21 - there was no NSFR to disclose at a 31 December 2021 reference date, which is a regulatory boundary and not a publication failure. Genuinely not disclosed for FY2020-FY2018.</t>
        </is>
      </c>
    </row>
    <row r="9" ht="180" customHeight="1">
      <c r="A9"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 quantitative MREL ratio was found in the annual reports or the dedicated FY2023 Pillar 3 disclosure reviewed, for any year FY2018-FY2025.</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2026-09-15T19:23:34Z</dcterms:created>
  <dcterms:modified xmlns:dcterms="http://purl.org/dc/terms/" xmlns:xsi="http://www.w3.org/2001/XMLSchema-instance" xsi:type="dcterms:W3CDTF">2026-09-15T19:23:34Z</dcterms:modified>
</cp:coreProperties>
</file>