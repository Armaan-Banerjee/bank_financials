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3561908</v>
      </c>
      <c r="C6" s="5" t="n">
        <v>2526857</v>
      </c>
      <c r="D6" s="5" t="n">
        <v>1163925</v>
      </c>
      <c r="E6" s="5" t="n">
        <v>508358</v>
      </c>
      <c r="F6" s="5" t="n">
        <v>165817</v>
      </c>
      <c r="I6" t="inlineStr">
        <is>
          <t>Total Assets</t>
        </is>
      </c>
      <c r="J6" t="n">
        <v>165817</v>
      </c>
      <c r="K6" t="n">
        <v>508358</v>
      </c>
      <c r="L6" t="n">
        <v>1163925</v>
      </c>
      <c r="M6" t="n">
        <v>2526857</v>
      </c>
      <c r="N6" t="n">
        <v>3561908</v>
      </c>
      <c r="AO6" t="inlineStr">
        <is>
          <t>CET1 Ratio</t>
        </is>
      </c>
      <c r="AP6" t="n">
        <v>23</v>
      </c>
      <c r="AQ6" t="n">
        <v>16.16</v>
      </c>
      <c r="AR6" t="n">
        <v>15.94</v>
      </c>
    </row>
    <row r="7">
      <c r="A7" s="5" t="inlineStr">
        <is>
          <t>Loans and Advances to Customers</t>
        </is>
      </c>
      <c r="B7" s="5" t="n">
        <v>1748444</v>
      </c>
      <c r="C7" s="5" t="n">
        <v>1021621</v>
      </c>
      <c r="D7" s="5" t="n">
        <v>605711</v>
      </c>
      <c r="E7" s="5" t="n">
        <v>349532</v>
      </c>
      <c r="F7" s="5" t="n">
        <v>110545</v>
      </c>
      <c r="I7" t="inlineStr">
        <is>
          <t>Loans and Advances to Customers</t>
        </is>
      </c>
      <c r="J7" t="n">
        <v>110545</v>
      </c>
      <c r="K7" t="n">
        <v>349532</v>
      </c>
      <c r="L7" t="n">
        <v>605711</v>
      </c>
      <c r="M7" t="n">
        <v>1021621</v>
      </c>
      <c r="N7" t="n">
        <v>1748444</v>
      </c>
      <c r="AO7" t="inlineStr">
        <is>
          <t>Tier 1 Ratio</t>
        </is>
      </c>
      <c r="AP7" t="n">
        <v>23</v>
      </c>
      <c r="AQ7" t="n">
        <v>16.16</v>
      </c>
      <c r="AR7" t="n">
        <v>15.94</v>
      </c>
    </row>
    <row r="8">
      <c r="A8" s="5" t="inlineStr">
        <is>
          <t>Customer Deposits</t>
        </is>
      </c>
      <c r="B8" s="5" t="n">
        <v>3309014</v>
      </c>
      <c r="C8" s="5" t="n">
        <v>2350433</v>
      </c>
      <c r="D8" s="5" t="n">
        <v>1060658</v>
      </c>
      <c r="E8" s="5" t="n">
        <v>441918</v>
      </c>
      <c r="F8" s="5" t="n">
        <v>138217</v>
      </c>
      <c r="I8" t="inlineStr">
        <is>
          <t>Customer Deposits</t>
        </is>
      </c>
      <c r="J8" t="n">
        <v>138217</v>
      </c>
      <c r="K8" t="n">
        <v>441918</v>
      </c>
      <c r="L8" t="n">
        <v>1060658</v>
      </c>
      <c r="M8" t="n">
        <v>2350433</v>
      </c>
      <c r="N8" t="n">
        <v>3309014</v>
      </c>
      <c r="AO8" t="inlineStr">
        <is>
          <t>Total Capital Ratio</t>
        </is>
      </c>
      <c r="AP8" t="n">
        <v>23</v>
      </c>
      <c r="AQ8" t="n">
        <v>18.81</v>
      </c>
      <c r="AR8" t="n">
        <v>19.27</v>
      </c>
      <c r="AS8" t="n">
        <v>22.5</v>
      </c>
      <c r="AT8" t="n">
        <v>18.8</v>
      </c>
    </row>
    <row r="9">
      <c r="A9" s="5" t="inlineStr">
        <is>
          <t>Total Equity</t>
        </is>
      </c>
      <c r="B9" s="5" t="n">
        <v>210279</v>
      </c>
      <c r="C9" s="5" t="n">
        <v>155307</v>
      </c>
      <c r="D9" s="5" t="n">
        <v>80667</v>
      </c>
      <c r="E9" s="5" t="n">
        <v>54158</v>
      </c>
      <c r="F9" s="5" t="n">
        <v>26398</v>
      </c>
      <c r="I9" t="inlineStr">
        <is>
          <t>Total Equity</t>
        </is>
      </c>
      <c r="J9" t="n">
        <v>26398</v>
      </c>
      <c r="K9" t="n">
        <v>54158</v>
      </c>
      <c r="L9" t="n">
        <v>80667</v>
      </c>
      <c r="M9" t="n">
        <v>155307</v>
      </c>
      <c r="N9" t="n">
        <v>210279</v>
      </c>
      <c r="AO9" t="inlineStr">
        <is>
          <t>Leverage Ratio</t>
        </is>
      </c>
      <c r="AP9" t="n">
        <v>15</v>
      </c>
      <c r="AQ9" t="n">
        <v>12.17</v>
      </c>
      <c r="AR9" t="n">
        <v>10.69</v>
      </c>
      <c r="AS9" t="n">
        <v>12.7</v>
      </c>
      <c r="AT9" t="n">
        <v>9.199999999999999</v>
      </c>
    </row>
    <row r="10">
      <c r="AO10" t="inlineStr">
        <is>
          <t>LCR</t>
        </is>
      </c>
      <c r="AP10" t="n">
        <v>1090</v>
      </c>
      <c r="AQ10" t="n">
        <v>2132</v>
      </c>
      <c r="AR10" t="n">
        <v>545.2</v>
      </c>
      <c r="AS10" t="n">
        <v>460</v>
      </c>
      <c r="AT10" t="n">
        <v>296</v>
      </c>
    </row>
    <row r="11">
      <c r="A11" s="3" t="inlineStr">
        <is>
          <t>Profit &amp; Loss Summary (£'000)</t>
        </is>
      </c>
      <c r="AO11" t="inlineStr">
        <is>
          <t>NSFR</t>
        </is>
      </c>
      <c r="AQ11" t="n">
        <v>149.1</v>
      </c>
      <c r="AR11" t="n">
        <v>201.1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47405</v>
      </c>
      <c r="C13" s="5" t="n">
        <v>31303</v>
      </c>
      <c r="D13" s="5" t="n">
        <v>19394</v>
      </c>
      <c r="E13" s="5" t="n">
        <v>5643</v>
      </c>
      <c r="F13" s="5" t="n">
        <v>352</v>
      </c>
      <c r="Q13" t="inlineStr">
        <is>
          <t>Total Net Income</t>
        </is>
      </c>
      <c r="R13" t="n">
        <v>352</v>
      </c>
      <c r="S13" t="n">
        <v>5643</v>
      </c>
      <c r="T13" t="n">
        <v>19394</v>
      </c>
      <c r="U13" t="n">
        <v>31303</v>
      </c>
      <c r="V13" t="n">
        <v>47405</v>
      </c>
    </row>
    <row r="14">
      <c r="A14" s="5" t="inlineStr">
        <is>
          <t>Staff Costs, Other Operating Expense &amp; Depreciation</t>
        </is>
      </c>
      <c r="B14" s="5" t="n">
        <v>-27952</v>
      </c>
      <c r="C14" s="5" t="n">
        <v>-20717</v>
      </c>
      <c r="D14" s="5" t="n">
        <v>-14634</v>
      </c>
      <c r="E14" s="5" t="n">
        <v>-10687</v>
      </c>
      <c r="F14" s="5" t="n">
        <v>-7730</v>
      </c>
      <c r="Q14" t="inlineStr">
        <is>
          <t>Staff Costs, Other Operating Expense &amp; Depreciation</t>
        </is>
      </c>
      <c r="R14" t="n">
        <v>-7730</v>
      </c>
      <c r="S14" t="n">
        <v>-10687</v>
      </c>
      <c r="T14" t="n">
        <v>-14634</v>
      </c>
      <c r="U14" t="n">
        <v>-20717</v>
      </c>
      <c r="V14" t="n">
        <v>-27952</v>
      </c>
    </row>
    <row r="15">
      <c r="A15" s="5" t="inlineStr">
        <is>
          <t>Profit/(Loss) from Ordinary Activities after tax</t>
        </is>
      </c>
      <c r="B15" s="5" t="n">
        <v>11920</v>
      </c>
      <c r="C15" s="5" t="n">
        <v>5863</v>
      </c>
      <c r="D15" s="5" t="n">
        <v>2314</v>
      </c>
      <c r="E15" s="5" t="n">
        <v>-344</v>
      </c>
      <c r="F15" s="5" t="n">
        <v>-7463</v>
      </c>
      <c r="Q15" t="inlineStr">
        <is>
          <t>Profit/(Loss) from Ordinary Activities after tax</t>
        </is>
      </c>
      <c r="R15" t="n">
        <v>-7463</v>
      </c>
      <c r="S15" t="n">
        <v>-344</v>
      </c>
      <c r="T15" t="n">
        <v>2314</v>
      </c>
      <c r="U15" t="n">
        <v>5863</v>
      </c>
      <c r="V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155307</v>
      </c>
      <c r="C19" s="5" t="n">
        <v>80667</v>
      </c>
      <c r="D19" s="5" t="n">
        <v>54158</v>
      </c>
      <c r="E19" s="5" t="n">
        <v>26398</v>
      </c>
      <c r="F19" s="5" t="n">
        <v>21900</v>
      </c>
      <c r="Y19" t="inlineStr">
        <is>
          <t>Opening equity</t>
        </is>
      </c>
      <c r="Z19" t="n">
        <v>21900</v>
      </c>
      <c r="AA19" t="n">
        <v>26398</v>
      </c>
      <c r="AB19" t="n">
        <v>54158</v>
      </c>
      <c r="AC19" t="n">
        <v>80667</v>
      </c>
      <c r="AD19" t="n">
        <v>155307</v>
      </c>
    </row>
    <row r="20">
      <c r="A20" s="5" t="inlineStr">
        <is>
          <t>Total comprehensive profit/(loss) for the year</t>
        </is>
      </c>
      <c r="B20" s="5" t="n">
        <v>11920</v>
      </c>
      <c r="C20" s="5" t="n">
        <v>5863</v>
      </c>
      <c r="D20" s="5" t="n">
        <v>2314</v>
      </c>
      <c r="E20" s="5" t="n">
        <v>-334</v>
      </c>
      <c r="F20" s="5" t="n">
        <v>-7463</v>
      </c>
      <c r="Y20" t="inlineStr">
        <is>
          <t>Total comprehensive profit/(loss) for the year</t>
        </is>
      </c>
      <c r="Z20" t="n">
        <v>-7463</v>
      </c>
      <c r="AA20" t="n">
        <v>-334</v>
      </c>
      <c r="AB20" t="n">
        <v>2314</v>
      </c>
      <c r="AC20" t="n">
        <v>5863</v>
      </c>
      <c r="AD20" t="n">
        <v>11920</v>
      </c>
    </row>
    <row r="21">
      <c r="A21" s="5" t="inlineStr">
        <is>
          <t>Other equity movements, net</t>
        </is>
      </c>
      <c r="B21" s="5" t="n">
        <v>43052</v>
      </c>
      <c r="C21" s="5" t="n">
        <v>68777</v>
      </c>
      <c r="D21" s="5" t="n">
        <v>24195</v>
      </c>
      <c r="E21" s="5" t="n">
        <v>28094</v>
      </c>
      <c r="F21" s="5" t="n">
        <v>11961</v>
      </c>
      <c r="Y21" t="inlineStr">
        <is>
          <t>Other equity movements, net</t>
        </is>
      </c>
      <c r="Z21" t="n">
        <v>11961</v>
      </c>
      <c r="AA21" t="n">
        <v>28094</v>
      </c>
      <c r="AB21" t="n">
        <v>24195</v>
      </c>
      <c r="AC21" t="n">
        <v>68777</v>
      </c>
      <c r="AD21" t="n">
        <v>43052</v>
      </c>
    </row>
    <row r="22">
      <c r="A22" s="5" t="inlineStr">
        <is>
          <t>Closing equity</t>
        </is>
      </c>
      <c r="B22" s="5" t="n">
        <v>210279</v>
      </c>
      <c r="C22" s="5" t="n">
        <v>155307</v>
      </c>
      <c r="D22" s="5" t="n">
        <v>80667</v>
      </c>
      <c r="E22" s="5" t="n">
        <v>54158</v>
      </c>
      <c r="F22" s="5" t="n">
        <v>26398</v>
      </c>
      <c r="Y22" t="inlineStr">
        <is>
          <t>Closing equity</t>
        </is>
      </c>
      <c r="Z22" t="n">
        <v>26398</v>
      </c>
      <c r="AA22" t="n">
        <v>54158</v>
      </c>
      <c r="AB22" t="n">
        <v>80667</v>
      </c>
      <c r="AC22" t="n">
        <v>155307</v>
      </c>
      <c r="AD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253910</v>
      </c>
      <c r="C26" s="5" t="n">
        <v>880992</v>
      </c>
      <c r="D26" s="5" t="n">
        <v>370296</v>
      </c>
      <c r="E26" s="5" t="n">
        <v>63900</v>
      </c>
      <c r="F26" s="5" t="n">
        <v>21025</v>
      </c>
      <c r="AG26" t="inlineStr">
        <is>
          <t>Net cash from/(used in) operating activities</t>
        </is>
      </c>
      <c r="AH26" t="n">
        <v>21025</v>
      </c>
      <c r="AI26" t="n">
        <v>63900</v>
      </c>
      <c r="AJ26" t="n">
        <v>370296</v>
      </c>
      <c r="AK26" t="n">
        <v>880992</v>
      </c>
      <c r="AL26" t="n">
        <v>253910</v>
      </c>
    </row>
    <row r="27">
      <c r="A27" s="5" t="inlineStr">
        <is>
          <t>Net cash used in investing activities</t>
        </is>
      </c>
      <c r="B27" s="5" t="n">
        <v>-374939</v>
      </c>
      <c r="C27" s="5" t="n">
        <v>-1762</v>
      </c>
      <c r="D27" s="5" t="n">
        <v>-2469</v>
      </c>
      <c r="E27" s="5" t="n">
        <v>-4176</v>
      </c>
      <c r="F27" s="5" t="n">
        <v>-1538</v>
      </c>
      <c r="AG27" t="inlineStr">
        <is>
          <t>Net cash used in investing activities</t>
        </is>
      </c>
      <c r="AH27" t="n">
        <v>-1538</v>
      </c>
      <c r="AI27" t="n">
        <v>-4176</v>
      </c>
      <c r="AJ27" t="n">
        <v>-2469</v>
      </c>
      <c r="AK27" t="n">
        <v>-1762</v>
      </c>
      <c r="AL27" t="n">
        <v>-374939</v>
      </c>
    </row>
    <row r="28">
      <c r="A28" s="5" t="inlineStr">
        <is>
          <t>Net cash from financing activities</t>
        </is>
      </c>
      <c r="B28" s="5" t="n">
        <v>56490</v>
      </c>
      <c r="C28" s="5" t="n">
        <v>69123</v>
      </c>
      <c r="D28" s="5" t="n">
        <v>30194</v>
      </c>
      <c r="E28" s="5" t="n">
        <v>35362</v>
      </c>
      <c r="F28" s="5" t="n">
        <v>11856</v>
      </c>
      <c r="AG28" t="inlineStr">
        <is>
          <t>Net cash from financing activities</t>
        </is>
      </c>
      <c r="AH28" t="n">
        <v>11856</v>
      </c>
      <c r="AI28" t="n">
        <v>35362</v>
      </c>
      <c r="AJ28" t="n">
        <v>30194</v>
      </c>
      <c r="AK28" t="n">
        <v>69123</v>
      </c>
      <c r="AL28" t="n">
        <v>56490</v>
      </c>
    </row>
    <row r="29">
      <c r="A29" s="5" t="inlineStr">
        <is>
          <t>Cash and cash equivalents at end of year</t>
        </is>
      </c>
      <c r="B29" s="5" t="n">
        <v>1427479</v>
      </c>
      <c r="C29" s="5" t="n">
        <v>1492018</v>
      </c>
      <c r="D29" s="5" t="n">
        <v>543665</v>
      </c>
      <c r="E29" s="5" t="n">
        <v>145644</v>
      </c>
      <c r="F29" s="5" t="n">
        <v>50558</v>
      </c>
      <c r="AG29" t="inlineStr">
        <is>
          <t>Cash and cash equivalents at end of year</t>
        </is>
      </c>
      <c r="AH29" t="n">
        <v>50558</v>
      </c>
      <c r="AI29" t="n">
        <v>145644</v>
      </c>
      <c r="AJ29" t="n">
        <v>543665</v>
      </c>
      <c r="AK29" t="n">
        <v>1492018</v>
      </c>
      <c r="AL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n"/>
      <c r="D33" s="6" t="inlineStr">
        <is>
          <t>15.94%</t>
        </is>
      </c>
      <c r="E33" s="6" t="inlineStr">
        <is>
          <t>16.16%</t>
        </is>
      </c>
      <c r="F33" s="6" t="inlineStr">
        <is>
          <t>23%</t>
        </is>
      </c>
    </row>
    <row r="34">
      <c r="A34" s="6" t="inlineStr">
        <is>
          <t>Tier 1 Ratio</t>
        </is>
      </c>
      <c r="B34" s="6" t="n"/>
      <c r="C34" s="6" t="n"/>
      <c r="D34" s="6" t="inlineStr">
        <is>
          <t>15.94%</t>
        </is>
      </c>
      <c r="E34" s="6" t="inlineStr">
        <is>
          <t>16.16%</t>
        </is>
      </c>
      <c r="F34" s="6" t="inlineStr">
        <is>
          <t>23%</t>
        </is>
      </c>
    </row>
    <row r="35">
      <c r="A35" s="6" t="inlineStr">
        <is>
          <t>Total Capital Ratio</t>
        </is>
      </c>
      <c r="B35" s="6" t="inlineStr">
        <is>
          <t>18.8%</t>
        </is>
      </c>
      <c r="C35" s="6" t="inlineStr">
        <is>
          <t>22.5%</t>
        </is>
      </c>
      <c r="D35" s="6" t="inlineStr">
        <is>
          <t>19.27%</t>
        </is>
      </c>
      <c r="E35" s="6" t="inlineStr">
        <is>
          <t>18.81%</t>
        </is>
      </c>
      <c r="F35" s="6" t="inlineStr">
        <is>
          <t>23%</t>
        </is>
      </c>
    </row>
    <row r="36">
      <c r="A36" s="6" t="inlineStr">
        <is>
          <t>Leverage Ratio</t>
        </is>
      </c>
      <c r="B36" s="6" t="inlineStr">
        <is>
          <t>9.2%</t>
        </is>
      </c>
      <c r="C36" s="6" t="inlineStr">
        <is>
          <t>12.7%</t>
        </is>
      </c>
      <c r="D36" s="6" t="inlineStr">
        <is>
          <t>10.69%</t>
        </is>
      </c>
      <c r="E36" s="6" t="inlineStr">
        <is>
          <t>12.17%</t>
        </is>
      </c>
      <c r="F36" s="6" t="inlineStr">
        <is>
          <t>15%</t>
        </is>
      </c>
    </row>
    <row r="37">
      <c r="A37" s="6" t="inlineStr">
        <is>
          <t>LCR</t>
        </is>
      </c>
      <c r="B37" s="6" t="inlineStr">
        <is>
          <t>296%</t>
        </is>
      </c>
      <c r="C37" s="6" t="inlineStr">
        <is>
          <t>460%</t>
        </is>
      </c>
      <c r="D37" s="6" t="inlineStr">
        <is>
          <t>545.2%</t>
        </is>
      </c>
      <c r="E37" s="6" t="inlineStr">
        <is>
          <t>2,132%</t>
        </is>
      </c>
      <c r="F37" s="6" t="inlineStr">
        <is>
          <t>1,090%</t>
        </is>
      </c>
    </row>
    <row r="38">
      <c r="A38" s="6" t="inlineStr">
        <is>
          <t>NSFR</t>
        </is>
      </c>
      <c r="B38" s="6" t="n"/>
      <c r="C38" s="6" t="n"/>
      <c r="D38" s="6" t="inlineStr">
        <is>
          <t>201.1%</t>
        </is>
      </c>
      <c r="E38" s="6" t="inlineStr">
        <is>
          <t>149.1%</t>
        </is>
      </c>
      <c r="F38" s="6" t="n"/>
    </row>
    <row r="40" ht="45" customHeight="1">
      <c r="A40" s="7" t="inlineStr">
        <is>
          <t>Note: Five latest financial years are covered (FY2021-FY2025). All statements use Oxbury Bank Plc Company columns. Dedicated Pillar 3 quantitative disclosures were located for FY2022-FY2023; FY2024-FY2025 capital/liquidity KPI ratios come from the annual reports, and FY2021 KPI ratios from the FY2021 annual report. Blank cells represent metrics not disclosed for that year, not zero.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at Bank of England</t>
        </is>
      </c>
      <c r="B5" s="6" t="n">
        <v>1406822</v>
      </c>
      <c r="C5" s="6" t="n">
        <v>1470898</v>
      </c>
      <c r="D5" s="6" t="n">
        <v>530991</v>
      </c>
      <c r="E5" s="6" t="n">
        <v>130522</v>
      </c>
      <c r="F5" s="6" t="n">
        <v>44016</v>
      </c>
    </row>
    <row r="6">
      <c r="A6" s="6" t="inlineStr">
        <is>
          <t>Cash at Credit Institutions</t>
        </is>
      </c>
      <c r="B6" s="6" t="n">
        <v>20657</v>
      </c>
      <c r="C6" s="6" t="n">
        <v>21120</v>
      </c>
      <c r="D6" s="6" t="n">
        <v>12674</v>
      </c>
      <c r="E6" s="6" t="n">
        <v>15122</v>
      </c>
      <c r="F6" s="6" t="n">
        <v>6542</v>
      </c>
    </row>
    <row r="7">
      <c r="A7" s="6" t="inlineStr">
        <is>
          <t>Investment Securities</t>
        </is>
      </c>
      <c r="B7" s="6" t="n">
        <v>373924</v>
      </c>
      <c r="C7" s="6" t="n"/>
      <c r="D7" s="6" t="n"/>
      <c r="E7" s="6" t="n"/>
      <c r="F7" s="6" t="n"/>
    </row>
    <row r="8">
      <c r="A8" s="6" t="inlineStr">
        <is>
          <t>Loans and Advances to Customers</t>
        </is>
      </c>
      <c r="B8" s="6" t="n">
        <v>1748444</v>
      </c>
      <c r="C8" s="6" t="n">
        <v>1021621</v>
      </c>
      <c r="D8" s="6" t="n">
        <v>605711</v>
      </c>
      <c r="E8" s="6" t="n">
        <v>349532</v>
      </c>
      <c r="F8" s="6" t="n">
        <v>110545</v>
      </c>
    </row>
    <row r="9">
      <c r="A9" s="6" t="inlineStr">
        <is>
          <t>Investment in Subsidiary</t>
        </is>
      </c>
      <c r="B9" s="6" t="n">
        <v>2466</v>
      </c>
      <c r="C9" s="6" t="n">
        <v>2466</v>
      </c>
      <c r="D9" s="6" t="n">
        <v>2466</v>
      </c>
      <c r="E9" s="6" t="n">
        <v>2466</v>
      </c>
      <c r="F9" s="6" t="n"/>
    </row>
    <row r="10">
      <c r="A10" s="6" t="inlineStr">
        <is>
          <t>Other Assets</t>
        </is>
      </c>
      <c r="B10" s="6" t="n">
        <v>3332</v>
      </c>
      <c r="C10" s="6" t="n">
        <v>2598</v>
      </c>
      <c r="D10" s="6" t="n">
        <v>2487</v>
      </c>
      <c r="E10" s="6" t="n">
        <v>1025</v>
      </c>
      <c r="F10" s="6" t="n">
        <v>460</v>
      </c>
    </row>
    <row r="11">
      <c r="A11" s="6" t="inlineStr">
        <is>
          <t>Property, Plant &amp; Equipment</t>
        </is>
      </c>
      <c r="B11" s="6" t="n">
        <v>550</v>
      </c>
      <c r="C11" s="6" t="n">
        <v>786</v>
      </c>
      <c r="D11" s="6" t="n">
        <v>971</v>
      </c>
      <c r="E11" s="6" t="n">
        <v>429</v>
      </c>
      <c r="F11" s="6" t="n">
        <v>486</v>
      </c>
    </row>
    <row r="12">
      <c r="A12" s="6" t="inlineStr">
        <is>
          <t>Intangible Assets</t>
        </is>
      </c>
      <c r="B12" s="6" t="n">
        <v>5713</v>
      </c>
      <c r="C12" s="6" t="n">
        <v>5426</v>
      </c>
      <c r="D12" s="6" t="n">
        <v>5416</v>
      </c>
      <c r="E12" s="6" t="n">
        <v>4252</v>
      </c>
      <c r="F12" s="6" t="n">
        <v>3768</v>
      </c>
    </row>
    <row r="13">
      <c r="A13" s="6" t="inlineStr">
        <is>
          <t>Net Deferred Tax Asset</t>
        </is>
      </c>
      <c r="B13" s="6" t="n"/>
      <c r="C13" s="6" t="n">
        <v>1942</v>
      </c>
      <c r="D13" s="6" t="n">
        <v>3209</v>
      </c>
      <c r="E13" s="6" t="n">
        <v>4283</v>
      </c>
      <c r="F13" s="6" t="n"/>
    </row>
    <row r="14">
      <c r="A14" s="5" t="inlineStr">
        <is>
          <t>Total Assets</t>
        </is>
      </c>
      <c r="B14" s="5" t="n">
        <v>3561908</v>
      </c>
      <c r="C14" s="5" t="n">
        <v>2526857</v>
      </c>
      <c r="D14" s="5" t="n">
        <v>1163925</v>
      </c>
      <c r="E14" s="5" t="n">
        <v>508358</v>
      </c>
      <c r="F14" s="5" t="n">
        <v>165817</v>
      </c>
    </row>
    <row r="15">
      <c r="A15" s="5" t="inlineStr">
        <is>
          <t>Liabilities</t>
        </is>
      </c>
      <c r="B15" s="6" t="n"/>
      <c r="C15" s="6" t="n"/>
      <c r="D15" s="6" t="n"/>
      <c r="E15" s="6" t="n"/>
      <c r="F15" s="6" t="n"/>
    </row>
    <row r="16">
      <c r="A16" s="6" t="inlineStr">
        <is>
          <t>Customer Deposits</t>
        </is>
      </c>
      <c r="B16" s="6" t="n">
        <v>3309014</v>
      </c>
      <c r="C16" s="6" t="n">
        <v>2350433</v>
      </c>
      <c r="D16" s="6" t="n">
        <v>1060658</v>
      </c>
      <c r="E16" s="6" t="n">
        <v>441918</v>
      </c>
      <c r="F16" s="6" t="n">
        <v>138217</v>
      </c>
    </row>
    <row r="17">
      <c r="A17" s="6" t="inlineStr">
        <is>
          <t>Other Liabilities and Accruals</t>
        </is>
      </c>
      <c r="B17" s="6" t="n">
        <v>7993</v>
      </c>
      <c r="C17" s="6" t="n">
        <v>3319</v>
      </c>
      <c r="D17" s="6" t="n">
        <v>7409</v>
      </c>
      <c r="E17" s="6" t="n">
        <v>4617</v>
      </c>
      <c r="F17" s="6" t="n">
        <v>1202</v>
      </c>
    </row>
    <row r="18">
      <c r="A18" s="6" t="inlineStr">
        <is>
          <t>Subordinated Debt</t>
        </is>
      </c>
      <c r="B18" s="6" t="n">
        <v>34191</v>
      </c>
      <c r="C18" s="6" t="n">
        <v>17798</v>
      </c>
      <c r="D18" s="6" t="n">
        <v>15191</v>
      </c>
      <c r="E18" s="6" t="n">
        <v>7665</v>
      </c>
      <c r="F18" s="6" t="n"/>
    </row>
    <row r="19">
      <c r="A19" s="6" t="inlineStr">
        <is>
          <t>Net Deferred Tax Liability</t>
        </is>
      </c>
      <c r="B19" s="6" t="n">
        <v>431</v>
      </c>
      <c r="C19" s="6" t="n"/>
      <c r="D19" s="6" t="n"/>
      <c r="E19" s="6" t="n"/>
      <c r="F19" s="6" t="n"/>
    </row>
    <row r="20">
      <c r="A20" s="5" t="inlineStr">
        <is>
          <t>Total Liabilities</t>
        </is>
      </c>
      <c r="B20" s="5" t="n">
        <v>3351629</v>
      </c>
      <c r="C20" s="5" t="n">
        <v>2371550</v>
      </c>
      <c r="D20" s="5" t="n">
        <v>1083258</v>
      </c>
      <c r="E20" s="5" t="n">
        <v>454200</v>
      </c>
      <c r="F20" s="5" t="n">
        <v>139419</v>
      </c>
    </row>
    <row r="21">
      <c r="A21" s="5" t="inlineStr">
        <is>
          <t>Equity</t>
        </is>
      </c>
      <c r="B21" s="6" t="n"/>
      <c r="C21" s="6" t="n"/>
      <c r="D21" s="6" t="n"/>
      <c r="E21" s="6" t="n"/>
      <c r="F21" s="6" t="n"/>
    </row>
    <row r="22">
      <c r="A22" s="6" t="inlineStr">
        <is>
          <t>Called Up Share Capital</t>
        </is>
      </c>
      <c r="B22" s="6" t="n">
        <v>1156</v>
      </c>
      <c r="C22" s="6" t="n">
        <v>1028</v>
      </c>
      <c r="D22" s="6" t="n">
        <v>762</v>
      </c>
      <c r="E22" s="6" t="n">
        <v>650</v>
      </c>
      <c r="F22" s="6" t="n">
        <v>514</v>
      </c>
    </row>
    <row r="23">
      <c r="A23" s="6" t="inlineStr">
        <is>
          <t>Share Premium</t>
        </is>
      </c>
      <c r="B23" s="6" t="n">
        <v>203356</v>
      </c>
      <c r="C23" s="6" t="n">
        <v>160636</v>
      </c>
      <c r="D23" s="6" t="n">
        <v>92226</v>
      </c>
      <c r="E23" s="6" t="n">
        <v>68302</v>
      </c>
      <c r="F23" s="6" t="n">
        <v>40424</v>
      </c>
    </row>
    <row r="24">
      <c r="A24" s="6" t="inlineStr">
        <is>
          <t>Accumulated Profits/(Losses)</t>
        </is>
      </c>
      <c r="B24" s="6" t="n">
        <v>5196</v>
      </c>
      <c r="C24" s="6" t="n">
        <v>-6724</v>
      </c>
      <c r="D24" s="6" t="n">
        <v>-12587</v>
      </c>
      <c r="E24" s="6" t="n">
        <v>-14901</v>
      </c>
      <c r="F24" s="6" t="n">
        <v>-14557</v>
      </c>
    </row>
    <row r="25">
      <c r="A25" s="6" t="inlineStr">
        <is>
          <t>Share-based payment / capital contribution reserve (Note 23)</t>
        </is>
      </c>
      <c r="B25" s="6" t="n">
        <v>571</v>
      </c>
      <c r="C25" s="6" t="n">
        <v>367</v>
      </c>
      <c r="D25" s="6" t="n">
        <v>266</v>
      </c>
      <c r="E25" s="6" t="n">
        <v>107</v>
      </c>
      <c r="F25" s="6" t="n">
        <v>17</v>
      </c>
    </row>
    <row r="26">
      <c r="A26" s="5" t="inlineStr">
        <is>
          <t>Total Equity</t>
        </is>
      </c>
      <c r="B26" s="5" t="n">
        <v>210279</v>
      </c>
      <c r="C26" s="5" t="n">
        <v>155307</v>
      </c>
      <c r="D26" s="5" t="n">
        <v>80667</v>
      </c>
      <c r="E26" s="5" t="n">
        <v>54158</v>
      </c>
      <c r="F26" s="5" t="n">
        <v>26398</v>
      </c>
    </row>
    <row r="27">
      <c r="A27" s="5" t="inlineStr">
        <is>
          <t>Total Liabilities &amp; Equity</t>
        </is>
      </c>
      <c r="B27" s="5" t="n">
        <v>3561908</v>
      </c>
      <c r="C27" s="5" t="n">
        <v>2526857</v>
      </c>
      <c r="D27" s="5" t="n">
        <v>1163925</v>
      </c>
      <c r="E27" s="5" t="n">
        <v>508358</v>
      </c>
      <c r="F27" s="5" t="n">
        <v>165817</v>
      </c>
    </row>
    <row r="29" ht="340" customHeight="1">
      <c r="A29"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 on loans and advances to customers</t>
        </is>
      </c>
      <c r="B5" s="6" t="n"/>
      <c r="C5" s="6" t="n"/>
      <c r="D5" s="6" t="n">
        <v>34375</v>
      </c>
      <c r="E5" s="6" t="n">
        <v>9222</v>
      </c>
      <c r="F5" s="6" t="n">
        <v>865</v>
      </c>
    </row>
    <row r="6">
      <c r="A6" s="6" t="inlineStr">
        <is>
          <t>Interest income - deposits placed with financial institutions</t>
        </is>
      </c>
      <c r="B6" s="6" t="n"/>
      <c r="C6" s="6" t="n"/>
      <c r="D6" s="6" t="n">
        <v>14255</v>
      </c>
      <c r="E6" s="6" t="n">
        <v>1254</v>
      </c>
      <c r="F6" s="6" t="n">
        <v>39</v>
      </c>
    </row>
    <row r="7">
      <c r="A7" s="5" t="inlineStr">
        <is>
          <t>Total interest income</t>
        </is>
      </c>
      <c r="B7" s="5" t="n">
        <v>151488</v>
      </c>
      <c r="C7" s="5" t="n">
        <v>112467</v>
      </c>
      <c r="D7" s="5" t="n">
        <v>48630</v>
      </c>
      <c r="E7" s="5" t="n">
        <v>10476</v>
      </c>
      <c r="F7" s="5" t="n">
        <v>904</v>
      </c>
    </row>
    <row r="8">
      <c r="A8" s="6" t="inlineStr">
        <is>
          <t>Interest payable &amp; similar expenditure</t>
        </is>
      </c>
      <c r="B8" s="6" t="n">
        <v>-104252</v>
      </c>
      <c r="C8" s="6" t="n">
        <v>-81060</v>
      </c>
      <c r="D8" s="6" t="n">
        <v>-29258</v>
      </c>
      <c r="E8" s="6" t="n">
        <v>-4798</v>
      </c>
      <c r="F8" s="6" t="n">
        <v>-542</v>
      </c>
    </row>
    <row r="9">
      <c r="A9" s="5" t="inlineStr">
        <is>
          <t>Net Interest Income</t>
        </is>
      </c>
      <c r="B9" s="5" t="n">
        <v>47236</v>
      </c>
      <c r="C9" s="5" t="n">
        <v>31407</v>
      </c>
      <c r="D9" s="5" t="n">
        <v>19372</v>
      </c>
      <c r="E9" s="5" t="n">
        <v>5678</v>
      </c>
      <c r="F9" s="5" t="n">
        <v>362</v>
      </c>
    </row>
    <row r="10">
      <c r="A10" s="6" t="inlineStr">
        <is>
          <t>Other Income/(Expenditure)</t>
        </is>
      </c>
      <c r="B10" s="6" t="n">
        <v>169</v>
      </c>
      <c r="C10" s="6" t="n">
        <v>-104</v>
      </c>
      <c r="D10" s="6" t="n">
        <v>22</v>
      </c>
      <c r="E10" s="6" t="n">
        <v>-35</v>
      </c>
      <c r="F10" s="6" t="n">
        <v>-10</v>
      </c>
    </row>
    <row r="11">
      <c r="A11" s="5" t="inlineStr">
        <is>
          <t>Total Net Income</t>
        </is>
      </c>
      <c r="B11" s="5" t="n">
        <v>47405</v>
      </c>
      <c r="C11" s="5" t="n">
        <v>31303</v>
      </c>
      <c r="D11" s="5" t="n">
        <v>19394</v>
      </c>
      <c r="E11" s="5" t="n">
        <v>5643</v>
      </c>
      <c r="F11" s="5" t="n">
        <v>352</v>
      </c>
    </row>
    <row r="12">
      <c r="A12" s="6" t="inlineStr">
        <is>
          <t>Staff Costs</t>
        </is>
      </c>
      <c r="B12" s="6" t="n">
        <v>-14854</v>
      </c>
      <c r="C12" s="6" t="n">
        <v>-10741</v>
      </c>
      <c r="D12" s="6" t="n">
        <v>-7844</v>
      </c>
      <c r="E12" s="6" t="n">
        <v>-5514</v>
      </c>
      <c r="F12" s="6" t="n">
        <v>-4035</v>
      </c>
    </row>
    <row r="13">
      <c r="A13" s="6" t="inlineStr">
        <is>
          <t>Other Operating Expense</t>
        </is>
      </c>
      <c r="B13" s="6" t="n">
        <v>-11166</v>
      </c>
      <c r="C13" s="6" t="n">
        <v>-8039</v>
      </c>
      <c r="D13" s="6" t="n">
        <v>-5471</v>
      </c>
      <c r="E13" s="6" t="n">
        <v>-3875</v>
      </c>
      <c r="F13" s="6" t="n">
        <v>-2797</v>
      </c>
    </row>
    <row r="14">
      <c r="A14" s="6" t="inlineStr">
        <is>
          <t>Depreciation &amp; Amortisation</t>
        </is>
      </c>
      <c r="B14" s="6" t="n">
        <v>-1932</v>
      </c>
      <c r="C14" s="6" t="n">
        <v>-1937</v>
      </c>
      <c r="D14" s="6" t="n">
        <v>-1319</v>
      </c>
      <c r="E14" s="6" t="n">
        <v>-1298</v>
      </c>
      <c r="F14" s="6" t="n">
        <v>-898</v>
      </c>
    </row>
    <row r="15">
      <c r="A15" s="5" t="inlineStr">
        <is>
          <t>Operating Profit/(Loss) before expected credit loss provisions</t>
        </is>
      </c>
      <c r="B15" s="5" t="n">
        <v>19453</v>
      </c>
      <c r="C15" s="5" t="n">
        <v>10586</v>
      </c>
      <c r="D15" s="5" t="n">
        <v>4760</v>
      </c>
      <c r="E15" s="5" t="n">
        <v>-5044</v>
      </c>
      <c r="F15" s="5" t="n">
        <v>-7378</v>
      </c>
    </row>
    <row r="16">
      <c r="A16" s="6" t="inlineStr">
        <is>
          <t>Expected credit loss on loans and advances</t>
        </is>
      </c>
      <c r="B16" s="6" t="n">
        <v>-1219</v>
      </c>
      <c r="C16" s="6" t="n">
        <v>-1031</v>
      </c>
      <c r="D16" s="6" t="n">
        <v>-464</v>
      </c>
      <c r="E16" s="6" t="n">
        <v>-95</v>
      </c>
      <c r="F16" s="6" t="n">
        <v>-85</v>
      </c>
    </row>
    <row r="17">
      <c r="A17" s="5" t="inlineStr">
        <is>
          <t>Profit/(Loss) on Operations</t>
        </is>
      </c>
      <c r="B17" s="5" t="n">
        <v>18234</v>
      </c>
      <c r="C17" s="5" t="n">
        <v>9555</v>
      </c>
      <c r="D17" s="5" t="n">
        <v>4296</v>
      </c>
      <c r="E17" s="5" t="n">
        <v>-5139</v>
      </c>
      <c r="F17" s="5" t="n">
        <v>-7463</v>
      </c>
    </row>
    <row r="18">
      <c r="A18" s="6" t="inlineStr">
        <is>
          <t>Finance costs/Interest expense</t>
        </is>
      </c>
      <c r="B18" s="6" t="n">
        <v>-2507</v>
      </c>
      <c r="C18" s="6" t="n">
        <v>-2067</v>
      </c>
      <c r="D18" s="6" t="n">
        <v>-1249</v>
      </c>
      <c r="E18" s="6" t="n">
        <v>-215</v>
      </c>
      <c r="F18" s="6" t="n"/>
    </row>
    <row r="19">
      <c r="A19" s="5" t="inlineStr">
        <is>
          <t>Profit/(Loss) from Ordinary Activities before tax</t>
        </is>
      </c>
      <c r="B19" s="5" t="n">
        <v>15727</v>
      </c>
      <c r="C19" s="5" t="n">
        <v>7488</v>
      </c>
      <c r="D19" s="5" t="n">
        <v>3047</v>
      </c>
      <c r="E19" s="5" t="n">
        <v>-5354</v>
      </c>
      <c r="F19" s="5" t="n">
        <v>-7463</v>
      </c>
    </row>
    <row r="20">
      <c r="A20" s="6" t="inlineStr">
        <is>
          <t>Taxation - Research &amp; Development Credit</t>
        </is>
      </c>
      <c r="B20" s="6" t="n"/>
      <c r="C20" s="6" t="n"/>
      <c r="D20" s="6" t="n"/>
      <c r="E20" s="6" t="n">
        <v>727</v>
      </c>
      <c r="F20" s="6" t="n"/>
    </row>
    <row r="21">
      <c r="A21" s="6" t="inlineStr">
        <is>
          <t>Taxation - Deferred Tax</t>
        </is>
      </c>
      <c r="B21" s="6" t="n"/>
      <c r="C21" s="6" t="n"/>
      <c r="D21" s="6" t="n"/>
      <c r="E21" s="6" t="n">
        <v>4283</v>
      </c>
      <c r="F21" s="6" t="n"/>
    </row>
    <row r="22">
      <c r="A22" s="6" t="inlineStr">
        <is>
          <t>Taxation - Income Tax</t>
        </is>
      </c>
      <c r="B22" s="6" t="n"/>
      <c r="C22" s="6" t="n"/>
      <c r="D22" s="6" t="n"/>
      <c r="E22" s="6" t="n">
        <v>0</v>
      </c>
      <c r="F22" s="6" t="n"/>
    </row>
    <row r="23">
      <c r="A23" s="6" t="inlineStr">
        <is>
          <t>Taxation (combined)</t>
        </is>
      </c>
      <c r="B23" s="6" t="n">
        <v>-3807</v>
      </c>
      <c r="C23" s="6" t="n">
        <v>-1625</v>
      </c>
      <c r="D23" s="6" t="n">
        <v>-733</v>
      </c>
      <c r="E23" s="6" t="n"/>
      <c r="F23" s="6" t="n"/>
    </row>
    <row r="24">
      <c r="A24" s="5" t="inlineStr">
        <is>
          <t>Profit/(Loss) from Ordinary Activities after tax</t>
        </is>
      </c>
      <c r="B24" s="5" t="n">
        <v>11920</v>
      </c>
      <c r="C24" s="5" t="n">
        <v>5863</v>
      </c>
      <c r="D24" s="5" t="n">
        <v>2314</v>
      </c>
      <c r="E24" s="5" t="n">
        <v>-344</v>
      </c>
      <c r="F24" s="5" t="n">
        <v>-7463</v>
      </c>
    </row>
    <row r="25">
      <c r="A25" s="5" t="inlineStr">
        <is>
          <t>Total Comprehensive Profit/(Loss)</t>
        </is>
      </c>
      <c r="B25" s="5" t="n">
        <v>11920</v>
      </c>
      <c r="C25" s="5" t="n">
        <v>5863</v>
      </c>
      <c r="D25" s="5" t="n">
        <v>2314</v>
      </c>
      <c r="E25" s="5" t="n">
        <v>-344</v>
      </c>
      <c r="F25" s="5" t="n">
        <v>-7463</v>
      </c>
    </row>
    <row r="27" ht="34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5 years. FY2022's £(334)k Loss-for-the-year movement is this statement's own figure, £10k different from the P&amp;L's own £(344)k - see the source citation's DATA QUALITY NOTE.</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31 December 2020 (FY2021 opening)</t>
        </is>
      </c>
      <c r="B4" s="5" t="n">
        <v>448</v>
      </c>
      <c r="C4" s="5" t="n">
        <v>28541</v>
      </c>
      <c r="D4" s="5" t="n">
        <v>-7094</v>
      </c>
      <c r="E4" s="5" t="n">
        <v>5</v>
      </c>
      <c r="F4" s="5" t="n"/>
      <c r="G4" s="5" t="n">
        <v>21900</v>
      </c>
    </row>
    <row r="5">
      <c r="A5" s="6" t="inlineStr">
        <is>
          <t>Issue of Share Capital</t>
        </is>
      </c>
      <c r="B5" s="6" t="n">
        <v>66</v>
      </c>
      <c r="C5" s="6" t="n">
        <v>11883</v>
      </c>
      <c r="D5" s="6" t="n"/>
      <c r="E5" s="6" t="n"/>
      <c r="F5" s="6" t="n"/>
      <c r="G5" s="6" t="n">
        <v>11949</v>
      </c>
    </row>
    <row r="6">
      <c r="A6" s="6" t="inlineStr">
        <is>
          <t>Loss for the year</t>
        </is>
      </c>
      <c r="B6" s="6" t="n"/>
      <c r="C6" s="6" t="n"/>
      <c r="D6" s="6" t="n">
        <v>-7463</v>
      </c>
      <c r="E6" s="6" t="n"/>
      <c r="F6" s="6" t="n"/>
      <c r="G6" s="6" t="n">
        <v>-7463</v>
      </c>
    </row>
    <row r="7">
      <c r="A7" s="6" t="inlineStr">
        <is>
          <t>Employee based share awards</t>
        </is>
      </c>
      <c r="B7" s="6" t="n"/>
      <c r="C7" s="6" t="n"/>
      <c r="D7" s="6" t="n"/>
      <c r="E7" s="6" t="n">
        <v>12</v>
      </c>
      <c r="F7" s="6" t="n"/>
      <c r="G7" s="6" t="n">
        <v>12</v>
      </c>
    </row>
    <row r="8">
      <c r="A8" s="5" t="inlineStr">
        <is>
          <t>At 31 December 2021 (FY2021 closing)</t>
        </is>
      </c>
      <c r="B8" s="5" t="n">
        <v>514</v>
      </c>
      <c r="C8" s="5" t="n">
        <v>40424</v>
      </c>
      <c r="D8" s="5" t="n">
        <v>-14557</v>
      </c>
      <c r="E8" s="5" t="n">
        <v>17</v>
      </c>
      <c r="F8" s="5" t="n"/>
      <c r="G8" s="5" t="n">
        <v>26398</v>
      </c>
    </row>
    <row r="9">
      <c r="A9" s="6" t="inlineStr">
        <is>
          <t>Issue of Share Capital (net of costs)</t>
        </is>
      </c>
      <c r="B9" s="6" t="n">
        <v>136</v>
      </c>
      <c r="C9" s="6" t="n">
        <v>27878</v>
      </c>
      <c r="D9" s="6" t="n"/>
      <c r="E9" s="6" t="n"/>
      <c r="F9" s="6" t="n"/>
      <c r="G9" s="6" t="n">
        <v>28014</v>
      </c>
    </row>
    <row r="10">
      <c r="A10" s="6" t="inlineStr">
        <is>
          <t>Loss for the year</t>
        </is>
      </c>
      <c r="B10" s="6" t="n"/>
      <c r="C10" s="6" t="n"/>
      <c r="D10" s="6" t="n">
        <v>-334</v>
      </c>
      <c r="E10" s="6" t="n"/>
      <c r="F10" s="6" t="n"/>
      <c r="G10" s="6" t="n">
        <v>-334</v>
      </c>
    </row>
    <row r="11">
      <c r="A11" s="6" t="inlineStr">
        <is>
          <t>Employee based share awards</t>
        </is>
      </c>
      <c r="B11" s="6" t="n"/>
      <c r="C11" s="6" t="n"/>
      <c r="D11" s="6" t="n"/>
      <c r="E11" s="6" t="n">
        <v>90</v>
      </c>
      <c r="F11" s="6" t="n"/>
      <c r="G11" s="6" t="n">
        <v>90</v>
      </c>
    </row>
    <row r="12">
      <c r="A12" s="5" t="inlineStr">
        <is>
          <t>At 31 December 2022 (FY2022 closing)</t>
        </is>
      </c>
      <c r="B12" s="5" t="n">
        <v>650</v>
      </c>
      <c r="C12" s="5" t="n">
        <v>68302</v>
      </c>
      <c r="D12" s="5" t="n">
        <v>-14901</v>
      </c>
      <c r="E12" s="5" t="n">
        <v>107</v>
      </c>
      <c r="F12" s="5" t="n"/>
      <c r="G12" s="5" t="n">
        <v>54158</v>
      </c>
    </row>
    <row r="13">
      <c r="A13" s="6" t="inlineStr">
        <is>
          <t>Issue of Share Capital (net of costs)</t>
        </is>
      </c>
      <c r="B13" s="6" t="n">
        <v>112</v>
      </c>
      <c r="C13" s="6" t="n">
        <v>23924</v>
      </c>
      <c r="D13" s="6" t="n"/>
      <c r="E13" s="6" t="n"/>
      <c r="F13" s="6" t="n"/>
      <c r="G13" s="6" t="n">
        <v>24036</v>
      </c>
    </row>
    <row r="14">
      <c r="A14" s="6" t="inlineStr">
        <is>
          <t>Profit for the year</t>
        </is>
      </c>
      <c r="B14" s="6" t="n"/>
      <c r="C14" s="6" t="n"/>
      <c r="D14" s="6" t="n">
        <v>2314</v>
      </c>
      <c r="E14" s="6" t="n"/>
      <c r="F14" s="6" t="n"/>
      <c r="G14" s="6" t="n">
        <v>2314</v>
      </c>
    </row>
    <row r="15">
      <c r="A15" s="6" t="inlineStr">
        <is>
          <t>Employee based share awards</t>
        </is>
      </c>
      <c r="B15" s="6" t="n"/>
      <c r="C15" s="6" t="n"/>
      <c r="D15" s="6" t="n"/>
      <c r="E15" s="6" t="n">
        <v>159</v>
      </c>
      <c r="F15" s="6" t="n"/>
      <c r="G15" s="6" t="n">
        <v>159</v>
      </c>
    </row>
    <row r="16">
      <c r="A16" s="5" t="inlineStr">
        <is>
          <t>At 31 December 2023 (FY2023 closing)</t>
        </is>
      </c>
      <c r="B16" s="5" t="n">
        <v>762</v>
      </c>
      <c r="C16" s="5" t="n">
        <v>92226</v>
      </c>
      <c r="D16" s="5" t="n">
        <v>-12587</v>
      </c>
      <c r="E16" s="5" t="n">
        <v>266</v>
      </c>
      <c r="F16" s="5" t="n"/>
      <c r="G16" s="5" t="n">
        <v>80667</v>
      </c>
    </row>
    <row r="17">
      <c r="A17" s="6" t="inlineStr">
        <is>
          <t>Issue of Share Capital (net of costs)</t>
        </is>
      </c>
      <c r="B17" s="6" t="n">
        <v>266</v>
      </c>
      <c r="C17" s="6" t="n">
        <v>68410</v>
      </c>
      <c r="D17" s="6" t="n"/>
      <c r="E17" s="6" t="n"/>
      <c r="F17" s="6" t="n"/>
      <c r="G17" s="6" t="n">
        <v>68676</v>
      </c>
    </row>
    <row r="18">
      <c r="A18" s="6" t="inlineStr">
        <is>
          <t>Profit for the year</t>
        </is>
      </c>
      <c r="B18" s="6" t="n"/>
      <c r="C18" s="6" t="n"/>
      <c r="D18" s="6" t="n">
        <v>5863</v>
      </c>
      <c r="E18" s="6" t="n"/>
      <c r="F18" s="6" t="n"/>
      <c r="G18" s="6" t="n">
        <v>5863</v>
      </c>
    </row>
    <row r="19">
      <c r="A19" s="6" t="inlineStr">
        <is>
          <t>Employee based share awards</t>
        </is>
      </c>
      <c r="B19" s="6" t="n"/>
      <c r="C19" s="6" t="n"/>
      <c r="D19" s="6" t="n"/>
      <c r="E19" s="6" t="n">
        <v>101</v>
      </c>
      <c r="F19" s="6" t="n"/>
      <c r="G19" s="6" t="n">
        <v>101</v>
      </c>
    </row>
    <row r="20">
      <c r="A20" s="5" t="inlineStr">
        <is>
          <t>At 31 December 2024 (FY2024 closing, restated)</t>
        </is>
      </c>
      <c r="B20" s="5" t="n">
        <v>1028</v>
      </c>
      <c r="C20" s="5" t="n">
        <v>160636</v>
      </c>
      <c r="D20" s="5" t="n">
        <v>-6724</v>
      </c>
      <c r="E20" s="5" t="n">
        <v>367</v>
      </c>
      <c r="F20" s="5" t="n"/>
      <c r="G20" s="5" t="n">
        <v>155307</v>
      </c>
    </row>
    <row r="21">
      <c r="A21" s="6" t="inlineStr">
        <is>
          <t>Issue of Share Capital (net of costs)</t>
        </is>
      </c>
      <c r="B21" s="6" t="n">
        <v>128</v>
      </c>
      <c r="C21" s="6" t="n">
        <v>42720</v>
      </c>
      <c r="D21" s="6" t="n"/>
      <c r="E21" s="6" t="n"/>
      <c r="F21" s="6" t="n"/>
      <c r="G21" s="6" t="n">
        <v>42848</v>
      </c>
    </row>
    <row r="22">
      <c r="A22" s="6" t="inlineStr">
        <is>
          <t>Profit for the year</t>
        </is>
      </c>
      <c r="B22" s="6" t="n"/>
      <c r="C22" s="6" t="n"/>
      <c r="D22" s="6" t="n">
        <v>11920</v>
      </c>
      <c r="E22" s="6" t="n"/>
      <c r="F22" s="6" t="n"/>
      <c r="G22" s="6" t="n">
        <v>11920</v>
      </c>
    </row>
    <row r="23">
      <c r="A23" s="6" t="inlineStr">
        <is>
          <t>Transfer from Share Based Payment Reserve to Capital Contribution Reserve</t>
        </is>
      </c>
      <c r="B23" s="6" t="n"/>
      <c r="C23" s="6" t="n"/>
      <c r="D23" s="6" t="n"/>
      <c r="E23" s="6" t="n">
        <v>-367</v>
      </c>
      <c r="F23" s="6" t="n">
        <v>367</v>
      </c>
      <c r="G23" s="6" t="n">
        <v>0</v>
      </c>
    </row>
    <row r="24">
      <c r="A24" s="6" t="inlineStr">
        <is>
          <t>Employee based share awards</t>
        </is>
      </c>
      <c r="B24" s="6" t="n"/>
      <c r="C24" s="6" t="n"/>
      <c r="D24" s="6" t="n"/>
      <c r="E24" s="6" t="n"/>
      <c r="F24" s="6" t="n">
        <v>204</v>
      </c>
      <c r="G24" s="6" t="n">
        <v>204</v>
      </c>
    </row>
    <row r="25">
      <c r="A25" s="5" t="inlineStr">
        <is>
          <t>At 31 December 2025 (FY2025 closing)</t>
        </is>
      </c>
      <c r="B25" s="5" t="n">
        <v>1156</v>
      </c>
      <c r="C25" s="5" t="n">
        <v>203356</v>
      </c>
      <c r="D25" s="5" t="n">
        <v>5196</v>
      </c>
      <c r="E25" s="5" t="n">
        <v>0</v>
      </c>
      <c r="F25" s="5" t="n">
        <v>571</v>
      </c>
      <c r="G25" s="5" t="n">
        <v>210279</v>
      </c>
    </row>
    <row r="27" ht="15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1">
    <mergeCell ref="A27:G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Oxbury Bank Plc — Statement of Cash Flows</t>
        </is>
      </c>
    </row>
    <row r="2">
      <c r="A2" s="2" t="inlineStr">
        <is>
          <t>Company/entity-level basis, £'000; FY2024 is the restated comparative presented in the FY2025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and adjustments before net changes in operating assets and liabilities</t>
        </is>
      </c>
      <c r="B5" s="6" t="n">
        <v>-26222</v>
      </c>
      <c r="C5" s="6" t="n">
        <v>-17894</v>
      </c>
      <c r="D5" s="6" t="n">
        <v>-12067</v>
      </c>
      <c r="E5" s="6" t="n">
        <v>-9138</v>
      </c>
      <c r="F5" s="6" t="n">
        <v>-6468</v>
      </c>
    </row>
    <row r="6">
      <c r="A6" s="6" t="inlineStr">
        <is>
          <t>Net changes in operating assets and liabilities (aggregate of source line items)</t>
        </is>
      </c>
      <c r="B6" s="6" t="n">
        <v>280132</v>
      </c>
      <c r="C6" s="6" t="n">
        <v>898886</v>
      </c>
      <c r="D6" s="6" t="n">
        <v>382363</v>
      </c>
      <c r="E6" s="6" t="n">
        <v>73038</v>
      </c>
      <c r="F6" s="6" t="n">
        <v>27493</v>
      </c>
    </row>
    <row r="7">
      <c r="A7" s="5" t="inlineStr">
        <is>
          <t>Cash flows generated from/(used in) operating activities</t>
        </is>
      </c>
      <c r="B7" s="5" t="n">
        <v>253910</v>
      </c>
      <c r="C7" s="5" t="n">
        <v>880992</v>
      </c>
      <c r="D7" s="5" t="n">
        <v>370296</v>
      </c>
      <c r="E7" s="5" t="n">
        <v>63900</v>
      </c>
      <c r="F7" s="5" t="n">
        <v>21025</v>
      </c>
    </row>
    <row r="8">
      <c r="A8" s="5" t="inlineStr">
        <is>
          <t>Investing activities</t>
        </is>
      </c>
      <c r="B8" s="6" t="n"/>
      <c r="C8" s="6" t="n"/>
      <c r="D8" s="6" t="n"/>
      <c r="E8" s="6" t="n"/>
      <c r="F8" s="6" t="n"/>
    </row>
    <row r="9">
      <c r="A9" s="6" t="inlineStr">
        <is>
          <t>Purchase of tangible assets</t>
        </is>
      </c>
      <c r="B9" s="6" t="n">
        <v>-72</v>
      </c>
      <c r="C9" s="6" t="n">
        <v>-119</v>
      </c>
      <c r="D9" s="6" t="n">
        <v>-188</v>
      </c>
      <c r="E9" s="6" t="n">
        <v>-72</v>
      </c>
      <c r="F9" s="6" t="n">
        <v>-64</v>
      </c>
    </row>
    <row r="10">
      <c r="A10" s="6" t="inlineStr">
        <is>
          <t>Disposal/(purchase) of gilts</t>
        </is>
      </c>
      <c r="B10" s="6" t="n"/>
      <c r="C10" s="6" t="n"/>
      <c r="D10" s="6" t="n"/>
      <c r="E10" s="6" t="n"/>
      <c r="F10" s="6" t="n">
        <v>50</v>
      </c>
    </row>
    <row r="11">
      <c r="A11" s="6" t="inlineStr">
        <is>
          <t>Investment in subsidiary</t>
        </is>
      </c>
      <c r="B11" s="6" t="n"/>
      <c r="C11" s="6" t="n"/>
      <c r="D11" s="6" t="n"/>
      <c r="E11" s="6" t="n">
        <v>-2466</v>
      </c>
      <c r="F11" s="6" t="n"/>
    </row>
    <row r="12">
      <c r="A12" s="6" t="inlineStr">
        <is>
          <t>Addition in intangible assets and trademarks</t>
        </is>
      </c>
      <c r="B12" s="6" t="n">
        <v>-1911</v>
      </c>
      <c r="C12" s="6" t="n">
        <v>-1643</v>
      </c>
      <c r="D12" s="6" t="n">
        <v>-2281</v>
      </c>
      <c r="E12" s="6" t="n">
        <v>-1638</v>
      </c>
      <c r="F12" s="6" t="n">
        <v>-1524</v>
      </c>
    </row>
    <row r="13">
      <c r="A13" s="6" t="inlineStr">
        <is>
          <t>Purchase of investment securities</t>
        </is>
      </c>
      <c r="B13" s="6" t="n">
        <v>-820188</v>
      </c>
      <c r="C13" s="6" t="n"/>
      <c r="D13" s="6" t="n"/>
      <c r="E13" s="6" t="n"/>
      <c r="F13" s="6" t="n"/>
    </row>
    <row r="14">
      <c r="A14" s="6" t="inlineStr">
        <is>
          <t>Sale of investment securities</t>
        </is>
      </c>
      <c r="B14" s="6" t="n">
        <v>447232</v>
      </c>
      <c r="C14" s="6" t="n"/>
      <c r="D14" s="6" t="n"/>
      <c r="E14" s="6" t="n"/>
      <c r="F14" s="6" t="n"/>
    </row>
    <row r="15">
      <c r="A15" s="5" t="inlineStr">
        <is>
          <t>Net cash flows used in investing activities</t>
        </is>
      </c>
      <c r="B15" s="5" t="n">
        <v>-374939</v>
      </c>
      <c r="C15" s="5" t="n">
        <v>-1762</v>
      </c>
      <c r="D15" s="5" t="n">
        <v>-2469</v>
      </c>
      <c r="E15" s="5" t="n">
        <v>-4176</v>
      </c>
      <c r="F15" s="5" t="n">
        <v>-1538</v>
      </c>
    </row>
    <row r="16">
      <c r="A16" s="5" t="inlineStr">
        <is>
          <t>Financing activities</t>
        </is>
      </c>
      <c r="B16" s="6" t="n"/>
      <c r="C16" s="6" t="n"/>
      <c r="D16" s="6" t="n"/>
      <c r="E16" s="6" t="n"/>
      <c r="F16" s="6" t="n"/>
    </row>
    <row r="17">
      <c r="A17" s="6" t="inlineStr">
        <is>
          <t>Issue of share capital</t>
        </is>
      </c>
      <c r="B17" s="6" t="n">
        <v>43129</v>
      </c>
      <c r="C17" s="6" t="n">
        <v>68951</v>
      </c>
      <c r="D17" s="6" t="n">
        <v>24262</v>
      </c>
      <c r="E17" s="6" t="n">
        <v>28167</v>
      </c>
      <c r="F17" s="6" t="n">
        <v>12019</v>
      </c>
    </row>
    <row r="18">
      <c r="A18" s="6" t="inlineStr">
        <is>
          <t>Costs directly related to issue of share capital</t>
        </is>
      </c>
      <c r="B18" s="6" t="n">
        <v>-282</v>
      </c>
      <c r="C18" s="6" t="n">
        <v>-275</v>
      </c>
      <c r="D18" s="6" t="n">
        <v>-226</v>
      </c>
      <c r="E18" s="6" t="n">
        <v>-153</v>
      </c>
      <c r="F18" s="6" t="n">
        <v>-70</v>
      </c>
    </row>
    <row r="19">
      <c r="A19" s="6" t="inlineStr">
        <is>
          <t>Increase in subordinated debt</t>
        </is>
      </c>
      <c r="B19" s="6" t="n">
        <v>16250</v>
      </c>
      <c r="C19" s="6" t="n">
        <v>2500</v>
      </c>
      <c r="D19" s="6" t="n">
        <v>7500</v>
      </c>
      <c r="E19" s="6" t="n">
        <v>7500</v>
      </c>
      <c r="F19" s="6" t="n">
        <v>0</v>
      </c>
    </row>
    <row r="20">
      <c r="A20" s="6" t="inlineStr">
        <is>
          <t>Interest paid on subordinated debt</t>
        </is>
      </c>
      <c r="B20" s="6" t="n">
        <v>-2301</v>
      </c>
      <c r="C20" s="6" t="n">
        <v>-1873</v>
      </c>
      <c r="D20" s="6" t="n">
        <v>-1151</v>
      </c>
      <c r="E20" s="6" t="n">
        <v>0</v>
      </c>
      <c r="F20" s="6" t="n">
        <v>0</v>
      </c>
    </row>
    <row r="21">
      <c r="A21" s="6" t="inlineStr">
        <is>
          <t>Interest paid on lease payments</t>
        </is>
      </c>
      <c r="B21" s="6" t="n">
        <v>-55</v>
      </c>
      <c r="C21" s="6" t="n">
        <v>-71</v>
      </c>
      <c r="D21" s="6" t="n">
        <v>-43</v>
      </c>
      <c r="E21" s="6" t="n">
        <v>-37</v>
      </c>
      <c r="F21" s="6" t="n">
        <v>0</v>
      </c>
    </row>
    <row r="22">
      <c r="A22" s="6" t="inlineStr">
        <is>
          <t>Payments in relation to leases</t>
        </is>
      </c>
      <c r="B22" s="6" t="n">
        <v>-252</v>
      </c>
      <c r="C22" s="6" t="n">
        <v>-109</v>
      </c>
      <c r="D22" s="6" t="n">
        <v>-148</v>
      </c>
      <c r="E22" s="6" t="n">
        <v>-115</v>
      </c>
      <c r="F22" s="6" t="n">
        <v>-93</v>
      </c>
    </row>
    <row r="23">
      <c r="A23" s="6" t="inlineStr">
        <is>
          <t>Rounding adjustment to FY2025 reported financing subtotal</t>
        </is>
      </c>
      <c r="B23" s="6" t="n">
        <v>1</v>
      </c>
      <c r="C23" s="6" t="n"/>
      <c r="D23" s="6" t="n"/>
      <c r="E23" s="6" t="n"/>
      <c r="F23" s="6" t="n"/>
    </row>
    <row r="24">
      <c r="A24" s="5" t="inlineStr">
        <is>
          <t>Net cash flows from financing activities</t>
        </is>
      </c>
      <c r="B24" s="5" t="n">
        <v>56490</v>
      </c>
      <c r="C24" s="5" t="n">
        <v>69123</v>
      </c>
      <c r="D24" s="5" t="n">
        <v>30194</v>
      </c>
      <c r="E24" s="5" t="n">
        <v>35362</v>
      </c>
      <c r="F24" s="5" t="n">
        <v>11856</v>
      </c>
    </row>
    <row r="25">
      <c r="A25" s="5" t="inlineStr">
        <is>
          <t>Net increase/(decrease) in cash and cash equivalents in the year</t>
        </is>
      </c>
      <c r="B25" s="5" t="n">
        <v>-64539</v>
      </c>
      <c r="C25" s="5" t="n">
        <v>948353</v>
      </c>
      <c r="D25" s="5" t="n">
        <v>398021</v>
      </c>
      <c r="E25" s="5" t="n">
        <v>95086</v>
      </c>
      <c r="F25" s="5" t="n">
        <v>31343</v>
      </c>
    </row>
    <row r="26">
      <c r="A26" s="6" t="inlineStr">
        <is>
          <t>Cash and cash equivalents at start of year</t>
        </is>
      </c>
      <c r="B26" s="6" t="n">
        <v>1492018</v>
      </c>
      <c r="C26" s="6" t="n">
        <v>543665</v>
      </c>
      <c r="D26" s="6" t="n">
        <v>145644</v>
      </c>
      <c r="E26" s="6" t="n">
        <v>50558</v>
      </c>
      <c r="F26" s="6" t="n">
        <v>19215</v>
      </c>
    </row>
    <row r="27">
      <c r="A27" s="5" t="inlineStr">
        <is>
          <t>Cash and cash equivalents at end of year</t>
        </is>
      </c>
      <c r="B27" s="5" t="n">
        <v>1427479</v>
      </c>
      <c r="C27" s="5" t="n">
        <v>1492018</v>
      </c>
      <c r="D27" s="5" t="n">
        <v>543665</v>
      </c>
      <c r="E27" s="5" t="n">
        <v>145644</v>
      </c>
      <c r="F27" s="5" t="n">
        <v>50558</v>
      </c>
    </row>
    <row r="29" ht="22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The FY2025 financing subtotal is £1k above the sum of the displayed rounded component lines; the explicit £1k rounding adjustment preserves the report's stated subtotal.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1">
    <mergeCell ref="A29:F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Oxbury Bank Plc — Asset Quality</t>
        </is>
      </c>
    </row>
    <row r="2">
      <c r="A2" s="2" t="inlineStr">
        <is>
          <t>Company/entity-level basis, £'000. Loans and advances to customers, IFRS 9 stage 1/2/3 split.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 (gross carrying amount)</t>
        </is>
      </c>
      <c r="B4" s="6" t="n"/>
      <c r="C4" s="6" t="n"/>
      <c r="D4" s="6" t="n"/>
      <c r="E4" s="6" t="n"/>
      <c r="F4" s="6" t="n"/>
    </row>
    <row r="5">
      <c r="A5" s="6" t="inlineStr">
        <is>
          <t>Stage 1 gross carrying amount</t>
        </is>
      </c>
      <c r="B5" s="6" t="n">
        <v>1711257</v>
      </c>
      <c r="C5" s="6" t="n">
        <v>1009280</v>
      </c>
      <c r="D5" s="6" t="n">
        <v>597332</v>
      </c>
      <c r="E5" s="6" t="n"/>
      <c r="F5" s="6" t="n"/>
    </row>
    <row r="6">
      <c r="A6" s="6" t="inlineStr">
        <is>
          <t>Stage 2 gross carrying amount</t>
        </is>
      </c>
      <c r="B6" s="6" t="n">
        <v>33224</v>
      </c>
      <c r="C6" s="6" t="n">
        <v>12698</v>
      </c>
      <c r="D6" s="6" t="n">
        <v>8303</v>
      </c>
      <c r="E6" s="6" t="n"/>
      <c r="F6" s="6" t="n"/>
    </row>
    <row r="7">
      <c r="A7" s="6" t="inlineStr">
        <is>
          <t>Stage 3 gross carrying amount</t>
        </is>
      </c>
      <c r="B7" s="6" t="n">
        <v>6458</v>
      </c>
      <c r="C7" s="6" t="n">
        <v>5190</v>
      </c>
      <c r="D7" s="6" t="n">
        <v>621</v>
      </c>
      <c r="E7" s="6" t="n"/>
      <c r="F7" s="6" t="n"/>
    </row>
    <row r="8">
      <c r="A8" s="5" t="inlineStr">
        <is>
          <t>Gross carrying amount</t>
        </is>
      </c>
      <c r="B8" s="5" t="n">
        <v>1750938</v>
      </c>
      <c r="C8" s="5" t="n">
        <v>1027168</v>
      </c>
      <c r="D8" s="5" t="n">
        <v>606256</v>
      </c>
      <c r="E8" s="5" t="n">
        <v>349676</v>
      </c>
      <c r="F8" s="5" t="n"/>
    </row>
    <row r="9">
      <c r="A9" s="6" t="inlineStr">
        <is>
          <t>Stage 1 ECL allowance</t>
        </is>
      </c>
      <c r="B9" s="6" t="n">
        <v>-1957</v>
      </c>
      <c r="C9" s="6" t="n">
        <v>-1236</v>
      </c>
      <c r="D9" s="6" t="n">
        <v>-507</v>
      </c>
      <c r="E9" s="6" t="n"/>
      <c r="F9" s="6" t="n"/>
    </row>
    <row r="10">
      <c r="A10" s="6" t="inlineStr">
        <is>
          <t>Stage 2 ECL allowance</t>
        </is>
      </c>
      <c r="B10" s="6" t="n">
        <v>-268</v>
      </c>
      <c r="C10" s="6" t="n">
        <v>-45</v>
      </c>
      <c r="D10" s="6" t="n">
        <v>-31</v>
      </c>
      <c r="E10" s="6" t="n"/>
      <c r="F10" s="6" t="n"/>
    </row>
    <row r="11">
      <c r="A11" s="6" t="inlineStr">
        <is>
          <t>Stage 3 ECL allowance</t>
        </is>
      </c>
      <c r="B11" s="6" t="n">
        <v>-269</v>
      </c>
      <c r="C11" s="6" t="n">
        <v>-63</v>
      </c>
      <c r="D11" s="6" t="n">
        <v>-7</v>
      </c>
      <c r="E11" s="6" t="n"/>
      <c r="F11" s="6" t="n"/>
    </row>
    <row r="12">
      <c r="A12" s="5" t="inlineStr">
        <is>
          <t>ECL allowance</t>
        </is>
      </c>
      <c r="B12" s="5" t="n">
        <v>-2494</v>
      </c>
      <c r="C12" s="5" t="n">
        <v>-1344</v>
      </c>
      <c r="D12" s="5" t="n">
        <v>-545</v>
      </c>
      <c r="E12" s="5" t="n">
        <v>-144</v>
      </c>
      <c r="F12" s="5" t="n"/>
    </row>
    <row r="13">
      <c r="A13" s="6" t="inlineStr">
        <is>
          <t>Stage 1 net carrying amount</t>
        </is>
      </c>
      <c r="B13" s="6" t="n">
        <v>1709300</v>
      </c>
      <c r="C13" s="6" t="n">
        <v>1008044</v>
      </c>
      <c r="D13" s="6" t="n">
        <v>596825</v>
      </c>
      <c r="E13" s="6" t="n">
        <v>346425</v>
      </c>
      <c r="F13" s="6" t="n"/>
    </row>
    <row r="14">
      <c r="A14" s="6" t="inlineStr">
        <is>
          <t>Stage 2 net carrying amount</t>
        </is>
      </c>
      <c r="B14" s="6" t="n">
        <v>32956</v>
      </c>
      <c r="C14" s="6" t="n">
        <v>12653</v>
      </c>
      <c r="D14" s="6" t="n">
        <v>8272</v>
      </c>
      <c r="E14" s="6" t="n">
        <v>2602</v>
      </c>
      <c r="F14" s="6" t="n"/>
    </row>
    <row r="15">
      <c r="A15" s="6" t="inlineStr">
        <is>
          <t>Stage 3 net carrying amount</t>
        </is>
      </c>
      <c r="B15" s="6" t="n">
        <v>6189</v>
      </c>
      <c r="C15" s="6" t="n">
        <v>5127</v>
      </c>
      <c r="D15" s="6" t="n">
        <v>614</v>
      </c>
      <c r="E15" s="6" t="n">
        <v>505</v>
      </c>
      <c r="F15" s="6" t="n"/>
    </row>
    <row r="16">
      <c r="A16" s="5" t="inlineStr">
        <is>
          <t>Net carrying amount</t>
        </is>
      </c>
      <c r="B16" s="5" t="n">
        <v>1748444</v>
      </c>
      <c r="C16" s="5" t="n">
        <v>1025824</v>
      </c>
      <c r="D16" s="5" t="n">
        <v>605711</v>
      </c>
      <c r="E16" s="5" t="n">
        <v>349532</v>
      </c>
      <c r="F16" s="5" t="n">
        <v>110545</v>
      </c>
    </row>
    <row r="17">
      <c r="A17" s="6" t="inlineStr">
        <is>
          <t>Stage 3 as % of gross carrying amount (NPL ratio)</t>
        </is>
      </c>
      <c r="B17" s="6" t="inlineStr">
        <is>
          <t>0.37%</t>
        </is>
      </c>
      <c r="C17" s="6" t="inlineStr">
        <is>
          <t>0.51%</t>
        </is>
      </c>
      <c r="D17" s="6" t="inlineStr">
        <is>
          <t>0.10%</t>
        </is>
      </c>
      <c r="E17" s="6" t="n"/>
      <c r="F17" s="6" t="n"/>
    </row>
    <row r="18">
      <c r="A18" s="6" t="inlineStr">
        <is>
          <t>ECL allowance as % of gross carrying amount (coverage)</t>
        </is>
      </c>
      <c r="B18" s="6" t="inlineStr">
        <is>
          <t>0.14%</t>
        </is>
      </c>
      <c r="C18" s="6" t="inlineStr">
        <is>
          <t>0.13%</t>
        </is>
      </c>
      <c r="D18" s="6" t="inlineStr">
        <is>
          <t>0.09%</t>
        </is>
      </c>
      <c r="E18" s="6" t="inlineStr">
        <is>
          <t>0.04%</t>
        </is>
      </c>
      <c r="F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c r="D4" s="6" t="n">
        <v>68026</v>
      </c>
      <c r="E4" s="6" t="n">
        <v>45557</v>
      </c>
      <c r="F4" s="6" t="n"/>
    </row>
    <row r="5" ht="60" customHeight="1">
      <c r="A5" s="7" t="inlineStr">
        <is>
          <t>Note: Not publicly disclosed for FY2025, FY2024 and FY2021 in the sources reviewed; FY2023 and FY2022 are from the dedicated Pillar 3 capital-resources table.</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n"/>
      <c r="D4" s="6" t="inlineStr">
        <is>
          <t>15.94%</t>
        </is>
      </c>
      <c r="E4" s="6" t="inlineStr">
        <is>
          <t>16.16%</t>
        </is>
      </c>
      <c r="F4" s="6" t="inlineStr">
        <is>
          <t>23%</t>
        </is>
      </c>
    </row>
    <row r="5" ht="60" customHeight="1">
      <c r="A5" s="7" t="inlineStr">
        <is>
          <t>Note: FY2021 is reported as ‘CET1 / Total Capital Ratio’ in the annual-report KPI table; FY2024-FY2025 CET1-specific ratios were not disclosed in the sources reviewed.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c r="C4" s="6" t="n"/>
      <c r="D4" s="6" t="n">
        <v>68026</v>
      </c>
      <c r="E4" s="6" t="n">
        <v>45557</v>
      </c>
      <c r="F4" s="6" t="n"/>
    </row>
    <row r="5" ht="60" customHeight="1">
      <c r="A5" s="7" t="inlineStr">
        <is>
          <t>Note: Not publicly disclosed for FY2025, FY2024 and FY2021 in the sources reviewed.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n"/>
      <c r="C4" s="6" t="n"/>
      <c r="D4" s="6" t="inlineStr">
        <is>
          <t>15.94%</t>
        </is>
      </c>
      <c r="E4" s="6" t="inlineStr">
        <is>
          <t>16.16%</t>
        </is>
      </c>
      <c r="F4" s="6" t="inlineStr">
        <is>
          <t>23%</t>
        </is>
      </c>
    </row>
    <row r="5" ht="60" customHeight="1">
      <c r="A5" s="7" t="inlineStr">
        <is>
          <t>Note: FY2021 annual-report KPI is labelled CET1 / Total Capital Ratio and is used as the only disclosed capital-ratio measure for that year.</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c r="C4" s="6" t="n"/>
      <c r="D4" s="6" t="n">
        <v>82214</v>
      </c>
      <c r="E4" s="6" t="n">
        <v>53057</v>
      </c>
      <c r="F4" s="6" t="n"/>
    </row>
    <row r="5" ht="60" customHeight="1">
      <c r="A5" s="7" t="inlineStr">
        <is>
          <t>Note: Not publicly disclosed for FY2025, FY2024 and FY2021 in the sources reviewed.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18.8%</t>
        </is>
      </c>
      <c r="C4" s="6" t="inlineStr">
        <is>
          <t>22.5%</t>
        </is>
      </c>
      <c r="D4" s="6" t="inlineStr">
        <is>
          <t>19.27%</t>
        </is>
      </c>
      <c r="E4" s="6" t="inlineStr">
        <is>
          <t>18.81%</t>
        </is>
      </c>
      <c r="F4" s="6" t="inlineStr">
        <is>
          <t>23%</t>
        </is>
      </c>
    </row>
    <row r="5" ht="60" customHeight="1">
      <c r="A5" s="7" t="inlineStr">
        <is>
          <t>Note: FY2025 and FY2024 are the annual-report Company Key Performance Indicators; FY2023-FY2022 are dedicated Pillar 3 ratios; FY2021 annual-report KPI is labelled CET1 / Total Capital Ratio.</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c r="C4" s="6" t="n"/>
      <c r="D4" s="6" t="n">
        <v>426705</v>
      </c>
      <c r="E4" s="6" t="n">
        <v>282001</v>
      </c>
      <c r="F4" s="6" t="n"/>
    </row>
    <row r="5" ht="60" customHeight="1">
      <c r="A5" s="7" t="inlineStr">
        <is>
          <t>Note: Not publicly disclosed for FY2025, FY2024 and FY2021 in the sources reviewed.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Oxbury Bank Plc — RWA Breakdown</t>
        </is>
      </c>
    </row>
    <row r="2">
      <c r="A2" s="2" t="inlineStr">
        <is>
          <t>Company/entity-level basis, £'000. Pillar 3 UK OV1 template (4.4 Overview of Risk Weighted Exposure Amounts). Counterparty credit risk was disclosed as nil both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c r="C4" s="6" t="n"/>
      <c r="D4" s="6" t="n">
        <v>426705</v>
      </c>
      <c r="E4" s="6" t="n">
        <v>282001</v>
      </c>
      <c r="F4" s="6" t="n"/>
    </row>
    <row r="5">
      <c r="A5" s="6" t="inlineStr">
        <is>
          <t>Operational risk</t>
        </is>
      </c>
      <c r="B5" s="6" t="n"/>
      <c r="C5" s="6" t="n"/>
      <c r="D5" s="6" t="n">
        <v>18622</v>
      </c>
      <c r="E5" s="6" t="n">
        <v>9411</v>
      </c>
      <c r="F5" s="6" t="n"/>
    </row>
    <row r="6">
      <c r="A6" s="5" t="inlineStr">
        <is>
          <t>Total risk weighted exposure amount (as disclosed - see data quality note)</t>
        </is>
      </c>
      <c r="B6" s="5" t="n"/>
      <c r="C6" s="5" t="n"/>
      <c r="D6" s="5" t="n">
        <v>426705</v>
      </c>
      <c r="E6" s="5" t="n">
        <v>282001</v>
      </c>
      <c r="F6" s="5" t="n"/>
    </row>
    <row r="8" ht="200" customHeight="1">
      <c r="A8"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DATA QUALITY NOTE: the source document's own 'Total' row (426,705 for FY2023; 282,001 for FY2022) equals the Credit Risk row alone, not the sum of Credit Risk plus the separately-disclosed Operational risk row (18,622/9,411) - an apparent inconsistency within the Bank's own Pillar 3 table. Reproduced exactly as disclosed (the 'Total' ties to the pre-existing Total RWAs sheet and the Bank's own reported capital ratios), not corrected or blended.</t>
        </is>
      </c>
    </row>
  </sheetData>
  <mergeCells count="1">
    <mergeCell ref="A8:F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9.2%</t>
        </is>
      </c>
      <c r="C4" s="6" t="inlineStr">
        <is>
          <t>12.7%</t>
        </is>
      </c>
      <c r="D4" s="6" t="inlineStr">
        <is>
          <t>10.69%</t>
        </is>
      </c>
      <c r="E4" s="6" t="inlineStr">
        <is>
          <t>12.17%</t>
        </is>
      </c>
      <c r="F4" s="6" t="inlineStr">
        <is>
          <t>15%</t>
        </is>
      </c>
    </row>
    <row r="5" ht="60" customHeight="1">
      <c r="A5" s="7" t="inlineStr">
        <is>
          <t>Note: FY2025-FY2024 are annual-report KPI measures; FY2023-FY2022 are Pillar 3 ratios excluding claims on central banks; FY2021 is the annual-report KPI.</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296%</t>
        </is>
      </c>
      <c r="C4" s="6" t="inlineStr">
        <is>
          <t>460%</t>
        </is>
      </c>
      <c r="D4" s="6" t="inlineStr">
        <is>
          <t>545.2%</t>
        </is>
      </c>
      <c r="E4" s="6" t="inlineStr">
        <is>
          <t>2,132%</t>
        </is>
      </c>
      <c r="F4" s="6" t="inlineStr">
        <is>
          <t>1,090%</t>
        </is>
      </c>
    </row>
    <row r="5" ht="60" customHeight="1">
      <c r="A5" s="7" t="inlineStr">
        <is>
          <t>Note: FY2025-FY2024 are annual-report KPI measures; FY2023-FY2022 are the Pillar 3 LCR ratios (the annual report also shows a year-end 614%/2,819% measure on a different basis); FY2021 is the annual-report KPI.</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n"/>
      <c r="D4" s="6" t="inlineStr">
        <is>
          <t>201.1%</t>
        </is>
      </c>
      <c r="E4" s="6" t="inlineStr">
        <is>
          <t>149.1%</t>
        </is>
      </c>
      <c r="F4" s="6" t="n"/>
    </row>
    <row r="5" ht="60" customHeight="1">
      <c r="A5" s="7" t="inlineStr">
        <is>
          <t>Note: Not publicly disclosed for FY2025, FY2024 and FY2021 in the sources reviewed.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found in the annual reports or the dedicated FY2023 Pillar 3 disclosure reviewed.</t>
        </is>
      </c>
    </row>
    <row r="7" ht="180" customHeight="1">
      <c r="A7" s="8" t="inlineStr">
        <is>
          <t>Sources - Oxbury Bank Plc regulatory/entity basis:
FY2023 and FY2022: Oxbury Bank Plc Pillar 3 Disclosures December 2023, pp.11-12 (capital resources, RWA, capital ratios), pp.17-18 (leverage), pp.36-40 (LCR and NSFR) - https://www.oxbury.com/media/xttezclr/oxbury-bank-plc-pillar-3-2023-final.pdf
FY2025 and FY2024: Oxbury Bank Plc Annual Report and Accounts 2025, p.6 (Company Key Performance Indicators, unaudited capital/liquidity measures) - https://www.oxbury.com/media/e3xppqoe/2025-company-accounts.pdf
FY2021: Oxbury Bank Plc Annual Report and Accounts 2021, p.6 (Company Key Performance Indicators, unaudited CET1/Total Capital, leverage and LCR measures) - https://www.oxbury.com/media/g5xibgrw/annual-report-2021.pdf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2026-09-03T18:33:51Z</dcterms:created>
  <dcterms:modified xmlns:dcterms="http://purl.org/dc/terms/" xmlns:xsi="http://www.w3.org/2001/XMLSchema-instance" xsi:type="dcterms:W3CDTF">2026-09-03T18:33:51Z</dcterms:modified>
</cp:coreProperties>
</file>