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2F5597"/>
        <bgColor rgb="002F559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Oxbury Bank Plc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'Overview'!L6</f>
            </strRef>
          </tx>
          <spPr>
            <a:ln xmlns:a="http://schemas.openxmlformats.org/drawingml/2006/main">
              <a:prstDash val="solid"/>
            </a:ln>
          </spPr>
          <cat>
            <numRef>
              <f>'Overview'!$M$5:$T$5</f>
            </numRef>
          </cat>
          <val>
            <numRef>
              <f>'Overview'!$M$6:$T$6</f>
            </numRef>
          </val>
        </ser>
        <ser>
          <idx val="1"/>
          <order val="1"/>
          <tx>
            <strRef>
              <f>'Overview'!L7</f>
            </strRef>
          </tx>
          <spPr>
            <a:ln xmlns:a="http://schemas.openxmlformats.org/drawingml/2006/main">
              <a:prstDash val="solid"/>
            </a:ln>
          </spPr>
          <cat>
            <numRef>
              <f>'Overview'!$M$5:$T$5</f>
            </numRef>
          </cat>
          <val>
            <numRef>
              <f>'Overview'!$M$7:$T$7</f>
            </numRef>
          </val>
        </ser>
        <ser>
          <idx val="2"/>
          <order val="2"/>
          <tx>
            <strRef>
              <f>'Overview'!L8</f>
            </strRef>
          </tx>
          <spPr>
            <a:ln xmlns:a="http://schemas.openxmlformats.org/drawingml/2006/main">
              <a:prstDash val="solid"/>
            </a:ln>
          </spPr>
          <cat>
            <numRef>
              <f>'Overview'!$M$5:$T$5</f>
            </numRef>
          </cat>
          <val>
            <numRef>
              <f>'Overview'!$M$8:$T$8</f>
            </numRef>
          </val>
        </ser>
        <ser>
          <idx val="3"/>
          <order val="3"/>
          <tx>
            <strRef>
              <f>'Overview'!L9</f>
            </strRef>
          </tx>
          <spPr>
            <a:ln xmlns:a="http://schemas.openxmlformats.org/drawingml/2006/main">
              <a:prstDash val="solid"/>
            </a:ln>
          </spPr>
          <cat>
            <numRef>
              <f>'Overview'!$M$5:$T$5</f>
            </numRef>
          </cat>
          <val>
            <numRef>
              <f>'Overview'!$M$9:$T$9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Oxbury Bank Plc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'Overview'!W13</f>
            </strRef>
          </tx>
          <spPr>
            <a:ln xmlns:a="http://schemas.openxmlformats.org/drawingml/2006/main">
              <a:prstDash val="solid"/>
            </a:ln>
          </spPr>
          <cat>
            <numRef>
              <f>'Overview'!$X$12:$AE$12</f>
            </numRef>
          </cat>
          <val>
            <numRef>
              <f>'Overview'!$X$13:$AE$13</f>
            </numRef>
          </val>
        </ser>
        <ser>
          <idx val="1"/>
          <order val="1"/>
          <tx>
            <strRef>
              <f>'Overview'!W14</f>
            </strRef>
          </tx>
          <spPr>
            <a:ln xmlns:a="http://schemas.openxmlformats.org/drawingml/2006/main">
              <a:prstDash val="solid"/>
            </a:ln>
          </spPr>
          <cat>
            <numRef>
              <f>'Overview'!$X$12:$AE$12</f>
            </numRef>
          </cat>
          <val>
            <numRef>
              <f>'Overview'!$X$14:$AE$14</f>
            </numRef>
          </val>
        </ser>
        <ser>
          <idx val="2"/>
          <order val="2"/>
          <tx>
            <strRef>
              <f>'Overview'!W15</f>
            </strRef>
          </tx>
          <spPr>
            <a:ln xmlns:a="http://schemas.openxmlformats.org/drawingml/2006/main">
              <a:prstDash val="solid"/>
            </a:ln>
          </spPr>
          <cat>
            <numRef>
              <f>'Overview'!$X$12:$AE$12</f>
            </numRef>
          </cat>
          <val>
            <numRef>
              <f>'Overview'!$X$15:$AE$15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Oxbury Bank Plc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'Overview'!AH19</f>
            </strRef>
          </tx>
          <spPr>
            <a:ln xmlns:a="http://schemas.openxmlformats.org/drawingml/2006/main">
              <a:prstDash val="solid"/>
            </a:ln>
          </spPr>
          <cat>
            <numRef>
              <f>'Overview'!$AI$18:$AP$18</f>
            </numRef>
          </cat>
          <val>
            <numRef>
              <f>'Overview'!$AI$19:$AP$19</f>
            </numRef>
          </val>
        </ser>
        <ser>
          <idx val="1"/>
          <order val="1"/>
          <tx>
            <strRef>
              <f>'Overview'!AH20</f>
            </strRef>
          </tx>
          <spPr>
            <a:ln xmlns:a="http://schemas.openxmlformats.org/drawingml/2006/main">
              <a:prstDash val="solid"/>
            </a:ln>
          </spPr>
          <cat>
            <numRef>
              <f>'Overview'!$AI$18:$AP$18</f>
            </numRef>
          </cat>
          <val>
            <numRef>
              <f>'Overview'!$AI$20:$AP$20</f>
            </numRef>
          </val>
        </ser>
        <ser>
          <idx val="2"/>
          <order val="2"/>
          <tx>
            <strRef>
              <f>'Overview'!AH21</f>
            </strRef>
          </tx>
          <spPr>
            <a:ln xmlns:a="http://schemas.openxmlformats.org/drawingml/2006/main">
              <a:prstDash val="solid"/>
            </a:ln>
          </spPr>
          <cat>
            <numRef>
              <f>'Overview'!$AI$18:$AP$18</f>
            </numRef>
          </cat>
          <val>
            <numRef>
              <f>'Overview'!$AI$21:$AP$21</f>
            </numRef>
          </val>
        </ser>
        <ser>
          <idx val="3"/>
          <order val="3"/>
          <tx>
            <strRef>
              <f>'Overview'!AH22</f>
            </strRef>
          </tx>
          <spPr>
            <a:ln xmlns:a="http://schemas.openxmlformats.org/drawingml/2006/main">
              <a:prstDash val="solid"/>
            </a:ln>
          </spPr>
          <cat>
            <numRef>
              <f>'Overview'!$AI$18:$AP$18</f>
            </numRef>
          </cat>
          <val>
            <numRef>
              <f>'Overview'!$AI$22:$AP$22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Oxbury Bank Plc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'Overview'!AS26</f>
            </strRef>
          </tx>
          <spPr>
            <a:ln xmlns:a="http://schemas.openxmlformats.org/drawingml/2006/main">
              <a:prstDash val="solid"/>
            </a:ln>
          </spPr>
          <cat>
            <numRef>
              <f>'Overview'!$AT$25:$BA$25</f>
            </numRef>
          </cat>
          <val>
            <numRef>
              <f>'Overview'!$AT$26:$BA$26</f>
            </numRef>
          </val>
        </ser>
        <ser>
          <idx val="1"/>
          <order val="1"/>
          <tx>
            <strRef>
              <f>'Overview'!AS27</f>
            </strRef>
          </tx>
          <spPr>
            <a:ln xmlns:a="http://schemas.openxmlformats.org/drawingml/2006/main">
              <a:prstDash val="solid"/>
            </a:ln>
          </spPr>
          <cat>
            <numRef>
              <f>'Overview'!$AT$25:$BA$25</f>
            </numRef>
          </cat>
          <val>
            <numRef>
              <f>'Overview'!$AT$27:$BA$27</f>
            </numRef>
          </val>
        </ser>
        <ser>
          <idx val="2"/>
          <order val="2"/>
          <tx>
            <strRef>
              <f>'Overview'!AS28</f>
            </strRef>
          </tx>
          <spPr>
            <a:ln xmlns:a="http://schemas.openxmlformats.org/drawingml/2006/main">
              <a:prstDash val="solid"/>
            </a:ln>
          </spPr>
          <cat>
            <numRef>
              <f>'Overview'!$AT$25:$BA$25</f>
            </numRef>
          </cat>
          <val>
            <numRef>
              <f>'Overview'!$AT$28:$BA$28</f>
            </numRef>
          </val>
        </ser>
        <ser>
          <idx val="3"/>
          <order val="3"/>
          <tx>
            <strRef>
              <f>'Overview'!AS29</f>
            </strRef>
          </tx>
          <spPr>
            <a:ln xmlns:a="http://schemas.openxmlformats.org/drawingml/2006/main">
              <a:prstDash val="solid"/>
            </a:ln>
          </spPr>
          <cat>
            <numRef>
              <f>'Overview'!$AT$25:$BA$25</f>
            </numRef>
          </cat>
          <val>
            <numRef>
              <f>'Overview'!$AT$29:$BA$29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Oxbury Bank Plc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'Overview'!BD6</f>
            </strRef>
          </tx>
          <spPr>
            <a:ln xmlns:a="http://schemas.openxmlformats.org/drawingml/2006/main">
              <a:prstDash val="solid"/>
            </a:ln>
          </spPr>
          <marker>
            <symbol val="none"/>
            <spPr>
              <a:ln xmlns:a="http://schemas.openxmlformats.org/drawingml/2006/main">
                <a:prstDash val="solid"/>
              </a:ln>
            </spPr>
          </marker>
          <cat>
            <numRef>
              <f>'Overview'!$BE$5:$BI$5</f>
            </numRef>
          </cat>
          <val>
            <numRef>
              <f>'Overview'!$BE$6:$BI$6</f>
            </numRef>
          </val>
          <smooth val="0"/>
        </ser>
        <ser>
          <idx val="1"/>
          <order val="1"/>
          <tx>
            <strRef>
              <f>'Overview'!BD7</f>
            </strRef>
          </tx>
          <spPr>
            <a:ln xmlns:a="http://schemas.openxmlformats.org/drawingml/2006/main">
              <a:prstDash val="solid"/>
            </a:ln>
          </spPr>
          <marker>
            <symbol val="none"/>
            <spPr>
              <a:ln xmlns:a="http://schemas.openxmlformats.org/drawingml/2006/main">
                <a:prstDash val="solid"/>
              </a:ln>
            </spPr>
          </marker>
          <cat>
            <numRef>
              <f>'Overview'!$BE$5:$BI$5</f>
            </numRef>
          </cat>
          <val>
            <numRef>
              <f>'Overview'!$BE$7:$BI$7</f>
            </numRef>
          </val>
          <smooth val="0"/>
        </ser>
        <ser>
          <idx val="2"/>
          <order val="2"/>
          <tx>
            <strRef>
              <f>'Overview'!BD8</f>
            </strRef>
          </tx>
          <spPr>
            <a:ln xmlns:a="http://schemas.openxmlformats.org/drawingml/2006/main">
              <a:prstDash val="solid"/>
            </a:ln>
          </spPr>
          <marker>
            <symbol val="none"/>
            <spPr>
              <a:ln xmlns:a="http://schemas.openxmlformats.org/drawingml/2006/main">
                <a:prstDash val="solid"/>
              </a:ln>
            </spPr>
          </marker>
          <cat>
            <numRef>
              <f>'Overview'!$BE$5:$BI$5</f>
            </numRef>
          </cat>
          <val>
            <numRef>
              <f>'Overview'!$BE$8:$BI$8</f>
            </numRef>
          </val>
          <smooth val="0"/>
        </ser>
        <ser>
          <idx val="3"/>
          <order val="3"/>
          <tx>
            <strRef>
              <f>'Overview'!BD9</f>
            </strRef>
          </tx>
          <spPr>
            <a:ln xmlns:a="http://schemas.openxmlformats.org/drawingml/2006/main">
              <a:prstDash val="solid"/>
            </a:ln>
          </spPr>
          <marker>
            <symbol val="none"/>
            <spPr>
              <a:ln xmlns:a="http://schemas.openxmlformats.org/drawingml/2006/main">
                <a:prstDash val="solid"/>
              </a:ln>
            </spPr>
          </marker>
          <cat>
            <numRef>
              <f>'Overview'!$BE$5:$BI$5</f>
            </numRef>
          </cat>
          <val>
            <numRef>
              <f>'Overview'!$BE$9:$BI$9</f>
            </numRef>
          </val>
          <smooth val="0"/>
        </ser>
        <ser>
          <idx val="4"/>
          <order val="4"/>
          <tx>
            <strRef>
              <f>'Overview'!BD10</f>
            </strRef>
          </tx>
          <spPr>
            <a:ln xmlns:a="http://schemas.openxmlformats.org/drawingml/2006/main">
              <a:prstDash val="solid"/>
            </a:ln>
          </spPr>
          <marker>
            <symbol val="none"/>
            <spPr>
              <a:ln xmlns:a="http://schemas.openxmlformats.org/drawingml/2006/main">
                <a:prstDash val="solid"/>
              </a:ln>
            </spPr>
          </marker>
          <cat>
            <numRef>
              <f>'Overview'!$BE$5:$BI$5</f>
            </numRef>
          </cat>
          <val>
            <numRef>
              <f>'Overview'!$BE$10:$BI$10</f>
            </numRef>
          </val>
          <smooth val="0"/>
        </ser>
        <ser>
          <idx val="5"/>
          <order val="5"/>
          <tx>
            <strRef>
              <f>'Overview'!BD11</f>
            </strRef>
          </tx>
          <spPr>
            <a:ln xmlns:a="http://schemas.openxmlformats.org/drawingml/2006/main">
              <a:prstDash val="solid"/>
            </a:ln>
          </spPr>
          <marker>
            <symbol val="none"/>
            <spPr>
              <a:ln xmlns:a="http://schemas.openxmlformats.org/drawingml/2006/main">
                <a:prstDash val="solid"/>
              </a:ln>
            </spPr>
          </marker>
          <cat>
            <numRef>
              <f>'Overview'!$BE$5:$BI$5</f>
            </numRef>
          </cat>
          <val>
            <numRef>
              <f>'Overview'!$BE$11:$BI$11</f>
            </numRef>
          </val>
          <smooth val="0"/>
        </ser>
        <ser>
          <idx val="6"/>
          <order val="6"/>
          <tx>
            <strRef>
              <f>'Overview'!BD12</f>
            </strRef>
          </tx>
          <spPr>
            <a:ln xmlns:a="http://schemas.openxmlformats.org/drawingml/2006/main">
              <a:prstDash val="solid"/>
            </a:ln>
          </spPr>
          <marker>
            <symbol val="none"/>
            <spPr>
              <a:ln xmlns:a="http://schemas.openxmlformats.org/drawingml/2006/main">
                <a:prstDash val="solid"/>
              </a:ln>
            </spPr>
          </marker>
          <cat>
            <numRef>
              <f>'Overview'!$BE$5:$BI$5</f>
            </numRef>
          </cat>
          <val>
            <numRef>
              <f>'Overview'!$BE$12:$BI$12</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43</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65</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87</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109</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131</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I41"/>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s>
  <sheetData>
    <row r="1">
      <c r="A1" s="1" t="inlineStr">
        <is>
          <t>Oxbury Bank Plc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I5" s="4" t="inlineStr">
        <is>
          <t>FY2018</t>
        </is>
      </c>
      <c r="M5" t="inlineStr">
        <is>
          <t>FY2018</t>
        </is>
      </c>
      <c r="N5" t="inlineStr">
        <is>
          <t>FY2019</t>
        </is>
      </c>
      <c r="O5" t="inlineStr">
        <is>
          <t>FY2020</t>
        </is>
      </c>
      <c r="P5" t="inlineStr">
        <is>
          <t>FY2021</t>
        </is>
      </c>
      <c r="Q5" t="inlineStr">
        <is>
          <t>FY2022</t>
        </is>
      </c>
      <c r="R5" t="inlineStr">
        <is>
          <t>FY2023</t>
        </is>
      </c>
      <c r="S5" t="inlineStr">
        <is>
          <t>FY2024</t>
        </is>
      </c>
      <c r="T5" t="inlineStr">
        <is>
          <t>FY2025</t>
        </is>
      </c>
      <c r="BE5" t="inlineStr">
        <is>
          <t>FY2021</t>
        </is>
      </c>
      <c r="BF5" t="inlineStr">
        <is>
          <t>FY2022</t>
        </is>
      </c>
      <c r="BG5" t="inlineStr">
        <is>
          <t>FY2023</t>
        </is>
      </c>
      <c r="BH5" t="inlineStr">
        <is>
          <t>FY2024</t>
        </is>
      </c>
      <c r="BI5" t="inlineStr">
        <is>
          <t>FY2025</t>
        </is>
      </c>
    </row>
    <row r="6">
      <c r="A6" s="5" t="inlineStr">
        <is>
          <t>Total Assets</t>
        </is>
      </c>
      <c r="B6" s="5" t="n">
        <v>3561908</v>
      </c>
      <c r="C6" s="5" t="n">
        <v>2526857</v>
      </c>
      <c r="D6" s="5" t="n">
        <v>1163925</v>
      </c>
      <c r="E6" s="5" t="n">
        <v>508358</v>
      </c>
      <c r="F6" s="5" t="n">
        <v>165817</v>
      </c>
      <c r="G6" s="5" t="n">
        <v>22663</v>
      </c>
      <c r="H6" s="5" t="n">
        <v>2145</v>
      </c>
      <c r="I6" s="5" t="n">
        <v>4037</v>
      </c>
      <c r="L6" t="inlineStr">
        <is>
          <t>Total Assets</t>
        </is>
      </c>
      <c r="M6" t="n">
        <v>4037</v>
      </c>
      <c r="N6" t="n">
        <v>2145</v>
      </c>
      <c r="O6" t="n">
        <v>22663</v>
      </c>
      <c r="P6" t="n">
        <v>165817</v>
      </c>
      <c r="Q6" t="n">
        <v>508358</v>
      </c>
      <c r="R6" t="n">
        <v>1163925</v>
      </c>
      <c r="S6" t="n">
        <v>2526857</v>
      </c>
      <c r="T6" t="n">
        <v>3561908</v>
      </c>
      <c r="BD6" t="inlineStr">
        <is>
          <t>CET1 Ratio</t>
        </is>
      </c>
      <c r="BE6" t="n">
        <v>23</v>
      </c>
      <c r="BF6" t="n">
        <v>16.16</v>
      </c>
      <c r="BG6" t="n">
        <v>15.94</v>
      </c>
      <c r="BH6" t="n">
        <v>20.79</v>
      </c>
      <c r="BI6" t="n">
        <v>16.51</v>
      </c>
    </row>
    <row r="7">
      <c r="A7" s="5" t="inlineStr">
        <is>
          <t>Loans and Advances to Customers</t>
        </is>
      </c>
      <c r="B7" s="5" t="n">
        <v>1748444</v>
      </c>
      <c r="C7" s="5" t="n">
        <v>1021621</v>
      </c>
      <c r="D7" s="5" t="n">
        <v>605711</v>
      </c>
      <c r="E7" s="5" t="n">
        <v>349532</v>
      </c>
      <c r="F7" s="5" t="n">
        <v>110545</v>
      </c>
      <c r="G7" s="5" t="n">
        <v>0</v>
      </c>
      <c r="H7" s="5" t="n"/>
      <c r="I7" s="5" t="n"/>
      <c r="L7" t="inlineStr">
        <is>
          <t>Loans and Advances to Customers</t>
        </is>
      </c>
      <c r="O7" t="n">
        <v>0</v>
      </c>
      <c r="P7" t="n">
        <v>110545</v>
      </c>
      <c r="Q7" t="n">
        <v>349532</v>
      </c>
      <c r="R7" t="n">
        <v>605711</v>
      </c>
      <c r="S7" t="n">
        <v>1021621</v>
      </c>
      <c r="T7" t="n">
        <v>1748444</v>
      </c>
      <c r="BD7" t="inlineStr">
        <is>
          <t>Tier 1 Ratio</t>
        </is>
      </c>
      <c r="BE7" t="n">
        <v>23</v>
      </c>
      <c r="BF7" t="n">
        <v>16.16</v>
      </c>
      <c r="BG7" t="n">
        <v>15.94</v>
      </c>
      <c r="BH7" t="n">
        <v>20.79</v>
      </c>
      <c r="BI7" t="n">
        <v>16.51</v>
      </c>
    </row>
    <row r="8">
      <c r="A8" s="5" t="inlineStr">
        <is>
          <t>Customer Deposits</t>
        </is>
      </c>
      <c r="B8" s="5" t="n">
        <v>3309014</v>
      </c>
      <c r="C8" s="5" t="n">
        <v>2350433</v>
      </c>
      <c r="D8" s="5" t="n">
        <v>1060658</v>
      </c>
      <c r="E8" s="5" t="n">
        <v>441918</v>
      </c>
      <c r="F8" s="5" t="n">
        <v>138217</v>
      </c>
      <c r="G8" s="5" t="n">
        <v>0</v>
      </c>
      <c r="H8" s="5" t="n"/>
      <c r="I8" s="5" t="n"/>
      <c r="L8" t="inlineStr">
        <is>
          <t>Customer Deposits</t>
        </is>
      </c>
      <c r="O8" t="n">
        <v>0</v>
      </c>
      <c r="P8" t="n">
        <v>138217</v>
      </c>
      <c r="Q8" t="n">
        <v>441918</v>
      </c>
      <c r="R8" t="n">
        <v>1060658</v>
      </c>
      <c r="S8" t="n">
        <v>2350433</v>
      </c>
      <c r="T8" t="n">
        <v>3309014</v>
      </c>
      <c r="BD8" t="inlineStr">
        <is>
          <t>Total Capital Ratio</t>
        </is>
      </c>
      <c r="BE8" t="n">
        <v>23</v>
      </c>
      <c r="BF8" t="n">
        <v>18.81</v>
      </c>
      <c r="BG8" t="n">
        <v>19.27</v>
      </c>
      <c r="BH8" t="n">
        <v>23.35</v>
      </c>
      <c r="BI8" t="n">
        <v>19.39</v>
      </c>
    </row>
    <row r="9">
      <c r="A9" s="5" t="inlineStr">
        <is>
          <t>Total Equity</t>
        </is>
      </c>
      <c r="B9" s="5" t="n">
        <v>210279</v>
      </c>
      <c r="C9" s="5" t="n">
        <v>155307</v>
      </c>
      <c r="D9" s="5" t="n">
        <v>80667</v>
      </c>
      <c r="E9" s="5" t="n">
        <v>54158</v>
      </c>
      <c r="F9" s="5" t="n">
        <v>26398</v>
      </c>
      <c r="G9" s="5" t="n">
        <v>21900</v>
      </c>
      <c r="H9" s="5" t="n">
        <v>1468</v>
      </c>
      <c r="I9" s="5" t="n">
        <v>3752</v>
      </c>
      <c r="L9" t="inlineStr">
        <is>
          <t>Total Equity</t>
        </is>
      </c>
      <c r="M9" t="n">
        <v>3752</v>
      </c>
      <c r="N9" t="n">
        <v>1468</v>
      </c>
      <c r="O9" t="n">
        <v>21900</v>
      </c>
      <c r="P9" t="n">
        <v>26398</v>
      </c>
      <c r="Q9" t="n">
        <v>54158</v>
      </c>
      <c r="R9" t="n">
        <v>80667</v>
      </c>
      <c r="S9" t="n">
        <v>155307</v>
      </c>
      <c r="T9" t="n">
        <v>210279</v>
      </c>
      <c r="BD9" t="inlineStr">
        <is>
          <t>Leverage Ratio</t>
        </is>
      </c>
      <c r="BE9" t="n">
        <v>15</v>
      </c>
      <c r="BF9" t="n">
        <v>12.17</v>
      </c>
      <c r="BG9" t="n">
        <v>10.69</v>
      </c>
      <c r="BH9" t="n">
        <v>12.66</v>
      </c>
      <c r="BI9" t="n">
        <v>9.4</v>
      </c>
    </row>
    <row r="10">
      <c r="BD10" t="inlineStr">
        <is>
          <t>LCR (Pillar 3, weighted-average basis)</t>
        </is>
      </c>
      <c r="BF10" t="n">
        <v>2132</v>
      </c>
      <c r="BG10" t="n">
        <v>545.2</v>
      </c>
      <c r="BH10" t="n">
        <v>465.3</v>
      </c>
      <c r="BI10" t="n">
        <v>340.1</v>
      </c>
    </row>
    <row r="11">
      <c r="A11" s="3" t="inlineStr">
        <is>
          <t>Profit &amp; Loss Summary (£'000)</t>
        </is>
      </c>
      <c r="BD11" t="inlineStr">
        <is>
          <t>LCR (Annual Report KPI, point-in-time at 31 December)</t>
        </is>
      </c>
      <c r="BE11" t="n">
        <v>1090</v>
      </c>
      <c r="BF11" t="n">
        <v>2819</v>
      </c>
      <c r="BG11" t="n">
        <v>614</v>
      </c>
      <c r="BH11" t="n">
        <v>460</v>
      </c>
      <c r="BI11" t="n">
        <v>296</v>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H12" s="4" t="inlineStr">
        <is>
          <t>FY2019</t>
        </is>
      </c>
      <c r="I12" s="4" t="inlineStr">
        <is>
          <t>FY2018</t>
        </is>
      </c>
      <c r="X12" t="inlineStr">
        <is>
          <t>FY2018</t>
        </is>
      </c>
      <c r="Y12" t="inlineStr">
        <is>
          <t>FY2019</t>
        </is>
      </c>
      <c r="Z12" t="inlineStr">
        <is>
          <t>FY2020</t>
        </is>
      </c>
      <c r="AA12" t="inlineStr">
        <is>
          <t>FY2021</t>
        </is>
      </c>
      <c r="AB12" t="inlineStr">
        <is>
          <t>FY2022</t>
        </is>
      </c>
      <c r="AC12" t="inlineStr">
        <is>
          <t>FY2023</t>
        </is>
      </c>
      <c r="AD12" t="inlineStr">
        <is>
          <t>FY2024</t>
        </is>
      </c>
      <c r="AE12" t="inlineStr">
        <is>
          <t>FY2025</t>
        </is>
      </c>
      <c r="BD12" t="inlineStr">
        <is>
          <t>NSFR</t>
        </is>
      </c>
      <c r="BF12" t="n">
        <v>149.1</v>
      </c>
      <c r="BG12" t="n">
        <v>201.1</v>
      </c>
      <c r="BH12" t="n">
        <v>262.7</v>
      </c>
      <c r="BI12" t="n">
        <v>160.6</v>
      </c>
    </row>
    <row r="13">
      <c r="A13" s="5" t="inlineStr">
        <is>
          <t>Total Net Income</t>
        </is>
      </c>
      <c r="B13" s="5" t="n">
        <v>47405</v>
      </c>
      <c r="C13" s="5" t="n">
        <v>31303</v>
      </c>
      <c r="D13" s="5" t="n">
        <v>19394</v>
      </c>
      <c r="E13" s="5" t="n">
        <v>5643</v>
      </c>
      <c r="F13" s="5" t="n">
        <v>352</v>
      </c>
      <c r="G13" s="5" t="n">
        <v>24</v>
      </c>
      <c r="H13" s="5" t="n">
        <v>0</v>
      </c>
      <c r="I13" s="5" t="n">
        <v>0</v>
      </c>
      <c r="W13" t="inlineStr">
        <is>
          <t>Total Net Income</t>
        </is>
      </c>
      <c r="X13" t="n">
        <v>0</v>
      </c>
      <c r="Y13" t="n">
        <v>0</v>
      </c>
      <c r="Z13" t="n">
        <v>24</v>
      </c>
      <c r="AA13" t="n">
        <v>352</v>
      </c>
      <c r="AB13" t="n">
        <v>5643</v>
      </c>
      <c r="AC13" t="n">
        <v>19394</v>
      </c>
      <c r="AD13" t="n">
        <v>31303</v>
      </c>
      <c r="AE13" t="n">
        <v>47405</v>
      </c>
    </row>
    <row r="14">
      <c r="A14" s="5" t="inlineStr">
        <is>
          <t>Staff Costs, Other Operating Expense &amp; Depreciation</t>
        </is>
      </c>
      <c r="B14" s="5" t="n">
        <v>-27952</v>
      </c>
      <c r="C14" s="5" t="n">
        <v>-20717</v>
      </c>
      <c r="D14" s="5" t="n">
        <v>-14634</v>
      </c>
      <c r="E14" s="5" t="n">
        <v>-10687</v>
      </c>
      <c r="F14" s="5" t="n">
        <v>-7730</v>
      </c>
      <c r="G14" s="5" t="n">
        <v>-4363</v>
      </c>
      <c r="H14" s="5" t="n">
        <v>-2296</v>
      </c>
      <c r="I14" s="5" t="n">
        <v>-742</v>
      </c>
      <c r="W14" t="inlineStr">
        <is>
          <t>Staff Costs, Other Operating Expense &amp; Depreciation</t>
        </is>
      </c>
      <c r="X14" t="n">
        <v>-742</v>
      </c>
      <c r="Y14" t="n">
        <v>-2296</v>
      </c>
      <c r="Z14" t="n">
        <v>-4363</v>
      </c>
      <c r="AA14" t="n">
        <v>-7730</v>
      </c>
      <c r="AB14" t="n">
        <v>-10687</v>
      </c>
      <c r="AC14" t="n">
        <v>-14634</v>
      </c>
      <c r="AD14" t="n">
        <v>-20717</v>
      </c>
      <c r="AE14" t="n">
        <v>-27952</v>
      </c>
    </row>
    <row r="15">
      <c r="A15" s="5" t="inlineStr">
        <is>
          <t>Profit/(Loss) from Ordinary Activities after tax</t>
        </is>
      </c>
      <c r="B15" s="5" t="n">
        <v>11920</v>
      </c>
      <c r="C15" s="5" t="n">
        <v>5863</v>
      </c>
      <c r="D15" s="5" t="n">
        <v>2314</v>
      </c>
      <c r="E15" s="5" t="n">
        <v>-344</v>
      </c>
      <c r="F15" s="5" t="n">
        <v>-7463</v>
      </c>
      <c r="G15" s="5" t="n">
        <v>-4056</v>
      </c>
      <c r="H15" s="5" t="n">
        <v>-2297</v>
      </c>
      <c r="I15" s="5" t="n">
        <v>-741</v>
      </c>
      <c r="W15" t="inlineStr">
        <is>
          <t>Profit/(Loss) from Ordinary Activities after tax</t>
        </is>
      </c>
      <c r="X15" t="n">
        <v>-741</v>
      </c>
      <c r="Y15" t="n">
        <v>-2297</v>
      </c>
      <c r="Z15" t="n">
        <v>-4056</v>
      </c>
      <c r="AA15" t="n">
        <v>-7463</v>
      </c>
      <c r="AB15" t="n">
        <v>-344</v>
      </c>
      <c r="AC15" t="n">
        <v>2314</v>
      </c>
      <c r="AD15" t="n">
        <v>5863</v>
      </c>
      <c r="AE15" t="n">
        <v>11920</v>
      </c>
    </row>
    <row r="17">
      <c r="A17" s="3" t="inlineStr">
        <is>
          <t>Statement of Changes in Equity Summary (£'000)</t>
        </is>
      </c>
    </row>
    <row r="18">
      <c r="A18" s="4" t="inlineStr">
        <is>
          <t>Line item</t>
        </is>
      </c>
      <c r="B18" s="4" t="inlineStr">
        <is>
          <t>FY2025</t>
        </is>
      </c>
      <c r="C18" s="4" t="inlineStr">
        <is>
          <t>FY2024</t>
        </is>
      </c>
      <c r="D18" s="4" t="inlineStr">
        <is>
          <t>FY2023</t>
        </is>
      </c>
      <c r="E18" s="4" t="inlineStr">
        <is>
          <t>FY2022</t>
        </is>
      </c>
      <c r="F18" s="4" t="inlineStr">
        <is>
          <t>FY2021</t>
        </is>
      </c>
      <c r="G18" s="4" t="inlineStr">
        <is>
          <t>FY2020</t>
        </is>
      </c>
      <c r="H18" s="4" t="inlineStr">
        <is>
          <t>FY2019</t>
        </is>
      </c>
      <c r="I18" s="4" t="inlineStr">
        <is>
          <t>FY2018</t>
        </is>
      </c>
      <c r="AI18" t="inlineStr">
        <is>
          <t>FY2018</t>
        </is>
      </c>
      <c r="AJ18" t="inlineStr">
        <is>
          <t>FY2019</t>
        </is>
      </c>
      <c r="AK18" t="inlineStr">
        <is>
          <t>FY2020</t>
        </is>
      </c>
      <c r="AL18" t="inlineStr">
        <is>
          <t>FY2021</t>
        </is>
      </c>
      <c r="AM18" t="inlineStr">
        <is>
          <t>FY2022</t>
        </is>
      </c>
      <c r="AN18" t="inlineStr">
        <is>
          <t>FY2023</t>
        </is>
      </c>
      <c r="AO18" t="inlineStr">
        <is>
          <t>FY2024</t>
        </is>
      </c>
      <c r="AP18" t="inlineStr">
        <is>
          <t>FY2025</t>
        </is>
      </c>
    </row>
    <row r="19">
      <c r="A19" s="5" t="inlineStr">
        <is>
          <t>Opening equity</t>
        </is>
      </c>
      <c r="B19" s="5" t="n">
        <v>155307</v>
      </c>
      <c r="C19" s="5" t="n">
        <v>80667</v>
      </c>
      <c r="D19" s="5" t="n">
        <v>54158</v>
      </c>
      <c r="E19" s="5" t="n">
        <v>26398</v>
      </c>
      <c r="F19" s="5" t="n">
        <v>21900</v>
      </c>
      <c r="G19" s="5" t="n">
        <v>1468</v>
      </c>
      <c r="H19" s="5" t="n">
        <v>3752</v>
      </c>
      <c r="I19" s="5" t="n">
        <v>0</v>
      </c>
      <c r="AH19" t="inlineStr">
        <is>
          <t>Opening equity</t>
        </is>
      </c>
      <c r="AI19" t="n">
        <v>0</v>
      </c>
      <c r="AJ19" t="n">
        <v>3752</v>
      </c>
      <c r="AK19" t="n">
        <v>1468</v>
      </c>
      <c r="AL19" t="n">
        <v>21900</v>
      </c>
      <c r="AM19" t="n">
        <v>26398</v>
      </c>
      <c r="AN19" t="n">
        <v>54158</v>
      </c>
      <c r="AO19" t="n">
        <v>80667</v>
      </c>
      <c r="AP19" t="n">
        <v>155307</v>
      </c>
    </row>
    <row r="20">
      <c r="A20" s="5" t="inlineStr">
        <is>
          <t>Total comprehensive profit/(loss) for the year</t>
        </is>
      </c>
      <c r="B20" s="5" t="n">
        <v>11920</v>
      </c>
      <c r="C20" s="5" t="n">
        <v>5863</v>
      </c>
      <c r="D20" s="5" t="n">
        <v>2314</v>
      </c>
      <c r="E20" s="5" t="n">
        <v>-334</v>
      </c>
      <c r="F20" s="5" t="n">
        <v>-7463</v>
      </c>
      <c r="G20" s="5" t="n">
        <v>-4056</v>
      </c>
      <c r="H20" s="5" t="n">
        <v>-2297</v>
      </c>
      <c r="I20" s="5" t="n">
        <v>-741</v>
      </c>
      <c r="AH20" t="inlineStr">
        <is>
          <t>Total comprehensive profit/(loss) for the year</t>
        </is>
      </c>
      <c r="AI20" t="n">
        <v>-741</v>
      </c>
      <c r="AJ20" t="n">
        <v>-2297</v>
      </c>
      <c r="AK20" t="n">
        <v>-4056</v>
      </c>
      <c r="AL20" t="n">
        <v>-7463</v>
      </c>
      <c r="AM20" t="n">
        <v>-334</v>
      </c>
      <c r="AN20" t="n">
        <v>2314</v>
      </c>
      <c r="AO20" t="n">
        <v>5863</v>
      </c>
      <c r="AP20" t="n">
        <v>11920</v>
      </c>
    </row>
    <row r="21">
      <c r="A21" s="5" t="inlineStr">
        <is>
          <t>Other equity movements, net</t>
        </is>
      </c>
      <c r="B21" s="5" t="n">
        <v>43052</v>
      </c>
      <c r="C21" s="5" t="n">
        <v>68777</v>
      </c>
      <c r="D21" s="5" t="n">
        <v>24195</v>
      </c>
      <c r="E21" s="5" t="n">
        <v>28094</v>
      </c>
      <c r="F21" s="5" t="n">
        <v>11961</v>
      </c>
      <c r="G21" s="5" t="n">
        <v>24488</v>
      </c>
      <c r="H21" s="5" t="n">
        <v>13</v>
      </c>
      <c r="I21" s="5" t="n">
        <v>4493</v>
      </c>
      <c r="AH21" t="inlineStr">
        <is>
          <t>Other equity movements, net</t>
        </is>
      </c>
      <c r="AI21" t="n">
        <v>4493</v>
      </c>
      <c r="AJ21" t="n">
        <v>13</v>
      </c>
      <c r="AK21" t="n">
        <v>24488</v>
      </c>
      <c r="AL21" t="n">
        <v>11961</v>
      </c>
      <c r="AM21" t="n">
        <v>28094</v>
      </c>
      <c r="AN21" t="n">
        <v>24195</v>
      </c>
      <c r="AO21" t="n">
        <v>68777</v>
      </c>
      <c r="AP21" t="n">
        <v>43052</v>
      </c>
    </row>
    <row r="22">
      <c r="A22" s="5" t="inlineStr">
        <is>
          <t>Closing equity</t>
        </is>
      </c>
      <c r="B22" s="5" t="n">
        <v>210279</v>
      </c>
      <c r="C22" s="5" t="n">
        <v>155307</v>
      </c>
      <c r="D22" s="5" t="n">
        <v>80667</v>
      </c>
      <c r="E22" s="5" t="n">
        <v>54158</v>
      </c>
      <c r="F22" s="5" t="n">
        <v>26398</v>
      </c>
      <c r="G22" s="5" t="n">
        <v>21900</v>
      </c>
      <c r="H22" s="5" t="n">
        <v>1468</v>
      </c>
      <c r="I22" s="5" t="n">
        <v>3752</v>
      </c>
      <c r="AH22" t="inlineStr">
        <is>
          <t>Closing equity</t>
        </is>
      </c>
      <c r="AI22" t="n">
        <v>3752</v>
      </c>
      <c r="AJ22" t="n">
        <v>1468</v>
      </c>
      <c r="AK22" t="n">
        <v>21900</v>
      </c>
      <c r="AL22" t="n">
        <v>26398</v>
      </c>
      <c r="AM22" t="n">
        <v>54158</v>
      </c>
      <c r="AN22" t="n">
        <v>80667</v>
      </c>
      <c r="AO22" t="n">
        <v>155307</v>
      </c>
      <c r="AP22" t="n">
        <v>210279</v>
      </c>
    </row>
    <row r="24">
      <c r="A24" s="3" t="inlineStr">
        <is>
          <t>Cash Flow Summary (£'000)</t>
        </is>
      </c>
    </row>
    <row r="25">
      <c r="A25" s="4" t="inlineStr">
        <is>
          <t>Line item</t>
        </is>
      </c>
      <c r="B25" s="4" t="inlineStr">
        <is>
          <t>FY2025</t>
        </is>
      </c>
      <c r="C25" s="4" t="inlineStr">
        <is>
          <t>FY2024</t>
        </is>
      </c>
      <c r="D25" s="4" t="inlineStr">
        <is>
          <t>FY2023</t>
        </is>
      </c>
      <c r="E25" s="4" t="inlineStr">
        <is>
          <t>FY2022</t>
        </is>
      </c>
      <c r="F25" s="4" t="inlineStr">
        <is>
          <t>FY2021</t>
        </is>
      </c>
      <c r="G25" s="4" t="inlineStr">
        <is>
          <t>FY2020</t>
        </is>
      </c>
      <c r="H25" s="4" t="inlineStr">
        <is>
          <t>FY2019</t>
        </is>
      </c>
      <c r="I25" s="4" t="inlineStr">
        <is>
          <t>FY2018</t>
        </is>
      </c>
      <c r="AT25" t="inlineStr">
        <is>
          <t>FY2018</t>
        </is>
      </c>
      <c r="AU25" t="inlineStr">
        <is>
          <t>FY2019</t>
        </is>
      </c>
      <c r="AV25" t="inlineStr">
        <is>
          <t>FY2020</t>
        </is>
      </c>
      <c r="AW25" t="inlineStr">
        <is>
          <t>FY2021</t>
        </is>
      </c>
      <c r="AX25" t="inlineStr">
        <is>
          <t>FY2022</t>
        </is>
      </c>
      <c r="AY25" t="inlineStr">
        <is>
          <t>FY2023</t>
        </is>
      </c>
      <c r="AZ25" t="inlineStr">
        <is>
          <t>FY2024</t>
        </is>
      </c>
      <c r="BA25" t="inlineStr">
        <is>
          <t>FY2025</t>
        </is>
      </c>
    </row>
    <row r="26">
      <c r="A26" s="5" t="inlineStr">
        <is>
          <t>Net cash from/(used in) operating activities</t>
        </is>
      </c>
      <c r="B26" s="5" t="n">
        <v>253910</v>
      </c>
      <c r="C26" s="5" t="n">
        <v>880992</v>
      </c>
      <c r="D26" s="5" t="n">
        <v>370296</v>
      </c>
      <c r="E26" s="5" t="n">
        <v>63900</v>
      </c>
      <c r="F26" s="5" t="n">
        <v>21025</v>
      </c>
      <c r="G26" s="5" t="n">
        <v>-4119</v>
      </c>
      <c r="H26" s="5" t="n">
        <v>-1904</v>
      </c>
      <c r="I26" s="5" t="n">
        <v>-478</v>
      </c>
      <c r="AS26" t="inlineStr">
        <is>
          <t>Net cash from/(used in) operating activities</t>
        </is>
      </c>
      <c r="AT26" t="n">
        <v>-478</v>
      </c>
      <c r="AU26" t="n">
        <v>-1904</v>
      </c>
      <c r="AV26" t="n">
        <v>-4119</v>
      </c>
      <c r="AW26" t="n">
        <v>21025</v>
      </c>
      <c r="AX26" t="n">
        <v>63900</v>
      </c>
      <c r="AY26" t="n">
        <v>370296</v>
      </c>
      <c r="AZ26" t="n">
        <v>880992</v>
      </c>
      <c r="BA26" t="n">
        <v>253910</v>
      </c>
    </row>
    <row r="27">
      <c r="A27" s="5" t="inlineStr">
        <is>
          <t>Net cash used in investing activities</t>
        </is>
      </c>
      <c r="B27" s="5" t="n">
        <v>-374939</v>
      </c>
      <c r="C27" s="5" t="n">
        <v>-1762</v>
      </c>
      <c r="D27" s="5" t="n">
        <v>-2469</v>
      </c>
      <c r="E27" s="5" t="n">
        <v>-4176</v>
      </c>
      <c r="F27" s="5" t="n">
        <v>-1538</v>
      </c>
      <c r="G27" s="5" t="n">
        <v>-1950</v>
      </c>
      <c r="H27" s="5" t="n">
        <v>-1117</v>
      </c>
      <c r="I27" s="5" t="n">
        <v>-211</v>
      </c>
      <c r="AS27" t="inlineStr">
        <is>
          <t>Net cash used in investing activities</t>
        </is>
      </c>
      <c r="AT27" t="n">
        <v>-211</v>
      </c>
      <c r="AU27" t="n">
        <v>-1117</v>
      </c>
      <c r="AV27" t="n">
        <v>-1950</v>
      </c>
      <c r="AW27" t="n">
        <v>-1538</v>
      </c>
      <c r="AX27" t="n">
        <v>-4176</v>
      </c>
      <c r="AY27" t="n">
        <v>-2469</v>
      </c>
      <c r="AZ27" t="n">
        <v>-1762</v>
      </c>
      <c r="BA27" t="n">
        <v>-374939</v>
      </c>
    </row>
    <row r="28">
      <c r="A28" s="5" t="inlineStr">
        <is>
          <t>Net cash from financing activities</t>
        </is>
      </c>
      <c r="B28" s="5" t="n">
        <v>56490</v>
      </c>
      <c r="C28" s="5" t="n">
        <v>69123</v>
      </c>
      <c r="D28" s="5" t="n">
        <v>30194</v>
      </c>
      <c r="E28" s="5" t="n">
        <v>35362</v>
      </c>
      <c r="F28" s="5" t="n">
        <v>11856</v>
      </c>
      <c r="G28" s="5" t="n">
        <v>24488</v>
      </c>
      <c r="H28" s="5" t="n">
        <v>13</v>
      </c>
      <c r="I28" s="5" t="n">
        <v>4493</v>
      </c>
      <c r="AS28" t="inlineStr">
        <is>
          <t>Net cash from financing activities</t>
        </is>
      </c>
      <c r="AT28" t="n">
        <v>4493</v>
      </c>
      <c r="AU28" t="n">
        <v>13</v>
      </c>
      <c r="AV28" t="n">
        <v>24488</v>
      </c>
      <c r="AW28" t="n">
        <v>11856</v>
      </c>
      <c r="AX28" t="n">
        <v>35362</v>
      </c>
      <c r="AY28" t="n">
        <v>30194</v>
      </c>
      <c r="AZ28" t="n">
        <v>69123</v>
      </c>
      <c r="BA28" t="n">
        <v>56490</v>
      </c>
    </row>
    <row r="29">
      <c r="A29" s="5" t="inlineStr">
        <is>
          <t>Cash and cash equivalents at end of year</t>
        </is>
      </c>
      <c r="B29" s="5" t="n">
        <v>1427479</v>
      </c>
      <c r="C29" s="5" t="n">
        <v>1492018</v>
      </c>
      <c r="D29" s="5" t="n">
        <v>543665</v>
      </c>
      <c r="E29" s="5" t="n">
        <v>145644</v>
      </c>
      <c r="F29" s="5" t="n">
        <v>50558</v>
      </c>
      <c r="G29" s="5" t="n">
        <v>19215</v>
      </c>
      <c r="H29" s="5" t="n">
        <v>796</v>
      </c>
      <c r="I29" s="5" t="n">
        <v>3804</v>
      </c>
      <c r="AS29" t="inlineStr">
        <is>
          <t>Cash and cash equivalents at end of year</t>
        </is>
      </c>
      <c r="AT29" t="n">
        <v>3804</v>
      </c>
      <c r="AU29" t="n">
        <v>796</v>
      </c>
      <c r="AV29" t="n">
        <v>19215</v>
      </c>
      <c r="AW29" t="n">
        <v>50558</v>
      </c>
      <c r="AX29" t="n">
        <v>145644</v>
      </c>
      <c r="AY29" t="n">
        <v>543665</v>
      </c>
      <c r="AZ29" t="n">
        <v>1492018</v>
      </c>
      <c r="BA29" t="n">
        <v>1427479</v>
      </c>
    </row>
    <row r="31">
      <c r="A31" s="3" t="inlineStr">
        <is>
          <t>Pillar 3 Key Metrics</t>
        </is>
      </c>
    </row>
    <row r="32">
      <c r="A32" s="4" t="inlineStr">
        <is>
          <t>Line item</t>
        </is>
      </c>
      <c r="B32" s="4" t="inlineStr">
        <is>
          <t>FY2025</t>
        </is>
      </c>
      <c r="C32" s="4" t="inlineStr">
        <is>
          <t>FY2024</t>
        </is>
      </c>
      <c r="D32" s="4" t="inlineStr">
        <is>
          <t>FY2023</t>
        </is>
      </c>
      <c r="E32" s="4" t="inlineStr">
        <is>
          <t>FY2022</t>
        </is>
      </c>
      <c r="F32" s="4" t="inlineStr">
        <is>
          <t>FY2021</t>
        </is>
      </c>
    </row>
    <row r="33">
      <c r="A33" s="6" t="inlineStr">
        <is>
          <t>CET1 Ratio</t>
        </is>
      </c>
      <c r="B33" s="6" t="inlineStr">
        <is>
          <t>16.51%</t>
        </is>
      </c>
      <c r="C33" s="6" t="inlineStr">
        <is>
          <t>20.79%</t>
        </is>
      </c>
      <c r="D33" s="6" t="inlineStr">
        <is>
          <t>15.94%</t>
        </is>
      </c>
      <c r="E33" s="6" t="inlineStr">
        <is>
          <t>16.16%</t>
        </is>
      </c>
      <c r="F33" s="6" t="inlineStr">
        <is>
          <t>23%</t>
        </is>
      </c>
    </row>
    <row r="34">
      <c r="A34" s="6" t="inlineStr">
        <is>
          <t>Tier 1 Ratio</t>
        </is>
      </c>
      <c r="B34" s="6" t="inlineStr">
        <is>
          <t>16.51%</t>
        </is>
      </c>
      <c r="C34" s="6" t="inlineStr">
        <is>
          <t>20.79%</t>
        </is>
      </c>
      <c r="D34" s="6" t="inlineStr">
        <is>
          <t>15.94%</t>
        </is>
      </c>
      <c r="E34" s="6" t="inlineStr">
        <is>
          <t>16.16%</t>
        </is>
      </c>
      <c r="F34" s="6" t="inlineStr">
        <is>
          <t>23%</t>
        </is>
      </c>
    </row>
    <row r="35">
      <c r="A35" s="6" t="inlineStr">
        <is>
          <t>Total Capital Ratio</t>
        </is>
      </c>
      <c r="B35" s="6" t="inlineStr">
        <is>
          <t>19.39%</t>
        </is>
      </c>
      <c r="C35" s="6" t="inlineStr">
        <is>
          <t>23.35%</t>
        </is>
      </c>
      <c r="D35" s="6" t="inlineStr">
        <is>
          <t>19.27%</t>
        </is>
      </c>
      <c r="E35" s="6" t="inlineStr">
        <is>
          <t>18.81%</t>
        </is>
      </c>
      <c r="F35" s="6" t="inlineStr">
        <is>
          <t>23%</t>
        </is>
      </c>
    </row>
    <row r="36">
      <c r="A36" s="6" t="inlineStr">
        <is>
          <t>Leverage Ratio</t>
        </is>
      </c>
      <c r="B36" s="6" t="inlineStr">
        <is>
          <t>9.40%</t>
        </is>
      </c>
      <c r="C36" s="6" t="inlineStr">
        <is>
          <t>12.66%</t>
        </is>
      </c>
      <c r="D36" s="6" t="inlineStr">
        <is>
          <t>10.69%</t>
        </is>
      </c>
      <c r="E36" s="6" t="inlineStr">
        <is>
          <t>12.17%</t>
        </is>
      </c>
      <c r="F36" s="6" t="inlineStr">
        <is>
          <t>15%</t>
        </is>
      </c>
    </row>
    <row r="37">
      <c r="A37" s="6" t="inlineStr">
        <is>
          <t>LCR (Pillar 3, weighted-average basis)</t>
        </is>
      </c>
      <c r="B37" s="6" t="inlineStr">
        <is>
          <t>340.1%</t>
        </is>
      </c>
      <c r="C37" s="6" t="inlineStr">
        <is>
          <t>465.3%</t>
        </is>
      </c>
      <c r="D37" s="6" t="inlineStr">
        <is>
          <t>545.2%</t>
        </is>
      </c>
      <c r="E37" s="6" t="inlineStr">
        <is>
          <t>2,132%</t>
        </is>
      </c>
      <c r="F37" s="6" t="inlineStr">
        <is>
          <t>Not published – FY2021 LCR only as the 2021 Annual Report KPI, point-in-time (row 2); earliest Pillar 3 (Dec 2023) reaches back only to FY2022</t>
        </is>
      </c>
    </row>
    <row r="38">
      <c r="A38" s="6" t="inlineStr">
        <is>
          <t>LCR (Annual Report KPI, point-in-time at 31 December)</t>
        </is>
      </c>
      <c r="B38" s="6" t="inlineStr">
        <is>
          <t>296%</t>
        </is>
      </c>
      <c r="C38" s="6" t="inlineStr">
        <is>
          <t>460%</t>
        </is>
      </c>
      <c r="D38" s="6" t="inlineStr">
        <is>
          <t>614%</t>
        </is>
      </c>
      <c r="E38" s="6" t="inlineStr">
        <is>
          <t>2,819%</t>
        </is>
      </c>
      <c r="F38" s="6" t="inlineStr">
        <is>
          <t>1,090%</t>
        </is>
      </c>
    </row>
    <row r="39">
      <c r="A39" s="6" t="inlineStr">
        <is>
          <t>NSFR</t>
        </is>
      </c>
      <c r="B39" s="6" t="inlineStr">
        <is>
          <t>160.6%</t>
        </is>
      </c>
      <c r="C39" s="6" t="inlineStr">
        <is>
          <t>262.7%</t>
        </is>
      </c>
      <c r="D39" s="6" t="inlineStr">
        <is>
          <t>201.1%</t>
        </is>
      </c>
      <c r="E39" s="6" t="inlineStr">
        <is>
          <t>149.1%</t>
        </is>
      </c>
      <c r="F39" s="6" t="inlineStr">
        <is>
          <t>Not applicable – UK NSFR in force only from 1 Jan 2022 (PRA PS17/21); 2021 and 2022 Annual Reports print no NSFR (text-searched 2026-09-19)</t>
        </is>
      </c>
    </row>
    <row r="41" ht="247" customHeight="1">
      <c r="A41" s="7" t="inlineStr">
        <is>
          <t>Note: Eight financial years are covered (FY2018-FY2025), back to Oxbury's confirmed historical floor: the company's own incorporation date of 25 May 2018. All statements use Oxbury Bank Plc Company columns. PILLAR 3 COVERAGE WAS SUBSTANTIALLY EXTENDED ON 2026-09-15 and this note supersedes the previous one, which was wrong: Oxbury has published THREE Pillar 3 editions (December 2023, December 2024 and December 2025), not the single 2023 edition that three earlier passes recorded. Re-fetching oxbury.com/annual-reports/ and extracting every link found the two newer files, whose media URLs use opaque random slugs and so cannot be reached by guessing filenames. Dedicated Pillar 3 quantitative disclosures now exist for FY2022-FY2025, and the FY2024-FY2025 capital, RWA, leverage, LCR and NSFR figures shown here come from those templates rather than from the Annual Report KPI table as before. FY2021 has ratios only, from the FY2021 annual report's KPI table - no Pillar 3 edition reaches that far back and its Annual Report capital note is narrative, so FY2021 capital amounts and RWAs read 'Not publicly disclosed' as an evidenced absence rather than sitting blank. FY2018-FY2020 have no capital/liquidity ratios at all (genuinely not disclosed - the bank was pre-launch, see the ENTITY/BASIS NOTE's HISTORY NOTE). NOTE THE TWO LCR ROWS: the Pillar 3 KM1 ratio is a weighted AVERAGE and the Annual Report KPI is a POINT-IN-TIME December figure; they differ by 44pp in FY2025 and are kept apart deliberately - a single row previously mixed the two bases mid-series. Oxbury is NOT SDDT-exempt: its PRA modification is of rule 2.1(9), an eligibility criterion, not rule 3.1, and it starts 20/05/2026 in any case. Blank cells represent metrics not disclosed for that year, not zero. FY2018-FY2020 also show nil loans, nil deposits and nil interest income/expense - genuine pre-launch figures, not gaps. See the Balance Sheet/Profit &amp; Loss/Statement of Changes in Equity sheets for the £10k FY2022 P&amp;L-vs-equity-statement inconsistency this Overview's equity movement figures follow.
ENTITY / BASIS NOTE: Oxbury Bank Plc (FRN 834822; Companies House no. 11383418) is the PRA-authorised bank and the entity covered by this workbook. The annual reports present both Group and Company columns. This workbook uses the Company/entity-level cash-flow figures throughout. The Group includes Oxbury Bank Plc and its wholly owned subsidiary Oxbury Earth Ltd (and, from FY2025, Oxbury Earth LLC); Group figures are not substituted for the Bank's own figures. The FY2025 report describes a new wider holding structure, but the legal bank entity remains Oxbury Bank Plc.
HISTORY NOTE: the company was incorporated 25 May 2018 as 'Oxbury FS Plc', a pre-launch shell building its technology platform - it renamed to Oxbury Bank Plc in mid-2020 after being authorised by the PRA/FCA as a credit institution in January 2020, then spent all of FY2020 in a regulatory 'mobilisation' phase with no lending or deposit-taking, finally launching to customers on 29 January 2021. FY2018-FY2020 are therefore genuine Oxbury financial statements (single-entity, no Group/Company split existed yet - there was no subsidiary) but reflect a pre-trading company, not a functioning bank: nil interest income, nil loans, nil customer deposits throughout. FY2018 covers a short first period (25 May 2018 - 31 Dec 2018), not a full year.</t>
        </is>
      </c>
    </row>
  </sheetData>
  <mergeCells count="1">
    <mergeCell ref="A41:I4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I3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Oxbury Bank Plc — Balance Sheet</t>
        </is>
      </c>
    </row>
    <row r="2">
      <c r="A2" s="2" t="inlineStr">
        <is>
          <t>Company/entity-level basis, £'000. Investment Securities and the Net Deferred Tax Liability line are new FY2025 items (blank in earlier years, not zero); Investment in Subsidiary starts FY2022 (the Naqoda Ltd/Oxbury Earth Ltd acquisition, January 2022); Net Deferred Tax Asset is blank FY2025 (a small Net Deferred Tax Liability instead) and FY2021 (not disclosed as a separate line that early). Subordinated Debt is blank FY2021 (nil that year). FY2018-FY2020 predate any lending or deposit-taking and use a simpler pre-launch balance sheet shape: 'Cash and Cash Equivalents (undifferentiated)', 'Loans and Advances to Banks (undifferentiated)', 'Debt Securities (Gilts)', 'Accrued Income and Prepayments' and 'Trade Payables' are blank from FY2021 onward, when the statement splits cash between Bank of England/Credit Institutions and folds accrued income into Other Assets; Loans and Advances to Customers and Customer Deposits are explicit £0 for FY2020 (disclosed as nil, the bank was authorised but had not yet launched) and blank (no such line existed) for FY2018-FY2019.</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row>
    <row r="4">
      <c r="A4" s="5" t="inlineStr">
        <is>
          <t>Assets</t>
        </is>
      </c>
      <c r="B4" s="6" t="n"/>
      <c r="C4" s="6" t="n"/>
      <c r="D4" s="6" t="n"/>
      <c r="E4" s="6" t="n"/>
      <c r="F4" s="6" t="n"/>
      <c r="G4" s="6" t="n"/>
      <c r="H4" s="6" t="n"/>
      <c r="I4" s="6" t="n"/>
    </row>
    <row r="5">
      <c r="A5" s="6" t="inlineStr">
        <is>
          <t>Cash and Cash Equivalents (undifferentiated)</t>
        </is>
      </c>
      <c r="B5" s="6" t="n"/>
      <c r="C5" s="6" t="n"/>
      <c r="D5" s="6" t="n"/>
      <c r="E5" s="6" t="n"/>
      <c r="F5" s="6" t="n"/>
      <c r="G5" s="6" t="n">
        <v>51</v>
      </c>
      <c r="H5" s="6" t="n">
        <v>796</v>
      </c>
      <c r="I5" s="6" t="n">
        <v>3804</v>
      </c>
    </row>
    <row r="6">
      <c r="A6" s="6" t="inlineStr">
        <is>
          <t>Cash at Bank of England</t>
        </is>
      </c>
      <c r="B6" s="6" t="n">
        <v>1406822</v>
      </c>
      <c r="C6" s="6" t="n">
        <v>1470898</v>
      </c>
      <c r="D6" s="6" t="n">
        <v>530991</v>
      </c>
      <c r="E6" s="6" t="n">
        <v>130522</v>
      </c>
      <c r="F6" s="6" t="n">
        <v>44016</v>
      </c>
      <c r="G6" s="6" t="n"/>
      <c r="H6" s="6" t="n"/>
      <c r="I6" s="6" t="n"/>
    </row>
    <row r="7">
      <c r="A7" s="6" t="inlineStr">
        <is>
          <t>Cash at Credit Institutions</t>
        </is>
      </c>
      <c r="B7" s="6" t="n">
        <v>20657</v>
      </c>
      <c r="C7" s="6" t="n">
        <v>21120</v>
      </c>
      <c r="D7" s="6" t="n">
        <v>12674</v>
      </c>
      <c r="E7" s="6" t="n">
        <v>15122</v>
      </c>
      <c r="F7" s="6" t="n">
        <v>6542</v>
      </c>
      <c r="G7" s="6" t="n"/>
      <c r="H7" s="6" t="n"/>
      <c r="I7" s="6" t="n"/>
    </row>
    <row r="8">
      <c r="A8" s="6" t="inlineStr">
        <is>
          <t>Loans and Advances to Banks (undifferentiated)</t>
        </is>
      </c>
      <c r="B8" s="6" t="n"/>
      <c r="C8" s="6" t="n"/>
      <c r="D8" s="6" t="n"/>
      <c r="E8" s="6" t="n"/>
      <c r="F8" s="6" t="n"/>
      <c r="G8" s="6" t="n">
        <v>19164</v>
      </c>
      <c r="H8" s="6" t="n"/>
      <c r="I8" s="6" t="n"/>
    </row>
    <row r="9">
      <c r="A9" s="6" t="inlineStr">
        <is>
          <t>Debt Securities (Gilts)</t>
        </is>
      </c>
      <c r="B9" s="6" t="n"/>
      <c r="C9" s="6" t="n"/>
      <c r="D9" s="6" t="n"/>
      <c r="E9" s="6" t="n"/>
      <c r="F9" s="6" t="n"/>
      <c r="G9" s="6" t="n">
        <v>50</v>
      </c>
      <c r="H9" s="6" t="n"/>
      <c r="I9" s="6" t="n"/>
    </row>
    <row r="10">
      <c r="A10" s="6" t="inlineStr">
        <is>
          <t>Investment Securities</t>
        </is>
      </c>
      <c r="B10" s="6" t="n">
        <v>373924</v>
      </c>
      <c r="C10" s="6" t="n"/>
      <c r="D10" s="6" t="n"/>
      <c r="E10" s="6" t="n"/>
      <c r="F10" s="6" t="n"/>
      <c r="G10" s="6" t="n"/>
      <c r="H10" s="6" t="n"/>
      <c r="I10" s="6" t="n"/>
    </row>
    <row r="11">
      <c r="A11" s="6" t="inlineStr">
        <is>
          <t>Loans and Advances to Customers</t>
        </is>
      </c>
      <c r="B11" s="6" t="n">
        <v>1748444</v>
      </c>
      <c r="C11" s="6" t="n">
        <v>1021621</v>
      </c>
      <c r="D11" s="6" t="n">
        <v>605711</v>
      </c>
      <c r="E11" s="6" t="n">
        <v>349532</v>
      </c>
      <c r="F11" s="6" t="n">
        <v>110545</v>
      </c>
      <c r="G11" s="6" t="n">
        <v>0</v>
      </c>
      <c r="H11" s="6" t="n"/>
      <c r="I11" s="6" t="n"/>
    </row>
    <row r="12">
      <c r="A12" s="6" t="inlineStr">
        <is>
          <t>Investment in Subsidiary</t>
        </is>
      </c>
      <c r="B12" s="6" t="n">
        <v>2466</v>
      </c>
      <c r="C12" s="6" t="n">
        <v>2466</v>
      </c>
      <c r="D12" s="6" t="n">
        <v>2466</v>
      </c>
      <c r="E12" s="6" t="n">
        <v>2466</v>
      </c>
      <c r="F12" s="6" t="n"/>
      <c r="G12" s="6" t="n"/>
      <c r="H12" s="6" t="n"/>
      <c r="I12" s="6" t="n"/>
    </row>
    <row r="13">
      <c r="A13" s="6" t="inlineStr">
        <is>
          <t>Other Assets</t>
        </is>
      </c>
      <c r="B13" s="6" t="n">
        <v>3332</v>
      </c>
      <c r="C13" s="6" t="n">
        <v>2598</v>
      </c>
      <c r="D13" s="6" t="n">
        <v>2487</v>
      </c>
      <c r="E13" s="6" t="n">
        <v>1025</v>
      </c>
      <c r="F13" s="6" t="n">
        <v>460</v>
      </c>
      <c r="G13" s="6" t="n"/>
      <c r="H13" s="6" t="n"/>
      <c r="I13" s="6" t="n"/>
    </row>
    <row r="14">
      <c r="A14" s="6" t="inlineStr">
        <is>
          <t>Accrued Income and Prepayments</t>
        </is>
      </c>
      <c r="B14" s="6" t="n"/>
      <c r="C14" s="6" t="n"/>
      <c r="D14" s="6" t="n"/>
      <c r="E14" s="6" t="n"/>
      <c r="F14" s="6" t="n"/>
      <c r="G14" s="6" t="n">
        <v>292</v>
      </c>
      <c r="H14" s="6" t="n">
        <v>27</v>
      </c>
      <c r="I14" s="6" t="n">
        <v>23</v>
      </c>
    </row>
    <row r="15">
      <c r="A15" s="6" t="inlineStr">
        <is>
          <t>Property, Plant &amp; Equipment</t>
        </is>
      </c>
      <c r="B15" s="6" t="n">
        <v>550</v>
      </c>
      <c r="C15" s="6" t="n">
        <v>786</v>
      </c>
      <c r="D15" s="6" t="n">
        <v>971</v>
      </c>
      <c r="E15" s="6" t="n">
        <v>429</v>
      </c>
      <c r="F15" s="6" t="n">
        <v>486</v>
      </c>
      <c r="G15" s="6" t="n">
        <v>60</v>
      </c>
      <c r="H15" s="6" t="n">
        <v>45</v>
      </c>
      <c r="I15" s="6" t="n">
        <v>13</v>
      </c>
    </row>
    <row r="16">
      <c r="A16" s="6" t="inlineStr">
        <is>
          <t>Intangible Assets</t>
        </is>
      </c>
      <c r="B16" s="6" t="n">
        <v>5713</v>
      </c>
      <c r="C16" s="6" t="n">
        <v>5426</v>
      </c>
      <c r="D16" s="6" t="n">
        <v>5416</v>
      </c>
      <c r="E16" s="6" t="n">
        <v>4252</v>
      </c>
      <c r="F16" s="6" t="n">
        <v>3768</v>
      </c>
      <c r="G16" s="6" t="n">
        <v>3046</v>
      </c>
      <c r="H16" s="6" t="n">
        <v>1277</v>
      </c>
      <c r="I16" s="6" t="n">
        <v>197</v>
      </c>
    </row>
    <row r="17">
      <c r="A17" s="6" t="inlineStr">
        <is>
          <t>Net Deferred Tax Asset</t>
        </is>
      </c>
      <c r="B17" s="6" t="n"/>
      <c r="C17" s="6" t="n">
        <v>1942</v>
      </c>
      <c r="D17" s="6" t="n">
        <v>3209</v>
      </c>
      <c r="E17" s="6" t="n">
        <v>4283</v>
      </c>
      <c r="F17" s="6" t="n"/>
      <c r="G17" s="6" t="n"/>
      <c r="H17" s="6" t="n"/>
      <c r="I17" s="6" t="n"/>
    </row>
    <row r="18">
      <c r="A18" s="5" t="inlineStr">
        <is>
          <t>Total Assets</t>
        </is>
      </c>
      <c r="B18" s="5" t="n">
        <v>3561908</v>
      </c>
      <c r="C18" s="5" t="n">
        <v>2526857</v>
      </c>
      <c r="D18" s="5" t="n">
        <v>1163925</v>
      </c>
      <c r="E18" s="5" t="n">
        <v>508358</v>
      </c>
      <c r="F18" s="5" t="n">
        <v>165817</v>
      </c>
      <c r="G18" s="5" t="n">
        <v>22663</v>
      </c>
      <c r="H18" s="5" t="n">
        <v>2145</v>
      </c>
      <c r="I18" s="5" t="n">
        <v>4037</v>
      </c>
    </row>
    <row r="19">
      <c r="A19" s="5" t="inlineStr">
        <is>
          <t>Liabilities</t>
        </is>
      </c>
      <c r="B19" s="6" t="n"/>
      <c r="C19" s="6" t="n"/>
      <c r="D19" s="6" t="n"/>
      <c r="E19" s="6" t="n"/>
      <c r="F19" s="6" t="n"/>
      <c r="G19" s="6" t="n"/>
      <c r="H19" s="6" t="n"/>
      <c r="I19" s="6" t="n"/>
    </row>
    <row r="20">
      <c r="A20" s="6" t="inlineStr">
        <is>
          <t>Customer Deposits</t>
        </is>
      </c>
      <c r="B20" s="6" t="n">
        <v>3309014</v>
      </c>
      <c r="C20" s="6" t="n">
        <v>2350433</v>
      </c>
      <c r="D20" s="6" t="n">
        <v>1060658</v>
      </c>
      <c r="E20" s="6" t="n">
        <v>441918</v>
      </c>
      <c r="F20" s="6" t="n">
        <v>138217</v>
      </c>
      <c r="G20" s="6" t="n">
        <v>0</v>
      </c>
      <c r="H20" s="6" t="n"/>
      <c r="I20" s="6" t="n"/>
    </row>
    <row r="21">
      <c r="A21" s="6" t="inlineStr">
        <is>
          <t>Trade Payables</t>
        </is>
      </c>
      <c r="B21" s="6" t="n"/>
      <c r="C21" s="6" t="n"/>
      <c r="D21" s="6" t="n"/>
      <c r="E21" s="6" t="n"/>
      <c r="F21" s="6" t="n"/>
      <c r="G21" s="6" t="n">
        <v>128</v>
      </c>
      <c r="H21" s="6" t="n"/>
      <c r="I21" s="6" t="n"/>
    </row>
    <row r="22">
      <c r="A22" s="6" t="inlineStr">
        <is>
          <t>Other Liabilities and Accruals</t>
        </is>
      </c>
      <c r="B22" s="6" t="n">
        <v>7993</v>
      </c>
      <c r="C22" s="6" t="n">
        <v>3319</v>
      </c>
      <c r="D22" s="6" t="n">
        <v>7409</v>
      </c>
      <c r="E22" s="6" t="n">
        <v>4617</v>
      </c>
      <c r="F22" s="6" t="n">
        <v>1202</v>
      </c>
      <c r="G22" s="6" t="n">
        <v>635</v>
      </c>
      <c r="H22" s="6" t="n">
        <v>677</v>
      </c>
      <c r="I22" s="6" t="n">
        <v>285</v>
      </c>
    </row>
    <row r="23">
      <c r="A23" s="6" t="inlineStr">
        <is>
          <t>Subordinated Debt</t>
        </is>
      </c>
      <c r="B23" s="6" t="n">
        <v>34191</v>
      </c>
      <c r="C23" s="6" t="n">
        <v>17798</v>
      </c>
      <c r="D23" s="6" t="n">
        <v>15191</v>
      </c>
      <c r="E23" s="6" t="n">
        <v>7665</v>
      </c>
      <c r="F23" s="6" t="n"/>
      <c r="G23" s="6" t="n"/>
      <c r="H23" s="6" t="n"/>
      <c r="I23" s="6" t="n"/>
    </row>
    <row r="24">
      <c r="A24" s="6" t="inlineStr">
        <is>
          <t>Net Deferred Tax Liability</t>
        </is>
      </c>
      <c r="B24" s="6" t="n">
        <v>431</v>
      </c>
      <c r="C24" s="6" t="n"/>
      <c r="D24" s="6" t="n"/>
      <c r="E24" s="6" t="n"/>
      <c r="F24" s="6" t="n"/>
      <c r="G24" s="6" t="n"/>
      <c r="H24" s="6" t="n"/>
      <c r="I24" s="6" t="n"/>
    </row>
    <row r="25">
      <c r="A25" s="5" t="inlineStr">
        <is>
          <t>Total Liabilities</t>
        </is>
      </c>
      <c r="B25" s="5" t="n">
        <v>3351629</v>
      </c>
      <c r="C25" s="5" t="n">
        <v>2371550</v>
      </c>
      <c r="D25" s="5" t="n">
        <v>1083258</v>
      </c>
      <c r="E25" s="5" t="n">
        <v>454200</v>
      </c>
      <c r="F25" s="5" t="n">
        <v>139419</v>
      </c>
      <c r="G25" s="5" t="n">
        <v>763</v>
      </c>
      <c r="H25" s="5" t="n">
        <v>677</v>
      </c>
      <c r="I25" s="5" t="n">
        <v>285</v>
      </c>
    </row>
    <row r="26">
      <c r="A26" s="5" t="inlineStr">
        <is>
          <t>Equity</t>
        </is>
      </c>
      <c r="B26" s="6" t="n"/>
      <c r="C26" s="6" t="n"/>
      <c r="D26" s="6" t="n"/>
      <c r="E26" s="6" t="n"/>
      <c r="F26" s="6" t="n"/>
      <c r="G26" s="6" t="n"/>
      <c r="H26" s="6" t="n"/>
      <c r="I26" s="6" t="n"/>
    </row>
    <row r="27">
      <c r="A27" s="6" t="inlineStr">
        <is>
          <t>Called Up Share Capital</t>
        </is>
      </c>
      <c r="B27" s="6" t="n">
        <v>1156</v>
      </c>
      <c r="C27" s="6" t="n">
        <v>1028</v>
      </c>
      <c r="D27" s="6" t="n">
        <v>762</v>
      </c>
      <c r="E27" s="6" t="n">
        <v>650</v>
      </c>
      <c r="F27" s="6" t="n">
        <v>514</v>
      </c>
      <c r="G27" s="6" t="n">
        <v>448</v>
      </c>
      <c r="H27" s="6" t="n">
        <v>274</v>
      </c>
      <c r="I27" s="6" t="n">
        <v>264</v>
      </c>
    </row>
    <row r="28">
      <c r="A28" s="6" t="inlineStr">
        <is>
          <t>Share Premium</t>
        </is>
      </c>
      <c r="B28" s="6" t="n">
        <v>203356</v>
      </c>
      <c r="C28" s="6" t="n">
        <v>160636</v>
      </c>
      <c r="D28" s="6" t="n">
        <v>92226</v>
      </c>
      <c r="E28" s="6" t="n">
        <v>68302</v>
      </c>
      <c r="F28" s="6" t="n">
        <v>40424</v>
      </c>
      <c r="G28" s="6" t="n">
        <v>28541</v>
      </c>
      <c r="H28" s="6" t="n">
        <v>4229</v>
      </c>
      <c r="I28" s="6" t="n">
        <v>4229</v>
      </c>
    </row>
    <row r="29">
      <c r="A29" s="6" t="inlineStr">
        <is>
          <t>Accumulated Profits/(Losses)</t>
        </is>
      </c>
      <c r="B29" s="6" t="n">
        <v>5196</v>
      </c>
      <c r="C29" s="6" t="n">
        <v>-6724</v>
      </c>
      <c r="D29" s="6" t="n">
        <v>-12587</v>
      </c>
      <c r="E29" s="6" t="n">
        <v>-14901</v>
      </c>
      <c r="F29" s="6" t="n">
        <v>-14557</v>
      </c>
      <c r="G29" s="6" t="n">
        <v>-7094</v>
      </c>
      <c r="H29" s="6" t="n">
        <v>-3038</v>
      </c>
      <c r="I29" s="6" t="n">
        <v>-741</v>
      </c>
    </row>
    <row r="30">
      <c r="A30" s="6" t="inlineStr">
        <is>
          <t>Share-based payment / capital contribution reserve (Note 23)</t>
        </is>
      </c>
      <c r="B30" s="6" t="n">
        <v>571</v>
      </c>
      <c r="C30" s="6" t="n">
        <v>367</v>
      </c>
      <c r="D30" s="6" t="n">
        <v>266</v>
      </c>
      <c r="E30" s="6" t="n">
        <v>107</v>
      </c>
      <c r="F30" s="6" t="n">
        <v>17</v>
      </c>
      <c r="G30" s="6" t="n">
        <v>5</v>
      </c>
      <c r="H30" s="6" t="n">
        <v>3</v>
      </c>
      <c r="I30" s="6" t="n"/>
    </row>
    <row r="31">
      <c r="A31" s="5" t="inlineStr">
        <is>
          <t>Total Equity</t>
        </is>
      </c>
      <c r="B31" s="5" t="n">
        <v>210279</v>
      </c>
      <c r="C31" s="5" t="n">
        <v>155307</v>
      </c>
      <c r="D31" s="5" t="n">
        <v>80667</v>
      </c>
      <c r="E31" s="5" t="n">
        <v>54158</v>
      </c>
      <c r="F31" s="5" t="n">
        <v>26398</v>
      </c>
      <c r="G31" s="5" t="n">
        <v>21900</v>
      </c>
      <c r="H31" s="5" t="n">
        <v>1468</v>
      </c>
      <c r="I31" s="5" t="n">
        <v>3752</v>
      </c>
    </row>
    <row r="32">
      <c r="A32" s="5" t="inlineStr">
        <is>
          <t>Total Liabilities &amp; Equity</t>
        </is>
      </c>
      <c r="B32" s="5" t="n">
        <v>3561908</v>
      </c>
      <c r="C32" s="5" t="n">
        <v>2526857</v>
      </c>
      <c r="D32" s="5" t="n">
        <v>1163925</v>
      </c>
      <c r="E32" s="5" t="n">
        <v>508358</v>
      </c>
      <c r="F32" s="5" t="n">
        <v>165817</v>
      </c>
      <c r="G32" s="5" t="n">
        <v>22663</v>
      </c>
      <c r="H32" s="5" t="n">
        <v>2145</v>
      </c>
      <c r="I32" s="5" t="n">
        <v>4037</v>
      </c>
    </row>
    <row r="34" ht="380" customHeight="1">
      <c r="A34" s="8" t="inlineStr">
        <is>
          <t>Sources - Oxbury Bank Plc Company/entity basis, £'000. Same year-to-report mapping as the Cash Flow Statement (see that sheet):
FY2025 and restated FY2024: Annual Report and Accounts 2025, Statement of Profit or Loss p.39, Statement of Financial Position p.39, Statement of Changes in Equity p.42 - https://www.oxbury.com/media/e3xppqoe/2025-company-accounts.pdf
FY2023: Annual Report and Accounts 2024, Statement of Profit or Loss p.38, Statement of Financial Position p.38, Statement of Changes in Equity p.42 - https://www.oxbury.com/media/03rk55or/oxbury-2024-accounts-1pg.pdf
FY2022 (restated): Annual Report and Accounts 2023, Statement of Profit or Loss / Statement of Financial Position p.19, Statement of Changes in Equity p.21 - https://www.oxbury.com/media/dxeb3xqx/oxbury-bank-annual-accounts-31122023.pdf
FY2021: Annual Report and Accounts 2022, Statement of Profit or Loss / Statement of Financial Position p.36-37, Statement of Changes in Equity p.40 - https://www.oxbury.com/media/brmf2riv/annual-report-2022.pdf
The FY2021 source report also reproduces the FY2021 statements in the 2021 Annual Report, pp.32-34 - https://www.oxbury.com/media/g5xibgrw/annual-report-2021.pdf. That original 2021 report shows Total Assets/Loans and advances to customers as £165,797k/£110,525k, £20k lower than the £165,817k/£110,545k shown in the 2022 report's own FY2021 comparative used here - a small genuine restatement between the two reports, reproduced as the later report's own figures for consistency with the rest of this workbook, not blended.
FY2020: Statement of Profit or Loss p.26, Statement of Financial Position p.27, Statement of Changes in Equity p.29 of the Annual Report &amp; Accounts, year ended 31 December 2020 (Companies House filing, filed 24 Jun 2021) - https://find-and-update.company-information.service.gov.uk/company/11383418/filing-history/MzMwNDYwNjI5NWFkaXF6a2N4/document?format=pdf&amp;download=0
FY2019: Statement of Profit or Loss p.15, Statement of Financial Position p.16, Statement of Changes in Equity p.18 of the Annual Report 2019 (formerly Oxbury FS Plc; Companies House filing, filed 1 Jul 2020) - https://find-and-update.company-information.service.gov.uk/company/11383418/filing-history/MzI2ODM0NjU4N2FkaXF6a2N4/document?format=pdf&amp;download=0
FY2018: Statement of Profit or Loss p.9, Statement of Financial Position p.10, Statement of Changes in Equity p.12 of the Oxbury FS Plc 2018 Annual Report, period from incorporation 25 May 2018 to 31 December 2018 (Companies House filing, filed 25 Mar 2019) - https://find-and-update.company-information.service.gov.uk/company/11383418/filing-history/MzIzMDIwMjA0MGFkaXF6a2N4/document?format=pdf&amp;download=0
FY2018-FY2020 predate any lending or deposit-taking (see the HISTORY NOTE below) - these are single-entity, pre-launch financial statements, no Group/Company split existed yet.
DATA QUALITY NOTE: the 2022 Annual Report's own Company Statement of Changes in Equity discloses the Company's FY2022 'Loss for the year' movement as £(334)k, while that same report's own Company Statement of Profit or Loss discloses the Company's FY2022 loss after tax as £(344)k - a genuine £10k inconsistency between the Bank's own two primary statements for the same year. Both figures are reproduced exactly as each statement discloses them (P&amp;L sheet shows £(344)k; the equity sheet's movement and the Balance Sheet's Total Equity both tie to the equity statement's own £(334)k figure) rather than picking one.
ENTITY / BASIS NOTE: Oxbury Bank Plc (FRN 834822; Companies House no. 11383418) is the PRA-authorised bank and the entity covered by this workbook. The annual reports present both Group and Company columns. This workbook uses the Company/entity-level cash-flow figures throughout. The Group includes Oxbury Bank Plc and its wholly owned subsidiary Oxbury Earth Ltd (and, from FY2025, Oxbury Earth LLC); Group figures are not substituted for the Bank's own figures. The FY2025 report describes a new wider holding structure, but the legal bank entity remains Oxbury Bank Plc.
HISTORY NOTE: the company was incorporated 25 May 2018 as 'Oxbury FS Plc', a pre-launch shell building its technology platform - it renamed to Oxbury Bank Plc in mid-2020 after being authorised by the PRA/FCA as a credit institution in January 2020, then spent all of FY2020 in a regulatory 'mobilisation' phase with no lending or deposit-taking, finally launching to customers on 29 January 2021. FY2018-FY2020 are therefore genuine Oxbury financial statements (single-entity, no Group/Company split existed yet - there was no subsidiary) but reflect a pre-trading company, not a functioning bank: nil interest income, nil loans, nil customer deposits throughout. FY2018 covers a short first period (25 May 2018 - 31 Dec 2018), not a full year.</t>
        </is>
      </c>
    </row>
  </sheetData>
  <mergeCells count="1">
    <mergeCell ref="A34:I3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Oxbury Bank Plc — Profit &amp; Loss</t>
        </is>
      </c>
    </row>
    <row r="2">
      <c r="A2" s="2" t="inlineStr">
        <is>
          <t>Company/entity-level basis, £'000. FY2022's Profit/(Loss) after tax of £(344)k reflects the source P&amp;L's own figure - see the DATA QUALITY NOTE in the source citation for the £10k inconsistency against that year's own equity statement. Blank cells indicate that year's own report did not disclose that specific split. FY2018-FY2020 predate any lending, so interest income/expense are explicit £0 (disclosed as nil, not undisclosed); FY2018's own source P&amp;L states its operating subtotal ('Loss from operations', £(741)k) BEFORE deducting that period's £1k of depreciation, unlike every later year - this sheet's 'Operating Profit/(Loss) before expected credit loss provisions' figure of £(742)k for FY2018 instead follows the same convention as every other year (Staff Costs + Other Operating Expense + Depreciation &amp; Amortisation), which nets to the source's own £(741)k Loss before tax once combined with that period's £1k of net finance income - both vintages agree exactly on the bottom line.</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row>
    <row r="4">
      <c r="A4" s="5" t="inlineStr">
        <is>
          <t>Income</t>
        </is>
      </c>
      <c r="B4" s="6" t="n"/>
      <c r="C4" s="6" t="n"/>
      <c r="D4" s="6" t="n"/>
      <c r="E4" s="6" t="n"/>
      <c r="F4" s="6" t="n"/>
      <c r="G4" s="6" t="n"/>
      <c r="H4" s="6" t="n"/>
      <c r="I4" s="6" t="n"/>
    </row>
    <row r="5">
      <c r="A5" s="6" t="inlineStr">
        <is>
          <t>Interest receivable - on loans and advances to customers</t>
        </is>
      </c>
      <c r="B5" s="6" t="n"/>
      <c r="C5" s="6" t="n"/>
      <c r="D5" s="6" t="n">
        <v>34375</v>
      </c>
      <c r="E5" s="6" t="n">
        <v>9222</v>
      </c>
      <c r="F5" s="6" t="n">
        <v>865</v>
      </c>
      <c r="G5" s="6" t="n"/>
      <c r="H5" s="6" t="n"/>
      <c r="I5" s="6" t="n"/>
    </row>
    <row r="6">
      <c r="A6" s="6" t="inlineStr">
        <is>
          <t>Interest income - deposits placed with financial institutions</t>
        </is>
      </c>
      <c r="B6" s="6" t="n"/>
      <c r="C6" s="6" t="n"/>
      <c r="D6" s="6" t="n">
        <v>14255</v>
      </c>
      <c r="E6" s="6" t="n">
        <v>1254</v>
      </c>
      <c r="F6" s="6" t="n">
        <v>39</v>
      </c>
      <c r="G6" s="6" t="n"/>
      <c r="H6" s="6" t="n"/>
      <c r="I6" s="6" t="n"/>
    </row>
    <row r="7">
      <c r="A7" s="5" t="inlineStr">
        <is>
          <t>Total interest income</t>
        </is>
      </c>
      <c r="B7" s="5" t="n">
        <v>151488</v>
      </c>
      <c r="C7" s="5" t="n">
        <v>112467</v>
      </c>
      <c r="D7" s="5" t="n">
        <v>48630</v>
      </c>
      <c r="E7" s="5" t="n">
        <v>10476</v>
      </c>
      <c r="F7" s="5" t="n">
        <v>904</v>
      </c>
      <c r="G7" s="5" t="n">
        <v>0</v>
      </c>
      <c r="H7" s="5" t="n">
        <v>0</v>
      </c>
      <c r="I7" s="5" t="n">
        <v>0</v>
      </c>
    </row>
    <row r="8">
      <c r="A8" s="6" t="inlineStr">
        <is>
          <t>Interest payable &amp; similar expenditure</t>
        </is>
      </c>
      <c r="B8" s="6" t="n">
        <v>-104252</v>
      </c>
      <c r="C8" s="6" t="n">
        <v>-81060</v>
      </c>
      <c r="D8" s="6" t="n">
        <v>-29258</v>
      </c>
      <c r="E8" s="6" t="n">
        <v>-4798</v>
      </c>
      <c r="F8" s="6" t="n">
        <v>-542</v>
      </c>
      <c r="G8" s="6" t="n">
        <v>0</v>
      </c>
      <c r="H8" s="6" t="n"/>
      <c r="I8" s="6" t="n"/>
    </row>
    <row r="9">
      <c r="A9" s="5" t="inlineStr">
        <is>
          <t>Net Interest Income</t>
        </is>
      </c>
      <c r="B9" s="5" t="n">
        <v>47236</v>
      </c>
      <c r="C9" s="5" t="n">
        <v>31407</v>
      </c>
      <c r="D9" s="5" t="n">
        <v>19372</v>
      </c>
      <c r="E9" s="5" t="n">
        <v>5678</v>
      </c>
      <c r="F9" s="5" t="n">
        <v>362</v>
      </c>
      <c r="G9" s="5" t="n">
        <v>0</v>
      </c>
      <c r="H9" s="5" t="n">
        <v>0</v>
      </c>
      <c r="I9" s="5" t="n">
        <v>0</v>
      </c>
    </row>
    <row r="10">
      <c r="A10" s="6" t="inlineStr">
        <is>
          <t>Other Income/(Expenditure)</t>
        </is>
      </c>
      <c r="B10" s="6" t="n">
        <v>169</v>
      </c>
      <c r="C10" s="6" t="n">
        <v>-104</v>
      </c>
      <c r="D10" s="6" t="n">
        <v>22</v>
      </c>
      <c r="E10" s="6" t="n">
        <v>-35</v>
      </c>
      <c r="F10" s="6" t="n">
        <v>-10</v>
      </c>
      <c r="G10" s="6" t="n">
        <v>24</v>
      </c>
      <c r="H10" s="6" t="n"/>
      <c r="I10" s="6" t="n"/>
    </row>
    <row r="11">
      <c r="A11" s="5" t="inlineStr">
        <is>
          <t>Total Net Income</t>
        </is>
      </c>
      <c r="B11" s="5" t="n">
        <v>47405</v>
      </c>
      <c r="C11" s="5" t="n">
        <v>31303</v>
      </c>
      <c r="D11" s="5" t="n">
        <v>19394</v>
      </c>
      <c r="E11" s="5" t="n">
        <v>5643</v>
      </c>
      <c r="F11" s="5" t="n">
        <v>352</v>
      </c>
      <c r="G11" s="5" t="n">
        <v>24</v>
      </c>
      <c r="H11" s="5" t="n">
        <v>0</v>
      </c>
      <c r="I11" s="5" t="n">
        <v>0</v>
      </c>
    </row>
    <row r="12">
      <c r="A12" s="6" t="inlineStr">
        <is>
          <t>Staff Costs</t>
        </is>
      </c>
      <c r="B12" s="6" t="n">
        <v>-14854</v>
      </c>
      <c r="C12" s="6" t="n">
        <v>-10741</v>
      </c>
      <c r="D12" s="6" t="n">
        <v>-7844</v>
      </c>
      <c r="E12" s="6" t="n">
        <v>-5514</v>
      </c>
      <c r="F12" s="6" t="n">
        <v>-4035</v>
      </c>
      <c r="G12" s="6" t="n">
        <v>-2361</v>
      </c>
      <c r="H12" s="6" t="n">
        <v>-1317</v>
      </c>
      <c r="I12" s="6" t="n">
        <v>-500</v>
      </c>
    </row>
    <row r="13">
      <c r="A13" s="5" t="inlineStr">
        <is>
          <t>Other Operating Expense</t>
        </is>
      </c>
      <c r="B13" s="5" t="n">
        <v>-11166</v>
      </c>
      <c r="C13" s="5" t="n">
        <v>-8039</v>
      </c>
      <c r="D13" s="5" t="n">
        <v>-5471</v>
      </c>
      <c r="E13" s="5" t="n">
        <v>-3875</v>
      </c>
      <c r="F13" s="5" t="n">
        <v>-2797</v>
      </c>
      <c r="G13" s="5" t="n">
        <v>-1886</v>
      </c>
      <c r="H13" s="5" t="n">
        <v>-935</v>
      </c>
      <c r="I13" s="5" t="n">
        <v>-241</v>
      </c>
    </row>
    <row r="14">
      <c r="A14" s="6" t="inlineStr">
        <is>
          <t>Depreciation &amp; Amortisation</t>
        </is>
      </c>
      <c r="B14" s="6" t="n">
        <v>-1932</v>
      </c>
      <c r="C14" s="6" t="n">
        <v>-1937</v>
      </c>
      <c r="D14" s="6" t="n">
        <v>-1319</v>
      </c>
      <c r="E14" s="6" t="n">
        <v>-1298</v>
      </c>
      <c r="F14" s="6" t="n">
        <v>-898</v>
      </c>
      <c r="G14" s="6" t="n">
        <v>-116</v>
      </c>
      <c r="H14" s="6" t="n">
        <v>-44</v>
      </c>
      <c r="I14" s="6" t="n">
        <v>-1</v>
      </c>
    </row>
    <row r="15">
      <c r="A15" s="5" t="inlineStr">
        <is>
          <t>Operating Profit/(Loss) before expected credit loss provisions</t>
        </is>
      </c>
      <c r="B15" s="5" t="n">
        <v>19453</v>
      </c>
      <c r="C15" s="5" t="n">
        <v>10586</v>
      </c>
      <c r="D15" s="5" t="n">
        <v>4760</v>
      </c>
      <c r="E15" s="5" t="n">
        <v>-5044</v>
      </c>
      <c r="F15" s="5" t="n">
        <v>-7378</v>
      </c>
      <c r="G15" s="5" t="n">
        <v>-4339</v>
      </c>
      <c r="H15" s="5" t="n">
        <v>-2296</v>
      </c>
      <c r="I15" s="5" t="n">
        <v>-742</v>
      </c>
    </row>
    <row r="16">
      <c r="A16" s="6" t="inlineStr">
        <is>
          <t>Expected credit loss on loans and advances</t>
        </is>
      </c>
      <c r="B16" s="6" t="n">
        <v>-1219</v>
      </c>
      <c r="C16" s="6" t="n">
        <v>-1031</v>
      </c>
      <c r="D16" s="6" t="n">
        <v>-464</v>
      </c>
      <c r="E16" s="6" t="n">
        <v>-95</v>
      </c>
      <c r="F16" s="6" t="n">
        <v>-85</v>
      </c>
      <c r="G16" s="6" t="n"/>
      <c r="H16" s="6" t="n"/>
      <c r="I16" s="6" t="n"/>
    </row>
    <row r="17">
      <c r="A17" s="5" t="inlineStr">
        <is>
          <t>Profit/(Loss) on Operations</t>
        </is>
      </c>
      <c r="B17" s="5" t="n">
        <v>18234</v>
      </c>
      <c r="C17" s="5" t="n">
        <v>9555</v>
      </c>
      <c r="D17" s="5" t="n">
        <v>4296</v>
      </c>
      <c r="E17" s="5" t="n">
        <v>-5139</v>
      </c>
      <c r="F17" s="5" t="n">
        <v>-7463</v>
      </c>
      <c r="G17" s="5" t="n">
        <v>-4339</v>
      </c>
      <c r="H17" s="5" t="n">
        <v>-2296</v>
      </c>
      <c r="I17" s="5" t="n">
        <v>-742</v>
      </c>
    </row>
    <row r="18">
      <c r="A18" s="6" t="inlineStr">
        <is>
          <t>Finance costs/Interest expense</t>
        </is>
      </c>
      <c r="B18" s="6" t="n">
        <v>-2507</v>
      </c>
      <c r="C18" s="6" t="n">
        <v>-2067</v>
      </c>
      <c r="D18" s="6" t="n">
        <v>-1249</v>
      </c>
      <c r="E18" s="6" t="n">
        <v>-215</v>
      </c>
      <c r="F18" s="6" t="n"/>
      <c r="G18" s="6" t="n">
        <v>-2</v>
      </c>
      <c r="H18" s="6" t="n">
        <v>-1</v>
      </c>
      <c r="I18" s="6" t="n">
        <v>1</v>
      </c>
    </row>
    <row r="19">
      <c r="A19" s="5" t="inlineStr">
        <is>
          <t>Profit/(Loss) from Ordinary Activities before tax</t>
        </is>
      </c>
      <c r="B19" s="5" t="n">
        <v>15727</v>
      </c>
      <c r="C19" s="5" t="n">
        <v>7488</v>
      </c>
      <c r="D19" s="5" t="n">
        <v>3047</v>
      </c>
      <c r="E19" s="5" t="n">
        <v>-5354</v>
      </c>
      <c r="F19" s="5" t="n">
        <v>-7463</v>
      </c>
      <c r="G19" s="5" t="n">
        <v>-4341</v>
      </c>
      <c r="H19" s="5" t="n">
        <v>-2297</v>
      </c>
      <c r="I19" s="5" t="n">
        <v>-741</v>
      </c>
    </row>
    <row r="20">
      <c r="A20" s="6" t="inlineStr">
        <is>
          <t>Taxation - Research &amp; Development Credit</t>
        </is>
      </c>
      <c r="B20" s="6" t="n"/>
      <c r="C20" s="6" t="n"/>
      <c r="D20" s="6" t="n"/>
      <c r="E20" s="6" t="n">
        <v>727</v>
      </c>
      <c r="F20" s="6" t="n"/>
      <c r="G20" s="6" t="n"/>
      <c r="H20" s="6" t="n"/>
      <c r="I20" s="6" t="n"/>
    </row>
    <row r="21">
      <c r="A21" s="6" t="inlineStr">
        <is>
          <t>Taxation - Deferred Tax</t>
        </is>
      </c>
      <c r="B21" s="6" t="n"/>
      <c r="C21" s="6" t="n"/>
      <c r="D21" s="6" t="n"/>
      <c r="E21" s="6" t="n">
        <v>4283</v>
      </c>
      <c r="F21" s="6" t="n"/>
      <c r="G21" s="6" t="n"/>
      <c r="H21" s="6" t="n"/>
      <c r="I21" s="6" t="n"/>
    </row>
    <row r="22">
      <c r="A22" s="6" t="inlineStr">
        <is>
          <t>Taxation - Income Tax</t>
        </is>
      </c>
      <c r="B22" s="6" t="n"/>
      <c r="C22" s="6" t="n"/>
      <c r="D22" s="6" t="n"/>
      <c r="E22" s="6" t="n">
        <v>0</v>
      </c>
      <c r="F22" s="6" t="n"/>
      <c r="G22" s="6" t="n"/>
      <c r="H22" s="6" t="n"/>
      <c r="I22" s="6" t="n"/>
    </row>
    <row r="23">
      <c r="A23" s="6" t="inlineStr">
        <is>
          <t>Taxation (combined)</t>
        </is>
      </c>
      <c r="B23" s="6" t="n">
        <v>-3807</v>
      </c>
      <c r="C23" s="6" t="n">
        <v>-1625</v>
      </c>
      <c r="D23" s="6" t="n">
        <v>-733</v>
      </c>
      <c r="E23" s="6" t="n"/>
      <c r="F23" s="6" t="n"/>
      <c r="G23" s="6" t="n">
        <v>285</v>
      </c>
      <c r="H23" s="6" t="n"/>
      <c r="I23" s="6" t="n"/>
    </row>
    <row r="24">
      <c r="A24" s="5" t="inlineStr">
        <is>
          <t>Profit/(Loss) from Ordinary Activities after tax</t>
        </is>
      </c>
      <c r="B24" s="5" t="n">
        <v>11920</v>
      </c>
      <c r="C24" s="5" t="n">
        <v>5863</v>
      </c>
      <c r="D24" s="5" t="n">
        <v>2314</v>
      </c>
      <c r="E24" s="5" t="n">
        <v>-344</v>
      </c>
      <c r="F24" s="5" t="n">
        <v>-7463</v>
      </c>
      <c r="G24" s="5" t="n">
        <v>-4056</v>
      </c>
      <c r="H24" s="5" t="n">
        <v>-2297</v>
      </c>
      <c r="I24" s="5" t="n">
        <v>-741</v>
      </c>
    </row>
    <row r="25">
      <c r="A25" s="5" t="inlineStr">
        <is>
          <t>Total Comprehensive Profit/(Loss)</t>
        </is>
      </c>
      <c r="B25" s="5" t="n">
        <v>11920</v>
      </c>
      <c r="C25" s="5" t="n">
        <v>5863</v>
      </c>
      <c r="D25" s="5" t="n">
        <v>2314</v>
      </c>
      <c r="E25" s="5" t="n">
        <v>-344</v>
      </c>
      <c r="F25" s="5" t="n">
        <v>-7463</v>
      </c>
      <c r="G25" s="5" t="n">
        <v>-4056</v>
      </c>
      <c r="H25" s="5" t="n">
        <v>-2297</v>
      </c>
      <c r="I25" s="5" t="n">
        <v>-741</v>
      </c>
    </row>
    <row r="27" ht="380" customHeight="1">
      <c r="A27" s="8" t="inlineStr">
        <is>
          <t>Sources - Oxbury Bank Plc Company/entity basis, £'000. Same year-to-report mapping as the Cash Flow Statement (see that sheet):
FY2025 and restated FY2024: Annual Report and Accounts 2025, Statement of Profit or Loss p.39, Statement of Financial Position p.39, Statement of Changes in Equity p.42 - https://www.oxbury.com/media/e3xppqoe/2025-company-accounts.pdf
FY2023: Annual Report and Accounts 2024, Statement of Profit or Loss p.38, Statement of Financial Position p.38, Statement of Changes in Equity p.42 - https://www.oxbury.com/media/03rk55or/oxbury-2024-accounts-1pg.pdf
FY2022 (restated): Annual Report and Accounts 2023, Statement of Profit or Loss / Statement of Financial Position p.19, Statement of Changes in Equity p.21 - https://www.oxbury.com/media/dxeb3xqx/oxbury-bank-annual-accounts-31122023.pdf
FY2021: Annual Report and Accounts 2022, Statement of Profit or Loss / Statement of Financial Position p.36-37, Statement of Changes in Equity p.40 - https://www.oxbury.com/media/brmf2riv/annual-report-2022.pdf
The FY2021 source report also reproduces the FY2021 statements in the 2021 Annual Report, pp.32-34 - https://www.oxbury.com/media/g5xibgrw/annual-report-2021.pdf. That original 2021 report shows Total Assets/Loans and advances to customers as £165,797k/£110,525k, £20k lower than the £165,817k/£110,545k shown in the 2022 report's own FY2021 comparative used here - a small genuine restatement between the two reports, reproduced as the later report's own figures for consistency with the rest of this workbook, not blended.
FY2020: Statement of Profit or Loss p.26, Statement of Financial Position p.27, Statement of Changes in Equity p.29 of the Annual Report &amp; Accounts, year ended 31 December 2020 (Companies House filing, filed 24 Jun 2021) - https://find-and-update.company-information.service.gov.uk/company/11383418/filing-history/MzMwNDYwNjI5NWFkaXF6a2N4/document?format=pdf&amp;download=0
FY2019: Statement of Profit or Loss p.15, Statement of Financial Position p.16, Statement of Changes in Equity p.18 of the Annual Report 2019 (formerly Oxbury FS Plc; Companies House filing, filed 1 Jul 2020) - https://find-and-update.company-information.service.gov.uk/company/11383418/filing-history/MzI2ODM0NjU4N2FkaXF6a2N4/document?format=pdf&amp;download=0
FY2018: Statement of Profit or Loss p.9, Statement of Financial Position p.10, Statement of Changes in Equity p.12 of the Oxbury FS Plc 2018 Annual Report, period from incorporation 25 May 2018 to 31 December 2018 (Companies House filing, filed 25 Mar 2019) - https://find-and-update.company-information.service.gov.uk/company/11383418/filing-history/MzIzMDIwMjA0MGFkaXF6a2N4/document?format=pdf&amp;download=0
FY2018-FY2020 predate any lending or deposit-taking (see the HISTORY NOTE below) - these are single-entity, pre-launch financial statements, no Group/Company split existed yet.
DATA QUALITY NOTE: the 2022 Annual Report's own Company Statement of Changes in Equity discloses the Company's FY2022 'Loss for the year' movement as £(334)k, while that same report's own Company Statement of Profit or Loss discloses the Company's FY2022 loss after tax as £(344)k - a genuine £10k inconsistency between the Bank's own two primary statements for the same year. Both figures are reproduced exactly as each statement discloses them (P&amp;L sheet shows £(344)k; the equity sheet's movement and the Balance Sheet's Total Equity both tie to the equity statement's own £(334)k figure) rather than picking one.
ENTITY / BASIS NOTE: Oxbury Bank Plc (FRN 834822; Companies House no. 11383418) is the PRA-authorised bank and the entity covered by this workbook. The annual reports present both Group and Company columns. This workbook uses the Company/entity-level cash-flow figures throughout. The Group includes Oxbury Bank Plc and its wholly owned subsidiary Oxbury Earth Ltd (and, from FY2025, Oxbury Earth LLC); Group figures are not substituted for the Bank's own figures. The FY2025 report describes a new wider holding structure, but the legal bank entity remains Oxbury Bank Plc.
HISTORY NOTE: the company was incorporated 25 May 2018 as 'Oxbury FS Plc', a pre-launch shell building its technology platform - it renamed to Oxbury Bank Plc in mid-2020 after being authorised by the PRA/FCA as a credit institution in January 2020, then spent all of FY2020 in a regulatory 'mobilisation' phase with no lending or deposit-taking, finally launching to customers on 29 January 2021. FY2018-FY2020 are therefore genuine Oxbury financial statements (single-entity, no Group/Company split existed yet - there was no subsidiary) but reflect a pre-trading company, not a functioning bank: nil interest income, nil loans, nil customer deposits throughout. FY2018 covers a short first period (25 May 2018 - 31 Dec 2018), not a full year.</t>
        </is>
      </c>
    </row>
  </sheetData>
  <mergeCells count="1">
    <mergeCell ref="A27:I2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0"/>
  <sheetViews>
    <sheetView workbookViewId="0">
      <pane ySplit="4" topLeftCell="A5" activePane="bottomLeft" state="frozen"/>
      <selection pane="bottomLef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Oxbury Bank Plc — Statement of Changes in Equity</t>
        </is>
      </c>
    </row>
    <row r="2">
      <c r="A2" s="2" t="inlineStr">
        <is>
          <t>Chronological roll-forward, oldest to newest, Company/entity-level basis, £'000. Equity reconciliation ladder confirmed: every year's own closing balance ties exactly to both the next year's own opening balance and that year's own Balance Sheet Total Equity - zero plug rows needed anywhere across all 8 years (FY2018-FY2025). FY2022's £(334)k Loss-for-the-year movement is this statement's own figure, £10k different from the P&amp;L's own £(344)k - see the source citation's DATA QUALITY NOTE. FY2018 opens at nil (the company's incorporation date, 25 May 2018) - there is no earlier balance to roll forward from.</t>
        </is>
      </c>
    </row>
    <row r="3">
      <c r="A3" s="4" t="inlineStr">
        <is>
          <t>Movement</t>
        </is>
      </c>
      <c r="B3" s="4" t="inlineStr">
        <is>
          <t>Called Up Share Capital</t>
        </is>
      </c>
      <c r="C3" s="4" t="inlineStr">
        <is>
          <t>Share Premium</t>
        </is>
      </c>
      <c r="D3" s="4" t="inlineStr">
        <is>
          <t>Accumulated Profits/(Losses)</t>
        </is>
      </c>
      <c r="E3" s="4" t="inlineStr">
        <is>
          <t>Share Based Payments</t>
        </is>
      </c>
      <c r="F3" s="4" t="inlineStr">
        <is>
          <t>Capital Contribution Reserve</t>
        </is>
      </c>
      <c r="G3" s="4" t="inlineStr">
        <is>
          <t>Total</t>
        </is>
      </c>
    </row>
    <row r="4">
      <c r="A4" s="5" t="inlineStr">
        <is>
          <t>At incorporation (25 May 2018)</t>
        </is>
      </c>
      <c r="B4" s="5" t="n">
        <v>0</v>
      </c>
      <c r="C4" s="5" t="n">
        <v>0</v>
      </c>
      <c r="D4" s="5" t="n">
        <v>0</v>
      </c>
      <c r="E4" s="5" t="n"/>
      <c r="F4" s="5" t="n"/>
      <c r="G4" s="5" t="n">
        <v>0</v>
      </c>
    </row>
    <row r="5">
      <c r="A5" s="6" t="inlineStr">
        <is>
          <t>Proceeds from Shares Issued</t>
        </is>
      </c>
      <c r="B5" s="6" t="n">
        <v>264</v>
      </c>
      <c r="C5" s="6" t="n">
        <v>4229</v>
      </c>
      <c r="D5" s="6" t="n"/>
      <c r="E5" s="6" t="n"/>
      <c r="F5" s="6" t="n"/>
      <c r="G5" s="6" t="n">
        <v>4493</v>
      </c>
    </row>
    <row r="6">
      <c r="A6" s="6" t="inlineStr">
        <is>
          <t>Loss for the period</t>
        </is>
      </c>
      <c r="B6" s="6" t="n"/>
      <c r="C6" s="6" t="n"/>
      <c r="D6" s="6" t="n">
        <v>-741</v>
      </c>
      <c r="E6" s="6" t="n"/>
      <c r="F6" s="6" t="n"/>
      <c r="G6" s="6" t="n">
        <v>-741</v>
      </c>
    </row>
    <row r="7">
      <c r="A7" s="5" t="inlineStr">
        <is>
          <t>At 31 December 2018 (FY2018 closing)</t>
        </is>
      </c>
      <c r="B7" s="5" t="n">
        <v>264</v>
      </c>
      <c r="C7" s="5" t="n">
        <v>4229</v>
      </c>
      <c r="D7" s="5" t="n">
        <v>-741</v>
      </c>
      <c r="E7" s="5" t="n"/>
      <c r="F7" s="5" t="n"/>
      <c r="G7" s="5" t="n">
        <v>3752</v>
      </c>
    </row>
    <row r="8">
      <c r="A8" s="6" t="inlineStr">
        <is>
          <t>Issue of Share Capital</t>
        </is>
      </c>
      <c r="B8" s="6" t="n">
        <v>10</v>
      </c>
      <c r="C8" s="6" t="n"/>
      <c r="D8" s="6" t="n"/>
      <c r="E8" s="6" t="n"/>
      <c r="F8" s="6" t="n"/>
      <c r="G8" s="6" t="n">
        <v>10</v>
      </c>
    </row>
    <row r="9">
      <c r="A9" s="6" t="inlineStr">
        <is>
          <t>Loss for the year</t>
        </is>
      </c>
      <c r="B9" s="6" t="n"/>
      <c r="C9" s="6" t="n"/>
      <c r="D9" s="6" t="n">
        <v>-2297</v>
      </c>
      <c r="E9" s="6" t="n"/>
      <c r="F9" s="6" t="n"/>
      <c r="G9" s="6" t="n">
        <v>-2297</v>
      </c>
    </row>
    <row r="10">
      <c r="A10" s="6" t="inlineStr">
        <is>
          <t>Employee based share awards</t>
        </is>
      </c>
      <c r="B10" s="6" t="n"/>
      <c r="C10" s="6" t="n"/>
      <c r="D10" s="6" t="n"/>
      <c r="E10" s="6" t="n">
        <v>3</v>
      </c>
      <c r="F10" s="6" t="n"/>
      <c r="G10" s="6" t="n">
        <v>3</v>
      </c>
    </row>
    <row r="11">
      <c r="A11" s="5" t="inlineStr">
        <is>
          <t>At 31 December 2019 (FY2019 closing)</t>
        </is>
      </c>
      <c r="B11" s="5" t="n">
        <v>274</v>
      </c>
      <c r="C11" s="5" t="n">
        <v>4229</v>
      </c>
      <c r="D11" s="5" t="n">
        <v>-3038</v>
      </c>
      <c r="E11" s="5" t="n">
        <v>3</v>
      </c>
      <c r="F11" s="5" t="n"/>
      <c r="G11" s="5" t="n">
        <v>1468</v>
      </c>
    </row>
    <row r="12">
      <c r="A12" s="6" t="inlineStr">
        <is>
          <t>Issue of Share Capital</t>
        </is>
      </c>
      <c r="B12" s="6" t="n">
        <v>174</v>
      </c>
      <c r="C12" s="6" t="n">
        <v>24312</v>
      </c>
      <c r="D12" s="6" t="n"/>
      <c r="E12" s="6" t="n"/>
      <c r="F12" s="6" t="n"/>
      <c r="G12" s="6" t="n">
        <v>24486</v>
      </c>
    </row>
    <row r="13">
      <c r="A13" s="6" t="inlineStr">
        <is>
          <t>Loss for the year</t>
        </is>
      </c>
      <c r="B13" s="6" t="n"/>
      <c r="C13" s="6" t="n"/>
      <c r="D13" s="6" t="n">
        <v>-4056</v>
      </c>
      <c r="E13" s="6" t="n"/>
      <c r="F13" s="6" t="n"/>
      <c r="G13" s="6" t="n">
        <v>-4056</v>
      </c>
    </row>
    <row r="14">
      <c r="A14" s="6" t="inlineStr">
        <is>
          <t>Employee based share awards</t>
        </is>
      </c>
      <c r="B14" s="6" t="n"/>
      <c r="C14" s="6" t="n"/>
      <c r="D14" s="6" t="n"/>
      <c r="E14" s="6" t="n">
        <v>2</v>
      </c>
      <c r="F14" s="6" t="n"/>
      <c r="G14" s="6" t="n">
        <v>2</v>
      </c>
    </row>
    <row r="15">
      <c r="A15" s="5" t="inlineStr">
        <is>
          <t>At 31 December 2020 (FY2021 opening)</t>
        </is>
      </c>
      <c r="B15" s="5" t="n">
        <v>448</v>
      </c>
      <c r="C15" s="5" t="n">
        <v>28541</v>
      </c>
      <c r="D15" s="5" t="n">
        <v>-7094</v>
      </c>
      <c r="E15" s="5" t="n">
        <v>5</v>
      </c>
      <c r="F15" s="5" t="n"/>
      <c r="G15" s="5" t="n">
        <v>21900</v>
      </c>
    </row>
    <row r="16">
      <c r="A16" s="6" t="inlineStr">
        <is>
          <t>Issue of Share Capital</t>
        </is>
      </c>
      <c r="B16" s="6" t="n">
        <v>66</v>
      </c>
      <c r="C16" s="6" t="n">
        <v>11883</v>
      </c>
      <c r="D16" s="6" t="n"/>
      <c r="E16" s="6" t="n"/>
      <c r="F16" s="6" t="n"/>
      <c r="G16" s="6" t="n">
        <v>11949</v>
      </c>
    </row>
    <row r="17">
      <c r="A17" s="6" t="inlineStr">
        <is>
          <t>Loss for the year</t>
        </is>
      </c>
      <c r="B17" s="6" t="n"/>
      <c r="C17" s="6" t="n"/>
      <c r="D17" s="6" t="n">
        <v>-7463</v>
      </c>
      <c r="E17" s="6" t="n"/>
      <c r="F17" s="6" t="n"/>
      <c r="G17" s="6" t="n">
        <v>-7463</v>
      </c>
    </row>
    <row r="18">
      <c r="A18" s="6" t="inlineStr">
        <is>
          <t>Employee based share awards</t>
        </is>
      </c>
      <c r="B18" s="6" t="n"/>
      <c r="C18" s="6" t="n"/>
      <c r="D18" s="6" t="n"/>
      <c r="E18" s="6" t="n">
        <v>12</v>
      </c>
      <c r="F18" s="6" t="n"/>
      <c r="G18" s="6" t="n">
        <v>12</v>
      </c>
    </row>
    <row r="19">
      <c r="A19" s="5" t="inlineStr">
        <is>
          <t>At 31 December 2021 (FY2021 closing)</t>
        </is>
      </c>
      <c r="B19" s="5" t="n">
        <v>514</v>
      </c>
      <c r="C19" s="5" t="n">
        <v>40424</v>
      </c>
      <c r="D19" s="5" t="n">
        <v>-14557</v>
      </c>
      <c r="E19" s="5" t="n">
        <v>17</v>
      </c>
      <c r="F19" s="5" t="n"/>
      <c r="G19" s="5" t="n">
        <v>26398</v>
      </c>
    </row>
    <row r="20">
      <c r="A20" s="6" t="inlineStr">
        <is>
          <t>Issue of Share Capital (net of costs)</t>
        </is>
      </c>
      <c r="B20" s="6" t="n">
        <v>136</v>
      </c>
      <c r="C20" s="6" t="n">
        <v>27878</v>
      </c>
      <c r="D20" s="6" t="n"/>
      <c r="E20" s="6" t="n"/>
      <c r="F20" s="6" t="n"/>
      <c r="G20" s="6" t="n">
        <v>28014</v>
      </c>
    </row>
    <row r="21">
      <c r="A21" s="6" t="inlineStr">
        <is>
          <t>Loss for the year</t>
        </is>
      </c>
      <c r="B21" s="6" t="n"/>
      <c r="C21" s="6" t="n"/>
      <c r="D21" s="6" t="n">
        <v>-334</v>
      </c>
      <c r="E21" s="6" t="n"/>
      <c r="F21" s="6" t="n"/>
      <c r="G21" s="6" t="n">
        <v>-334</v>
      </c>
    </row>
    <row r="22">
      <c r="A22" s="6" t="inlineStr">
        <is>
          <t>Employee based share awards</t>
        </is>
      </c>
      <c r="B22" s="6" t="n"/>
      <c r="C22" s="6" t="n"/>
      <c r="D22" s="6" t="n"/>
      <c r="E22" s="6" t="n">
        <v>90</v>
      </c>
      <c r="F22" s="6" t="n"/>
      <c r="G22" s="6" t="n">
        <v>90</v>
      </c>
    </row>
    <row r="23">
      <c r="A23" s="5" t="inlineStr">
        <is>
          <t>At 31 December 2022 (FY2022 closing)</t>
        </is>
      </c>
      <c r="B23" s="5" t="n">
        <v>650</v>
      </c>
      <c r="C23" s="5" t="n">
        <v>68302</v>
      </c>
      <c r="D23" s="5" t="n">
        <v>-14901</v>
      </c>
      <c r="E23" s="5" t="n">
        <v>107</v>
      </c>
      <c r="F23" s="5" t="n"/>
      <c r="G23" s="5" t="n">
        <v>54158</v>
      </c>
    </row>
    <row r="24">
      <c r="A24" s="6" t="inlineStr">
        <is>
          <t>Issue of Share Capital (net of costs)</t>
        </is>
      </c>
      <c r="B24" s="6" t="n">
        <v>112</v>
      </c>
      <c r="C24" s="6" t="n">
        <v>23924</v>
      </c>
      <c r="D24" s="6" t="n"/>
      <c r="E24" s="6" t="n"/>
      <c r="F24" s="6" t="n"/>
      <c r="G24" s="6" t="n">
        <v>24036</v>
      </c>
    </row>
    <row r="25">
      <c r="A25" s="6" t="inlineStr">
        <is>
          <t>Profit for the year</t>
        </is>
      </c>
      <c r="B25" s="6" t="n"/>
      <c r="C25" s="6" t="n"/>
      <c r="D25" s="6" t="n">
        <v>2314</v>
      </c>
      <c r="E25" s="6" t="n"/>
      <c r="F25" s="6" t="n"/>
      <c r="G25" s="6" t="n">
        <v>2314</v>
      </c>
    </row>
    <row r="26">
      <c r="A26" s="6" t="inlineStr">
        <is>
          <t>Employee based share awards</t>
        </is>
      </c>
      <c r="B26" s="6" t="n"/>
      <c r="C26" s="6" t="n"/>
      <c r="D26" s="6" t="n"/>
      <c r="E26" s="6" t="n">
        <v>159</v>
      </c>
      <c r="F26" s="6" t="n"/>
      <c r="G26" s="6" t="n">
        <v>159</v>
      </c>
    </row>
    <row r="27">
      <c r="A27" s="5" t="inlineStr">
        <is>
          <t>At 31 December 2023 (FY2023 closing)</t>
        </is>
      </c>
      <c r="B27" s="5" t="n">
        <v>762</v>
      </c>
      <c r="C27" s="5" t="n">
        <v>92226</v>
      </c>
      <c r="D27" s="5" t="n">
        <v>-12587</v>
      </c>
      <c r="E27" s="5" t="n">
        <v>266</v>
      </c>
      <c r="F27" s="5" t="n"/>
      <c r="G27" s="5" t="n">
        <v>80667</v>
      </c>
    </row>
    <row r="28">
      <c r="A28" s="6" t="inlineStr">
        <is>
          <t>Issue of Share Capital (net of costs)</t>
        </is>
      </c>
      <c r="B28" s="6" t="n">
        <v>266</v>
      </c>
      <c r="C28" s="6" t="n">
        <v>68410</v>
      </c>
      <c r="D28" s="6" t="n"/>
      <c r="E28" s="6" t="n"/>
      <c r="F28" s="6" t="n"/>
      <c r="G28" s="6" t="n">
        <v>68676</v>
      </c>
    </row>
    <row r="29">
      <c r="A29" s="6" t="inlineStr">
        <is>
          <t>Profit for the year</t>
        </is>
      </c>
      <c r="B29" s="6" t="n"/>
      <c r="C29" s="6" t="n"/>
      <c r="D29" s="6" t="n">
        <v>5863</v>
      </c>
      <c r="E29" s="6" t="n"/>
      <c r="F29" s="6" t="n"/>
      <c r="G29" s="6" t="n">
        <v>5863</v>
      </c>
    </row>
    <row r="30">
      <c r="A30" s="6" t="inlineStr">
        <is>
          <t>Employee based share awards</t>
        </is>
      </c>
      <c r="B30" s="6" t="n"/>
      <c r="C30" s="6" t="n"/>
      <c r="D30" s="6" t="n"/>
      <c r="E30" s="6" t="n">
        <v>101</v>
      </c>
      <c r="F30" s="6" t="n"/>
      <c r="G30" s="6" t="n">
        <v>101</v>
      </c>
    </row>
    <row r="31">
      <c r="A31" s="5" t="inlineStr">
        <is>
          <t>At 31 December 2024 (FY2024 closing, restated)</t>
        </is>
      </c>
      <c r="B31" s="5" t="n">
        <v>1028</v>
      </c>
      <c r="C31" s="5" t="n">
        <v>160636</v>
      </c>
      <c r="D31" s="5" t="n">
        <v>-6724</v>
      </c>
      <c r="E31" s="5" t="n">
        <v>367</v>
      </c>
      <c r="F31" s="5" t="n"/>
      <c r="G31" s="5" t="n">
        <v>155307</v>
      </c>
    </row>
    <row r="32">
      <c r="A32" s="6" t="inlineStr">
        <is>
          <t>Issue of Share Capital (net of costs)</t>
        </is>
      </c>
      <c r="B32" s="6" t="n">
        <v>128</v>
      </c>
      <c r="C32" s="6" t="n">
        <v>42720</v>
      </c>
      <c r="D32" s="6" t="n"/>
      <c r="E32" s="6" t="n"/>
      <c r="F32" s="6" t="n"/>
      <c r="G32" s="6" t="n">
        <v>42848</v>
      </c>
    </row>
    <row r="33">
      <c r="A33" s="6" t="inlineStr">
        <is>
          <t>Profit for the year</t>
        </is>
      </c>
      <c r="B33" s="6" t="n"/>
      <c r="C33" s="6" t="n"/>
      <c r="D33" s="6" t="n">
        <v>11920</v>
      </c>
      <c r="E33" s="6" t="n"/>
      <c r="F33" s="6" t="n"/>
      <c r="G33" s="6" t="n">
        <v>11920</v>
      </c>
    </row>
    <row r="34">
      <c r="A34" s="6" t="inlineStr">
        <is>
          <t>Transfer from Share Based Payment Reserve to Capital Contribution Reserve</t>
        </is>
      </c>
      <c r="B34" s="6" t="n"/>
      <c r="C34" s="6" t="n"/>
      <c r="D34" s="6" t="n"/>
      <c r="E34" s="6" t="n">
        <v>-367</v>
      </c>
      <c r="F34" s="6" t="n">
        <v>367</v>
      </c>
      <c r="G34" s="6" t="n">
        <v>0</v>
      </c>
    </row>
    <row r="35">
      <c r="A35" s="6" t="inlineStr">
        <is>
          <t>Employee based share awards</t>
        </is>
      </c>
      <c r="B35" s="6" t="n"/>
      <c r="C35" s="6" t="n"/>
      <c r="D35" s="6" t="n"/>
      <c r="E35" s="6" t="n"/>
      <c r="F35" s="6" t="n">
        <v>204</v>
      </c>
      <c r="G35" s="6" t="n">
        <v>204</v>
      </c>
    </row>
    <row r="36">
      <c r="A36" s="5" t="inlineStr">
        <is>
          <t>At 31 December 2025 (FY2025 closing)</t>
        </is>
      </c>
      <c r="B36" s="5" t="n">
        <v>1156</v>
      </c>
      <c r="C36" s="5" t="n">
        <v>203356</v>
      </c>
      <c r="D36" s="5" t="n">
        <v>5196</v>
      </c>
      <c r="E36" s="5" t="n">
        <v>0</v>
      </c>
      <c r="F36" s="5" t="n">
        <v>571</v>
      </c>
      <c r="G36" s="5" t="n">
        <v>210279</v>
      </c>
    </row>
    <row r="38" ht="351" customHeight="1">
      <c r="A38" s="8" t="inlineStr">
        <is>
          <t>Sources - Oxbury Bank Plc Company/entity basis, £'000. Same year-to-report mapping as the Cash Flow Statement (see that sheet):
FY2025 and restated FY2024: Annual Report and Accounts 2025, Statement of Profit or Loss p.39, Statement of Financial Position p.39, Statement of Changes in Equity p.42 - https://www.oxbury.com/media/e3xppqoe/2025-company-accounts.pdf
FY2023: Annual Report and Accounts 2024, Statement of Profit or Loss p.38, Statement of Financial Position p.38, Statement of Changes in Equity p.42 - https://www.oxbury.com/media/03rk55or/oxbury-2024-accounts-1pg.pdf
FY2022 (restated): Annual Report and Accounts 2023, Statement of Profit or Loss / Statement of Financial Position p.19, Statement of Changes in Equity p.21 - https://www.oxbury.com/media/dxeb3xqx/oxbury-bank-annual-accounts-31122023.pdf
FY2021: Annual Report and Accounts 2022, Statement of Profit or Loss / Statement of Financial Position p.36-37, Statement of Changes in Equity p.40 - https://www.oxbury.com/media/brmf2riv/annual-report-2022.pdf
The FY2021 source report also reproduces the FY2021 statements in the 2021 Annual Report, pp.32-34 - https://www.oxbury.com/media/g5xibgrw/annual-report-2021.pdf. That original 2021 report shows Total Assets/Loans and advances to customers as £165,797k/£110,525k, £20k lower than the £165,817k/£110,545k shown in the 2022 report's own FY2021 comparative used here - a small genuine restatement between the two reports, reproduced as the later report's own figures for consistency with the rest of this workbook, not blended.
FY2020: Statement of Profit or Loss p.26, Statement of Financial Position p.27, Statement of Changes in Equity p.29 of the Annual Report &amp; Accounts, year ended 31 December 2020 (Companies House filing, filed 24 Jun 2021) - https://find-and-update.company-information.service.gov.uk/company/11383418/filing-history/MzMwNDYwNjI5NWFkaXF6a2N4/document?format=pdf&amp;download=0
FY2019: Statement of Profit or Loss p.15, Statement of Financial Position p.16, Statement of Changes in Equity p.18 of the Annual Report 2019 (formerly Oxbury FS Plc; Companies House filing, filed 1 Jul 2020) - https://find-and-update.company-information.service.gov.uk/company/11383418/filing-history/MzI2ODM0NjU4N2FkaXF6a2N4/document?format=pdf&amp;download=0
FY2018: Statement of Profit or Loss p.9, Statement of Financial Position p.10, Statement of Changes in Equity p.12 of the Oxbury FS Plc 2018 Annual Report, period from incorporation 25 May 2018 to 31 December 2018 (Companies House filing, filed 25 Mar 2019) - https://find-and-update.company-information.service.gov.uk/company/11383418/filing-history/MzIzMDIwMjA0MGFkaXF6a2N4/document?format=pdf&amp;download=0
FY2018-FY2020 predate any lending or deposit-taking (see the HISTORY NOTE below) - these are single-entity, pre-launch financial statements, no Group/Company split existed yet.
DATA QUALITY NOTE: the 2022 Annual Report's own Company Statement of Changes in Equity discloses the Company's FY2022 'Loss for the year' movement as £(334)k, while that same report's own Company Statement of Profit or Loss discloses the Company's FY2022 loss after tax as £(344)k - a genuine £10k inconsistency between the Bank's own two primary statements for the same year. Both figures are reproduced exactly as each statement discloses them (P&amp;L sheet shows £(344)k; the equity sheet's movement and the Balance Sheet's Total Equity both tie to the equity statement's own £(334)k figure) rather than picking one.
ENTITY / BASIS NOTE: Oxbury Bank Plc (FRN 834822; Companies House no. 11383418) is the PRA-authorised bank and the entity covered by this workbook. The annual reports present both Group and Company columns. This workbook uses the Company/entity-level cash-flow figures throughout. The Group includes Oxbury Bank Plc and its wholly owned subsidiary Oxbury Earth Ltd (and, from FY2025, Oxbury Earth LLC); Group figures are not substituted for the Bank's own figures. The FY2025 report describes a new wider holding structure, but the legal bank entity remains Oxbury Bank Plc.</t>
        </is>
      </c>
    </row>
    <row r="40" ht="150" customHeight="1">
      <c r="A40" s="8" t="inlineStr">
        <is>
          <t>(continued)
HISTORY NOTE: the company was incorporated 25 May 2018 as 'Oxbury FS Plc', a pre-launch shell building its technology platform - it renamed to Oxbury Bank Plc in mid-2020 after being authorised by the PRA/FCA as a credit institution in January 2020, then spent all of FY2020 in a regulatory 'mobilisation' phase with no lending or deposit-taking, finally launching to customers on 29 January 2021. FY2018-FY2020 are therefore genuine Oxbury financial statements (single-entity, no Group/Company split existed yet - there was no subsidiary) but reflect a pre-trading company, not a functioning bank: nil interest income, nil loans, nil customer deposits throughout. FY2018 covers a short first period (25 May 2018 - 31 Dec 2018), not a full year.</t>
        </is>
      </c>
    </row>
  </sheetData>
  <mergeCells count="2">
    <mergeCell ref="A38:G38"/>
    <mergeCell ref="A40:G4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Oxbury Bank Plc — Statement of Cash Flows</t>
        </is>
      </c>
    </row>
    <row r="2">
      <c r="A2" s="2" t="inlineStr">
        <is>
          <t>Company/entity-level basis, £'000; FY2024 is the restated comparative presented in the FY2025 report. FY2018-FY2020 predate any lending or deposit-taking - see the ENTITY/BASIS NOTE and RESTATEMENT CHECK in the source citation.</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row>
    <row r="4">
      <c r="A4" s="5" t="inlineStr">
        <is>
          <t>Cash flows from operating activities</t>
        </is>
      </c>
      <c r="B4" s="6" t="n"/>
      <c r="C4" s="6" t="n"/>
      <c r="D4" s="6" t="n"/>
      <c r="E4" s="6" t="n"/>
      <c r="F4" s="6" t="n"/>
      <c r="G4" s="6" t="n"/>
      <c r="H4" s="6" t="n"/>
      <c r="I4" s="6" t="n"/>
    </row>
    <row r="5">
      <c r="A5" s="6" t="inlineStr">
        <is>
          <t>Profit and adjustments before net changes in operating assets and liabilities</t>
        </is>
      </c>
      <c r="B5" s="6" t="n">
        <v>-26222</v>
      </c>
      <c r="C5" s="6" t="n">
        <v>-17894</v>
      </c>
      <c r="D5" s="6" t="n">
        <v>-12067</v>
      </c>
      <c r="E5" s="6" t="n">
        <v>-9138</v>
      </c>
      <c r="F5" s="6" t="n">
        <v>-6468</v>
      </c>
      <c r="G5" s="6" t="n">
        <v>-3940</v>
      </c>
      <c r="H5" s="6" t="n">
        <v>-2253</v>
      </c>
      <c r="I5" s="6" t="n">
        <v>-740</v>
      </c>
    </row>
    <row r="6">
      <c r="A6" s="6" t="inlineStr">
        <is>
          <t>Net changes in operating assets and liabilities (aggregate of source line items)</t>
        </is>
      </c>
      <c r="B6" s="6" t="n">
        <v>280132</v>
      </c>
      <c r="C6" s="6" t="n">
        <v>898886</v>
      </c>
      <c r="D6" s="6" t="n">
        <v>382363</v>
      </c>
      <c r="E6" s="6" t="n">
        <v>73038</v>
      </c>
      <c r="F6" s="6" t="n">
        <v>27493</v>
      </c>
      <c r="G6" s="6" t="n">
        <v>-179</v>
      </c>
      <c r="H6" s="6" t="n">
        <v>349</v>
      </c>
      <c r="I6" s="6" t="n">
        <v>262</v>
      </c>
    </row>
    <row r="7">
      <c r="A7" s="5" t="inlineStr">
        <is>
          <t>Cash flows generated from/(used in) operating activities</t>
        </is>
      </c>
      <c r="B7" s="5" t="n">
        <v>253910</v>
      </c>
      <c r="C7" s="5" t="n">
        <v>880992</v>
      </c>
      <c r="D7" s="5" t="n">
        <v>370296</v>
      </c>
      <c r="E7" s="5" t="n">
        <v>63900</v>
      </c>
      <c r="F7" s="5" t="n">
        <v>21025</v>
      </c>
      <c r="G7" s="5" t="n">
        <v>-4119</v>
      </c>
      <c r="H7" s="5" t="n">
        <v>-1904</v>
      </c>
      <c r="I7" s="5" t="n">
        <v>-478</v>
      </c>
    </row>
    <row r="8">
      <c r="A8" s="5" t="inlineStr">
        <is>
          <t>Investing activities</t>
        </is>
      </c>
      <c r="B8" s="6" t="n"/>
      <c r="C8" s="6" t="n"/>
      <c r="D8" s="6" t="n"/>
      <c r="E8" s="6" t="n"/>
      <c r="F8" s="6" t="n"/>
      <c r="G8" s="6" t="n"/>
      <c r="H8" s="6" t="n"/>
      <c r="I8" s="6" t="n"/>
    </row>
    <row r="9">
      <c r="A9" s="6" t="inlineStr">
        <is>
          <t>Purchase of tangible assets</t>
        </is>
      </c>
      <c r="B9" s="6" t="n">
        <v>-72</v>
      </c>
      <c r="C9" s="6" t="n">
        <v>-119</v>
      </c>
      <c r="D9" s="6" t="n">
        <v>-188</v>
      </c>
      <c r="E9" s="6" t="n">
        <v>-72</v>
      </c>
      <c r="F9" s="6" t="n">
        <v>-64</v>
      </c>
      <c r="G9" s="6" t="n">
        <v>-79</v>
      </c>
      <c r="H9" s="6" t="n">
        <v>-37</v>
      </c>
      <c r="I9" s="6" t="n">
        <v>-14</v>
      </c>
    </row>
    <row r="10">
      <c r="A10" s="6" t="inlineStr">
        <is>
          <t>Disposal/(purchase) of gilts</t>
        </is>
      </c>
      <c r="B10" s="6" t="n"/>
      <c r="C10" s="6" t="n"/>
      <c r="D10" s="6" t="n"/>
      <c r="E10" s="6" t="n"/>
      <c r="F10" s="6" t="n">
        <v>50</v>
      </c>
      <c r="G10" s="6" t="n">
        <v>-50</v>
      </c>
      <c r="H10" s="6" t="n"/>
      <c r="I10" s="6" t="n"/>
    </row>
    <row r="11">
      <c r="A11" s="6" t="inlineStr">
        <is>
          <t>Investment in subsidiary</t>
        </is>
      </c>
      <c r="B11" s="6" t="n"/>
      <c r="C11" s="6" t="n"/>
      <c r="D11" s="6" t="n"/>
      <c r="E11" s="6" t="n">
        <v>-2466</v>
      </c>
      <c r="F11" s="6" t="n"/>
      <c r="G11" s="6" t="n"/>
      <c r="H11" s="6" t="n"/>
      <c r="I11" s="6" t="n"/>
    </row>
    <row r="12">
      <c r="A12" s="6" t="inlineStr">
        <is>
          <t>Addition in intangible assets and trademarks</t>
        </is>
      </c>
      <c r="B12" s="6" t="n">
        <v>-1911</v>
      </c>
      <c r="C12" s="6" t="n">
        <v>-1643</v>
      </c>
      <c r="D12" s="6" t="n">
        <v>-2281</v>
      </c>
      <c r="E12" s="6" t="n">
        <v>-1638</v>
      </c>
      <c r="F12" s="6" t="n">
        <v>-1524</v>
      </c>
      <c r="G12" s="6" t="n">
        <v>-1821</v>
      </c>
      <c r="H12" s="6" t="n">
        <v>-1080</v>
      </c>
      <c r="I12" s="6" t="n">
        <v>-197</v>
      </c>
    </row>
    <row r="13">
      <c r="A13" s="6" t="inlineStr">
        <is>
          <t>Purchase of investment securities</t>
        </is>
      </c>
      <c r="B13" s="6" t="n">
        <v>-820188</v>
      </c>
      <c r="C13" s="6" t="n"/>
      <c r="D13" s="6" t="n"/>
      <c r="E13" s="6" t="n"/>
      <c r="F13" s="6" t="n"/>
      <c r="G13" s="6" t="n"/>
      <c r="H13" s="6" t="n"/>
      <c r="I13" s="6" t="n"/>
    </row>
    <row r="14">
      <c r="A14" s="6" t="inlineStr">
        <is>
          <t>Sale of investment securities</t>
        </is>
      </c>
      <c r="B14" s="6" t="n">
        <v>447232</v>
      </c>
      <c r="C14" s="6" t="n"/>
      <c r="D14" s="6" t="n"/>
      <c r="E14" s="6" t="n"/>
      <c r="F14" s="6" t="n"/>
      <c r="G14" s="6" t="n"/>
      <c r="H14" s="6" t="n"/>
      <c r="I14" s="6" t="n"/>
    </row>
    <row r="15">
      <c r="A15" s="5" t="inlineStr">
        <is>
          <t>Net cash flows used in investing activities</t>
        </is>
      </c>
      <c r="B15" s="5" t="n">
        <v>-374939</v>
      </c>
      <c r="C15" s="5" t="n">
        <v>-1762</v>
      </c>
      <c r="D15" s="5" t="n">
        <v>-2469</v>
      </c>
      <c r="E15" s="5" t="n">
        <v>-4176</v>
      </c>
      <c r="F15" s="5" t="n">
        <v>-1538</v>
      </c>
      <c r="G15" s="5" t="n">
        <v>-1950</v>
      </c>
      <c r="H15" s="5" t="n">
        <v>-1117</v>
      </c>
      <c r="I15" s="5" t="n">
        <v>-211</v>
      </c>
    </row>
    <row r="16">
      <c r="A16" s="5" t="inlineStr">
        <is>
          <t>Financing activities</t>
        </is>
      </c>
      <c r="B16" s="6" t="n"/>
      <c r="C16" s="6" t="n"/>
      <c r="D16" s="6" t="n"/>
      <c r="E16" s="6" t="n"/>
      <c r="F16" s="6" t="n"/>
      <c r="G16" s="6" t="n"/>
      <c r="H16" s="6" t="n"/>
      <c r="I16" s="6" t="n"/>
    </row>
    <row r="17">
      <c r="A17" s="6" t="inlineStr">
        <is>
          <t>Issue of share capital</t>
        </is>
      </c>
      <c r="B17" s="6" t="n">
        <v>43129</v>
      </c>
      <c r="C17" s="6" t="n">
        <v>68951</v>
      </c>
      <c r="D17" s="6" t="n">
        <v>24262</v>
      </c>
      <c r="E17" s="6" t="n">
        <v>28167</v>
      </c>
      <c r="F17" s="6" t="n">
        <v>12019</v>
      </c>
      <c r="G17" s="6" t="n">
        <v>24488</v>
      </c>
      <c r="H17" s="6" t="n">
        <v>13</v>
      </c>
      <c r="I17" s="6" t="n">
        <v>4493</v>
      </c>
    </row>
    <row r="18">
      <c r="A18" s="6" t="inlineStr">
        <is>
          <t>Costs directly related to issue of share capital</t>
        </is>
      </c>
      <c r="B18" s="6" t="n">
        <v>-282</v>
      </c>
      <c r="C18" s="6" t="n">
        <v>-275</v>
      </c>
      <c r="D18" s="6" t="n">
        <v>-226</v>
      </c>
      <c r="E18" s="6" t="n">
        <v>-153</v>
      </c>
      <c r="F18" s="6" t="n">
        <v>-70</v>
      </c>
      <c r="G18" s="6" t="n"/>
      <c r="H18" s="6" t="n"/>
      <c r="I18" s="6" t="n"/>
    </row>
    <row r="19">
      <c r="A19" s="6" t="inlineStr">
        <is>
          <t>Increase in subordinated debt</t>
        </is>
      </c>
      <c r="B19" s="6" t="n">
        <v>16250</v>
      </c>
      <c r="C19" s="6" t="n">
        <v>2500</v>
      </c>
      <c r="D19" s="6" t="n">
        <v>7500</v>
      </c>
      <c r="E19" s="6" t="n">
        <v>7500</v>
      </c>
      <c r="F19" s="6" t="n">
        <v>0</v>
      </c>
      <c r="G19" s="6" t="n"/>
      <c r="H19" s="6" t="n"/>
      <c r="I19" s="6" t="n"/>
    </row>
    <row r="20">
      <c r="A20" s="6" t="inlineStr">
        <is>
          <t>Interest paid on subordinated debt</t>
        </is>
      </c>
      <c r="B20" s="6" t="n">
        <v>-2301</v>
      </c>
      <c r="C20" s="6" t="n">
        <v>-1873</v>
      </c>
      <c r="D20" s="6" t="n">
        <v>-1151</v>
      </c>
      <c r="E20" s="6" t="n">
        <v>0</v>
      </c>
      <c r="F20" s="6" t="n">
        <v>0</v>
      </c>
      <c r="G20" s="6" t="n"/>
      <c r="H20" s="6" t="n"/>
      <c r="I20" s="6" t="n"/>
    </row>
    <row r="21">
      <c r="A21" s="6" t="inlineStr">
        <is>
          <t>Interest paid on lease payments</t>
        </is>
      </c>
      <c r="B21" s="6" t="n">
        <v>-55</v>
      </c>
      <c r="C21" s="6" t="n">
        <v>-71</v>
      </c>
      <c r="D21" s="6" t="n">
        <v>-43</v>
      </c>
      <c r="E21" s="6" t="n">
        <v>-37</v>
      </c>
      <c r="F21" s="6" t="n">
        <v>0</v>
      </c>
      <c r="G21" s="6" t="n"/>
      <c r="H21" s="6" t="n"/>
      <c r="I21" s="6" t="n"/>
    </row>
    <row r="22">
      <c r="A22" s="6" t="inlineStr">
        <is>
          <t>Payments in relation to leases</t>
        </is>
      </c>
      <c r="B22" s="6" t="n">
        <v>-252</v>
      </c>
      <c r="C22" s="6" t="n">
        <v>-109</v>
      </c>
      <c r="D22" s="6" t="n">
        <v>-148</v>
      </c>
      <c r="E22" s="6" t="n">
        <v>-115</v>
      </c>
      <c r="F22" s="6" t="n">
        <v>-93</v>
      </c>
      <c r="G22" s="6" t="n"/>
      <c r="H22" s="6" t="n"/>
      <c r="I22" s="6" t="n"/>
    </row>
    <row r="23">
      <c r="A23" s="6" t="inlineStr">
        <is>
          <t>Rounding adjustment to FY2025 reported financing subtotal</t>
        </is>
      </c>
      <c r="B23" s="6" t="n">
        <v>1</v>
      </c>
      <c r="C23" s="6" t="n"/>
      <c r="D23" s="6" t="n"/>
      <c r="E23" s="6" t="n"/>
      <c r="F23" s="6" t="n"/>
      <c r="G23" s="6" t="n"/>
      <c r="H23" s="6" t="n"/>
      <c r="I23" s="6" t="n"/>
    </row>
    <row r="24">
      <c r="A24" s="5" t="inlineStr">
        <is>
          <t>Net cash flows from financing activities</t>
        </is>
      </c>
      <c r="B24" s="5" t="n">
        <v>56490</v>
      </c>
      <c r="C24" s="5" t="n">
        <v>69123</v>
      </c>
      <c r="D24" s="5" t="n">
        <v>30194</v>
      </c>
      <c r="E24" s="5" t="n">
        <v>35362</v>
      </c>
      <c r="F24" s="5" t="n">
        <v>11856</v>
      </c>
      <c r="G24" s="5" t="n">
        <v>24488</v>
      </c>
      <c r="H24" s="5" t="n">
        <v>13</v>
      </c>
      <c r="I24" s="5" t="n">
        <v>4493</v>
      </c>
    </row>
    <row r="25">
      <c r="A25" s="5" t="inlineStr">
        <is>
          <t>Net increase/(decrease) in cash and cash equivalents in the year</t>
        </is>
      </c>
      <c r="B25" s="5" t="n">
        <v>-64539</v>
      </c>
      <c r="C25" s="5" t="n">
        <v>948353</v>
      </c>
      <c r="D25" s="5" t="n">
        <v>398021</v>
      </c>
      <c r="E25" s="5" t="n">
        <v>95086</v>
      </c>
      <c r="F25" s="5" t="n">
        <v>31343</v>
      </c>
      <c r="G25" s="5" t="n">
        <v>18419</v>
      </c>
      <c r="H25" s="5" t="n">
        <v>-3008</v>
      </c>
      <c r="I25" s="5" t="n">
        <v>3804</v>
      </c>
    </row>
    <row r="26">
      <c r="A26" s="6" t="inlineStr">
        <is>
          <t>Cash and cash equivalents at start of year</t>
        </is>
      </c>
      <c r="B26" s="6" t="n">
        <v>1492018</v>
      </c>
      <c r="C26" s="6" t="n">
        <v>543665</v>
      </c>
      <c r="D26" s="6" t="n">
        <v>145644</v>
      </c>
      <c r="E26" s="6" t="n">
        <v>50558</v>
      </c>
      <c r="F26" s="6" t="n">
        <v>19215</v>
      </c>
      <c r="G26" s="6" t="n">
        <v>796</v>
      </c>
      <c r="H26" s="6" t="n">
        <v>3804</v>
      </c>
      <c r="I26" s="6" t="n">
        <v>0</v>
      </c>
    </row>
    <row r="27">
      <c r="A27" s="5" t="inlineStr">
        <is>
          <t>Cash and cash equivalents at end of year</t>
        </is>
      </c>
      <c r="B27" s="5" t="n">
        <v>1427479</v>
      </c>
      <c r="C27" s="5" t="n">
        <v>1492018</v>
      </c>
      <c r="D27" s="5" t="n">
        <v>543665</v>
      </c>
      <c r="E27" s="5" t="n">
        <v>145644</v>
      </c>
      <c r="F27" s="5" t="n">
        <v>50558</v>
      </c>
      <c r="G27" s="5" t="n">
        <v>19215</v>
      </c>
      <c r="H27" s="5" t="n">
        <v>796</v>
      </c>
      <c r="I27" s="5" t="n">
        <v>3804</v>
      </c>
    </row>
    <row r="29" ht="390" customHeight="1">
      <c r="A29" s="8" t="inlineStr">
        <is>
          <t>Sources - Oxbury Bank Plc Company/entity basis; all figures £'000:
FY2025 and restated FY2024: Oxbury Bank Plc Annual Report and Accounts 2025, pp.40-41, Company columns - https://www.oxbury.com/media/e3xppqoe/2025-company-accounts.pdf
FY2023: Oxbury Bank Plc Annual Report and Accounts 2024, pp.40-41, Company columns - https://www.oxbury.com/media/03rk55or/oxbury-2024-accounts-1pg.pdf
FY2022: Oxbury Bank Plc Annual Report and Accounts 2023, pp.40-41, Company columns; the report marks the affected comparative figures with an asterisk and explains the restatement in Note 31 - https://www.oxbury.com/media/dxeb3xqx/oxbury-bank-annual-accounts-31122023.pdf
FY2021: Oxbury Bank Plc Annual Report and Accounts 2022, p.39, Company columns - https://www.oxbury.com/media/brmf2riv/annual-report-2022.pdf
The FY2021 source report also reproduces the FY2021 statement in the 2021 Annual Report, p.35 - https://www.oxbury.com/media/g5xibgrw/annual-report-2021.pdf
FY2020: Oxbury Bank Plc Annual Report &amp; Accounts, year ended 31 December 2020, p.28 (single-entity Statement of Cash Flows, no Group/Company split yet) - Companies House filing, full accounts made up to 31 December 2020, filed 24 Jun 2021 - https://find-and-update.company-information.service.gov.uk/company/11383418/filing-history/MzMwNDYwNjI5NWFkaXF6a2N4/document?format=pdf&amp;download=0
FY2019: Oxbury Bank Plc (formerly Oxbury FS Plc) Annual Report 2019, p.17 - Companies House filing, full accounts made up to 31 December 2019, filed 1 Jul 2020 - https://find-and-update.company-information.service.gov.uk/company/11383418/filing-history/MzI2ODM0NjU4N2FkaXF6a2N4/document?format=pdf&amp;download=0
FY2018: Oxbury FS Plc 2018 Annual Report, p.11 (period from incorporation 25 May 2018 to 31 December 2018) - Companies House filing, full accounts made up to 31 December 2018, filed 25 Mar 2019 - https://find-and-update.company-information.service.gov.uk/company/11383418/filing-history/MzIzMDIwMjA0MGFkaXF6a2N4/document?format=pdf&amp;download=0
The FY2025 financing subtotal is £1k above the sum of the displayed rounded component lines; the explicit £1k rounding adjustment preserves the report's stated subtotal.
RESTATEMENT CHECK (re-verified for this extension): the FY2022 own-year Annual Report and Accounts 2022 (Company columns, pp.38-39) shows operating/investing/financing subtotals of 63,866/(4,192)/35,412 - each a few £k different from the 63,900/(4,176)/35,362 used here from the FY2023 report's restated comparative - but both vintages agree exactly on the net increase in cash (£95,086k), the opening cash balance (£50,558k) and the closing cash balance (£145,644k). The Note 31 restatement is therefore a reclassification of individual line items between the three cash-flow sections, not a change to any bottom-line cash figure - using the later, refined disclosure was a reasonable, immaterial choice.
FY2020 opening cash of £796k ties to FY2019's own closing cash; FY2019 opening cash of £3,804k ties to FY2018's own closing cash; FY2020's own closing cash of £19,215k ties exactly to the FY2021 sheet's own opening balance above - the full FY2018-FY2025 ladder reconciles with zero plug rows.
ENTITY / BASIS NOTE: Oxbury Bank Plc (FRN 834822; Companies House no. 11383418) is the PRA-authorised bank and the entity covered by this workbook. The annual reports present both Group and Company columns. This workbook uses the Company/entity-level cash-flow figures throughout. The Group includes Oxbury Bank Plc and its wholly owned subsidiary Oxbury Earth Ltd (and, from FY2025, Oxbury Earth LLC); Group figures are not substituted for the Bank's own figures. The FY2025 report describes a new wider holding structure, but the legal bank entity remains Oxbury Bank Plc.
HISTORY NOTE: the company was incorporated 25 May 2018 as 'Oxbury FS Plc', a pre-launch shell building its technology platform - it renamed to Oxbury Bank Plc in mid-2020 after being authorised by the PRA/FCA as a credit institution in January 2020, then spent all of FY2020 in a regulatory 'mobilisation' phase with no lending or deposit-taking, finally launching to customers on 29 January 2021. FY2018-FY2020 are therefore genuine Oxbury financial statements (single-entity, no Group/Company split existed yet - there was no subsidiary) but reflect a pre-trading company, not a functioning bank: nil interest income, nil loans, nil customer deposits throughout. FY2018 covers a short first period (25 May 2018 - 31 Dec 2018), not a full year.</t>
        </is>
      </c>
    </row>
  </sheetData>
  <mergeCells count="1">
    <mergeCell ref="A29:I2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Oxbury Bank Plc — Asset Quality</t>
        </is>
      </c>
    </row>
    <row r="2">
      <c r="A2" s="2" t="inlineStr">
        <is>
          <t>Company/entity-level basis, £'000. Loans and advances to customers, IFRS 9 stage 1/2/3 split. FY2018-FY2020 are blank throughout - the bank had not yet launched (Loans and Advances to Customers was an explicit £0 on the Balance Sheet for FY2020, and did not exist as a line item at all for FY2018-FY2019), so there is genuinely no loan book to analyse for those years.</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row>
    <row r="4">
      <c r="A4" s="5" t="inlineStr">
        <is>
          <t>Loans and advances to customers, by IFRS 9 stage (gross carrying amount)</t>
        </is>
      </c>
      <c r="B4" s="6" t="n"/>
      <c r="C4" s="6" t="n"/>
      <c r="D4" s="6" t="n"/>
      <c r="E4" s="6" t="n"/>
      <c r="F4" s="6" t="n"/>
      <c r="G4" s="6" t="n"/>
    </row>
    <row r="5">
      <c r="A5" s="6" t="inlineStr">
        <is>
          <t>Stage 1 gross carrying amount</t>
        </is>
      </c>
      <c r="B5" s="6" t="n">
        <v>1711257</v>
      </c>
      <c r="C5" s="6" t="n">
        <v>1009280</v>
      </c>
      <c r="D5" s="6" t="n">
        <v>597332</v>
      </c>
      <c r="E5" s="6" t="n"/>
      <c r="F5" s="6" t="n"/>
      <c r="G5" s="6" t="n"/>
    </row>
    <row r="6">
      <c r="A6" s="6" t="inlineStr">
        <is>
          <t>Stage 2 gross carrying amount</t>
        </is>
      </c>
      <c r="B6" s="6" t="n">
        <v>33224</v>
      </c>
      <c r="C6" s="6" t="n">
        <v>12698</v>
      </c>
      <c r="D6" s="6" t="n">
        <v>8303</v>
      </c>
      <c r="E6" s="6" t="n"/>
      <c r="F6" s="6" t="n"/>
      <c r="G6" s="6" t="n"/>
    </row>
    <row r="7">
      <c r="A7" s="6" t="inlineStr">
        <is>
          <t>Stage 3 gross carrying amount</t>
        </is>
      </c>
      <c r="B7" s="6" t="n">
        <v>6458</v>
      </c>
      <c r="C7" s="6" t="n">
        <v>5190</v>
      </c>
      <c r="D7" s="6" t="n">
        <v>621</v>
      </c>
      <c r="E7" s="6" t="n"/>
      <c r="F7" s="6" t="n"/>
      <c r="G7" s="6" t="n"/>
    </row>
    <row r="8">
      <c r="A8" s="5" t="inlineStr">
        <is>
          <t>Gross carrying amount</t>
        </is>
      </c>
      <c r="B8" s="5" t="n">
        <v>1750938</v>
      </c>
      <c r="C8" s="5" t="n">
        <v>1027168</v>
      </c>
      <c r="D8" s="5" t="n">
        <v>606256</v>
      </c>
      <c r="E8" s="5" t="n">
        <v>349676</v>
      </c>
      <c r="F8" s="5" t="n"/>
      <c r="G8" s="5" t="n"/>
    </row>
    <row r="9">
      <c r="A9" s="6" t="inlineStr">
        <is>
          <t>Stage 1 ECL allowance</t>
        </is>
      </c>
      <c r="B9" s="6" t="n">
        <v>-1957</v>
      </c>
      <c r="C9" s="6" t="n">
        <v>-1236</v>
      </c>
      <c r="D9" s="6" t="n">
        <v>-507</v>
      </c>
      <c r="E9" s="6" t="n"/>
      <c r="F9" s="6" t="n"/>
      <c r="G9" s="6" t="n"/>
    </row>
    <row r="10">
      <c r="A10" s="6" t="inlineStr">
        <is>
          <t>Stage 2 ECL allowance</t>
        </is>
      </c>
      <c r="B10" s="6" t="n">
        <v>-268</v>
      </c>
      <c r="C10" s="6" t="n">
        <v>-45</v>
      </c>
      <c r="D10" s="6" t="n">
        <v>-31</v>
      </c>
      <c r="E10" s="6" t="n"/>
      <c r="F10" s="6" t="n"/>
      <c r="G10" s="6" t="n"/>
    </row>
    <row r="11">
      <c r="A11" s="6" t="inlineStr">
        <is>
          <t>Stage 3 ECL allowance</t>
        </is>
      </c>
      <c r="B11" s="6" t="n">
        <v>-269</v>
      </c>
      <c r="C11" s="6" t="n">
        <v>-63</v>
      </c>
      <c r="D11" s="6" t="n">
        <v>-7</v>
      </c>
      <c r="E11" s="6" t="n"/>
      <c r="F11" s="6" t="n"/>
      <c r="G11" s="6" t="n"/>
    </row>
    <row r="12">
      <c r="A12" s="5" t="inlineStr">
        <is>
          <t>ECL allowance</t>
        </is>
      </c>
      <c r="B12" s="5" t="n">
        <v>-2494</v>
      </c>
      <c r="C12" s="5" t="n">
        <v>-1344</v>
      </c>
      <c r="D12" s="5" t="n">
        <v>-545</v>
      </c>
      <c r="E12" s="5" t="n">
        <v>-144</v>
      </c>
      <c r="F12" s="5" t="n"/>
      <c r="G12" s="5" t="n"/>
    </row>
    <row r="13">
      <c r="A13" s="6" t="inlineStr">
        <is>
          <t>Stage 1 net carrying amount</t>
        </is>
      </c>
      <c r="B13" s="6" t="n">
        <v>1709300</v>
      </c>
      <c r="C13" s="6" t="n">
        <v>1008044</v>
      </c>
      <c r="D13" s="6" t="n">
        <v>596825</v>
      </c>
      <c r="E13" s="6" t="n">
        <v>346425</v>
      </c>
      <c r="F13" s="6" t="n"/>
      <c r="G13" s="6" t="n"/>
    </row>
    <row r="14">
      <c r="A14" s="6" t="inlineStr">
        <is>
          <t>Stage 2 net carrying amount</t>
        </is>
      </c>
      <c r="B14" s="6" t="n">
        <v>32956</v>
      </c>
      <c r="C14" s="6" t="n">
        <v>12653</v>
      </c>
      <c r="D14" s="6" t="n">
        <v>8272</v>
      </c>
      <c r="E14" s="6" t="n">
        <v>2602</v>
      </c>
      <c r="F14" s="6" t="n"/>
      <c r="G14" s="6" t="n"/>
    </row>
    <row r="15">
      <c r="A15" s="6" t="inlineStr">
        <is>
          <t>Stage 3 net carrying amount</t>
        </is>
      </c>
      <c r="B15" s="6" t="n">
        <v>6189</v>
      </c>
      <c r="C15" s="6" t="n">
        <v>5127</v>
      </c>
      <c r="D15" s="6" t="n">
        <v>614</v>
      </c>
      <c r="E15" s="6" t="n">
        <v>505</v>
      </c>
      <c r="F15" s="6" t="n"/>
      <c r="G15" s="6" t="n"/>
    </row>
    <row r="16">
      <c r="A16" s="5" t="inlineStr">
        <is>
          <t>Net carrying amount</t>
        </is>
      </c>
      <c r="B16" s="5" t="n">
        <v>1748444</v>
      </c>
      <c r="C16" s="5" t="n">
        <v>1025824</v>
      </c>
      <c r="D16" s="5" t="n">
        <v>605711</v>
      </c>
      <c r="E16" s="5" t="n">
        <v>349532</v>
      </c>
      <c r="F16" s="5" t="n">
        <v>110545</v>
      </c>
      <c r="G16" s="5" t="n">
        <v>0</v>
      </c>
    </row>
    <row r="17">
      <c r="A17" s="6" t="inlineStr">
        <is>
          <t>Stage 3 as % of gross carrying amount (NPL ratio)</t>
        </is>
      </c>
      <c r="B17" s="6" t="inlineStr">
        <is>
          <t>0.37%</t>
        </is>
      </c>
      <c r="C17" s="6" t="inlineStr">
        <is>
          <t>0.51%</t>
        </is>
      </c>
      <c r="D17" s="6" t="inlineStr">
        <is>
          <t>0.10%</t>
        </is>
      </c>
      <c r="E17" s="6" t="n"/>
      <c r="F17" s="6" t="n"/>
      <c r="G17" s="6" t="n"/>
    </row>
    <row r="18">
      <c r="A18" s="6" t="inlineStr">
        <is>
          <t>ECL allowance as % of gross carrying amount (coverage)</t>
        </is>
      </c>
      <c r="B18" s="6" t="inlineStr">
        <is>
          <t>0.14%</t>
        </is>
      </c>
      <c r="C18" s="6" t="inlineStr">
        <is>
          <t>0.13%</t>
        </is>
      </c>
      <c r="D18" s="6" t="inlineStr">
        <is>
          <t>0.09%</t>
        </is>
      </c>
      <c r="E18" s="6" t="inlineStr">
        <is>
          <t>0.04%</t>
        </is>
      </c>
      <c r="F18" s="6" t="n"/>
      <c r="G18" s="6" t="n"/>
    </row>
    <row r="20" ht="380" customHeight="1">
      <c r="A20" s="8" t="inlineStr">
        <is>
          <t>Sources - Oxbury Bank Plc Company/entity basis, £'000. Same year-to-report mapping as the Cash Flow Statement (see that sheet):
FY2025 and restated FY2024: Annual Report and Accounts 2025, Statement of Profit or Loss p.39, Statement of Financial Position p.39, Statement of Changes in Equity p.42 - https://www.oxbury.com/media/e3xppqoe/2025-company-accounts.pdf
FY2023: Annual Report and Accounts 2024, Statement of Profit or Loss p.38, Statement of Financial Position p.38, Statement of Changes in Equity p.42 - https://www.oxbury.com/media/03rk55or/oxbury-2024-accounts-1pg.pdf
FY2022 (restated): Annual Report and Accounts 2023, Statement of Profit or Loss / Statement of Financial Position p.19, Statement of Changes in Equity p.21 - https://www.oxbury.com/media/dxeb3xqx/oxbury-bank-annual-accounts-31122023.pdf
FY2021: Annual Report and Accounts 2022, Statement of Profit or Loss / Statement of Financial Position p.36-37, Statement of Changes in Equity p.40 - https://www.oxbury.com/media/brmf2riv/annual-report-2022.pdf
The FY2021 source report also reproduces the FY2021 statements in the 2021 Annual Report, pp.32-34 - https://www.oxbury.com/media/g5xibgrw/annual-report-2021.pdf. That original 2021 report shows Total Assets/Loans and advances to customers as £165,797k/£110,525k, £20k lower than the £165,817k/£110,545k shown in the 2022 report's own FY2021 comparative used here - a small genuine restatement between the two reports, reproduced as the later report's own figures for consistency with the rest of this workbook, not blended.
FY2020: Statement of Profit or Loss p.26, Statement of Financial Position p.27, Statement of Changes in Equity p.29 of the Annual Report &amp; Accounts, year ended 31 December 2020 (Companies House filing, filed 24 Jun 2021) - https://find-and-update.company-information.service.gov.uk/company/11383418/filing-history/MzMwNDYwNjI5NWFkaXF6a2N4/document?format=pdf&amp;download=0
FY2019: Statement of Profit or Loss p.15, Statement of Financial Position p.16, Statement of Changes in Equity p.18 of the Annual Report 2019 (formerly Oxbury FS Plc; Companies House filing, filed 1 Jul 2020) - https://find-and-update.company-information.service.gov.uk/company/11383418/filing-history/MzI2ODM0NjU4N2FkaXF6a2N4/document?format=pdf&amp;download=0
FY2018: Statement of Profit or Loss p.9, Statement of Financial Position p.10, Statement of Changes in Equity p.12 of the Oxbury FS Plc 2018 Annual Report, period from incorporation 25 May 2018 to 31 December 2018 (Companies House filing, filed 25 Mar 2019) - https://find-and-update.company-information.service.gov.uk/company/11383418/filing-history/MzIzMDIwMjA0MGFkaXF6a2N4/document?format=pdf&amp;download=0
FY2018-FY2020 predate any lending or deposit-taking (see the HISTORY NOTE below) - these are single-entity, pre-launch financial statements, no Group/Company split existed yet.
DATA QUALITY NOTE: the 2022 Annual Report's own Company Statement of Changes in Equity discloses the Company's FY2022 'Loss for the year' movement as £(334)k, while that same report's own Company Statement of Profit or Loss discloses the Company's FY2022 loss after tax as £(344)k - a genuine £10k inconsistency between the Bank's own two primary statements for the same year. Both figures are reproduced exactly as each statement discloses them (P&amp;L sheet shows £(344)k; the equity sheet's movement and the Balance Sheet's Total Equity both tie to the equity statement's own £(334)k figure) rather than picking one.
ENTITY / BASIS NOTE: Oxbury Bank Plc (FRN 834822; Companies House no. 11383418) is the PRA-authorised bank and the entity covered by this workbook. The annual reports present both Group and Company columns. This workbook uses the Company/entity-level cash-flow figures throughout. The Group includes Oxbury Bank Plc and its wholly owned subsidiary Oxbury Earth Ltd (and, from FY2025, Oxbury Earth LLC); Group figures are not substituted for the Bank's own figures. The FY2025 report describes a new wider holding structure, but the legal bank entity remains Oxbury Bank Plc.
HISTORY NOTE: the company was incorporated 25 May 2018 as 'Oxbury FS Plc', a pre-launch shell building its technology platform - it renamed to Oxbury Bank Plc in mid-2020 after being authorised by the PRA/FCA as a credit institution in January 2020, then spent all of FY2020 in a regulatory 'mobilisation' phase with no lending or deposit-taking, finally launching to customers on 29 January 2021. FY2018-FY2020 are therefore genuine Oxbury financial statements (single-entity, no Group/Company split existed yet - there was no subsidiary) but reflect a pre-trading company, not a functioning bank: nil interest income, nil loans, nil customer deposits throughout. FY2018 covers a short first period (25 May 2018 - 31 Dec 2018), not a full year.</t>
        </is>
      </c>
    </row>
    <row r="22" ht="380" customHeight="1">
      <c r="A22" s="8" t="inlineStr">
        <is>
          <t>(continued)
Stage-split note references: FY2025 Annual Report and Accounts 2025 p.53 (Note 4.11); FY2024 Annual Report and Accounts 2024 p.51 (Note); FY2023 Annual Report and Accounts 2024 p.51 (comparative note, closing balance) and Annual Report and Accounts 2023 p.27 (own-year note) - https://www.oxbury.com/media/03rk55or/oxbury-2024-accounts-1pg.pdf / https://www.oxbury.com/media/dxeb3xqx/oxbury-bank-annual-accounts-31122023.pdf; FY2022 is only disclosed net of ECL, via the Annual Report and Accounts 2023 p.27 roll-forward's own '1 January 2023' opening balance - https://www.oxbury.com/media/dxeb3xqx/oxbury-bank-annual-accounts-31122023.pdf; FY2021's cumulative £85k provision movement is from the Cash Flow Statement's own 'increase in impairment provisions on loans and advances' line, no stage split disclosed that early.
DATA QUALITY NOTE: FY2024's gross/stage/ECL figures above are the Annual Report and Accounts 2024's own originally-published closing figures (net total £1,025,824k). The Annual Report and Accounts 2025 later restates FY2024's net loans to £1,021,621k (used on the Balance Sheet and Overview sheets, per a deferred income/deferred cost restatement described in that report's Note 25) but does not disclose a restated stage-level split - both figures are genuine Bank disclosures from different report vintages, shown as each report states them rather than blended.
FY2022's Stage 1/2/3 figures are net of ECL (the only granularity disclosed for that year); FY2022's Gross carrying amount and ECL allowance TOTAL rows are the combined (non-stage-split) figures the Bank discloses for that year, so FY2022's coverage ratio is computed on a different basis (net-stage/gross-total) than other years - not directly comparable stage-for-stage.</t>
        </is>
      </c>
    </row>
  </sheetData>
  <mergeCells count="2">
    <mergeCell ref="A20:G20"/>
    <mergeCell ref="A22:G2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Oxbury Bank Plc — Profitability</t>
        </is>
      </c>
    </row>
    <row r="2">
      <c r="A2" s="2" t="inlineStr">
        <is>
          <t>Return on equity and return on assets in per cent, computed from this workbook's own Balance Sheet and Profit &amp; Loss sheets.</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Return on equity - average equity basis</t>
        </is>
      </c>
      <c r="B4" s="6" t="inlineStr">
        <is>
          <t>6.52%</t>
        </is>
      </c>
      <c r="C4" s="6" t="inlineStr">
        <is>
          <t>4.97%</t>
        </is>
      </c>
      <c r="D4" s="6" t="inlineStr">
        <is>
          <t>3.43%</t>
        </is>
      </c>
      <c r="E4" s="6" t="inlineStr">
        <is>
          <t>-0.85%</t>
        </is>
      </c>
      <c r="F4" s="6" t="inlineStr">
        <is>
          <t>-30.90%</t>
        </is>
      </c>
      <c r="G4" s="6" t="inlineStr">
        <is>
          <t>-34.71%</t>
        </is>
      </c>
      <c r="H4" s="6" t="inlineStr">
        <is>
          <t>-88.01%</t>
        </is>
      </c>
      <c r="I4" s="6" t="n"/>
    </row>
    <row r="5">
      <c r="A5" s="6" t="inlineStr">
        <is>
          <t>Return on equity - year-end equity basis</t>
        </is>
      </c>
      <c r="B5" s="6" t="inlineStr">
        <is>
          <t>5.67%</t>
        </is>
      </c>
      <c r="C5" s="6" t="inlineStr">
        <is>
          <t>3.78%</t>
        </is>
      </c>
      <c r="D5" s="6" t="inlineStr">
        <is>
          <t>2.87%</t>
        </is>
      </c>
      <c r="E5" s="6" t="inlineStr">
        <is>
          <t>-0.64%</t>
        </is>
      </c>
      <c r="F5" s="6" t="inlineStr">
        <is>
          <t>-28.27%</t>
        </is>
      </c>
      <c r="G5" s="6" t="inlineStr">
        <is>
          <t>-18.52%</t>
        </is>
      </c>
      <c r="H5" s="6" t="inlineStr">
        <is>
          <t>-156.47%</t>
        </is>
      </c>
      <c r="I5" s="6" t="inlineStr">
        <is>
          <t>-19.75%</t>
        </is>
      </c>
    </row>
    <row r="6">
      <c r="A6" s="6" t="inlineStr">
        <is>
          <t>Return on assets - average assets basis</t>
        </is>
      </c>
      <c r="B6" s="6" t="inlineStr">
        <is>
          <t>0.39%</t>
        </is>
      </c>
      <c r="C6" s="6" t="inlineStr">
        <is>
          <t>0.32%</t>
        </is>
      </c>
      <c r="D6" s="6" t="inlineStr">
        <is>
          <t>0.28%</t>
        </is>
      </c>
      <c r="E6" s="6" t="inlineStr">
        <is>
          <t>-0.10%</t>
        </is>
      </c>
      <c r="F6" s="6" t="inlineStr">
        <is>
          <t>-7.92%</t>
        </is>
      </c>
      <c r="G6" s="6" t="inlineStr">
        <is>
          <t>-32.70%</t>
        </is>
      </c>
      <c r="H6" s="6" t="inlineStr">
        <is>
          <t>-74.31%</t>
        </is>
      </c>
      <c r="I6" s="6" t="n"/>
    </row>
    <row r="7">
      <c r="A7" s="6" t="inlineStr">
        <is>
          <t>Return on assets - year-end assets basis</t>
        </is>
      </c>
      <c r="B7" s="6" t="inlineStr">
        <is>
          <t>0.33%</t>
        </is>
      </c>
      <c r="C7" s="6" t="inlineStr">
        <is>
          <t>0.23%</t>
        </is>
      </c>
      <c r="D7" s="6" t="inlineStr">
        <is>
          <t>0.20%</t>
        </is>
      </c>
      <c r="E7" s="6" t="inlineStr">
        <is>
          <t>-0.07%</t>
        </is>
      </c>
      <c r="F7" s="6" t="inlineStr">
        <is>
          <t>-4.50%</t>
        </is>
      </c>
      <c r="G7" s="6" t="inlineStr">
        <is>
          <t>-17.90%</t>
        </is>
      </c>
      <c r="H7" s="6" t="inlineStr">
        <is>
          <t>-107.09%</t>
        </is>
      </c>
      <c r="I7" s="6" t="inlineStr">
        <is>
          <t>-18.36%</t>
        </is>
      </c>
    </row>
    <row r="8">
      <c r="A8" s="6" t="inlineStr">
        <is>
          <t>Oxbury Bank Plc's own published return</t>
        </is>
      </c>
      <c r="B8" s="6" t="inlineStr">
        <is>
          <t>Not published</t>
        </is>
      </c>
      <c r="C8" s="6" t="inlineStr">
        <is>
          <t>Not published</t>
        </is>
      </c>
      <c r="D8" s="6" t="inlineStr">
        <is>
          <t>Not published</t>
        </is>
      </c>
      <c r="E8" s="6" t="inlineStr">
        <is>
          <t>Not published</t>
        </is>
      </c>
      <c r="F8" s="6" t="inlineStr">
        <is>
          <t>Not published</t>
        </is>
      </c>
      <c r="G8" s="6" t="inlineStr">
        <is>
          <t>Not published</t>
        </is>
      </c>
      <c r="H8" s="6" t="inlineStr">
        <is>
          <t>Not published</t>
        </is>
      </c>
      <c r="I8" s="6" t="inlineStr">
        <is>
          <t>Not published</t>
        </is>
      </c>
    </row>
    <row r="9" ht="169" customHeight="1">
      <c r="A9" s="7" t="inlineStr">
        <is>
          <t>Note: COMPUTED, NOT PUBLISHED. Oxbury Bank Plc publishes NO ROE, RoTE or ROA in its newest annual report. The Bank's official Disclosures index lists Annual Report 2024 as the newest annual edition (alongside the newer 2025 Pillar 3 report, which is regulatory rather than an annual report). Annual Report 2024's exhaustive 'Company Key Performance Indicators' table at printed p.7 (PDF p.7) contains loan facilities, loans and advances, ECL allowance/loans, customer lending/deposit ratio, total capital ratio, leverage ratio, LCR, and customer counts—no profitability return. The born-digital 80-page report was searched in full for return on, ROE, ROA and RoTE; there are no genuine return-measure hits. The separately checked 2025 Pillar 3 report likewise contains no profitability-return measure. Every percentage above is therefore this project's own arithmetic on the figures printed on this workbook's statement sheets, and is labelled as such. That the bank publishes none is a POSITIVE FINDING, recorded in research/profitability/published_returns.jsonl, and not a failed search: for this bank the computed figure is the only figure there is.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The two diverge most in FY2019, where return on equity is -88.01% on an average basis and -156.47% on a year-end basis.
FY2018 HAS NO AVERAGE-BASIS RATIO, AND THAT IS CORRECT. An average denominator needs an opening balance, and FY2018 is the oldest column this workbook carries, so there is no prior year to open from. The blank is structural, not a missing figure. The year-end basis is shown for FY2018 because it needs only the closing balance.</t>
        </is>
      </c>
    </row>
    <row r="11" ht="170" customHeight="1">
      <c r="A11" s="8" t="inlineStr">
        <is>
          <t>Computed by this workbook's own build script from the Profit &amp; Loss and Balance Sheet sheets of this same workbook - the Profit &amp; Loss row “profit/(loss) from ordinary activities after tax” and the Balance Sheet rows “total equity” and “total assets”, resolved BY LABEL at build time through the shared resolver scripts/profitability_rows.py, so this sheet cannot drift from the statements it summarises. Those rows are themselves transcribed from Oxbury Bank Plc's Annual Report and Accounts for each year; see the source cells on the Balance Sheet and Profit &amp; Loss sheets for the exact document, page and table behind every input to every percentage above.
The finding that Oxbury Bank Plc publishes no return of its own is recorded in research/profitability/published_returns.jsonl under ‘OXBURY’, verified against the bank's own annual report rendered at 300 dpi.</t>
        </is>
      </c>
    </row>
  </sheetData>
  <mergeCells count="2">
    <mergeCell ref="A9:I9"/>
    <mergeCell ref="A11:I1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6" customWidth="1" min="1" max="1"/>
    <col width="15" customWidth="1" min="2" max="2"/>
    <col width="15" customWidth="1" min="3" max="3"/>
    <col width="15" customWidth="1" min="4" max="4"/>
    <col width="15" customWidth="1" min="5" max="5"/>
  </cols>
  <sheetData>
    <row r="1">
      <c r="A1" s="1" t="inlineStr">
        <is>
          <t>Oxbury Bank Plc — KM1 Key Metrics</t>
        </is>
      </c>
    </row>
    <row r="2">
      <c r="A2" s="2" t="inlineStr">
        <is>
          <t>Oxbury Bank Plc's own published 'Capital Resources (UK KM1 - Key Metrics)' table, reproduced in its own row order, labels and precision. Amounts in £'000, ratios as printed. Oxbury prints no row numbers in any edition, so none are shown. FY2018-FY2021 are not shown at all: no Pillar 3 edition reaches those years.</t>
        </is>
      </c>
    </row>
    <row r="3">
      <c r="A3" s="4" t="inlineStr">
        <is>
          <t>Line item</t>
        </is>
      </c>
      <c r="B3" s="4" t="inlineStr">
        <is>
          <t>FY2025</t>
        </is>
      </c>
      <c r="C3" s="4" t="inlineStr">
        <is>
          <t>FY2024</t>
        </is>
      </c>
      <c r="D3" s="4" t="inlineStr">
        <is>
          <t>FY2023</t>
        </is>
      </c>
      <c r="E3" s="4" t="inlineStr">
        <is>
          <t>FY2022</t>
        </is>
      </c>
    </row>
    <row r="4">
      <c r="A4" s="5" t="inlineStr">
        <is>
          <t>Available capital (amounts)</t>
        </is>
      </c>
      <c r="B4" s="6" t="n"/>
      <c r="C4" s="6" t="n"/>
      <c r="D4" s="6" t="n"/>
      <c r="E4" s="6" t="n"/>
    </row>
    <row r="5">
      <c r="A5" s="6" t="inlineStr">
        <is>
          <t>Common Equity Tier 1 (£'000)</t>
        </is>
      </c>
      <c r="B5" s="6" t="n">
        <v>192855</v>
      </c>
      <c r="C5" s="6" t="n">
        <v>142312</v>
      </c>
      <c r="D5" s="6" t="n">
        <v>68026</v>
      </c>
      <c r="E5" s="6" t="n">
        <v>45557</v>
      </c>
    </row>
    <row r="6">
      <c r="A6" s="6" t="inlineStr">
        <is>
          <t>Tier 1 capital (£'000)</t>
        </is>
      </c>
      <c r="B6" s="6" t="n">
        <v>192855</v>
      </c>
      <c r="C6" s="6" t="n">
        <v>142312</v>
      </c>
      <c r="D6" s="6" t="n">
        <v>68026</v>
      </c>
      <c r="E6" s="6" t="n">
        <v>45557</v>
      </c>
    </row>
    <row r="7">
      <c r="A7" s="6" t="inlineStr">
        <is>
          <t>Total capital (£'000)</t>
        </is>
      </c>
      <c r="B7" s="6" t="n">
        <v>192855</v>
      </c>
      <c r="C7" s="6" t="n">
        <v>142312</v>
      </c>
      <c r="D7" s="6" t="n">
        <v>68026</v>
      </c>
      <c r="E7" s="6" t="n">
        <v>45557</v>
      </c>
    </row>
    <row r="8">
      <c r="A8" s="5" t="inlineStr">
        <is>
          <t>Risk-weighted exposure amounts</t>
        </is>
      </c>
      <c r="B8" s="6" t="n"/>
      <c r="C8" s="6" t="n"/>
      <c r="D8" s="6" t="n"/>
      <c r="E8" s="6" t="n"/>
    </row>
    <row r="9">
      <c r="A9" s="6" t="inlineStr">
        <is>
          <t>Total risk-weighted exposure amount (£'000)</t>
        </is>
      </c>
      <c r="B9" s="6" t="n">
        <v>1168300</v>
      </c>
      <c r="C9" s="6" t="n">
        <v>684357</v>
      </c>
      <c r="D9" s="6" t="n">
        <v>426705</v>
      </c>
      <c r="E9" s="6" t="n">
        <v>282001</v>
      </c>
    </row>
    <row r="10">
      <c r="A10" s="6" t="inlineStr">
        <is>
          <t>Risk-based capital ratios as a percentage of RWA</t>
        </is>
      </c>
      <c r="B10" s="6" t="inlineStr">
        <is>
          <t>16.51%</t>
        </is>
      </c>
      <c r="C10" s="6" t="inlineStr">
        <is>
          <t>20.79%</t>
        </is>
      </c>
      <c r="D10" s="6" t="inlineStr">
        <is>
          <t>15.94%</t>
        </is>
      </c>
      <c r="E10" s="6" t="inlineStr">
        <is>
          <t>16.16%</t>
        </is>
      </c>
    </row>
    <row r="11">
      <c r="A11" s="6" t="inlineStr">
        <is>
          <t>Total capital ratio (%)</t>
        </is>
      </c>
      <c r="B11" s="6" t="inlineStr">
        <is>
          <t>19.39%</t>
        </is>
      </c>
      <c r="C11" s="6" t="inlineStr">
        <is>
          <t>23.35%</t>
        </is>
      </c>
      <c r="D11" s="6" t="inlineStr">
        <is>
          <t>19.27%</t>
        </is>
      </c>
      <c r="E11" s="6" t="inlineStr">
        <is>
          <t>18.81%</t>
        </is>
      </c>
    </row>
    <row r="12">
      <c r="A12" s="5" t="inlineStr">
        <is>
          <t>Total Capital requirement (TCR) as set by the PRA (as a percentage of risk-weighted exposure amount) - Pillar 1 + Pillar 2A</t>
        </is>
      </c>
      <c r="B12" s="6" t="n"/>
      <c r="C12" s="6" t="n"/>
      <c r="D12" s="6" t="n"/>
      <c r="E12" s="6" t="n"/>
    </row>
    <row r="13">
      <c r="A13" s="6" t="inlineStr">
        <is>
          <t>Pillar 1 + Pillar 2A</t>
        </is>
      </c>
      <c r="B13" s="6" t="inlineStr">
        <is>
          <t>11.65%</t>
        </is>
      </c>
      <c r="C13" s="6" t="inlineStr">
        <is>
          <t>11.65%</t>
        </is>
      </c>
      <c r="D13" s="6" t="inlineStr">
        <is>
          <t>13.30%</t>
        </is>
      </c>
      <c r="E13" s="6" t="inlineStr">
        <is>
          <t>12.19%</t>
        </is>
      </c>
    </row>
    <row r="14">
      <c r="A14" s="5" t="inlineStr">
        <is>
          <t>Additional CET1 buffer requirements as a percentage of RWA</t>
        </is>
      </c>
      <c r="B14" s="6" t="n"/>
      <c r="C14" s="6" t="n"/>
      <c r="D14" s="6" t="n"/>
      <c r="E14" s="6" t="n"/>
    </row>
    <row r="15">
      <c r="A15" s="6" t="inlineStr">
        <is>
          <t>Capital conservation buffer (%)</t>
        </is>
      </c>
      <c r="B15" s="6" t="inlineStr">
        <is>
          <t>2.5%</t>
        </is>
      </c>
      <c r="C15" s="6" t="inlineStr">
        <is>
          <t>2.5%</t>
        </is>
      </c>
      <c r="D15" s="6" t="inlineStr">
        <is>
          <t>2.5%</t>
        </is>
      </c>
      <c r="E15" s="6" t="inlineStr">
        <is>
          <t>2.5%</t>
        </is>
      </c>
    </row>
    <row r="16">
      <c r="A16" s="6" t="inlineStr">
        <is>
          <t>Countercyclical capital buffer (%)</t>
        </is>
      </c>
      <c r="B16" s="6" t="inlineStr">
        <is>
          <t>2.0%</t>
        </is>
      </c>
      <c r="C16" s="6" t="inlineStr">
        <is>
          <t>2.0%</t>
        </is>
      </c>
      <c r="D16" s="6" t="inlineStr">
        <is>
          <t>2.0%</t>
        </is>
      </c>
      <c r="E16" s="6" t="inlineStr">
        <is>
          <t>1.0%</t>
        </is>
      </c>
    </row>
    <row r="17">
      <c r="A17" s="6" t="inlineStr">
        <is>
          <t>Combined buffer requirement</t>
        </is>
      </c>
      <c r="B17" s="6" t="inlineStr">
        <is>
          <t>4.5%</t>
        </is>
      </c>
      <c r="C17" s="6" t="inlineStr">
        <is>
          <t>4.5%</t>
        </is>
      </c>
      <c r="D17" s="6" t="inlineStr">
        <is>
          <t>4.5%</t>
        </is>
      </c>
      <c r="E17" s="6" t="inlineStr">
        <is>
          <t>3.5%</t>
        </is>
      </c>
    </row>
    <row r="18">
      <c r="A18" s="6" t="inlineStr">
        <is>
          <t>Overall capital requirement (%)</t>
        </is>
      </c>
      <c r="B18" s="6" t="inlineStr">
        <is>
          <t>16.15%</t>
        </is>
      </c>
      <c r="C18" s="6" t="inlineStr">
        <is>
          <t>16.15%</t>
        </is>
      </c>
      <c r="D18" s="6" t="inlineStr">
        <is>
          <t>17.80%</t>
        </is>
      </c>
      <c r="E18" s="6" t="inlineStr">
        <is>
          <t>15.69%</t>
        </is>
      </c>
    </row>
    <row r="19">
      <c r="A19" s="5" t="inlineStr">
        <is>
          <t>Surplus over requirements (Pillar + Pillar 2A)</t>
        </is>
      </c>
      <c r="B19" s="6" t="n"/>
      <c r="C19" s="6" t="n"/>
      <c r="D19" s="6" t="n"/>
      <c r="E19" s="6" t="n"/>
    </row>
    <row r="20">
      <c r="A20" s="6" t="inlineStr">
        <is>
          <t>CET1 available after meeting the bank's minimum capital requirement (%)</t>
        </is>
      </c>
      <c r="B20" s="6" t="inlineStr">
        <is>
          <t>4.86%</t>
        </is>
      </c>
      <c r="C20" s="6" t="inlineStr">
        <is>
          <t>9.14%</t>
        </is>
      </c>
      <c r="D20" s="6" t="inlineStr">
        <is>
          <t>2.64%</t>
        </is>
      </c>
      <c r="E20" s="6" t="inlineStr">
        <is>
          <t>3.97%</t>
        </is>
      </c>
    </row>
    <row r="21">
      <c r="A21" s="5" t="inlineStr">
        <is>
          <t>Leverage ratio</t>
        </is>
      </c>
      <c r="B21" s="6" t="n"/>
      <c r="C21" s="6" t="n"/>
      <c r="D21" s="6" t="n"/>
      <c r="E21" s="6" t="n"/>
    </row>
    <row r="22">
      <c r="A22" s="6" t="inlineStr">
        <is>
          <t>Leverage ratio total exposure measure excluding claims on central banks (£'000)</t>
        </is>
      </c>
      <c r="B22" s="6" t="n">
        <v>2050662</v>
      </c>
      <c r="C22" s="6" t="n">
        <v>1077236</v>
      </c>
      <c r="D22" s="6" t="n">
        <v>636500</v>
      </c>
      <c r="E22" s="6" t="n">
        <v>374370</v>
      </c>
    </row>
    <row r="23">
      <c r="A23" s="6" t="inlineStr">
        <is>
          <t>Leverage ratio (%)</t>
        </is>
      </c>
      <c r="B23" s="6" t="inlineStr">
        <is>
          <t>9.40%</t>
        </is>
      </c>
      <c r="C23" s="6" t="inlineStr">
        <is>
          <t>12.66%</t>
        </is>
      </c>
      <c r="D23" s="6" t="inlineStr">
        <is>
          <t>10.69%</t>
        </is>
      </c>
      <c r="E23" s="6" t="inlineStr">
        <is>
          <t>12.17%</t>
        </is>
      </c>
    </row>
    <row r="24">
      <c r="A24" s="5" t="inlineStr">
        <is>
          <t>Liquidity Coverage Ratio</t>
        </is>
      </c>
      <c r="B24" s="6" t="n"/>
      <c r="C24" s="6" t="n"/>
      <c r="D24" s="6" t="n"/>
      <c r="E24" s="6" t="n"/>
    </row>
    <row r="25">
      <c r="A25" s="6" t="inlineStr">
        <is>
          <t>Total high-quality liquid assets (HQLA) (Weighted value-average) (£'000)</t>
        </is>
      </c>
      <c r="B25" s="6" t="n">
        <v>1512803</v>
      </c>
      <c r="C25" s="6" t="n">
        <v>1510275</v>
      </c>
      <c r="D25" s="6" t="n">
        <v>525527</v>
      </c>
      <c r="E25" s="6" t="n">
        <v>107106</v>
      </c>
    </row>
    <row r="26">
      <c r="A26" s="6" t="inlineStr">
        <is>
          <t>Cash outflows - Total weighted value (3 months) (£'000)</t>
        </is>
      </c>
      <c r="B26" s="6" t="n">
        <v>484006</v>
      </c>
      <c r="C26" s="6" t="n">
        <v>353181</v>
      </c>
      <c r="D26" s="6" t="n">
        <v>117034</v>
      </c>
      <c r="E26" s="6" t="n">
        <v>18196</v>
      </c>
    </row>
    <row r="27">
      <c r="A27" s="6" t="inlineStr">
        <is>
          <t>Cash inflows - Total weighted value (3 months) (£'000)</t>
        </is>
      </c>
      <c r="B27" s="6" t="n">
        <v>39179</v>
      </c>
      <c r="C27" s="6" t="n">
        <v>28590</v>
      </c>
      <c r="D27" s="6" t="n">
        <v>17872</v>
      </c>
      <c r="E27" s="6" t="n">
        <v>9310</v>
      </c>
    </row>
    <row r="28">
      <c r="A28" s="6" t="inlineStr">
        <is>
          <t>Total net cash outflow (£'000)</t>
        </is>
      </c>
      <c r="B28" s="6" t="n">
        <v>444827</v>
      </c>
      <c r="C28" s="6" t="n">
        <v>324591</v>
      </c>
      <c r="D28" s="6" t="n">
        <v>99162</v>
      </c>
      <c r="E28" s="6" t="n">
        <v>8886</v>
      </c>
    </row>
    <row r="29">
      <c r="A29" s="6" t="inlineStr">
        <is>
          <t>LCR ratio (%)</t>
        </is>
      </c>
      <c r="B29" s="6" t="inlineStr">
        <is>
          <t>340.1%</t>
        </is>
      </c>
      <c r="C29" s="6" t="inlineStr">
        <is>
          <t>465.3%</t>
        </is>
      </c>
      <c r="D29" s="6" t="inlineStr">
        <is>
          <t>545.2%</t>
        </is>
      </c>
      <c r="E29" s="6" t="inlineStr">
        <is>
          <t>2,132%</t>
        </is>
      </c>
    </row>
    <row r="30">
      <c r="A30" s="5" t="inlineStr">
        <is>
          <t>Net Stable Funding Ratio</t>
        </is>
      </c>
      <c r="B30" s="6" t="n"/>
      <c r="C30" s="6" t="n"/>
      <c r="D30" s="6" t="n"/>
      <c r="E30" s="6" t="n"/>
    </row>
    <row r="31">
      <c r="A31" s="6" t="inlineStr">
        <is>
          <t>Total available stable funding (£'000)</t>
        </is>
      </c>
      <c r="B31" s="6" t="n">
        <v>2947068</v>
      </c>
      <c r="C31" s="6" t="n">
        <v>2272844</v>
      </c>
      <c r="D31" s="6" t="n">
        <v>1038478</v>
      </c>
      <c r="E31" s="6" t="n">
        <v>450684</v>
      </c>
    </row>
    <row r="32">
      <c r="A32" s="6" t="inlineStr">
        <is>
          <t>Total required stable funding (£'000)</t>
        </is>
      </c>
      <c r="B32" s="6" t="n">
        <v>1835204</v>
      </c>
      <c r="C32" s="6" t="n">
        <v>865058</v>
      </c>
      <c r="D32" s="6" t="n">
        <v>516484</v>
      </c>
      <c r="E32" s="6" t="n">
        <v>302338</v>
      </c>
    </row>
    <row r="33">
      <c r="A33" s="6" t="inlineStr">
        <is>
          <t>NSFR ratio (%)</t>
        </is>
      </c>
      <c r="B33" s="6" t="inlineStr">
        <is>
          <t>160.6%</t>
        </is>
      </c>
      <c r="C33" s="6" t="inlineStr">
        <is>
          <t>262.7%</t>
        </is>
      </c>
      <c r="D33" s="6" t="inlineStr">
        <is>
          <t>201.1%</t>
        </is>
      </c>
      <c r="E33" s="6" t="inlineStr">
        <is>
          <t>149.1%</t>
        </is>
      </c>
    </row>
    <row r="35" ht="409" customHeight="1">
      <c r="A35" s="8" t="inlineStr">
        <is>
          <t>Sources - Oxbury Bank Plc, 'Capital Resources (UK KM1 - Key Metrics)', entity/Company basis, £'000. Each year is taken from the edition in which it is the REPORTING year, except FY2022 (see below):
FY2025: Pillar 3 Disclosures December 2025, section 4.3, p.11 (printed folio 11) - https://www.oxbury.com/media/yqqdu010/oxbury-bank-plc-pillar-3-2025.pdf
FY2024: Pillar 3 Disclosures December 2024, section 4.3, p.11 (printed folio 11) - https://www.oxbury.com/media/3yknkp3i/oxbury-bank-plc-pillar-3-2024.pdf
FY2023: Pillar 3 Disclosures December 2023, section 4.3, pp.10-11 (printed folios 10-11; the table breaks across the two pages - the LCR ratio row and the three NSFR rows are on p.11) - https://www.oxbury.com/media/xttezclr/oxbury-bank-plc-pillar-3-2023-final.pdf
FY2022: the December 2023 edition's own 2022 COMPARATIVE column, same table, pp.10-11 - https://www.oxbury.com/media/xttezclr/oxbury-bank-plc-pillar-3-2023-final.pdf. Oxbury published no Pillar 3 disclosure for FY2022 itself (its first edition is December 2023), so this column is filled from the earliest edition that prints the year rather than left blank.
FY2018-FY2021 are absent from this sheet entirely, not blank: no Pillar 3 edition reaches those years, and the UK KM1 template post-dates them. FY2021's Annual Report capital note is narrative only.
CROSS-EDITION AGREEMENT AND ONE DIVERGENCE. Every FY2024 figure in the December 2024 edition is reproduced identically as the December 2025 edition's comparative, and every FY2023 figure agrees between the December 2023 and December 2024 editions EXCEPT the LCR ratio: the December 2023 edition prints 545.2% for 2023 and the December 2024 edition's 2023 comparative prints 529.9%. This sheet carries 545.2%, that year's own edition, and the divergence is recorded here rather than reconciled.
ENTITY / BASIS NOTE: Oxbury Bank Plc (FRN 834822; Companies House no. 11383418) is the PRA-authorised bank and the entity covered by this workbook. The annual reports present both Group and Company columns. This workbook uses the Company/entity-level cash-flow figures throughout. The Group includes Oxbury Bank Plc and its wholly owned subsidiary Oxbury Earth Ltd (and, from FY2025, Oxbury Earth LLC); Group figures are not substituted for the Bank's own figures. The FY2025 report describes a new wider holding structure, but the legal bank entity remains Oxbury Bank Plc.
HISTORY NOTE: the company was incorporated 25 May 2018 as 'Oxbury FS Plc', a pre-launch shell building its technology platform - it renamed to Oxbury Bank Plc in mid-2020 after being authorised by the PRA/FCA as a credit institution in January 2020, then spent all of FY2020 in a regulatory 'mobilisation' phase with no lending or deposit-taking, finally launching to customers on 29 January 2021. FY2018-FY2020 are therefore genuine Oxbury financial statements (single-entity, no Group/Company split existed yet - there was no subsidiary) but reflect a pre-trading company, not a functioning bank: nil interest income, nil loans, nil customer deposits throughout. FY2018 covers a short first period (25 May 2018 - 31 Dec 2018), not a full year.</t>
        </is>
      </c>
    </row>
    <row r="37" ht="409" customHeight="1">
      <c r="A37" s="8" t="inlineStr">
        <is>
          <t>(continued)
THE 'Total capital' ROW IS DEFECTIVE IN EVERY EDITION AND IS REPRODUCED, NOT CORRECTED. Oxbury prints Total capital equal to Common Equity Tier 1 in all four years (192,855 / 142,312 / 68,026 / 45,557), omitting Tier 2 altogether, even though the same documents' CC1 table states Total regulatory capital of 226,552 / 159,812 / 82,214 / 53,057 and a Total Tier 2 (subordinated debt) component of 33,697 / 17,500 / 14,188 / 7,500. The Bank's own printed Total capital ratio settles which figure is the real one: 226,552/1,168,300 = 19.39% and 159,812/684,357 = 23.35%, both matching the percentages printed on the row below, whereas the KM1 numerators do not. The Total Capital metric sheet therefore carries the CC1 figure while this sheet carries what KM1 printed, and the two disagree BY DESIGN - this is a defect in the source disclosure, recorded here, and neither figure is to be altered to make them agree.
ROWS NOT CROSS-CHECKED, AND WHY THAT IS CORRECT. Because Oxbury prints no row numbers and words several rows its own way, the 'Common Equity Tier 1', 'Leverage ratio (%)' and 'LCR ratio (%)' rows, and the 'Risk-based capital ratios as a percentage of RWA' row, do not resolve to a single-metric sheet and are not automatically compared against one. Their figures are correct and agree with the corresponding metric sheets by eye (CET1 192,855; leverage 9.40%; LCR 340.1%; CET1 ratio 16.51% for FY2025). The labels are left exactly as the Bank printed them rather than annotated to make them match: the sheet reproduces a disclosure, and relabelling it to suit a checker would be normalising the source.
'Risk-based capital ratios as a percentage of RWA' IS THE CET1 RATIO ROW. Oxbury prints what is elsewhere a section caption as a data row carrying the CET1 ratio figures, in every edition. Reproduced as published.
FY2022 IS A FILLED COLUMN - it comes from the December 2023 edition's own 2022 comparative, because Oxbury published no Pillar 3 for FY2022. Every other column is that year's own edition.</t>
        </is>
      </c>
    </row>
  </sheetData>
  <mergeCells count="2">
    <mergeCell ref="A35:E35"/>
    <mergeCell ref="A37:E3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Oxbury Bank Plc — CET1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row>
    <row r="4">
      <c r="A4" s="6" t="inlineStr">
        <is>
          <t>Common Equity Tier 1 (CET1) capital</t>
        </is>
      </c>
      <c r="B4" s="6" t="n">
        <v>192855</v>
      </c>
      <c r="C4" s="6" t="n">
        <v>142312</v>
      </c>
      <c r="D4" s="6" t="n">
        <v>68026</v>
      </c>
      <c r="E4" s="6" t="n">
        <v>45557</v>
      </c>
      <c r="F4" s="6" t="inlineStr">
        <is>
          <t>Not published – 2021 and 2022 Annual Reports' Note 18 'Capital Management' is narrative only (no amounts); earliest Pillar 3 (Dec 2023) reaches back only to FY2022</t>
        </is>
      </c>
    </row>
    <row r="5" ht="65" customHeight="1">
      <c r="A5" s="7" t="inlineStr">
        <is>
          <t>Note: FY2025 and FY2024 RECOVERED 2026-09-15 and previously blank - the December 2025 and December 2024 Pillar 3 editions were found on the Bank's own listing page, which three earlier passes had recorded as carrying only the 2023 edition (see the PILLAR 3 DISCOVERY NOTE). Both editions state FY2024 as 142,312, so that year has two independent sources. All four years are the CC1 'Total Common Equity Tier 1 (CET1) capital' line, which equals the KM1 'Common Equity Tier 1' row in every edition. FY2021 is an ENUMERATED negative, not an unchecked blank: no Pillar 3 edition reaches back that far and both Annual Reports covering FY2021 carry a purely narrative Note 18 with no capital amount at all - see the source citation. Genuinely not disclosed (no Pillar 3 requirement yet) for FY2020-FY2018.</t>
        </is>
      </c>
    </row>
    <row r="7" ht="377" customHeight="1">
      <c r="A7" s="8" t="inlineStr">
        <is>
          <t>Sources - Oxbury Bank Plc regulatory/entity basis:
FY2025 and FY2024: Oxbury Bank Plc Pillar 3 Disclosures December 2025, p.11 (4.3 Capital Resources - UK KM1 Key Metrics), p.12 (4.4 UK OV1 risk-weighted exposure amounts; 4.5 capital surplus over Pillar 1), p.12-13 (4.6 Capital resources - CC1) - https://www.oxbury.com/media/yqqdu010/oxbury-bank-plc-pillar-3-2025.pdf
FY2024 and FY2023 (independent second source for FY2024, and the validation-gate check on FY2023): Oxbury Bank Plc Pillar 3 Disclosures December 2024, p.11 (4.3 UK KM1), p.12 (4.4 UK OV1, 4.5), p.12-13 (4.6 CC1) - https://www.oxbury.com/media/3yknkp3i/oxbury-bank-plc-pillar-3-2024.pdf
FY2023 and FY2022: Oxbury Bank Plc Pillar 3 Disclosures December 2023, pp.10-12 (4.3 UK KM1, 4.4 UK OV1, 4.6 CC1 capital resources), pp.17-18 (leverage), pp.36-40 (LCR and NSFR) - https://www.oxbury.com/media/xttezclr/oxbury-bank-plc-pillar-3-2023-final.pdf
FY2021 ratios only: Oxbury Bank Plc Annual Report and Accounts 2021, p.6 (Company Key Performance Indicators, unaudited 'CET1 / Total Capital Ratio - Dec-21', 'Leverage Ratio - Dec-21' and 'Liquidity Coverage Ratio - Dec-21') - https://www.oxbury.com/media/g5xibgrw/annual-report-2021.pdf
Annual Report point-in-time liquidity/capital KPIs (a SEPARATE basis - see the LCR sheet): Annual Report and Accounts 2025 p.6 - https://www.oxbury.com/media/e3xppqoe/2025-company-accounts.pdf; Annual Report and Accounts 2023 p.6 - https://www.oxbury.com/media/dxeb3xqx/oxbury-bank-annual-accounts-31122023.pdf; Annual Report and Accounts 2022 p.6 - https://www.oxbury.com/media/brmf2riv/annual-report-2022.pdf
*** PILLAR 3 DISCOVERY NOTE - 2026-09-15. THIS SUPERSEDES AND CORRECTS THE PREVIOUS FINDING ON THIS SHEET, WHICH WAS WRONG. ***
Three earlier passes recorded, with increasing confidence, that Oxbury had published EXACTLY ONE Pillar 3 document ever (the December 2023 edition) and that FY2024 and FY2025 were an unmet disclosure obligation. That is no longer true and the affected cells have been filled. Re-fetching https://www.oxbury.com/annual-reports/ on 2026-09-15 and extracting every href from the raw HTML returns THREE Pillar 3 PDFs, not one:
    /media/xttezclr/oxbury-bank-plc-pillar-3-2023-final.pdf   (December 2023 - already cited)
    /media/3yknkp3i/oxbury-bank-plc-pillar-3-2024.pdf         (December 2024 - NEW)
    /media/yqqdu010/oxbury-bank-plc-pillar-3-2025.pdf         (December 2025 - NEW)
Both new files were downloaded and are full text-native Pillar 3 reports of the same structure as the 2023 edition (1.23MB / 1.26MB; 163k / 167k extracted characters), titled 'Oxbury Bank Plc / Pillar 3 Disclosures / December 2024' and '... December 2025' on their own cover pages, each carrying a complete UK KM1, UK OV1, CC1, LIQ1 and LIQ2. Oxbury's year-end is 31 December, so they map to FY2024 and FY2025 directly, each with the prior year as its comparative column.
WHY THE EARLIER PASSES MISSED THEM, recorded so the lesson generalises rather than being re-learned: Oxbury's media URLs use opaque random slugs (/media/3yknkp3i/, /media/yqqdu010/), so the filenames cannot be guessed by permutation from the 2023 one, and the Wayback CDX sweep that returned '195 distinct PDFs, exactly one Pillar 3' was accurate about the ARCHIVE but the archive simply had not captured these files yet. An absence in Wayback is not an absence on the live site. The bank's own listing page was the only route to them, and it had to be re-fetched rather than relied on from a previous session's transcript - a document index is a living page, and a negative established against it expires. The previous note's USER-ACTIONABLE item (request the FY2024/FY2025 editions from the Bank) is withdrawn: they are published.</t>
        </is>
      </c>
    </row>
    <row r="9" ht="312" customHeight="1">
      <c r="A9" s="8" t="inlineStr">
        <is>
          <t>(continued)
VALIDATION GATE - PASSED, with one documented exception. The December 2024 edition's FY2023 comparative column was checked line by line against the December 2023 edition's own FY2023 column and against the figures already in this workbook. CET1 / Tier 1 capital 68,026; Tier 2 14,188; Total regulatory capital 82,214; Total RWA 426,705; CET1 ratio 15.94%; Total capital ratio 19.27%; leverage ratio 10.69%; NSFR 201.1%; OV1 credit risk 426,705 and operational risk 18,622 - ALL reproduce exactly. Nothing already in the workbook was overwritten on the strength of an unverified new source.
  THE ONE EXCEPTION IS FY2023 LCR, and it is NOT reconciled: the December 2023 edition's own FY2023 column states 545.2%, while the December 2024 edition's FY2023 comparative states 529.9% for the same date on the same stated basis ('Total high-quality liquid assets (HQLA) (Weighted value-average)'). A 15.3pp difference between two of the Bank's own documents, unexplained in either. This workbook keeps the own-year figure (545.2%) per project convention and records 529.9% here rather than averaging, splicing or silently preferring the later document. Do not 'fix' this.
KM1 'TOTAL CAPITAL' ROW IS DEFECTIVE IN ALL THREE EDITIONS - the CC1 figure is used instead, and the Bank's own printed ratios prove which is right. In every edition's UK KM1 (4.3) the 'Total capital' row simply repeats the CET1 / Tier 1 figure (FY2025 192,855; FY2024 142,312; FY2023 68,026; FY2022 45,557), omitting Tier 2 entirely - yet the same table's 'Total capital ratio (%)' is 19.39% / 23.35% / 19.27% / 18.81%, which does NOT reconcile against those numerators. It reconciles against the CC1 (4.6) 'Total regulatory capital' line, which does include Tier 2: 226,552 / 1,168,300 = 19.39%; 159,812 / 684,357 = 23.35%; 82,214 / 426,705 = 19.27%; 53,057 / 282,001 = 18.81% - all four to the printed decimal. The CC1 line is therefore used on the Total Capital sheet for every year, which also keeps FY2025/FY2024 consistent with FY2023/FY2022, already sourced that way. This is a reading of the Bank's own two tables against each other, NOT a back-solve: 226,552 and 159,812 are printed figures (CET1 192,855 + Tier 2 33,697; CET1 142,312 + Tier 2 17,500), not quotients.
WHAT THE NEW EDITIONS RESOLVE. The previous note on this sheet set out an unresolvable puzzle in the FY2025 Annual Report's Note 18 'Capital Management' - it reports 'GBP220m (2024 GBP136m)' under a CET1 label, but GBP220m exceeds FY2025 total equity (GBP210,279k Company / GBP208,311k Group) and so could not be CET1, while GBP136m sat below FY2024 equity and so could not be total capital, apparently putting two different bases in consecutive years of one sentence. That puzzle is now MOOT rather than solved: the December 2025 Pillar 3 supplies audited-template figures for both dates (CET1 192,855 / 142,312; total regulatory capital 226,552 / 159,812) and those are what the sheets carry. The Annual Report's rounded narrative figures are not used and were never used, and neither GBP220m nor GBP136m ties cleanly to either Pillar 3 basis - they are not reproduced on any sheet.</t>
        </is>
      </c>
    </row>
    <row r="11" ht="377" customHeight="1">
      <c r="A11" s="8" t="inlineStr">
        <is>
          <t>(continued)
OXBURY IS NOT SDDT-EXEMPT - THE SINGLE MOST-REPEATED ERROR ON THIS BANK, PRESERVED HERE DELIBERATELY. The PRA's consolidated register of waivers and modifications for PRA-authorised firms (downloaded 2026-09-15 from https://www.bankofengland.co.uk/-/media/boe/files/prudential-regulation/authorisations/waivers-and-modifications-of-rules/consolidated-waivers-pra-firms.csv, a UTF-16 TSV) carries three rows for FRN 834822 'Oxbury Bank PLC': Article 26(3) CRR (start 31/01/2020), Capital Buffers 5.1-5.3 (start 20/01/2025), and - the one that must NOT be misread - 'Modification of the criterion in rule 2.1(9) of the SDDT Regime - General Application Part of the PRA Rulebook (any parent undertaking of the firm is a UK undertaking)', sub-rule 'Ru 2.1(9)', ref A00012298P.pdf, start 20/05/2026. Ru 2.1(9) is an ELIGIBILITY CRITERION - it waives the UK-parent test so the firm may QUALIFY as an SDDT - and has no disclosure effect whatsoever. It is NOT Rule 3.1, the opt-in that actually removes the Pillar 3 obligation, and Oxbury holds no Ru 3.1 row at all. This is the same category error, in a third form, as conflating Article 433b (which REDUCES disclosure) with Rule 3.1 (which REMOVES it). Note also that 20/05/2026 post-dates every year in this workbook, so even a Rule 3.1 row bearing that date could not have exempted FY2021-FY2025. Oxbury was under a live Pillar 3 obligation throughout - which is exactly why the FY2024 and FY2025 editions found above were to be expected, and why their earlier apparent absence should have been treated as a search failure rather than accepted as structural.
FY2021 - ENUMERATED AND ABSENT for capital AMOUNTS and RWAs (established 2026-09-15; these cells previously stood blank, which is indistinguishable from an unresearched gap, and now read 'Not publicly disclosed'). The earliest Pillar 3 edition Oxbury has ever published is the December 2023 one, whose comparative column reaches back only to FY2022 - so no Pillar 3 template covers FY2021 on any basis, and the re-fetched listing page confirms there is no 2021 or 2022 edition to find. The two Annual Reports that cover FY2021 were then opened and read rather than searched by filename: Note 18 'Capital Management' in the 2021 report, and the identically-worded Note 18 in the 2022 report, are PURELY NARRATIVE. Verbatim, in full, that is all either says about the quantum: 'At the end of the financial year, Oxbury held Common Equity Tier 1 capital, compromised of relevant share capital and retained earnings' (2021 spelling as printed) / '...comprising of relevant share capital and retained earnings' (2022), followed by 'The comparison of the available and required capital positions are reviewed on a monthly basis.' There is no capital amount, no RWA figure, no own-funds table and no OV1 anywhere in either document. FY2021 therefore has RATIOS but no AMOUNTS, from the KPI table on p.6 only. Those amounts are NOT back-solved from the ratios - dividing a KPI percentage into anything would manufacture figures that appear in no source.
  FY2021 RATIO DIVERGENCE, recorded not reconciled: the 2021 Annual Report's own KPI table states 'CET1 / Total Capital Ratio - Dec-21  23%', while the 2022 Annual Report's comparative column for the same date states 25%. This workbook uses the own-year 23% per project convention. (The 2022 report's KPI table also prints its own FY2022 leverage ratio as '152%', which is self-evidently a misplaced decimal for 15.2% and is not used anywhere.)
FY2020, FY2019 and FY2018: no Pillar 3 or capital-ratio disclosure of any kind was found in the Companies House-filed accounts for these years, and none would be expected - the company was not yet an authorised credit institution for FY2018-FY2019, and spent all of FY2020 in the PRA's pre-launch 'mobilisation' phase with a strategic report that discusses capital raises in cash terms only, no regulatory ratios. Genuinely not disclosed, not merely unreviewed.</t>
        </is>
      </c>
    </row>
    <row r="13" ht="180" customHeight="1">
      <c r="A13" s="8" t="inlineStr">
        <is>
          <t>(continued)
ENTITY / BASIS NOTE: Oxbury Bank Plc (FRN 834822; Companies House no. 11383418) is the PRA-authorised bank and the entity covered by this workbook. The annual reports present both Group and Company columns. This workbook uses the Company/entity-level cash-flow figures throughout. The Group includes Oxbury Bank Plc and its wholly owned subsidiary Oxbury Earth Ltd (and, from FY2025, Oxbury Earth LLC); Group figures are not substituted for the Bank's own figures. The FY2025 report describes a new wider holding structure, but the legal bank entity remains Oxbury Bank Plc.
HISTORY NOTE: the company was incorporated 25 May 2018 as 'Oxbury FS Plc', a pre-launch shell building its technology platform - it renamed to Oxbury Bank Plc in mid-2020 after being authorised by the PRA/FCA as a credit institution in January 2020, then spent all of FY2020 in a regulatory 'mobilisation' phase with no lending or deposit-taking, finally launching to customers on 29 January 2021. FY2018-FY2020 are therefore genuine Oxbury financial statements (single-entity, no Group/Company split existed yet - there was no subsidiary) but reflect a pre-trading company, not a functioning bank: nil interest income, nil loans, nil customer deposits throughout. FY2018 covers a short first period (25 May 2018 - 31 Dec 2018), not a full year.</t>
        </is>
      </c>
    </row>
  </sheetData>
  <mergeCells count="5">
    <mergeCell ref="A11:F11"/>
    <mergeCell ref="A13:F13"/>
    <mergeCell ref="A5:F5"/>
    <mergeCell ref="A9:F9"/>
    <mergeCell ref="A7:F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Oxbury Bank Plc — CET1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Common Equity Tier 1 (CET1) ratio</t>
        </is>
      </c>
      <c r="B4" s="6" t="inlineStr">
        <is>
          <t>16.51%</t>
        </is>
      </c>
      <c r="C4" s="6" t="inlineStr">
        <is>
          <t>20.79%</t>
        </is>
      </c>
      <c r="D4" s="6" t="inlineStr">
        <is>
          <t>15.94%</t>
        </is>
      </c>
      <c r="E4" s="6" t="inlineStr">
        <is>
          <t>16.16%</t>
        </is>
      </c>
      <c r="F4" s="6" t="inlineStr">
        <is>
          <t>23%</t>
        </is>
      </c>
    </row>
    <row r="5" ht="52" customHeight="1">
      <c r="A5" s="7" t="inlineStr">
        <is>
          <t>Note: FY2025 and FY2024 RECOVERED 2026-09-15 and previously blank - from the newly-found December 2025 and December 2024 Pillar 3 editions, where the figure is printed both in the KM1 key-metrics table and again in the CC1 table as 'Common Equity Tier 1 capital (% rwa)'. Both editions agree on FY2024 (20.79%). FY2021 is a different and weaker thing: the annual-report KPI table's single combined ‘CET1 / Total Capital Ratio - Dec-21’ line, which does not separate the two measures, and whose own FY2022-report comparative says 25% rather than 23% - the own-year 23% is used. Genuinely not disclosed for FY2020-FY2018.</t>
        </is>
      </c>
    </row>
    <row r="7" ht="377" customHeight="1">
      <c r="A7" s="8" t="inlineStr">
        <is>
          <t>Sources - Oxbury Bank Plc regulatory/entity basis:
FY2025 and FY2024: Oxbury Bank Plc Pillar 3 Disclosures December 2025, p.11 (4.3 Capital Resources - UK KM1 Key Metrics), p.12 (4.4 UK OV1 risk-weighted exposure amounts; 4.5 capital surplus over Pillar 1), p.12-13 (4.6 Capital resources - CC1) - https://www.oxbury.com/media/yqqdu010/oxbury-bank-plc-pillar-3-2025.pdf
FY2024 and FY2023 (independent second source for FY2024, and the validation-gate check on FY2023): Oxbury Bank Plc Pillar 3 Disclosures December 2024, p.11 (4.3 UK KM1), p.12 (4.4 UK OV1, 4.5), p.12-13 (4.6 CC1) - https://www.oxbury.com/media/3yknkp3i/oxbury-bank-plc-pillar-3-2024.pdf
FY2023 and FY2022: Oxbury Bank Plc Pillar 3 Disclosures December 2023, pp.10-12 (4.3 UK KM1, 4.4 UK OV1, 4.6 CC1 capital resources), pp.17-18 (leverage), pp.36-40 (LCR and NSFR) - https://www.oxbury.com/media/xttezclr/oxbury-bank-plc-pillar-3-2023-final.pdf
FY2021 ratios only: Oxbury Bank Plc Annual Report and Accounts 2021, p.6 (Company Key Performance Indicators, unaudited 'CET1 / Total Capital Ratio - Dec-21', 'Leverage Ratio - Dec-21' and 'Liquidity Coverage Ratio - Dec-21') - https://www.oxbury.com/media/g5xibgrw/annual-report-2021.pdf
Annual Report point-in-time liquidity/capital KPIs (a SEPARATE basis - see the LCR sheet): Annual Report and Accounts 2025 p.6 - https://www.oxbury.com/media/e3xppqoe/2025-company-accounts.pdf; Annual Report and Accounts 2023 p.6 - https://www.oxbury.com/media/dxeb3xqx/oxbury-bank-annual-accounts-31122023.pdf; Annual Report and Accounts 2022 p.6 - https://www.oxbury.com/media/brmf2riv/annual-report-2022.pdf
*** PILLAR 3 DISCOVERY NOTE - 2026-09-15. THIS SUPERSEDES AND CORRECTS THE PREVIOUS FINDING ON THIS SHEET, WHICH WAS WRONG. ***
Three earlier passes recorded, with increasing confidence, that Oxbury had published EXACTLY ONE Pillar 3 document ever (the December 2023 edition) and that FY2024 and FY2025 were an unmet disclosure obligation. That is no longer true and the affected cells have been filled. Re-fetching https://www.oxbury.com/annual-reports/ on 2026-09-15 and extracting every href from the raw HTML returns THREE Pillar 3 PDFs, not one:
    /media/xttezclr/oxbury-bank-plc-pillar-3-2023-final.pdf   (December 2023 - already cited)
    /media/3yknkp3i/oxbury-bank-plc-pillar-3-2024.pdf         (December 2024 - NEW)
    /media/yqqdu010/oxbury-bank-plc-pillar-3-2025.pdf         (December 2025 - NEW)
Both new files were downloaded and are full text-native Pillar 3 reports of the same structure as the 2023 edition (1.23MB / 1.26MB; 163k / 167k extracted characters), titled 'Oxbury Bank Plc / Pillar 3 Disclosures / December 2024' and '... December 2025' on their own cover pages, each carrying a complete UK KM1, UK OV1, CC1, LIQ1 and LIQ2. Oxbury's year-end is 31 December, so they map to FY2024 and FY2025 directly, each with the prior year as its comparative column.
WHY THE EARLIER PASSES MISSED THEM, recorded so the lesson generalises rather than being re-learned: Oxbury's media URLs use opaque random slugs (/media/3yknkp3i/, /media/yqqdu010/), so the filenames cannot be guessed by permutation from the 2023 one, and the Wayback CDX sweep that returned '195 distinct PDFs, exactly one Pillar 3' was accurate about the ARCHIVE but the archive simply had not captured these files yet. An absence in Wayback is not an absence on the live site. The bank's own listing page was the only route to them, and it had to be re-fetched rather than relied on from a previous session's transcript - a document index is a living page, and a negative established against it expires. The previous note's USER-ACTIONABLE item (request the FY2024/FY2025 editions from the Bank) is withdrawn: they are published.</t>
        </is>
      </c>
    </row>
    <row r="9" ht="312" customHeight="1">
      <c r="A9" s="8" t="inlineStr">
        <is>
          <t>(continued)
VALIDATION GATE - PASSED, with one documented exception. The December 2024 edition's FY2023 comparative column was checked line by line against the December 2023 edition's own FY2023 column and against the figures already in this workbook. CET1 / Tier 1 capital 68,026; Tier 2 14,188; Total regulatory capital 82,214; Total RWA 426,705; CET1 ratio 15.94%; Total capital ratio 19.27%; leverage ratio 10.69%; NSFR 201.1%; OV1 credit risk 426,705 and operational risk 18,622 - ALL reproduce exactly. Nothing already in the workbook was overwritten on the strength of an unverified new source.
  THE ONE EXCEPTION IS FY2023 LCR, and it is NOT reconciled: the December 2023 edition's own FY2023 column states 545.2%, while the December 2024 edition's FY2023 comparative states 529.9% for the same date on the same stated basis ('Total high-quality liquid assets (HQLA) (Weighted value-average)'). A 15.3pp difference between two of the Bank's own documents, unexplained in either. This workbook keeps the own-year figure (545.2%) per project convention and records 529.9% here rather than averaging, splicing or silently preferring the later document. Do not 'fix' this.
KM1 'TOTAL CAPITAL' ROW IS DEFECTIVE IN ALL THREE EDITIONS - the CC1 figure is used instead, and the Bank's own printed ratios prove which is right. In every edition's UK KM1 (4.3) the 'Total capital' row simply repeats the CET1 / Tier 1 figure (FY2025 192,855; FY2024 142,312; FY2023 68,026; FY2022 45,557), omitting Tier 2 entirely - yet the same table's 'Total capital ratio (%)' is 19.39% / 23.35% / 19.27% / 18.81%, which does NOT reconcile against those numerators. It reconciles against the CC1 (4.6) 'Total regulatory capital' line, which does include Tier 2: 226,552 / 1,168,300 = 19.39%; 159,812 / 684,357 = 23.35%; 82,214 / 426,705 = 19.27%; 53,057 / 282,001 = 18.81% - all four to the printed decimal. The CC1 line is therefore used on the Total Capital sheet for every year, which also keeps FY2025/FY2024 consistent with FY2023/FY2022, already sourced that way. This is a reading of the Bank's own two tables against each other, NOT a back-solve: 226,552 and 159,812 are printed figures (CET1 192,855 + Tier 2 33,697; CET1 142,312 + Tier 2 17,500), not quotients.
WHAT THE NEW EDITIONS RESOLVE. The previous note on this sheet set out an unresolvable puzzle in the FY2025 Annual Report's Note 18 'Capital Management' - it reports 'GBP220m (2024 GBP136m)' under a CET1 label, but GBP220m exceeds FY2025 total equity (GBP210,279k Company / GBP208,311k Group) and so could not be CET1, while GBP136m sat below FY2024 equity and so could not be total capital, apparently putting two different bases in consecutive years of one sentence. That puzzle is now MOOT rather than solved: the December 2025 Pillar 3 supplies audited-template figures for both dates (CET1 192,855 / 142,312; total regulatory capital 226,552 / 159,812) and those are what the sheets carry. The Annual Report's rounded narrative figures are not used and were never used, and neither GBP220m nor GBP136m ties cleanly to either Pillar 3 basis - they are not reproduced on any sheet.</t>
        </is>
      </c>
    </row>
    <row r="11" ht="377" customHeight="1">
      <c r="A11" s="8" t="inlineStr">
        <is>
          <t>(continued)
OXBURY IS NOT SDDT-EXEMPT - THE SINGLE MOST-REPEATED ERROR ON THIS BANK, PRESERVED HERE DELIBERATELY. The PRA's consolidated register of waivers and modifications for PRA-authorised firms (downloaded 2026-09-15 from https://www.bankofengland.co.uk/-/media/boe/files/prudential-regulation/authorisations/waivers-and-modifications-of-rules/consolidated-waivers-pra-firms.csv, a UTF-16 TSV) carries three rows for FRN 834822 'Oxbury Bank PLC': Article 26(3) CRR (start 31/01/2020), Capital Buffers 5.1-5.3 (start 20/01/2025), and - the one that must NOT be misread - 'Modification of the criterion in rule 2.1(9) of the SDDT Regime - General Application Part of the PRA Rulebook (any parent undertaking of the firm is a UK undertaking)', sub-rule 'Ru 2.1(9)', ref A00012298P.pdf, start 20/05/2026. Ru 2.1(9) is an ELIGIBILITY CRITERION - it waives the UK-parent test so the firm may QUALIFY as an SDDT - and has no disclosure effect whatsoever. It is NOT Rule 3.1, the opt-in that actually removes the Pillar 3 obligation, and Oxbury holds no Ru 3.1 row at all. This is the same category error, in a third form, as conflating Article 433b (which REDUCES disclosure) with Rule 3.1 (which REMOVES it). Note also that 20/05/2026 post-dates every year in this workbook, so even a Rule 3.1 row bearing that date could not have exempted FY2021-FY2025. Oxbury was under a live Pillar 3 obligation throughout - which is exactly why the FY2024 and FY2025 editions found above were to be expected, and why their earlier apparent absence should have been treated as a search failure rather than accepted as structural.
FY2021 - ENUMERATED AND ABSENT for capital AMOUNTS and RWAs (established 2026-09-15; these cells previously stood blank, which is indistinguishable from an unresearched gap, and now read 'Not publicly disclosed'). The earliest Pillar 3 edition Oxbury has ever published is the December 2023 one, whose comparative column reaches back only to FY2022 - so no Pillar 3 template covers FY2021 on any basis, and the re-fetched listing page confirms there is no 2021 or 2022 edition to find. The two Annual Reports that cover FY2021 were then opened and read rather than searched by filename: Note 18 'Capital Management' in the 2021 report, and the identically-worded Note 18 in the 2022 report, are PURELY NARRATIVE. Verbatim, in full, that is all either says about the quantum: 'At the end of the financial year, Oxbury held Common Equity Tier 1 capital, compromised of relevant share capital and retained earnings' (2021 spelling as printed) / '...comprising of relevant share capital and retained earnings' (2022), followed by 'The comparison of the available and required capital positions are reviewed on a monthly basis.' There is no capital amount, no RWA figure, no own-funds table and no OV1 anywhere in either document. FY2021 therefore has RATIOS but no AMOUNTS, from the KPI table on p.6 only. Those amounts are NOT back-solved from the ratios - dividing a KPI percentage into anything would manufacture figures that appear in no source.
  FY2021 RATIO DIVERGENCE, recorded not reconciled: the 2021 Annual Report's own KPI table states 'CET1 / Total Capital Ratio - Dec-21  23%', while the 2022 Annual Report's comparative column for the same date states 25%. This workbook uses the own-year 23% per project convention. (The 2022 report's KPI table also prints its own FY2022 leverage ratio as '152%', which is self-evidently a misplaced decimal for 15.2% and is not used anywhere.)
FY2020, FY2019 and FY2018: no Pillar 3 or capital-ratio disclosure of any kind was found in the Companies House-filed accounts for these years, and none would be expected - the company was not yet an authorised credit institution for FY2018-FY2019, and spent all of FY2020 in the PRA's pre-launch 'mobilisation' phase with a strategic report that discusses capital raises in cash terms only, no regulatory ratios. Genuinely not disclosed, not merely unreviewed.</t>
        </is>
      </c>
    </row>
    <row r="13" ht="180" customHeight="1">
      <c r="A13" s="8" t="inlineStr">
        <is>
          <t>(continued)
ENTITY / BASIS NOTE: Oxbury Bank Plc (FRN 834822; Companies House no. 11383418) is the PRA-authorised bank and the entity covered by this workbook. The annual reports present both Group and Company columns. This workbook uses the Company/entity-level cash-flow figures throughout. The Group includes Oxbury Bank Plc and its wholly owned subsidiary Oxbury Earth Ltd (and, from FY2025, Oxbury Earth LLC); Group figures are not substituted for the Bank's own figures. The FY2025 report describes a new wider holding structure, but the legal bank entity remains Oxbury Bank Plc.
HISTORY NOTE: the company was incorporated 25 May 2018 as 'Oxbury FS Plc', a pre-launch shell building its technology platform - it renamed to Oxbury Bank Plc in mid-2020 after being authorised by the PRA/FCA as a credit institution in January 2020, then spent all of FY2020 in a regulatory 'mobilisation' phase with no lending or deposit-taking, finally launching to customers on 29 January 2021. FY2018-FY2020 are therefore genuine Oxbury financial statements (single-entity, no Group/Company split existed yet - there was no subsidiary) but reflect a pre-trading company, not a functioning bank: nil interest income, nil loans, nil customer deposits throughout. FY2018 covers a short first period (25 May 2018 - 31 Dec 2018), not a full year.</t>
        </is>
      </c>
    </row>
  </sheetData>
  <mergeCells count="5">
    <mergeCell ref="A11:F11"/>
    <mergeCell ref="A13:F13"/>
    <mergeCell ref="A5:F5"/>
    <mergeCell ref="A9:F9"/>
    <mergeCell ref="A7:F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Oxbury Bank Plc — Tier 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Tier 1 capital</t>
        </is>
      </c>
      <c r="B4" s="6" t="n">
        <v>192855</v>
      </c>
      <c r="C4" s="6" t="n">
        <v>142312</v>
      </c>
      <c r="D4" s="6" t="n">
        <v>68026</v>
      </c>
      <c r="E4" s="6" t="n">
        <v>45557</v>
      </c>
      <c r="F4" s="6" t="inlineStr">
        <is>
          <t>Not published – 2021 and 2022 Annual Reports' Note 18 'Capital Management' is narrative only (no amounts); earliest Pillar 3 (Dec 2023) reaches back only to FY2022</t>
        </is>
      </c>
    </row>
    <row r="5" ht="39" customHeight="1">
      <c r="A5" s="7" t="inlineStr">
        <is>
          <t>Note: FY2025 and FY2024 RECOVERED 2026-09-15 and previously blank - the CC1 'Total Tier 1 capital' line of the newly-found December 2025 and December 2024 Pillar 3 editions. Equal to CET1 capital in every disclosed year: Oxbury holds no Additional Tier 1 instruments, and each edition's CC1 prints the two lines with identical values. FY2021 is an enumerated negative - see the CET1 Capital sheet's note and the source citation. Genuinely not disclosed for FY2020-FY2018.</t>
        </is>
      </c>
    </row>
    <row r="7" ht="377" customHeight="1">
      <c r="A7" s="8" t="inlineStr">
        <is>
          <t>Sources - Oxbury Bank Plc regulatory/entity basis:
FY2025 and FY2024: Oxbury Bank Plc Pillar 3 Disclosures December 2025, p.11 (4.3 Capital Resources - UK KM1 Key Metrics), p.12 (4.4 UK OV1 risk-weighted exposure amounts; 4.5 capital surplus over Pillar 1), p.12-13 (4.6 Capital resources - CC1) - https://www.oxbury.com/media/yqqdu010/oxbury-bank-plc-pillar-3-2025.pdf
FY2024 and FY2023 (independent second source for FY2024, and the validation-gate check on FY2023): Oxbury Bank Plc Pillar 3 Disclosures December 2024, p.11 (4.3 UK KM1), p.12 (4.4 UK OV1, 4.5), p.12-13 (4.6 CC1) - https://www.oxbury.com/media/3yknkp3i/oxbury-bank-plc-pillar-3-2024.pdf
FY2023 and FY2022: Oxbury Bank Plc Pillar 3 Disclosures December 2023, pp.10-12 (4.3 UK KM1, 4.4 UK OV1, 4.6 CC1 capital resources), pp.17-18 (leverage), pp.36-40 (LCR and NSFR) - https://www.oxbury.com/media/xttezclr/oxbury-bank-plc-pillar-3-2023-final.pdf
FY2021 ratios only: Oxbury Bank Plc Annual Report and Accounts 2021, p.6 (Company Key Performance Indicators, unaudited 'CET1 / Total Capital Ratio - Dec-21', 'Leverage Ratio - Dec-21' and 'Liquidity Coverage Ratio - Dec-21') - https://www.oxbury.com/media/g5xibgrw/annual-report-2021.pdf
Annual Report point-in-time liquidity/capital KPIs (a SEPARATE basis - see the LCR sheet): Annual Report and Accounts 2025 p.6 - https://www.oxbury.com/media/e3xppqoe/2025-company-accounts.pdf; Annual Report and Accounts 2023 p.6 - https://www.oxbury.com/media/dxeb3xqx/oxbury-bank-annual-accounts-31122023.pdf; Annual Report and Accounts 2022 p.6 - https://www.oxbury.com/media/brmf2riv/annual-report-2022.pdf
*** PILLAR 3 DISCOVERY NOTE - 2026-09-15. THIS SUPERSEDES AND CORRECTS THE PREVIOUS FINDING ON THIS SHEET, WHICH WAS WRONG. ***
Three earlier passes recorded, with increasing confidence, that Oxbury had published EXACTLY ONE Pillar 3 document ever (the December 2023 edition) and that FY2024 and FY2025 were an unmet disclosure obligation. That is no longer true and the affected cells have been filled. Re-fetching https://www.oxbury.com/annual-reports/ on 2026-09-15 and extracting every href from the raw HTML returns THREE Pillar 3 PDFs, not one:
    /media/xttezclr/oxbury-bank-plc-pillar-3-2023-final.pdf   (December 2023 - already cited)
    /media/3yknkp3i/oxbury-bank-plc-pillar-3-2024.pdf         (December 2024 - NEW)
    /media/yqqdu010/oxbury-bank-plc-pillar-3-2025.pdf         (December 2025 - NEW)
Both new files were downloaded and are full text-native Pillar 3 reports of the same structure as the 2023 edition (1.23MB / 1.26MB; 163k / 167k extracted characters), titled 'Oxbury Bank Plc / Pillar 3 Disclosures / December 2024' and '... December 2025' on their own cover pages, each carrying a complete UK KM1, UK OV1, CC1, LIQ1 and LIQ2. Oxbury's year-end is 31 December, so they map to FY2024 and FY2025 directly, each with the prior year as its comparative column.
WHY THE EARLIER PASSES MISSED THEM, recorded so the lesson generalises rather than being re-learned: Oxbury's media URLs use opaque random slugs (/media/3yknkp3i/, /media/yqqdu010/), so the filenames cannot be guessed by permutation from the 2023 one, and the Wayback CDX sweep that returned '195 distinct PDFs, exactly one Pillar 3' was accurate about the ARCHIVE but the archive simply had not captured these files yet. An absence in Wayback is not an absence on the live site. The bank's own listing page was the only route to them, and it had to be re-fetched rather than relied on from a previous session's transcript - a document index is a living page, and a negative established against it expires. The previous note's USER-ACTIONABLE item (request the FY2024/FY2025 editions from the Bank) is withdrawn: they are published.</t>
        </is>
      </c>
    </row>
    <row r="9" ht="312" customHeight="1">
      <c r="A9" s="8" t="inlineStr">
        <is>
          <t>(continued)
VALIDATION GATE - PASSED, with one documented exception. The December 2024 edition's FY2023 comparative column was checked line by line against the December 2023 edition's own FY2023 column and against the figures already in this workbook. CET1 / Tier 1 capital 68,026; Tier 2 14,188; Total regulatory capital 82,214; Total RWA 426,705; CET1 ratio 15.94%; Total capital ratio 19.27%; leverage ratio 10.69%; NSFR 201.1%; OV1 credit risk 426,705 and operational risk 18,622 - ALL reproduce exactly. Nothing already in the workbook was overwritten on the strength of an unverified new source.
  THE ONE EXCEPTION IS FY2023 LCR, and it is NOT reconciled: the December 2023 edition's own FY2023 column states 545.2%, while the December 2024 edition's FY2023 comparative states 529.9% for the same date on the same stated basis ('Total high-quality liquid assets (HQLA) (Weighted value-average)'). A 15.3pp difference between two of the Bank's own documents, unexplained in either. This workbook keeps the own-year figure (545.2%) per project convention and records 529.9% here rather than averaging, splicing or silently preferring the later document. Do not 'fix' this.
KM1 'TOTAL CAPITAL' ROW IS DEFECTIVE IN ALL THREE EDITIONS - the CC1 figure is used instead, and the Bank's own printed ratios prove which is right. In every edition's UK KM1 (4.3) the 'Total capital' row simply repeats the CET1 / Tier 1 figure (FY2025 192,855; FY2024 142,312; FY2023 68,026; FY2022 45,557), omitting Tier 2 entirely - yet the same table's 'Total capital ratio (%)' is 19.39% / 23.35% / 19.27% / 18.81%, which does NOT reconcile against those numerators. It reconciles against the CC1 (4.6) 'Total regulatory capital' line, which does include Tier 2: 226,552 / 1,168,300 = 19.39%; 159,812 / 684,357 = 23.35%; 82,214 / 426,705 = 19.27%; 53,057 / 282,001 = 18.81% - all four to the printed decimal. The CC1 line is therefore used on the Total Capital sheet for every year, which also keeps FY2025/FY2024 consistent with FY2023/FY2022, already sourced that way. This is a reading of the Bank's own two tables against each other, NOT a back-solve: 226,552 and 159,812 are printed figures (CET1 192,855 + Tier 2 33,697; CET1 142,312 + Tier 2 17,500), not quotients.
WHAT THE NEW EDITIONS RESOLVE. The previous note on this sheet set out an unresolvable puzzle in the FY2025 Annual Report's Note 18 'Capital Management' - it reports 'GBP220m (2024 GBP136m)' under a CET1 label, but GBP220m exceeds FY2025 total equity (GBP210,279k Company / GBP208,311k Group) and so could not be CET1, while GBP136m sat below FY2024 equity and so could not be total capital, apparently putting two different bases in consecutive years of one sentence. That puzzle is now MOOT rather than solved: the December 2025 Pillar 3 supplies audited-template figures for both dates (CET1 192,855 / 142,312; total regulatory capital 226,552 / 159,812) and those are what the sheets carry. The Annual Report's rounded narrative figures are not used and were never used, and neither GBP220m nor GBP136m ties cleanly to either Pillar 3 basis - they are not reproduced on any sheet.</t>
        </is>
      </c>
    </row>
    <row r="11" ht="377" customHeight="1">
      <c r="A11" s="8" t="inlineStr">
        <is>
          <t>(continued)
OXBURY IS NOT SDDT-EXEMPT - THE SINGLE MOST-REPEATED ERROR ON THIS BANK, PRESERVED HERE DELIBERATELY. The PRA's consolidated register of waivers and modifications for PRA-authorised firms (downloaded 2026-09-15 from https://www.bankofengland.co.uk/-/media/boe/files/prudential-regulation/authorisations/waivers-and-modifications-of-rules/consolidated-waivers-pra-firms.csv, a UTF-16 TSV) carries three rows for FRN 834822 'Oxbury Bank PLC': Article 26(3) CRR (start 31/01/2020), Capital Buffers 5.1-5.3 (start 20/01/2025), and - the one that must NOT be misread - 'Modification of the criterion in rule 2.1(9) of the SDDT Regime - General Application Part of the PRA Rulebook (any parent undertaking of the firm is a UK undertaking)', sub-rule 'Ru 2.1(9)', ref A00012298P.pdf, start 20/05/2026. Ru 2.1(9) is an ELIGIBILITY CRITERION - it waives the UK-parent test so the firm may QUALIFY as an SDDT - and has no disclosure effect whatsoever. It is NOT Rule 3.1, the opt-in that actually removes the Pillar 3 obligation, and Oxbury holds no Ru 3.1 row at all. This is the same category error, in a third form, as conflating Article 433b (which REDUCES disclosure) with Rule 3.1 (which REMOVES it). Note also that 20/05/2026 post-dates every year in this workbook, so even a Rule 3.1 row bearing that date could not have exempted FY2021-FY2025. Oxbury was under a live Pillar 3 obligation throughout - which is exactly why the FY2024 and FY2025 editions found above were to be expected, and why their earlier apparent absence should have been treated as a search failure rather than accepted as structural.
FY2021 - ENUMERATED AND ABSENT for capital AMOUNTS and RWAs (established 2026-09-15; these cells previously stood blank, which is indistinguishable from an unresearched gap, and now read 'Not publicly disclosed'). The earliest Pillar 3 edition Oxbury has ever published is the December 2023 one, whose comparative column reaches back only to FY2022 - so no Pillar 3 template covers FY2021 on any basis, and the re-fetched listing page confirms there is no 2021 or 2022 edition to find. The two Annual Reports that cover FY2021 were then opened and read rather than searched by filename: Note 18 'Capital Management' in the 2021 report, and the identically-worded Note 18 in the 2022 report, are PURELY NARRATIVE. Verbatim, in full, that is all either says about the quantum: 'At the end of the financial year, Oxbury held Common Equity Tier 1 capital, compromised of relevant share capital and retained earnings' (2021 spelling as printed) / '...comprising of relevant share capital and retained earnings' (2022), followed by 'The comparison of the available and required capital positions are reviewed on a monthly basis.' There is no capital amount, no RWA figure, no own-funds table and no OV1 anywhere in either document. FY2021 therefore has RATIOS but no AMOUNTS, from the KPI table on p.6 only. Those amounts are NOT back-solved from the ratios - dividing a KPI percentage into anything would manufacture figures that appear in no source.
  FY2021 RATIO DIVERGENCE, recorded not reconciled: the 2021 Annual Report's own KPI table states 'CET1 / Total Capital Ratio - Dec-21  23%', while the 2022 Annual Report's comparative column for the same date states 25%. This workbook uses the own-year 23% per project convention. (The 2022 report's KPI table also prints its own FY2022 leverage ratio as '152%', which is self-evidently a misplaced decimal for 15.2% and is not used anywhere.)
FY2020, FY2019 and FY2018: no Pillar 3 or capital-ratio disclosure of any kind was found in the Companies House-filed accounts for these years, and none would be expected - the company was not yet an authorised credit institution for FY2018-FY2019, and spent all of FY2020 in the PRA's pre-launch 'mobilisation' phase with a strategic report that discusses capital raises in cash terms only, no regulatory ratios. Genuinely not disclosed, not merely unreviewed.</t>
        </is>
      </c>
    </row>
    <row r="13" ht="180" customHeight="1">
      <c r="A13" s="8" t="inlineStr">
        <is>
          <t>(continued)
ENTITY / BASIS NOTE: Oxbury Bank Plc (FRN 834822; Companies House no. 11383418) is the PRA-authorised bank and the entity covered by this workbook. The annual reports present both Group and Company columns. This workbook uses the Company/entity-level cash-flow figures throughout. The Group includes Oxbury Bank Plc and its wholly owned subsidiary Oxbury Earth Ltd (and, from FY2025, Oxbury Earth LLC); Group figures are not substituted for the Bank's own figures. The FY2025 report describes a new wider holding structure, but the legal bank entity remains Oxbury Bank Plc.
HISTORY NOTE: the company was incorporated 25 May 2018 as 'Oxbury FS Plc', a pre-launch shell building its technology platform - it renamed to Oxbury Bank Plc in mid-2020 after being authorised by the PRA/FCA as a credit institution in January 2020, then spent all of FY2020 in a regulatory 'mobilisation' phase with no lending or deposit-taking, finally launching to customers on 29 January 2021. FY2018-FY2020 are therefore genuine Oxbury financial statements (single-entity, no Group/Company split existed yet - there was no subsidiary) but reflect a pre-trading company, not a functioning bank: nil interest income, nil loans, nil customer deposits throughout. FY2018 covers a short first period (25 May 2018 - 31 Dec 2018), not a full year.</t>
        </is>
      </c>
    </row>
  </sheetData>
  <mergeCells count="5">
    <mergeCell ref="A11:F11"/>
    <mergeCell ref="A13:F13"/>
    <mergeCell ref="A5:F5"/>
    <mergeCell ref="A9:F9"/>
    <mergeCell ref="A7:F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Oxbury Bank Plc — Tier 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capital ratio</t>
        </is>
      </c>
      <c r="B4" s="6" t="inlineStr">
        <is>
          <t>16.51%</t>
        </is>
      </c>
      <c r="C4" s="6" t="inlineStr">
        <is>
          <t>20.79%</t>
        </is>
      </c>
      <c r="D4" s="6" t="inlineStr">
        <is>
          <t>15.94%</t>
        </is>
      </c>
      <c r="E4" s="6" t="inlineStr">
        <is>
          <t>16.16%</t>
        </is>
      </c>
      <c r="F4" s="6" t="inlineStr">
        <is>
          <t>23%</t>
        </is>
      </c>
    </row>
    <row r="5" ht="65" customHeight="1">
      <c r="A5" s="7" t="inlineStr">
        <is>
          <t>Note: BASIS NOTE, applying to every year: Oxbury's Pillar 3 templates print no separate Tier 1 ratio row - the KM1 gives only a CET1 ratio and a Total capital ratio. The figures here are the CET1 ratio, which is the Tier 1 ratio for this bank as an identity rather than a derivation: each edition's CC1 prints Total Tier 1 capital and Total CET1 capital as the same number (FY2025 192,855; FY2024 142,312; FY2023 68,026; FY2022 45,557) because Oxbury holds no Additional Tier 1, so the same numerator over the same denominator gives the same ratio. Nothing is computed from two other figures. FY2025/FY2024 extended 2026-09-15 from the newly-found Pillar 3 editions. FY2021 is the annual-report KPI's single combined ‘CET1 / Total Capital Ratio’ line, the only capital-ratio measure disclosed for that year. Genuinely not disclosed for FY2020-FY2018.</t>
        </is>
      </c>
    </row>
    <row r="7" ht="377" customHeight="1">
      <c r="A7" s="8" t="inlineStr">
        <is>
          <t>Sources - Oxbury Bank Plc regulatory/entity basis:
FY2025 and FY2024: Oxbury Bank Plc Pillar 3 Disclosures December 2025, p.11 (4.3 Capital Resources - UK KM1 Key Metrics), p.12 (4.4 UK OV1 risk-weighted exposure amounts; 4.5 capital surplus over Pillar 1), p.12-13 (4.6 Capital resources - CC1) - https://www.oxbury.com/media/yqqdu010/oxbury-bank-plc-pillar-3-2025.pdf
FY2024 and FY2023 (independent second source for FY2024, and the validation-gate check on FY2023): Oxbury Bank Plc Pillar 3 Disclosures December 2024, p.11 (4.3 UK KM1), p.12 (4.4 UK OV1, 4.5), p.12-13 (4.6 CC1) - https://www.oxbury.com/media/3yknkp3i/oxbury-bank-plc-pillar-3-2024.pdf
FY2023 and FY2022: Oxbury Bank Plc Pillar 3 Disclosures December 2023, pp.10-12 (4.3 UK KM1, 4.4 UK OV1, 4.6 CC1 capital resources), pp.17-18 (leverage), pp.36-40 (LCR and NSFR) - https://www.oxbury.com/media/xttezclr/oxbury-bank-plc-pillar-3-2023-final.pdf
FY2021 ratios only: Oxbury Bank Plc Annual Report and Accounts 2021, p.6 (Company Key Performance Indicators, unaudited 'CET1 / Total Capital Ratio - Dec-21', 'Leverage Ratio - Dec-21' and 'Liquidity Coverage Ratio - Dec-21') - https://www.oxbury.com/media/g5xibgrw/annual-report-2021.pdf
Annual Report point-in-time liquidity/capital KPIs (a SEPARATE basis - see the LCR sheet): Annual Report and Accounts 2025 p.6 - https://www.oxbury.com/media/e3xppqoe/2025-company-accounts.pdf; Annual Report and Accounts 2023 p.6 - https://www.oxbury.com/media/dxeb3xqx/oxbury-bank-annual-accounts-31122023.pdf; Annual Report and Accounts 2022 p.6 - https://www.oxbury.com/media/brmf2riv/annual-report-2022.pdf
*** PILLAR 3 DISCOVERY NOTE - 2026-09-15. THIS SUPERSEDES AND CORRECTS THE PREVIOUS FINDING ON THIS SHEET, WHICH WAS WRONG. ***
Three earlier passes recorded, with increasing confidence, that Oxbury had published EXACTLY ONE Pillar 3 document ever (the December 2023 edition) and that FY2024 and FY2025 were an unmet disclosure obligation. That is no longer true and the affected cells have been filled. Re-fetching https://www.oxbury.com/annual-reports/ on 2026-09-15 and extracting every href from the raw HTML returns THREE Pillar 3 PDFs, not one:
    /media/xttezclr/oxbury-bank-plc-pillar-3-2023-final.pdf   (December 2023 - already cited)
    /media/3yknkp3i/oxbury-bank-plc-pillar-3-2024.pdf         (December 2024 - NEW)
    /media/yqqdu010/oxbury-bank-plc-pillar-3-2025.pdf         (December 2025 - NEW)
Both new files were downloaded and are full text-native Pillar 3 reports of the same structure as the 2023 edition (1.23MB / 1.26MB; 163k / 167k extracted characters), titled 'Oxbury Bank Plc / Pillar 3 Disclosures / December 2024' and '... December 2025' on their own cover pages, each carrying a complete UK KM1, UK OV1, CC1, LIQ1 and LIQ2. Oxbury's year-end is 31 December, so they map to FY2024 and FY2025 directly, each with the prior year as its comparative column.
WHY THE EARLIER PASSES MISSED THEM, recorded so the lesson generalises rather than being re-learned: Oxbury's media URLs use opaque random slugs (/media/3yknkp3i/, /media/yqqdu010/), so the filenames cannot be guessed by permutation from the 2023 one, and the Wayback CDX sweep that returned '195 distinct PDFs, exactly one Pillar 3' was accurate about the ARCHIVE but the archive simply had not captured these files yet. An absence in Wayback is not an absence on the live site. The bank's own listing page was the only route to them, and it had to be re-fetched rather than relied on from a previous session's transcript - a document index is a living page, and a negative established against it expires. The previous note's USER-ACTIONABLE item (request the FY2024/FY2025 editions from the Bank) is withdrawn: they are published.</t>
        </is>
      </c>
    </row>
    <row r="9" ht="312" customHeight="1">
      <c r="A9" s="8" t="inlineStr">
        <is>
          <t>(continued)
VALIDATION GATE - PASSED, with one documented exception. The December 2024 edition's FY2023 comparative column was checked line by line against the December 2023 edition's own FY2023 column and against the figures already in this workbook. CET1 / Tier 1 capital 68,026; Tier 2 14,188; Total regulatory capital 82,214; Total RWA 426,705; CET1 ratio 15.94%; Total capital ratio 19.27%; leverage ratio 10.69%; NSFR 201.1%; OV1 credit risk 426,705 and operational risk 18,622 - ALL reproduce exactly. Nothing already in the workbook was overwritten on the strength of an unverified new source.
  THE ONE EXCEPTION IS FY2023 LCR, and it is NOT reconciled: the December 2023 edition's own FY2023 column states 545.2%, while the December 2024 edition's FY2023 comparative states 529.9% for the same date on the same stated basis ('Total high-quality liquid assets (HQLA) (Weighted value-average)'). A 15.3pp difference between two of the Bank's own documents, unexplained in either. This workbook keeps the own-year figure (545.2%) per project convention and records 529.9% here rather than averaging, splicing or silently preferring the later document. Do not 'fix' this.
KM1 'TOTAL CAPITAL' ROW IS DEFECTIVE IN ALL THREE EDITIONS - the CC1 figure is used instead, and the Bank's own printed ratios prove which is right. In every edition's UK KM1 (4.3) the 'Total capital' row simply repeats the CET1 / Tier 1 figure (FY2025 192,855; FY2024 142,312; FY2023 68,026; FY2022 45,557), omitting Tier 2 entirely - yet the same table's 'Total capital ratio (%)' is 19.39% / 23.35% / 19.27% / 18.81%, which does NOT reconcile against those numerators. It reconciles against the CC1 (4.6) 'Total regulatory capital' line, which does include Tier 2: 226,552 / 1,168,300 = 19.39%; 159,812 / 684,357 = 23.35%; 82,214 / 426,705 = 19.27%; 53,057 / 282,001 = 18.81% - all four to the printed decimal. The CC1 line is therefore used on the Total Capital sheet for every year, which also keeps FY2025/FY2024 consistent with FY2023/FY2022, already sourced that way. This is a reading of the Bank's own two tables against each other, NOT a back-solve: 226,552 and 159,812 are printed figures (CET1 192,855 + Tier 2 33,697; CET1 142,312 + Tier 2 17,500), not quotients.
WHAT THE NEW EDITIONS RESOLVE. The previous note on this sheet set out an unresolvable puzzle in the FY2025 Annual Report's Note 18 'Capital Management' - it reports 'GBP220m (2024 GBP136m)' under a CET1 label, but GBP220m exceeds FY2025 total equity (GBP210,279k Company / GBP208,311k Group) and so could not be CET1, while GBP136m sat below FY2024 equity and so could not be total capital, apparently putting two different bases in consecutive years of one sentence. That puzzle is now MOOT rather than solved: the December 2025 Pillar 3 supplies audited-template figures for both dates (CET1 192,855 / 142,312; total regulatory capital 226,552 / 159,812) and those are what the sheets carry. The Annual Report's rounded narrative figures are not used and were never used, and neither GBP220m nor GBP136m ties cleanly to either Pillar 3 basis - they are not reproduced on any sheet.</t>
        </is>
      </c>
    </row>
    <row r="11" ht="377" customHeight="1">
      <c r="A11" s="8" t="inlineStr">
        <is>
          <t>(continued)
OXBURY IS NOT SDDT-EXEMPT - THE SINGLE MOST-REPEATED ERROR ON THIS BANK, PRESERVED HERE DELIBERATELY. The PRA's consolidated register of waivers and modifications for PRA-authorised firms (downloaded 2026-09-15 from https://www.bankofengland.co.uk/-/media/boe/files/prudential-regulation/authorisations/waivers-and-modifications-of-rules/consolidated-waivers-pra-firms.csv, a UTF-16 TSV) carries three rows for FRN 834822 'Oxbury Bank PLC': Article 26(3) CRR (start 31/01/2020), Capital Buffers 5.1-5.3 (start 20/01/2025), and - the one that must NOT be misread - 'Modification of the criterion in rule 2.1(9) of the SDDT Regime - General Application Part of the PRA Rulebook (any parent undertaking of the firm is a UK undertaking)', sub-rule 'Ru 2.1(9)', ref A00012298P.pdf, start 20/05/2026. Ru 2.1(9) is an ELIGIBILITY CRITERION - it waives the UK-parent test so the firm may QUALIFY as an SDDT - and has no disclosure effect whatsoever. It is NOT Rule 3.1, the opt-in that actually removes the Pillar 3 obligation, and Oxbury holds no Ru 3.1 row at all. This is the same category error, in a third form, as conflating Article 433b (which REDUCES disclosure) with Rule 3.1 (which REMOVES it). Note also that 20/05/2026 post-dates every year in this workbook, so even a Rule 3.1 row bearing that date could not have exempted FY2021-FY2025. Oxbury was under a live Pillar 3 obligation throughout - which is exactly why the FY2024 and FY2025 editions found above were to be expected, and why their earlier apparent absence should have been treated as a search failure rather than accepted as structural.
FY2021 - ENUMERATED AND ABSENT for capital AMOUNTS and RWAs (established 2026-09-15; these cells previously stood blank, which is indistinguishable from an unresearched gap, and now read 'Not publicly disclosed'). The earliest Pillar 3 edition Oxbury has ever published is the December 2023 one, whose comparative column reaches back only to FY2022 - so no Pillar 3 template covers FY2021 on any basis, and the re-fetched listing page confirms there is no 2021 or 2022 edition to find. The two Annual Reports that cover FY2021 were then opened and read rather than searched by filename: Note 18 'Capital Management' in the 2021 report, and the identically-worded Note 18 in the 2022 report, are PURELY NARRATIVE. Verbatim, in full, that is all either says about the quantum: 'At the end of the financial year, Oxbury held Common Equity Tier 1 capital, compromised of relevant share capital and retained earnings' (2021 spelling as printed) / '...comprising of relevant share capital and retained earnings' (2022), followed by 'The comparison of the available and required capital positions are reviewed on a monthly basis.' There is no capital amount, no RWA figure, no own-funds table and no OV1 anywhere in either document. FY2021 therefore has RATIOS but no AMOUNTS, from the KPI table on p.6 only. Those amounts are NOT back-solved from the ratios - dividing a KPI percentage into anything would manufacture figures that appear in no source.
  FY2021 RATIO DIVERGENCE, recorded not reconciled: the 2021 Annual Report's own KPI table states 'CET1 / Total Capital Ratio - Dec-21  23%', while the 2022 Annual Report's comparative column for the same date states 25%. This workbook uses the own-year 23% per project convention. (The 2022 report's KPI table also prints its own FY2022 leverage ratio as '152%', which is self-evidently a misplaced decimal for 15.2% and is not used anywhere.)
FY2020, FY2019 and FY2018: no Pillar 3 or capital-ratio disclosure of any kind was found in the Companies House-filed accounts for these years, and none would be expected - the company was not yet an authorised credit institution for FY2018-FY2019, and spent all of FY2020 in the PRA's pre-launch 'mobilisation' phase with a strategic report that discusses capital raises in cash terms only, no regulatory ratios. Genuinely not disclosed, not merely unreviewed.</t>
        </is>
      </c>
    </row>
    <row r="13" ht="180" customHeight="1">
      <c r="A13" s="8" t="inlineStr">
        <is>
          <t>(continued)
ENTITY / BASIS NOTE: Oxbury Bank Plc (FRN 834822; Companies House no. 11383418) is the PRA-authorised bank and the entity covered by this workbook. The annual reports present both Group and Company columns. This workbook uses the Company/entity-level cash-flow figures throughout. The Group includes Oxbury Bank Plc and its wholly owned subsidiary Oxbury Earth Ltd (and, from FY2025, Oxbury Earth LLC); Group figures are not substituted for the Bank's own figures. The FY2025 report describes a new wider holding structure, but the legal bank entity remains Oxbury Bank Plc.
HISTORY NOTE: the company was incorporated 25 May 2018 as 'Oxbury FS Plc', a pre-launch shell building its technology platform - it renamed to Oxbury Bank Plc in mid-2020 after being authorised by the PRA/FCA as a credit institution in January 2020, then spent all of FY2020 in a regulatory 'mobilisation' phase with no lending or deposit-taking, finally launching to customers on 29 January 2021. FY2018-FY2020 are therefore genuine Oxbury financial statements (single-entity, no Group/Company split existed yet - there was no subsidiary) but reflect a pre-trading company, not a functioning bank: nil interest income, nil loans, nil customer deposits throughout. FY2018 covers a short first period (25 May 2018 - 31 Dec 2018), not a full year.</t>
        </is>
      </c>
    </row>
  </sheetData>
  <mergeCells count="5">
    <mergeCell ref="A11:F11"/>
    <mergeCell ref="A13:F13"/>
    <mergeCell ref="A5:F5"/>
    <mergeCell ref="A9:F9"/>
    <mergeCell ref="A7:F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Oxbury Bank Plc — Total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regulatory capital</t>
        </is>
      </c>
      <c r="B4" s="6" t="n">
        <v>226552</v>
      </c>
      <c r="C4" s="6" t="n">
        <v>159812</v>
      </c>
      <c r="D4" s="6" t="n">
        <v>82214</v>
      </c>
      <c r="E4" s="6" t="n">
        <v>53057</v>
      </c>
      <c r="F4" s="6" t="inlineStr">
        <is>
          <t>Not published – 2021 and 2022 Annual Reports' Note 18 'Capital Management' is narrative only (no amounts); earliest Pillar 3 (Dec 2023) reaches back only to FY2022</t>
        </is>
      </c>
    </row>
    <row r="5">
      <c r="A5" s="6" t="inlineStr">
        <is>
          <t>of which: Total Tier 2 capital (subordinated debt)</t>
        </is>
      </c>
      <c r="B5" s="6" t="n">
        <v>33697</v>
      </c>
      <c r="C5" s="6" t="n">
        <v>17500</v>
      </c>
      <c r="D5" s="6" t="n">
        <v>14188</v>
      </c>
      <c r="E5" s="6" t="n">
        <v>7500</v>
      </c>
      <c r="F5" s="6" t="inlineStr">
        <is>
          <t>Not published – 2021 and 2022 Annual Reports' Note 18 'Capital Management' is narrative only (no amounts); earliest Pillar 3 (Dec 2023) reaches back only to FY2022</t>
        </is>
      </c>
    </row>
    <row r="6" ht="65" customHeight="1">
      <c r="A6" s="7" t="inlineStr">
        <is>
          <t>Note: FY2025 and FY2024 RECOVERED 2026-09-15 and previously blank. IMPORTANT - these come from the CC1 table's 'Total regulatory capital' line, NOT from the KM1 'Total capital' row, which is defective in all three Pillar 3 editions: KM1 simply repeats the CET1 figure and omits Tier 2 altogether. The Bank's own printed Total capital ratio settles which is right - 226,552/1,168,300 = 19.39% and 159,812/684,357 = 23.35%, both matching the printed percentages to the decimal, whereas the KM1 numerators do not. The second row breaks out the Tier 2 component so the composition is visible; it is the CC1 'Total Tier 2 capital' line (subordinated debt) and is printed, not inferred. FY2021 is an enumerated negative - see the CET1 Capital sheet's note. Genuinely not disclosed for FY2020-FY2018.</t>
        </is>
      </c>
    </row>
    <row r="8" ht="377" customHeight="1">
      <c r="A8" s="8" t="inlineStr">
        <is>
          <t>Sources - Oxbury Bank Plc regulatory/entity basis:
FY2025 and FY2024: Oxbury Bank Plc Pillar 3 Disclosures December 2025, p.11 (4.3 Capital Resources - UK KM1 Key Metrics), p.12 (4.4 UK OV1 risk-weighted exposure amounts; 4.5 capital surplus over Pillar 1), p.12-13 (4.6 Capital resources - CC1) - https://www.oxbury.com/media/yqqdu010/oxbury-bank-plc-pillar-3-2025.pdf
FY2024 and FY2023 (independent second source for FY2024, and the validation-gate check on FY2023): Oxbury Bank Plc Pillar 3 Disclosures December 2024, p.11 (4.3 UK KM1), p.12 (4.4 UK OV1, 4.5), p.12-13 (4.6 CC1) - https://www.oxbury.com/media/3yknkp3i/oxbury-bank-plc-pillar-3-2024.pdf
FY2023 and FY2022: Oxbury Bank Plc Pillar 3 Disclosures December 2023, pp.10-12 (4.3 UK KM1, 4.4 UK OV1, 4.6 CC1 capital resources), pp.17-18 (leverage), pp.36-40 (LCR and NSFR) - https://www.oxbury.com/media/xttezclr/oxbury-bank-plc-pillar-3-2023-final.pdf
FY2021 ratios only: Oxbury Bank Plc Annual Report and Accounts 2021, p.6 (Company Key Performance Indicators, unaudited 'CET1 / Total Capital Ratio - Dec-21', 'Leverage Ratio - Dec-21' and 'Liquidity Coverage Ratio - Dec-21') - https://www.oxbury.com/media/g5xibgrw/annual-report-2021.pdf
Annual Report point-in-time liquidity/capital KPIs (a SEPARATE basis - see the LCR sheet): Annual Report and Accounts 2025 p.6 - https://www.oxbury.com/media/e3xppqoe/2025-company-accounts.pdf; Annual Report and Accounts 2023 p.6 - https://www.oxbury.com/media/dxeb3xqx/oxbury-bank-annual-accounts-31122023.pdf; Annual Report and Accounts 2022 p.6 - https://www.oxbury.com/media/brmf2riv/annual-report-2022.pdf
*** PILLAR 3 DISCOVERY NOTE - 2026-09-15. THIS SUPERSEDES AND CORRECTS THE PREVIOUS FINDING ON THIS SHEET, WHICH WAS WRONG. ***
Three earlier passes recorded, with increasing confidence, that Oxbury had published EXACTLY ONE Pillar 3 document ever (the December 2023 edition) and that FY2024 and FY2025 were an unmet disclosure obligation. That is no longer true and the affected cells have been filled. Re-fetching https://www.oxbury.com/annual-reports/ on 2026-09-15 and extracting every href from the raw HTML returns THREE Pillar 3 PDFs, not one:
    /media/xttezclr/oxbury-bank-plc-pillar-3-2023-final.pdf   (December 2023 - already cited)
    /media/3yknkp3i/oxbury-bank-plc-pillar-3-2024.pdf         (December 2024 - NEW)
    /media/yqqdu010/oxbury-bank-plc-pillar-3-2025.pdf         (December 2025 - NEW)
Both new files were downloaded and are full text-native Pillar 3 reports of the same structure as the 2023 edition (1.23MB / 1.26MB; 163k / 167k extracted characters), titled 'Oxbury Bank Plc / Pillar 3 Disclosures / December 2024' and '... December 2025' on their own cover pages, each carrying a complete UK KM1, UK OV1, CC1, LIQ1 and LIQ2. Oxbury's year-end is 31 December, so they map to FY2024 and FY2025 directly, each with the prior year as its comparative column.
WHY THE EARLIER PASSES MISSED THEM, recorded so the lesson generalises rather than being re-learned: Oxbury's media URLs use opaque random slugs (/media/3yknkp3i/, /media/yqqdu010/), so the filenames cannot be guessed by permutation from the 2023 one, and the Wayback CDX sweep that returned '195 distinct PDFs, exactly one Pillar 3' was accurate about the ARCHIVE but the archive simply had not captured these files yet. An absence in Wayback is not an absence on the live site. The bank's own listing page was the only route to them, and it had to be re-fetched rather than relied on from a previous session's transcript - a document index is a living page, and a negative established against it expires. The previous note's USER-ACTIONABLE item (request the FY2024/FY2025 editions from the Bank) is withdrawn: they are published.</t>
        </is>
      </c>
    </row>
    <row r="10" ht="312" customHeight="1">
      <c r="A10" s="8" t="inlineStr">
        <is>
          <t>(continued)
VALIDATION GATE - PASSED, with one documented exception. The December 2024 edition's FY2023 comparative column was checked line by line against the December 2023 edition's own FY2023 column and against the figures already in this workbook. CET1 / Tier 1 capital 68,026; Tier 2 14,188; Total regulatory capital 82,214; Total RWA 426,705; CET1 ratio 15.94%; Total capital ratio 19.27%; leverage ratio 10.69%; NSFR 201.1%; OV1 credit risk 426,705 and operational risk 18,622 - ALL reproduce exactly. Nothing already in the workbook was overwritten on the strength of an unverified new source.
  THE ONE EXCEPTION IS FY2023 LCR, and it is NOT reconciled: the December 2023 edition's own FY2023 column states 545.2%, while the December 2024 edition's FY2023 comparative states 529.9% for the same date on the same stated basis ('Total high-quality liquid assets (HQLA) (Weighted value-average)'). A 15.3pp difference between two of the Bank's own documents, unexplained in either. This workbook keeps the own-year figure (545.2%) per project convention and records 529.9% here rather than averaging, splicing or silently preferring the later document. Do not 'fix' this.
KM1 'TOTAL CAPITAL' ROW IS DEFECTIVE IN ALL THREE EDITIONS - the CC1 figure is used instead, and the Bank's own printed ratios prove which is right. In every edition's UK KM1 (4.3) the 'Total capital' row simply repeats the CET1 / Tier 1 figure (FY2025 192,855; FY2024 142,312; FY2023 68,026; FY2022 45,557), omitting Tier 2 entirely - yet the same table's 'Total capital ratio (%)' is 19.39% / 23.35% / 19.27% / 18.81%, which does NOT reconcile against those numerators. It reconciles against the CC1 (4.6) 'Total regulatory capital' line, which does include Tier 2: 226,552 / 1,168,300 = 19.39%; 159,812 / 684,357 = 23.35%; 82,214 / 426,705 = 19.27%; 53,057 / 282,001 = 18.81% - all four to the printed decimal. The CC1 line is therefore used on the Total Capital sheet for every year, which also keeps FY2025/FY2024 consistent with FY2023/FY2022, already sourced that way. This is a reading of the Bank's own two tables against each other, NOT a back-solve: 226,552 and 159,812 are printed figures (CET1 192,855 + Tier 2 33,697; CET1 142,312 + Tier 2 17,500), not quotients.
WHAT THE NEW EDITIONS RESOLVE. The previous note on this sheet set out an unresolvable puzzle in the FY2025 Annual Report's Note 18 'Capital Management' - it reports 'GBP220m (2024 GBP136m)' under a CET1 label, but GBP220m exceeds FY2025 total equity (GBP210,279k Company / GBP208,311k Group) and so could not be CET1, while GBP136m sat below FY2024 equity and so could not be total capital, apparently putting two different bases in consecutive years of one sentence. That puzzle is now MOOT rather than solved: the December 2025 Pillar 3 supplies audited-template figures for both dates (CET1 192,855 / 142,312; total regulatory capital 226,552 / 159,812) and those are what the sheets carry. The Annual Report's rounded narrative figures are not used and were never used, and neither GBP220m nor GBP136m ties cleanly to either Pillar 3 basis - they are not reproduced on any sheet.</t>
        </is>
      </c>
    </row>
    <row r="12" ht="377" customHeight="1">
      <c r="A12" s="8" t="inlineStr">
        <is>
          <t>(continued)
OXBURY IS NOT SDDT-EXEMPT - THE SINGLE MOST-REPEATED ERROR ON THIS BANK, PRESERVED HERE DELIBERATELY. The PRA's consolidated register of waivers and modifications for PRA-authorised firms (downloaded 2026-09-15 from https://www.bankofengland.co.uk/-/media/boe/files/prudential-regulation/authorisations/waivers-and-modifications-of-rules/consolidated-waivers-pra-firms.csv, a UTF-16 TSV) carries three rows for FRN 834822 'Oxbury Bank PLC': Article 26(3) CRR (start 31/01/2020), Capital Buffers 5.1-5.3 (start 20/01/2025), and - the one that must NOT be misread - 'Modification of the criterion in rule 2.1(9) of the SDDT Regime - General Application Part of the PRA Rulebook (any parent undertaking of the firm is a UK undertaking)', sub-rule 'Ru 2.1(9)', ref A00012298P.pdf, start 20/05/2026. Ru 2.1(9) is an ELIGIBILITY CRITERION - it waives the UK-parent test so the firm may QUALIFY as an SDDT - and has no disclosure effect whatsoever. It is NOT Rule 3.1, the opt-in that actually removes the Pillar 3 obligation, and Oxbury holds no Ru 3.1 row at all. This is the same category error, in a third form, as conflating Article 433b (which REDUCES disclosure) with Rule 3.1 (which REMOVES it). Note also that 20/05/2026 post-dates every year in this workbook, so even a Rule 3.1 row bearing that date could not have exempted FY2021-FY2025. Oxbury was under a live Pillar 3 obligation throughout - which is exactly why the FY2024 and FY2025 editions found above were to be expected, and why their earlier apparent absence should have been treated as a search failure rather than accepted as structural.
FY2021 - ENUMERATED AND ABSENT for capital AMOUNTS and RWAs (established 2026-09-15; these cells previously stood blank, which is indistinguishable from an unresearched gap, and now read 'Not publicly disclosed'). The earliest Pillar 3 edition Oxbury has ever published is the December 2023 one, whose comparative column reaches back only to FY2022 - so no Pillar 3 template covers FY2021 on any basis, and the re-fetched listing page confirms there is no 2021 or 2022 edition to find. The two Annual Reports that cover FY2021 were then opened and read rather than searched by filename: Note 18 'Capital Management' in the 2021 report, and the identically-worded Note 18 in the 2022 report, are PURELY NARRATIVE. Verbatim, in full, that is all either says about the quantum: 'At the end of the financial year, Oxbury held Common Equity Tier 1 capital, compromised of relevant share capital and retained earnings' (2021 spelling as printed) / '...comprising of relevant share capital and retained earnings' (2022), followed by 'The comparison of the available and required capital positions are reviewed on a monthly basis.' There is no capital amount, no RWA figure, no own-funds table and no OV1 anywhere in either document. FY2021 therefore has RATIOS but no AMOUNTS, from the KPI table on p.6 only. Those amounts are NOT back-solved from the ratios - dividing a KPI percentage into anything would manufacture figures that appear in no source.
  FY2021 RATIO DIVERGENCE, recorded not reconciled: the 2021 Annual Report's own KPI table states 'CET1 / Total Capital Ratio - Dec-21  23%', while the 2022 Annual Report's comparative column for the same date states 25%. This workbook uses the own-year 23% per project convention. (The 2022 report's KPI table also prints its own FY2022 leverage ratio as '152%', which is self-evidently a misplaced decimal for 15.2% and is not used anywhere.)
FY2020, FY2019 and FY2018: no Pillar 3 or capital-ratio disclosure of any kind was found in the Companies House-filed accounts for these years, and none would be expected - the company was not yet an authorised credit institution for FY2018-FY2019, and spent all of FY2020 in the PRA's pre-launch 'mobilisation' phase with a strategic report that discusses capital raises in cash terms only, no regulatory ratios. Genuinely not disclosed, not merely unreviewed.</t>
        </is>
      </c>
    </row>
    <row r="14" ht="180" customHeight="1">
      <c r="A14" s="8" t="inlineStr">
        <is>
          <t>(continued)
ENTITY / BASIS NOTE: Oxbury Bank Plc (FRN 834822; Companies House no. 11383418) is the PRA-authorised bank and the entity covered by this workbook. The annual reports present both Group and Company columns. This workbook uses the Company/entity-level cash-flow figures throughout. The Group includes Oxbury Bank Plc and its wholly owned subsidiary Oxbury Earth Ltd (and, from FY2025, Oxbury Earth LLC); Group figures are not substituted for the Bank's own figures. The FY2025 report describes a new wider holding structure, but the legal bank entity remains Oxbury Bank Plc.
HISTORY NOTE: the company was incorporated 25 May 2018 as 'Oxbury FS Plc', a pre-launch shell building its technology platform - it renamed to Oxbury Bank Plc in mid-2020 after being authorised by the PRA/FCA as a credit institution in January 2020, then spent all of FY2020 in a regulatory 'mobilisation' phase with no lending or deposit-taking, finally launching to customers on 29 January 2021. FY2018-FY2020 are therefore genuine Oxbury financial statements (single-entity, no Group/Company split existed yet - there was no subsidiary) but reflect a pre-trading company, not a functioning bank: nil interest income, nil loans, nil customer deposits throughout. FY2018 covers a short first period (25 May 2018 - 31 Dec 2018), not a full year.</t>
        </is>
      </c>
    </row>
  </sheetData>
  <mergeCells count="5">
    <mergeCell ref="A10:F10"/>
    <mergeCell ref="A14:F14"/>
    <mergeCell ref="A8:F8"/>
    <mergeCell ref="A6:F6"/>
    <mergeCell ref="A12:F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Oxbury Bank Plc — Total Capital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 ratio</t>
        </is>
      </c>
      <c r="B4" s="6" t="inlineStr">
        <is>
          <t>19.39%</t>
        </is>
      </c>
      <c r="C4" s="6" t="inlineStr">
        <is>
          <t>23.35%</t>
        </is>
      </c>
      <c r="D4" s="6" t="inlineStr">
        <is>
          <t>19.27%</t>
        </is>
      </c>
      <c r="E4" s="6" t="inlineStr">
        <is>
          <t>18.81%</t>
        </is>
      </c>
      <c r="F4" s="6" t="inlineStr">
        <is>
          <t>23%</t>
        </is>
      </c>
    </row>
    <row r="5" ht="65" customHeight="1">
      <c r="A5" s="7" t="inlineStr">
        <is>
          <t>Note: FY2025 and FY2024 REPLACED 2026-09-15. They previously read 18.8% and 22.5%, the rounded Company Key Performance Indicators from the Annual Report; they now read 19.39% and 23.35%, the Pillar 3 KM1/CC1 figures from the newly-found December 2025 and December 2024 editions. This is not a correction of an error - the AR KPI is defined in its own footnote as 'Total Available Regulatory Capital / Total Risk Weighted Assets', the same measure - but the Pillar 3 template is the primary regulatory source and is stated to two decimals, so the whole row now sits on one basis for FY2022-FY2025 instead of switching sources mid-row. Both Pillar 3 editions agree on FY2024. FY2021 remains the annual-report KPI's single combined ‘CET1 / Total Capital Ratio’ line. Genuinely not disclosed for FY2020-FY2018.</t>
        </is>
      </c>
    </row>
    <row r="7" ht="377" customHeight="1">
      <c r="A7" s="8" t="inlineStr">
        <is>
          <t>Sources - Oxbury Bank Plc regulatory/entity basis:
FY2025 and FY2024: Oxbury Bank Plc Pillar 3 Disclosures December 2025, p.11 (4.3 Capital Resources - UK KM1 Key Metrics), p.12 (4.4 UK OV1 risk-weighted exposure amounts; 4.5 capital surplus over Pillar 1), p.12-13 (4.6 Capital resources - CC1) - https://www.oxbury.com/media/yqqdu010/oxbury-bank-plc-pillar-3-2025.pdf
FY2024 and FY2023 (independent second source for FY2024, and the validation-gate check on FY2023): Oxbury Bank Plc Pillar 3 Disclosures December 2024, p.11 (4.3 UK KM1), p.12 (4.4 UK OV1, 4.5), p.12-13 (4.6 CC1) - https://www.oxbury.com/media/3yknkp3i/oxbury-bank-plc-pillar-3-2024.pdf
FY2023 and FY2022: Oxbury Bank Plc Pillar 3 Disclosures December 2023, pp.10-12 (4.3 UK KM1, 4.4 UK OV1, 4.6 CC1 capital resources), pp.17-18 (leverage), pp.36-40 (LCR and NSFR) - https://www.oxbury.com/media/xttezclr/oxbury-bank-plc-pillar-3-2023-final.pdf
FY2021 ratios only: Oxbury Bank Plc Annual Report and Accounts 2021, p.6 (Company Key Performance Indicators, unaudited 'CET1 / Total Capital Ratio - Dec-21', 'Leverage Ratio - Dec-21' and 'Liquidity Coverage Ratio - Dec-21') - https://www.oxbury.com/media/g5xibgrw/annual-report-2021.pdf
Annual Report point-in-time liquidity/capital KPIs (a SEPARATE basis - see the LCR sheet): Annual Report and Accounts 2025 p.6 - https://www.oxbury.com/media/e3xppqoe/2025-company-accounts.pdf; Annual Report and Accounts 2023 p.6 - https://www.oxbury.com/media/dxeb3xqx/oxbury-bank-annual-accounts-31122023.pdf; Annual Report and Accounts 2022 p.6 - https://www.oxbury.com/media/brmf2riv/annual-report-2022.pdf
*** PILLAR 3 DISCOVERY NOTE - 2026-09-15. THIS SUPERSEDES AND CORRECTS THE PREVIOUS FINDING ON THIS SHEET, WHICH WAS WRONG. ***
Three earlier passes recorded, with increasing confidence, that Oxbury had published EXACTLY ONE Pillar 3 document ever (the December 2023 edition) and that FY2024 and FY2025 were an unmet disclosure obligation. That is no longer true and the affected cells have been filled. Re-fetching https://www.oxbury.com/annual-reports/ on 2026-09-15 and extracting every href from the raw HTML returns THREE Pillar 3 PDFs, not one:
    /media/xttezclr/oxbury-bank-plc-pillar-3-2023-final.pdf   (December 2023 - already cited)
    /media/3yknkp3i/oxbury-bank-plc-pillar-3-2024.pdf         (December 2024 - NEW)
    /media/yqqdu010/oxbury-bank-plc-pillar-3-2025.pdf         (December 2025 - NEW)
Both new files were downloaded and are full text-native Pillar 3 reports of the same structure as the 2023 edition (1.23MB / 1.26MB; 163k / 167k extracted characters), titled 'Oxbury Bank Plc / Pillar 3 Disclosures / December 2024' and '... December 2025' on their own cover pages, each carrying a complete UK KM1, UK OV1, CC1, LIQ1 and LIQ2. Oxbury's year-end is 31 December, so they map to FY2024 and FY2025 directly, each with the prior year as its comparative column.
WHY THE EARLIER PASSES MISSED THEM, recorded so the lesson generalises rather than being re-learned: Oxbury's media URLs use opaque random slugs (/media/3yknkp3i/, /media/yqqdu010/), so the filenames cannot be guessed by permutation from the 2023 one, and the Wayback CDX sweep that returned '195 distinct PDFs, exactly one Pillar 3' was accurate about the ARCHIVE but the archive simply had not captured these files yet. An absence in Wayback is not an absence on the live site. The bank's own listing page was the only route to them, and it had to be re-fetched rather than relied on from a previous session's transcript - a document index is a living page, and a negative established against it expires. The previous note's USER-ACTIONABLE item (request the FY2024/FY2025 editions from the Bank) is withdrawn: they are published.</t>
        </is>
      </c>
    </row>
    <row r="9" ht="312" customHeight="1">
      <c r="A9" s="8" t="inlineStr">
        <is>
          <t>(continued)
VALIDATION GATE - PASSED, with one documented exception. The December 2024 edition's FY2023 comparative column was checked line by line against the December 2023 edition's own FY2023 column and against the figures already in this workbook. CET1 / Tier 1 capital 68,026; Tier 2 14,188; Total regulatory capital 82,214; Total RWA 426,705; CET1 ratio 15.94%; Total capital ratio 19.27%; leverage ratio 10.69%; NSFR 201.1%; OV1 credit risk 426,705 and operational risk 18,622 - ALL reproduce exactly. Nothing already in the workbook was overwritten on the strength of an unverified new source.
  THE ONE EXCEPTION IS FY2023 LCR, and it is NOT reconciled: the December 2023 edition's own FY2023 column states 545.2%, while the December 2024 edition's FY2023 comparative states 529.9% for the same date on the same stated basis ('Total high-quality liquid assets (HQLA) (Weighted value-average)'). A 15.3pp difference between two of the Bank's own documents, unexplained in either. This workbook keeps the own-year figure (545.2%) per project convention and records 529.9% here rather than averaging, splicing or silently preferring the later document. Do not 'fix' this.
KM1 'TOTAL CAPITAL' ROW IS DEFECTIVE IN ALL THREE EDITIONS - the CC1 figure is used instead, and the Bank's own printed ratios prove which is right. In every edition's UK KM1 (4.3) the 'Total capital' row simply repeats the CET1 / Tier 1 figure (FY2025 192,855; FY2024 142,312; FY2023 68,026; FY2022 45,557), omitting Tier 2 entirely - yet the same table's 'Total capital ratio (%)' is 19.39% / 23.35% / 19.27% / 18.81%, which does NOT reconcile against those numerators. It reconciles against the CC1 (4.6) 'Total regulatory capital' line, which does include Tier 2: 226,552 / 1,168,300 = 19.39%; 159,812 / 684,357 = 23.35%; 82,214 / 426,705 = 19.27%; 53,057 / 282,001 = 18.81% - all four to the printed decimal. The CC1 line is therefore used on the Total Capital sheet for every year, which also keeps FY2025/FY2024 consistent with FY2023/FY2022, already sourced that way. This is a reading of the Bank's own two tables against each other, NOT a back-solve: 226,552 and 159,812 are printed figures (CET1 192,855 + Tier 2 33,697; CET1 142,312 + Tier 2 17,500), not quotients.
WHAT THE NEW EDITIONS RESOLVE. The previous note on this sheet set out an unresolvable puzzle in the FY2025 Annual Report's Note 18 'Capital Management' - it reports 'GBP220m (2024 GBP136m)' under a CET1 label, but GBP220m exceeds FY2025 total equity (GBP210,279k Company / GBP208,311k Group) and so could not be CET1, while GBP136m sat below FY2024 equity and so could not be total capital, apparently putting two different bases in consecutive years of one sentence. That puzzle is now MOOT rather than solved: the December 2025 Pillar 3 supplies audited-template figures for both dates (CET1 192,855 / 142,312; total regulatory capital 226,552 / 159,812) and those are what the sheets carry. The Annual Report's rounded narrative figures are not used and were never used, and neither GBP220m nor GBP136m ties cleanly to either Pillar 3 basis - they are not reproduced on any sheet.</t>
        </is>
      </c>
    </row>
    <row r="11" ht="377" customHeight="1">
      <c r="A11" s="8" t="inlineStr">
        <is>
          <t>(continued)
OXBURY IS NOT SDDT-EXEMPT - THE SINGLE MOST-REPEATED ERROR ON THIS BANK, PRESERVED HERE DELIBERATELY. The PRA's consolidated register of waivers and modifications for PRA-authorised firms (downloaded 2026-09-15 from https://www.bankofengland.co.uk/-/media/boe/files/prudential-regulation/authorisations/waivers-and-modifications-of-rules/consolidated-waivers-pra-firms.csv, a UTF-16 TSV) carries three rows for FRN 834822 'Oxbury Bank PLC': Article 26(3) CRR (start 31/01/2020), Capital Buffers 5.1-5.3 (start 20/01/2025), and - the one that must NOT be misread - 'Modification of the criterion in rule 2.1(9) of the SDDT Regime - General Application Part of the PRA Rulebook (any parent undertaking of the firm is a UK undertaking)', sub-rule 'Ru 2.1(9)', ref A00012298P.pdf, start 20/05/2026. Ru 2.1(9) is an ELIGIBILITY CRITERION - it waives the UK-parent test so the firm may QUALIFY as an SDDT - and has no disclosure effect whatsoever. It is NOT Rule 3.1, the opt-in that actually removes the Pillar 3 obligation, and Oxbury holds no Ru 3.1 row at all. This is the same category error, in a third form, as conflating Article 433b (which REDUCES disclosure) with Rule 3.1 (which REMOVES it). Note also that 20/05/2026 post-dates every year in this workbook, so even a Rule 3.1 row bearing that date could not have exempted FY2021-FY2025. Oxbury was under a live Pillar 3 obligation throughout - which is exactly why the FY2024 and FY2025 editions found above were to be expected, and why their earlier apparent absence should have been treated as a search failure rather than accepted as structural.
FY2021 - ENUMERATED AND ABSENT for capital AMOUNTS and RWAs (established 2026-09-15; these cells previously stood blank, which is indistinguishable from an unresearched gap, and now read 'Not publicly disclosed'). The earliest Pillar 3 edition Oxbury has ever published is the December 2023 one, whose comparative column reaches back only to FY2022 - so no Pillar 3 template covers FY2021 on any basis, and the re-fetched listing page confirms there is no 2021 or 2022 edition to find. The two Annual Reports that cover FY2021 were then opened and read rather than searched by filename: Note 18 'Capital Management' in the 2021 report, and the identically-worded Note 18 in the 2022 report, are PURELY NARRATIVE. Verbatim, in full, that is all either says about the quantum: 'At the end of the financial year, Oxbury held Common Equity Tier 1 capital, compromised of relevant share capital and retained earnings' (2021 spelling as printed) / '...comprising of relevant share capital and retained earnings' (2022), followed by 'The comparison of the available and required capital positions are reviewed on a monthly basis.' There is no capital amount, no RWA figure, no own-funds table and no OV1 anywhere in either document. FY2021 therefore has RATIOS but no AMOUNTS, from the KPI table on p.6 only. Those amounts are NOT back-solved from the ratios - dividing a KPI percentage into anything would manufacture figures that appear in no source.
  FY2021 RATIO DIVERGENCE, recorded not reconciled: the 2021 Annual Report's own KPI table states 'CET1 / Total Capital Ratio - Dec-21  23%', while the 2022 Annual Report's comparative column for the same date states 25%. This workbook uses the own-year 23% per project convention. (The 2022 report's KPI table also prints its own FY2022 leverage ratio as '152%', which is self-evidently a misplaced decimal for 15.2% and is not used anywhere.)
FY2020, FY2019 and FY2018: no Pillar 3 or capital-ratio disclosure of any kind was found in the Companies House-filed accounts for these years, and none would be expected - the company was not yet an authorised credit institution for FY2018-FY2019, and spent all of FY2020 in the PRA's pre-launch 'mobilisation' phase with a strategic report that discusses capital raises in cash terms only, no regulatory ratios. Genuinely not disclosed, not merely unreviewed.</t>
        </is>
      </c>
    </row>
    <row r="13" ht="180" customHeight="1">
      <c r="A13" s="8" t="inlineStr">
        <is>
          <t>(continued)
ENTITY / BASIS NOTE: Oxbury Bank Plc (FRN 834822; Companies House no. 11383418) is the PRA-authorised bank and the entity covered by this workbook. The annual reports present both Group and Company columns. This workbook uses the Company/entity-level cash-flow figures throughout. The Group includes Oxbury Bank Plc and its wholly owned subsidiary Oxbury Earth Ltd (and, from FY2025, Oxbury Earth LLC); Group figures are not substituted for the Bank's own figures. The FY2025 report describes a new wider holding structure, but the legal bank entity remains Oxbury Bank Plc.
HISTORY NOTE: the company was incorporated 25 May 2018 as 'Oxbury FS Plc', a pre-launch shell building its technology platform - it renamed to Oxbury Bank Plc in mid-2020 after being authorised by the PRA/FCA as a credit institution in January 2020, then spent all of FY2020 in a regulatory 'mobilisation' phase with no lending or deposit-taking, finally launching to customers on 29 January 2021. FY2018-FY2020 are therefore genuine Oxbury financial statements (single-entity, no Group/Company split existed yet - there was no subsidiary) but reflect a pre-trading company, not a functioning bank: nil interest income, nil loans, nil customer deposits throughout. FY2018 covers a short first period (25 May 2018 - 31 Dec 2018), not a full year.</t>
        </is>
      </c>
    </row>
  </sheetData>
  <mergeCells count="5">
    <mergeCell ref="A11:F11"/>
    <mergeCell ref="A13:F13"/>
    <mergeCell ref="A5:F5"/>
    <mergeCell ref="A9:F9"/>
    <mergeCell ref="A7:F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Oxbury Bank Plc — Total RWAs</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risk-weighted assets</t>
        </is>
      </c>
      <c r="B4" s="6" t="n">
        <v>1168300</v>
      </c>
      <c r="C4" s="6" t="n">
        <v>684357</v>
      </c>
      <c r="D4" s="6" t="n">
        <v>426705</v>
      </c>
      <c r="E4" s="6" t="n">
        <v>282001</v>
      </c>
      <c r="F4" s="6" t="inlineStr">
        <is>
          <t>Not published – 2021 and 2022 Annual Reports' Note 18 'Capital Management' is narrative only (no amounts); earliest Pillar 3 (Dec 2023) reaches back only to FY2022</t>
        </is>
      </c>
    </row>
    <row r="5" ht="65" customHeight="1">
      <c r="A5" s="7" t="inlineStr">
        <is>
          <t>Note: FY2025 and FY2024 RECOVERED 2026-09-15 and previously blank - from the newly-found December 2025 and December 2024 Pillar 3 editions, where the figure appears three times in agreement (KM1 'Total risk-weighted exposure amount', OV1 'Total', and CC1 'Total risk-weighted assets'), and both editions agree on FY2024. FY2021 is an ENUMERATED negative, not an unchecked blank: no Pillar 3 edition reaches FY2021, and neither Annual Report covering it publishes an RWA figure - Note 18 is narrative only. Deliberately NOT back-solved from the FY2021 KPI ratios, which would manufacture a figure appearing in no source. Genuinely not disclosed for FY2020-FY2018 (pre-launch/mobilisation, no RWA calculation published).</t>
        </is>
      </c>
    </row>
    <row r="7" ht="377" customHeight="1">
      <c r="A7" s="8" t="inlineStr">
        <is>
          <t>Sources - Oxbury Bank Plc regulatory/entity basis:
FY2025 and FY2024: Oxbury Bank Plc Pillar 3 Disclosures December 2025, p.11 (4.3 Capital Resources - UK KM1 Key Metrics), p.12 (4.4 UK OV1 risk-weighted exposure amounts; 4.5 capital surplus over Pillar 1), p.12-13 (4.6 Capital resources - CC1) - https://www.oxbury.com/media/yqqdu010/oxbury-bank-plc-pillar-3-2025.pdf
FY2024 and FY2023 (independent second source for FY2024, and the validation-gate check on FY2023): Oxbury Bank Plc Pillar 3 Disclosures December 2024, p.11 (4.3 UK KM1), p.12 (4.4 UK OV1, 4.5), p.12-13 (4.6 CC1) - https://www.oxbury.com/media/3yknkp3i/oxbury-bank-plc-pillar-3-2024.pdf
FY2023 and FY2022: Oxbury Bank Plc Pillar 3 Disclosures December 2023, pp.10-12 (4.3 UK KM1, 4.4 UK OV1, 4.6 CC1 capital resources), pp.17-18 (leverage), pp.36-40 (LCR and NSFR) - https://www.oxbury.com/media/xttezclr/oxbury-bank-plc-pillar-3-2023-final.pdf
FY2021 ratios only: Oxbury Bank Plc Annual Report and Accounts 2021, p.6 (Company Key Performance Indicators, unaudited 'CET1 / Total Capital Ratio - Dec-21', 'Leverage Ratio - Dec-21' and 'Liquidity Coverage Ratio - Dec-21') - https://www.oxbury.com/media/g5xibgrw/annual-report-2021.pdf
Annual Report point-in-time liquidity/capital KPIs (a SEPARATE basis - see the LCR sheet): Annual Report and Accounts 2025 p.6 - https://www.oxbury.com/media/e3xppqoe/2025-company-accounts.pdf; Annual Report and Accounts 2023 p.6 - https://www.oxbury.com/media/dxeb3xqx/oxbury-bank-annual-accounts-31122023.pdf; Annual Report and Accounts 2022 p.6 - https://www.oxbury.com/media/brmf2riv/annual-report-2022.pdf
*** PILLAR 3 DISCOVERY NOTE - 2026-09-15. THIS SUPERSEDES AND CORRECTS THE PREVIOUS FINDING ON THIS SHEET, WHICH WAS WRONG. ***
Three earlier passes recorded, with increasing confidence, that Oxbury had published EXACTLY ONE Pillar 3 document ever (the December 2023 edition) and that FY2024 and FY2025 were an unmet disclosure obligation. That is no longer true and the affected cells have been filled. Re-fetching https://www.oxbury.com/annual-reports/ on 2026-09-15 and extracting every href from the raw HTML returns THREE Pillar 3 PDFs, not one:
    /media/xttezclr/oxbury-bank-plc-pillar-3-2023-final.pdf   (December 2023 - already cited)
    /media/3yknkp3i/oxbury-bank-plc-pillar-3-2024.pdf         (December 2024 - NEW)
    /media/yqqdu010/oxbury-bank-plc-pillar-3-2025.pdf         (December 2025 - NEW)
Both new files were downloaded and are full text-native Pillar 3 reports of the same structure as the 2023 edition (1.23MB / 1.26MB; 163k / 167k extracted characters), titled 'Oxbury Bank Plc / Pillar 3 Disclosures / December 2024' and '... December 2025' on their own cover pages, each carrying a complete UK KM1, UK OV1, CC1, LIQ1 and LIQ2. Oxbury's year-end is 31 December, so they map to FY2024 and FY2025 directly, each with the prior year as its comparative column.
WHY THE EARLIER PASSES MISSED THEM, recorded so the lesson generalises rather than being re-learned: Oxbury's media URLs use opaque random slugs (/media/3yknkp3i/, /media/yqqdu010/), so the filenames cannot be guessed by permutation from the 2023 one, and the Wayback CDX sweep that returned '195 distinct PDFs, exactly one Pillar 3' was accurate about the ARCHIVE but the archive simply had not captured these files yet. An absence in Wayback is not an absence on the live site. The bank's own listing page was the only route to them, and it had to be re-fetched rather than relied on from a previous session's transcript - a document index is a living page, and a negative established against it expires. The previous note's USER-ACTIONABLE item (request the FY2024/FY2025 editions from the Bank) is withdrawn: they are published.</t>
        </is>
      </c>
    </row>
    <row r="9" ht="312" customHeight="1">
      <c r="A9" s="8" t="inlineStr">
        <is>
          <t>(continued)
VALIDATION GATE - PASSED, with one documented exception. The December 2024 edition's FY2023 comparative column was checked line by line against the December 2023 edition's own FY2023 column and against the figures already in this workbook. CET1 / Tier 1 capital 68,026; Tier 2 14,188; Total regulatory capital 82,214; Total RWA 426,705; CET1 ratio 15.94%; Total capital ratio 19.27%; leverage ratio 10.69%; NSFR 201.1%; OV1 credit risk 426,705 and operational risk 18,622 - ALL reproduce exactly. Nothing already in the workbook was overwritten on the strength of an unverified new source.
  THE ONE EXCEPTION IS FY2023 LCR, and it is NOT reconciled: the December 2023 edition's own FY2023 column states 545.2%, while the December 2024 edition's FY2023 comparative states 529.9% for the same date on the same stated basis ('Total high-quality liquid assets (HQLA) (Weighted value-average)'). A 15.3pp difference between two of the Bank's own documents, unexplained in either. This workbook keeps the own-year figure (545.2%) per project convention and records 529.9% here rather than averaging, splicing or silently preferring the later document. Do not 'fix' this.
KM1 'TOTAL CAPITAL' ROW IS DEFECTIVE IN ALL THREE EDITIONS - the CC1 figure is used instead, and the Bank's own printed ratios prove which is right. In every edition's UK KM1 (4.3) the 'Total capital' row simply repeats the CET1 / Tier 1 figure (FY2025 192,855; FY2024 142,312; FY2023 68,026; FY2022 45,557), omitting Tier 2 entirely - yet the same table's 'Total capital ratio (%)' is 19.39% / 23.35% / 19.27% / 18.81%, which does NOT reconcile against those numerators. It reconciles against the CC1 (4.6) 'Total regulatory capital' line, which does include Tier 2: 226,552 / 1,168,300 = 19.39%; 159,812 / 684,357 = 23.35%; 82,214 / 426,705 = 19.27%; 53,057 / 282,001 = 18.81% - all four to the printed decimal. The CC1 line is therefore used on the Total Capital sheet for every year, which also keeps FY2025/FY2024 consistent with FY2023/FY2022, already sourced that way. This is a reading of the Bank's own two tables against each other, NOT a back-solve: 226,552 and 159,812 are printed figures (CET1 192,855 + Tier 2 33,697; CET1 142,312 + Tier 2 17,500), not quotients.
WHAT THE NEW EDITIONS RESOLVE. The previous note on this sheet set out an unresolvable puzzle in the FY2025 Annual Report's Note 18 'Capital Management' - it reports 'GBP220m (2024 GBP136m)' under a CET1 label, but GBP220m exceeds FY2025 total equity (GBP210,279k Company / GBP208,311k Group) and so could not be CET1, while GBP136m sat below FY2024 equity and so could not be total capital, apparently putting two different bases in consecutive years of one sentence. That puzzle is now MOOT rather than solved: the December 2025 Pillar 3 supplies audited-template figures for both dates (CET1 192,855 / 142,312; total regulatory capital 226,552 / 159,812) and those are what the sheets carry. The Annual Report's rounded narrative figures are not used and were never used, and neither GBP220m nor GBP136m ties cleanly to either Pillar 3 basis - they are not reproduced on any sheet.</t>
        </is>
      </c>
    </row>
    <row r="11" ht="377" customHeight="1">
      <c r="A11" s="8" t="inlineStr">
        <is>
          <t>(continued)
OXBURY IS NOT SDDT-EXEMPT - THE SINGLE MOST-REPEATED ERROR ON THIS BANK, PRESERVED HERE DELIBERATELY. The PRA's consolidated register of waivers and modifications for PRA-authorised firms (downloaded 2026-09-15 from https://www.bankofengland.co.uk/-/media/boe/files/prudential-regulation/authorisations/waivers-and-modifications-of-rules/consolidated-waivers-pra-firms.csv, a UTF-16 TSV) carries three rows for FRN 834822 'Oxbury Bank PLC': Article 26(3) CRR (start 31/01/2020), Capital Buffers 5.1-5.3 (start 20/01/2025), and - the one that must NOT be misread - 'Modification of the criterion in rule 2.1(9) of the SDDT Regime - General Application Part of the PRA Rulebook (any parent undertaking of the firm is a UK undertaking)', sub-rule 'Ru 2.1(9)', ref A00012298P.pdf, start 20/05/2026. Ru 2.1(9) is an ELIGIBILITY CRITERION - it waives the UK-parent test so the firm may QUALIFY as an SDDT - and has no disclosure effect whatsoever. It is NOT Rule 3.1, the opt-in that actually removes the Pillar 3 obligation, and Oxbury holds no Ru 3.1 row at all. This is the same category error, in a third form, as conflating Article 433b (which REDUCES disclosure) with Rule 3.1 (which REMOVES it). Note also that 20/05/2026 post-dates every year in this workbook, so even a Rule 3.1 row bearing that date could not have exempted FY2021-FY2025. Oxbury was under a live Pillar 3 obligation throughout - which is exactly why the FY2024 and FY2025 editions found above were to be expected, and why their earlier apparent absence should have been treated as a search failure rather than accepted as structural.
FY2021 - ENUMERATED AND ABSENT for capital AMOUNTS and RWAs (established 2026-09-15; these cells previously stood blank, which is indistinguishable from an unresearched gap, and now read 'Not publicly disclosed'). The earliest Pillar 3 edition Oxbury has ever published is the December 2023 one, whose comparative column reaches back only to FY2022 - so no Pillar 3 template covers FY2021 on any basis, and the re-fetched listing page confirms there is no 2021 or 2022 edition to find. The two Annual Reports that cover FY2021 were then opened and read rather than searched by filename: Note 18 'Capital Management' in the 2021 report, and the identically-worded Note 18 in the 2022 report, are PURELY NARRATIVE. Verbatim, in full, that is all either says about the quantum: 'At the end of the financial year, Oxbury held Common Equity Tier 1 capital, compromised of relevant share capital and retained earnings' (2021 spelling as printed) / '...comprising of relevant share capital and retained earnings' (2022), followed by 'The comparison of the available and required capital positions are reviewed on a monthly basis.' There is no capital amount, no RWA figure, no own-funds table and no OV1 anywhere in either document. FY2021 therefore has RATIOS but no AMOUNTS, from the KPI table on p.6 only. Those amounts are NOT back-solved from the ratios - dividing a KPI percentage into anything would manufacture figures that appear in no source.
  FY2021 RATIO DIVERGENCE, recorded not reconciled: the 2021 Annual Report's own KPI table states 'CET1 / Total Capital Ratio - Dec-21  23%', while the 2022 Annual Report's comparative column for the same date states 25%. This workbook uses the own-year 23% per project convention. (The 2022 report's KPI table also prints its own FY2022 leverage ratio as '152%', which is self-evidently a misplaced decimal for 15.2% and is not used anywhere.)
FY2020, FY2019 and FY2018: no Pillar 3 or capital-ratio disclosure of any kind was found in the Companies House-filed accounts for these years, and none would be expected - the company was not yet an authorised credit institution for FY2018-FY2019, and spent all of FY2020 in the PRA's pre-launch 'mobilisation' phase with a strategic report that discusses capital raises in cash terms only, no regulatory ratios. Genuinely not disclosed, not merely unreviewed.</t>
        </is>
      </c>
    </row>
    <row r="13" ht="180" customHeight="1">
      <c r="A13" s="8" t="inlineStr">
        <is>
          <t>(continued)
ENTITY / BASIS NOTE: Oxbury Bank Plc (FRN 834822; Companies House no. 11383418) is the PRA-authorised bank and the entity covered by this workbook. The annual reports present both Group and Company columns. This workbook uses the Company/entity-level cash-flow figures throughout. The Group includes Oxbury Bank Plc and its wholly owned subsidiary Oxbury Earth Ltd (and, from FY2025, Oxbury Earth LLC); Group figures are not substituted for the Bank's own figures. The FY2025 report describes a new wider holding structure, but the legal bank entity remains Oxbury Bank Plc.
HISTORY NOTE: the company was incorporated 25 May 2018 as 'Oxbury FS Plc', a pre-launch shell building its technology platform - it renamed to Oxbury Bank Plc in mid-2020 after being authorised by the PRA/FCA as a credit institution in January 2020, then spent all of FY2020 in a regulatory 'mobilisation' phase with no lending or deposit-taking, finally launching to customers on 29 January 2021. FY2018-FY2020 are therefore genuine Oxbury financial statements (single-entity, no Group/Company split existed yet - there was no subsidiary) but reflect a pre-trading company, not a functioning bank: nil interest income, nil loans, nil customer deposits throughout. FY2018 covers a short first period (25 May 2018 - 31 Dec 2018), not a full year.</t>
        </is>
      </c>
    </row>
  </sheetData>
  <mergeCells count="5">
    <mergeCell ref="A11:F11"/>
    <mergeCell ref="A13:F13"/>
    <mergeCell ref="A5:F5"/>
    <mergeCell ref="A9:F9"/>
    <mergeCell ref="A7:F7"/>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1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s>
  <sheetData>
    <row r="1">
      <c r="A1" s="1" t="inlineStr">
        <is>
          <t>Oxbury Bank Plc — RWA Breakdown</t>
        </is>
      </c>
    </row>
    <row r="2">
      <c r="A2" s="2" t="inlineStr">
        <is>
          <t>Company/entity-level basis, £'000. Pillar 3 UK OV1 template (4.4 Overview of risk weighted exposure amounts). Counterparty credit risk is disclosed as nil in every year. FY2025 and FY2024 added 2026-09-15 from the newly-found December 2025 and December 2024 Pillar 3 editions (see the PILLAR 3 DISCOVERY NOTE). FY2021 and FY2020-FY2018 remain blank - no RWA breakdown exists for those years (FY2021's Annual Report note is narrative only; FY2020-FY2018 predate any Pillar 3 obligation).</t>
        </is>
      </c>
    </row>
    <row r="3">
      <c r="A3" s="4" t="inlineStr">
        <is>
          <t>Line item</t>
        </is>
      </c>
      <c r="B3" s="4" t="inlineStr">
        <is>
          <t>FY2025 (£'000)</t>
        </is>
      </c>
      <c r="C3" s="4" t="inlineStr">
        <is>
          <t>FY2024 (£'000)</t>
        </is>
      </c>
      <c r="D3" s="4" t="inlineStr">
        <is>
          <t>FY2023 (£'000)</t>
        </is>
      </c>
      <c r="E3" s="4" t="inlineStr">
        <is>
          <t>FY2022 (£'000)</t>
        </is>
      </c>
    </row>
    <row r="4">
      <c r="A4" s="6" t="inlineStr">
        <is>
          <t>Credit Risk (excluding CCR) - standardised approach</t>
        </is>
      </c>
      <c r="B4" s="6" t="n">
        <v>1168300</v>
      </c>
      <c r="C4" s="6" t="n">
        <v>684357</v>
      </c>
      <c r="D4" s="6" t="n">
        <v>426705</v>
      </c>
      <c r="E4" s="6" t="n">
        <v>282001</v>
      </c>
    </row>
    <row r="5">
      <c r="A5" s="6" t="inlineStr">
        <is>
          <t>Counterparty credit risk (CCR)</t>
        </is>
      </c>
      <c r="B5" s="6" t="n">
        <v>0</v>
      </c>
      <c r="C5" s="6" t="n">
        <v>0</v>
      </c>
      <c r="D5" s="6" t="n">
        <v>0</v>
      </c>
      <c r="E5" s="6" t="n">
        <v>0</v>
      </c>
    </row>
    <row r="6">
      <c r="A6" s="6" t="inlineStr">
        <is>
          <t>Operational risk - basic indicator approach</t>
        </is>
      </c>
      <c r="B6" s="6" t="n">
        <v>35232</v>
      </c>
      <c r="C6" s="6" t="n">
        <v>15763</v>
      </c>
      <c r="D6" s="6" t="n">
        <v>18622</v>
      </c>
      <c r="E6" s="6" t="n">
        <v>9411</v>
      </c>
    </row>
    <row r="7">
      <c r="A7" s="5" t="inlineStr">
        <is>
          <t>Total risk weighted exposure amount (as disclosed - see data quality note)</t>
        </is>
      </c>
      <c r="B7" s="5" t="n">
        <v>1168300</v>
      </c>
      <c r="C7" s="5" t="n">
        <v>684357</v>
      </c>
      <c r="D7" s="5" t="n">
        <v>426705</v>
      </c>
      <c r="E7" s="5" t="n">
        <v>282001</v>
      </c>
    </row>
    <row r="9" ht="377" customHeight="1">
      <c r="A9" s="8" t="inlineStr">
        <is>
          <t>Sources - Oxbury Bank Plc regulatory/entity basis:
FY2025 and FY2024: Oxbury Bank Plc Pillar 3 Disclosures December 2025, p.11 (4.3 Capital Resources - UK KM1 Key Metrics), p.12 (4.4 UK OV1 risk-weighted exposure amounts; 4.5 capital surplus over Pillar 1), p.12-13 (4.6 Capital resources - CC1) - https://www.oxbury.com/media/yqqdu010/oxbury-bank-plc-pillar-3-2025.pdf
FY2024 and FY2023 (independent second source for FY2024, and the validation-gate check on FY2023): Oxbury Bank Plc Pillar 3 Disclosures December 2024, p.11 (4.3 UK KM1), p.12 (4.4 UK OV1, 4.5), p.12-13 (4.6 CC1) - https://www.oxbury.com/media/3yknkp3i/oxbury-bank-plc-pillar-3-2024.pdf
FY2023 and FY2022: Oxbury Bank Plc Pillar 3 Disclosures December 2023, pp.10-12 (4.3 UK KM1, 4.4 UK OV1, 4.6 CC1 capital resources), pp.17-18 (leverage), pp.36-40 (LCR and NSFR) - https://www.oxbury.com/media/xttezclr/oxbury-bank-plc-pillar-3-2023-final.pdf
FY2021 ratios only: Oxbury Bank Plc Annual Report and Accounts 2021, p.6 (Company Key Performance Indicators, unaudited 'CET1 / Total Capital Ratio - Dec-21', 'Leverage Ratio - Dec-21' and 'Liquidity Coverage Ratio - Dec-21') - https://www.oxbury.com/media/g5xibgrw/annual-report-2021.pdf
Annual Report point-in-time liquidity/capital KPIs (a SEPARATE basis - see the LCR sheet): Annual Report and Accounts 2025 p.6 - https://www.oxbury.com/media/e3xppqoe/2025-company-accounts.pdf; Annual Report and Accounts 2023 p.6 - https://www.oxbury.com/media/dxeb3xqx/oxbury-bank-annual-accounts-31122023.pdf; Annual Report and Accounts 2022 p.6 - https://www.oxbury.com/media/brmf2riv/annual-report-2022.pdf
*** PILLAR 3 DISCOVERY NOTE - 2026-09-15. THIS SUPERSEDES AND CORRECTS THE PREVIOUS FINDING ON THIS SHEET, WHICH WAS WRONG. ***
Three earlier passes recorded, with increasing confidence, that Oxbury had published EXACTLY ONE Pillar 3 document ever (the December 2023 edition) and that FY2024 and FY2025 were an unmet disclosure obligation. That is no longer true and the affected cells have been filled. Re-fetching https://www.oxbury.com/annual-reports/ on 2026-09-15 and extracting every href from the raw HTML returns THREE Pillar 3 PDFs, not one:
    /media/xttezclr/oxbury-bank-plc-pillar-3-2023-final.pdf   (December 2023 - already cited)
    /media/3yknkp3i/oxbury-bank-plc-pillar-3-2024.pdf         (December 2024 - NEW)
    /media/yqqdu010/oxbury-bank-plc-pillar-3-2025.pdf         (December 2025 - NEW)
Both new files were downloaded and are full text-native Pillar 3 reports of the same structure as the 2023 edition (1.23MB / 1.26MB; 163k / 167k extracted characters), titled 'Oxbury Bank Plc / Pillar 3 Disclosures / December 2024' and '... December 2025' on their own cover pages, each carrying a complete UK KM1, UK OV1, CC1, LIQ1 and LIQ2. Oxbury's year-end is 31 December, so they map to FY2024 and FY2025 directly, each with the prior year as its comparative column.
WHY THE EARLIER PASSES MISSED THEM, recorded so the lesson generalises rather than being re-learned: Oxbury's media URLs use opaque random slugs (/media/3yknkp3i/, /media/yqqdu010/), so the filenames cannot be guessed by permutation from the 2023 one, and the Wayback CDX sweep that returned '195 distinct PDFs, exactly one Pillar 3' was accurate about the ARCHIVE but the archive simply had not captured these files yet. An absence in Wayback is not an absence on the live site. The bank's own listing page was the only route to them, and it had to be re-fetched rather than relied on from a previous session's transcript - a document index is a living page, and a negative established against it expires. The previous note's USER-ACTIONABLE item (request the FY2024/FY2025 editions from the Bank) is withdrawn: they are published.</t>
        </is>
      </c>
    </row>
    <row r="11" ht="312" customHeight="1">
      <c r="A11" s="8" t="inlineStr">
        <is>
          <t>(continued)
VALIDATION GATE - PASSED, with one documented exception. The December 2024 edition's FY2023 comparative column was checked line by line against the December 2023 edition's own FY2023 column and against the figures already in this workbook. CET1 / Tier 1 capital 68,026; Tier 2 14,188; Total regulatory capital 82,214; Total RWA 426,705; CET1 ratio 15.94%; Total capital ratio 19.27%; leverage ratio 10.69%; NSFR 201.1%; OV1 credit risk 426,705 and operational risk 18,622 - ALL reproduce exactly. Nothing already in the workbook was overwritten on the strength of an unverified new source.
  THE ONE EXCEPTION IS FY2023 LCR, and it is NOT reconciled: the December 2023 edition's own FY2023 column states 545.2%, while the December 2024 edition's FY2023 comparative states 529.9% for the same date on the same stated basis ('Total high-quality liquid assets (HQLA) (Weighted value-average)'). A 15.3pp difference between two of the Bank's own documents, unexplained in either. This workbook keeps the own-year figure (545.2%) per project convention and records 529.9% here rather than averaging, splicing or silently preferring the later document. Do not 'fix' this.
KM1 'TOTAL CAPITAL' ROW IS DEFECTIVE IN ALL THREE EDITIONS - the CC1 figure is used instead, and the Bank's own printed ratios prove which is right. In every edition's UK KM1 (4.3) the 'Total capital' row simply repeats the CET1 / Tier 1 figure (FY2025 192,855; FY2024 142,312; FY2023 68,026; FY2022 45,557), omitting Tier 2 entirely - yet the same table's 'Total capital ratio (%)' is 19.39% / 23.35% / 19.27% / 18.81%, which does NOT reconcile against those numerators. It reconciles against the CC1 (4.6) 'Total regulatory capital' line, which does include Tier 2: 226,552 / 1,168,300 = 19.39%; 159,812 / 684,357 = 23.35%; 82,214 / 426,705 = 19.27%; 53,057 / 282,001 = 18.81% - all four to the printed decimal. The CC1 line is therefore used on the Total Capital sheet for every year, which also keeps FY2025/FY2024 consistent with FY2023/FY2022, already sourced that way. This is a reading of the Bank's own two tables against each other, NOT a back-solve: 226,552 and 159,812 are printed figures (CET1 192,855 + Tier 2 33,697; CET1 142,312 + Tier 2 17,500), not quotients.
WHAT THE NEW EDITIONS RESOLVE. The previous note on this sheet set out an unresolvable puzzle in the FY2025 Annual Report's Note 18 'Capital Management' - it reports 'GBP220m (2024 GBP136m)' under a CET1 label, but GBP220m exceeds FY2025 total equity (GBP210,279k Company / GBP208,311k Group) and so could not be CET1, while GBP136m sat below FY2024 equity and so could not be total capital, apparently putting two different bases in consecutive years of one sentence. That puzzle is now MOOT rather than solved: the December 2025 Pillar 3 supplies audited-template figures for both dates (CET1 192,855 / 142,312; total regulatory capital 226,552 / 159,812) and those are what the sheets carry. The Annual Report's rounded narrative figures are not used and were never used, and neither GBP220m nor GBP136m ties cleanly to either Pillar 3 basis - they are not reproduced on any sheet.</t>
        </is>
      </c>
    </row>
    <row r="13" ht="377" customHeight="1">
      <c r="A13" s="8" t="inlineStr">
        <is>
          <t>(continued)
OXBURY IS NOT SDDT-EXEMPT - THE SINGLE MOST-REPEATED ERROR ON THIS BANK, PRESERVED HERE DELIBERATELY. The PRA's consolidated register of waivers and modifications for PRA-authorised firms (downloaded 2026-09-15 from https://www.bankofengland.co.uk/-/media/boe/files/prudential-regulation/authorisations/waivers-and-modifications-of-rules/consolidated-waivers-pra-firms.csv, a UTF-16 TSV) carries three rows for FRN 834822 'Oxbury Bank PLC': Article 26(3) CRR (start 31/01/2020), Capital Buffers 5.1-5.3 (start 20/01/2025), and - the one that must NOT be misread - 'Modification of the criterion in rule 2.1(9) of the SDDT Regime - General Application Part of the PRA Rulebook (any parent undertaking of the firm is a UK undertaking)', sub-rule 'Ru 2.1(9)', ref A00012298P.pdf, start 20/05/2026. Ru 2.1(9) is an ELIGIBILITY CRITERION - it waives the UK-parent test so the firm may QUALIFY as an SDDT - and has no disclosure effect whatsoever. It is NOT Rule 3.1, the opt-in that actually removes the Pillar 3 obligation, and Oxbury holds no Ru 3.1 row at all. This is the same category error, in a third form, as conflating Article 433b (which REDUCES disclosure) with Rule 3.1 (which REMOVES it). Note also that 20/05/2026 post-dates every year in this workbook, so even a Rule 3.1 row bearing that date could not have exempted FY2021-FY2025. Oxbury was under a live Pillar 3 obligation throughout - which is exactly why the FY2024 and FY2025 editions found above were to be expected, and why their earlier apparent absence should have been treated as a search failure rather than accepted as structural.
FY2021 - ENUMERATED AND ABSENT for capital AMOUNTS and RWAs (established 2026-09-15; these cells previously stood blank, which is indistinguishable from an unresearched gap, and now read 'Not publicly disclosed'). The earliest Pillar 3 edition Oxbury has ever published is the December 2023 one, whose comparative column reaches back only to FY2022 - so no Pillar 3 template covers FY2021 on any basis, and the re-fetched listing page confirms there is no 2021 or 2022 edition to find. The two Annual Reports that cover FY2021 were then opened and read rather than searched by filename: Note 18 'Capital Management' in the 2021 report, and the identically-worded Note 18 in the 2022 report, are PURELY NARRATIVE. Verbatim, in full, that is all either says about the quantum: 'At the end of the financial year, Oxbury held Common Equity Tier 1 capital, compromised of relevant share capital and retained earnings' (2021 spelling as printed) / '...comprising of relevant share capital and retained earnings' (2022), followed by 'The comparison of the available and required capital positions are reviewed on a monthly basis.' There is no capital amount, no RWA figure, no own-funds table and no OV1 anywhere in either document. FY2021 therefore has RATIOS but no AMOUNTS, from the KPI table on p.6 only. Those amounts are NOT back-solved from the ratios - dividing a KPI percentage into anything would manufacture figures that appear in no source.
  FY2021 RATIO DIVERGENCE, recorded not reconciled: the 2021 Annual Report's own KPI table states 'CET1 / Total Capital Ratio - Dec-21  23%', while the 2022 Annual Report's comparative column for the same date states 25%. This workbook uses the own-year 23% per project convention. (The 2022 report's KPI table also prints its own FY2022 leverage ratio as '152%', which is self-evidently a misplaced decimal for 15.2% and is not used anywhere.)
FY2020, FY2019 and FY2018: no Pillar 3 or capital-ratio disclosure of any kind was found in the Companies House-filed accounts for these years, and none would be expected - the company was not yet an authorised credit institution for FY2018-FY2019, and spent all of FY2020 in the PRA's pre-launch 'mobilisation' phase with a strategic report that discusses capital raises in cash terms only, no regulatory ratios. Genuinely not disclosed, not merely unreviewed.</t>
        </is>
      </c>
    </row>
    <row r="15" ht="260" customHeight="1">
      <c r="A15" s="8" t="inlineStr">
        <is>
          <t>(continued)
ENTITY / BASIS NOTE: Oxbury Bank Plc (FRN 834822; Companies House no. 11383418) is the PRA-authorised bank and the entity covered by this workbook. The annual reports present both Group and Company columns. This workbook uses the Company/entity-level cash-flow figures throughout. The Group includes Oxbury Bank Plc and its wholly owned subsidiary Oxbury Earth Ltd (and, from FY2025, Oxbury Earth LLC); Group figures are not substituted for the Bank's own figures. The FY2025 report describes a new wider holding structure, but the legal bank entity remains Oxbury Bank Plc.
HISTORY NOTE: the company was incorporated 25 May 2018 as 'Oxbury FS Plc', a pre-launch shell building its technology platform - it renamed to Oxbury Bank Plc in mid-2020 after being authorised by the PRA/FCA as a credit institution in January 2020, then spent all of FY2020 in a regulatory 'mobilisation' phase with no lending or deposit-taking, finally launching to customers on 29 January 2021. FY2018-FY2020 are therefore genuine Oxbury financial statements (single-entity, no Group/Company split existed yet - there was no subsidiary) but reflect a pre-trading company, not a functioning bank: nil interest income, nil loans, nil customer deposits throughout. FY2018 covers a short first period (25 May 2018 - 31 Dec 2018), not a full year.
DATA QUALITY NOTE - PERSISTENT ACROSS ALL THREE PILLAR 3 EDITIONS, AND REPRODUCED NOT CORRECTED: the source OV1 table's own 'Total' row equals the Credit Risk row ALONE and excludes the separately-disclosed Operational risk row, in every year. FY2025 Total 1,168,300 = Credit Risk 1,168,300 with Operational risk 35,232 sitting outside it; FY2024 684,357 = 684,357 with 15,763 outside; FY2023 426,705 with 18,622 outside; FY2022 282,001 with 9,411 outside. Adding the two would give a larger number in all four years. This was previously recorded as an 'apparent inconsistency' visible in one edition; finding the same pattern in the December 2024 and December 2025 editions (checked 2026-09-15) shows it is a settled feature of Oxbury's template rather than a one-off slip, and confirms the reproduce-as-disclosed decision. The 'Total' row is the operative figure: it ties exactly to the KM1 'Total risk-weighted exposure amount' and to the CC1 'Total risk-weighted assets' in the same document, and it is the denominator that reproduces the Bank's own printed capital ratios (192,855 / 1,168,300 = 16.51%, the printed FY2025 CET1 ratio). Do not sum the component rows to 'fix' the total - doing so would break the tie to every ratio in this workbook.</t>
        </is>
      </c>
    </row>
  </sheetData>
  <mergeCells count="4">
    <mergeCell ref="A11:E11"/>
    <mergeCell ref="A15:E15"/>
    <mergeCell ref="A9:E9"/>
    <mergeCell ref="A13:E1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Oxbury Bank Plc — Leverage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Leverage ratio excluding claims on central banks</t>
        </is>
      </c>
      <c r="B4" s="6" t="inlineStr">
        <is>
          <t>9.40%</t>
        </is>
      </c>
      <c r="C4" s="6" t="inlineStr">
        <is>
          <t>12.66%</t>
        </is>
      </c>
      <c r="D4" s="6" t="inlineStr">
        <is>
          <t>10.69%</t>
        </is>
      </c>
      <c r="E4" s="6" t="inlineStr">
        <is>
          <t>12.17%</t>
        </is>
      </c>
      <c r="F4" s="6" t="inlineStr">
        <is>
          <t>15%</t>
        </is>
      </c>
    </row>
    <row r="5">
      <c r="A5" s="6" t="inlineStr">
        <is>
          <t>Total exposure measure, excluding claims on central banks (£'000)</t>
        </is>
      </c>
      <c r="B5" s="6" t="n">
        <v>2050662</v>
      </c>
      <c r="C5" s="6" t="n">
        <v>1077236</v>
      </c>
      <c r="D5" s="6" t="n">
        <v>636500</v>
      </c>
      <c r="E5" s="6" t="n">
        <v>374370</v>
      </c>
      <c r="F5" s="6" t="inlineStr">
        <is>
          <t>Not published – 2021 and 2022 Annual Reports' Note 18 'Capital Management' is narrative only (no amounts); earliest Pillar 3 (Dec 2023) reaches back only to FY2022</t>
        </is>
      </c>
    </row>
    <row r="6" ht="78" customHeight="1">
      <c r="A6" s="7" t="inlineStr">
        <is>
          <t>Note: FY2025 and FY2024 REPLACED 2026-09-15: they previously read 9.2% and 12.7%, the Annual Report's rounded 'Leverage Ratio - December' KPI, and now read 9.40% and 12.66% from the newly-found December 2025 and December 2024 Pillar 3 editions' KM1. The two sources agree to rounding, so this is a precision and single-basis improvement rather than a correction, and FY2022-FY2025 now all come from the same Pillar 3 row. Both editions agree on FY2024. The exposure-measure row was added at the same time from the same KM1 block, and makes the basis explicit - Oxbury reports the EXCLUDING-claims-on-central-banks measure in every edition, so do not compare this row like-for-like against a bank reporting the including-central-banks variant. FY2021 keeps the annual-report KPI ratio (15%) but has no published exposure measure. Genuinely not disclosed for FY2020-FY2018.</t>
        </is>
      </c>
    </row>
    <row r="8" ht="377" customHeight="1">
      <c r="A8" s="8" t="inlineStr">
        <is>
          <t>Sources - Oxbury Bank Plc regulatory/entity basis:
FY2025 and FY2024: Oxbury Bank Plc Pillar 3 Disclosures December 2025, p.11 (4.3 Capital Resources - UK KM1 Key Metrics), p.12 (4.4 UK OV1 risk-weighted exposure amounts; 4.5 capital surplus over Pillar 1), p.12-13 (4.6 Capital resources - CC1) - https://www.oxbury.com/media/yqqdu010/oxbury-bank-plc-pillar-3-2025.pdf
FY2024 and FY2023 (independent second source for FY2024, and the validation-gate check on FY2023): Oxbury Bank Plc Pillar 3 Disclosures December 2024, p.11 (4.3 UK KM1), p.12 (4.4 UK OV1, 4.5), p.12-13 (4.6 CC1) - https://www.oxbury.com/media/3yknkp3i/oxbury-bank-plc-pillar-3-2024.pdf
FY2023 and FY2022: Oxbury Bank Plc Pillar 3 Disclosures December 2023, pp.10-12 (4.3 UK KM1, 4.4 UK OV1, 4.6 CC1 capital resources), pp.17-18 (leverage), pp.36-40 (LCR and NSFR) - https://www.oxbury.com/media/xttezclr/oxbury-bank-plc-pillar-3-2023-final.pdf
FY2021 ratios only: Oxbury Bank Plc Annual Report and Accounts 2021, p.6 (Company Key Performance Indicators, unaudited 'CET1 / Total Capital Ratio - Dec-21', 'Leverage Ratio - Dec-21' and 'Liquidity Coverage Ratio - Dec-21') - https://www.oxbury.com/media/g5xibgrw/annual-report-2021.pdf
Annual Report point-in-time liquidity/capital KPIs (a SEPARATE basis - see the LCR sheet): Annual Report and Accounts 2025 p.6 - https://www.oxbury.com/media/e3xppqoe/2025-company-accounts.pdf; Annual Report and Accounts 2023 p.6 - https://www.oxbury.com/media/dxeb3xqx/oxbury-bank-annual-accounts-31122023.pdf; Annual Report and Accounts 2022 p.6 - https://www.oxbury.com/media/brmf2riv/annual-report-2022.pdf
*** PILLAR 3 DISCOVERY NOTE - 2026-09-15. THIS SUPERSEDES AND CORRECTS THE PREVIOUS FINDING ON THIS SHEET, WHICH WAS WRONG. ***
Three earlier passes recorded, with increasing confidence, that Oxbury had published EXACTLY ONE Pillar 3 document ever (the December 2023 edition) and that FY2024 and FY2025 were an unmet disclosure obligation. That is no longer true and the affected cells have been filled. Re-fetching https://www.oxbury.com/annual-reports/ on 2026-09-15 and extracting every href from the raw HTML returns THREE Pillar 3 PDFs, not one:
    /media/xttezclr/oxbury-bank-plc-pillar-3-2023-final.pdf   (December 2023 - already cited)
    /media/3yknkp3i/oxbury-bank-plc-pillar-3-2024.pdf         (December 2024 - NEW)
    /media/yqqdu010/oxbury-bank-plc-pillar-3-2025.pdf         (December 2025 - NEW)
Both new files were downloaded and are full text-native Pillar 3 reports of the same structure as the 2023 edition (1.23MB / 1.26MB; 163k / 167k extracted characters), titled 'Oxbury Bank Plc / Pillar 3 Disclosures / December 2024' and '... December 2025' on their own cover pages, each carrying a complete UK KM1, UK OV1, CC1, LIQ1 and LIQ2. Oxbury's year-end is 31 December, so they map to FY2024 and FY2025 directly, each with the prior year as its comparative column.
WHY THE EARLIER PASSES MISSED THEM, recorded so the lesson generalises rather than being re-learned: Oxbury's media URLs use opaque random slugs (/media/3yknkp3i/, /media/yqqdu010/), so the filenames cannot be guessed by permutation from the 2023 one, and the Wayback CDX sweep that returned '195 distinct PDFs, exactly one Pillar 3' was accurate about the ARCHIVE but the archive simply had not captured these files yet. An absence in Wayback is not an absence on the live site. The bank's own listing page was the only route to them, and it had to be re-fetched rather than relied on from a previous session's transcript - a document index is a living page, and a negative established against it expires. The previous note's USER-ACTIONABLE item (request the FY2024/FY2025 editions from the Bank) is withdrawn: they are published.</t>
        </is>
      </c>
    </row>
    <row r="10" ht="312" customHeight="1">
      <c r="A10" s="8" t="inlineStr">
        <is>
          <t>(continued)
VALIDATION GATE - PASSED, with one documented exception. The December 2024 edition's FY2023 comparative column was checked line by line against the December 2023 edition's own FY2023 column and against the figures already in this workbook. CET1 / Tier 1 capital 68,026; Tier 2 14,188; Total regulatory capital 82,214; Total RWA 426,705; CET1 ratio 15.94%; Total capital ratio 19.27%; leverage ratio 10.69%; NSFR 201.1%; OV1 credit risk 426,705 and operational risk 18,622 - ALL reproduce exactly. Nothing already in the workbook was overwritten on the strength of an unverified new source.
  THE ONE EXCEPTION IS FY2023 LCR, and it is NOT reconciled: the December 2023 edition's own FY2023 column states 545.2%, while the December 2024 edition's FY2023 comparative states 529.9% for the same date on the same stated basis ('Total high-quality liquid assets (HQLA) (Weighted value-average)'). A 15.3pp difference between two of the Bank's own documents, unexplained in either. This workbook keeps the own-year figure (545.2%) per project convention and records 529.9% here rather than averaging, splicing or silently preferring the later document. Do not 'fix' this.
KM1 'TOTAL CAPITAL' ROW IS DEFECTIVE IN ALL THREE EDITIONS - the CC1 figure is used instead, and the Bank's own printed ratios prove which is right. In every edition's UK KM1 (4.3) the 'Total capital' row simply repeats the CET1 / Tier 1 figure (FY2025 192,855; FY2024 142,312; FY2023 68,026; FY2022 45,557), omitting Tier 2 entirely - yet the same table's 'Total capital ratio (%)' is 19.39% / 23.35% / 19.27% / 18.81%, which does NOT reconcile against those numerators. It reconciles against the CC1 (4.6) 'Total regulatory capital' line, which does include Tier 2: 226,552 / 1,168,300 = 19.39%; 159,812 / 684,357 = 23.35%; 82,214 / 426,705 = 19.27%; 53,057 / 282,001 = 18.81% - all four to the printed decimal. The CC1 line is therefore used on the Total Capital sheet for every year, which also keeps FY2025/FY2024 consistent with FY2023/FY2022, already sourced that way. This is a reading of the Bank's own two tables against each other, NOT a back-solve: 226,552 and 159,812 are printed figures (CET1 192,855 + Tier 2 33,697; CET1 142,312 + Tier 2 17,500), not quotients.
WHAT THE NEW EDITIONS RESOLVE. The previous note on this sheet set out an unresolvable puzzle in the FY2025 Annual Report's Note 18 'Capital Management' - it reports 'GBP220m (2024 GBP136m)' under a CET1 label, but GBP220m exceeds FY2025 total equity (GBP210,279k Company / GBP208,311k Group) and so could not be CET1, while GBP136m sat below FY2024 equity and so could not be total capital, apparently putting two different bases in consecutive years of one sentence. That puzzle is now MOOT rather than solved: the December 2025 Pillar 3 supplies audited-template figures for both dates (CET1 192,855 / 142,312; total regulatory capital 226,552 / 159,812) and those are what the sheets carry. The Annual Report's rounded narrative figures are not used and were never used, and neither GBP220m nor GBP136m ties cleanly to either Pillar 3 basis - they are not reproduced on any sheet.</t>
        </is>
      </c>
    </row>
    <row r="12" ht="377" customHeight="1">
      <c r="A12" s="8" t="inlineStr">
        <is>
          <t>(continued)
OXBURY IS NOT SDDT-EXEMPT - THE SINGLE MOST-REPEATED ERROR ON THIS BANK, PRESERVED HERE DELIBERATELY. The PRA's consolidated register of waivers and modifications for PRA-authorised firms (downloaded 2026-09-15 from https://www.bankofengland.co.uk/-/media/boe/files/prudential-regulation/authorisations/waivers-and-modifications-of-rules/consolidated-waivers-pra-firms.csv, a UTF-16 TSV) carries three rows for FRN 834822 'Oxbury Bank PLC': Article 26(3) CRR (start 31/01/2020), Capital Buffers 5.1-5.3 (start 20/01/2025), and - the one that must NOT be misread - 'Modification of the criterion in rule 2.1(9) of the SDDT Regime - General Application Part of the PRA Rulebook (any parent undertaking of the firm is a UK undertaking)', sub-rule 'Ru 2.1(9)', ref A00012298P.pdf, start 20/05/2026. Ru 2.1(9) is an ELIGIBILITY CRITERION - it waives the UK-parent test so the firm may QUALIFY as an SDDT - and has no disclosure effect whatsoever. It is NOT Rule 3.1, the opt-in that actually removes the Pillar 3 obligation, and Oxbury holds no Ru 3.1 row at all. This is the same category error, in a third form, as conflating Article 433b (which REDUCES disclosure) with Rule 3.1 (which REMOVES it). Note also that 20/05/2026 post-dates every year in this workbook, so even a Rule 3.1 row bearing that date could not have exempted FY2021-FY2025. Oxbury was under a live Pillar 3 obligation throughout - which is exactly why the FY2024 and FY2025 editions found above were to be expected, and why their earlier apparent absence should have been treated as a search failure rather than accepted as structural.
FY2021 - ENUMERATED AND ABSENT for capital AMOUNTS and RWAs (established 2026-09-15; these cells previously stood blank, which is indistinguishable from an unresearched gap, and now read 'Not publicly disclosed'). The earliest Pillar 3 edition Oxbury has ever published is the December 2023 one, whose comparative column reaches back only to FY2022 - so no Pillar 3 template covers FY2021 on any basis, and the re-fetched listing page confirms there is no 2021 or 2022 edition to find. The two Annual Reports that cover FY2021 were then opened and read rather than searched by filename: Note 18 'Capital Management' in the 2021 report, and the identically-worded Note 18 in the 2022 report, are PURELY NARRATIVE. Verbatim, in full, that is all either says about the quantum: 'At the end of the financial year, Oxbury held Common Equity Tier 1 capital, compromised of relevant share capital and retained earnings' (2021 spelling as printed) / '...comprising of relevant share capital and retained earnings' (2022), followed by 'The comparison of the available and required capital positions are reviewed on a monthly basis.' There is no capital amount, no RWA figure, no own-funds table and no OV1 anywhere in either document. FY2021 therefore has RATIOS but no AMOUNTS, from the KPI table on p.6 only. Those amounts are NOT back-solved from the ratios - dividing a KPI percentage into anything would manufacture figures that appear in no source.
  FY2021 RATIO DIVERGENCE, recorded not reconciled: the 2021 Annual Report's own KPI table states 'CET1 / Total Capital Ratio - Dec-21  23%', while the 2022 Annual Report's comparative column for the same date states 25%. This workbook uses the own-year 23% per project convention. (The 2022 report's KPI table also prints its own FY2022 leverage ratio as '152%', which is self-evidently a misplaced decimal for 15.2% and is not used anywhere.)
FY2020, FY2019 and FY2018: no Pillar 3 or capital-ratio disclosure of any kind was found in the Companies House-filed accounts for these years, and none would be expected - the company was not yet an authorised credit institution for FY2018-FY2019, and spent all of FY2020 in the PRA's pre-launch 'mobilisation' phase with a strategic report that discusses capital raises in cash terms only, no regulatory ratios. Genuinely not disclosed, not merely unreviewed.</t>
        </is>
      </c>
    </row>
    <row r="14" ht="180" customHeight="1">
      <c r="A14" s="8" t="inlineStr">
        <is>
          <t>(continued)
ENTITY / BASIS NOTE: Oxbury Bank Plc (FRN 834822; Companies House no. 11383418) is the PRA-authorised bank and the entity covered by this workbook. The annual reports present both Group and Company columns. This workbook uses the Company/entity-level cash-flow figures throughout. The Group includes Oxbury Bank Plc and its wholly owned subsidiary Oxbury Earth Ltd (and, from FY2025, Oxbury Earth LLC); Group figures are not substituted for the Bank's own figures. The FY2025 report describes a new wider holding structure, but the legal bank entity remains Oxbury Bank Plc.
HISTORY NOTE: the company was incorporated 25 May 2018 as 'Oxbury FS Plc', a pre-launch shell building its technology platform - it renamed to Oxbury Bank Plc in mid-2020 after being authorised by the PRA/FCA as a credit institution in January 2020, then spent all of FY2020 in a regulatory 'mobilisation' phase with no lending or deposit-taking, finally launching to customers on 29 January 2021. FY2018-FY2020 are therefore genuine Oxbury financial statements (single-entity, no Group/Company split existed yet - there was no subsidiary) but reflect a pre-trading company, not a functioning bank: nil interest income, nil loans, nil customer deposits throughout. FY2018 covers a short first period (25 May 2018 - 31 Dec 2018), not a full year.</t>
        </is>
      </c>
    </row>
  </sheetData>
  <mergeCells count="5">
    <mergeCell ref="A10:F10"/>
    <mergeCell ref="A14:F14"/>
    <mergeCell ref="A8:F8"/>
    <mergeCell ref="A6:F6"/>
    <mergeCell ref="A12:F1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Oxbury Bank Plc — LCR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Liquidity coverage ratio (%) - Pillar 3 KM1, weighted-average basis</t>
        </is>
      </c>
      <c r="B4" s="6" t="inlineStr">
        <is>
          <t>340.1%</t>
        </is>
      </c>
      <c r="C4" s="6" t="inlineStr">
        <is>
          <t>465.3%</t>
        </is>
      </c>
      <c r="D4" s="6" t="inlineStr">
        <is>
          <t>545.2%</t>
        </is>
      </c>
      <c r="E4" s="6" t="inlineStr">
        <is>
          <t>2,132%</t>
        </is>
      </c>
      <c r="F4" s="6" t="inlineStr">
        <is>
          <t>Not published – FY2021 LCR only as the 2021 Annual Report KPI, point-in-time (row 2); earliest Pillar 3 (Dec 2023) reaches back only to FY2022</t>
        </is>
      </c>
    </row>
    <row r="5">
      <c r="A5" s="6" t="inlineStr">
        <is>
          <t>Liquidity coverage ratio (%) - Annual Report KPI, point-in-time at 31 December</t>
        </is>
      </c>
      <c r="B5" s="6" t="inlineStr">
        <is>
          <t>296%</t>
        </is>
      </c>
      <c r="C5" s="6" t="inlineStr">
        <is>
          <t>460%</t>
        </is>
      </c>
      <c r="D5" s="6" t="inlineStr">
        <is>
          <t>614%</t>
        </is>
      </c>
      <c r="E5" s="6" t="inlineStr">
        <is>
          <t>2,819%</t>
        </is>
      </c>
      <c r="F5" s="6" t="inlineStr">
        <is>
          <t>1,090%</t>
        </is>
      </c>
    </row>
    <row r="6">
      <c r="A6" s="6" t="inlineStr">
        <is>
          <t>Total high-quality liquid assets, weighted value - average (£'000)</t>
        </is>
      </c>
      <c r="B6" s="6" t="n">
        <v>1512803</v>
      </c>
      <c r="C6" s="6" t="n">
        <v>1510275</v>
      </c>
      <c r="D6" s="6" t="n">
        <v>525527</v>
      </c>
      <c r="E6" s="6" t="n">
        <v>107106</v>
      </c>
      <c r="F6" s="6" t="inlineStr">
        <is>
          <t>Not published – FY2021 LCR only as the 2021 Annual Report KPI, point-in-time (row 2); earliest Pillar 3 (Dec 2023) reaches back only to FY2022</t>
        </is>
      </c>
    </row>
    <row r="7">
      <c r="A7" s="6" t="inlineStr">
        <is>
          <t>Total net cash outflow (£'000)</t>
        </is>
      </c>
      <c r="B7" s="6" t="n">
        <v>444827</v>
      </c>
      <c r="C7" s="6" t="n">
        <v>324591</v>
      </c>
      <c r="D7" s="6" t="n">
        <v>99162</v>
      </c>
      <c r="E7" s="6" t="n">
        <v>8886</v>
      </c>
      <c r="F7" s="6" t="inlineStr">
        <is>
          <t>Not published – FY2021 LCR only as the 2021 Annual Report KPI, point-in-time (row 2); earliest Pillar 3 (Dec 2023) reaches back only to FY2022</t>
        </is>
      </c>
    </row>
    <row r="8" ht="91" customHeight="1">
      <c r="A8" s="7" t="inlineStr">
        <is>
          <t>Note: TWO BASES, DELIBERATELY SPLIT ONTO SEPARATE ROWS 2026-09-15 - DO NOT MERGE THEM INTO ONE SERIES. Before this pass a single row silently mixed them: FY2025/FY2024 held the Annual Report's point-in-time KPI while FY2023/FY2022 held the Pillar 3 average, so the row stepped between two different measures mid-series. Row 1 is the Pillar 3 KM1 ratio, whose own HQLA line is labelled 'Weighted value-average'. Row 2 is the Annual Report KPI, labelled 'Liquidity Coverage Ratio - December' and footnoted 'High Quality Liquid Assets / Total net cash outflows over the subsequent 30-day period' - a year-end snapshot. The gap between them is large and not a rounding artefact (FY2025: 340.1% average vs 296% point-in-time, 44pp), which is exactly why they cannot share a row. FY2025/FY2024 row 1 RECOVERED from the newly-found Pillar 3 editions, which also reproduce FY2023's 545.2%-versus-529.9% discrepancy discussed in the source citation - that is NOT reconciled here. FY2021 has only the point-in-time KPI. Genuinely not disclosed for FY2020-FY2018.</t>
        </is>
      </c>
    </row>
    <row r="10" ht="377" customHeight="1">
      <c r="A10" s="8" t="inlineStr">
        <is>
          <t>Sources - Oxbury Bank Plc regulatory/entity basis:
FY2025 and FY2024: Oxbury Bank Plc Pillar 3 Disclosures December 2025, p.11 (4.3 Capital Resources - UK KM1 Key Metrics), p.12 (4.4 UK OV1 risk-weighted exposure amounts; 4.5 capital surplus over Pillar 1), p.12-13 (4.6 Capital resources - CC1) - https://www.oxbury.com/media/yqqdu010/oxbury-bank-plc-pillar-3-2025.pdf
FY2024 and FY2023 (independent second source for FY2024, and the validation-gate check on FY2023): Oxbury Bank Plc Pillar 3 Disclosures December 2024, p.11 (4.3 UK KM1), p.12 (4.4 UK OV1, 4.5), p.12-13 (4.6 CC1) - https://www.oxbury.com/media/3yknkp3i/oxbury-bank-plc-pillar-3-2024.pdf
FY2023 and FY2022: Oxbury Bank Plc Pillar 3 Disclosures December 2023, pp.10-12 (4.3 UK KM1, 4.4 UK OV1, 4.6 CC1 capital resources), pp.17-18 (leverage), pp.36-40 (LCR and NSFR) - https://www.oxbury.com/media/xttezclr/oxbury-bank-plc-pillar-3-2023-final.pdf
FY2021 ratios only: Oxbury Bank Plc Annual Report and Accounts 2021, p.6 (Company Key Performance Indicators, unaudited 'CET1 / Total Capital Ratio - Dec-21', 'Leverage Ratio - Dec-21' and 'Liquidity Coverage Ratio - Dec-21') - https://www.oxbury.com/media/g5xibgrw/annual-report-2021.pdf
Annual Report point-in-time liquidity/capital KPIs (a SEPARATE basis - see the LCR sheet): Annual Report and Accounts 2025 p.6 - https://www.oxbury.com/media/e3xppqoe/2025-company-accounts.pdf; Annual Report and Accounts 2023 p.6 - https://www.oxbury.com/media/dxeb3xqx/oxbury-bank-annual-accounts-31122023.pdf; Annual Report and Accounts 2022 p.6 - https://www.oxbury.com/media/brmf2riv/annual-report-2022.pdf
*** PILLAR 3 DISCOVERY NOTE - 2026-09-15. THIS SUPERSEDES AND CORRECTS THE PREVIOUS FINDING ON THIS SHEET, WHICH WAS WRONG. ***
Three earlier passes recorded, with increasing confidence, that Oxbury had published EXACTLY ONE Pillar 3 document ever (the December 2023 edition) and that FY2024 and FY2025 were an unmet disclosure obligation. That is no longer true and the affected cells have been filled. Re-fetching https://www.oxbury.com/annual-reports/ on 2026-09-15 and extracting every href from the raw HTML returns THREE Pillar 3 PDFs, not one:
    /media/xttezclr/oxbury-bank-plc-pillar-3-2023-final.pdf   (December 2023 - already cited)
    /media/3yknkp3i/oxbury-bank-plc-pillar-3-2024.pdf         (December 2024 - NEW)
    /media/yqqdu010/oxbury-bank-plc-pillar-3-2025.pdf         (December 2025 - NEW)
Both new files were downloaded and are full text-native Pillar 3 reports of the same structure as the 2023 edition (1.23MB / 1.26MB; 163k / 167k extracted characters), titled 'Oxbury Bank Plc / Pillar 3 Disclosures / December 2024' and '... December 2025' on their own cover pages, each carrying a complete UK KM1, UK OV1, CC1, LIQ1 and LIQ2. Oxbury's year-end is 31 December, so they map to FY2024 and FY2025 directly, each with the prior year as its comparative column.
WHY THE EARLIER PASSES MISSED THEM, recorded so the lesson generalises rather than being re-learned: Oxbury's media URLs use opaque random slugs (/media/3yknkp3i/, /media/yqqdu010/), so the filenames cannot be guessed by permutation from the 2023 one, and the Wayback CDX sweep that returned '195 distinct PDFs, exactly one Pillar 3' was accurate about the ARCHIVE but the archive simply had not captured these files yet. An absence in Wayback is not an absence on the live site. The bank's own listing page was the only route to them, and it had to be re-fetched rather than relied on from a previous session's transcript - a document index is a living page, and a negative established against it expires. The previous note's USER-ACTIONABLE item (request the FY2024/FY2025 editions from the Bank) is withdrawn: they are published.</t>
        </is>
      </c>
    </row>
    <row r="12" ht="312" customHeight="1">
      <c r="A12" s="8" t="inlineStr">
        <is>
          <t>(continued)
VALIDATION GATE - PASSED, with one documented exception. The December 2024 edition's FY2023 comparative column was checked line by line against the December 2023 edition's own FY2023 column and against the figures already in this workbook. CET1 / Tier 1 capital 68,026; Tier 2 14,188; Total regulatory capital 82,214; Total RWA 426,705; CET1 ratio 15.94%; Total capital ratio 19.27%; leverage ratio 10.69%; NSFR 201.1%; OV1 credit risk 426,705 and operational risk 18,622 - ALL reproduce exactly. Nothing already in the workbook was overwritten on the strength of an unverified new source.
  THE ONE EXCEPTION IS FY2023 LCR, and it is NOT reconciled: the December 2023 edition's own FY2023 column states 545.2%, while the December 2024 edition's FY2023 comparative states 529.9% for the same date on the same stated basis ('Total high-quality liquid assets (HQLA) (Weighted value-average)'). A 15.3pp difference between two of the Bank's own documents, unexplained in either. This workbook keeps the own-year figure (545.2%) per project convention and records 529.9% here rather than averaging, splicing or silently preferring the later document. Do not 'fix' this.
KM1 'TOTAL CAPITAL' ROW IS DEFECTIVE IN ALL THREE EDITIONS - the CC1 figure is used instead, and the Bank's own printed ratios prove which is right. In every edition's UK KM1 (4.3) the 'Total capital' row simply repeats the CET1 / Tier 1 figure (FY2025 192,855; FY2024 142,312; FY2023 68,026; FY2022 45,557), omitting Tier 2 entirely - yet the same table's 'Total capital ratio (%)' is 19.39% / 23.35% / 19.27% / 18.81%, which does NOT reconcile against those numerators. It reconciles against the CC1 (4.6) 'Total regulatory capital' line, which does include Tier 2: 226,552 / 1,168,300 = 19.39%; 159,812 / 684,357 = 23.35%; 82,214 / 426,705 = 19.27%; 53,057 / 282,001 = 18.81% - all four to the printed decimal. The CC1 line is therefore used on the Total Capital sheet for every year, which also keeps FY2025/FY2024 consistent with FY2023/FY2022, already sourced that way. This is a reading of the Bank's own two tables against each other, NOT a back-solve: 226,552 and 159,812 are printed figures (CET1 192,855 + Tier 2 33,697; CET1 142,312 + Tier 2 17,500), not quotients.
WHAT THE NEW EDITIONS RESOLVE. The previous note on this sheet set out an unresolvable puzzle in the FY2025 Annual Report's Note 18 'Capital Management' - it reports 'GBP220m (2024 GBP136m)' under a CET1 label, but GBP220m exceeds FY2025 total equity (GBP210,279k Company / GBP208,311k Group) and so could not be CET1, while GBP136m sat below FY2024 equity and so could not be total capital, apparently putting two different bases in consecutive years of one sentence. That puzzle is now MOOT rather than solved: the December 2025 Pillar 3 supplies audited-template figures for both dates (CET1 192,855 / 142,312; total regulatory capital 226,552 / 159,812) and those are what the sheets carry. The Annual Report's rounded narrative figures are not used and were never used, and neither GBP220m nor GBP136m ties cleanly to either Pillar 3 basis - they are not reproduced on any sheet.</t>
        </is>
      </c>
    </row>
    <row r="14" ht="377" customHeight="1">
      <c r="A14" s="8" t="inlineStr">
        <is>
          <t>(continued)
OXBURY IS NOT SDDT-EXEMPT - THE SINGLE MOST-REPEATED ERROR ON THIS BANK, PRESERVED HERE DELIBERATELY. The PRA's consolidated register of waivers and modifications for PRA-authorised firms (downloaded 2026-09-15 from https://www.bankofengland.co.uk/-/media/boe/files/prudential-regulation/authorisations/waivers-and-modifications-of-rules/consolidated-waivers-pra-firms.csv, a UTF-16 TSV) carries three rows for FRN 834822 'Oxbury Bank PLC': Article 26(3) CRR (start 31/01/2020), Capital Buffers 5.1-5.3 (start 20/01/2025), and - the one that must NOT be misread - 'Modification of the criterion in rule 2.1(9) of the SDDT Regime - General Application Part of the PRA Rulebook (any parent undertaking of the firm is a UK undertaking)', sub-rule 'Ru 2.1(9)', ref A00012298P.pdf, start 20/05/2026. Ru 2.1(9) is an ELIGIBILITY CRITERION - it waives the UK-parent test so the firm may QUALIFY as an SDDT - and has no disclosure effect whatsoever. It is NOT Rule 3.1, the opt-in that actually removes the Pillar 3 obligation, and Oxbury holds no Ru 3.1 row at all. This is the same category error, in a third form, as conflating Article 433b (which REDUCES disclosure) with Rule 3.1 (which REMOVES it). Note also that 20/05/2026 post-dates every year in this workbook, so even a Rule 3.1 row bearing that date could not have exempted FY2021-FY2025. Oxbury was under a live Pillar 3 obligation throughout - which is exactly why the FY2024 and FY2025 editions found above were to be expected, and why their earlier apparent absence should have been treated as a search failure rather than accepted as structural.
FY2021 - ENUMERATED AND ABSENT for capital AMOUNTS and RWAs (established 2026-09-15; these cells previously stood blank, which is indistinguishable from an unresearched gap, and now read 'Not publicly disclosed'). The earliest Pillar 3 edition Oxbury has ever published is the December 2023 one, whose comparative column reaches back only to FY2022 - so no Pillar 3 template covers FY2021 on any basis, and the re-fetched listing page confirms there is no 2021 or 2022 edition to find. The two Annual Reports that cover FY2021 were then opened and read rather than searched by filename: Note 18 'Capital Management' in the 2021 report, and the identically-worded Note 18 in the 2022 report, are PURELY NARRATIVE. Verbatim, in full, that is all either says about the quantum: 'At the end of the financial year, Oxbury held Common Equity Tier 1 capital, compromised of relevant share capital and retained earnings' (2021 spelling as printed) / '...comprising of relevant share capital and retained earnings' (2022), followed by 'The comparison of the available and required capital positions are reviewed on a monthly basis.' There is no capital amount, no RWA figure, no own-funds table and no OV1 anywhere in either document. FY2021 therefore has RATIOS but no AMOUNTS, from the KPI table on p.6 only. Those amounts are NOT back-solved from the ratios - dividing a KPI percentage into anything would manufacture figures that appear in no source.
  FY2021 RATIO DIVERGENCE, recorded not reconciled: the 2021 Annual Report's own KPI table states 'CET1 / Total Capital Ratio - Dec-21  23%', while the 2022 Annual Report's comparative column for the same date states 25%. This workbook uses the own-year 23% per project convention. (The 2022 report's KPI table also prints its own FY2022 leverage ratio as '152%', which is self-evidently a misplaced decimal for 15.2% and is not used anywhere.)
FY2020, FY2019 and FY2018: no Pillar 3 or capital-ratio disclosure of any kind was found in the Companies House-filed accounts for these years, and none would be expected - the company was not yet an authorised credit institution for FY2018-FY2019, and spent all of FY2020 in the PRA's pre-launch 'mobilisation' phase with a strategic report that discusses capital raises in cash terms only, no regulatory ratios. Genuinely not disclosed, not merely unreviewed.</t>
        </is>
      </c>
    </row>
    <row r="16" ht="180" customHeight="1">
      <c r="A16" s="8" t="inlineStr">
        <is>
          <t>(continued)
ENTITY / BASIS NOTE: Oxbury Bank Plc (FRN 834822; Companies House no. 11383418) is the PRA-authorised bank and the entity covered by this workbook. The annual reports present both Group and Company columns. This workbook uses the Company/entity-level cash-flow figures throughout. The Group includes Oxbury Bank Plc and its wholly owned subsidiary Oxbury Earth Ltd (and, from FY2025, Oxbury Earth LLC); Group figures are not substituted for the Bank's own figures. The FY2025 report describes a new wider holding structure, but the legal bank entity remains Oxbury Bank Plc.
HISTORY NOTE: the company was incorporated 25 May 2018 as 'Oxbury FS Plc', a pre-launch shell building its technology platform - it renamed to Oxbury Bank Plc in mid-2020 after being authorised by the PRA/FCA as a credit institution in January 2020, then spent all of FY2020 in a regulatory 'mobilisation' phase with no lending or deposit-taking, finally launching to customers on 29 January 2021. FY2018-FY2020 are therefore genuine Oxbury financial statements (single-entity, no Group/Company split existed yet - there was no subsidiary) but reflect a pre-trading company, not a functioning bank: nil interest income, nil loans, nil customer deposits throughout. FY2018 covers a short first period (25 May 2018 - 31 Dec 2018), not a full year.</t>
        </is>
      </c>
    </row>
  </sheetData>
  <mergeCells count="5">
    <mergeCell ref="A16:F16"/>
    <mergeCell ref="A10:F10"/>
    <mergeCell ref="A14:F14"/>
    <mergeCell ref="A8:F8"/>
    <mergeCell ref="A12:F1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Oxbury Bank Plc — NSFR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Net Stable Funding Ratio</t>
        </is>
      </c>
      <c r="B4" s="6" t="inlineStr">
        <is>
          <t>160.6%</t>
        </is>
      </c>
      <c r="C4" s="6" t="inlineStr">
        <is>
          <t>262.7%</t>
        </is>
      </c>
      <c r="D4" s="6" t="inlineStr">
        <is>
          <t>201.1%</t>
        </is>
      </c>
      <c r="E4" s="6" t="inlineStr">
        <is>
          <t>149.1%</t>
        </is>
      </c>
      <c r="F4" s="6" t="inlineStr">
        <is>
          <t>Not applicable – UK NSFR in force only from 1 Jan 2022 (PRA PS17/21); 2021 and 2022 Annual Reports print no NSFR (text-searched 2026-09-19)</t>
        </is>
      </c>
    </row>
    <row r="5">
      <c r="A5" s="6" t="inlineStr">
        <is>
          <t>Total available stable funding (£'000)</t>
        </is>
      </c>
      <c r="B5" s="6" t="n">
        <v>2947068</v>
      </c>
      <c r="C5" s="6" t="n">
        <v>2272844</v>
      </c>
      <c r="D5" s="6" t="n">
        <v>1038478</v>
      </c>
      <c r="E5" s="6" t="n">
        <v>450684</v>
      </c>
      <c r="F5" s="6" t="inlineStr">
        <is>
          <t>Not applicable – UK NSFR in force only from 1 Jan 2022 (PRA PS17/21); 2021 and 2022 Annual Reports print no NSFR (text-searched 2026-09-19)</t>
        </is>
      </c>
    </row>
    <row r="6">
      <c r="A6" s="6" t="inlineStr">
        <is>
          <t>Total required stable funding (£'000)</t>
        </is>
      </c>
      <c r="B6" s="6" t="n">
        <v>1835204</v>
      </c>
      <c r="C6" s="6" t="n">
        <v>865058</v>
      </c>
      <c r="D6" s="6" t="n">
        <v>516484</v>
      </c>
      <c r="E6" s="6" t="n">
        <v>302338</v>
      </c>
      <c r="F6" s="6" t="inlineStr">
        <is>
          <t>Not applicable – UK NSFR in force only from 1 Jan 2022 (PRA PS17/21); 2021 and 2022 Annual Reports print no NSFR (text-searched 2026-09-19)</t>
        </is>
      </c>
    </row>
    <row r="7" ht="52" customHeight="1">
      <c r="A7" s="7" t="inlineStr">
        <is>
          <t>Note: FY2025 and FY2024 RECOVERED 2026-09-15 and previously blank - from the newly-found Pillar 3 editions' KM1 Net Stable Funding Ratio block; both editions agree on FY2024, and the FY2023 comparative reproduces the 201.1% already held here. The two component rows were added at the same time from the same block. FY2021 reads 'Not applicable' rather than 'Not publicly disclosed' because the UK NSFR requirement began only on 1 January 2022 under PRA PS17/21 - there was no NSFR to disclose at a 31 December 2021 reference date, which is a regulatory boundary and not a publication failure. Genuinely not disclosed for FY2020-FY2018.</t>
        </is>
      </c>
    </row>
    <row r="9" ht="377" customHeight="1">
      <c r="A9" s="8" t="inlineStr">
        <is>
          <t>Sources - Oxbury Bank Plc regulatory/entity basis:
FY2025 and FY2024: Oxbury Bank Plc Pillar 3 Disclosures December 2025, p.11 (4.3 Capital Resources - UK KM1 Key Metrics), p.12 (4.4 UK OV1 risk-weighted exposure amounts; 4.5 capital surplus over Pillar 1), p.12-13 (4.6 Capital resources - CC1) - https://www.oxbury.com/media/yqqdu010/oxbury-bank-plc-pillar-3-2025.pdf
FY2024 and FY2023 (independent second source for FY2024, and the validation-gate check on FY2023): Oxbury Bank Plc Pillar 3 Disclosures December 2024, p.11 (4.3 UK KM1), p.12 (4.4 UK OV1, 4.5), p.12-13 (4.6 CC1) - https://www.oxbury.com/media/3yknkp3i/oxbury-bank-plc-pillar-3-2024.pdf
FY2023 and FY2022: Oxbury Bank Plc Pillar 3 Disclosures December 2023, pp.10-12 (4.3 UK KM1, 4.4 UK OV1, 4.6 CC1 capital resources), pp.17-18 (leverage), pp.36-40 (LCR and NSFR) - https://www.oxbury.com/media/xttezclr/oxbury-bank-plc-pillar-3-2023-final.pdf
FY2021 ratios only: Oxbury Bank Plc Annual Report and Accounts 2021, p.6 (Company Key Performance Indicators, unaudited 'CET1 / Total Capital Ratio - Dec-21', 'Leverage Ratio - Dec-21' and 'Liquidity Coverage Ratio - Dec-21') - https://www.oxbury.com/media/g5xibgrw/annual-report-2021.pdf
Annual Report point-in-time liquidity/capital KPIs (a SEPARATE basis - see the LCR sheet): Annual Report and Accounts 2025 p.6 - https://www.oxbury.com/media/e3xppqoe/2025-company-accounts.pdf; Annual Report and Accounts 2023 p.6 - https://www.oxbury.com/media/dxeb3xqx/oxbury-bank-annual-accounts-31122023.pdf; Annual Report and Accounts 2022 p.6 - https://www.oxbury.com/media/brmf2riv/annual-report-2022.pdf
*** PILLAR 3 DISCOVERY NOTE - 2026-09-15. THIS SUPERSEDES AND CORRECTS THE PREVIOUS FINDING ON THIS SHEET, WHICH WAS WRONG. ***
Three earlier passes recorded, with increasing confidence, that Oxbury had published EXACTLY ONE Pillar 3 document ever (the December 2023 edition) and that FY2024 and FY2025 were an unmet disclosure obligation. That is no longer true and the affected cells have been filled. Re-fetching https://www.oxbury.com/annual-reports/ on 2026-09-15 and extracting every href from the raw HTML returns THREE Pillar 3 PDFs, not one:
    /media/xttezclr/oxbury-bank-plc-pillar-3-2023-final.pdf   (December 2023 - already cited)
    /media/3yknkp3i/oxbury-bank-plc-pillar-3-2024.pdf         (December 2024 - NEW)
    /media/yqqdu010/oxbury-bank-plc-pillar-3-2025.pdf         (December 2025 - NEW)
Both new files were downloaded and are full text-native Pillar 3 reports of the same structure as the 2023 edition (1.23MB / 1.26MB; 163k / 167k extracted characters), titled 'Oxbury Bank Plc / Pillar 3 Disclosures / December 2024' and '... December 2025' on their own cover pages, each carrying a complete UK KM1, UK OV1, CC1, LIQ1 and LIQ2. Oxbury's year-end is 31 December, so they map to FY2024 and FY2025 directly, each with the prior year as its comparative column.
WHY THE EARLIER PASSES MISSED THEM, recorded so the lesson generalises rather than being re-learned: Oxbury's media URLs use opaque random slugs (/media/3yknkp3i/, /media/yqqdu010/), so the filenames cannot be guessed by permutation from the 2023 one, and the Wayback CDX sweep that returned '195 distinct PDFs, exactly one Pillar 3' was accurate about the ARCHIVE but the archive simply had not captured these files yet. An absence in Wayback is not an absence on the live site. The bank's own listing page was the only route to them, and it had to be re-fetched rather than relied on from a previous session's transcript - a document index is a living page, and a negative established against it expires. The previous note's USER-ACTIONABLE item (request the FY2024/FY2025 editions from the Bank) is withdrawn: they are published.</t>
        </is>
      </c>
    </row>
    <row r="11" ht="312" customHeight="1">
      <c r="A11" s="8" t="inlineStr">
        <is>
          <t>(continued)
VALIDATION GATE - PASSED, with one documented exception. The December 2024 edition's FY2023 comparative column was checked line by line against the December 2023 edition's own FY2023 column and against the figures already in this workbook. CET1 / Tier 1 capital 68,026; Tier 2 14,188; Total regulatory capital 82,214; Total RWA 426,705; CET1 ratio 15.94%; Total capital ratio 19.27%; leverage ratio 10.69%; NSFR 201.1%; OV1 credit risk 426,705 and operational risk 18,622 - ALL reproduce exactly. Nothing already in the workbook was overwritten on the strength of an unverified new source.
  THE ONE EXCEPTION IS FY2023 LCR, and it is NOT reconciled: the December 2023 edition's own FY2023 column states 545.2%, while the December 2024 edition's FY2023 comparative states 529.9% for the same date on the same stated basis ('Total high-quality liquid assets (HQLA) (Weighted value-average)'). A 15.3pp difference between two of the Bank's own documents, unexplained in either. This workbook keeps the own-year figure (545.2%) per project convention and records 529.9% here rather than averaging, splicing or silently preferring the later document. Do not 'fix' this.
KM1 'TOTAL CAPITAL' ROW IS DEFECTIVE IN ALL THREE EDITIONS - the CC1 figure is used instead, and the Bank's own printed ratios prove which is right. In every edition's UK KM1 (4.3) the 'Total capital' row simply repeats the CET1 / Tier 1 figure (FY2025 192,855; FY2024 142,312; FY2023 68,026; FY2022 45,557), omitting Tier 2 entirely - yet the same table's 'Total capital ratio (%)' is 19.39% / 23.35% / 19.27% / 18.81%, which does NOT reconcile against those numerators. It reconciles against the CC1 (4.6) 'Total regulatory capital' line, which does include Tier 2: 226,552 / 1,168,300 = 19.39%; 159,812 / 684,357 = 23.35%; 82,214 / 426,705 = 19.27%; 53,057 / 282,001 = 18.81% - all four to the printed decimal. The CC1 line is therefore used on the Total Capital sheet for every year, which also keeps FY2025/FY2024 consistent with FY2023/FY2022, already sourced that way. This is a reading of the Bank's own two tables against each other, NOT a back-solve: 226,552 and 159,812 are printed figures (CET1 192,855 + Tier 2 33,697; CET1 142,312 + Tier 2 17,500), not quotients.
WHAT THE NEW EDITIONS RESOLVE. The previous note on this sheet set out an unresolvable puzzle in the FY2025 Annual Report's Note 18 'Capital Management' - it reports 'GBP220m (2024 GBP136m)' under a CET1 label, but GBP220m exceeds FY2025 total equity (GBP210,279k Company / GBP208,311k Group) and so could not be CET1, while GBP136m sat below FY2024 equity and so could not be total capital, apparently putting two different bases in consecutive years of one sentence. That puzzle is now MOOT rather than solved: the December 2025 Pillar 3 supplies audited-template figures for both dates (CET1 192,855 / 142,312; total regulatory capital 226,552 / 159,812) and those are what the sheets carry. The Annual Report's rounded narrative figures are not used and were never used, and neither GBP220m nor GBP136m ties cleanly to either Pillar 3 basis - they are not reproduced on any sheet.</t>
        </is>
      </c>
    </row>
    <row r="13" ht="377" customHeight="1">
      <c r="A13" s="8" t="inlineStr">
        <is>
          <t>(continued)
OXBURY IS NOT SDDT-EXEMPT - THE SINGLE MOST-REPEATED ERROR ON THIS BANK, PRESERVED HERE DELIBERATELY. The PRA's consolidated register of waivers and modifications for PRA-authorised firms (downloaded 2026-09-15 from https://www.bankofengland.co.uk/-/media/boe/files/prudential-regulation/authorisations/waivers-and-modifications-of-rules/consolidated-waivers-pra-firms.csv, a UTF-16 TSV) carries three rows for FRN 834822 'Oxbury Bank PLC': Article 26(3) CRR (start 31/01/2020), Capital Buffers 5.1-5.3 (start 20/01/2025), and - the one that must NOT be misread - 'Modification of the criterion in rule 2.1(9) of the SDDT Regime - General Application Part of the PRA Rulebook (any parent undertaking of the firm is a UK undertaking)', sub-rule 'Ru 2.1(9)', ref A00012298P.pdf, start 20/05/2026. Ru 2.1(9) is an ELIGIBILITY CRITERION - it waives the UK-parent test so the firm may QUALIFY as an SDDT - and has no disclosure effect whatsoever. It is NOT Rule 3.1, the opt-in that actually removes the Pillar 3 obligation, and Oxbury holds no Ru 3.1 row at all. This is the same category error, in a third form, as conflating Article 433b (which REDUCES disclosure) with Rule 3.1 (which REMOVES it). Note also that 20/05/2026 post-dates every year in this workbook, so even a Rule 3.1 row bearing that date could not have exempted FY2021-FY2025. Oxbury was under a live Pillar 3 obligation throughout - which is exactly why the FY2024 and FY2025 editions found above were to be expected, and why their earlier apparent absence should have been treated as a search failure rather than accepted as structural.
FY2021 - ENUMERATED AND ABSENT for capital AMOUNTS and RWAs (established 2026-09-15; these cells previously stood blank, which is indistinguishable from an unresearched gap, and now read 'Not publicly disclosed'). The earliest Pillar 3 edition Oxbury has ever published is the December 2023 one, whose comparative column reaches back only to FY2022 - so no Pillar 3 template covers FY2021 on any basis, and the re-fetched listing page confirms there is no 2021 or 2022 edition to find. The two Annual Reports that cover FY2021 were then opened and read rather than searched by filename: Note 18 'Capital Management' in the 2021 report, and the identically-worded Note 18 in the 2022 report, are PURELY NARRATIVE. Verbatim, in full, that is all either says about the quantum: 'At the end of the financial year, Oxbury held Common Equity Tier 1 capital, compromised of relevant share capital and retained earnings' (2021 spelling as printed) / '...comprising of relevant share capital and retained earnings' (2022), followed by 'The comparison of the available and required capital positions are reviewed on a monthly basis.' There is no capital amount, no RWA figure, no own-funds table and no OV1 anywhere in either document. FY2021 therefore has RATIOS but no AMOUNTS, from the KPI table on p.6 only. Those amounts are NOT back-solved from the ratios - dividing a KPI percentage into anything would manufacture figures that appear in no source.
  FY2021 RATIO DIVERGENCE, recorded not reconciled: the 2021 Annual Report's own KPI table states 'CET1 / Total Capital Ratio - Dec-21  23%', while the 2022 Annual Report's comparative column for the same date states 25%. This workbook uses the own-year 23% per project convention. (The 2022 report's KPI table also prints its own FY2022 leverage ratio as '152%', which is self-evidently a misplaced decimal for 15.2% and is not used anywhere.)
FY2020, FY2019 and FY2018: no Pillar 3 or capital-ratio disclosure of any kind was found in the Companies House-filed accounts for these years, and none would be expected - the company was not yet an authorised credit institution for FY2018-FY2019, and spent all of FY2020 in the PRA's pre-launch 'mobilisation' phase with a strategic report that discusses capital raises in cash terms only, no regulatory ratios. Genuinely not disclosed, not merely unreviewed.</t>
        </is>
      </c>
    </row>
    <row r="15" ht="180" customHeight="1">
      <c r="A15" s="8" t="inlineStr">
        <is>
          <t>(continued)
ENTITY / BASIS NOTE: Oxbury Bank Plc (FRN 834822; Companies House no. 11383418) is the PRA-authorised bank and the entity covered by this workbook. The annual reports present both Group and Company columns. This workbook uses the Company/entity-level cash-flow figures throughout. The Group includes Oxbury Bank Plc and its wholly owned subsidiary Oxbury Earth Ltd (and, from FY2025, Oxbury Earth LLC); Group figures are not substituted for the Bank's own figures. The FY2025 report describes a new wider holding structure, but the legal bank entity remains Oxbury Bank Plc.
HISTORY NOTE: the company was incorporated 25 May 2018 as 'Oxbury FS Plc', a pre-launch shell building its technology platform - it renamed to Oxbury Bank Plc in mid-2020 after being authorised by the PRA/FCA as a credit institution in January 2020, then spent all of FY2020 in a regulatory 'mobilisation' phase with no lending or deposit-taking, finally launching to customers on 29 January 2021. FY2018-FY2020 are therefore genuine Oxbury financial statements (single-entity, no Group/Company split existed yet - there was no subsidiary) but reflect a pre-trading company, not a functioning bank: nil interest income, nil loans, nil customer deposits throughout. FY2018 covers a short first period (25 May 2018 - 31 Dec 2018), not a full year.</t>
        </is>
      </c>
    </row>
  </sheetData>
  <mergeCells count="5">
    <mergeCell ref="A11:F11"/>
    <mergeCell ref="A13:F13"/>
    <mergeCell ref="A9:F9"/>
    <mergeCell ref="A15:F15"/>
    <mergeCell ref="A7:F7"/>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Oxbury Bank Plc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MREL ratio</t>
        </is>
      </c>
      <c r="B4" s="6" t="inlineStr">
        <is>
          <t>Not published – no MREL figure in Annual Reports 2021-2025 or Pillar 3 Dec 2023/2024/2025 (text-searched 2026-09-19, 0 hits)</t>
        </is>
      </c>
      <c r="C4" s="6" t="inlineStr">
        <is>
          <t>Not published – no MREL figure in Annual Reports 2021-2025 or Pillar 3 Dec 2023/2024/2025 (text-searched 2026-09-19, 0 hits)</t>
        </is>
      </c>
      <c r="D4" s="6" t="inlineStr">
        <is>
          <t>Not published – no MREL figure in Annual Reports 2021-2025 or Pillar 3 Dec 2023/2024/2025 (text-searched 2026-09-19, 0 hits)</t>
        </is>
      </c>
      <c r="E4" s="6" t="inlineStr">
        <is>
          <t>Not published – no MREL figure in Annual Reports 2021-2025 or Pillar 3 Dec 2023/2024/2025 (text-searched 2026-09-19, 0 hits)</t>
        </is>
      </c>
      <c r="F4" s="6" t="inlineStr">
        <is>
          <t>Not published – no MREL figure in Annual Reports 2021-2025 or Pillar 3 Dec 2023/2024/2025 (text-searched 2026-09-19, 0 hits)</t>
        </is>
      </c>
      <c r="G4" s="6" t="inlineStr">
        <is>
          <t>Not published – pre-trading years: Companies House accounts FY2018-FY2020 carry no regulatory capital or MREL figure (see source note)</t>
        </is>
      </c>
      <c r="H4" s="6" t="inlineStr">
        <is>
          <t>Not published – pre-trading years: Companies House accounts FY2018-FY2020 carry no regulatory capital or MREL figure (see source note)</t>
        </is>
      </c>
      <c r="I4" s="6" t="inlineStr">
        <is>
          <t>Not published – pre-trading years: Companies House accounts FY2018-FY2020 carry no regulatory capital or MREL figure (see source note)</t>
        </is>
      </c>
    </row>
    <row r="5" ht="30" customHeight="1">
      <c r="A5" s="7" t="inlineStr">
        <is>
          <t>Note: No quantitative MREL ratio was found in the annual reports or the dedicated FY2023 Pillar 3 disclosure reviewed, for any year FY2018-FY2025.</t>
        </is>
      </c>
    </row>
    <row r="7" ht="364" customHeight="1">
      <c r="A7" s="8" t="inlineStr">
        <is>
          <t>Sources - Oxbury Bank Plc regulatory/entity basis:
FY2025 and FY2024: Oxbury Bank Plc Pillar 3 Disclosures December 2025, p.11 (4.3 Capital Resources - UK KM1 Key Metrics), p.12 (4.4 UK OV1 risk-weighted exposure amounts; 4.5 capital surplus over Pillar 1), p.12-13 (4.6 Capital resources - CC1) - https://www.oxbury.com/media/yqqdu010/oxbury-bank-plc-pillar-3-2025.pdf
FY2024 and FY2023 (independent second source for FY2024, and the validation-gate check on FY2023): Oxbury Bank Plc Pillar 3 Disclosures December 2024, p.11 (4.3 UK KM1), p.12 (4.4 UK OV1, 4.5), p.12-13 (4.6 CC1) - https://www.oxbury.com/media/3yknkp3i/oxbury-bank-plc-pillar-3-2024.pdf
FY2023 and FY2022: Oxbury Bank Plc Pillar 3 Disclosures December 2023, pp.10-12 (4.3 UK KM1, 4.4 UK OV1, 4.6 CC1 capital resources), pp.17-18 (leverage), pp.36-40 (LCR and NSFR) - https://www.oxbury.com/media/xttezclr/oxbury-bank-plc-pillar-3-2023-final.pdf
FY2021 ratios only: Oxbury Bank Plc Annual Report and Accounts 2021, p.6 (Company Key Performance Indicators, unaudited 'CET1 / Total Capital Ratio - Dec-21', 'Leverage Ratio - Dec-21' and 'Liquidity Coverage Ratio - Dec-21') - https://www.oxbury.com/media/g5xibgrw/annual-report-2021.pdf
Annual Report point-in-time liquidity/capital KPIs (a SEPARATE basis - see the LCR sheet): Annual Report and Accounts 2025 p.6 - https://www.oxbury.com/media/e3xppqoe/2025-company-accounts.pdf; Annual Report and Accounts 2023 p.6 - https://www.oxbury.com/media/dxeb3xqx/oxbury-bank-annual-accounts-31122023.pdf; Annual Report and Accounts 2022 p.6 - https://www.oxbury.com/media/brmf2riv/annual-report-2022.pdf
*** PILLAR 3 DISCOVERY NOTE - 2026-09-15. THIS SUPERSEDES AND CORRECTS THE PREVIOUS FINDING ON THIS SHEET, WHICH WAS WRONG. ***
Three earlier passes recorded, with increasing confidence, that Oxbury had published EXACTLY ONE Pillar 3 document ever (the December 2023 edition) and that FY2024 and FY2025 were an unmet disclosure obligation. That is no longer true and the affected cells have been filled. Re-fetching https://www.oxbury.com/annual-reports/ on 2026-09-15 and extracting every href from the raw HTML returns THREE Pillar 3 PDFs, not one:
    /media/xttezclr/oxbury-bank-plc-pillar-3-2023-final.pdf   (December 2023 - already cited)
    /media/3yknkp3i/oxbury-bank-plc-pillar-3-2024.pdf         (December 2024 - NEW)
    /media/yqqdu010/oxbury-bank-plc-pillar-3-2025.pdf         (December 2025 - NEW)
Both new files were downloaded and are full text-native Pillar 3 reports of the same structure as the 2023 edition (1.23MB / 1.26MB; 163k / 167k extracted characters), titled 'Oxbury Bank Plc / Pillar 3 Disclosures / December 2024' and '... December 2025' on their own cover pages, each carrying a complete UK KM1, UK OV1, CC1, LIQ1 and LIQ2. Oxbury's year-end is 31 December, so they map to FY2024 and FY2025 directly, each with the prior year as its comparative column.
WHY THE EARLIER PASSES MISSED THEM, recorded so the lesson generalises rather than being re-learned: Oxbury's media URLs use opaque random slugs (/media/3yknkp3i/, /media/yqqdu010/), so the filenames cannot be guessed by permutation from the 2023 one, and the Wayback CDX sweep that returned '195 distinct PDFs, exactly one Pillar 3' was accurate about the ARCHIVE but the archive simply had not captured these files yet. An absence in Wayback is not an absence on the live site. The bank's own listing page was the only route to them, and it had to be re-fetched rather than relied on from a previous session's transcript - a document index is a living page, and a negative established against it expires. The previous note's USER-ACTIONABLE item (request the FY2024/FY2025 editions from the Bank) is withdrawn: they are published.
VALIDATION GATE - PASSED, with one documented exception. The December 2024 edition's FY2023 comparative column was checked line by line against the December 2023 edition's own FY2023 column and against the figures already in this workbook. CET1 / Tier 1 capital 68,026; Tier 2 14,188; Total regulatory capital 82,214; Total RWA 426,705; CET1 ratio 15.94%; Total capital ratio 19.27%; leverage ratio 10.69%; NSFR 201.1%; OV1 credit risk 426,705 and operational risk 18,622 - ALL reproduce exactly. Nothing already in the workbook was overwritten on the strength of an unverified new source.</t>
        </is>
      </c>
    </row>
    <row r="9" ht="403" customHeight="1">
      <c r="A9" s="8" t="inlineStr">
        <is>
          <t>(continued)
THE ONE EXCEPTION IS FY2023 LCR, and it is NOT reconciled: the December 2023 edition's own FY2023 column states 545.2%, while the December 2024 edition's FY2023 comparative states 529.9% for the same date on the same stated basis ('Total high-quality liquid assets (HQLA) (Weighted value-average)'). A 15.3pp difference between two of the Bank's own documents, unexplained in either. This workbook keeps the own-year figure (545.2%) per project convention and records 529.9% here rather than averaging, splicing or silently preferring the later document. Do not 'fix' this.
KM1 'TOTAL CAPITAL' ROW IS DEFECTIVE IN ALL THREE EDITIONS - the CC1 figure is used instead, and the Bank's own printed ratios prove which is right. In every edition's UK KM1 (4.3) the 'Total capital' row simply repeats the CET1 / Tier 1 figure (FY2025 192,855; FY2024 142,312; FY2023 68,026; FY2022 45,557), omitting Tier 2 entirely - yet the same table's 'Total capital ratio (%)' is 19.39% / 23.35% / 19.27% / 18.81%, which does NOT reconcile against those numerators. It reconciles against the CC1 (4.6) 'Total regulatory capital' line, which does include Tier 2: 226,552 / 1,168,300 = 19.39%; 159,812 / 684,357 = 23.35%; 82,214 / 426,705 = 19.27%; 53,057 / 282,001 = 18.81% - all four to the printed decimal. The CC1 line is therefore used on the Total Capital sheet for every year, which also keeps FY2025/FY2024 consistent with FY2023/FY2022, already sourced that way. This is a reading of the Bank's own two tables against each other, NOT a back-solve: 226,552 and 159,812 are printed figures (CET1 192,855 + Tier 2 33,697; CET1 142,312 + Tier 2 17,500), not quotients.
WHAT THE NEW EDITIONS RESOLVE. The previous note on this sheet set out an unresolvable puzzle in the FY2025 Annual Report's Note 18 'Capital Management' - it reports 'GBP220m (2024 GBP136m)' under a CET1 label, but GBP220m exceeds FY2025 total equity (GBP210,279k Company / GBP208,311k Group) and so could not be CET1, while GBP136m sat below FY2024 equity and so could not be total capital, apparently putting two different bases in consecutive years of one sentence. That puzzle is now MOOT rather than solved: the December 2025 Pillar 3 supplies audited-template figures for both dates (CET1 192,855 / 142,312; total regulatory capital 226,552 / 159,812) and those are what the sheets carry. The Annual Report's rounded narrative figures are not used and were never used, and neither GBP220m nor GBP136m ties cleanly to either Pillar 3 basis - they are not reproduced on any sheet.
OXBURY IS NOT SDDT-EXEMPT - THE SINGLE MOST-REPEATED ERROR ON THIS BANK, PRESERVED HERE DELIBERATELY. The PRA's consolidated register of waivers and modifications for PRA-authorised firms (downloaded 2026-09-15 from https://www.bankofengland.co.uk/-/media/boe/files/prudential-regulation/authorisations/waivers-and-modifications-of-rules/consolidated-waivers-pra-firms.csv, a UTF-16 TSV) carries three rows for FRN 834822 'Oxbury Bank PLC': Article 26(3) CRR (start 31/01/2020), Capital Buffers 5.1-5.3 (start 20/01/2025), and - the one that must NOT be misread - 'Modification of the criterion in rule 2.1(9) of the SDDT Regime - General Application Part of the PRA Rulebook (any parent undertaking of the firm is a UK undertaking)', sub-rule 'Ru 2.1(9)', ref A00012298P.pdf, start 20/05/2026. Ru 2.1(9) is an ELIGIBILITY CRITERION - it waives the UK-parent test so the firm may QUALIFY as an SDDT - and has no disclosure effect whatsoever. It is NOT Rule 3.1, the opt-in that actually removes the Pillar 3 obligation, and Oxbury holds no Ru 3.1 row at all. This is the same category error, in a third form, as conflating Article 433b (which REDUCES disclosure) with Rule 3.1 (which REMOVES it). Note also that 20/05/2026 post-dates every year in this workbook, so even a Rule 3.1 row bearing that date could not have exempted FY2021-FY2025. Oxbury was under a live Pillar 3 obligation throughout - which is exactly why the FY2024 and FY2025 editions found above were to be expected, and why their earlier apparent absence should have been treated as a search failure rather than accepted as structural.
FY2021 - ENUMERATED AND ABSENT for capital AMOUNTS and RWAs (established 2026-09-15; these cells previously stood blank, which is indistinguishable from an unresearched gap, and now read 'Not publicly disclosed'). The earliest Pillar 3 edition Oxbury has ever published is the December 2023 one, whose comparative column reaches back only to FY2022 - so no Pillar 3 template covers FY2021 on any basis, and the re-fetched listing page confirms there is no 2021 or 2022 edition to find. The two Annual Reports that cover FY2021 were then opened and read rather than searched by filename: Note 18 'Capital Management' in the 2021 report, and the identically-worded Note 18 in the 2022 report, are PURELY NARRATIVE. Verbatim, in full, that is all either says about the quantum: 'At the end of the financial year, Oxbury held Common Equity Tier 1 capital, compromised of relevant share capital and retained earnings' (2021 spelling as printed) / '...comprising of relevant share capital and retained earnings' (2022), followed by 'The comparison of the available and required capital positions are reviewed on a monthly basis.' There is no capital amount, no RWA figure, no own-funds table and no OV1 anywhere in either document. FY2021 therefore has RATIOS but no AMOUNTS, from the KPI table on p.6 only. Those amounts are NOT back-solved from the ratios - dividing a KPI percentage into anything would manufacture figures that appear in no source.</t>
        </is>
      </c>
    </row>
    <row r="11" ht="195" customHeight="1">
      <c r="A11" s="8" t="inlineStr">
        <is>
          <t>(continued)
FY2021 RATIO DIVERGENCE, recorded not reconciled: the 2021 Annual Report's own KPI table states 'CET1 / Total Capital Ratio - Dec-21  23%', while the 2022 Annual Report's comparative column for the same date states 25%. This workbook uses the own-year 23% per project convention. (The 2022 report's KPI table also prints its own FY2022 leverage ratio as '152%', which is self-evidently a misplaced decimal for 15.2% and is not used anywhere.)
FY2020, FY2019 and FY2018: no Pillar 3 or capital-ratio disclosure of any kind was found in the Companies House-filed accounts for these years, and none would be expected - the company was not yet an authorised credit institution for FY2018-FY2019, and spent all of FY2020 in the PRA's pre-launch 'mobilisation' phase with a strategic report that discusses capital raises in cash terms only, no regulatory ratios. Genuinely not disclosed, not merely unreviewed.
ENTITY / BASIS NOTE: Oxbury Bank Plc (FRN 834822; Companies House no. 11383418) is the PRA-authorised bank and the entity covered by this workbook. The annual reports present both Group and Company columns. This workbook uses the Company/entity-level cash-flow figures throughout. The Group includes Oxbury Bank Plc and its wholly owned subsidiary Oxbury Earth Ltd (and, from FY2025, Oxbury Earth LLC); Group figures are not substituted for the Bank's own figures. The FY2025 report describes a new wider holding structure, but the legal bank entity remains Oxbury Bank Plc.
HISTORY NOTE: the company was incorporated 25 May 2018 as 'Oxbury FS Plc', a pre-launch shell building its technology platform - it renamed to Oxbury Bank Plc in mid-2020 after being authorised by the PRA/FCA as a credit institution in January 2020, then spent all of FY2020 in a regulatory 'mobilisation' phase with no lending or deposit-taking, finally launching to customers on 29 January 2021. FY2018-FY2020 are therefore genuine Oxbury financial statements (single-entity, no Group/Company split existed yet - there was no subsidiary) but reflect a pre-trading company, not a functioning bank: nil interest income, nil loans, nil customer deposits throughout. FY2018 covers a short first period (25 May 2018 - 31 Dec 2018), not a full year.</t>
        </is>
      </c>
    </row>
  </sheetData>
  <mergeCells count="4">
    <mergeCell ref="A5:I5"/>
    <mergeCell ref="A9:I9"/>
    <mergeCell ref="A11:I11"/>
    <mergeCell ref="A7:I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2026-10-26T09:36:12Z</dcterms:created>
  <dcterms:modified xmlns:dcterms="http://purl.org/dc/terms/" xmlns:xsi="http://www.w3.org/2001/XMLSchema-instance" xsi:type="dcterms:W3CDTF">2026-10-26T09:36:13Z</dcterms:modified>
</cp:coreProperties>
</file>