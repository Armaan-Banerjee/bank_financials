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F5597"/>
        <bgColor rgb="002F559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Oxbury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Oxbury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Oxbury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Oxbury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Oxbury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Oxbury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3561908</v>
      </c>
      <c r="C6" s="5" t="n">
        <v>2526857</v>
      </c>
      <c r="D6" s="5" t="n">
        <v>1163925</v>
      </c>
      <c r="E6" s="5" t="n">
        <v>508358</v>
      </c>
      <c r="F6" s="5" t="n">
        <v>165817</v>
      </c>
      <c r="G6" s="5" t="n">
        <v>22663</v>
      </c>
      <c r="H6" s="5" t="n">
        <v>2145</v>
      </c>
      <c r="I6" s="5" t="n">
        <v>4037</v>
      </c>
      <c r="L6" t="inlineStr">
        <is>
          <t>Total Assets</t>
        </is>
      </c>
      <c r="M6" t="n">
        <v>4037</v>
      </c>
      <c r="N6" t="n">
        <v>2145</v>
      </c>
      <c r="O6" t="n">
        <v>22663</v>
      </c>
      <c r="P6" t="n">
        <v>165817</v>
      </c>
      <c r="Q6" t="n">
        <v>508358</v>
      </c>
      <c r="R6" t="n">
        <v>1163925</v>
      </c>
      <c r="S6" t="n">
        <v>2526857</v>
      </c>
      <c r="T6" t="n">
        <v>3561908</v>
      </c>
      <c r="BD6" t="inlineStr">
        <is>
          <t>CET1 Ratio</t>
        </is>
      </c>
      <c r="BH6" t="n">
        <v>23</v>
      </c>
      <c r="BI6" t="n">
        <v>16.16</v>
      </c>
      <c r="BJ6" t="n">
        <v>15.94</v>
      </c>
    </row>
    <row r="7">
      <c r="A7" s="5" t="inlineStr">
        <is>
          <t>Loans and Advances to Customers</t>
        </is>
      </c>
      <c r="B7" s="5" t="n">
        <v>1748444</v>
      </c>
      <c r="C7" s="5" t="n">
        <v>1021621</v>
      </c>
      <c r="D7" s="5" t="n">
        <v>605711</v>
      </c>
      <c r="E7" s="5" t="n">
        <v>349532</v>
      </c>
      <c r="F7" s="5" t="n">
        <v>110545</v>
      </c>
      <c r="G7" s="5" t="n">
        <v>0</v>
      </c>
      <c r="H7" s="5" t="n"/>
      <c r="I7" s="5" t="n"/>
      <c r="L7" t="inlineStr">
        <is>
          <t>Loans and Advances to Customers</t>
        </is>
      </c>
      <c r="O7" t="n">
        <v>0</v>
      </c>
      <c r="P7" t="n">
        <v>110545</v>
      </c>
      <c r="Q7" t="n">
        <v>349532</v>
      </c>
      <c r="R7" t="n">
        <v>605711</v>
      </c>
      <c r="S7" t="n">
        <v>1021621</v>
      </c>
      <c r="T7" t="n">
        <v>1748444</v>
      </c>
      <c r="BD7" t="inlineStr">
        <is>
          <t>Tier 1 Ratio</t>
        </is>
      </c>
      <c r="BH7" t="n">
        <v>23</v>
      </c>
      <c r="BI7" t="n">
        <v>16.16</v>
      </c>
      <c r="BJ7" t="n">
        <v>15.94</v>
      </c>
    </row>
    <row r="8">
      <c r="A8" s="5" t="inlineStr">
        <is>
          <t>Customer Deposits</t>
        </is>
      </c>
      <c r="B8" s="5" t="n">
        <v>3309014</v>
      </c>
      <c r="C8" s="5" t="n">
        <v>2350433</v>
      </c>
      <c r="D8" s="5" t="n">
        <v>1060658</v>
      </c>
      <c r="E8" s="5" t="n">
        <v>441918</v>
      </c>
      <c r="F8" s="5" t="n">
        <v>138217</v>
      </c>
      <c r="G8" s="5" t="n">
        <v>0</v>
      </c>
      <c r="H8" s="5" t="n"/>
      <c r="I8" s="5" t="n"/>
      <c r="L8" t="inlineStr">
        <is>
          <t>Customer Deposits</t>
        </is>
      </c>
      <c r="O8" t="n">
        <v>0</v>
      </c>
      <c r="P8" t="n">
        <v>138217</v>
      </c>
      <c r="Q8" t="n">
        <v>441918</v>
      </c>
      <c r="R8" t="n">
        <v>1060658</v>
      </c>
      <c r="S8" t="n">
        <v>2350433</v>
      </c>
      <c r="T8" t="n">
        <v>3309014</v>
      </c>
      <c r="BD8" t="inlineStr">
        <is>
          <t>Total Capital Ratio</t>
        </is>
      </c>
      <c r="BH8" t="n">
        <v>23</v>
      </c>
      <c r="BI8" t="n">
        <v>18.81</v>
      </c>
      <c r="BJ8" t="n">
        <v>19.27</v>
      </c>
      <c r="BK8" t="n">
        <v>22.5</v>
      </c>
      <c r="BL8" t="n">
        <v>18.8</v>
      </c>
    </row>
    <row r="9">
      <c r="A9" s="5" t="inlineStr">
        <is>
          <t>Total Equity</t>
        </is>
      </c>
      <c r="B9" s="5" t="n">
        <v>210279</v>
      </c>
      <c r="C9" s="5" t="n">
        <v>155307</v>
      </c>
      <c r="D9" s="5" t="n">
        <v>80667</v>
      </c>
      <c r="E9" s="5" t="n">
        <v>54158</v>
      </c>
      <c r="F9" s="5" t="n">
        <v>26398</v>
      </c>
      <c r="G9" s="5" t="n">
        <v>21900</v>
      </c>
      <c r="H9" s="5" t="n">
        <v>1468</v>
      </c>
      <c r="I9" s="5" t="n">
        <v>3752</v>
      </c>
      <c r="L9" t="inlineStr">
        <is>
          <t>Total Equity</t>
        </is>
      </c>
      <c r="M9" t="n">
        <v>3752</v>
      </c>
      <c r="N9" t="n">
        <v>1468</v>
      </c>
      <c r="O9" t="n">
        <v>21900</v>
      </c>
      <c r="P9" t="n">
        <v>26398</v>
      </c>
      <c r="Q9" t="n">
        <v>54158</v>
      </c>
      <c r="R9" t="n">
        <v>80667</v>
      </c>
      <c r="S9" t="n">
        <v>155307</v>
      </c>
      <c r="T9" t="n">
        <v>210279</v>
      </c>
      <c r="BD9" t="inlineStr">
        <is>
          <t>Leverage Ratio</t>
        </is>
      </c>
      <c r="BH9" t="n">
        <v>15</v>
      </c>
      <c r="BI9" t="n">
        <v>12.17</v>
      </c>
      <c r="BJ9" t="n">
        <v>10.69</v>
      </c>
      <c r="BK9" t="n">
        <v>12.7</v>
      </c>
      <c r="BL9" t="n">
        <v>9.199999999999999</v>
      </c>
    </row>
    <row r="10">
      <c r="BD10" t="inlineStr">
        <is>
          <t>LCR</t>
        </is>
      </c>
      <c r="BH10" t="n">
        <v>1090</v>
      </c>
      <c r="BI10" t="n">
        <v>2132</v>
      </c>
      <c r="BJ10" t="n">
        <v>545.2</v>
      </c>
      <c r="BK10" t="n">
        <v>460</v>
      </c>
      <c r="BL10" t="n">
        <v>296</v>
      </c>
    </row>
    <row r="11">
      <c r="A11" s="3" t="inlineStr">
        <is>
          <t>Profit &amp; Loss Summary (£'000)</t>
        </is>
      </c>
      <c r="BD11" t="inlineStr">
        <is>
          <t>NSFR</t>
        </is>
      </c>
      <c r="BI11" t="n">
        <v>149.1</v>
      </c>
      <c r="BJ11" t="n">
        <v>201.1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Net Income</t>
        </is>
      </c>
      <c r="B13" s="5" t="n">
        <v>47405</v>
      </c>
      <c r="C13" s="5" t="n">
        <v>31303</v>
      </c>
      <c r="D13" s="5" t="n">
        <v>19394</v>
      </c>
      <c r="E13" s="5" t="n">
        <v>5643</v>
      </c>
      <c r="F13" s="5" t="n">
        <v>352</v>
      </c>
      <c r="G13" s="5" t="n">
        <v>24</v>
      </c>
      <c r="H13" s="5" t="n">
        <v>0</v>
      </c>
      <c r="I13" s="5" t="n">
        <v>0</v>
      </c>
      <c r="W13" t="inlineStr">
        <is>
          <t>Total Net Income</t>
        </is>
      </c>
      <c r="X13" t="n">
        <v>0</v>
      </c>
      <c r="Y13" t="n">
        <v>0</v>
      </c>
      <c r="Z13" t="n">
        <v>24</v>
      </c>
      <c r="AA13" t="n">
        <v>352</v>
      </c>
      <c r="AB13" t="n">
        <v>5643</v>
      </c>
      <c r="AC13" t="n">
        <v>19394</v>
      </c>
      <c r="AD13" t="n">
        <v>31303</v>
      </c>
      <c r="AE13" t="n">
        <v>47405</v>
      </c>
    </row>
    <row r="14">
      <c r="A14" s="5" t="inlineStr">
        <is>
          <t>Staff Costs, Other Operating Expense &amp; Depreciation</t>
        </is>
      </c>
      <c r="B14" s="5" t="n">
        <v>-27952</v>
      </c>
      <c r="C14" s="5" t="n">
        <v>-20717</v>
      </c>
      <c r="D14" s="5" t="n">
        <v>-14634</v>
      </c>
      <c r="E14" s="5" t="n">
        <v>-10687</v>
      </c>
      <c r="F14" s="5" t="n">
        <v>-7730</v>
      </c>
      <c r="G14" s="5" t="n">
        <v>-4363</v>
      </c>
      <c r="H14" s="5" t="n">
        <v>-2296</v>
      </c>
      <c r="I14" s="5" t="n">
        <v>-742</v>
      </c>
      <c r="W14" t="inlineStr">
        <is>
          <t>Staff Costs, Other Operating Expense &amp; Depreciation</t>
        </is>
      </c>
      <c r="X14" t="n">
        <v>-742</v>
      </c>
      <c r="Y14" t="n">
        <v>-2296</v>
      </c>
      <c r="Z14" t="n">
        <v>-4363</v>
      </c>
      <c r="AA14" t="n">
        <v>-7730</v>
      </c>
      <c r="AB14" t="n">
        <v>-10687</v>
      </c>
      <c r="AC14" t="n">
        <v>-14634</v>
      </c>
      <c r="AD14" t="n">
        <v>-20717</v>
      </c>
      <c r="AE14" t="n">
        <v>-27952</v>
      </c>
    </row>
    <row r="15">
      <c r="A15" s="5" t="inlineStr">
        <is>
          <t>Profit/(Loss) from Ordinary Activities after tax</t>
        </is>
      </c>
      <c r="B15" s="5" t="n">
        <v>11920</v>
      </c>
      <c r="C15" s="5" t="n">
        <v>5863</v>
      </c>
      <c r="D15" s="5" t="n">
        <v>2314</v>
      </c>
      <c r="E15" s="5" t="n">
        <v>-344</v>
      </c>
      <c r="F15" s="5" t="n">
        <v>-7463</v>
      </c>
      <c r="G15" s="5" t="n">
        <v>-4056</v>
      </c>
      <c r="H15" s="5" t="n">
        <v>-2297</v>
      </c>
      <c r="I15" s="5" t="n">
        <v>-741</v>
      </c>
      <c r="W15" t="inlineStr">
        <is>
          <t>Profit/(Loss) from Ordinary Activities after tax</t>
        </is>
      </c>
      <c r="X15" t="n">
        <v>-741</v>
      </c>
      <c r="Y15" t="n">
        <v>-2297</v>
      </c>
      <c r="Z15" t="n">
        <v>-4056</v>
      </c>
      <c r="AA15" t="n">
        <v>-7463</v>
      </c>
      <c r="AB15" t="n">
        <v>-344</v>
      </c>
      <c r="AC15" t="n">
        <v>2314</v>
      </c>
      <c r="AD15" t="n">
        <v>5863</v>
      </c>
      <c r="AE15" t="n">
        <v>11920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155307</v>
      </c>
      <c r="C19" s="5" t="n">
        <v>80667</v>
      </c>
      <c r="D19" s="5" t="n">
        <v>54158</v>
      </c>
      <c r="E19" s="5" t="n">
        <v>26398</v>
      </c>
      <c r="F19" s="5" t="n">
        <v>21900</v>
      </c>
      <c r="G19" s="5" t="n">
        <v>1468</v>
      </c>
      <c r="H19" s="5" t="n">
        <v>3752</v>
      </c>
      <c r="I19" s="5" t="n">
        <v>0</v>
      </c>
      <c r="AH19" t="inlineStr">
        <is>
          <t>Opening equity</t>
        </is>
      </c>
      <c r="AI19" t="n">
        <v>0</v>
      </c>
      <c r="AJ19" t="n">
        <v>3752</v>
      </c>
      <c r="AK19" t="n">
        <v>1468</v>
      </c>
      <c r="AL19" t="n">
        <v>21900</v>
      </c>
      <c r="AM19" t="n">
        <v>26398</v>
      </c>
      <c r="AN19" t="n">
        <v>54158</v>
      </c>
      <c r="AO19" t="n">
        <v>80667</v>
      </c>
      <c r="AP19" t="n">
        <v>155307</v>
      </c>
    </row>
    <row r="20">
      <c r="A20" s="5" t="inlineStr">
        <is>
          <t>Total comprehensive profit/(loss) for the year</t>
        </is>
      </c>
      <c r="B20" s="5" t="n">
        <v>11920</v>
      </c>
      <c r="C20" s="5" t="n">
        <v>5863</v>
      </c>
      <c r="D20" s="5" t="n">
        <v>2314</v>
      </c>
      <c r="E20" s="5" t="n">
        <v>-334</v>
      </c>
      <c r="F20" s="5" t="n">
        <v>-7463</v>
      </c>
      <c r="G20" s="5" t="n">
        <v>-4056</v>
      </c>
      <c r="H20" s="5" t="n">
        <v>-2297</v>
      </c>
      <c r="I20" s="5" t="n">
        <v>-741</v>
      </c>
      <c r="AH20" t="inlineStr">
        <is>
          <t>Total comprehensive profit/(loss) for the year</t>
        </is>
      </c>
      <c r="AI20" t="n">
        <v>-741</v>
      </c>
      <c r="AJ20" t="n">
        <v>-2297</v>
      </c>
      <c r="AK20" t="n">
        <v>-4056</v>
      </c>
      <c r="AL20" t="n">
        <v>-7463</v>
      </c>
      <c r="AM20" t="n">
        <v>-334</v>
      </c>
      <c r="AN20" t="n">
        <v>2314</v>
      </c>
      <c r="AO20" t="n">
        <v>5863</v>
      </c>
      <c r="AP20" t="n">
        <v>11920</v>
      </c>
    </row>
    <row r="21">
      <c r="A21" s="5" t="inlineStr">
        <is>
          <t>Other equity movements, net</t>
        </is>
      </c>
      <c r="B21" s="5" t="n">
        <v>43052</v>
      </c>
      <c r="C21" s="5" t="n">
        <v>68777</v>
      </c>
      <c r="D21" s="5" t="n">
        <v>24195</v>
      </c>
      <c r="E21" s="5" t="n">
        <v>28094</v>
      </c>
      <c r="F21" s="5" t="n">
        <v>11961</v>
      </c>
      <c r="G21" s="5" t="n">
        <v>24488</v>
      </c>
      <c r="H21" s="5" t="n">
        <v>13</v>
      </c>
      <c r="I21" s="5" t="n">
        <v>4493</v>
      </c>
      <c r="AH21" t="inlineStr">
        <is>
          <t>Other equity movements, net</t>
        </is>
      </c>
      <c r="AI21" t="n">
        <v>4493</v>
      </c>
      <c r="AJ21" t="n">
        <v>13</v>
      </c>
      <c r="AK21" t="n">
        <v>24488</v>
      </c>
      <c r="AL21" t="n">
        <v>11961</v>
      </c>
      <c r="AM21" t="n">
        <v>28094</v>
      </c>
      <c r="AN21" t="n">
        <v>24195</v>
      </c>
      <c r="AO21" t="n">
        <v>68777</v>
      </c>
      <c r="AP21" t="n">
        <v>43052</v>
      </c>
    </row>
    <row r="22">
      <c r="A22" s="5" t="inlineStr">
        <is>
          <t>Closing equity</t>
        </is>
      </c>
      <c r="B22" s="5" t="n">
        <v>210279</v>
      </c>
      <c r="C22" s="5" t="n">
        <v>155307</v>
      </c>
      <c r="D22" s="5" t="n">
        <v>80667</v>
      </c>
      <c r="E22" s="5" t="n">
        <v>54158</v>
      </c>
      <c r="F22" s="5" t="n">
        <v>26398</v>
      </c>
      <c r="G22" s="5" t="n">
        <v>21900</v>
      </c>
      <c r="H22" s="5" t="n">
        <v>1468</v>
      </c>
      <c r="I22" s="5" t="n">
        <v>3752</v>
      </c>
      <c r="AH22" t="inlineStr">
        <is>
          <t>Closing equity</t>
        </is>
      </c>
      <c r="AI22" t="n">
        <v>3752</v>
      </c>
      <c r="AJ22" t="n">
        <v>1468</v>
      </c>
      <c r="AK22" t="n">
        <v>21900</v>
      </c>
      <c r="AL22" t="n">
        <v>26398</v>
      </c>
      <c r="AM22" t="n">
        <v>54158</v>
      </c>
      <c r="AN22" t="n">
        <v>80667</v>
      </c>
      <c r="AO22" t="n">
        <v>155307</v>
      </c>
      <c r="AP22" t="n">
        <v>210279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from/(used in) operating activities</t>
        </is>
      </c>
      <c r="B26" s="5" t="n">
        <v>253910</v>
      </c>
      <c r="C26" s="5" t="n">
        <v>880992</v>
      </c>
      <c r="D26" s="5" t="n">
        <v>370296</v>
      </c>
      <c r="E26" s="5" t="n">
        <v>63900</v>
      </c>
      <c r="F26" s="5" t="n">
        <v>21025</v>
      </c>
      <c r="G26" s="5" t="n">
        <v>-4119</v>
      </c>
      <c r="H26" s="5" t="n">
        <v>-1904</v>
      </c>
      <c r="I26" s="5" t="n">
        <v>-478</v>
      </c>
      <c r="AS26" t="inlineStr">
        <is>
          <t>Net cash from/(used in) operating activities</t>
        </is>
      </c>
      <c r="AT26" t="n">
        <v>-478</v>
      </c>
      <c r="AU26" t="n">
        <v>-1904</v>
      </c>
      <c r="AV26" t="n">
        <v>-4119</v>
      </c>
      <c r="AW26" t="n">
        <v>21025</v>
      </c>
      <c r="AX26" t="n">
        <v>63900</v>
      </c>
      <c r="AY26" t="n">
        <v>370296</v>
      </c>
      <c r="AZ26" t="n">
        <v>880992</v>
      </c>
      <c r="BA26" t="n">
        <v>253910</v>
      </c>
    </row>
    <row r="27">
      <c r="A27" s="5" t="inlineStr">
        <is>
          <t>Net cash used in investing activities</t>
        </is>
      </c>
      <c r="B27" s="5" t="n">
        <v>-374939</v>
      </c>
      <c r="C27" s="5" t="n">
        <v>-1762</v>
      </c>
      <c r="D27" s="5" t="n">
        <v>-2469</v>
      </c>
      <c r="E27" s="5" t="n">
        <v>-4176</v>
      </c>
      <c r="F27" s="5" t="n">
        <v>-1538</v>
      </c>
      <c r="G27" s="5" t="n">
        <v>-1950</v>
      </c>
      <c r="H27" s="5" t="n">
        <v>-1117</v>
      </c>
      <c r="I27" s="5" t="n">
        <v>-211</v>
      </c>
      <c r="AS27" t="inlineStr">
        <is>
          <t>Net cash used in investing activities</t>
        </is>
      </c>
      <c r="AT27" t="n">
        <v>-211</v>
      </c>
      <c r="AU27" t="n">
        <v>-1117</v>
      </c>
      <c r="AV27" t="n">
        <v>-1950</v>
      </c>
      <c r="AW27" t="n">
        <v>-1538</v>
      </c>
      <c r="AX27" t="n">
        <v>-4176</v>
      </c>
      <c r="AY27" t="n">
        <v>-2469</v>
      </c>
      <c r="AZ27" t="n">
        <v>-1762</v>
      </c>
      <c r="BA27" t="n">
        <v>-374939</v>
      </c>
    </row>
    <row r="28">
      <c r="A28" s="5" t="inlineStr">
        <is>
          <t>Net cash from financing activities</t>
        </is>
      </c>
      <c r="B28" s="5" t="n">
        <v>56490</v>
      </c>
      <c r="C28" s="5" t="n">
        <v>69123</v>
      </c>
      <c r="D28" s="5" t="n">
        <v>30194</v>
      </c>
      <c r="E28" s="5" t="n">
        <v>35362</v>
      </c>
      <c r="F28" s="5" t="n">
        <v>11856</v>
      </c>
      <c r="G28" s="5" t="n">
        <v>24488</v>
      </c>
      <c r="H28" s="5" t="n">
        <v>13</v>
      </c>
      <c r="I28" s="5" t="n">
        <v>4493</v>
      </c>
      <c r="AS28" t="inlineStr">
        <is>
          <t>Net cash from financing activities</t>
        </is>
      </c>
      <c r="AT28" t="n">
        <v>4493</v>
      </c>
      <c r="AU28" t="n">
        <v>13</v>
      </c>
      <c r="AV28" t="n">
        <v>24488</v>
      </c>
      <c r="AW28" t="n">
        <v>11856</v>
      </c>
      <c r="AX28" t="n">
        <v>35362</v>
      </c>
      <c r="AY28" t="n">
        <v>30194</v>
      </c>
      <c r="AZ28" t="n">
        <v>69123</v>
      </c>
      <c r="BA28" t="n">
        <v>56490</v>
      </c>
    </row>
    <row r="29">
      <c r="A29" s="5" t="inlineStr">
        <is>
          <t>Cash and cash equivalents at end of year</t>
        </is>
      </c>
      <c r="B29" s="5" t="n">
        <v>1427479</v>
      </c>
      <c r="C29" s="5" t="n">
        <v>1492018</v>
      </c>
      <c r="D29" s="5" t="n">
        <v>543665</v>
      </c>
      <c r="E29" s="5" t="n">
        <v>145644</v>
      </c>
      <c r="F29" s="5" t="n">
        <v>50558</v>
      </c>
      <c r="G29" s="5" t="n">
        <v>19215</v>
      </c>
      <c r="H29" s="5" t="n">
        <v>796</v>
      </c>
      <c r="I29" s="5" t="n">
        <v>3804</v>
      </c>
      <c r="AS29" t="inlineStr">
        <is>
          <t>Cash and cash equivalents at end of year</t>
        </is>
      </c>
      <c r="AT29" t="n">
        <v>3804</v>
      </c>
      <c r="AU29" t="n">
        <v>796</v>
      </c>
      <c r="AV29" t="n">
        <v>19215</v>
      </c>
      <c r="AW29" t="n">
        <v>50558</v>
      </c>
      <c r="AX29" t="n">
        <v>145644</v>
      </c>
      <c r="AY29" t="n">
        <v>543665</v>
      </c>
      <c r="AZ29" t="n">
        <v>1492018</v>
      </c>
      <c r="BA29" t="n">
        <v>1427479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n"/>
      <c r="C33" s="6" t="n"/>
      <c r="D33" s="6" t="inlineStr">
        <is>
          <t>15.94%</t>
        </is>
      </c>
      <c r="E33" s="6" t="inlineStr">
        <is>
          <t>16.16%</t>
        </is>
      </c>
      <c r="F33" s="6" t="inlineStr">
        <is>
          <t>23%</t>
        </is>
      </c>
      <c r="G33" s="6" t="n"/>
      <c r="H33" s="6" t="n"/>
      <c r="I33" s="6" t="n"/>
    </row>
    <row r="34">
      <c r="A34" s="6" t="inlineStr">
        <is>
          <t>Tier 1 Ratio</t>
        </is>
      </c>
      <c r="B34" s="6" t="n"/>
      <c r="C34" s="6" t="n"/>
      <c r="D34" s="6" t="inlineStr">
        <is>
          <t>15.94%</t>
        </is>
      </c>
      <c r="E34" s="6" t="inlineStr">
        <is>
          <t>16.16%</t>
        </is>
      </c>
      <c r="F34" s="6" t="inlineStr">
        <is>
          <t>23%</t>
        </is>
      </c>
      <c r="G34" s="6" t="n"/>
      <c r="H34" s="6" t="n"/>
      <c r="I34" s="6" t="n"/>
    </row>
    <row r="35">
      <c r="A35" s="6" t="inlineStr">
        <is>
          <t>Total Capital Ratio</t>
        </is>
      </c>
      <c r="B35" s="6" t="inlineStr">
        <is>
          <t>18.8%</t>
        </is>
      </c>
      <c r="C35" s="6" t="inlineStr">
        <is>
          <t>22.5%</t>
        </is>
      </c>
      <c r="D35" s="6" t="inlineStr">
        <is>
          <t>19.27%</t>
        </is>
      </c>
      <c r="E35" s="6" t="inlineStr">
        <is>
          <t>18.81%</t>
        </is>
      </c>
      <c r="F35" s="6" t="inlineStr">
        <is>
          <t>23%</t>
        </is>
      </c>
      <c r="G35" s="6" t="n"/>
      <c r="H35" s="6" t="n"/>
      <c r="I35" s="6" t="n"/>
    </row>
    <row r="36">
      <c r="A36" s="6" t="inlineStr">
        <is>
          <t>Leverage Ratio</t>
        </is>
      </c>
      <c r="B36" s="6" t="inlineStr">
        <is>
          <t>9.2%</t>
        </is>
      </c>
      <c r="C36" s="6" t="inlineStr">
        <is>
          <t>12.7%</t>
        </is>
      </c>
      <c r="D36" s="6" t="inlineStr">
        <is>
          <t>10.69%</t>
        </is>
      </c>
      <c r="E36" s="6" t="inlineStr">
        <is>
          <t>12.17%</t>
        </is>
      </c>
      <c r="F36" s="6" t="inlineStr">
        <is>
          <t>15%</t>
        </is>
      </c>
      <c r="G36" s="6" t="n"/>
      <c r="H36" s="6" t="n"/>
      <c r="I36" s="6" t="n"/>
    </row>
    <row r="37">
      <c r="A37" s="6" t="inlineStr">
        <is>
          <t>LCR</t>
        </is>
      </c>
      <c r="B37" s="6" t="inlineStr">
        <is>
          <t>296%</t>
        </is>
      </c>
      <c r="C37" s="6" t="inlineStr">
        <is>
          <t>460%</t>
        </is>
      </c>
      <c r="D37" s="6" t="inlineStr">
        <is>
          <t>545.2%</t>
        </is>
      </c>
      <c r="E37" s="6" t="inlineStr">
        <is>
          <t>2,132%</t>
        </is>
      </c>
      <c r="F37" s="6" t="inlineStr">
        <is>
          <t>1,090%</t>
        </is>
      </c>
      <c r="G37" s="6" t="n"/>
      <c r="H37" s="6" t="n"/>
      <c r="I37" s="6" t="n"/>
    </row>
    <row r="38">
      <c r="A38" s="6" t="inlineStr">
        <is>
          <t>NSFR</t>
        </is>
      </c>
      <c r="B38" s="6" t="n"/>
      <c r="C38" s="6" t="n"/>
      <c r="D38" s="6" t="inlineStr">
        <is>
          <t>201.1%</t>
        </is>
      </c>
      <c r="E38" s="6" t="inlineStr">
        <is>
          <t>149.1%</t>
        </is>
      </c>
      <c r="F38" s="6" t="n"/>
      <c r="G38" s="6" t="n"/>
      <c r="H38" s="6" t="n"/>
      <c r="I38" s="6" t="n"/>
    </row>
    <row r="40" ht="45" customHeight="1">
      <c r="A40" s="7" t="inlineStr">
        <is>
          <t>Note: Eight financial years are covered (FY2018-FY2025), back to Oxbury's confirmed historical floor: the company's own incorporation date of 25 May 2018. All statements use Oxbury Bank Plc Company columns. Dedicated Pillar 3 quantitative disclosures were located for FY2022-FY2023; FY2024-FY2025 capital/liquidity KPI ratios come from the annual reports, and FY2021 KPI ratios from the FY2021 annual report; FY2018-FY2020 have no capital/liquidity ratios at all (genuinely not disclosed - the bank was pre-launch, see the ENTITY/BASIS NOTE's HISTORY NOTE). Blank cells represent metrics not disclosed for that year, not zero. FY2018-FY2020 also show nil loans, nil deposits and nil interest income/expense - genuine pre-launch figures, not gaps. See the Balance Sheet/Profit &amp; Loss/Statement of Changes in Equity sheets for the £10k FY2022 P&amp;L-vs-equity-statement inconsistency this Overview's equity movement figures follow.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Balance Sheet</t>
        </is>
      </c>
    </row>
    <row r="2">
      <c r="A2" s="2" t="inlineStr">
        <is>
          <t>Company/entity-level basis, £'000. Investment Securities and the Net Deferred Tax Liability line are new FY2025 items (blank in earlier years, not zero); Investment in Subsidiary starts FY2022 (the Naqoda Ltd/Oxbury Earth Ltd acquisition, January 2022); Net Deferred Tax Asset is blank FY2025 (a small Net Deferred Tax Liability instead) and FY2021 (not disclosed as a separate line that early). Subordinated Debt is blank FY2021 (nil that year). FY2018-FY2020 predate any lending or deposit-taking and use a simpler pre-launch balance sheet shape: 'Cash and Cash Equivalents (undifferentiated)', 'Loans and Advances to Banks (undifferentiated)', 'Debt Securities (Gilts)', 'Accrued Income and Prepayments' and 'Trade Payables' are blank from FY2021 onward, when the statement splits cash between Bank of England/Credit Institutions and folds accrued income into Other Assets; Loans and Advances to Customers and Customer Deposits are explicit £0 for FY2020 (disclosed as nil, the bank was authorised but had not yet launched) and blank (no such line existed) for FY2018-FY2019.</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Cash Equivalents (undifferentiated)</t>
        </is>
      </c>
      <c r="B5" s="6" t="n"/>
      <c r="C5" s="6" t="n"/>
      <c r="D5" s="6" t="n"/>
      <c r="E5" s="6" t="n"/>
      <c r="F5" s="6" t="n"/>
      <c r="G5" s="6" t="n">
        <v>51</v>
      </c>
      <c r="H5" s="6" t="n">
        <v>796</v>
      </c>
      <c r="I5" s="6" t="n">
        <v>3804</v>
      </c>
    </row>
    <row r="6">
      <c r="A6" s="6" t="inlineStr">
        <is>
          <t>Cash at Bank of England</t>
        </is>
      </c>
      <c r="B6" s="6" t="n">
        <v>1406822</v>
      </c>
      <c r="C6" s="6" t="n">
        <v>1470898</v>
      </c>
      <c r="D6" s="6" t="n">
        <v>530991</v>
      </c>
      <c r="E6" s="6" t="n">
        <v>130522</v>
      </c>
      <c r="F6" s="6" t="n">
        <v>44016</v>
      </c>
      <c r="G6" s="6" t="n"/>
      <c r="H6" s="6" t="n"/>
      <c r="I6" s="6" t="n"/>
    </row>
    <row r="7">
      <c r="A7" s="6" t="inlineStr">
        <is>
          <t>Cash at Credit Institutions</t>
        </is>
      </c>
      <c r="B7" s="6" t="n">
        <v>20657</v>
      </c>
      <c r="C7" s="6" t="n">
        <v>21120</v>
      </c>
      <c r="D7" s="6" t="n">
        <v>12674</v>
      </c>
      <c r="E7" s="6" t="n">
        <v>15122</v>
      </c>
      <c r="F7" s="6" t="n">
        <v>6542</v>
      </c>
      <c r="G7" s="6" t="n"/>
      <c r="H7" s="6" t="n"/>
      <c r="I7" s="6" t="n"/>
    </row>
    <row r="8">
      <c r="A8" s="6" t="inlineStr">
        <is>
          <t>Loans and Advances to Banks (undifferentiated)</t>
        </is>
      </c>
      <c r="B8" s="6" t="n"/>
      <c r="C8" s="6" t="n"/>
      <c r="D8" s="6" t="n"/>
      <c r="E8" s="6" t="n"/>
      <c r="F8" s="6" t="n"/>
      <c r="G8" s="6" t="n">
        <v>19164</v>
      </c>
      <c r="H8" s="6" t="n"/>
      <c r="I8" s="6" t="n"/>
    </row>
    <row r="9">
      <c r="A9" s="6" t="inlineStr">
        <is>
          <t>Debt Securities (Gilts)</t>
        </is>
      </c>
      <c r="B9" s="6" t="n"/>
      <c r="C9" s="6" t="n"/>
      <c r="D9" s="6" t="n"/>
      <c r="E9" s="6" t="n"/>
      <c r="F9" s="6" t="n"/>
      <c r="G9" s="6" t="n">
        <v>50</v>
      </c>
      <c r="H9" s="6" t="n"/>
      <c r="I9" s="6" t="n"/>
    </row>
    <row r="10">
      <c r="A10" s="6" t="inlineStr">
        <is>
          <t>Investment Securities</t>
        </is>
      </c>
      <c r="B10" s="6" t="n">
        <v>373924</v>
      </c>
      <c r="C10" s="6" t="n"/>
      <c r="D10" s="6" t="n"/>
      <c r="E10" s="6" t="n"/>
      <c r="F10" s="6" t="n"/>
      <c r="G10" s="6" t="n"/>
      <c r="H10" s="6" t="n"/>
      <c r="I10" s="6" t="n"/>
    </row>
    <row r="11">
      <c r="A11" s="6" t="inlineStr">
        <is>
          <t>Loans and Advances to Customers</t>
        </is>
      </c>
      <c r="B11" s="6" t="n">
        <v>1748444</v>
      </c>
      <c r="C11" s="6" t="n">
        <v>1021621</v>
      </c>
      <c r="D11" s="6" t="n">
        <v>605711</v>
      </c>
      <c r="E11" s="6" t="n">
        <v>349532</v>
      </c>
      <c r="F11" s="6" t="n">
        <v>110545</v>
      </c>
      <c r="G11" s="6" t="n">
        <v>0</v>
      </c>
      <c r="H11" s="6" t="n"/>
      <c r="I11" s="6" t="n"/>
    </row>
    <row r="12">
      <c r="A12" s="6" t="inlineStr">
        <is>
          <t>Investment in Subsidiary</t>
        </is>
      </c>
      <c r="B12" s="6" t="n">
        <v>2466</v>
      </c>
      <c r="C12" s="6" t="n">
        <v>2466</v>
      </c>
      <c r="D12" s="6" t="n">
        <v>2466</v>
      </c>
      <c r="E12" s="6" t="n">
        <v>2466</v>
      </c>
      <c r="F12" s="6" t="n"/>
      <c r="G12" s="6" t="n"/>
      <c r="H12" s="6" t="n"/>
      <c r="I12" s="6" t="n"/>
    </row>
    <row r="13">
      <c r="A13" s="6" t="inlineStr">
        <is>
          <t>Other Assets</t>
        </is>
      </c>
      <c r="B13" s="6" t="n">
        <v>3332</v>
      </c>
      <c r="C13" s="6" t="n">
        <v>2598</v>
      </c>
      <c r="D13" s="6" t="n">
        <v>2487</v>
      </c>
      <c r="E13" s="6" t="n">
        <v>1025</v>
      </c>
      <c r="F13" s="6" t="n">
        <v>460</v>
      </c>
      <c r="G13" s="6" t="n"/>
      <c r="H13" s="6" t="n"/>
      <c r="I13" s="6" t="n"/>
    </row>
    <row r="14">
      <c r="A14" s="6" t="inlineStr">
        <is>
          <t>Accrued Income and Prepayments</t>
        </is>
      </c>
      <c r="B14" s="6" t="n"/>
      <c r="C14" s="6" t="n"/>
      <c r="D14" s="6" t="n"/>
      <c r="E14" s="6" t="n"/>
      <c r="F14" s="6" t="n"/>
      <c r="G14" s="6" t="n">
        <v>292</v>
      </c>
      <c r="H14" s="6" t="n">
        <v>27</v>
      </c>
      <c r="I14" s="6" t="n">
        <v>23</v>
      </c>
    </row>
    <row r="15">
      <c r="A15" s="6" t="inlineStr">
        <is>
          <t>Property, Plant &amp; Equipment</t>
        </is>
      </c>
      <c r="B15" s="6" t="n">
        <v>550</v>
      </c>
      <c r="C15" s="6" t="n">
        <v>786</v>
      </c>
      <c r="D15" s="6" t="n">
        <v>971</v>
      </c>
      <c r="E15" s="6" t="n">
        <v>429</v>
      </c>
      <c r="F15" s="6" t="n">
        <v>486</v>
      </c>
      <c r="G15" s="6" t="n">
        <v>60</v>
      </c>
      <c r="H15" s="6" t="n">
        <v>45</v>
      </c>
      <c r="I15" s="6" t="n">
        <v>13</v>
      </c>
    </row>
    <row r="16">
      <c r="A16" s="6" t="inlineStr">
        <is>
          <t>Intangible Assets</t>
        </is>
      </c>
      <c r="B16" s="6" t="n">
        <v>5713</v>
      </c>
      <c r="C16" s="6" t="n">
        <v>5426</v>
      </c>
      <c r="D16" s="6" t="n">
        <v>5416</v>
      </c>
      <c r="E16" s="6" t="n">
        <v>4252</v>
      </c>
      <c r="F16" s="6" t="n">
        <v>3768</v>
      </c>
      <c r="G16" s="6" t="n">
        <v>3046</v>
      </c>
      <c r="H16" s="6" t="n">
        <v>1277</v>
      </c>
      <c r="I16" s="6" t="n">
        <v>197</v>
      </c>
    </row>
    <row r="17">
      <c r="A17" s="6" t="inlineStr">
        <is>
          <t>Net Deferred Tax Asset</t>
        </is>
      </c>
      <c r="B17" s="6" t="n"/>
      <c r="C17" s="6" t="n">
        <v>1942</v>
      </c>
      <c r="D17" s="6" t="n">
        <v>3209</v>
      </c>
      <c r="E17" s="6" t="n">
        <v>4283</v>
      </c>
      <c r="F17" s="6" t="n"/>
      <c r="G17" s="6" t="n"/>
      <c r="H17" s="6" t="n"/>
      <c r="I17" s="6" t="n"/>
    </row>
    <row r="18">
      <c r="A18" s="5" t="inlineStr">
        <is>
          <t>Total Assets</t>
        </is>
      </c>
      <c r="B18" s="5" t="n">
        <v>3561908</v>
      </c>
      <c r="C18" s="5" t="n">
        <v>2526857</v>
      </c>
      <c r="D18" s="5" t="n">
        <v>1163925</v>
      </c>
      <c r="E18" s="5" t="n">
        <v>508358</v>
      </c>
      <c r="F18" s="5" t="n">
        <v>165817</v>
      </c>
      <c r="G18" s="5" t="n">
        <v>22663</v>
      </c>
      <c r="H18" s="5" t="n">
        <v>2145</v>
      </c>
      <c r="I18" s="5" t="n">
        <v>4037</v>
      </c>
    </row>
    <row r="19">
      <c r="A19" s="5" t="inlineStr">
        <is>
          <t>Liabilities</t>
        </is>
      </c>
      <c r="B19" s="6" t="n"/>
      <c r="C19" s="6" t="n"/>
      <c r="D19" s="6" t="n"/>
      <c r="E19" s="6" t="n"/>
      <c r="F19" s="6" t="n"/>
      <c r="G19" s="6" t="n"/>
      <c r="H19" s="6" t="n"/>
      <c r="I19" s="6" t="n"/>
    </row>
    <row r="20">
      <c r="A20" s="6" t="inlineStr">
        <is>
          <t>Customer Deposits</t>
        </is>
      </c>
      <c r="B20" s="6" t="n">
        <v>3309014</v>
      </c>
      <c r="C20" s="6" t="n">
        <v>2350433</v>
      </c>
      <c r="D20" s="6" t="n">
        <v>1060658</v>
      </c>
      <c r="E20" s="6" t="n">
        <v>441918</v>
      </c>
      <c r="F20" s="6" t="n">
        <v>138217</v>
      </c>
      <c r="G20" s="6" t="n">
        <v>0</v>
      </c>
      <c r="H20" s="6" t="n"/>
      <c r="I20" s="6" t="n"/>
    </row>
    <row r="21">
      <c r="A21" s="6" t="inlineStr">
        <is>
          <t>Trade Payables</t>
        </is>
      </c>
      <c r="B21" s="6" t="n"/>
      <c r="C21" s="6" t="n"/>
      <c r="D21" s="6" t="n"/>
      <c r="E21" s="6" t="n"/>
      <c r="F21" s="6" t="n"/>
      <c r="G21" s="6" t="n">
        <v>128</v>
      </c>
      <c r="H21" s="6" t="n"/>
      <c r="I21" s="6" t="n"/>
    </row>
    <row r="22">
      <c r="A22" s="6" t="inlineStr">
        <is>
          <t>Other Liabilities and Accruals</t>
        </is>
      </c>
      <c r="B22" s="6" t="n">
        <v>7993</v>
      </c>
      <c r="C22" s="6" t="n">
        <v>3319</v>
      </c>
      <c r="D22" s="6" t="n">
        <v>7409</v>
      </c>
      <c r="E22" s="6" t="n">
        <v>4617</v>
      </c>
      <c r="F22" s="6" t="n">
        <v>1202</v>
      </c>
      <c r="G22" s="6" t="n">
        <v>635</v>
      </c>
      <c r="H22" s="6" t="n">
        <v>677</v>
      </c>
      <c r="I22" s="6" t="n">
        <v>285</v>
      </c>
    </row>
    <row r="23">
      <c r="A23" s="6" t="inlineStr">
        <is>
          <t>Subordinated Debt</t>
        </is>
      </c>
      <c r="B23" s="6" t="n">
        <v>34191</v>
      </c>
      <c r="C23" s="6" t="n">
        <v>17798</v>
      </c>
      <c r="D23" s="6" t="n">
        <v>15191</v>
      </c>
      <c r="E23" s="6" t="n">
        <v>7665</v>
      </c>
      <c r="F23" s="6" t="n"/>
      <c r="G23" s="6" t="n"/>
      <c r="H23" s="6" t="n"/>
      <c r="I23" s="6" t="n"/>
    </row>
    <row r="24">
      <c r="A24" s="6" t="inlineStr">
        <is>
          <t>Net Deferred Tax Liability</t>
        </is>
      </c>
      <c r="B24" s="6" t="n">
        <v>431</v>
      </c>
      <c r="C24" s="6" t="n"/>
      <c r="D24" s="6" t="n"/>
      <c r="E24" s="6" t="n"/>
      <c r="F24" s="6" t="n"/>
      <c r="G24" s="6" t="n"/>
      <c r="H24" s="6" t="n"/>
      <c r="I24" s="6" t="n"/>
    </row>
    <row r="25">
      <c r="A25" s="5" t="inlineStr">
        <is>
          <t>Total Liabilities</t>
        </is>
      </c>
      <c r="B25" s="5" t="n">
        <v>3351629</v>
      </c>
      <c r="C25" s="5" t="n">
        <v>2371550</v>
      </c>
      <c r="D25" s="5" t="n">
        <v>1083258</v>
      </c>
      <c r="E25" s="5" t="n">
        <v>454200</v>
      </c>
      <c r="F25" s="5" t="n">
        <v>139419</v>
      </c>
      <c r="G25" s="5" t="n">
        <v>763</v>
      </c>
      <c r="H25" s="5" t="n">
        <v>677</v>
      </c>
      <c r="I25" s="5" t="n">
        <v>285</v>
      </c>
    </row>
    <row r="26">
      <c r="A26" s="5" t="inlineStr">
        <is>
          <t>Equity</t>
        </is>
      </c>
      <c r="B26" s="6" t="n"/>
      <c r="C26" s="6" t="n"/>
      <c r="D26" s="6" t="n"/>
      <c r="E26" s="6" t="n"/>
      <c r="F26" s="6" t="n"/>
      <c r="G26" s="6" t="n"/>
      <c r="H26" s="6" t="n"/>
      <c r="I26" s="6" t="n"/>
    </row>
    <row r="27">
      <c r="A27" s="6" t="inlineStr">
        <is>
          <t>Called Up Share Capital</t>
        </is>
      </c>
      <c r="B27" s="6" t="n">
        <v>1156</v>
      </c>
      <c r="C27" s="6" t="n">
        <v>1028</v>
      </c>
      <c r="D27" s="6" t="n">
        <v>762</v>
      </c>
      <c r="E27" s="6" t="n">
        <v>650</v>
      </c>
      <c r="F27" s="6" t="n">
        <v>514</v>
      </c>
      <c r="G27" s="6" t="n">
        <v>448</v>
      </c>
      <c r="H27" s="6" t="n">
        <v>274</v>
      </c>
      <c r="I27" s="6" t="n">
        <v>264</v>
      </c>
    </row>
    <row r="28">
      <c r="A28" s="6" t="inlineStr">
        <is>
          <t>Share Premium</t>
        </is>
      </c>
      <c r="B28" s="6" t="n">
        <v>203356</v>
      </c>
      <c r="C28" s="6" t="n">
        <v>160636</v>
      </c>
      <c r="D28" s="6" t="n">
        <v>92226</v>
      </c>
      <c r="E28" s="6" t="n">
        <v>68302</v>
      </c>
      <c r="F28" s="6" t="n">
        <v>40424</v>
      </c>
      <c r="G28" s="6" t="n">
        <v>28541</v>
      </c>
      <c r="H28" s="6" t="n">
        <v>4229</v>
      </c>
      <c r="I28" s="6" t="n">
        <v>4229</v>
      </c>
    </row>
    <row r="29">
      <c r="A29" s="6" t="inlineStr">
        <is>
          <t>Accumulated Profits/(Losses)</t>
        </is>
      </c>
      <c r="B29" s="6" t="n">
        <v>5196</v>
      </c>
      <c r="C29" s="6" t="n">
        <v>-6724</v>
      </c>
      <c r="D29" s="6" t="n">
        <v>-12587</v>
      </c>
      <c r="E29" s="6" t="n">
        <v>-14901</v>
      </c>
      <c r="F29" s="6" t="n">
        <v>-14557</v>
      </c>
      <c r="G29" s="6" t="n">
        <v>-7094</v>
      </c>
      <c r="H29" s="6" t="n">
        <v>-3038</v>
      </c>
      <c r="I29" s="6" t="n">
        <v>-741</v>
      </c>
    </row>
    <row r="30">
      <c r="A30" s="6" t="inlineStr">
        <is>
          <t>Share-based payment / capital contribution reserve (Note 23)</t>
        </is>
      </c>
      <c r="B30" s="6" t="n">
        <v>571</v>
      </c>
      <c r="C30" s="6" t="n">
        <v>367</v>
      </c>
      <c r="D30" s="6" t="n">
        <v>266</v>
      </c>
      <c r="E30" s="6" t="n">
        <v>107</v>
      </c>
      <c r="F30" s="6" t="n">
        <v>17</v>
      </c>
      <c r="G30" s="6" t="n">
        <v>5</v>
      </c>
      <c r="H30" s="6" t="n">
        <v>3</v>
      </c>
      <c r="I30" s="6" t="n"/>
    </row>
    <row r="31">
      <c r="A31" s="5" t="inlineStr">
        <is>
          <t>Total Equity</t>
        </is>
      </c>
      <c r="B31" s="5" t="n">
        <v>210279</v>
      </c>
      <c r="C31" s="5" t="n">
        <v>155307</v>
      </c>
      <c r="D31" s="5" t="n">
        <v>80667</v>
      </c>
      <c r="E31" s="5" t="n">
        <v>54158</v>
      </c>
      <c r="F31" s="5" t="n">
        <v>26398</v>
      </c>
      <c r="G31" s="5" t="n">
        <v>21900</v>
      </c>
      <c r="H31" s="5" t="n">
        <v>1468</v>
      </c>
      <c r="I31" s="5" t="n">
        <v>3752</v>
      </c>
    </row>
    <row r="32">
      <c r="A32" s="5" t="inlineStr">
        <is>
          <t>Total Liabilities &amp; Equity</t>
        </is>
      </c>
      <c r="B32" s="5" t="n">
        <v>3561908</v>
      </c>
      <c r="C32" s="5" t="n">
        <v>2526857</v>
      </c>
      <c r="D32" s="5" t="n">
        <v>1163925</v>
      </c>
      <c r="E32" s="5" t="n">
        <v>508358</v>
      </c>
      <c r="F32" s="5" t="n">
        <v>165817</v>
      </c>
      <c r="G32" s="5" t="n">
        <v>22663</v>
      </c>
      <c r="H32" s="5" t="n">
        <v>2145</v>
      </c>
      <c r="I32" s="5" t="n">
        <v>4037</v>
      </c>
    </row>
    <row r="34" ht="380" customHeight="1">
      <c r="A34"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34:I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Profit &amp; Loss</t>
        </is>
      </c>
    </row>
    <row r="2">
      <c r="A2" s="2" t="inlineStr">
        <is>
          <t>Company/entity-level basis, £'000. FY2022's Profit/(Loss) after tax of £(344)k reflects the source P&amp;L's own figure - see the DATA QUALITY NOTE in the source citation for the £10k inconsistency against that year's own equity statement. Blank cells indicate that year's own report did not disclose that specific split. FY2018-FY2020 predate any lending, so interest income/expense are explicit £0 (disclosed as nil, not undisclosed); FY2018's own source P&amp;L states its operating subtotal ('Loss from operations', £(741)k) BEFORE deducting that period's £1k of depreciation, unlike every later year - this sheet's 'Operating Profit/(Loss) before expected credit loss provisions' figure of £(742)k for FY2018 instead follows the same convention as every other year (Staff Costs + Other Operating Expense + Depreciation &amp; Amortisation), which nets to the source's own £(741)k Loss before tax once combined with that period's £1k of net finance income - both vintages agree exactly on the bottom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receivable - on loans and advances to customers</t>
        </is>
      </c>
      <c r="B5" s="6" t="n"/>
      <c r="C5" s="6" t="n"/>
      <c r="D5" s="6" t="n">
        <v>34375</v>
      </c>
      <c r="E5" s="6" t="n">
        <v>9222</v>
      </c>
      <c r="F5" s="6" t="n">
        <v>865</v>
      </c>
      <c r="G5" s="6" t="n"/>
      <c r="H5" s="6" t="n"/>
      <c r="I5" s="6" t="n"/>
    </row>
    <row r="6">
      <c r="A6" s="6" t="inlineStr">
        <is>
          <t>Interest income - deposits placed with financial institutions</t>
        </is>
      </c>
      <c r="B6" s="6" t="n"/>
      <c r="C6" s="6" t="n"/>
      <c r="D6" s="6" t="n">
        <v>14255</v>
      </c>
      <c r="E6" s="6" t="n">
        <v>1254</v>
      </c>
      <c r="F6" s="6" t="n">
        <v>39</v>
      </c>
      <c r="G6" s="6" t="n"/>
      <c r="H6" s="6" t="n"/>
      <c r="I6" s="6" t="n"/>
    </row>
    <row r="7">
      <c r="A7" s="5" t="inlineStr">
        <is>
          <t>Total interest income</t>
        </is>
      </c>
      <c r="B7" s="5" t="n">
        <v>151488</v>
      </c>
      <c r="C7" s="5" t="n">
        <v>112467</v>
      </c>
      <c r="D7" s="5" t="n">
        <v>48630</v>
      </c>
      <c r="E7" s="5" t="n">
        <v>10476</v>
      </c>
      <c r="F7" s="5" t="n">
        <v>904</v>
      </c>
      <c r="G7" s="5" t="n">
        <v>0</v>
      </c>
      <c r="H7" s="5" t="n">
        <v>0</v>
      </c>
      <c r="I7" s="5" t="n">
        <v>0</v>
      </c>
    </row>
    <row r="8">
      <c r="A8" s="6" t="inlineStr">
        <is>
          <t>Interest payable &amp; similar expenditure</t>
        </is>
      </c>
      <c r="B8" s="6" t="n">
        <v>-104252</v>
      </c>
      <c r="C8" s="6" t="n">
        <v>-81060</v>
      </c>
      <c r="D8" s="6" t="n">
        <v>-29258</v>
      </c>
      <c r="E8" s="6" t="n">
        <v>-4798</v>
      </c>
      <c r="F8" s="6" t="n">
        <v>-542</v>
      </c>
      <c r="G8" s="6" t="n">
        <v>0</v>
      </c>
      <c r="H8" s="6" t="n"/>
      <c r="I8" s="6" t="n"/>
    </row>
    <row r="9">
      <c r="A9" s="5" t="inlineStr">
        <is>
          <t>Net Interest Income</t>
        </is>
      </c>
      <c r="B9" s="5" t="n">
        <v>47236</v>
      </c>
      <c r="C9" s="5" t="n">
        <v>31407</v>
      </c>
      <c r="D9" s="5" t="n">
        <v>19372</v>
      </c>
      <c r="E9" s="5" t="n">
        <v>5678</v>
      </c>
      <c r="F9" s="5" t="n">
        <v>362</v>
      </c>
      <c r="G9" s="5" t="n">
        <v>0</v>
      </c>
      <c r="H9" s="5" t="n">
        <v>0</v>
      </c>
      <c r="I9" s="5" t="n">
        <v>0</v>
      </c>
    </row>
    <row r="10">
      <c r="A10" s="6" t="inlineStr">
        <is>
          <t>Other Income/(Expenditure)</t>
        </is>
      </c>
      <c r="B10" s="6" t="n">
        <v>169</v>
      </c>
      <c r="C10" s="6" t="n">
        <v>-104</v>
      </c>
      <c r="D10" s="6" t="n">
        <v>22</v>
      </c>
      <c r="E10" s="6" t="n">
        <v>-35</v>
      </c>
      <c r="F10" s="6" t="n">
        <v>-10</v>
      </c>
      <c r="G10" s="6" t="n">
        <v>24</v>
      </c>
      <c r="H10" s="6" t="n"/>
      <c r="I10" s="6" t="n"/>
    </row>
    <row r="11">
      <c r="A11" s="5" t="inlineStr">
        <is>
          <t>Total Net Income</t>
        </is>
      </c>
      <c r="B11" s="5" t="n">
        <v>47405</v>
      </c>
      <c r="C11" s="5" t="n">
        <v>31303</v>
      </c>
      <c r="D11" s="5" t="n">
        <v>19394</v>
      </c>
      <c r="E11" s="5" t="n">
        <v>5643</v>
      </c>
      <c r="F11" s="5" t="n">
        <v>352</v>
      </c>
      <c r="G11" s="5" t="n">
        <v>24</v>
      </c>
      <c r="H11" s="5" t="n">
        <v>0</v>
      </c>
      <c r="I11" s="5" t="n">
        <v>0</v>
      </c>
    </row>
    <row r="12">
      <c r="A12" s="6" t="inlineStr">
        <is>
          <t>Staff Costs</t>
        </is>
      </c>
      <c r="B12" s="6" t="n">
        <v>-14854</v>
      </c>
      <c r="C12" s="6" t="n">
        <v>-10741</v>
      </c>
      <c r="D12" s="6" t="n">
        <v>-7844</v>
      </c>
      <c r="E12" s="6" t="n">
        <v>-5514</v>
      </c>
      <c r="F12" s="6" t="n">
        <v>-4035</v>
      </c>
      <c r="G12" s="6" t="n">
        <v>-2361</v>
      </c>
      <c r="H12" s="6" t="n">
        <v>-1317</v>
      </c>
      <c r="I12" s="6" t="n">
        <v>-500</v>
      </c>
    </row>
    <row r="13">
      <c r="A13" s="6" t="inlineStr">
        <is>
          <t>Other Operating Expense</t>
        </is>
      </c>
      <c r="B13" s="6" t="n">
        <v>-11166</v>
      </c>
      <c r="C13" s="6" t="n">
        <v>-8039</v>
      </c>
      <c r="D13" s="6" t="n">
        <v>-5471</v>
      </c>
      <c r="E13" s="6" t="n">
        <v>-3875</v>
      </c>
      <c r="F13" s="6" t="n">
        <v>-2797</v>
      </c>
      <c r="G13" s="6" t="n">
        <v>-1886</v>
      </c>
      <c r="H13" s="6" t="n">
        <v>-935</v>
      </c>
      <c r="I13" s="6" t="n">
        <v>-241</v>
      </c>
    </row>
    <row r="14">
      <c r="A14" s="6" t="inlineStr">
        <is>
          <t>Depreciation &amp; Amortisation</t>
        </is>
      </c>
      <c r="B14" s="6" t="n">
        <v>-1932</v>
      </c>
      <c r="C14" s="6" t="n">
        <v>-1937</v>
      </c>
      <c r="D14" s="6" t="n">
        <v>-1319</v>
      </c>
      <c r="E14" s="6" t="n">
        <v>-1298</v>
      </c>
      <c r="F14" s="6" t="n">
        <v>-898</v>
      </c>
      <c r="G14" s="6" t="n">
        <v>-116</v>
      </c>
      <c r="H14" s="6" t="n">
        <v>-44</v>
      </c>
      <c r="I14" s="6" t="n">
        <v>-1</v>
      </c>
    </row>
    <row r="15">
      <c r="A15" s="5" t="inlineStr">
        <is>
          <t>Operating Profit/(Loss) before expected credit loss provisions</t>
        </is>
      </c>
      <c r="B15" s="5" t="n">
        <v>19453</v>
      </c>
      <c r="C15" s="5" t="n">
        <v>10586</v>
      </c>
      <c r="D15" s="5" t="n">
        <v>4760</v>
      </c>
      <c r="E15" s="5" t="n">
        <v>-5044</v>
      </c>
      <c r="F15" s="5" t="n">
        <v>-7378</v>
      </c>
      <c r="G15" s="5" t="n">
        <v>-4339</v>
      </c>
      <c r="H15" s="5" t="n">
        <v>-2296</v>
      </c>
      <c r="I15" s="5" t="n">
        <v>-742</v>
      </c>
    </row>
    <row r="16">
      <c r="A16" s="6" t="inlineStr">
        <is>
          <t>Expected credit loss on loans and advances</t>
        </is>
      </c>
      <c r="B16" s="6" t="n">
        <v>-1219</v>
      </c>
      <c r="C16" s="6" t="n">
        <v>-1031</v>
      </c>
      <c r="D16" s="6" t="n">
        <v>-464</v>
      </c>
      <c r="E16" s="6" t="n">
        <v>-95</v>
      </c>
      <c r="F16" s="6" t="n">
        <v>-85</v>
      </c>
      <c r="G16" s="6" t="n"/>
      <c r="H16" s="6" t="n"/>
      <c r="I16" s="6" t="n"/>
    </row>
    <row r="17">
      <c r="A17" s="5" t="inlineStr">
        <is>
          <t>Profit/(Loss) on Operations</t>
        </is>
      </c>
      <c r="B17" s="5" t="n">
        <v>18234</v>
      </c>
      <c r="C17" s="5" t="n">
        <v>9555</v>
      </c>
      <c r="D17" s="5" t="n">
        <v>4296</v>
      </c>
      <c r="E17" s="5" t="n">
        <v>-5139</v>
      </c>
      <c r="F17" s="5" t="n">
        <v>-7463</v>
      </c>
      <c r="G17" s="5" t="n">
        <v>-4339</v>
      </c>
      <c r="H17" s="5" t="n">
        <v>-2296</v>
      </c>
      <c r="I17" s="5" t="n">
        <v>-742</v>
      </c>
    </row>
    <row r="18">
      <c r="A18" s="6" t="inlineStr">
        <is>
          <t>Finance costs/Interest expense</t>
        </is>
      </c>
      <c r="B18" s="6" t="n">
        <v>-2507</v>
      </c>
      <c r="C18" s="6" t="n">
        <v>-2067</v>
      </c>
      <c r="D18" s="6" t="n">
        <v>-1249</v>
      </c>
      <c r="E18" s="6" t="n">
        <v>-215</v>
      </c>
      <c r="F18" s="6" t="n"/>
      <c r="G18" s="6" t="n">
        <v>-2</v>
      </c>
      <c r="H18" s="6" t="n">
        <v>-1</v>
      </c>
      <c r="I18" s="6" t="n">
        <v>1</v>
      </c>
    </row>
    <row r="19">
      <c r="A19" s="5" t="inlineStr">
        <is>
          <t>Profit/(Loss) from Ordinary Activities before tax</t>
        </is>
      </c>
      <c r="B19" s="5" t="n">
        <v>15727</v>
      </c>
      <c r="C19" s="5" t="n">
        <v>7488</v>
      </c>
      <c r="D19" s="5" t="n">
        <v>3047</v>
      </c>
      <c r="E19" s="5" t="n">
        <v>-5354</v>
      </c>
      <c r="F19" s="5" t="n">
        <v>-7463</v>
      </c>
      <c r="G19" s="5" t="n">
        <v>-4341</v>
      </c>
      <c r="H19" s="5" t="n">
        <v>-2297</v>
      </c>
      <c r="I19" s="5" t="n">
        <v>-741</v>
      </c>
    </row>
    <row r="20">
      <c r="A20" s="6" t="inlineStr">
        <is>
          <t>Taxation - Research &amp; Development Credit</t>
        </is>
      </c>
      <c r="B20" s="6" t="n"/>
      <c r="C20" s="6" t="n"/>
      <c r="D20" s="6" t="n"/>
      <c r="E20" s="6" t="n">
        <v>727</v>
      </c>
      <c r="F20" s="6" t="n"/>
      <c r="G20" s="6" t="n"/>
      <c r="H20" s="6" t="n"/>
      <c r="I20" s="6" t="n"/>
    </row>
    <row r="21">
      <c r="A21" s="6" t="inlineStr">
        <is>
          <t>Taxation - Deferred Tax</t>
        </is>
      </c>
      <c r="B21" s="6" t="n"/>
      <c r="C21" s="6" t="n"/>
      <c r="D21" s="6" t="n"/>
      <c r="E21" s="6" t="n">
        <v>4283</v>
      </c>
      <c r="F21" s="6" t="n"/>
      <c r="G21" s="6" t="n"/>
      <c r="H21" s="6" t="n"/>
      <c r="I21" s="6" t="n"/>
    </row>
    <row r="22">
      <c r="A22" s="6" t="inlineStr">
        <is>
          <t>Taxation - Income Tax</t>
        </is>
      </c>
      <c r="B22" s="6" t="n"/>
      <c r="C22" s="6" t="n"/>
      <c r="D22" s="6" t="n"/>
      <c r="E22" s="6" t="n">
        <v>0</v>
      </c>
      <c r="F22" s="6" t="n"/>
      <c r="G22" s="6" t="n"/>
      <c r="H22" s="6" t="n"/>
      <c r="I22" s="6" t="n"/>
    </row>
    <row r="23">
      <c r="A23" s="6" t="inlineStr">
        <is>
          <t>Taxation (combined)</t>
        </is>
      </c>
      <c r="B23" s="6" t="n">
        <v>-3807</v>
      </c>
      <c r="C23" s="6" t="n">
        <v>-1625</v>
      </c>
      <c r="D23" s="6" t="n">
        <v>-733</v>
      </c>
      <c r="E23" s="6" t="n"/>
      <c r="F23" s="6" t="n"/>
      <c r="G23" s="6" t="n">
        <v>285</v>
      </c>
      <c r="H23" s="6" t="n"/>
      <c r="I23" s="6" t="n"/>
    </row>
    <row r="24">
      <c r="A24" s="5" t="inlineStr">
        <is>
          <t>Profit/(Loss) from Ordinary Activities after tax</t>
        </is>
      </c>
      <c r="B24" s="5" t="n">
        <v>11920</v>
      </c>
      <c r="C24" s="5" t="n">
        <v>5863</v>
      </c>
      <c r="D24" s="5" t="n">
        <v>2314</v>
      </c>
      <c r="E24" s="5" t="n">
        <v>-344</v>
      </c>
      <c r="F24" s="5" t="n">
        <v>-7463</v>
      </c>
      <c r="G24" s="5" t="n">
        <v>-4056</v>
      </c>
      <c r="H24" s="5" t="n">
        <v>-2297</v>
      </c>
      <c r="I24" s="5" t="n">
        <v>-741</v>
      </c>
    </row>
    <row r="25">
      <c r="A25" s="5" t="inlineStr">
        <is>
          <t>Total Comprehensive Profit/(Loss)</t>
        </is>
      </c>
      <c r="B25" s="5" t="n">
        <v>11920</v>
      </c>
      <c r="C25" s="5" t="n">
        <v>5863</v>
      </c>
      <c r="D25" s="5" t="n">
        <v>2314</v>
      </c>
      <c r="E25" s="5" t="n">
        <v>-344</v>
      </c>
      <c r="F25" s="5" t="n">
        <v>-7463</v>
      </c>
      <c r="G25" s="5" t="n">
        <v>-4056</v>
      </c>
      <c r="H25" s="5" t="n">
        <v>-2297</v>
      </c>
      <c r="I25" s="5" t="n">
        <v>-741</v>
      </c>
    </row>
    <row r="27" ht="380" customHeight="1">
      <c r="A27"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27:I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Oxbury Bank Plc — Statement of Changes in Equity</t>
        </is>
      </c>
    </row>
    <row r="2">
      <c r="A2" s="2" t="inlineStr">
        <is>
          <t>Chronological roll-forward, oldest to newest, Company/entity-level basis, £'000. Equity reconciliation ladder confirmed: every year's own closing balance ties exactly to both the next year's own opening balance and that year's own Balance Sheet Total Equity - zero plug rows needed anywhere across all 8 years (FY2018-FY2025). FY2022's £(334)k Loss-for-the-year movement is this statement's own figure, £10k different from the P&amp;L's own £(344)k - see the source citation's DATA QUALITY NOTE. FY2018 opens at nil (the company's incorporation date, 25 May 2018) - there is no earlier balance to roll forward from.</t>
        </is>
      </c>
    </row>
    <row r="3">
      <c r="A3" s="4" t="inlineStr">
        <is>
          <t>Movement</t>
        </is>
      </c>
      <c r="B3" s="4" t="inlineStr">
        <is>
          <t>Called Up Share Capital</t>
        </is>
      </c>
      <c r="C3" s="4" t="inlineStr">
        <is>
          <t>Share Premium</t>
        </is>
      </c>
      <c r="D3" s="4" t="inlineStr">
        <is>
          <t>Accumulated Profits/(Losses)</t>
        </is>
      </c>
      <c r="E3" s="4" t="inlineStr">
        <is>
          <t>Share Based Payments</t>
        </is>
      </c>
      <c r="F3" s="4" t="inlineStr">
        <is>
          <t>Capital Contribution Reserve</t>
        </is>
      </c>
      <c r="G3" s="4" t="inlineStr">
        <is>
          <t>Total</t>
        </is>
      </c>
    </row>
    <row r="4">
      <c r="A4" s="5" t="inlineStr">
        <is>
          <t>At incorporation (25 May 2018)</t>
        </is>
      </c>
      <c r="B4" s="5" t="n">
        <v>0</v>
      </c>
      <c r="C4" s="5" t="n">
        <v>0</v>
      </c>
      <c r="D4" s="5" t="n">
        <v>0</v>
      </c>
      <c r="E4" s="5" t="n"/>
      <c r="F4" s="5" t="n"/>
      <c r="G4" s="5" t="n">
        <v>0</v>
      </c>
    </row>
    <row r="5">
      <c r="A5" s="6" t="inlineStr">
        <is>
          <t>Proceeds from Shares Issued</t>
        </is>
      </c>
      <c r="B5" s="6" t="n">
        <v>264</v>
      </c>
      <c r="C5" s="6" t="n">
        <v>4229</v>
      </c>
      <c r="D5" s="6" t="n"/>
      <c r="E5" s="6" t="n"/>
      <c r="F5" s="6" t="n"/>
      <c r="G5" s="6" t="n">
        <v>4493</v>
      </c>
    </row>
    <row r="6">
      <c r="A6" s="6" t="inlineStr">
        <is>
          <t>Loss for the period</t>
        </is>
      </c>
      <c r="B6" s="6" t="n"/>
      <c r="C6" s="6" t="n"/>
      <c r="D6" s="6" t="n">
        <v>-741</v>
      </c>
      <c r="E6" s="6" t="n"/>
      <c r="F6" s="6" t="n"/>
      <c r="G6" s="6" t="n">
        <v>-741</v>
      </c>
    </row>
    <row r="7">
      <c r="A7" s="5" t="inlineStr">
        <is>
          <t>At 31 December 2018 (FY2018 closing)</t>
        </is>
      </c>
      <c r="B7" s="5" t="n">
        <v>264</v>
      </c>
      <c r="C7" s="5" t="n">
        <v>4229</v>
      </c>
      <c r="D7" s="5" t="n">
        <v>-741</v>
      </c>
      <c r="E7" s="5" t="n"/>
      <c r="F7" s="5" t="n"/>
      <c r="G7" s="5" t="n">
        <v>3752</v>
      </c>
    </row>
    <row r="8">
      <c r="A8" s="6" t="inlineStr">
        <is>
          <t>Issue of Share Capital</t>
        </is>
      </c>
      <c r="B8" s="6" t="n">
        <v>10</v>
      </c>
      <c r="C8" s="6" t="n"/>
      <c r="D8" s="6" t="n"/>
      <c r="E8" s="6" t="n"/>
      <c r="F8" s="6" t="n"/>
      <c r="G8" s="6" t="n">
        <v>10</v>
      </c>
    </row>
    <row r="9">
      <c r="A9" s="6" t="inlineStr">
        <is>
          <t>Loss for the year</t>
        </is>
      </c>
      <c r="B9" s="6" t="n"/>
      <c r="C9" s="6" t="n"/>
      <c r="D9" s="6" t="n">
        <v>-2297</v>
      </c>
      <c r="E9" s="6" t="n"/>
      <c r="F9" s="6" t="n"/>
      <c r="G9" s="6" t="n">
        <v>-2297</v>
      </c>
    </row>
    <row r="10">
      <c r="A10" s="6" t="inlineStr">
        <is>
          <t>Employee based share awards</t>
        </is>
      </c>
      <c r="B10" s="6" t="n"/>
      <c r="C10" s="6" t="n"/>
      <c r="D10" s="6" t="n"/>
      <c r="E10" s="6" t="n">
        <v>3</v>
      </c>
      <c r="F10" s="6" t="n"/>
      <c r="G10" s="6" t="n">
        <v>3</v>
      </c>
    </row>
    <row r="11">
      <c r="A11" s="5" t="inlineStr">
        <is>
          <t>At 31 December 2019 (FY2019 closing)</t>
        </is>
      </c>
      <c r="B11" s="5" t="n">
        <v>274</v>
      </c>
      <c r="C11" s="5" t="n">
        <v>4229</v>
      </c>
      <c r="D11" s="5" t="n">
        <v>-3038</v>
      </c>
      <c r="E11" s="5" t="n">
        <v>3</v>
      </c>
      <c r="F11" s="5" t="n"/>
      <c r="G11" s="5" t="n">
        <v>1468</v>
      </c>
    </row>
    <row r="12">
      <c r="A12" s="6" t="inlineStr">
        <is>
          <t>Issue of Share Capital</t>
        </is>
      </c>
      <c r="B12" s="6" t="n">
        <v>174</v>
      </c>
      <c r="C12" s="6" t="n">
        <v>24312</v>
      </c>
      <c r="D12" s="6" t="n"/>
      <c r="E12" s="6" t="n"/>
      <c r="F12" s="6" t="n"/>
      <c r="G12" s="6" t="n">
        <v>24486</v>
      </c>
    </row>
    <row r="13">
      <c r="A13" s="6" t="inlineStr">
        <is>
          <t>Loss for the year</t>
        </is>
      </c>
      <c r="B13" s="6" t="n"/>
      <c r="C13" s="6" t="n"/>
      <c r="D13" s="6" t="n">
        <v>-4056</v>
      </c>
      <c r="E13" s="6" t="n"/>
      <c r="F13" s="6" t="n"/>
      <c r="G13" s="6" t="n">
        <v>-4056</v>
      </c>
    </row>
    <row r="14">
      <c r="A14" s="6" t="inlineStr">
        <is>
          <t>Employee based share awards</t>
        </is>
      </c>
      <c r="B14" s="6" t="n"/>
      <c r="C14" s="6" t="n"/>
      <c r="D14" s="6" t="n"/>
      <c r="E14" s="6" t="n">
        <v>2</v>
      </c>
      <c r="F14" s="6" t="n"/>
      <c r="G14" s="6" t="n">
        <v>2</v>
      </c>
    </row>
    <row r="15">
      <c r="A15" s="5" t="inlineStr">
        <is>
          <t>At 31 December 2020 (FY2021 opening)</t>
        </is>
      </c>
      <c r="B15" s="5" t="n">
        <v>448</v>
      </c>
      <c r="C15" s="5" t="n">
        <v>28541</v>
      </c>
      <c r="D15" s="5" t="n">
        <v>-7094</v>
      </c>
      <c r="E15" s="5" t="n">
        <v>5</v>
      </c>
      <c r="F15" s="5" t="n"/>
      <c r="G15" s="5" t="n">
        <v>21900</v>
      </c>
    </row>
    <row r="16">
      <c r="A16" s="6" t="inlineStr">
        <is>
          <t>Issue of Share Capital</t>
        </is>
      </c>
      <c r="B16" s="6" t="n">
        <v>66</v>
      </c>
      <c r="C16" s="6" t="n">
        <v>11883</v>
      </c>
      <c r="D16" s="6" t="n"/>
      <c r="E16" s="6" t="n"/>
      <c r="F16" s="6" t="n"/>
      <c r="G16" s="6" t="n">
        <v>11949</v>
      </c>
    </row>
    <row r="17">
      <c r="A17" s="6" t="inlineStr">
        <is>
          <t>Loss for the year</t>
        </is>
      </c>
      <c r="B17" s="6" t="n"/>
      <c r="C17" s="6" t="n"/>
      <c r="D17" s="6" t="n">
        <v>-7463</v>
      </c>
      <c r="E17" s="6" t="n"/>
      <c r="F17" s="6" t="n"/>
      <c r="G17" s="6" t="n">
        <v>-7463</v>
      </c>
    </row>
    <row r="18">
      <c r="A18" s="6" t="inlineStr">
        <is>
          <t>Employee based share awards</t>
        </is>
      </c>
      <c r="B18" s="6" t="n"/>
      <c r="C18" s="6" t="n"/>
      <c r="D18" s="6" t="n"/>
      <c r="E18" s="6" t="n">
        <v>12</v>
      </c>
      <c r="F18" s="6" t="n"/>
      <c r="G18" s="6" t="n">
        <v>12</v>
      </c>
    </row>
    <row r="19">
      <c r="A19" s="5" t="inlineStr">
        <is>
          <t>At 31 December 2021 (FY2021 closing)</t>
        </is>
      </c>
      <c r="B19" s="5" t="n">
        <v>514</v>
      </c>
      <c r="C19" s="5" t="n">
        <v>40424</v>
      </c>
      <c r="D19" s="5" t="n">
        <v>-14557</v>
      </c>
      <c r="E19" s="5" t="n">
        <v>17</v>
      </c>
      <c r="F19" s="5" t="n"/>
      <c r="G19" s="5" t="n">
        <v>26398</v>
      </c>
    </row>
    <row r="20">
      <c r="A20" s="6" t="inlineStr">
        <is>
          <t>Issue of Share Capital (net of costs)</t>
        </is>
      </c>
      <c r="B20" s="6" t="n">
        <v>136</v>
      </c>
      <c r="C20" s="6" t="n">
        <v>27878</v>
      </c>
      <c r="D20" s="6" t="n"/>
      <c r="E20" s="6" t="n"/>
      <c r="F20" s="6" t="n"/>
      <c r="G20" s="6" t="n">
        <v>28014</v>
      </c>
    </row>
    <row r="21">
      <c r="A21" s="6" t="inlineStr">
        <is>
          <t>Loss for the year</t>
        </is>
      </c>
      <c r="B21" s="6" t="n"/>
      <c r="C21" s="6" t="n"/>
      <c r="D21" s="6" t="n">
        <v>-334</v>
      </c>
      <c r="E21" s="6" t="n"/>
      <c r="F21" s="6" t="n"/>
      <c r="G21" s="6" t="n">
        <v>-334</v>
      </c>
    </row>
    <row r="22">
      <c r="A22" s="6" t="inlineStr">
        <is>
          <t>Employee based share awards</t>
        </is>
      </c>
      <c r="B22" s="6" t="n"/>
      <c r="C22" s="6" t="n"/>
      <c r="D22" s="6" t="n"/>
      <c r="E22" s="6" t="n">
        <v>90</v>
      </c>
      <c r="F22" s="6" t="n"/>
      <c r="G22" s="6" t="n">
        <v>90</v>
      </c>
    </row>
    <row r="23">
      <c r="A23" s="5" t="inlineStr">
        <is>
          <t>At 31 December 2022 (FY2022 closing)</t>
        </is>
      </c>
      <c r="B23" s="5" t="n">
        <v>650</v>
      </c>
      <c r="C23" s="5" t="n">
        <v>68302</v>
      </c>
      <c r="D23" s="5" t="n">
        <v>-14901</v>
      </c>
      <c r="E23" s="5" t="n">
        <v>107</v>
      </c>
      <c r="F23" s="5" t="n"/>
      <c r="G23" s="5" t="n">
        <v>54158</v>
      </c>
    </row>
    <row r="24">
      <c r="A24" s="6" t="inlineStr">
        <is>
          <t>Issue of Share Capital (net of costs)</t>
        </is>
      </c>
      <c r="B24" s="6" t="n">
        <v>112</v>
      </c>
      <c r="C24" s="6" t="n">
        <v>23924</v>
      </c>
      <c r="D24" s="6" t="n"/>
      <c r="E24" s="6" t="n"/>
      <c r="F24" s="6" t="n"/>
      <c r="G24" s="6" t="n">
        <v>24036</v>
      </c>
    </row>
    <row r="25">
      <c r="A25" s="6" t="inlineStr">
        <is>
          <t>Profit for the year</t>
        </is>
      </c>
      <c r="B25" s="6" t="n"/>
      <c r="C25" s="6" t="n"/>
      <c r="D25" s="6" t="n">
        <v>2314</v>
      </c>
      <c r="E25" s="6" t="n"/>
      <c r="F25" s="6" t="n"/>
      <c r="G25" s="6" t="n">
        <v>2314</v>
      </c>
    </row>
    <row r="26">
      <c r="A26" s="6" t="inlineStr">
        <is>
          <t>Employee based share awards</t>
        </is>
      </c>
      <c r="B26" s="6" t="n"/>
      <c r="C26" s="6" t="n"/>
      <c r="D26" s="6" t="n"/>
      <c r="E26" s="6" t="n">
        <v>159</v>
      </c>
      <c r="F26" s="6" t="n"/>
      <c r="G26" s="6" t="n">
        <v>159</v>
      </c>
    </row>
    <row r="27">
      <c r="A27" s="5" t="inlineStr">
        <is>
          <t>At 31 December 2023 (FY2023 closing)</t>
        </is>
      </c>
      <c r="B27" s="5" t="n">
        <v>762</v>
      </c>
      <c r="C27" s="5" t="n">
        <v>92226</v>
      </c>
      <c r="D27" s="5" t="n">
        <v>-12587</v>
      </c>
      <c r="E27" s="5" t="n">
        <v>266</v>
      </c>
      <c r="F27" s="5" t="n"/>
      <c r="G27" s="5" t="n">
        <v>80667</v>
      </c>
    </row>
    <row r="28">
      <c r="A28" s="6" t="inlineStr">
        <is>
          <t>Issue of Share Capital (net of costs)</t>
        </is>
      </c>
      <c r="B28" s="6" t="n">
        <v>266</v>
      </c>
      <c r="C28" s="6" t="n">
        <v>68410</v>
      </c>
      <c r="D28" s="6" t="n"/>
      <c r="E28" s="6" t="n"/>
      <c r="F28" s="6" t="n"/>
      <c r="G28" s="6" t="n">
        <v>68676</v>
      </c>
    </row>
    <row r="29">
      <c r="A29" s="6" t="inlineStr">
        <is>
          <t>Profit for the year</t>
        </is>
      </c>
      <c r="B29" s="6" t="n"/>
      <c r="C29" s="6" t="n"/>
      <c r="D29" s="6" t="n">
        <v>5863</v>
      </c>
      <c r="E29" s="6" t="n"/>
      <c r="F29" s="6" t="n"/>
      <c r="G29" s="6" t="n">
        <v>5863</v>
      </c>
    </row>
    <row r="30">
      <c r="A30" s="6" t="inlineStr">
        <is>
          <t>Employee based share awards</t>
        </is>
      </c>
      <c r="B30" s="6" t="n"/>
      <c r="C30" s="6" t="n"/>
      <c r="D30" s="6" t="n"/>
      <c r="E30" s="6" t="n">
        <v>101</v>
      </c>
      <c r="F30" s="6" t="n"/>
      <c r="G30" s="6" t="n">
        <v>101</v>
      </c>
    </row>
    <row r="31">
      <c r="A31" s="5" t="inlineStr">
        <is>
          <t>At 31 December 2024 (FY2024 closing, restated)</t>
        </is>
      </c>
      <c r="B31" s="5" t="n">
        <v>1028</v>
      </c>
      <c r="C31" s="5" t="n">
        <v>160636</v>
      </c>
      <c r="D31" s="5" t="n">
        <v>-6724</v>
      </c>
      <c r="E31" s="5" t="n">
        <v>367</v>
      </c>
      <c r="F31" s="5" t="n"/>
      <c r="G31" s="5" t="n">
        <v>155307</v>
      </c>
    </row>
    <row r="32">
      <c r="A32" s="6" t="inlineStr">
        <is>
          <t>Issue of Share Capital (net of costs)</t>
        </is>
      </c>
      <c r="B32" s="6" t="n">
        <v>128</v>
      </c>
      <c r="C32" s="6" t="n">
        <v>42720</v>
      </c>
      <c r="D32" s="6" t="n"/>
      <c r="E32" s="6" t="n"/>
      <c r="F32" s="6" t="n"/>
      <c r="G32" s="6" t="n">
        <v>42848</v>
      </c>
    </row>
    <row r="33">
      <c r="A33" s="6" t="inlineStr">
        <is>
          <t>Profit for the year</t>
        </is>
      </c>
      <c r="B33" s="6" t="n"/>
      <c r="C33" s="6" t="n"/>
      <c r="D33" s="6" t="n">
        <v>11920</v>
      </c>
      <c r="E33" s="6" t="n"/>
      <c r="F33" s="6" t="n"/>
      <c r="G33" s="6" t="n">
        <v>11920</v>
      </c>
    </row>
    <row r="34">
      <c r="A34" s="6" t="inlineStr">
        <is>
          <t>Transfer from Share Based Payment Reserve to Capital Contribution Reserve</t>
        </is>
      </c>
      <c r="B34" s="6" t="n"/>
      <c r="C34" s="6" t="n"/>
      <c r="D34" s="6" t="n"/>
      <c r="E34" s="6" t="n">
        <v>-367</v>
      </c>
      <c r="F34" s="6" t="n">
        <v>367</v>
      </c>
      <c r="G34" s="6" t="n">
        <v>0</v>
      </c>
    </row>
    <row r="35">
      <c r="A35" s="6" t="inlineStr">
        <is>
          <t>Employee based share awards</t>
        </is>
      </c>
      <c r="B35" s="6" t="n"/>
      <c r="C35" s="6" t="n"/>
      <c r="D35" s="6" t="n"/>
      <c r="E35" s="6" t="n"/>
      <c r="F35" s="6" t="n">
        <v>204</v>
      </c>
      <c r="G35" s="6" t="n">
        <v>204</v>
      </c>
    </row>
    <row r="36">
      <c r="A36" s="5" t="inlineStr">
        <is>
          <t>At 31 December 2025 (FY2025 closing)</t>
        </is>
      </c>
      <c r="B36" s="5" t="n">
        <v>1156</v>
      </c>
      <c r="C36" s="5" t="n">
        <v>203356</v>
      </c>
      <c r="D36" s="5" t="n">
        <v>5196</v>
      </c>
      <c r="E36" s="5" t="n">
        <v>0</v>
      </c>
      <c r="F36" s="5" t="n">
        <v>571</v>
      </c>
      <c r="G36" s="5" t="n">
        <v>210279</v>
      </c>
    </row>
    <row r="38" ht="150" customHeight="1">
      <c r="A38"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38:G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Statement of Cash Flows</t>
        </is>
      </c>
    </row>
    <row r="2">
      <c r="A2" s="2" t="inlineStr">
        <is>
          <t>Company/entity-level basis, £'000; FY2024 is the restated comparative presented in the FY2025 report. FY2018-FY2020 predate any lending or deposit-taking - see the ENTITY/BASIS NOTE and RESTATEMENT CHECK in the source citation.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Cash flows from operating activities</t>
        </is>
      </c>
      <c r="B4" s="6" t="n"/>
      <c r="C4" s="6" t="n"/>
      <c r="D4" s="6" t="n"/>
      <c r="E4" s="6" t="n"/>
      <c r="F4" s="6" t="n"/>
      <c r="G4" s="6" t="n"/>
      <c r="H4" s="6" t="n"/>
      <c r="I4" s="6" t="n"/>
    </row>
    <row r="5">
      <c r="A5" s="6" t="inlineStr">
        <is>
          <t>Profit and adjustments before net changes in operating assets and liabilities</t>
        </is>
      </c>
      <c r="B5" s="6" t="n">
        <v>-26222</v>
      </c>
      <c r="C5" s="6" t="n">
        <v>-17894</v>
      </c>
      <c r="D5" s="6" t="n">
        <v>-12067</v>
      </c>
      <c r="E5" s="6" t="n">
        <v>-9138</v>
      </c>
      <c r="F5" s="6" t="n">
        <v>-6468</v>
      </c>
      <c r="G5" s="6" t="n">
        <v>-3940</v>
      </c>
      <c r="H5" s="6" t="n">
        <v>-2253</v>
      </c>
      <c r="I5" s="6" t="n">
        <v>-740</v>
      </c>
    </row>
    <row r="6">
      <c r="A6" s="6" t="inlineStr">
        <is>
          <t>Net changes in operating assets and liabilities (aggregate of source line items)</t>
        </is>
      </c>
      <c r="B6" s="6" t="n">
        <v>280132</v>
      </c>
      <c r="C6" s="6" t="n">
        <v>898886</v>
      </c>
      <c r="D6" s="6" t="n">
        <v>382363</v>
      </c>
      <c r="E6" s="6" t="n">
        <v>73038</v>
      </c>
      <c r="F6" s="6" t="n">
        <v>27493</v>
      </c>
      <c r="G6" s="6" t="n">
        <v>-179</v>
      </c>
      <c r="H6" s="6" t="n">
        <v>349</v>
      </c>
      <c r="I6" s="6" t="n">
        <v>262</v>
      </c>
    </row>
    <row r="7">
      <c r="A7" s="5" t="inlineStr">
        <is>
          <t>Cash flows generated from/(used in) operating activities</t>
        </is>
      </c>
      <c r="B7" s="5" t="n">
        <v>253910</v>
      </c>
      <c r="C7" s="5" t="n">
        <v>880992</v>
      </c>
      <c r="D7" s="5" t="n">
        <v>370296</v>
      </c>
      <c r="E7" s="5" t="n">
        <v>63900</v>
      </c>
      <c r="F7" s="5" t="n">
        <v>21025</v>
      </c>
      <c r="G7" s="5" t="n">
        <v>-4119</v>
      </c>
      <c r="H7" s="5" t="n">
        <v>-1904</v>
      </c>
      <c r="I7" s="5" t="n">
        <v>-478</v>
      </c>
    </row>
    <row r="8">
      <c r="A8" s="5" t="inlineStr">
        <is>
          <t>Investing activities</t>
        </is>
      </c>
      <c r="B8" s="6" t="n"/>
      <c r="C8" s="6" t="n"/>
      <c r="D8" s="6" t="n"/>
      <c r="E8" s="6" t="n"/>
      <c r="F8" s="6" t="n"/>
      <c r="G8" s="6" t="n"/>
      <c r="H8" s="6" t="n"/>
      <c r="I8" s="6" t="n"/>
    </row>
    <row r="9">
      <c r="A9" s="6" t="inlineStr">
        <is>
          <t>Purchase of tangible assets</t>
        </is>
      </c>
      <c r="B9" s="6" t="n">
        <v>-72</v>
      </c>
      <c r="C9" s="6" t="n">
        <v>-119</v>
      </c>
      <c r="D9" s="6" t="n">
        <v>-188</v>
      </c>
      <c r="E9" s="6" t="n">
        <v>-72</v>
      </c>
      <c r="F9" s="6" t="n">
        <v>-64</v>
      </c>
      <c r="G9" s="6" t="n">
        <v>-79</v>
      </c>
      <c r="H9" s="6" t="n">
        <v>-37</v>
      </c>
      <c r="I9" s="6" t="n">
        <v>-14</v>
      </c>
    </row>
    <row r="10">
      <c r="A10" s="6" t="inlineStr">
        <is>
          <t>Disposal/(purchase) of gilts</t>
        </is>
      </c>
      <c r="B10" s="6" t="n"/>
      <c r="C10" s="6" t="n"/>
      <c r="D10" s="6" t="n"/>
      <c r="E10" s="6" t="n"/>
      <c r="F10" s="6" t="n">
        <v>50</v>
      </c>
      <c r="G10" s="6" t="n">
        <v>-50</v>
      </c>
      <c r="H10" s="6" t="n"/>
      <c r="I10" s="6" t="n"/>
    </row>
    <row r="11">
      <c r="A11" s="6" t="inlineStr">
        <is>
          <t>Investment in subsidiary</t>
        </is>
      </c>
      <c r="B11" s="6" t="n"/>
      <c r="C11" s="6" t="n"/>
      <c r="D11" s="6" t="n"/>
      <c r="E11" s="6" t="n">
        <v>-2466</v>
      </c>
      <c r="F11" s="6" t="n"/>
      <c r="G11" s="6" t="n"/>
      <c r="H11" s="6" t="n"/>
      <c r="I11" s="6" t="n"/>
    </row>
    <row r="12">
      <c r="A12" s="6" t="inlineStr">
        <is>
          <t>Addition in intangible assets and trademarks</t>
        </is>
      </c>
      <c r="B12" s="6" t="n">
        <v>-1911</v>
      </c>
      <c r="C12" s="6" t="n">
        <v>-1643</v>
      </c>
      <c r="D12" s="6" t="n">
        <v>-2281</v>
      </c>
      <c r="E12" s="6" t="n">
        <v>-1638</v>
      </c>
      <c r="F12" s="6" t="n">
        <v>-1524</v>
      </c>
      <c r="G12" s="6" t="n">
        <v>-1821</v>
      </c>
      <c r="H12" s="6" t="n">
        <v>-1080</v>
      </c>
      <c r="I12" s="6" t="n">
        <v>-197</v>
      </c>
    </row>
    <row r="13">
      <c r="A13" s="6" t="inlineStr">
        <is>
          <t>Purchase of investment securities</t>
        </is>
      </c>
      <c r="B13" s="6" t="n">
        <v>-820188</v>
      </c>
      <c r="C13" s="6" t="n"/>
      <c r="D13" s="6" t="n"/>
      <c r="E13" s="6" t="n"/>
      <c r="F13" s="6" t="n"/>
      <c r="G13" s="6" t="n"/>
      <c r="H13" s="6" t="n"/>
      <c r="I13" s="6" t="n"/>
    </row>
    <row r="14">
      <c r="A14" s="6" t="inlineStr">
        <is>
          <t>Sale of investment securities</t>
        </is>
      </c>
      <c r="B14" s="6" t="n">
        <v>447232</v>
      </c>
      <c r="C14" s="6" t="n"/>
      <c r="D14" s="6" t="n"/>
      <c r="E14" s="6" t="n"/>
      <c r="F14" s="6" t="n"/>
      <c r="G14" s="6" t="n"/>
      <c r="H14" s="6" t="n"/>
      <c r="I14" s="6" t="n"/>
    </row>
    <row r="15">
      <c r="A15" s="5" t="inlineStr">
        <is>
          <t>Net cash flows used in investing activities</t>
        </is>
      </c>
      <c r="B15" s="5" t="n">
        <v>-374939</v>
      </c>
      <c r="C15" s="5" t="n">
        <v>-1762</v>
      </c>
      <c r="D15" s="5" t="n">
        <v>-2469</v>
      </c>
      <c r="E15" s="5" t="n">
        <v>-4176</v>
      </c>
      <c r="F15" s="5" t="n">
        <v>-1538</v>
      </c>
      <c r="G15" s="5" t="n">
        <v>-1950</v>
      </c>
      <c r="H15" s="5" t="n">
        <v>-1117</v>
      </c>
      <c r="I15" s="5" t="n">
        <v>-211</v>
      </c>
    </row>
    <row r="16">
      <c r="A16" s="5" t="inlineStr">
        <is>
          <t>Financing activities</t>
        </is>
      </c>
      <c r="B16" s="6" t="n"/>
      <c r="C16" s="6" t="n"/>
      <c r="D16" s="6" t="n"/>
      <c r="E16" s="6" t="n"/>
      <c r="F16" s="6" t="n"/>
      <c r="G16" s="6" t="n"/>
      <c r="H16" s="6" t="n"/>
      <c r="I16" s="6" t="n"/>
    </row>
    <row r="17">
      <c r="A17" s="6" t="inlineStr">
        <is>
          <t>Issue of share capital</t>
        </is>
      </c>
      <c r="B17" s="6" t="n">
        <v>43129</v>
      </c>
      <c r="C17" s="6" t="n">
        <v>68951</v>
      </c>
      <c r="D17" s="6" t="n">
        <v>24262</v>
      </c>
      <c r="E17" s="6" t="n">
        <v>28167</v>
      </c>
      <c r="F17" s="6" t="n">
        <v>12019</v>
      </c>
      <c r="G17" s="6" t="n">
        <v>24488</v>
      </c>
      <c r="H17" s="6" t="n">
        <v>13</v>
      </c>
      <c r="I17" s="6" t="n">
        <v>4493</v>
      </c>
    </row>
    <row r="18">
      <c r="A18" s="6" t="inlineStr">
        <is>
          <t>Costs directly related to issue of share capital</t>
        </is>
      </c>
      <c r="B18" s="6" t="n">
        <v>-282</v>
      </c>
      <c r="C18" s="6" t="n">
        <v>-275</v>
      </c>
      <c r="D18" s="6" t="n">
        <v>-226</v>
      </c>
      <c r="E18" s="6" t="n">
        <v>-153</v>
      </c>
      <c r="F18" s="6" t="n">
        <v>-70</v>
      </c>
      <c r="G18" s="6" t="n"/>
      <c r="H18" s="6" t="n"/>
      <c r="I18" s="6" t="n"/>
    </row>
    <row r="19">
      <c r="A19" s="6" t="inlineStr">
        <is>
          <t>Increase in subordinated debt</t>
        </is>
      </c>
      <c r="B19" s="6" t="n">
        <v>16250</v>
      </c>
      <c r="C19" s="6" t="n">
        <v>2500</v>
      </c>
      <c r="D19" s="6" t="n">
        <v>7500</v>
      </c>
      <c r="E19" s="6" t="n">
        <v>7500</v>
      </c>
      <c r="F19" s="6" t="n">
        <v>0</v>
      </c>
      <c r="G19" s="6" t="n"/>
      <c r="H19" s="6" t="n"/>
      <c r="I19" s="6" t="n"/>
    </row>
    <row r="20">
      <c r="A20" s="6" t="inlineStr">
        <is>
          <t>Interest paid on subordinated debt</t>
        </is>
      </c>
      <c r="B20" s="6" t="n">
        <v>-2301</v>
      </c>
      <c r="C20" s="6" t="n">
        <v>-1873</v>
      </c>
      <c r="D20" s="6" t="n">
        <v>-1151</v>
      </c>
      <c r="E20" s="6" t="n">
        <v>0</v>
      </c>
      <c r="F20" s="6" t="n">
        <v>0</v>
      </c>
      <c r="G20" s="6" t="n"/>
      <c r="H20" s="6" t="n"/>
      <c r="I20" s="6" t="n"/>
    </row>
    <row r="21">
      <c r="A21" s="6" t="inlineStr">
        <is>
          <t>Interest paid on lease payments</t>
        </is>
      </c>
      <c r="B21" s="6" t="n">
        <v>-55</v>
      </c>
      <c r="C21" s="6" t="n">
        <v>-71</v>
      </c>
      <c r="D21" s="6" t="n">
        <v>-43</v>
      </c>
      <c r="E21" s="6" t="n">
        <v>-37</v>
      </c>
      <c r="F21" s="6" t="n">
        <v>0</v>
      </c>
      <c r="G21" s="6" t="n"/>
      <c r="H21" s="6" t="n"/>
      <c r="I21" s="6" t="n"/>
    </row>
    <row r="22">
      <c r="A22" s="6" t="inlineStr">
        <is>
          <t>Payments in relation to leases</t>
        </is>
      </c>
      <c r="B22" s="6" t="n">
        <v>-252</v>
      </c>
      <c r="C22" s="6" t="n">
        <v>-109</v>
      </c>
      <c r="D22" s="6" t="n">
        <v>-148</v>
      </c>
      <c r="E22" s="6" t="n">
        <v>-115</v>
      </c>
      <c r="F22" s="6" t="n">
        <v>-93</v>
      </c>
      <c r="G22" s="6" t="n"/>
      <c r="H22" s="6" t="n"/>
      <c r="I22" s="6" t="n"/>
    </row>
    <row r="23">
      <c r="A23" s="6" t="inlineStr">
        <is>
          <t>Rounding adjustment to FY2025 reported financing subtotal</t>
        </is>
      </c>
      <c r="B23" s="6" t="n">
        <v>1</v>
      </c>
      <c r="C23" s="6" t="n"/>
      <c r="D23" s="6" t="n"/>
      <c r="E23" s="6" t="n"/>
      <c r="F23" s="6" t="n"/>
      <c r="G23" s="6" t="n"/>
      <c r="H23" s="6" t="n"/>
      <c r="I23" s="6" t="n"/>
    </row>
    <row r="24">
      <c r="A24" s="5" t="inlineStr">
        <is>
          <t>Net cash flows from financing activities</t>
        </is>
      </c>
      <c r="B24" s="5" t="n">
        <v>56490</v>
      </c>
      <c r="C24" s="5" t="n">
        <v>69123</v>
      </c>
      <c r="D24" s="5" t="n">
        <v>30194</v>
      </c>
      <c r="E24" s="5" t="n">
        <v>35362</v>
      </c>
      <c r="F24" s="5" t="n">
        <v>11856</v>
      </c>
      <c r="G24" s="5" t="n">
        <v>24488</v>
      </c>
      <c r="H24" s="5" t="n">
        <v>13</v>
      </c>
      <c r="I24" s="5" t="n">
        <v>4493</v>
      </c>
    </row>
    <row r="25">
      <c r="A25" s="5" t="inlineStr">
        <is>
          <t>Net increase/(decrease) in cash and cash equivalents in the year</t>
        </is>
      </c>
      <c r="B25" s="5" t="n">
        <v>-64539</v>
      </c>
      <c r="C25" s="5" t="n">
        <v>948353</v>
      </c>
      <c r="D25" s="5" t="n">
        <v>398021</v>
      </c>
      <c r="E25" s="5" t="n">
        <v>95086</v>
      </c>
      <c r="F25" s="5" t="n">
        <v>31343</v>
      </c>
      <c r="G25" s="5" t="n">
        <v>18419</v>
      </c>
      <c r="H25" s="5" t="n">
        <v>-3008</v>
      </c>
      <c r="I25" s="5" t="n">
        <v>3804</v>
      </c>
    </row>
    <row r="26">
      <c r="A26" s="6" t="inlineStr">
        <is>
          <t>Cash and cash equivalents at start of year</t>
        </is>
      </c>
      <c r="B26" s="6" t="n">
        <v>1492018</v>
      </c>
      <c r="C26" s="6" t="n">
        <v>543665</v>
      </c>
      <c r="D26" s="6" t="n">
        <v>145644</v>
      </c>
      <c r="E26" s="6" t="n">
        <v>50558</v>
      </c>
      <c r="F26" s="6" t="n">
        <v>19215</v>
      </c>
      <c r="G26" s="6" t="n">
        <v>796</v>
      </c>
      <c r="H26" s="6" t="n">
        <v>3804</v>
      </c>
      <c r="I26" s="6" t="n">
        <v>0</v>
      </c>
    </row>
    <row r="27">
      <c r="A27" s="5" t="inlineStr">
        <is>
          <t>Cash and cash equivalents at end of year</t>
        </is>
      </c>
      <c r="B27" s="5" t="n">
        <v>1427479</v>
      </c>
      <c r="C27" s="5" t="n">
        <v>1492018</v>
      </c>
      <c r="D27" s="5" t="n">
        <v>543665</v>
      </c>
      <c r="E27" s="5" t="n">
        <v>145644</v>
      </c>
      <c r="F27" s="5" t="n">
        <v>50558</v>
      </c>
      <c r="G27" s="5" t="n">
        <v>19215</v>
      </c>
      <c r="H27" s="5" t="n">
        <v>796</v>
      </c>
      <c r="I27" s="5" t="n">
        <v>3804</v>
      </c>
    </row>
    <row r="29" ht="380" customHeight="1">
      <c r="A29" s="8" t="inlineStr">
        <is>
          <t>Sources - Oxbury Bank Plc Company/entity basis; all figures £'000:
FY2025 and restated FY2024: Oxbury Bank Plc Annual Report and Accounts 2025, pp.40-41, Company columns - https://www.oxbury.com/media/e3xppqoe/2025-company-accounts.pdf
FY2023: Oxbury Bank Plc Annual Report and Accounts 2024, pp.40-41, Company columns - https://www.oxbury.com/media/03rk55or/oxbury-2024-accounts-1pg.pdf
FY2022: Oxbury Bank Plc Annual Report and Accounts 2023, pp.40-41, Company columns; the report marks the affected comparative figures with an asterisk and explains the restatement in Note 31 - https://www.oxbury.com/media/dxeb3xqx/oxbury-bank-annual-accounts-31122023.pdf
FY2021: Oxbury Bank Plc Annual Report and Accounts 2022, p.39, Company columns - https://www.oxbury.com/media/brmf2riv/annual-report-2022.pdf
The FY2021 source report also reproduces the FY2021 statement in the 2021 Annual Report, p.35 - https://www.oxbury.com/media/g5xibgrw/annual-report-2021.pdf
FY2020: Oxbury Bank Plc Annual Report &amp; Accounts, year ended 31 December 2020, p.28 (single-entity Statement of Cash Flows, no Group/Company split yet) - Companies House filing, full accounts made up to 31 December 2020, filed 24 Jun 2021 - https://find-and-update.company-information.service.gov.uk/company/11383418/filing-history/MzMwNDYwNjI5NWFkaXF6a2N4/document?format=pdf&amp;download=0
FY2019: Oxbury Bank Plc (formerly Oxbury FS Plc) Annual Report 2019, p.17 - Companies House filing, full accounts made up to 31 December 2019, filed 1 Jul 2020 - https://find-and-update.company-information.service.gov.uk/company/11383418/filing-history/MzI2ODM0NjU4N2FkaXF6a2N4/document?format=pdf&amp;download=0
FY2018: Oxbury FS Plc 2018 Annual Report, p.11 (period from incorporation 25 May 2018 to 31 December 2018) - Companies House filing, full accounts made up to 31 December 2018, filed 25 Mar 2019 - https://find-and-update.company-information.service.gov.uk/company/11383418/filing-history/MzIzMDIwMjA0MGFkaXF6a2N4/document?format=pdf&amp;download=0
The FY2025 financing subtotal is £1k above the sum of the displayed rounded component lines; the explicit £1k rounding adjustment preserves the report's stated subtotal.
RESTATEMENT CHECK (re-verified for this extension): the FY2022 own-year Annual Report and Accounts 2022 (Company columns, pp.38-39) shows operating/investing/financing subtotals of 63,866/(4,192)/35,412 - each a few £k different from the 63,900/(4,176)/35,362 used here from the FY2023 report's restated comparative - but both vintages agree exactly on the net increase in cash (£95,086k), the opening cash balance (£50,558k) and the closing cash balance (£145,644k). The Note 31 restatement is therefore a reclassification of individual line items between the three cash-flow sections, not a change to any bottom-line cash figure - using the later, refined disclosure was a reasonable, immaterial choice.
FY2020 opening cash of £796k ties to FY2019's own closing cash; FY2019 opening cash of £3,804k ties to FY2018's own closing cash; FY2020's own closing cash of £19,215k ties exactly to the FY2021 sheet's own opening balance above - the full FY2018-FY2025 ladder reconciles with zero plug rows.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29:I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Asset Quality</t>
        </is>
      </c>
    </row>
    <row r="2">
      <c r="A2" s="2" t="inlineStr">
        <is>
          <t>Company/entity-level basis, £'000. Loans and advances to customers, IFRS 9 stage 1/2/3 split. FY2018-FY2020 are blank throughout - the bank had not yet launched (Loans and Advances to Customers was an explicit £0 on the Balance Sheet for FY2020, and did not exist as a line item at all for FY2018-FY2019), so there is genuinely no loan book to analyse for those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Loans and advances to customers, by IFRS 9 stage (gross carrying amount)</t>
        </is>
      </c>
      <c r="B4" s="6" t="n"/>
      <c r="C4" s="6" t="n"/>
      <c r="D4" s="6" t="n"/>
      <c r="E4" s="6" t="n"/>
      <c r="F4" s="6" t="n"/>
      <c r="G4" s="6" t="n"/>
      <c r="H4" s="6" t="n"/>
      <c r="I4" s="6" t="n"/>
    </row>
    <row r="5">
      <c r="A5" s="6" t="inlineStr">
        <is>
          <t>Stage 1 gross carrying amount</t>
        </is>
      </c>
      <c r="B5" s="6" t="n">
        <v>1711257</v>
      </c>
      <c r="C5" s="6" t="n">
        <v>1009280</v>
      </c>
      <c r="D5" s="6" t="n">
        <v>597332</v>
      </c>
      <c r="E5" s="6" t="n"/>
      <c r="F5" s="6" t="n"/>
      <c r="G5" s="6" t="n"/>
      <c r="H5" s="6" t="n"/>
      <c r="I5" s="6" t="n"/>
    </row>
    <row r="6">
      <c r="A6" s="6" t="inlineStr">
        <is>
          <t>Stage 2 gross carrying amount</t>
        </is>
      </c>
      <c r="B6" s="6" t="n">
        <v>33224</v>
      </c>
      <c r="C6" s="6" t="n">
        <v>12698</v>
      </c>
      <c r="D6" s="6" t="n">
        <v>8303</v>
      </c>
      <c r="E6" s="6" t="n"/>
      <c r="F6" s="6" t="n"/>
      <c r="G6" s="6" t="n"/>
      <c r="H6" s="6" t="n"/>
      <c r="I6" s="6" t="n"/>
    </row>
    <row r="7">
      <c r="A7" s="6" t="inlineStr">
        <is>
          <t>Stage 3 gross carrying amount</t>
        </is>
      </c>
      <c r="B7" s="6" t="n">
        <v>6458</v>
      </c>
      <c r="C7" s="6" t="n">
        <v>5190</v>
      </c>
      <c r="D7" s="6" t="n">
        <v>621</v>
      </c>
      <c r="E7" s="6" t="n"/>
      <c r="F7" s="6" t="n"/>
      <c r="G7" s="6" t="n"/>
      <c r="H7" s="6" t="n"/>
      <c r="I7" s="6" t="n"/>
    </row>
    <row r="8">
      <c r="A8" s="5" t="inlineStr">
        <is>
          <t>Gross carrying amount</t>
        </is>
      </c>
      <c r="B8" s="5" t="n">
        <v>1750938</v>
      </c>
      <c r="C8" s="5" t="n">
        <v>1027168</v>
      </c>
      <c r="D8" s="5" t="n">
        <v>606256</v>
      </c>
      <c r="E8" s="5" t="n">
        <v>349676</v>
      </c>
      <c r="F8" s="5" t="n"/>
      <c r="G8" s="5" t="n"/>
      <c r="H8" s="5" t="n"/>
      <c r="I8" s="5" t="n"/>
    </row>
    <row r="9">
      <c r="A9" s="6" t="inlineStr">
        <is>
          <t>Stage 1 ECL allowance</t>
        </is>
      </c>
      <c r="B9" s="6" t="n">
        <v>-1957</v>
      </c>
      <c r="C9" s="6" t="n">
        <v>-1236</v>
      </c>
      <c r="D9" s="6" t="n">
        <v>-507</v>
      </c>
      <c r="E9" s="6" t="n"/>
      <c r="F9" s="6" t="n"/>
      <c r="G9" s="6" t="n"/>
      <c r="H9" s="6" t="n"/>
      <c r="I9" s="6" t="n"/>
    </row>
    <row r="10">
      <c r="A10" s="6" t="inlineStr">
        <is>
          <t>Stage 2 ECL allowance</t>
        </is>
      </c>
      <c r="B10" s="6" t="n">
        <v>-268</v>
      </c>
      <c r="C10" s="6" t="n">
        <v>-45</v>
      </c>
      <c r="D10" s="6" t="n">
        <v>-31</v>
      </c>
      <c r="E10" s="6" t="n"/>
      <c r="F10" s="6" t="n"/>
      <c r="G10" s="6" t="n"/>
      <c r="H10" s="6" t="n"/>
      <c r="I10" s="6" t="n"/>
    </row>
    <row r="11">
      <c r="A11" s="6" t="inlineStr">
        <is>
          <t>Stage 3 ECL allowance</t>
        </is>
      </c>
      <c r="B11" s="6" t="n">
        <v>-269</v>
      </c>
      <c r="C11" s="6" t="n">
        <v>-63</v>
      </c>
      <c r="D11" s="6" t="n">
        <v>-7</v>
      </c>
      <c r="E11" s="6" t="n"/>
      <c r="F11" s="6" t="n"/>
      <c r="G11" s="6" t="n"/>
      <c r="H11" s="6" t="n"/>
      <c r="I11" s="6" t="n"/>
    </row>
    <row r="12">
      <c r="A12" s="5" t="inlineStr">
        <is>
          <t>ECL allowance</t>
        </is>
      </c>
      <c r="B12" s="5" t="n">
        <v>-2494</v>
      </c>
      <c r="C12" s="5" t="n">
        <v>-1344</v>
      </c>
      <c r="D12" s="5" t="n">
        <v>-545</v>
      </c>
      <c r="E12" s="5" t="n">
        <v>-144</v>
      </c>
      <c r="F12" s="5" t="n"/>
      <c r="G12" s="5" t="n"/>
      <c r="H12" s="5" t="n"/>
      <c r="I12" s="5" t="n"/>
    </row>
    <row r="13">
      <c r="A13" s="6" t="inlineStr">
        <is>
          <t>Stage 1 net carrying amount</t>
        </is>
      </c>
      <c r="B13" s="6" t="n">
        <v>1709300</v>
      </c>
      <c r="C13" s="6" t="n">
        <v>1008044</v>
      </c>
      <c r="D13" s="6" t="n">
        <v>596825</v>
      </c>
      <c r="E13" s="6" t="n">
        <v>346425</v>
      </c>
      <c r="F13" s="6" t="n"/>
      <c r="G13" s="6" t="n"/>
      <c r="H13" s="6" t="n"/>
      <c r="I13" s="6" t="n"/>
    </row>
    <row r="14">
      <c r="A14" s="6" t="inlineStr">
        <is>
          <t>Stage 2 net carrying amount</t>
        </is>
      </c>
      <c r="B14" s="6" t="n">
        <v>32956</v>
      </c>
      <c r="C14" s="6" t="n">
        <v>12653</v>
      </c>
      <c r="D14" s="6" t="n">
        <v>8272</v>
      </c>
      <c r="E14" s="6" t="n">
        <v>2602</v>
      </c>
      <c r="F14" s="6" t="n"/>
      <c r="G14" s="6" t="n"/>
      <c r="H14" s="6" t="n"/>
      <c r="I14" s="6" t="n"/>
    </row>
    <row r="15">
      <c r="A15" s="6" t="inlineStr">
        <is>
          <t>Stage 3 net carrying amount</t>
        </is>
      </c>
      <c r="B15" s="6" t="n">
        <v>6189</v>
      </c>
      <c r="C15" s="6" t="n">
        <v>5127</v>
      </c>
      <c r="D15" s="6" t="n">
        <v>614</v>
      </c>
      <c r="E15" s="6" t="n">
        <v>505</v>
      </c>
      <c r="F15" s="6" t="n"/>
      <c r="G15" s="6" t="n"/>
      <c r="H15" s="6" t="n"/>
      <c r="I15" s="6" t="n"/>
    </row>
    <row r="16">
      <c r="A16" s="5" t="inlineStr">
        <is>
          <t>Net carrying amount</t>
        </is>
      </c>
      <c r="B16" s="5" t="n">
        <v>1748444</v>
      </c>
      <c r="C16" s="5" t="n">
        <v>1025824</v>
      </c>
      <c r="D16" s="5" t="n">
        <v>605711</v>
      </c>
      <c r="E16" s="5" t="n">
        <v>349532</v>
      </c>
      <c r="F16" s="5" t="n">
        <v>110545</v>
      </c>
      <c r="G16" s="5" t="n">
        <v>0</v>
      </c>
      <c r="H16" s="5" t="n"/>
      <c r="I16" s="5" t="n"/>
    </row>
    <row r="17">
      <c r="A17" s="6" t="inlineStr">
        <is>
          <t>Stage 3 as % of gross carrying amount (NPL ratio)</t>
        </is>
      </c>
      <c r="B17" s="6" t="inlineStr">
        <is>
          <t>0.37%</t>
        </is>
      </c>
      <c r="C17" s="6" t="inlineStr">
        <is>
          <t>0.51%</t>
        </is>
      </c>
      <c r="D17" s="6" t="inlineStr">
        <is>
          <t>0.10%</t>
        </is>
      </c>
      <c r="E17" s="6" t="n"/>
      <c r="F17" s="6" t="n"/>
      <c r="G17" s="6" t="n"/>
      <c r="H17" s="6" t="n"/>
      <c r="I17" s="6" t="n"/>
    </row>
    <row r="18">
      <c r="A18" s="6" t="inlineStr">
        <is>
          <t>ECL allowance as % of gross carrying amount (coverage)</t>
        </is>
      </c>
      <c r="B18" s="6" t="inlineStr">
        <is>
          <t>0.14%</t>
        </is>
      </c>
      <c r="C18" s="6" t="inlineStr">
        <is>
          <t>0.13%</t>
        </is>
      </c>
      <c r="D18" s="6" t="inlineStr">
        <is>
          <t>0.09%</t>
        </is>
      </c>
      <c r="E18" s="6" t="inlineStr">
        <is>
          <t>0.04%</t>
        </is>
      </c>
      <c r="F18" s="6" t="n"/>
      <c r="G18" s="6" t="n"/>
      <c r="H18" s="6" t="n"/>
      <c r="I18" s="6" t="n"/>
    </row>
    <row r="20" ht="380" customHeight="1">
      <c r="A20"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
Stage-split note references: FY2025 Annual Report and Accounts 2025 p.53 (Note 4.11); FY2024 Annual Report and Accounts 2024 p.51 (Note); FY2023 Annual Report and Accounts 2024 p.51 (comparative note, closing balance) and Annual Report and Accounts 2023 p.27 (own-year note) - https://www.oxbury.com/media/03rk55or/oxbury-2024-accounts-1pg.pdf / https://www.oxbury.com/media/dxeb3xqx/oxbury-bank-annual-accounts-31122023.pdf; FY2022 is only disclosed net of ECL, via the Annual Report and Accounts 2023 p.27 roll-forward's own '1 January 2023' opening balance - https://www.oxbury.com/media/dxeb3xqx/oxbury-bank-annual-accounts-31122023.pdf; FY2021's cumulative £85k provision movement is from the Cash Flow Statement's own 'increase in impairment provisions on loans and advances' line, no stage split disclosed that early.
DATA QUALITY NOTE: FY2024's gross/stage/ECL figures above are the Annual Report and Accounts 2024's own originally-published closing figures (net total £1,025,824k). The Annual Report and Accounts 2025 later restates FY2024's net loans to £1,021,621k (used on the Balance Sheet and Overview sheets, per a deferred income/deferred cost restatement described in that report's Note 25) but does not disclose a restated stage-level split - both figures are genuine Bank disclosures from different report vintages, shown as each report states them rather than blended.
FY2022's Stage 1/2/3 figures are net of ECL (the only granularity disclosed for that year); FY2022's Gross carrying amount and ECL allowance TOTAL rows are the combined (non-stage-split) figures the Bank discloses for that year, so FY2022's coverage ratio is computed on a different basis (net-stage/gross-total) than other years - not directly comparable stage-for-stage.</t>
        </is>
      </c>
    </row>
  </sheetData>
  <mergeCells count="1">
    <mergeCell ref="A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c r="C4" s="6" t="n"/>
      <c r="D4" s="6" t="n">
        <v>68026</v>
      </c>
      <c r="E4" s="6" t="n">
        <v>45557</v>
      </c>
      <c r="F4" s="6" t="n"/>
      <c r="G4" s="6" t="n"/>
      <c r="H4" s="6" t="n"/>
      <c r="I4" s="6" t="n"/>
    </row>
    <row r="5" ht="60" customHeight="1">
      <c r="A5" s="7" t="inlineStr">
        <is>
          <t>Note: Not publicly disclosed for FY2025, FY2024 and FY2021 in the sources reviewed; FY2023 and FY2022 are from the dedicated Pillar 3 capital-resources table. Genuinely not disclosed (no Pillar 3 requirement yet) for FY2020-FY2018 - see the source citation.</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n"/>
      <c r="C4" s="6" t="n"/>
      <c r="D4" s="6" t="inlineStr">
        <is>
          <t>15.94%</t>
        </is>
      </c>
      <c r="E4" s="6" t="inlineStr">
        <is>
          <t>16.16%</t>
        </is>
      </c>
      <c r="F4" s="6" t="inlineStr">
        <is>
          <t>23%</t>
        </is>
      </c>
      <c r="G4" s="6" t="n"/>
      <c r="H4" s="6" t="n"/>
      <c r="I4" s="6" t="n"/>
    </row>
    <row r="5" ht="60" customHeight="1">
      <c r="A5" s="7" t="inlineStr">
        <is>
          <t>Note: FY2021 is reported as ‘CET1 / Total Capital Ratio’ in the annual-report KPI table; FY2024-FY2025 CET1-specific ratios were not disclosed in the sources reviewed. Genuinely not disclosed for FY2020-FY2018.</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Tier 1 capital</t>
        </is>
      </c>
      <c r="B4" s="6" t="n"/>
      <c r="C4" s="6" t="n"/>
      <c r="D4" s="6" t="n">
        <v>68026</v>
      </c>
      <c r="E4" s="6" t="n">
        <v>45557</v>
      </c>
      <c r="F4" s="6" t="n"/>
      <c r="G4" s="6" t="n"/>
      <c r="H4" s="6" t="n"/>
      <c r="I4" s="6" t="n"/>
    </row>
    <row r="5" ht="60" customHeight="1">
      <c r="A5" s="7" t="inlineStr">
        <is>
          <t>Note: Not publicly disclosed for FY2025, FY2024 and FY2021 in the sources reviewed. Genuinely not disclosed for FY2020-FY2018.</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 ratio</t>
        </is>
      </c>
      <c r="B4" s="6" t="n"/>
      <c r="C4" s="6" t="n"/>
      <c r="D4" s="6" t="inlineStr">
        <is>
          <t>15.94%</t>
        </is>
      </c>
      <c r="E4" s="6" t="inlineStr">
        <is>
          <t>16.16%</t>
        </is>
      </c>
      <c r="F4" s="6" t="inlineStr">
        <is>
          <t>23%</t>
        </is>
      </c>
      <c r="G4" s="6" t="n"/>
      <c r="H4" s="6" t="n"/>
      <c r="I4" s="6" t="n"/>
    </row>
    <row r="5" ht="60" customHeight="1">
      <c r="A5" s="7" t="inlineStr">
        <is>
          <t>Note: FY2021 annual-report KPI is labelled CET1 / Total Capital Ratio and is used as the only disclosed capital-ratio measure for that year. Genuinely not disclosed for FY2020-FY2018.</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regulatory capital</t>
        </is>
      </c>
      <c r="B4" s="6" t="n"/>
      <c r="C4" s="6" t="n"/>
      <c r="D4" s="6" t="n">
        <v>82214</v>
      </c>
      <c r="E4" s="6" t="n">
        <v>53057</v>
      </c>
      <c r="F4" s="6" t="n"/>
      <c r="G4" s="6" t="n"/>
      <c r="H4" s="6" t="n"/>
      <c r="I4" s="6" t="n"/>
    </row>
    <row r="5" ht="60" customHeight="1">
      <c r="A5" s="7" t="inlineStr">
        <is>
          <t>Note: Not publicly disclosed for FY2025, FY2024 and FY2021 in the sources reviewed. Genuinely not disclosed for FY2020-FY2018.</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18.8%</t>
        </is>
      </c>
      <c r="C4" s="6" t="inlineStr">
        <is>
          <t>22.5%</t>
        </is>
      </c>
      <c r="D4" s="6" t="inlineStr">
        <is>
          <t>19.27%</t>
        </is>
      </c>
      <c r="E4" s="6" t="inlineStr">
        <is>
          <t>18.81%</t>
        </is>
      </c>
      <c r="F4" s="6" t="inlineStr">
        <is>
          <t>23%</t>
        </is>
      </c>
      <c r="G4" s="6" t="n"/>
      <c r="H4" s="6" t="n"/>
      <c r="I4" s="6" t="n"/>
    </row>
    <row r="5" ht="60" customHeight="1">
      <c r="A5" s="7" t="inlineStr">
        <is>
          <t>Note: FY2025 and FY2024 are the annual-report Company Key Performance Indicators; FY2023-FY2022 are dedicated Pillar 3 ratios; FY2021 annual-report KPI is labelled CET1 / Total Capital Ratio. Genuinely not disclosed for FY2020-FY2018.</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assets</t>
        </is>
      </c>
      <c r="B4" s="6" t="n"/>
      <c r="C4" s="6" t="n"/>
      <c r="D4" s="6" t="n">
        <v>426705</v>
      </c>
      <c r="E4" s="6" t="n">
        <v>282001</v>
      </c>
      <c r="F4" s="6" t="n"/>
      <c r="G4" s="6" t="n"/>
      <c r="H4" s="6" t="n"/>
      <c r="I4" s="6" t="n"/>
    </row>
    <row r="5" ht="60" customHeight="1">
      <c r="A5" s="7" t="inlineStr">
        <is>
          <t>Note: Not publicly disclosed for FY2025, FY2024 and FY2021 in the sources reviewed. Genuinely not disclosed for FY2020-FY2018 (pre-launch/mobilisation, no RWA calculation published).</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RWA Breakdown</t>
        </is>
      </c>
    </row>
    <row r="2">
      <c r="A2" s="2" t="inlineStr">
        <is>
          <t>Company/entity-level basis, £'000. Pillar 3 UK OV1 template (4.4 Overview of Risk Weighted Exposure Amounts). Counterparty credit risk was disclosed as nil both years. FY2025, FY2024, FY2021 and FY2020-FY2018 are all blank - RWAs were not publicly disclosed for those years (see Total RWAs above; FY2020-FY2018 predate any Pillar 3 obligation).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6" t="inlineStr">
        <is>
          <t>Credit Risk (excluding CCR)</t>
        </is>
      </c>
      <c r="B4" s="6" t="n"/>
      <c r="C4" s="6" t="n"/>
      <c r="D4" s="6" t="n">
        <v>426705</v>
      </c>
      <c r="E4" s="6" t="n">
        <v>282001</v>
      </c>
      <c r="F4" s="6" t="n"/>
      <c r="G4" s="6" t="n"/>
      <c r="H4" s="6" t="n"/>
      <c r="I4" s="6" t="n"/>
    </row>
    <row r="5">
      <c r="A5" s="6" t="inlineStr">
        <is>
          <t>Operational risk</t>
        </is>
      </c>
      <c r="B5" s="6" t="n"/>
      <c r="C5" s="6" t="n"/>
      <c r="D5" s="6" t="n">
        <v>18622</v>
      </c>
      <c r="E5" s="6" t="n">
        <v>9411</v>
      </c>
      <c r="F5" s="6" t="n"/>
      <c r="G5" s="6" t="n"/>
      <c r="H5" s="6" t="n"/>
      <c r="I5" s="6" t="n"/>
    </row>
    <row r="6">
      <c r="A6" s="5" t="inlineStr">
        <is>
          <t>Total risk weighted exposure amount (as disclosed - see data quality note)</t>
        </is>
      </c>
      <c r="B6" s="5" t="n"/>
      <c r="C6" s="5" t="n"/>
      <c r="D6" s="5" t="n">
        <v>426705</v>
      </c>
      <c r="E6" s="5" t="n">
        <v>282001</v>
      </c>
      <c r="F6" s="5" t="n"/>
      <c r="G6" s="5" t="n"/>
      <c r="H6" s="5" t="n"/>
      <c r="I6" s="5" t="n"/>
    </row>
    <row r="8" ht="200" customHeight="1">
      <c r="A8"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
DATA QUALITY NOTE: the source document's own 'Total' row (426,705 for FY2023; 282,001 for FY2022) equals the Credit Risk row alone, not the sum of Credit Risk plus the separately-disclosed Operational risk row (18,622/9,411) - an apparent inconsistency within the Bank's own Pillar 3 table. Reproduced exactly as disclosed (the 'Total' ties to the pre-existing Total RWAs sheet and the Bank's own reported capital ratios), not corrected or blended.</t>
        </is>
      </c>
    </row>
  </sheetData>
  <mergeCells count="1">
    <mergeCell ref="A8:I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Leverage ratio excluding claims on central banks</t>
        </is>
      </c>
      <c r="B4" s="6" t="inlineStr">
        <is>
          <t>9.2%</t>
        </is>
      </c>
      <c r="C4" s="6" t="inlineStr">
        <is>
          <t>12.7%</t>
        </is>
      </c>
      <c r="D4" s="6" t="inlineStr">
        <is>
          <t>10.69%</t>
        </is>
      </c>
      <c r="E4" s="6" t="inlineStr">
        <is>
          <t>12.17%</t>
        </is>
      </c>
      <c r="F4" s="6" t="inlineStr">
        <is>
          <t>15%</t>
        </is>
      </c>
      <c r="G4" s="6" t="n"/>
      <c r="H4" s="6" t="n"/>
      <c r="I4" s="6" t="n"/>
    </row>
    <row r="5" ht="60" customHeight="1">
      <c r="A5" s="7" t="inlineStr">
        <is>
          <t>Note: FY2025-FY2024 are annual-report KPI measures; FY2023-FY2022 are Pillar 3 ratios excluding claims on central banks; FY2021 is the annual-report KPI. Genuinely not disclosed for FY2020-FY2018.</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t>
        </is>
      </c>
      <c r="B4" s="6" t="inlineStr">
        <is>
          <t>296%</t>
        </is>
      </c>
      <c r="C4" s="6" t="inlineStr">
        <is>
          <t>460%</t>
        </is>
      </c>
      <c r="D4" s="6" t="inlineStr">
        <is>
          <t>545.2%</t>
        </is>
      </c>
      <c r="E4" s="6" t="inlineStr">
        <is>
          <t>2,132%</t>
        </is>
      </c>
      <c r="F4" s="6" t="inlineStr">
        <is>
          <t>1,090%</t>
        </is>
      </c>
      <c r="G4" s="6" t="n"/>
      <c r="H4" s="6" t="n"/>
      <c r="I4" s="6" t="n"/>
    </row>
    <row r="5" ht="60" customHeight="1">
      <c r="A5" s="7" t="inlineStr">
        <is>
          <t>Note: FY2025-FY2024 are annual-report KPI measures; FY2023-FY2022 are the Pillar 3 LCR ratios (the annual report also shows a year-end 614%/2,819% measure on a different basis); FY2021 is the annual-report KPI. Genuinely not disclosed for FY2020-FY2018.</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Net Stable Funding Ratio</t>
        </is>
      </c>
      <c r="B4" s="6" t="n"/>
      <c r="C4" s="6" t="n"/>
      <c r="D4" s="6" t="inlineStr">
        <is>
          <t>201.1%</t>
        </is>
      </c>
      <c r="E4" s="6" t="inlineStr">
        <is>
          <t>149.1%</t>
        </is>
      </c>
      <c r="F4" s="6" t="n"/>
      <c r="G4" s="6" t="n"/>
      <c r="H4" s="6" t="n"/>
      <c r="I4" s="6" t="n"/>
    </row>
    <row r="5" ht="60" customHeight="1">
      <c r="A5" s="7" t="inlineStr">
        <is>
          <t>Note: Not publicly disclosed for FY2025, FY2024 and FY2021 in the sources reviewed. Genuinely not disclosed for FY2020-FY2018.</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5" ht="60" customHeight="1">
      <c r="A5" s="7" t="inlineStr">
        <is>
          <t>Note: No quantitative MREL ratio was found in the annual reports or the dedicated FY2023 Pillar 3 disclosure reviewed, for any year FY2018-FY2025.</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2026-09-06T00:44:42Z</dcterms:created>
  <dcterms:modified xmlns:dcterms="http://purl.org/dc/terms/" xmlns:xsi="http://www.w3.org/2001/XMLSchema-instance" xsi:type="dcterms:W3CDTF">2026-09-06T00:44:42Z</dcterms:modified>
</cp:coreProperties>
</file>