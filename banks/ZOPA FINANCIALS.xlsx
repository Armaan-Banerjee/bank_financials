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Zopa Bank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Zopa Bank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Zopa Bank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Zopa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Zopa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Zopa Bank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7243711</v>
      </c>
      <c r="C6" s="5" t="n">
        <v>6229047</v>
      </c>
      <c r="D6" s="5" t="n">
        <v>4049087</v>
      </c>
      <c r="E6" s="5" t="n">
        <v>3423334</v>
      </c>
      <c r="F6" s="5" t="n">
        <v>1430971</v>
      </c>
      <c r="I6" t="inlineStr">
        <is>
          <t>Total assets</t>
        </is>
      </c>
      <c r="J6" t="n">
        <v>1430971</v>
      </c>
      <c r="K6" t="n">
        <v>3423334</v>
      </c>
      <c r="L6" t="n">
        <v>4049087</v>
      </c>
      <c r="M6" t="n">
        <v>6229047</v>
      </c>
      <c r="N6" t="n">
        <v>7243711</v>
      </c>
      <c r="AO6" t="inlineStr">
        <is>
          <t>CET1 Ratio</t>
        </is>
      </c>
      <c r="AP6" t="n">
        <v>22.92</v>
      </c>
      <c r="AQ6" t="n">
        <v>17.44</v>
      </c>
      <c r="AR6" t="n">
        <v>16.5</v>
      </c>
      <c r="AS6" t="n">
        <v>16.76</v>
      </c>
      <c r="AT6" t="n">
        <v>14.54</v>
      </c>
    </row>
    <row r="7">
      <c r="A7" s="5" t="inlineStr">
        <is>
          <t>Loans and advances to customers</t>
        </is>
      </c>
      <c r="B7" s="5" t="n">
        <v>3506654</v>
      </c>
      <c r="C7" s="5" t="n">
        <v>2865635</v>
      </c>
      <c r="D7" s="5" t="n">
        <v>2478213</v>
      </c>
      <c r="E7" s="5" t="n">
        <v>1937964</v>
      </c>
      <c r="F7" s="5" t="n">
        <v>1173013</v>
      </c>
      <c r="I7" t="inlineStr">
        <is>
          <t>Loans and advances to customers</t>
        </is>
      </c>
      <c r="J7" t="n">
        <v>1173013</v>
      </c>
      <c r="K7" t="n">
        <v>1937964</v>
      </c>
      <c r="L7" t="n">
        <v>2478213</v>
      </c>
      <c r="M7" t="n">
        <v>2865635</v>
      </c>
      <c r="N7" t="n">
        <v>3506654</v>
      </c>
      <c r="AO7" t="inlineStr">
        <is>
          <t>Tier 1 Ratio</t>
        </is>
      </c>
      <c r="AP7" t="n">
        <v>22.92</v>
      </c>
      <c r="AQ7" t="n">
        <v>17.44</v>
      </c>
      <c r="AR7" t="n">
        <v>16.5</v>
      </c>
      <c r="AS7" t="n">
        <v>16.76</v>
      </c>
      <c r="AT7" t="n">
        <v>16.87</v>
      </c>
    </row>
    <row r="8">
      <c r="A8" s="5" t="inlineStr">
        <is>
          <t>Deposits by customers</t>
        </is>
      </c>
      <c r="B8" s="5" t="n">
        <v>6393598</v>
      </c>
      <c r="C8" s="5" t="n">
        <v>5455740</v>
      </c>
      <c r="D8" s="5" t="n">
        <v>3357724</v>
      </c>
      <c r="E8" s="5" t="n">
        <v>2922845</v>
      </c>
      <c r="F8" s="5" t="n">
        <v>968000</v>
      </c>
      <c r="I8" t="inlineStr">
        <is>
          <t>Deposits by customers</t>
        </is>
      </c>
      <c r="J8" t="n">
        <v>968000</v>
      </c>
      <c r="K8" t="n">
        <v>2922845</v>
      </c>
      <c r="L8" t="n">
        <v>3357724</v>
      </c>
      <c r="M8" t="n">
        <v>5455740</v>
      </c>
      <c r="N8" t="n">
        <v>6393598</v>
      </c>
      <c r="AO8" t="inlineStr">
        <is>
          <t>Total Capital Ratio</t>
        </is>
      </c>
      <c r="AP8" t="n">
        <v>22.92</v>
      </c>
      <c r="AQ8" t="n">
        <v>17.44</v>
      </c>
      <c r="AR8" t="n">
        <v>19.9</v>
      </c>
      <c r="AS8" t="n">
        <v>19.57</v>
      </c>
      <c r="AT8" t="n">
        <v>19.1</v>
      </c>
    </row>
    <row r="9">
      <c r="A9" s="5" t="inlineStr">
        <is>
          <t>Total equity</t>
        </is>
      </c>
      <c r="B9" s="5" t="n">
        <v>623217</v>
      </c>
      <c r="C9" s="5" t="n">
        <v>497291</v>
      </c>
      <c r="D9" s="5" t="n">
        <v>404415</v>
      </c>
      <c r="E9" s="5" t="n">
        <v>299607</v>
      </c>
      <c r="F9" s="5" t="n">
        <v>252255</v>
      </c>
      <c r="I9" t="inlineStr">
        <is>
          <t>Total equity</t>
        </is>
      </c>
      <c r="J9" t="n">
        <v>252255</v>
      </c>
      <c r="K9" t="n">
        <v>299607</v>
      </c>
      <c r="L9" t="n">
        <v>404415</v>
      </c>
      <c r="M9" t="n">
        <v>497291</v>
      </c>
      <c r="N9" t="n">
        <v>623217</v>
      </c>
      <c r="AO9" t="inlineStr">
        <is>
          <t>Leverage Ratio</t>
        </is>
      </c>
      <c r="AQ9" t="n">
        <v>14.34</v>
      </c>
      <c r="AR9" t="n">
        <v>13.48</v>
      </c>
      <c r="AS9" t="n">
        <v>12.99</v>
      </c>
      <c r="AT9" t="n">
        <v>11.36</v>
      </c>
    </row>
    <row r="10">
      <c r="AO10" t="inlineStr">
        <is>
          <t>LCR</t>
        </is>
      </c>
      <c r="AQ10" t="n">
        <v>1033</v>
      </c>
      <c r="AR10" t="n">
        <v>730</v>
      </c>
      <c r="AS10" t="n">
        <v>546</v>
      </c>
      <c r="AT10" t="n">
        <v>484</v>
      </c>
    </row>
    <row r="11">
      <c r="A11" s="3" t="inlineStr">
        <is>
          <t>Profit &amp; Loss Summary (£'000)</t>
        </is>
      </c>
      <c r="AO11" t="inlineStr">
        <is>
          <t>NSFR</t>
        </is>
      </c>
      <c r="AR11" t="n">
        <v>207</v>
      </c>
      <c r="AS11" t="n">
        <v>227</v>
      </c>
      <c r="AT11" t="n">
        <v>225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operating income</t>
        </is>
      </c>
      <c r="B13" s="5" t="n">
        <v>359552</v>
      </c>
      <c r="C13" s="5" t="n">
        <v>297788</v>
      </c>
      <c r="D13" s="5" t="n">
        <v>222430</v>
      </c>
      <c r="E13" s="5" t="n">
        <v>150524</v>
      </c>
      <c r="F13" s="5" t="n">
        <v>65228</v>
      </c>
      <c r="Q13" t="inlineStr">
        <is>
          <t>Total operating income</t>
        </is>
      </c>
      <c r="R13" t="n">
        <v>65228</v>
      </c>
      <c r="S13" t="n">
        <v>150524</v>
      </c>
      <c r="T13" t="n">
        <v>222430</v>
      </c>
      <c r="U13" t="n">
        <v>297788</v>
      </c>
      <c r="V13" t="n">
        <v>359552</v>
      </c>
    </row>
    <row r="14">
      <c r="A14" s="5" t="inlineStr">
        <is>
          <t>Profit/(loss) before tax</t>
        </is>
      </c>
      <c r="B14" s="5" t="n">
        <v>44852</v>
      </c>
      <c r="C14" s="5" t="n">
        <v>31550</v>
      </c>
      <c r="D14" s="5" t="n">
        <v>15817</v>
      </c>
      <c r="E14" s="5" t="n">
        <v>-25988</v>
      </c>
      <c r="F14" s="5" t="n">
        <v>-34224</v>
      </c>
      <c r="Q14" t="inlineStr">
        <is>
          <t>Profit/(loss) before tax</t>
        </is>
      </c>
      <c r="R14" t="n">
        <v>-34224</v>
      </c>
      <c r="S14" t="n">
        <v>-25988</v>
      </c>
      <c r="T14" t="n">
        <v>15817</v>
      </c>
      <c r="U14" t="n">
        <v>31550</v>
      </c>
      <c r="V14" t="n">
        <v>44852</v>
      </c>
    </row>
    <row r="15">
      <c r="A15" s="5" t="inlineStr">
        <is>
          <t>Profit/(loss) after tax</t>
        </is>
      </c>
      <c r="B15" s="5" t="n">
        <v>33380</v>
      </c>
      <c r="C15" s="5" t="n">
        <v>21777</v>
      </c>
      <c r="D15" s="5" t="n">
        <v>38881</v>
      </c>
      <c r="E15" s="5" t="n">
        <v>-25988</v>
      </c>
      <c r="F15" s="5" t="n">
        <v>-34223</v>
      </c>
      <c r="Q15" t="inlineStr">
        <is>
          <t>Profit/(loss) after tax</t>
        </is>
      </c>
      <c r="R15" t="n">
        <v>-34223</v>
      </c>
      <c r="S15" t="n">
        <v>-25988</v>
      </c>
      <c r="T15" t="n">
        <v>38881</v>
      </c>
      <c r="U15" t="n">
        <v>21777</v>
      </c>
      <c r="V15" t="n">
        <v>33380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497291</v>
      </c>
      <c r="C19" s="5" t="n">
        <v>404415</v>
      </c>
      <c r="D19" s="5" t="n">
        <v>299607</v>
      </c>
      <c r="E19" s="5" t="n">
        <v>252255</v>
      </c>
      <c r="F19" s="5" t="n">
        <v>127622</v>
      </c>
      <c r="Y19" t="inlineStr">
        <is>
          <t>Opening equity</t>
        </is>
      </c>
      <c r="Z19" t="n">
        <v>127622</v>
      </c>
      <c r="AA19" t="n">
        <v>252255</v>
      </c>
      <c r="AB19" t="n">
        <v>299607</v>
      </c>
      <c r="AC19" t="n">
        <v>404415</v>
      </c>
      <c r="AD19" t="n">
        <v>497291</v>
      </c>
    </row>
    <row r="20">
      <c r="A20" s="5" t="inlineStr">
        <is>
          <t>Total comprehensive income/(loss) for the year</t>
        </is>
      </c>
      <c r="B20" s="5" t="n">
        <v>33567</v>
      </c>
      <c r="C20" s="5" t="n">
        <v>21731</v>
      </c>
      <c r="D20" s="5" t="n">
        <v>38832</v>
      </c>
      <c r="E20" s="5" t="n">
        <v>-25988</v>
      </c>
      <c r="F20" s="5" t="n">
        <v>-34223</v>
      </c>
      <c r="Y20" t="inlineStr">
        <is>
          <t>Total comprehensive income/(loss) for the year</t>
        </is>
      </c>
      <c r="Z20" t="n">
        <v>-34223</v>
      </c>
      <c r="AA20" t="n">
        <v>-25988</v>
      </c>
      <c r="AB20" t="n">
        <v>38832</v>
      </c>
      <c r="AC20" t="n">
        <v>21731</v>
      </c>
      <c r="AD20" t="n">
        <v>33567</v>
      </c>
    </row>
    <row r="21">
      <c r="A21" s="5" t="inlineStr">
        <is>
          <t>Other equity movements, net</t>
        </is>
      </c>
      <c r="B21" s="5" t="n">
        <v>92359</v>
      </c>
      <c r="C21" s="5" t="n">
        <v>71145</v>
      </c>
      <c r="D21" s="5" t="n">
        <v>65976</v>
      </c>
      <c r="E21" s="5" t="n">
        <v>73340</v>
      </c>
      <c r="F21" s="5" t="n">
        <v>158856</v>
      </c>
      <c r="Y21" t="inlineStr">
        <is>
          <t>Other equity movements, net</t>
        </is>
      </c>
      <c r="Z21" t="n">
        <v>158856</v>
      </c>
      <c r="AA21" t="n">
        <v>73340</v>
      </c>
      <c r="AB21" t="n">
        <v>65976</v>
      </c>
      <c r="AC21" t="n">
        <v>71145</v>
      </c>
      <c r="AD21" t="n">
        <v>92359</v>
      </c>
    </row>
    <row r="22">
      <c r="A22" s="5" t="inlineStr">
        <is>
          <t>Closing equity</t>
        </is>
      </c>
      <c r="B22" s="5" t="n">
        <v>623217</v>
      </c>
      <c r="C22" s="5" t="n">
        <v>497291</v>
      </c>
      <c r="D22" s="5" t="n">
        <v>404415</v>
      </c>
      <c r="E22" s="5" t="n">
        <v>299607</v>
      </c>
      <c r="F22" s="5" t="n">
        <v>252255</v>
      </c>
      <c r="Y22" t="inlineStr">
        <is>
          <t>Closing equity</t>
        </is>
      </c>
      <c r="Z22" t="n">
        <v>252255</v>
      </c>
      <c r="AA22" t="n">
        <v>299607</v>
      </c>
      <c r="AB22" t="n">
        <v>404415</v>
      </c>
      <c r="AC22" t="n">
        <v>497291</v>
      </c>
      <c r="AD22" t="n">
        <v>623217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from/(used in) operating activities</t>
        </is>
      </c>
      <c r="B26" s="5" t="n">
        <v>363343</v>
      </c>
      <c r="C26" s="5" t="n">
        <v>1736072</v>
      </c>
      <c r="D26" s="5" t="n">
        <v>-52437</v>
      </c>
      <c r="E26" s="5" t="n">
        <v>1149272</v>
      </c>
      <c r="F26" s="5" t="n">
        <v>-175837</v>
      </c>
      <c r="AG26" t="inlineStr">
        <is>
          <t>Net cash from/(used in) operating activities</t>
        </is>
      </c>
      <c r="AH26" t="n">
        <v>-175837</v>
      </c>
      <c r="AI26" t="n">
        <v>1149272</v>
      </c>
      <c r="AJ26" t="n">
        <v>-52437</v>
      </c>
      <c r="AK26" t="n">
        <v>1736072</v>
      </c>
      <c r="AL26" t="n">
        <v>363343</v>
      </c>
    </row>
    <row r="27">
      <c r="A27" s="5" t="inlineStr">
        <is>
          <t>Net cash from/(used in) investing activities</t>
        </is>
      </c>
      <c r="B27" s="5" t="n">
        <v>-817416</v>
      </c>
      <c r="C27" s="5" t="n">
        <v>-389003</v>
      </c>
      <c r="D27" s="5" t="n">
        <v>-92313</v>
      </c>
      <c r="E27" s="5" t="n">
        <v>-4558</v>
      </c>
      <c r="F27" s="5" t="n">
        <v>-2555</v>
      </c>
      <c r="AG27" t="inlineStr">
        <is>
          <t>Net cash from/(used in) investing activities</t>
        </is>
      </c>
      <c r="AH27" t="n">
        <v>-2555</v>
      </c>
      <c r="AI27" t="n">
        <v>-4558</v>
      </c>
      <c r="AJ27" t="n">
        <v>-92313</v>
      </c>
      <c r="AK27" t="n">
        <v>-389003</v>
      </c>
      <c r="AL27" t="n">
        <v>-817416</v>
      </c>
    </row>
    <row r="28">
      <c r="A28" s="5" t="inlineStr">
        <is>
          <t>Net cash from/(used in) financing activities</t>
        </is>
      </c>
      <c r="B28" s="5" t="n">
        <v>-27173</v>
      </c>
      <c r="C28" s="5" t="n">
        <v>66682</v>
      </c>
      <c r="D28" s="5" t="n">
        <v>118865</v>
      </c>
      <c r="E28" s="5" t="n">
        <v>49405</v>
      </c>
      <c r="F28" s="5" t="n">
        <v>346694</v>
      </c>
      <c r="AG28" t="inlineStr">
        <is>
          <t>Net cash from/(used in) financing activities</t>
        </is>
      </c>
      <c r="AH28" t="n">
        <v>346694</v>
      </c>
      <c r="AI28" t="n">
        <v>49405</v>
      </c>
      <c r="AJ28" t="n">
        <v>118865</v>
      </c>
      <c r="AK28" t="n">
        <v>66682</v>
      </c>
      <c r="AL28" t="n">
        <v>-27173</v>
      </c>
    </row>
    <row r="29">
      <c r="A29" s="5" t="inlineStr">
        <is>
          <t>Cash and cash equivalents at end of year</t>
        </is>
      </c>
      <c r="B29" s="5" t="n">
        <v>2338497</v>
      </c>
      <c r="C29" s="5" t="n">
        <v>2819743</v>
      </c>
      <c r="D29" s="5" t="n">
        <v>1405992</v>
      </c>
      <c r="E29" s="5" t="n">
        <v>1431877</v>
      </c>
      <c r="F29" s="5" t="n">
        <v>237758</v>
      </c>
      <c r="AG29" t="inlineStr">
        <is>
          <t>Cash and cash equivalents at end of year</t>
        </is>
      </c>
      <c r="AH29" t="n">
        <v>237758</v>
      </c>
      <c r="AI29" t="n">
        <v>1431877</v>
      </c>
      <c r="AJ29" t="n">
        <v>1405992</v>
      </c>
      <c r="AK29" t="n">
        <v>2819743</v>
      </c>
      <c r="AL29" t="n">
        <v>2338497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14.54%</t>
        </is>
      </c>
      <c r="C33" s="6" t="inlineStr">
        <is>
          <t>16.76%</t>
        </is>
      </c>
      <c r="D33" s="6" t="inlineStr">
        <is>
          <t>16.50%</t>
        </is>
      </c>
      <c r="E33" s="6" t="inlineStr">
        <is>
          <t>17.44%</t>
        </is>
      </c>
      <c r="F33" s="6" t="inlineStr">
        <is>
          <t>22.92%</t>
        </is>
      </c>
    </row>
    <row r="34">
      <c r="A34" s="6" t="inlineStr">
        <is>
          <t>Tier 1 Ratio</t>
        </is>
      </c>
      <c r="B34" s="6" t="inlineStr">
        <is>
          <t>16.87%</t>
        </is>
      </c>
      <c r="C34" s="6" t="inlineStr">
        <is>
          <t>16.76%</t>
        </is>
      </c>
      <c r="D34" s="6" t="inlineStr">
        <is>
          <t>16.50%</t>
        </is>
      </c>
      <c r="E34" s="6" t="inlineStr">
        <is>
          <t>17.44%</t>
        </is>
      </c>
      <c r="F34" s="6" t="inlineStr">
        <is>
          <t>22.92%</t>
        </is>
      </c>
    </row>
    <row r="35">
      <c r="A35" s="6" t="inlineStr">
        <is>
          <t>Total Capital Ratio</t>
        </is>
      </c>
      <c r="B35" s="6" t="inlineStr">
        <is>
          <t>19.10%</t>
        </is>
      </c>
      <c r="C35" s="6" t="inlineStr">
        <is>
          <t>19.57%</t>
        </is>
      </c>
      <c r="D35" s="6" t="inlineStr">
        <is>
          <t>19.90%</t>
        </is>
      </c>
      <c r="E35" s="6" t="inlineStr">
        <is>
          <t>17.44%</t>
        </is>
      </c>
      <c r="F35" s="6" t="inlineStr">
        <is>
          <t>22.92%</t>
        </is>
      </c>
    </row>
    <row r="36">
      <c r="A36" s="6" t="inlineStr">
        <is>
          <t>Leverage Ratio</t>
        </is>
      </c>
      <c r="B36" s="6" t="inlineStr">
        <is>
          <t>11.36%</t>
        </is>
      </c>
      <c r="C36" s="6" t="inlineStr">
        <is>
          <t>12.99%</t>
        </is>
      </c>
      <c r="D36" s="6" t="inlineStr">
        <is>
          <t>13.48%</t>
        </is>
      </c>
      <c r="E36" s="6" t="inlineStr">
        <is>
          <t>14.34%</t>
        </is>
      </c>
      <c r="F36" s="6" t="n"/>
    </row>
    <row r="37">
      <c r="A37" s="6" t="inlineStr">
        <is>
          <t>LCR</t>
        </is>
      </c>
      <c r="B37" s="6" t="inlineStr">
        <is>
          <t>484%</t>
        </is>
      </c>
      <c r="C37" s="6" t="inlineStr">
        <is>
          <t>546%</t>
        </is>
      </c>
      <c r="D37" s="6" t="inlineStr">
        <is>
          <t>730%</t>
        </is>
      </c>
      <c r="E37" s="6" t="inlineStr">
        <is>
          <t>1,033%</t>
        </is>
      </c>
      <c r="F37" s="6" t="n"/>
    </row>
    <row r="38">
      <c r="A38" s="6" t="inlineStr">
        <is>
          <t>NSFR</t>
        </is>
      </c>
      <c r="B38" s="6" t="inlineStr">
        <is>
          <t>225%</t>
        </is>
      </c>
      <c r="C38" s="6" t="inlineStr">
        <is>
          <t>227%</t>
        </is>
      </c>
      <c r="D38" s="6" t="inlineStr">
        <is>
          <t>207%</t>
        </is>
      </c>
      <c r="E38" s="6" t="n"/>
      <c r="F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All figures are Zopa Bank Limited's own entity-level basis, not the wider Zopa Group.</t>
        </is>
      </c>
    </row>
  </sheetData>
  <mergeCells count="1">
    <mergeCell ref="A40:F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Balance Sheet</t>
        </is>
      </c>
    </row>
    <row r="2">
      <c r="A2" s="2" t="inlineStr">
        <is>
          <t>Zopa Bank Limited (entity-level), £'000. Total assets = Total liabilities + Total equity for every year. Ties exactly to the Statement of Changes in Equity sheet's own closing Total equity every year.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cash equivalents / balances - Central bank(s)</t>
        </is>
      </c>
      <c r="B5" s="6" t="n">
        <v>2225694</v>
      </c>
      <c r="C5" s="6" t="n">
        <v>2761315</v>
      </c>
      <c r="D5" s="6" t="n">
        <v>1336105</v>
      </c>
      <c r="E5" s="6" t="n">
        <v>1397062</v>
      </c>
      <c r="F5" s="6" t="n">
        <v>191148</v>
      </c>
    </row>
    <row r="6">
      <c r="A6" s="6" t="inlineStr">
        <is>
          <t>Cash and cash equivalents / balances - Other bank(s)</t>
        </is>
      </c>
      <c r="B6" s="6" t="n">
        <v>82231</v>
      </c>
      <c r="C6" s="6" t="n">
        <v>58428</v>
      </c>
      <c r="D6" s="6" t="n">
        <v>66063</v>
      </c>
      <c r="E6" s="6" t="n">
        <v>21429</v>
      </c>
      <c r="F6" s="6" t="n">
        <v>30366</v>
      </c>
    </row>
    <row r="7">
      <c r="A7" s="6" t="inlineStr">
        <is>
          <t>Debt securities (cash-like)</t>
        </is>
      </c>
      <c r="B7" s="6" t="n">
        <v>30572</v>
      </c>
      <c r="C7" s="6" t="n">
        <v>0</v>
      </c>
      <c r="D7" s="6" t="n">
        <v>13988</v>
      </c>
      <c r="E7" s="6" t="n">
        <v>13386</v>
      </c>
      <c r="F7" s="6" t="n">
        <v>16244</v>
      </c>
    </row>
    <row r="8">
      <c r="A8" s="6" t="inlineStr">
        <is>
          <t>Amounts due from other Group undertakings</t>
        </is>
      </c>
      <c r="B8" s="6" t="n">
        <v>39724</v>
      </c>
      <c r="C8" s="6" t="n">
        <v>642</v>
      </c>
      <c r="D8" s="6" t="n">
        <v>1431</v>
      </c>
      <c r="E8" s="6" t="n">
        <v>0</v>
      </c>
      <c r="F8" s="6" t="n">
        <v>1808</v>
      </c>
    </row>
    <row r="9">
      <c r="A9" s="6" t="inlineStr">
        <is>
          <t>Derivative financial instruments</t>
        </is>
      </c>
      <c r="B9" s="6" t="n">
        <v>141</v>
      </c>
      <c r="C9" s="6" t="n">
        <v>5946</v>
      </c>
      <c r="D9" s="6" t="n">
        <v>7974</v>
      </c>
      <c r="E9" s="6" t="n">
        <v>8346</v>
      </c>
      <c r="F9" s="6" t="n">
        <v>11</v>
      </c>
    </row>
    <row r="10">
      <c r="A10" s="6" t="inlineStr">
        <is>
          <t>Loans and advances to customers</t>
        </is>
      </c>
      <c r="B10" s="6" t="n">
        <v>3506654</v>
      </c>
      <c r="C10" s="6" t="n">
        <v>2865635</v>
      </c>
      <c r="D10" s="6" t="n">
        <v>2478213</v>
      </c>
      <c r="E10" s="6" t="n">
        <v>1937964</v>
      </c>
      <c r="F10" s="6" t="n">
        <v>1173013</v>
      </c>
    </row>
    <row r="11">
      <c r="A11" s="6" t="inlineStr">
        <is>
          <t>Investment securities (held at FVOCI)</t>
        </is>
      </c>
      <c r="B11" s="6" t="n">
        <v>1253125</v>
      </c>
      <c r="C11" s="6" t="n">
        <v>455157</v>
      </c>
      <c r="D11" s="6" t="n">
        <v>80710</v>
      </c>
      <c r="E11" s="6" t="n">
        <v>0</v>
      </c>
      <c r="F11" s="6" t="n"/>
    </row>
    <row r="12">
      <c r="A12" s="6" t="inlineStr">
        <is>
          <t>Prepayments and accrued income</t>
        </is>
      </c>
      <c r="B12" s="6" t="n">
        <v>8578</v>
      </c>
      <c r="C12" s="6" t="n">
        <v>6445</v>
      </c>
      <c r="D12" s="6" t="n">
        <v>4891</v>
      </c>
      <c r="E12" s="6" t="n">
        <v>5007</v>
      </c>
      <c r="F12" s="6" t="n">
        <v>2489</v>
      </c>
    </row>
    <row r="13">
      <c r="A13" s="6" t="inlineStr">
        <is>
          <t>Other assets</t>
        </is>
      </c>
      <c r="B13" s="6" t="n">
        <v>22470</v>
      </c>
      <c r="C13" s="6" t="n">
        <v>22259</v>
      </c>
      <c r="D13" s="6" t="n">
        <v>13814</v>
      </c>
      <c r="E13" s="6" t="n">
        <v>28358</v>
      </c>
      <c r="F13" s="6" t="n">
        <v>1960</v>
      </c>
    </row>
    <row r="14">
      <c r="A14" s="6" t="inlineStr">
        <is>
          <t>Property, plant and equipment</t>
        </is>
      </c>
      <c r="B14" s="6" t="n">
        <v>1676</v>
      </c>
      <c r="C14" s="6" t="n">
        <v>1150</v>
      </c>
      <c r="D14" s="6" t="n">
        <v>1307</v>
      </c>
      <c r="E14" s="6" t="n">
        <v>788</v>
      </c>
      <c r="F14" s="6" t="n">
        <v>1054</v>
      </c>
    </row>
    <row r="15">
      <c r="A15" s="6" t="inlineStr">
        <is>
          <t>Right-of-use assets</t>
        </is>
      </c>
      <c r="B15" s="6" t="n">
        <v>17109</v>
      </c>
      <c r="C15" s="6" t="n">
        <v>2137</v>
      </c>
      <c r="D15" s="6" t="n">
        <v>4135</v>
      </c>
      <c r="E15" s="6" t="n">
        <v>1559</v>
      </c>
      <c r="F15" s="6" t="n">
        <v>3526</v>
      </c>
    </row>
    <row r="16">
      <c r="A16" s="6" t="inlineStr">
        <is>
          <t>Intangible assets</t>
        </is>
      </c>
      <c r="B16" s="6" t="n">
        <v>43949</v>
      </c>
      <c r="C16" s="6" t="n">
        <v>32360</v>
      </c>
      <c r="D16" s="6" t="n">
        <v>16055</v>
      </c>
      <c r="E16" s="6" t="n">
        <v>9435</v>
      </c>
      <c r="F16" s="6" t="n">
        <v>9352</v>
      </c>
    </row>
    <row r="17">
      <c r="A17" s="6" t="inlineStr">
        <is>
          <t>Deferred tax assets</t>
        </is>
      </c>
      <c r="B17" s="6" t="n">
        <v>11788</v>
      </c>
      <c r="C17" s="6" t="n">
        <v>17573</v>
      </c>
      <c r="D17" s="6" t="n">
        <v>24401</v>
      </c>
      <c r="E17" s="6" t="n">
        <v>0</v>
      </c>
      <c r="F17" s="6" t="n"/>
    </row>
    <row r="18">
      <c r="A18" s="5" t="inlineStr">
        <is>
          <t>Total assets</t>
        </is>
      </c>
      <c r="B18" s="5" t="n">
        <v>7243711</v>
      </c>
      <c r="C18" s="5" t="n">
        <v>6229047</v>
      </c>
      <c r="D18" s="5" t="n">
        <v>4049087</v>
      </c>
      <c r="E18" s="5" t="n">
        <v>3423334</v>
      </c>
      <c r="F18" s="5" t="n">
        <v>1430971</v>
      </c>
    </row>
    <row r="19">
      <c r="A19" s="5" t="inlineStr">
        <is>
          <t>Liabilities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Derivative financial instruments</t>
        </is>
      </c>
      <c r="B20" s="6" t="n">
        <v>6020</v>
      </c>
      <c r="C20" s="6" t="n">
        <v>1087</v>
      </c>
      <c r="D20" s="6" t="n">
        <v>3388</v>
      </c>
      <c r="E20" s="6" t="n">
        <v>757</v>
      </c>
      <c r="F20" s="6" t="n">
        <v>0</v>
      </c>
    </row>
    <row r="21">
      <c r="A21" s="6" t="inlineStr">
        <is>
          <t>Amounts due to banks</t>
        </is>
      </c>
      <c r="B21" s="6" t="n">
        <v>50783</v>
      </c>
      <c r="C21" s="6" t="n">
        <v>157227</v>
      </c>
      <c r="D21" s="6" t="n">
        <v>159239</v>
      </c>
      <c r="E21" s="6" t="n">
        <v>180074</v>
      </c>
      <c r="F21" s="6" t="n">
        <v>175193</v>
      </c>
    </row>
    <row r="22">
      <c r="A22" s="6" t="inlineStr">
        <is>
          <t>Deposits by customers</t>
        </is>
      </c>
      <c r="B22" s="6" t="n">
        <v>6393598</v>
      </c>
      <c r="C22" s="6" t="n">
        <v>5455740</v>
      </c>
      <c r="D22" s="6" t="n">
        <v>3357724</v>
      </c>
      <c r="E22" s="6" t="n">
        <v>2922845</v>
      </c>
      <c r="F22" s="6" t="n">
        <v>968000</v>
      </c>
    </row>
    <row r="23">
      <c r="A23" s="6" t="inlineStr">
        <is>
          <t>Amounts due to other Group undertakings</t>
        </is>
      </c>
      <c r="B23" s="6" t="n">
        <v>34361</v>
      </c>
      <c r="C23" s="6" t="n">
        <v>4</v>
      </c>
      <c r="D23" s="6" t="n">
        <v>615</v>
      </c>
      <c r="E23" s="6" t="n">
        <v>106</v>
      </c>
      <c r="F23" s="6" t="n">
        <v>17000</v>
      </c>
    </row>
    <row r="24">
      <c r="A24" s="6" t="inlineStr">
        <is>
          <t>Subordinated liabilities</t>
        </is>
      </c>
      <c r="B24" s="6" t="n">
        <v>76086</v>
      </c>
      <c r="C24" s="6" t="n">
        <v>76086</v>
      </c>
      <c r="D24" s="6" t="n">
        <v>78817</v>
      </c>
      <c r="E24" s="6" t="n">
        <v>0</v>
      </c>
      <c r="F24" s="6" t="n"/>
    </row>
    <row r="25">
      <c r="A25" s="6" t="inlineStr">
        <is>
          <t>Accruals</t>
        </is>
      </c>
      <c r="B25" s="6" t="n">
        <v>17498</v>
      </c>
      <c r="C25" s="6" t="n">
        <v>16747</v>
      </c>
      <c r="D25" s="6" t="n">
        <v>12483</v>
      </c>
      <c r="E25" s="6" t="n">
        <v>10449</v>
      </c>
      <c r="F25" s="6" t="n">
        <v>8887</v>
      </c>
    </row>
    <row r="26">
      <c r="A26" s="6" t="inlineStr">
        <is>
          <t>Provisions</t>
        </is>
      </c>
      <c r="B26" s="6" t="n">
        <v>10521</v>
      </c>
      <c r="C26" s="6" t="n">
        <v>3110</v>
      </c>
      <c r="D26" s="6" t="n">
        <v>2131</v>
      </c>
      <c r="E26" s="6" t="n">
        <v>1370</v>
      </c>
      <c r="F26" s="6" t="n">
        <v>1372</v>
      </c>
    </row>
    <row r="27">
      <c r="A27" s="6" t="inlineStr">
        <is>
          <t>Other liabilities</t>
        </is>
      </c>
      <c r="B27" s="6" t="n">
        <v>15313</v>
      </c>
      <c r="C27" s="6" t="n">
        <v>20016</v>
      </c>
      <c r="D27" s="6" t="n">
        <v>27237</v>
      </c>
      <c r="E27" s="6" t="n">
        <v>7087</v>
      </c>
      <c r="F27" s="6" t="n">
        <v>5113</v>
      </c>
    </row>
    <row r="28">
      <c r="A28" s="6" t="inlineStr">
        <is>
          <t>Lease liabilities</t>
        </is>
      </c>
      <c r="B28" s="6" t="n">
        <v>16314</v>
      </c>
      <c r="C28" s="6" t="n">
        <v>1739</v>
      </c>
      <c r="D28" s="6" t="n">
        <v>3038</v>
      </c>
      <c r="E28" s="6" t="n">
        <v>1039</v>
      </c>
      <c r="F28" s="6" t="n">
        <v>3151</v>
      </c>
    </row>
    <row r="29">
      <c r="A29" s="5" t="inlineStr">
        <is>
          <t>Total liabilities</t>
        </is>
      </c>
      <c r="B29" s="5" t="n">
        <v>6620494</v>
      </c>
      <c r="C29" s="5" t="n">
        <v>5731756</v>
      </c>
      <c r="D29" s="5" t="n">
        <v>3644672</v>
      </c>
      <c r="E29" s="5" t="n">
        <v>3123727</v>
      </c>
      <c r="F29" s="5" t="n">
        <v>1178716</v>
      </c>
    </row>
    <row r="30">
      <c r="A30" s="5" t="inlineStr">
        <is>
          <t>Equity</t>
        </is>
      </c>
      <c r="B30" s="6" t="n"/>
      <c r="C30" s="6" t="n"/>
      <c r="D30" s="6" t="n"/>
      <c r="E30" s="6" t="n"/>
      <c r="F30" s="6" t="n"/>
    </row>
    <row r="31">
      <c r="A31" s="6" t="inlineStr">
        <is>
          <t>Called-up share capital</t>
        </is>
      </c>
      <c r="B31" s="6" t="n">
        <v>68542</v>
      </c>
      <c r="C31" s="6" t="n">
        <v>554819</v>
      </c>
      <c r="D31" s="6" t="n">
        <v>486319</v>
      </c>
      <c r="E31" s="6" t="n">
        <v>421319</v>
      </c>
      <c r="F31" s="6" t="n">
        <v>349319</v>
      </c>
    </row>
    <row r="32">
      <c r="A32" s="6" t="inlineStr">
        <is>
          <t>Share premium</t>
        </is>
      </c>
      <c r="B32" s="6" t="n">
        <v>6146</v>
      </c>
      <c r="C32" s="6" t="n">
        <v>0</v>
      </c>
      <c r="D32" s="6" t="n"/>
      <c r="E32" s="6" t="n"/>
      <c r="F32" s="6" t="n"/>
    </row>
    <row r="33">
      <c r="A33" s="6" t="inlineStr">
        <is>
          <t>Other equity instruments</t>
        </is>
      </c>
      <c r="B33" s="6" t="n">
        <v>78298</v>
      </c>
      <c r="C33" s="6" t="n">
        <v>0</v>
      </c>
      <c r="D33" s="6" t="n"/>
      <c r="E33" s="6" t="n"/>
      <c r="F33" s="6" t="n"/>
    </row>
    <row r="34">
      <c r="A34" s="6" t="inlineStr">
        <is>
          <t>Other reserves</t>
        </is>
      </c>
      <c r="B34" s="6" t="n">
        <v>21826</v>
      </c>
      <c r="C34" s="6" t="n">
        <v>9428</v>
      </c>
      <c r="D34" s="6" t="n">
        <v>6829</v>
      </c>
      <c r="E34" s="6" t="n">
        <v>5902</v>
      </c>
      <c r="F34" s="6" t="n">
        <v>6180</v>
      </c>
    </row>
    <row r="35">
      <c r="A35" s="6" t="inlineStr">
        <is>
          <t>Retained earnings/(accumulated losses)</t>
        </is>
      </c>
      <c r="B35" s="6" t="n">
        <v>448405</v>
      </c>
      <c r="C35" s="6" t="n">
        <v>-66956</v>
      </c>
      <c r="D35" s="6" t="n">
        <v>-88733</v>
      </c>
      <c r="E35" s="6" t="n">
        <v>-127614</v>
      </c>
      <c r="F35" s="6" t="n">
        <v>-103244</v>
      </c>
    </row>
    <row r="36">
      <c r="A36" s="5" t="inlineStr">
        <is>
          <t>Total equity</t>
        </is>
      </c>
      <c r="B36" s="5" t="n">
        <v>623217</v>
      </c>
      <c r="C36" s="5" t="n">
        <v>497291</v>
      </c>
      <c r="D36" s="5" t="n">
        <v>404415</v>
      </c>
      <c r="E36" s="5" t="n">
        <v>299607</v>
      </c>
      <c r="F36" s="5" t="n">
        <v>252255</v>
      </c>
    </row>
    <row r="37">
      <c r="A37" s="5" t="inlineStr">
        <is>
          <t>Total equity and liabilities</t>
        </is>
      </c>
      <c r="B37" s="5" t="n">
        <v>7243711</v>
      </c>
      <c r="C37" s="5" t="n">
        <v>6229047</v>
      </c>
      <c r="D37" s="5" t="n">
        <v>4049087</v>
      </c>
      <c r="E37" s="5" t="n">
        <v>3423334</v>
      </c>
      <c r="F37" s="5" t="n">
        <v>1430971</v>
      </c>
    </row>
    <row r="39" ht="280" customHeight="1">
      <c r="A39" s="8" t="inlineStr">
        <is>
          <t>Sources - Zopa Bank Limited's own entity-level financial statements, £'000:
FY2025/FY2024: Annual Report and Accounts 2025 - Statement of comprehensive income p.98, Statement of financial position p.99, Statement of changes in equity p.100 - https://www.datocms-assets.com/23873/1773841899-zopa_bank_ar25_web.pdf
FY2023/FY2022: Annual Report and Accounts 2023 - Statement of comprehensive income p.111, Statement of financial position p.112, Statement of changes in equity p.113 - https://www.datocms-assets.com/23873/1713257733-zopa-group-2023-annual-report-signed_web-version.pdf
FY2021: Annual Report and Accounts 2021 - Statement of comprehensive income p.66, Statement of financial position p.67, Statement of changes in equity p.68 - https://www.datocms-assets.com/23873/1658745948-zopa-bank-annual-report-2021.pdf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
PRESENTATION NOTE: line-item structure and labels differ by report vintage (e.g. 'Total operating income' block only appears from FY2024 onward; the equity statement gained separate 'Share premium' and 'Other equity instruments' columns only in FY2025, when the Bank issued AT1 instruments and restructured its share capital via a capital reduction - both columns are blank/nil for FY2021-FY2024, not a gap). Every year's own Profit/(loss) before tax ties exactly to the pre-existing Cash Flow Statement sheet's own opening reconciliation line. Blank cells indicate that year's own statement did not disclose/include that specific line at all; a printed em-dash in the source was transcribed as 0 (an explicit nil, not a gap).</t>
        </is>
      </c>
    </row>
  </sheetData>
  <mergeCells count="1"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Profit &amp; Loss</t>
        </is>
      </c>
    </row>
    <row r="2">
      <c r="A2" s="2" t="inlineStr">
        <is>
          <t>Zopa Bank Limited (entity-level), £'000. All profits/losses are from continuing operations. FY2022/FY2021 disclose no other comprehensive income items at all (confirmed via the source statement's own text, not a gap) - Total comprehensive income equals Profit/(loss) after tax exactly in those two years. Every year's Profit/(loss) before tax ties exactly to the Cash Flow Statement sheet's own opening reconciliation line.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598989</v>
      </c>
      <c r="C5" s="6" t="n">
        <v>503794</v>
      </c>
      <c r="D5" s="6" t="n">
        <v>349917</v>
      </c>
      <c r="E5" s="6" t="n">
        <v>200049</v>
      </c>
      <c r="F5" s="6" t="n">
        <v>61146</v>
      </c>
    </row>
    <row r="6">
      <c r="A6" s="6" t="inlineStr">
        <is>
          <t>Interest expense</t>
        </is>
      </c>
      <c r="B6" s="6" t="n">
        <v>-239341</v>
      </c>
      <c r="C6" s="6" t="n">
        <v>-224454</v>
      </c>
      <c r="D6" s="6" t="n">
        <v>-136957</v>
      </c>
      <c r="E6" s="6" t="n">
        <v>-33937</v>
      </c>
      <c r="F6" s="6" t="n">
        <v>-5466</v>
      </c>
    </row>
    <row r="7">
      <c r="A7" s="5" t="inlineStr">
        <is>
          <t>Net interest income</t>
        </is>
      </c>
      <c r="B7" s="5" t="n">
        <v>359648</v>
      </c>
      <c r="C7" s="5" t="n">
        <v>279340</v>
      </c>
      <c r="D7" s="5" t="n">
        <v>212960</v>
      </c>
      <c r="E7" s="5" t="n">
        <v>166112</v>
      </c>
      <c r="F7" s="5" t="n">
        <v>55680</v>
      </c>
    </row>
    <row r="8">
      <c r="A8" s="6" t="inlineStr">
        <is>
          <t>Fee and commission income</t>
        </is>
      </c>
      <c r="B8" s="6" t="n">
        <v>15232</v>
      </c>
      <c r="C8" s="6" t="n">
        <v>14347</v>
      </c>
      <c r="D8" s="6" t="n">
        <v>13020</v>
      </c>
      <c r="E8" s="6" t="n">
        <v>8133</v>
      </c>
      <c r="F8" s="6" t="n">
        <v>2432</v>
      </c>
    </row>
    <row r="9">
      <c r="A9" s="6" t="inlineStr">
        <is>
          <t>Fee and commission expense</t>
        </is>
      </c>
      <c r="B9" s="6" t="n">
        <v>-16633</v>
      </c>
      <c r="C9" s="6" t="n">
        <v>-14033</v>
      </c>
      <c r="D9" s="6" t="n">
        <v>-10684</v>
      </c>
      <c r="E9" s="6" t="n">
        <v>-9040</v>
      </c>
      <c r="F9" s="6" t="n">
        <v>-3275</v>
      </c>
    </row>
    <row r="10">
      <c r="A10" s="5" t="inlineStr">
        <is>
          <t>Net fee and commission income/(expense)</t>
        </is>
      </c>
      <c r="B10" s="5" t="n">
        <v>-1401</v>
      </c>
      <c r="C10" s="5" t="n">
        <v>314</v>
      </c>
      <c r="D10" s="5" t="n">
        <v>2336</v>
      </c>
      <c r="E10" s="5" t="n">
        <v>-907</v>
      </c>
      <c r="F10" s="5" t="n">
        <v>-843</v>
      </c>
    </row>
    <row r="11">
      <c r="A11" s="6" t="inlineStr">
        <is>
          <t>Other operating income</t>
        </is>
      </c>
      <c r="B11" s="6" t="n">
        <v>266</v>
      </c>
      <c r="C11" s="6" t="n">
        <v>2478</v>
      </c>
      <c r="D11" s="6" t="n">
        <v>1261</v>
      </c>
      <c r="E11" s="6" t="n">
        <v>279</v>
      </c>
      <c r="F11" s="6" t="n">
        <v>12807</v>
      </c>
    </row>
    <row r="12">
      <c r="A12" s="6" t="inlineStr">
        <is>
          <t>Net gains/(losses) on derecognition of financial assets at amortised cost</t>
        </is>
      </c>
      <c r="B12" s="6" t="n">
        <v>212</v>
      </c>
      <c r="C12" s="6" t="n">
        <v>10095</v>
      </c>
      <c r="D12" s="6" t="n">
        <v>2984</v>
      </c>
      <c r="E12" s="6" t="n">
        <v>-21049</v>
      </c>
      <c r="F12" s="6" t="n">
        <v>-2234</v>
      </c>
    </row>
    <row r="13">
      <c r="A13" s="6" t="inlineStr">
        <is>
          <t>Net losses on disposal of property, plant and equipment</t>
        </is>
      </c>
      <c r="B13" s="6" t="n"/>
      <c r="C13" s="6" t="n"/>
      <c r="D13" s="6" t="n"/>
      <c r="E13" s="6" t="n"/>
      <c r="F13" s="6" t="n">
        <v>0</v>
      </c>
    </row>
    <row r="14">
      <c r="A14" s="6" t="inlineStr">
        <is>
          <t>Changes in fair value of financial instruments measured at FVTPL</t>
        </is>
      </c>
      <c r="B14" s="6" t="n">
        <v>827</v>
      </c>
      <c r="C14" s="6" t="n">
        <v>5561</v>
      </c>
      <c r="D14" s="6" t="n">
        <v>2889</v>
      </c>
      <c r="E14" s="6" t="n">
        <v>6089</v>
      </c>
      <c r="F14" s="6" t="n">
        <v>-182</v>
      </c>
    </row>
    <row r="15">
      <c r="A15" s="5" t="inlineStr">
        <is>
          <t>Total operating income</t>
        </is>
      </c>
      <c r="B15" s="5" t="n">
        <v>359552</v>
      </c>
      <c r="C15" s="5" t="n">
        <v>297788</v>
      </c>
      <c r="D15" s="5" t="n">
        <v>222430</v>
      </c>
      <c r="E15" s="5" t="n">
        <v>150524</v>
      </c>
      <c r="F15" s="5" t="n">
        <v>65228</v>
      </c>
    </row>
    <row r="16">
      <c r="A16" s="5" t="inlineStr">
        <is>
          <t>Operating expenses and impairment</t>
        </is>
      </c>
      <c r="B16" s="6" t="n"/>
      <c r="C16" s="6" t="n"/>
      <c r="D16" s="6" t="n"/>
      <c r="E16" s="6" t="n"/>
      <c r="F16" s="6" t="n"/>
    </row>
    <row r="17">
      <c r="A17" s="6" t="inlineStr">
        <is>
          <t>Operating expenses</t>
        </is>
      </c>
      <c r="B17" s="6" t="n">
        <v>-136999</v>
      </c>
      <c r="C17" s="6" t="n">
        <v>-107992</v>
      </c>
      <c r="D17" s="6" t="n">
        <v>-83266</v>
      </c>
      <c r="E17" s="6" t="n">
        <v>-75578</v>
      </c>
      <c r="F17" s="6" t="n">
        <v>-57640</v>
      </c>
    </row>
    <row r="18">
      <c r="A18" s="5" t="inlineStr">
        <is>
          <t>Net operating income/(loss)</t>
        </is>
      </c>
      <c r="B18" s="5" t="n">
        <v>222553</v>
      </c>
      <c r="C18" s="5" t="n">
        <v>189796</v>
      </c>
      <c r="D18" s="5" t="n">
        <v>139164</v>
      </c>
      <c r="E18" s="5" t="n">
        <v>74946</v>
      </c>
      <c r="F18" s="5" t="n">
        <v>7588</v>
      </c>
    </row>
    <row r="19">
      <c r="A19" s="6" t="inlineStr">
        <is>
          <t>Change in expected credit losses and other credit impairment charges</t>
        </is>
      </c>
      <c r="B19" s="6" t="n">
        <v>-167501</v>
      </c>
      <c r="C19" s="6" t="n">
        <v>-156229</v>
      </c>
      <c r="D19" s="6" t="n">
        <v>-122817</v>
      </c>
      <c r="E19" s="6" t="n">
        <v>-100609</v>
      </c>
      <c r="F19" s="6" t="n">
        <v>-41812</v>
      </c>
    </row>
    <row r="20">
      <c r="A20" s="6" t="inlineStr">
        <is>
          <t>Change in provisions for other liabilities and charges</t>
        </is>
      </c>
      <c r="B20" s="6" t="n">
        <v>-10200</v>
      </c>
      <c r="C20" s="6" t="n">
        <v>-2017</v>
      </c>
      <c r="D20" s="6" t="n">
        <v>-530</v>
      </c>
      <c r="E20" s="6" t="n">
        <v>-325</v>
      </c>
      <c r="F20" s="6" t="n">
        <v>0</v>
      </c>
    </row>
    <row r="21">
      <c r="A21" s="5" t="inlineStr">
        <is>
          <t>Profit/(loss) before tax</t>
        </is>
      </c>
      <c r="B21" s="5" t="n">
        <v>44852</v>
      </c>
      <c r="C21" s="5" t="n">
        <v>31550</v>
      </c>
      <c r="D21" s="5" t="n">
        <v>15817</v>
      </c>
      <c r="E21" s="5" t="n">
        <v>-25988</v>
      </c>
      <c r="F21" s="5" t="n">
        <v>-34224</v>
      </c>
    </row>
    <row r="22">
      <c r="A22" s="6" t="inlineStr">
        <is>
          <t>Taxation</t>
        </is>
      </c>
      <c r="B22" s="6" t="n">
        <v>-11472</v>
      </c>
      <c r="C22" s="6" t="n">
        <v>-9773</v>
      </c>
      <c r="D22" s="6" t="n">
        <v>23064</v>
      </c>
      <c r="E22" s="6" t="n">
        <v>0</v>
      </c>
      <c r="F22" s="6" t="n">
        <v>1</v>
      </c>
    </row>
    <row r="23">
      <c r="A23" s="5" t="inlineStr">
        <is>
          <t>Profit/(loss) after tax</t>
        </is>
      </c>
      <c r="B23" s="5" t="n">
        <v>33380</v>
      </c>
      <c r="C23" s="5" t="n">
        <v>21777</v>
      </c>
      <c r="D23" s="5" t="n">
        <v>38881</v>
      </c>
      <c r="E23" s="5" t="n">
        <v>-25988</v>
      </c>
      <c r="F23" s="5" t="n">
        <v>-34223</v>
      </c>
    </row>
    <row r="24">
      <c r="A24" s="5" t="inlineStr">
        <is>
          <t>Other comprehensive income/(loss)</t>
        </is>
      </c>
      <c r="B24" s="6" t="n"/>
      <c r="C24" s="6" t="n"/>
      <c r="D24" s="6" t="n"/>
      <c r="E24" s="6" t="n"/>
      <c r="F24" s="6" t="n"/>
    </row>
    <row r="25">
      <c r="A25" s="6" t="inlineStr">
        <is>
          <t>Changes in fair value of investment securities held at FVOCI</t>
        </is>
      </c>
      <c r="B25" s="6" t="n">
        <v>187</v>
      </c>
      <c r="C25" s="6" t="n">
        <v>-46</v>
      </c>
      <c r="D25" s="6" t="n">
        <v>-49</v>
      </c>
      <c r="E25" s="6" t="n"/>
      <c r="F25" s="6" t="n"/>
    </row>
    <row r="26">
      <c r="A26" s="5" t="inlineStr">
        <is>
          <t>Total other comprehensive income/(loss)</t>
        </is>
      </c>
      <c r="B26" s="5" t="n">
        <v>187</v>
      </c>
      <c r="C26" s="5" t="n">
        <v>-46</v>
      </c>
      <c r="D26" s="5" t="n">
        <v>-49</v>
      </c>
      <c r="E26" s="5" t="n"/>
      <c r="F26" s="5" t="n"/>
    </row>
    <row r="27">
      <c r="A27" s="5" t="inlineStr">
        <is>
          <t>Total comprehensive income/(loss)</t>
        </is>
      </c>
      <c r="B27" s="5" t="n">
        <v>33567</v>
      </c>
      <c r="C27" s="5" t="n">
        <v>21731</v>
      </c>
      <c r="D27" s="5" t="n">
        <v>38832</v>
      </c>
      <c r="E27" s="5" t="n">
        <v>-25988</v>
      </c>
      <c r="F27" s="5" t="n">
        <v>-34223</v>
      </c>
    </row>
    <row r="29" ht="280" customHeight="1">
      <c r="A29" s="8" t="inlineStr">
        <is>
          <t>Sources - Zopa Bank Limited's own entity-level financial statements, £'000:
FY2025/FY2024: Annual Report and Accounts 2025 - Statement of comprehensive income p.98, Statement of financial position p.99, Statement of changes in equity p.100 - https://www.datocms-assets.com/23873/1773841899-zopa_bank_ar25_web.pdf
FY2023/FY2022: Annual Report and Accounts 2023 - Statement of comprehensive income p.111, Statement of financial position p.112, Statement of changes in equity p.113 - https://www.datocms-assets.com/23873/1713257733-zopa-group-2023-annual-report-signed_web-version.pdf
FY2021: Annual Report and Accounts 2021 - Statement of comprehensive income p.66, Statement of financial position p.67, Statement of changes in equity p.68 - https://www.datocms-assets.com/23873/1658745948-zopa-bank-annual-report-2021.pdf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
PRESENTATION NOTE: line-item structure and labels differ by report vintage (e.g. 'Total operating income' block only appears from FY2024 onward; the equity statement gained separate 'Share premium' and 'Other equity instruments' columns only in FY2025, when the Bank issued AT1 instruments and restructured its share capital via a capital reduction - both columns are blank/nil for FY2021-FY2024, not a gap). Every year's own Profit/(loss) before tax ties exactly to the pre-existing Cash Flow Statement sheet's own opening reconciliation line. Blank cells indicate that year's own statement did not disclose/include that specific line at all; a printed em-dash in the source was transcribed as 0 (an explicit nil, not a gap).</t>
        </is>
      </c>
    </row>
  </sheetData>
  <mergeCells count="1"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Zopa Bank Limited — Statement of Changes in Equity</t>
        </is>
      </c>
    </row>
    <row r="2">
      <c r="A2" s="2" t="inlineStr">
        <is>
          <t>Zopa Bank Limited (entity-level), £'000, chronological (oldest to newest). Zero undocumented plug rows across all 5 years - ties exactly to the Balance Sheet sheet's own Total equity every year and chains correctly across all 5 boundaries. 'Share premium' and 'Other equity instruments' columns only exist from FY2025 (blank/nil in earlier years, not a gap - see source note). Every year's own 'Shares issued' figure ties exactly to the Cash Flow Statement sheet's own line.</t>
        </is>
      </c>
    </row>
    <row r="3">
      <c r="A3" s="4" t="inlineStr">
        <is>
          <t>Movement</t>
        </is>
      </c>
      <c r="B3" s="4" t="inlineStr">
        <is>
          <t>Called-up share capital</t>
        </is>
      </c>
      <c r="C3" s="4" t="inlineStr">
        <is>
          <t>Share premium</t>
        </is>
      </c>
      <c r="D3" s="4" t="inlineStr">
        <is>
          <t>Other equity instruments</t>
        </is>
      </c>
      <c r="E3" s="4" t="inlineStr">
        <is>
          <t>Other reserves</t>
        </is>
      </c>
      <c r="F3" s="4" t="inlineStr">
        <is>
          <t>Retained earnings/(accumulated losses)</t>
        </is>
      </c>
      <c r="G3" s="4" t="inlineStr">
        <is>
          <t>Total equity</t>
        </is>
      </c>
    </row>
    <row r="4">
      <c r="A4" s="5" t="inlineStr">
        <is>
          <t>Balance at 1 January 2021</t>
        </is>
      </c>
      <c r="B4" s="5" t="n">
        <v>192319</v>
      </c>
      <c r="C4" s="5" t="n"/>
      <c r="D4" s="5" t="n"/>
      <c r="E4" s="5" t="n">
        <v>4324</v>
      </c>
      <c r="F4" s="5" t="n">
        <v>-69021</v>
      </c>
      <c r="G4" s="5" t="n">
        <v>127622</v>
      </c>
    </row>
    <row r="5">
      <c r="A5" s="6" t="inlineStr">
        <is>
          <t>Total comprehensive loss</t>
        </is>
      </c>
      <c r="B5" s="6" t="n"/>
      <c r="C5" s="6" t="n"/>
      <c r="D5" s="6" t="n"/>
      <c r="E5" s="6" t="n"/>
      <c r="F5" s="6" t="n">
        <v>-34223</v>
      </c>
      <c r="G5" s="6" t="n">
        <v>-34223</v>
      </c>
    </row>
    <row r="6">
      <c r="A6" s="6" t="inlineStr">
        <is>
          <t>Shares issued</t>
        </is>
      </c>
      <c r="B6" s="6" t="n">
        <v>157000</v>
      </c>
      <c r="C6" s="6" t="n"/>
      <c r="D6" s="6" t="n"/>
      <c r="E6" s="6" t="n"/>
      <c r="F6" s="6" t="n"/>
      <c r="G6" s="6" t="n">
        <v>157000</v>
      </c>
    </row>
    <row r="7">
      <c r="A7" s="6" t="inlineStr">
        <is>
          <t>Net share option movements</t>
        </is>
      </c>
      <c r="B7" s="6" t="n"/>
      <c r="C7" s="6" t="n"/>
      <c r="D7" s="6" t="n"/>
      <c r="E7" s="6" t="n">
        <v>1856</v>
      </c>
      <c r="F7" s="6" t="n"/>
      <c r="G7" s="6" t="n">
        <v>1856</v>
      </c>
    </row>
    <row r="8">
      <c r="A8" s="5" t="inlineStr">
        <is>
          <t>Balance at 31 December 2021 / 1 January 2022</t>
        </is>
      </c>
      <c r="B8" s="5" t="n">
        <v>349319</v>
      </c>
      <c r="C8" s="5" t="n"/>
      <c r="D8" s="5" t="n"/>
      <c r="E8" s="5" t="n">
        <v>6180</v>
      </c>
      <c r="F8" s="5" t="n">
        <v>-103244</v>
      </c>
      <c r="G8" s="5" t="n">
        <v>252255</v>
      </c>
    </row>
    <row r="9">
      <c r="A9" s="6" t="inlineStr">
        <is>
          <t>Total comprehensive loss</t>
        </is>
      </c>
      <c r="B9" s="6" t="n"/>
      <c r="C9" s="6" t="n"/>
      <c r="D9" s="6" t="n"/>
      <c r="E9" s="6" t="n"/>
      <c r="F9" s="6" t="n">
        <v>-25988</v>
      </c>
      <c r="G9" s="6" t="n">
        <v>-25988</v>
      </c>
    </row>
    <row r="10">
      <c r="A10" s="6" t="inlineStr">
        <is>
          <t>Shares issued</t>
        </is>
      </c>
      <c r="B10" s="6" t="n">
        <v>72000</v>
      </c>
      <c r="C10" s="6" t="n"/>
      <c r="D10" s="6" t="n"/>
      <c r="E10" s="6" t="n"/>
      <c r="F10" s="6" t="n"/>
      <c r="G10" s="6" t="n">
        <v>72000</v>
      </c>
    </row>
    <row r="11">
      <c r="A11" s="6" t="inlineStr">
        <is>
          <t>Net share option movements</t>
        </is>
      </c>
      <c r="B11" s="6" t="n"/>
      <c r="C11" s="6" t="n"/>
      <c r="D11" s="6" t="n"/>
      <c r="E11" s="6" t="n">
        <v>1340</v>
      </c>
      <c r="F11" s="6" t="n"/>
      <c r="G11" s="6" t="n">
        <v>1340</v>
      </c>
    </row>
    <row r="12">
      <c r="A12" s="6" t="inlineStr">
        <is>
          <t>Transfer of capital contribution reserve</t>
        </is>
      </c>
      <c r="B12" s="6" t="n"/>
      <c r="C12" s="6" t="n"/>
      <c r="D12" s="6" t="n"/>
      <c r="E12" s="6" t="n">
        <v>-1618</v>
      </c>
      <c r="F12" s="6" t="n">
        <v>1618</v>
      </c>
      <c r="G12" s="6" t="n">
        <v>0</v>
      </c>
    </row>
    <row r="13">
      <c r="A13" s="5" t="inlineStr">
        <is>
          <t>Balance at 31 December 2022 / 1 January 2023</t>
        </is>
      </c>
      <c r="B13" s="5" t="n">
        <v>421319</v>
      </c>
      <c r="C13" s="5" t="n"/>
      <c r="D13" s="5" t="n"/>
      <c r="E13" s="5" t="n">
        <v>5902</v>
      </c>
      <c r="F13" s="5" t="n">
        <v>-127614</v>
      </c>
      <c r="G13" s="5" t="n">
        <v>299607</v>
      </c>
    </row>
    <row r="14">
      <c r="A14" s="6" t="inlineStr">
        <is>
          <t>Profit for the year</t>
        </is>
      </c>
      <c r="B14" s="6" t="n"/>
      <c r="C14" s="6" t="n"/>
      <c r="D14" s="6" t="n"/>
      <c r="E14" s="6" t="n"/>
      <c r="F14" s="6" t="n">
        <v>38881</v>
      </c>
      <c r="G14" s="6" t="n">
        <v>38881</v>
      </c>
    </row>
    <row r="15">
      <c r="A15" s="6" t="inlineStr">
        <is>
          <t>Other comprehensive loss relating to investment securities held at FVOCI</t>
        </is>
      </c>
      <c r="B15" s="6" t="n"/>
      <c r="C15" s="6" t="n"/>
      <c r="D15" s="6" t="n"/>
      <c r="E15" s="6" t="n">
        <v>-49</v>
      </c>
      <c r="F15" s="6" t="n"/>
      <c r="G15" s="6" t="n">
        <v>-49</v>
      </c>
    </row>
    <row r="16">
      <c r="A16" s="5" t="inlineStr">
        <is>
          <t>Total comprehensive income</t>
        </is>
      </c>
      <c r="B16" s="5" t="n"/>
      <c r="C16" s="5" t="n"/>
      <c r="D16" s="5" t="n"/>
      <c r="E16" s="5" t="n">
        <v>-49</v>
      </c>
      <c r="F16" s="5" t="n">
        <v>38881</v>
      </c>
      <c r="G16" s="5" t="n">
        <v>38832</v>
      </c>
    </row>
    <row r="17">
      <c r="A17" s="6" t="inlineStr">
        <is>
          <t>Shares issued</t>
        </is>
      </c>
      <c r="B17" s="6" t="n">
        <v>65000</v>
      </c>
      <c r="C17" s="6" t="n"/>
      <c r="D17" s="6" t="n"/>
      <c r="E17" s="6" t="n"/>
      <c r="F17" s="6" t="n"/>
      <c r="G17" s="6" t="n">
        <v>65000</v>
      </c>
    </row>
    <row r="18">
      <c r="A18" s="6" t="inlineStr">
        <is>
          <t>Net share option movements</t>
        </is>
      </c>
      <c r="B18" s="6" t="n"/>
      <c r="C18" s="6" t="n"/>
      <c r="D18" s="6" t="n"/>
      <c r="E18" s="6" t="n">
        <v>976</v>
      </c>
      <c r="F18" s="6" t="n"/>
      <c r="G18" s="6" t="n">
        <v>976</v>
      </c>
    </row>
    <row r="19">
      <c r="A19" s="5" t="inlineStr">
        <is>
          <t>Balance at 31 December 2023 / 1 January 2024</t>
        </is>
      </c>
      <c r="B19" s="5" t="n">
        <v>486319</v>
      </c>
      <c r="C19" s="5" t="n"/>
      <c r="D19" s="5" t="n"/>
      <c r="E19" s="5" t="n">
        <v>6829</v>
      </c>
      <c r="F19" s="5" t="n">
        <v>-88733</v>
      </c>
      <c r="G19" s="5" t="n">
        <v>404415</v>
      </c>
    </row>
    <row r="20">
      <c r="A20" s="6" t="inlineStr">
        <is>
          <t>Profit for the year</t>
        </is>
      </c>
      <c r="B20" s="6" t="n"/>
      <c r="C20" s="6" t="n"/>
      <c r="D20" s="6" t="n"/>
      <c r="E20" s="6" t="n"/>
      <c r="F20" s="6" t="n">
        <v>21777</v>
      </c>
      <c r="G20" s="6" t="n">
        <v>21777</v>
      </c>
    </row>
    <row r="21">
      <c r="A21" s="6" t="inlineStr">
        <is>
          <t>Other comprehensive loss relating to investment securities</t>
        </is>
      </c>
      <c r="B21" s="6" t="n"/>
      <c r="C21" s="6" t="n"/>
      <c r="D21" s="6" t="n"/>
      <c r="E21" s="6" t="n">
        <v>-46</v>
      </c>
      <c r="F21" s="6" t="n"/>
      <c r="G21" s="6" t="n">
        <v>-46</v>
      </c>
    </row>
    <row r="22">
      <c r="A22" s="5" t="inlineStr">
        <is>
          <t>Total comprehensive income</t>
        </is>
      </c>
      <c r="B22" s="5" t="n"/>
      <c r="C22" s="5" t="n"/>
      <c r="D22" s="5" t="n"/>
      <c r="E22" s="5" t="n">
        <v>-46</v>
      </c>
      <c r="F22" s="5" t="n">
        <v>21777</v>
      </c>
      <c r="G22" s="5" t="n">
        <v>21731</v>
      </c>
    </row>
    <row r="23">
      <c r="A23" s="6" t="inlineStr">
        <is>
          <t>Shares issued</t>
        </is>
      </c>
      <c r="B23" s="6" t="n">
        <v>68500</v>
      </c>
      <c r="C23" s="6" t="n"/>
      <c r="D23" s="6" t="n"/>
      <c r="E23" s="6" t="n"/>
      <c r="F23" s="6" t="n"/>
      <c r="G23" s="6" t="n">
        <v>68500</v>
      </c>
    </row>
    <row r="24">
      <c r="A24" s="6" t="inlineStr">
        <is>
          <t>Net share option movements</t>
        </is>
      </c>
      <c r="B24" s="6" t="n"/>
      <c r="C24" s="6" t="n"/>
      <c r="D24" s="6" t="n"/>
      <c r="E24" s="6" t="n">
        <v>2645</v>
      </c>
      <c r="F24" s="6" t="n"/>
      <c r="G24" s="6" t="n">
        <v>2645</v>
      </c>
    </row>
    <row r="25">
      <c r="A25" s="5" t="inlineStr">
        <is>
          <t>Balance at 31 December 2024 / 1 January 2025</t>
        </is>
      </c>
      <c r="B25" s="5" t="n">
        <v>554819</v>
      </c>
      <c r="C25" s="5" t="n">
        <v>0</v>
      </c>
      <c r="D25" s="5" t="n">
        <v>0</v>
      </c>
      <c r="E25" s="5" t="n">
        <v>9428</v>
      </c>
      <c r="F25" s="5" t="n">
        <v>-66956</v>
      </c>
      <c r="G25" s="5" t="n">
        <v>497291</v>
      </c>
    </row>
    <row r="26">
      <c r="A26" s="6" t="inlineStr">
        <is>
          <t>Profit for the year</t>
        </is>
      </c>
      <c r="B26" s="6" t="n"/>
      <c r="C26" s="6" t="n"/>
      <c r="D26" s="6" t="n"/>
      <c r="E26" s="6" t="n"/>
      <c r="F26" s="6" t="n">
        <v>33380</v>
      </c>
      <c r="G26" s="6" t="n">
        <v>33380</v>
      </c>
    </row>
    <row r="27">
      <c r="A27" s="6" t="inlineStr">
        <is>
          <t>Other comprehensive income relating to investment securities</t>
        </is>
      </c>
      <c r="B27" s="6" t="n"/>
      <c r="C27" s="6" t="n"/>
      <c r="D27" s="6" t="n"/>
      <c r="E27" s="6" t="n">
        <v>187</v>
      </c>
      <c r="F27" s="6" t="n"/>
      <c r="G27" s="6" t="n">
        <v>187</v>
      </c>
    </row>
    <row r="28">
      <c r="A28" s="5" t="inlineStr">
        <is>
          <t>Total comprehensive income</t>
        </is>
      </c>
      <c r="B28" s="5" t="n"/>
      <c r="C28" s="5" t="n"/>
      <c r="D28" s="5" t="n"/>
      <c r="E28" s="5" t="n">
        <v>187</v>
      </c>
      <c r="F28" s="5" t="n">
        <v>33380</v>
      </c>
      <c r="G28" s="5" t="n">
        <v>33567</v>
      </c>
    </row>
    <row r="29">
      <c r="A29" s="6" t="inlineStr">
        <is>
          <t>Shares issued</t>
        </is>
      </c>
      <c r="B29" s="6" t="n">
        <v>854</v>
      </c>
      <c r="C29" s="6" t="n">
        <v>6146</v>
      </c>
      <c r="D29" s="6" t="n"/>
      <c r="E29" s="6" t="n"/>
      <c r="F29" s="6" t="n"/>
      <c r="G29" s="6" t="n">
        <v>7000</v>
      </c>
    </row>
    <row r="30">
      <c r="A30" s="6" t="inlineStr">
        <is>
          <t>Capital reduction</t>
        </is>
      </c>
      <c r="B30" s="6" t="n">
        <v>-487131</v>
      </c>
      <c r="C30" s="6" t="n"/>
      <c r="D30" s="6" t="n"/>
      <c r="E30" s="6" t="n"/>
      <c r="F30" s="6" t="n">
        <v>487131</v>
      </c>
      <c r="G30" s="6" t="n">
        <v>0</v>
      </c>
    </row>
    <row r="31">
      <c r="A31" s="6" t="inlineStr">
        <is>
          <t>Issue of other equity instruments</t>
        </is>
      </c>
      <c r="B31" s="6" t="n"/>
      <c r="C31" s="6" t="n"/>
      <c r="D31" s="6" t="n">
        <v>78298</v>
      </c>
      <c r="E31" s="6" t="n"/>
      <c r="F31" s="6" t="n"/>
      <c r="G31" s="6" t="n">
        <v>78298</v>
      </c>
    </row>
    <row r="32">
      <c r="A32" s="6" t="inlineStr">
        <is>
          <t>Coupons paid on other equity instruments</t>
        </is>
      </c>
      <c r="B32" s="6" t="n"/>
      <c r="C32" s="6" t="n"/>
      <c r="D32" s="6" t="n"/>
      <c r="E32" s="6" t="n"/>
      <c r="F32" s="6" t="n">
        <v>-5150</v>
      </c>
      <c r="G32" s="6" t="n">
        <v>-5150</v>
      </c>
    </row>
    <row r="33">
      <c r="A33" s="6" t="inlineStr">
        <is>
          <t>Net share option movements</t>
        </is>
      </c>
      <c r="B33" s="6" t="n"/>
      <c r="C33" s="6" t="n"/>
      <c r="D33" s="6" t="n"/>
      <c r="E33" s="6" t="n">
        <v>12211</v>
      </c>
      <c r="F33" s="6" t="n"/>
      <c r="G33" s="6" t="n">
        <v>12211</v>
      </c>
    </row>
    <row r="34">
      <c r="A34" s="5" t="inlineStr">
        <is>
          <t>Balance at 31 December 2025</t>
        </is>
      </c>
      <c r="B34" s="5" t="n">
        <v>68542</v>
      </c>
      <c r="C34" s="5" t="n">
        <v>6146</v>
      </c>
      <c r="D34" s="5" t="n">
        <v>78298</v>
      </c>
      <c r="E34" s="5" t="n">
        <v>21826</v>
      </c>
      <c r="F34" s="5" t="n">
        <v>448405</v>
      </c>
      <c r="G34" s="5" t="n">
        <v>623217</v>
      </c>
    </row>
    <row r="36" ht="280" customHeight="1">
      <c r="A36" s="8" t="inlineStr">
        <is>
          <t>Sources - Zopa Bank Limited's own entity-level financial statements, £'000:
FY2025/FY2024: Annual Report and Accounts 2025 - Statement of comprehensive income p.98, Statement of financial position p.99, Statement of changes in equity p.100 - https://www.datocms-assets.com/23873/1773841899-zopa_bank_ar25_web.pdf
FY2023/FY2022: Annual Report and Accounts 2023 - Statement of comprehensive income p.111, Statement of financial position p.112, Statement of changes in equity p.113 - https://www.datocms-assets.com/23873/1713257733-zopa-group-2023-annual-report-signed_web-version.pdf
FY2021: Annual Report and Accounts 2021 - Statement of comprehensive income p.66, Statement of financial position p.67, Statement of changes in equity p.68 - https://www.datocms-assets.com/23873/1658745948-zopa-bank-annual-report-2021.pdf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
PRESENTATION NOTE: line-item structure and labels differ by report vintage (e.g. 'Total operating income' block only appears from FY2024 onward; the equity statement gained separate 'Share premium' and 'Other equity instruments' columns only in FY2025, when the Bank issued AT1 instruments and restructured its share capital via a capital reduction - both columns are blank/nil for FY2021-FY2024, not a gap). Every year's own Profit/(loss) before tax ties exactly to the pre-existing Cash Flow Statement sheet's own opening reconciliation line. Blank cells indicate that year's own statement did not disclose/include that specific line at all; a printed em-dash in the source was transcribed as 0 (an explicit nil, not a gap).</t>
        </is>
      </c>
    </row>
  </sheetData>
  <mergeCells count="1">
    <mergeCell ref="A36:G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Cash Flow Statement</t>
        </is>
      </c>
    </row>
    <row r="2">
      <c r="A2" s="2" t="inlineStr">
        <is>
          <t>Zopa Bank Limited (entity-level),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Reconciliation of profit/(loss)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44852</v>
      </c>
      <c r="C5" s="6" t="n">
        <v>31550</v>
      </c>
      <c r="D5" s="6" t="n">
        <v>15817</v>
      </c>
      <c r="E5" s="6" t="n">
        <v>-25988</v>
      </c>
      <c r="F5" s="6" t="n">
        <v>-34224</v>
      </c>
    </row>
    <row r="6">
      <c r="A6" s="6" t="inlineStr">
        <is>
          <t>Non-cash items</t>
        </is>
      </c>
      <c r="B6" s="6" t="n">
        <v>108122</v>
      </c>
      <c r="C6" s="6" t="n">
        <v>67370</v>
      </c>
      <c r="D6" s="6" t="n">
        <v>66198</v>
      </c>
      <c r="E6" s="6" t="n">
        <v>92460</v>
      </c>
      <c r="F6" s="6" t="n">
        <v>50828</v>
      </c>
    </row>
    <row r="7">
      <c r="A7" s="6" t="inlineStr">
        <is>
          <t>Changes in operating assets and liabilities</t>
        </is>
      </c>
      <c r="B7" s="6" t="n">
        <v>216056</v>
      </c>
      <c r="C7" s="6" t="n">
        <v>1640591</v>
      </c>
      <c r="D7" s="6" t="n">
        <v>-133115</v>
      </c>
      <c r="E7" s="6" t="n">
        <v>1082800</v>
      </c>
      <c r="F7" s="6" t="n">
        <v>-192441</v>
      </c>
    </row>
    <row r="8">
      <c r="A8" s="6" t="inlineStr">
        <is>
          <t>Current tax expense</t>
        </is>
      </c>
      <c r="B8" s="6" t="n">
        <v>-5687</v>
      </c>
      <c r="C8" s="6" t="n">
        <v>-3439</v>
      </c>
      <c r="D8" s="6" t="n">
        <v>-1337</v>
      </c>
      <c r="E8" s="6" t="n"/>
      <c r="F8" s="6" t="n"/>
    </row>
    <row r="9">
      <c r="A9" s="6" t="inlineStr">
        <is>
          <t>Tax received</t>
        </is>
      </c>
      <c r="B9" s="6" t="n"/>
      <c r="C9" s="6" t="n"/>
      <c r="D9" s="6" t="n"/>
      <c r="E9" s="6" t="n"/>
      <c r="F9" s="6" t="n">
        <v>0</v>
      </c>
    </row>
    <row r="10">
      <c r="A10" s="5" t="inlineStr">
        <is>
          <t>Net cash generated from/(used in) operating activities</t>
        </is>
      </c>
      <c r="B10" s="5" t="n">
        <v>363343</v>
      </c>
      <c r="C10" s="5" t="n">
        <v>1736072</v>
      </c>
      <c r="D10" s="5" t="n">
        <v>-52437</v>
      </c>
      <c r="E10" s="5" t="n">
        <v>1149272</v>
      </c>
      <c r="F10" s="5" t="n">
        <v>-175837</v>
      </c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investment securities</t>
        </is>
      </c>
      <c r="B12" s="6" t="n">
        <v>-948990</v>
      </c>
      <c r="C12" s="6" t="n">
        <v>-431925</v>
      </c>
      <c r="D12" s="6" t="n">
        <v>-80367</v>
      </c>
      <c r="E12" s="6" t="n"/>
      <c r="F12" s="6" t="n"/>
    </row>
    <row r="13">
      <c r="A13" s="6" t="inlineStr">
        <is>
          <t>Investment securities matured during the year</t>
        </is>
      </c>
      <c r="B13" s="6" t="n">
        <v>154254</v>
      </c>
      <c r="C13" s="6" t="n">
        <v>67356</v>
      </c>
      <c r="D13" s="6" t="n"/>
      <c r="E13" s="6" t="n"/>
      <c r="F13" s="6" t="n"/>
    </row>
    <row r="14">
      <c r="A14" s="6" t="inlineStr">
        <is>
          <t>Disposal of property, plant and equipment</t>
        </is>
      </c>
      <c r="B14" s="6" t="n"/>
      <c r="C14" s="6" t="n"/>
      <c r="D14" s="6" t="n"/>
      <c r="E14" s="6" t="n"/>
      <c r="F14" s="6" t="n">
        <v>0</v>
      </c>
    </row>
    <row r="15">
      <c r="A15" s="6" t="inlineStr">
        <is>
          <t>Purchase of non-current assets from related party</t>
        </is>
      </c>
      <c r="B15" s="6" t="n"/>
      <c r="C15" s="6" t="n"/>
      <c r="D15" s="6" t="n"/>
      <c r="E15" s="6" t="n"/>
      <c r="F15" s="6" t="n">
        <v>0</v>
      </c>
    </row>
    <row r="16">
      <c r="A16" s="6" t="inlineStr">
        <is>
          <t>Purchase of property, plant and equipment</t>
        </is>
      </c>
      <c r="B16" s="6" t="n">
        <v>-1486</v>
      </c>
      <c r="C16" s="6" t="n">
        <v>-659</v>
      </c>
      <c r="D16" s="6" t="n">
        <v>-1167</v>
      </c>
      <c r="E16" s="6" t="n">
        <v>-610</v>
      </c>
      <c r="F16" s="6" t="n">
        <v>-519</v>
      </c>
    </row>
    <row r="17">
      <c r="A17" s="6" t="inlineStr">
        <is>
          <t>Purchase and development of intangible assets</t>
        </is>
      </c>
      <c r="B17" s="6" t="n">
        <v>-21194</v>
      </c>
      <c r="C17" s="6" t="n">
        <v>-23775</v>
      </c>
      <c r="D17" s="6" t="n">
        <v>-10779</v>
      </c>
      <c r="E17" s="6" t="n">
        <v>-3948</v>
      </c>
      <c r="F17" s="6" t="n">
        <v>-2036</v>
      </c>
    </row>
    <row r="18">
      <c r="A18" s="5" t="inlineStr">
        <is>
          <t>Net cash used in investing activities</t>
        </is>
      </c>
      <c r="B18" s="5" t="n">
        <v>-817416</v>
      </c>
      <c r="C18" s="5" t="n">
        <v>-389003</v>
      </c>
      <c r="D18" s="5" t="n">
        <v>-92313</v>
      </c>
      <c r="E18" s="5" t="n">
        <v>-4558</v>
      </c>
      <c r="F18" s="5" t="n">
        <v>-2555</v>
      </c>
    </row>
    <row r="19">
      <c r="A19" s="5" t="inlineStr">
        <is>
          <t>Financing activities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Shares issued</t>
        </is>
      </c>
      <c r="B20" s="6" t="n">
        <v>7000</v>
      </c>
      <c r="C20" s="6" t="n">
        <v>68500</v>
      </c>
      <c r="D20" s="6" t="n">
        <v>65000</v>
      </c>
      <c r="E20" s="6" t="n">
        <v>72000</v>
      </c>
      <c r="F20" s="6" t="n">
        <v>157000</v>
      </c>
    </row>
    <row r="21">
      <c r="A21" s="6" t="inlineStr">
        <is>
          <t>Issuance of other equity instruments</t>
        </is>
      </c>
      <c r="B21" s="6" t="n">
        <v>80000</v>
      </c>
      <c r="C21" s="6" t="n"/>
      <c r="D21" s="6" t="n"/>
      <c r="E21" s="6" t="n"/>
      <c r="F21" s="6" t="n"/>
    </row>
    <row r="22">
      <c r="A22" s="6" t="inlineStr">
        <is>
          <t>Transaction costs on issuance of other equity instruments</t>
        </is>
      </c>
      <c r="B22" s="6" t="n">
        <v>-1702</v>
      </c>
      <c r="C22" s="6" t="n"/>
      <c r="D22" s="6" t="n"/>
      <c r="E22" s="6" t="n"/>
      <c r="F22" s="6" t="n"/>
    </row>
    <row r="23">
      <c r="A23" s="6" t="inlineStr">
        <is>
          <t>Coupon payment on other equity instruments</t>
        </is>
      </c>
      <c r="B23" s="6" t="n">
        <v>-5150</v>
      </c>
      <c r="C23" s="6" t="n"/>
      <c r="D23" s="6" t="n"/>
      <c r="E23" s="6" t="n"/>
      <c r="F23" s="6" t="n"/>
    </row>
    <row r="24">
      <c r="A24" s="6" t="inlineStr">
        <is>
          <t>Proceeds from issuance of subordinated liabilities</t>
        </is>
      </c>
      <c r="B24" s="6" t="n"/>
      <c r="C24" s="6" t="n"/>
      <c r="D24" s="6" t="n">
        <v>75000</v>
      </c>
      <c r="E24" s="6" t="n"/>
      <c r="F24" s="6" t="n"/>
    </row>
    <row r="25">
      <c r="A25" s="6" t="inlineStr">
        <is>
          <t>Repayment of TFSME borrowings</t>
        </is>
      </c>
      <c r="B25" s="6" t="n">
        <v>-150000</v>
      </c>
      <c r="C25" s="6" t="n"/>
      <c r="D25" s="6" t="n"/>
      <c r="E25" s="6" t="n"/>
      <c r="F25" s="6" t="n"/>
    </row>
    <row r="26">
      <c r="A26" s="6" t="inlineStr">
        <is>
          <t>Proceeds from ILTR borrowings</t>
        </is>
      </c>
      <c r="B26" s="6" t="n">
        <v>50000</v>
      </c>
      <c r="C26" s="6" t="n"/>
      <c r="D26" s="6" t="n"/>
      <c r="E26" s="6" t="n"/>
      <c r="F26" s="6" t="n"/>
    </row>
    <row r="27">
      <c r="A27" s="6" t="inlineStr">
        <is>
          <t>Change in TFSME and ILTR borrowings</t>
        </is>
      </c>
      <c r="B27" s="6" t="n"/>
      <c r="C27" s="6" t="n"/>
      <c r="D27" s="6" t="n">
        <v>-19316</v>
      </c>
      <c r="E27" s="6" t="n">
        <v>-3791</v>
      </c>
      <c r="F27" s="6" t="n"/>
    </row>
    <row r="28">
      <c r="A28" s="6" t="inlineStr">
        <is>
          <t>Change in amounts due to banks</t>
        </is>
      </c>
      <c r="B28" s="6" t="n"/>
      <c r="C28" s="6" t="n"/>
      <c r="D28" s="6" t="n"/>
      <c r="E28" s="6" t="n"/>
      <c r="F28" s="6" t="n">
        <v>175182</v>
      </c>
    </row>
    <row r="29">
      <c r="A29" s="6" t="inlineStr">
        <is>
          <t>Change in non-trading amounts due to and from other Group undertakings</t>
        </is>
      </c>
      <c r="B29" s="6" t="n">
        <v>-5393</v>
      </c>
      <c r="C29" s="6" t="n">
        <v>4</v>
      </c>
      <c r="D29" s="6" t="n">
        <v>-74</v>
      </c>
      <c r="E29" s="6" t="n">
        <v>-16507</v>
      </c>
      <c r="F29" s="6" t="n">
        <v>15144</v>
      </c>
    </row>
    <row r="30">
      <c r="A30" s="6" t="inlineStr">
        <is>
          <t>Cash payments/principal elements on lease liabilities</t>
        </is>
      </c>
      <c r="B30" s="6" t="n">
        <v>-1928</v>
      </c>
      <c r="C30" s="6" t="n">
        <v>-1822</v>
      </c>
      <c r="D30" s="6" t="n">
        <v>-1745</v>
      </c>
      <c r="E30" s="6" t="n">
        <v>-2297</v>
      </c>
      <c r="F30" s="6" t="n">
        <v>-632</v>
      </c>
    </row>
    <row r="31">
      <c r="A31" s="5" t="inlineStr">
        <is>
          <t>Net cash (used in)/generated from financing activities</t>
        </is>
      </c>
      <c r="B31" s="5" t="n">
        <v>-27173</v>
      </c>
      <c r="C31" s="5" t="n">
        <v>66682</v>
      </c>
      <c r="D31" s="5" t="n">
        <v>118865</v>
      </c>
      <c r="E31" s="5" t="n">
        <v>49405</v>
      </c>
      <c r="F31" s="5" t="n">
        <v>346694</v>
      </c>
    </row>
    <row r="32">
      <c r="A32" s="5" t="inlineStr">
        <is>
          <t>Net (decrease)/increase in cash and cash equivalents</t>
        </is>
      </c>
      <c r="B32" s="5" t="n">
        <v>-481246</v>
      </c>
      <c r="C32" s="5" t="n">
        <v>1413751</v>
      </c>
      <c r="D32" s="5" t="n">
        <v>-25885</v>
      </c>
      <c r="E32" s="5" t="n">
        <v>1194119</v>
      </c>
      <c r="F32" s="5" t="n">
        <v>168302</v>
      </c>
    </row>
    <row r="33">
      <c r="A33" s="6" t="inlineStr">
        <is>
          <t>Cash and cash equivalents at start of year</t>
        </is>
      </c>
      <c r="B33" s="6" t="n">
        <v>2819743</v>
      </c>
      <c r="C33" s="6" t="n">
        <v>1405992</v>
      </c>
      <c r="D33" s="6" t="n">
        <v>1431877</v>
      </c>
      <c r="E33" s="6" t="n">
        <v>237758</v>
      </c>
      <c r="F33" s="6" t="n">
        <v>69456</v>
      </c>
    </row>
    <row r="34">
      <c r="A34" s="5" t="inlineStr">
        <is>
          <t>Cash and cash equivalents at end of year</t>
        </is>
      </c>
      <c r="B34" s="5" t="n">
        <v>2338497</v>
      </c>
      <c r="C34" s="5" t="n">
        <v>2819743</v>
      </c>
      <c r="D34" s="5" t="n">
        <v>1405992</v>
      </c>
      <c r="E34" s="5" t="n">
        <v>1431877</v>
      </c>
      <c r="F34" s="5" t="n">
        <v>237758</v>
      </c>
    </row>
    <row r="36" ht="210" customHeight="1">
      <c r="A36" s="8" t="inlineStr">
        <is>
          <t>Sources - all figures are Zopa Bank Limited's own Statement of cash flows, £'000:
FY2025 &amp; FY2024: Zopa Bank Limited Annual Report and Accounts 2025, p.101 (Statement of cash flows) - https://www.datocms-assets.com/23873/1773841899-zopa_bank_ar25_web.pdf
FY2023: Zopa Bank Limited Annual Report and Accounts 2023, p.114 (Statement of cash flows) - https://www.datocms-assets.com/23873/1713257733-zopa-group-2023-annual-report-signed_web-version.pdf (cross-checked against its comparative appearance in the 2024 Annual Report, p.111 - https://www.datocms-assets.com/23873/1747055131-zopa-bank-2024-annual-report-signed-web-based.pdf - matched exactly)
FY2022: Zopa Bank Limited Annual Report and Accounts 2022, p.95 (Statement of cash flows) - https://www.datocms-assets.com/23873/1694796852-zopa-bank-annual-report-2022-web.pdf (cross-checked against its comparative appearance in the 2023 Annual Report, p.114 - matched exactly)
FY2021: Zopa Bank Limited Annual Report and Accounts 2021, p.69 (Statement of cash flows) - https://www.datocms-assets.com/23873/1658745948-zopa-bank-annual-report-2021.pdf (cross-checked against its comparative appearance in the 2022 Annual Report, p.95 - matched exactly)
Note: the 2021 Annual Report states 'the statement of cash flows has been represented' vs. its own prior-year presentation (details in that report's note 1.9) - not a concern for the FY2021-FY2025 figures shown here, which are all on a mutually consistent, cross-checked basis.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</t>
        </is>
      </c>
    </row>
  </sheetData>
  <mergeCells count="1">
    <mergeCell ref="A36:F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Asset Quality</t>
        </is>
      </c>
    </row>
    <row r="2">
      <c r="A2" s="2" t="inlineStr">
        <is>
          <t>Zopa Bank Limited (entity-level), £'000, on-balance sheet loans and advances to customers only. Ties exactly to Balance Sheet net loans for FY2025/FY2024 (after the fair value hedge adjustment) and FY2021; FY2023/FY2022 have a small (&lt;0.1%) genuine gap - see source note, not a plug.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gross carrying amount by IFRS 9 stage (on-balance sheet)</t>
        </is>
      </c>
      <c r="B4" s="6" t="n"/>
      <c r="C4" s="6" t="n"/>
      <c r="D4" s="6" t="n"/>
      <c r="E4" s="6" t="n"/>
      <c r="F4" s="6" t="n"/>
    </row>
    <row r="5">
      <c r="A5" s="6" t="inlineStr">
        <is>
          <t>Stage 1 (12-month ECL)</t>
        </is>
      </c>
      <c r="B5" s="6" t="n">
        <v>3337595</v>
      </c>
      <c r="C5" s="6" t="n">
        <v>2728099</v>
      </c>
      <c r="D5" s="6" t="n">
        <v>2336414</v>
      </c>
      <c r="E5" s="6" t="n">
        <v>1794856</v>
      </c>
      <c r="F5" s="6" t="n">
        <v>1151567</v>
      </c>
    </row>
    <row r="6">
      <c r="A6" s="6" t="inlineStr">
        <is>
          <t>Stage 2 (lifetime ECL, not credit-impaired)</t>
        </is>
      </c>
      <c r="B6" s="6" t="n">
        <v>252301</v>
      </c>
      <c r="C6" s="6" t="n">
        <v>228781</v>
      </c>
      <c r="D6" s="6" t="n">
        <v>214897</v>
      </c>
      <c r="E6" s="6" t="n">
        <v>216507</v>
      </c>
      <c r="F6" s="6" t="n">
        <v>55351</v>
      </c>
    </row>
    <row r="7">
      <c r="A7" s="6" t="inlineStr">
        <is>
          <t>Stage 3 (lifetime ECL, credit-impaired)</t>
        </is>
      </c>
      <c r="B7" s="6" t="n">
        <v>181656</v>
      </c>
      <c r="C7" s="6" t="n">
        <v>110477</v>
      </c>
      <c r="D7" s="6" t="n">
        <v>97665</v>
      </c>
      <c r="E7" s="6" t="n">
        <v>65747</v>
      </c>
      <c r="F7" s="6" t="n">
        <v>14802</v>
      </c>
    </row>
    <row r="8">
      <c r="A8" s="6" t="inlineStr">
        <is>
          <t>POCI (purchased or originated credit-impaired)</t>
        </is>
      </c>
      <c r="B8" s="6" t="n">
        <v>0</v>
      </c>
      <c r="C8" s="6" t="n">
        <v>450</v>
      </c>
      <c r="D8" s="6" t="n">
        <v>1305</v>
      </c>
      <c r="E8" s="6" t="n">
        <v>3743</v>
      </c>
      <c r="F8" s="6" t="n">
        <v>4725</v>
      </c>
    </row>
    <row r="9">
      <c r="A9" s="5" t="inlineStr">
        <is>
          <t>Total gross carrying amount</t>
        </is>
      </c>
      <c r="B9" s="5" t="n">
        <v>3771552</v>
      </c>
      <c r="C9" s="5" t="n">
        <v>3067807</v>
      </c>
      <c r="D9" s="5" t="n">
        <v>2650281</v>
      </c>
      <c r="E9" s="5" t="n">
        <v>2080853</v>
      </c>
      <c r="F9" s="5" t="n">
        <v>1226445</v>
      </c>
    </row>
    <row r="10">
      <c r="A10" s="5" t="inlineStr">
        <is>
          <t>ECL allowance by IFRS 9 stage (on-balance sheet)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1 allowance</t>
        </is>
      </c>
      <c r="B11" s="6" t="n">
        <v>75836</v>
      </c>
      <c r="C11" s="6" t="n">
        <v>58414</v>
      </c>
      <c r="D11" s="6" t="n">
        <v>44313</v>
      </c>
      <c r="E11" s="6" t="n">
        <v>38924</v>
      </c>
      <c r="F11" s="6" t="n">
        <v>27069</v>
      </c>
    </row>
    <row r="12">
      <c r="A12" s="6" t="inlineStr">
        <is>
          <t>Stage 2 allowance</t>
        </is>
      </c>
      <c r="B12" s="6" t="n">
        <v>71644</v>
      </c>
      <c r="C12" s="6" t="n">
        <v>67210</v>
      </c>
      <c r="D12" s="6" t="n">
        <v>60155</v>
      </c>
      <c r="E12" s="6" t="n">
        <v>53373</v>
      </c>
      <c r="F12" s="6" t="n">
        <v>15713</v>
      </c>
    </row>
    <row r="13">
      <c r="A13" s="6" t="inlineStr">
        <is>
          <t>Stage 3 allowance</t>
        </is>
      </c>
      <c r="B13" s="6" t="n">
        <v>121455</v>
      </c>
      <c r="C13" s="6" t="n">
        <v>75822</v>
      </c>
      <c r="D13" s="6" t="n">
        <v>69847</v>
      </c>
      <c r="E13" s="6" t="n">
        <v>48454</v>
      </c>
      <c r="F13" s="6" t="n">
        <v>10650</v>
      </c>
    </row>
    <row r="14">
      <c r="A14" s="6" t="inlineStr">
        <is>
          <t>POCI allowance</t>
        </is>
      </c>
      <c r="B14" s="6" t="n"/>
      <c r="C14" s="6" t="n">
        <v>12</v>
      </c>
      <c r="D14" s="6" t="n">
        <v>49</v>
      </c>
      <c r="E14" s="6" t="n">
        <v>334</v>
      </c>
      <c r="F14" s="6" t="n"/>
    </row>
    <row r="15">
      <c r="A15" s="5" t="inlineStr">
        <is>
          <t>Total ECL allowance</t>
        </is>
      </c>
      <c r="B15" s="5" t="n">
        <v>268935</v>
      </c>
      <c r="C15" s="5" t="n">
        <v>201458</v>
      </c>
      <c r="D15" s="5" t="n">
        <v>174364</v>
      </c>
      <c r="E15" s="5" t="n">
        <v>141085</v>
      </c>
      <c r="F15" s="5" t="n">
        <v>53432</v>
      </c>
    </row>
    <row r="16">
      <c r="A16" s="5" t="inlineStr">
        <is>
          <t>Net loans and advances to customers (on-balance sheet)</t>
        </is>
      </c>
      <c r="B16" s="5" t="n">
        <v>3502617</v>
      </c>
      <c r="C16" s="5" t="n">
        <v>2866349</v>
      </c>
      <c r="D16" s="5" t="n">
        <v>2475917</v>
      </c>
      <c r="E16" s="5" t="n">
        <v>1939768</v>
      </c>
      <c r="F16" s="5" t="n">
        <v>1173013</v>
      </c>
    </row>
    <row r="17">
      <c r="A17" s="5" t="inlineStr">
        <is>
          <t>Asset quality ratios</t>
        </is>
      </c>
      <c r="B17" s="6" t="n"/>
      <c r="C17" s="6" t="n"/>
      <c r="D17" s="6" t="n"/>
      <c r="E17" s="6" t="n"/>
      <c r="F17" s="6" t="n"/>
    </row>
    <row r="18">
      <c r="A18" s="6" t="inlineStr">
        <is>
          <t>NPL ratio (Stage 3 gross / Total gross)</t>
        </is>
      </c>
      <c r="B18" s="6" t="inlineStr">
        <is>
          <t>4.82%</t>
        </is>
      </c>
      <c r="C18" s="6" t="inlineStr">
        <is>
          <t>3.60%</t>
        </is>
      </c>
      <c r="D18" s="6" t="inlineStr">
        <is>
          <t>3.69%</t>
        </is>
      </c>
      <c r="E18" s="6" t="inlineStr">
        <is>
          <t>3.16%</t>
        </is>
      </c>
      <c r="F18" s="6" t="inlineStr">
        <is>
          <t>1.21%</t>
        </is>
      </c>
    </row>
    <row r="19">
      <c r="A19" s="6" t="inlineStr">
        <is>
          <t>Coverage ratio (Total ECL allowance / Total gross)</t>
        </is>
      </c>
      <c r="B19" s="6" t="inlineStr">
        <is>
          <t>7.13%</t>
        </is>
      </c>
      <c r="C19" s="6" t="inlineStr">
        <is>
          <t>6.57%</t>
        </is>
      </c>
      <c r="D19" s="6" t="inlineStr">
        <is>
          <t>6.58%</t>
        </is>
      </c>
      <c r="E19" s="6" t="inlineStr">
        <is>
          <t>6.78%</t>
        </is>
      </c>
      <c r="F19" s="6" t="inlineStr">
        <is>
          <t>4.36%</t>
        </is>
      </c>
    </row>
    <row r="20">
      <c r="A20" s="6" t="inlineStr">
        <is>
          <t>Stage 3 coverage ratio (Stage 3 allowance / Stage 3 gross)</t>
        </is>
      </c>
      <c r="B20" s="6" t="inlineStr">
        <is>
          <t>66.86%</t>
        </is>
      </c>
      <c r="C20" s="6" t="inlineStr">
        <is>
          <t>68.63%</t>
        </is>
      </c>
      <c r="D20" s="6" t="inlineStr">
        <is>
          <t>71.52%</t>
        </is>
      </c>
      <c r="E20" s="6" t="inlineStr">
        <is>
          <t>73.70%</t>
        </is>
      </c>
      <c r="F20" s="6" t="inlineStr">
        <is>
          <t>71.95%</t>
        </is>
      </c>
    </row>
    <row r="22" ht="280" customHeight="1">
      <c r="A22" s="8" t="inlineStr">
        <is>
          <t>Sources - Zopa Bank Limited entity-level credit quality disclosures (on-balance sheet loans and advances to customers only), £'000:
FY2025/FY2024: Annual Report and Accounts 2025, Note 37.1.11 'Credit performance' and Note 37.1.12 'Credit quality', p.158 - https://www.datocms-assets.com/23873/1773841899-zopa_bank_ar25_web.pdf
FY2023/FY2022: Annual Report and Accounts 2023, Note 37.1.11 'Credit performance' and Note 37.1.12 'Credit quality', p.167 - https://www.datocms-assets.com/23873/1713257733-zopa-group-2023-annual-report-signed_web-version.pdf
FY2021: Annual Report and Accounts 2021, Note 34.1.10 'Rating distribution' (Zopa risk ratings tier table), p.107-108 - aggregated across all 4 Tier bands to a single Stage 1/2/3 figure, since no consolidated by-stage summary table exists in this earlier report vintage - https://www.datocms-assets.com/23873/1658745948-zopa-bank-annual-report-2021.pdf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
GENUINE, IMMATERIAL DISCREPANCY (not forced to tie): FY2023's on-balance sheet net figure (£2,475,917k) is £2,296k below the Balance Sheet's own Loans and advances to customers line (£2,478,213k); FY2022's (£1,939,768k) is £1,804k above the Balance Sheet's own figure (£1,937,964k). Both gaps are under 0.1% of the balance and are reproduced exactly as each note states them, not plugged. FY2025/FY2024 tie exactly once the Balance Sheet's own fair value hedge adjustment (+£4,037k / -£714k, see Balance Sheet sheet note 14) is added back; FY2021 ties exactly with no adjustment needed.</t>
        </is>
      </c>
    </row>
  </sheetData>
  <mergeCells count="1">
    <mergeCell ref="A22:F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CET1 Capital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489</v>
      </c>
      <c r="C4" s="6" t="n">
        <v>448</v>
      </c>
      <c r="D4" s="6" t="n">
        <v>364</v>
      </c>
      <c r="E4" s="6" t="n">
        <v>290</v>
      </c>
      <c r="F4" s="6" t="n">
        <v>243</v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CET1 Ratio</t>
        </is>
      </c>
    </row>
    <row r="2">
      <c r="A2" s="2" t="inlineStr">
        <is>
          <t>Zopa Bank Limited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14.54%</t>
        </is>
      </c>
      <c r="C4" s="6" t="inlineStr">
        <is>
          <t>16.76%</t>
        </is>
      </c>
      <c r="D4" s="6" t="inlineStr">
        <is>
          <t>16.50%</t>
        </is>
      </c>
      <c r="E4" s="6" t="inlineStr">
        <is>
          <t>17.44%</t>
        </is>
      </c>
      <c r="F4" s="6" t="inlineStr">
        <is>
          <t>22.92%</t>
        </is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Tier 1 Capital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567</v>
      </c>
      <c r="C4" s="6" t="n">
        <v>448</v>
      </c>
      <c r="D4" s="6" t="n">
        <v>364</v>
      </c>
      <c r="E4" s="6" t="n">
        <v>290</v>
      </c>
      <c r="F4" s="6" t="n">
        <v>243</v>
      </c>
    </row>
    <row r="5" ht="60" customHeight="1">
      <c r="A5" s="7" t="inlineStr">
        <is>
          <t>Note: Tier 1 = CET1 in every year except FY2025, where the Bank issued £80m of other (AT1) equity instruments during the year (see Cash Flow Statement sheet), taking Tier 1 above CET1 for the first time.</t>
        </is>
      </c>
    </row>
    <row r="7" ht="120" customHeight="1">
      <c r="A7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Tier 1 Ratio</t>
        </is>
      </c>
    </row>
    <row r="2">
      <c r="A2" s="2" t="inlineStr">
        <is>
          <t>Zopa Bank Limited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16.87%</t>
        </is>
      </c>
      <c r="C4" s="6" t="inlineStr">
        <is>
          <t>16.76%</t>
        </is>
      </c>
      <c r="D4" s="6" t="inlineStr">
        <is>
          <t>16.50%</t>
        </is>
      </c>
      <c r="E4" s="6" t="inlineStr">
        <is>
          <t>17.44%</t>
        </is>
      </c>
      <c r="F4" s="6" t="inlineStr">
        <is>
          <t>22.92%</t>
        </is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Total Capital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642</v>
      </c>
      <c r="C4" s="6" t="n">
        <v>523</v>
      </c>
      <c r="D4" s="6" t="n">
        <v>439</v>
      </c>
      <c r="E4" s="6" t="n">
        <v>290</v>
      </c>
      <c r="F4" s="6" t="n">
        <v>243</v>
      </c>
    </row>
    <row r="5" ht="60" customHeight="1">
      <c r="A5" s="7" t="inlineStr">
        <is>
          <t>Note: Total capital includes Tier 2 capital (subordinated debt) from FY2023 onward - £75m issued, of which £63m/£72m/£73m was eligible as at FY2023/FY2024/FY2025 respectively (stated in each year's Pillar 3 report). No Tier 2 capital existed in FY2021-FY2022, so Total Capital = Tier 1 in those years.</t>
        </is>
      </c>
    </row>
    <row r="7" ht="120" customHeight="1">
      <c r="A7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Total Capital Ratio</t>
        </is>
      </c>
    </row>
    <row r="2">
      <c r="A2" s="2" t="inlineStr">
        <is>
          <t>Zopa Bank Limited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19.10%</t>
        </is>
      </c>
      <c r="C4" s="6" t="inlineStr">
        <is>
          <t>19.57%</t>
        </is>
      </c>
      <c r="D4" s="6" t="inlineStr">
        <is>
          <t>19.90%</t>
        </is>
      </c>
      <c r="E4" s="6" t="inlineStr">
        <is>
          <t>17.44%</t>
        </is>
      </c>
      <c r="F4" s="6" t="inlineStr">
        <is>
          <t>22.92%</t>
        </is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Total RWAs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3364</v>
      </c>
      <c r="C4" s="6" t="n">
        <v>2670</v>
      </c>
      <c r="D4" s="6" t="n">
        <v>2205</v>
      </c>
      <c r="E4" s="6" t="n">
        <v>1663</v>
      </c>
      <c r="F4" s="6" t="n">
        <v>1060</v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RWA Breakdown</t>
        </is>
      </c>
    </row>
    <row r="2">
      <c r="A2" s="2" t="inlineStr">
        <is>
          <t>Zopa Bank Limited basis, £m. Category sums tie to the Total RWAs sheet's own figures every year (a &lt;£1m rounding gap in FY2024 only). Securitisation exposures only appear from FY2025.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6" t="inlineStr">
        <is>
          <t>Credit risk RWA (excluding CCR)</t>
        </is>
      </c>
      <c r="B4" s="6" t="n">
        <v>2804</v>
      </c>
      <c r="C4" s="6" t="n">
        <v>2249</v>
      </c>
      <c r="D4" s="6" t="n">
        <v>1921</v>
      </c>
      <c r="E4" s="6" t="n">
        <v>1502</v>
      </c>
      <c r="F4" s="6" t="n">
        <v>898</v>
      </c>
    </row>
    <row r="5">
      <c r="A5" s="6" t="inlineStr">
        <is>
          <t>Counterparty Credit Risk RWA</t>
        </is>
      </c>
      <c r="B5" s="6" t="n">
        <v>0.6</v>
      </c>
      <c r="C5" s="6" t="n">
        <v>1</v>
      </c>
      <c r="D5" s="6" t="n">
        <v>0.5</v>
      </c>
      <c r="E5" s="6" t="n">
        <v>0.3</v>
      </c>
      <c r="F5" s="6" t="n">
        <v>0</v>
      </c>
    </row>
    <row r="6">
      <c r="A6" s="6" t="inlineStr">
        <is>
          <t>Securitisation exposures RWA (non-trading book, after the cap)</t>
        </is>
      </c>
      <c r="B6" s="6" t="n">
        <v>23</v>
      </c>
      <c r="C6" s="6" t="n">
        <v>0</v>
      </c>
      <c r="D6" s="6" t="n"/>
      <c r="E6" s="6" t="n"/>
      <c r="F6" s="6" t="n"/>
    </row>
    <row r="7">
      <c r="A7" s="6" t="inlineStr">
        <is>
          <t>Operational risk RWA</t>
        </is>
      </c>
      <c r="B7" s="6" t="n">
        <v>537</v>
      </c>
      <c r="C7" s="6" t="n">
        <v>421</v>
      </c>
      <c r="D7" s="6" t="n">
        <v>283</v>
      </c>
      <c r="E7" s="6" t="n">
        <v>161</v>
      </c>
      <c r="F7" s="6" t="n">
        <v>162</v>
      </c>
    </row>
    <row r="8">
      <c r="A8" s="5" t="inlineStr">
        <is>
          <t>Total RWAs</t>
        </is>
      </c>
      <c r="B8" s="5" t="n">
        <v>3364</v>
      </c>
      <c r="C8" s="5" t="n">
        <v>2670</v>
      </c>
      <c r="D8" s="5" t="n">
        <v>2205</v>
      </c>
      <c r="E8" s="5" t="n">
        <v>1663</v>
      </c>
      <c r="F8" s="5" t="n">
        <v>1060</v>
      </c>
    </row>
    <row r="10" ht="260" customHeight="1">
      <c r="A10" s="8" t="inlineStr">
        <is>
          <t>Sources - Zopa Bank Limited basis, Table 4: UK OV1 - Overview of risk weighted exposure amounts (within each year's 'Section 4: Disclosures for Zopa Bank Limited'), £m:
FY2025 &amp; FY2024: Pillar 3 Disclosures, year ended 31 December 2025, p.14 - https://www.datocms-assets.com/23873/1773842098-12-25-pillar-3-disclosures.pdf
FY2023: Pillar 3 Disclosures, year ended 31 December 2023, p.14 - https://www.datocms-assets.com/23873/1715596314-2023-pillar-3-disclosures-final.pdf (cross-checked against its comparative in the 2024 report - matched exactly)
FY2022: Pillar 3 Disclosures, year ended 31 December 2022, p.13 - https://www.datocms-assets.com/23873/1696603046-2022-pillar-3-disclosures-final_051023.pdf (cross-checked against its comparative in the 2023 report - matched exactly)
FY2021: as the comparative ('2021') column in the Pillar 3 Disclosures, year ended 31 December 2022, p.13 - https://www.datocms-assets.com/23873/1696603046-2022-pillar-3-disclosures-final_051023.pdf (same access-gap basis as the FY2021 Total RWAs figure elsewhere in this workbook - no standalone FY2021 OV1 table exists, so the FY2022 report's own comparative column is used)
Category sums round to the Total RWAs figure each year (a &lt;£1m rounding gap in FY2024 only, both figures reproduced exactly as the source states them).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</t>
        </is>
      </c>
    </row>
  </sheetData>
  <mergeCells count="1">
    <mergeCell ref="A10:F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Leverage Ratio</t>
        </is>
      </c>
    </row>
    <row r="2">
      <c r="A2" s="2" t="inlineStr">
        <is>
          <t>Zopa Bank Limited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4998</v>
      </c>
      <c r="C4" s="6" t="n">
        <v>3445</v>
      </c>
      <c r="D4" s="6" t="n">
        <v>2699</v>
      </c>
      <c r="E4" s="6" t="n">
        <v>2024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11.36%</t>
        </is>
      </c>
      <c r="C5" s="6" t="inlineStr">
        <is>
          <t>12.99%</t>
        </is>
      </c>
      <c r="D5" s="6" t="inlineStr">
        <is>
          <t>13.48%</t>
        </is>
      </c>
      <c r="E5" s="6" t="inlineStr">
        <is>
          <t>14.34%</t>
        </is>
      </c>
      <c r="F5" s="6" t="inlineStr">
        <is>
          <t>Not disclosed</t>
        </is>
      </c>
    </row>
    <row r="6" ht="60" customHeight="1">
      <c r="A6" s="7" t="inlineStr">
        <is>
          <t>Note: Not disclosed for FY2021: the Dec-21 comparative column in the 2022 Pillar 3 report shows 'n/a' for both the leverage exposure measure and ratio, with no explanation given (likely below an applicable disclosure/reporting threshold at that date).</t>
        </is>
      </c>
    </row>
    <row r="8" ht="120" customHeight="1">
      <c r="A8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LCR</t>
        </is>
      </c>
    </row>
    <row r="2">
      <c r="A2" s="2" t="inlineStr">
        <is>
          <t>Zopa Bank Limited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2970</v>
      </c>
      <c r="C4" s="6" t="n">
        <v>2347</v>
      </c>
      <c r="D4" s="6" t="n">
        <v>1701</v>
      </c>
      <c r="E4" s="6" t="n">
        <v>626</v>
      </c>
      <c r="F4" s="6" t="n"/>
    </row>
    <row r="5">
      <c r="A5" s="6" t="inlineStr">
        <is>
          <t>Total net cash outflows, adjusted value</t>
        </is>
      </c>
      <c r="B5" s="6" t="n">
        <v>614</v>
      </c>
      <c r="C5" s="6" t="n">
        <v>430</v>
      </c>
      <c r="D5" s="6" t="n">
        <v>233</v>
      </c>
      <c r="E5" s="6" t="n">
        <v>61</v>
      </c>
      <c r="F5" s="6" t="n"/>
    </row>
    <row r="6">
      <c r="A6" s="6" t="inlineStr">
        <is>
          <t>Liquidity Coverage Ratio (%)</t>
        </is>
      </c>
      <c r="B6" s="6" t="inlineStr">
        <is>
          <t>484%</t>
        </is>
      </c>
      <c r="C6" s="6" t="inlineStr">
        <is>
          <t>546%</t>
        </is>
      </c>
      <c r="D6" s="6" t="inlineStr">
        <is>
          <t>730%</t>
        </is>
      </c>
      <c r="E6" s="6" t="inlineStr">
        <is>
          <t>1,033%</t>
        </is>
      </c>
      <c r="F6" s="6" t="inlineStr">
        <is>
          <t>Not disclosed</t>
        </is>
      </c>
    </row>
    <row r="7" ht="60" customHeight="1">
      <c r="A7" s="7" t="inlineStr">
        <is>
          <t>Note: LCR is a 12-month simple average of month-end observations, which the Pillar 3 report notes 'differs to the metrics reported in the Bank ARA, which present the position at the year-end date' - the Pillar 3 (averaged) basis is used here for consistency across years. Not disclosed for FY2021: LCR was a new disclosure requirement from the FY2022 report onward with no FY2021 comparative provided.</t>
        </is>
      </c>
    </row>
    <row r="9" ht="120" customHeight="1">
      <c r="A9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NSFR</t>
        </is>
      </c>
    </row>
    <row r="2">
      <c r="A2" s="2" t="inlineStr">
        <is>
          <t>Zopa Bank Limited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5761</v>
      </c>
      <c r="C4" s="6" t="n">
        <v>4918</v>
      </c>
      <c r="D4" s="6" t="n">
        <v>3701</v>
      </c>
      <c r="E4" s="6" t="n"/>
      <c r="F4" s="6" t="n"/>
    </row>
    <row r="5">
      <c r="A5" s="6" t="inlineStr">
        <is>
          <t>Total required stable funding</t>
        </is>
      </c>
      <c r="B5" s="6" t="n">
        <v>2562</v>
      </c>
      <c r="C5" s="6" t="n">
        <v>2162</v>
      </c>
      <c r="D5" s="6" t="n">
        <v>1785</v>
      </c>
      <c r="E5" s="6" t="n"/>
      <c r="F5" s="6" t="n"/>
    </row>
    <row r="6">
      <c r="A6" s="6" t="inlineStr">
        <is>
          <t>NSFR ratio (%)</t>
        </is>
      </c>
      <c r="B6" s="6" t="inlineStr">
        <is>
          <t>225%</t>
        </is>
      </c>
      <c r="C6" s="6" t="inlineStr">
        <is>
          <t>227%</t>
        </is>
      </c>
      <c r="D6" s="6" t="inlineStr">
        <is>
          <t>207%</t>
        </is>
      </c>
      <c r="E6" s="6" t="inlineStr">
        <is>
          <t>Not applicable</t>
        </is>
      </c>
      <c r="F6" s="6" t="inlineStr">
        <is>
          <t>Not applicable</t>
        </is>
      </c>
    </row>
    <row r="7" ht="60" customHeight="1">
      <c r="A7" s="7" t="inlineStr">
        <is>
          <t>Note: NSFR disclosure was not applicable/required until 1 January 2023 (PRA PS22/21), so no FY2022 or FY2021 figures exist.</t>
        </is>
      </c>
    </row>
    <row r="9" ht="120" customHeight="1">
      <c r="A9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MREL Ratio</t>
        </is>
      </c>
    </row>
    <row r="2">
      <c r="A2" s="2" t="inlineStr">
        <is>
          <t>Zopa Bank Limited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disclosed</t>
        </is>
      </c>
      <c r="C4" s="6" t="inlineStr">
        <is>
          <t>Not disclosed</t>
        </is>
      </c>
      <c r="D4" s="6" t="inlineStr">
        <is>
          <t>Not disclosed</t>
        </is>
      </c>
      <c r="E4" s="6" t="inlineStr">
        <is>
          <t>Not disclosed</t>
        </is>
      </c>
      <c r="F4" s="6" t="inlineStr">
        <is>
          <t>Not disclosed</t>
        </is>
      </c>
    </row>
    <row r="5" ht="60" customHeight="1">
      <c r="A5" s="7" t="inlineStr">
        <is>
          <t>Note: No MREL disclosure of any kind (numeric or qualitative) was found in Zopa Bank Limited's Pillar 3 reports for any year reviewed (FY2021-FY2025) - unlike some smaller banks in this workbook series, no report explicitly states an SNCI/below-threshold exemption reason, it is simply absent from every KM1 template and surrounding narrative.</t>
        </is>
      </c>
    </row>
    <row r="7" ht="120" customHeight="1">
      <c r="A7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2026-09-03T23:35:49Z</dcterms:created>
  <dcterms:modified xmlns:dcterms="http://purl.org/dc/terms/" xmlns:xsi="http://www.w3.org/2001/XMLSchema-instance" xsi:type="dcterms:W3CDTF">2026-09-03T23:35:49Z</dcterms:modified>
</cp:coreProperties>
</file>