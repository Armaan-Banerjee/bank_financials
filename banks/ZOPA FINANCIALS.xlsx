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332"/>
        <bgColor rgb="001B43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Zopa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Zopa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Zopa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Zopa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Zopa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Zopa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7243711</v>
      </c>
      <c r="C6" s="5" t="n">
        <v>6229047</v>
      </c>
      <c r="D6" s="5" t="n">
        <v>4049087</v>
      </c>
      <c r="E6" s="5" t="n">
        <v>3423334</v>
      </c>
      <c r="F6" s="5" t="n">
        <v>1430971</v>
      </c>
      <c r="G6" s="5" t="n">
        <v>314565</v>
      </c>
      <c r="H6" s="5" t="n">
        <v>30850</v>
      </c>
      <c r="I6" s="5" t="n">
        <v>28602</v>
      </c>
      <c r="J6" s="5" t="n">
        <v>2778</v>
      </c>
      <c r="M6" t="inlineStr">
        <is>
          <t>Total assets</t>
        </is>
      </c>
      <c r="N6" t="n">
        <v>2778</v>
      </c>
      <c r="O6" t="n">
        <v>28602</v>
      </c>
      <c r="P6" t="n">
        <v>30850</v>
      </c>
      <c r="Q6" t="n">
        <v>314565</v>
      </c>
      <c r="R6" t="n">
        <v>1430971</v>
      </c>
      <c r="S6" t="n">
        <v>3423334</v>
      </c>
      <c r="T6" t="n">
        <v>4049087</v>
      </c>
      <c r="U6" t="n">
        <v>6229047</v>
      </c>
      <c r="V6" t="n">
        <v>7243711</v>
      </c>
      <c r="BI6" t="inlineStr">
        <is>
          <t>CET1 Ratio</t>
        </is>
      </c>
      <c r="BK6" t="n">
        <v>19</v>
      </c>
      <c r="BN6" t="n">
        <v>22.92</v>
      </c>
      <c r="BO6" t="n">
        <v>17.44</v>
      </c>
      <c r="BP6" t="n">
        <v>16.5</v>
      </c>
      <c r="BQ6" t="n">
        <v>16.76</v>
      </c>
      <c r="BR6" t="n">
        <v>14.54</v>
      </c>
    </row>
    <row r="7">
      <c r="A7" s="5" t="inlineStr">
        <is>
          <t>Loans and advances to customers</t>
        </is>
      </c>
      <c r="B7" s="5" t="n">
        <v>3506654</v>
      </c>
      <c r="C7" s="5" t="n">
        <v>2865635</v>
      </c>
      <c r="D7" s="5" t="n">
        <v>2478213</v>
      </c>
      <c r="E7" s="5" t="n">
        <v>1937964</v>
      </c>
      <c r="F7" s="5" t="n">
        <v>1173013</v>
      </c>
      <c r="G7" s="5" t="n">
        <v>225390</v>
      </c>
      <c r="H7" s="5" t="n">
        <v>16372</v>
      </c>
      <c r="I7" s="5" t="n"/>
      <c r="J7" s="5" t="n"/>
      <c r="M7" t="inlineStr">
        <is>
          <t>Loans and advances to customers</t>
        </is>
      </c>
      <c r="P7" t="n">
        <v>16372</v>
      </c>
      <c r="Q7" t="n">
        <v>225390</v>
      </c>
      <c r="R7" t="n">
        <v>1173013</v>
      </c>
      <c r="S7" t="n">
        <v>1937964</v>
      </c>
      <c r="T7" t="n">
        <v>2478213</v>
      </c>
      <c r="U7" t="n">
        <v>2865635</v>
      </c>
      <c r="V7" t="n">
        <v>3506654</v>
      </c>
      <c r="BI7" t="inlineStr">
        <is>
          <t>Tier 1 Ratio</t>
        </is>
      </c>
      <c r="BK7" t="n">
        <v>19</v>
      </c>
      <c r="BN7" t="n">
        <v>22.92</v>
      </c>
      <c r="BO7" t="n">
        <v>17.44</v>
      </c>
      <c r="BP7" t="n">
        <v>16.5</v>
      </c>
      <c r="BQ7" t="n">
        <v>16.76</v>
      </c>
      <c r="BR7" t="n">
        <v>16.87</v>
      </c>
    </row>
    <row r="8">
      <c r="A8" s="5" t="inlineStr">
        <is>
          <t>Deposits by customers</t>
        </is>
      </c>
      <c r="B8" s="5" t="n">
        <v>6393598</v>
      </c>
      <c r="C8" s="5" t="n">
        <v>5455740</v>
      </c>
      <c r="D8" s="5" t="n">
        <v>3357724</v>
      </c>
      <c r="E8" s="5" t="n">
        <v>2922845</v>
      </c>
      <c r="F8" s="5" t="n">
        <v>968000</v>
      </c>
      <c r="G8" s="5" t="n">
        <v>177823</v>
      </c>
      <c r="H8" s="5" t="n"/>
      <c r="I8" s="5" t="n"/>
      <c r="J8" s="5" t="n"/>
      <c r="M8" t="inlineStr">
        <is>
          <t>Deposits by customers</t>
        </is>
      </c>
      <c r="Q8" t="n">
        <v>177823</v>
      </c>
      <c r="R8" t="n">
        <v>968000</v>
      </c>
      <c r="S8" t="n">
        <v>2922845</v>
      </c>
      <c r="T8" t="n">
        <v>3357724</v>
      </c>
      <c r="U8" t="n">
        <v>5455740</v>
      </c>
      <c r="V8" t="n">
        <v>6393598</v>
      </c>
      <c r="BI8" t="inlineStr">
        <is>
          <t>Total Capital Ratio</t>
        </is>
      </c>
      <c r="BK8" t="n">
        <v>19</v>
      </c>
      <c r="BN8" t="n">
        <v>22.92</v>
      </c>
      <c r="BO8" t="n">
        <v>17.44</v>
      </c>
      <c r="BP8" t="n">
        <v>19.9</v>
      </c>
      <c r="BQ8" t="n">
        <v>19.57</v>
      </c>
      <c r="BR8" t="n">
        <v>19.1</v>
      </c>
    </row>
    <row r="9">
      <c r="A9" s="5" t="inlineStr">
        <is>
          <t>Total equity</t>
        </is>
      </c>
      <c r="B9" s="5" t="n">
        <v>623217</v>
      </c>
      <c r="C9" s="5" t="n">
        <v>497291</v>
      </c>
      <c r="D9" s="5" t="n">
        <v>404415</v>
      </c>
      <c r="E9" s="5" t="n">
        <v>299607</v>
      </c>
      <c r="F9" s="5" t="n">
        <v>252255</v>
      </c>
      <c r="G9" s="5" t="n">
        <v>127622</v>
      </c>
      <c r="H9" s="5" t="n">
        <v>19638</v>
      </c>
      <c r="I9" s="5" t="n">
        <v>21814</v>
      </c>
      <c r="J9" s="5" t="n">
        <v>-3806</v>
      </c>
      <c r="M9" t="inlineStr">
        <is>
          <t>Total equity</t>
        </is>
      </c>
      <c r="N9" t="n">
        <v>-3806</v>
      </c>
      <c r="O9" t="n">
        <v>21814</v>
      </c>
      <c r="P9" t="n">
        <v>19638</v>
      </c>
      <c r="Q9" t="n">
        <v>127622</v>
      </c>
      <c r="R9" t="n">
        <v>252255</v>
      </c>
      <c r="S9" t="n">
        <v>299607</v>
      </c>
      <c r="T9" t="n">
        <v>404415</v>
      </c>
      <c r="U9" t="n">
        <v>497291</v>
      </c>
      <c r="V9" t="n">
        <v>623217</v>
      </c>
      <c r="BI9" t="inlineStr">
        <is>
          <t>Leverage Ratio</t>
        </is>
      </c>
      <c r="BO9" t="n">
        <v>14.34</v>
      </c>
      <c r="BP9" t="n">
        <v>13.48</v>
      </c>
      <c r="BQ9" t="n">
        <v>12.99</v>
      </c>
      <c r="BR9" t="n">
        <v>11.36</v>
      </c>
    </row>
    <row r="10">
      <c r="BI10" t="inlineStr">
        <is>
          <t>LCR</t>
        </is>
      </c>
      <c r="BO10" t="n">
        <v>1033</v>
      </c>
      <c r="BP10" t="n">
        <v>730</v>
      </c>
      <c r="BQ10" t="n">
        <v>546</v>
      </c>
      <c r="BR10" t="n">
        <v>484</v>
      </c>
    </row>
    <row r="11">
      <c r="A11" s="3" t="inlineStr">
        <is>
          <t>Profit &amp; Loss Summary (£'000)</t>
        </is>
      </c>
      <c r="BI11" t="inlineStr">
        <is>
          <t>NSFR</t>
        </is>
      </c>
      <c r="BP11" t="n">
        <v>207</v>
      </c>
      <c r="BQ11" t="n">
        <v>227</v>
      </c>
      <c r="BR11" t="n">
        <v>225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359552</v>
      </c>
      <c r="C13" s="5" t="n">
        <v>297788</v>
      </c>
      <c r="D13" s="5" t="n">
        <v>222430</v>
      </c>
      <c r="E13" s="5" t="n">
        <v>150524</v>
      </c>
      <c r="F13" s="5" t="n">
        <v>65228</v>
      </c>
      <c r="G13" s="5" t="n">
        <v>20883</v>
      </c>
      <c r="H13" s="5" t="n">
        <v>12508</v>
      </c>
      <c r="I13" s="5" t="n"/>
      <c r="J13" s="5" t="n"/>
      <c r="Y13" t="inlineStr">
        <is>
          <t>Total operating income</t>
        </is>
      </c>
      <c r="AB13" t="n">
        <v>12508</v>
      </c>
      <c r="AC13" t="n">
        <v>20883</v>
      </c>
      <c r="AD13" t="n">
        <v>65228</v>
      </c>
      <c r="AE13" t="n">
        <v>150524</v>
      </c>
      <c r="AF13" t="n">
        <v>222430</v>
      </c>
      <c r="AG13" t="n">
        <v>297788</v>
      </c>
      <c r="AH13" t="n">
        <v>359552</v>
      </c>
    </row>
    <row r="14">
      <c r="A14" s="5" t="inlineStr">
        <is>
          <t>Profit/(loss) before tax</t>
        </is>
      </c>
      <c r="B14" s="5" t="n">
        <v>44852</v>
      </c>
      <c r="C14" s="5" t="n">
        <v>31550</v>
      </c>
      <c r="D14" s="5" t="n">
        <v>15817</v>
      </c>
      <c r="E14" s="5" t="n">
        <v>-25988</v>
      </c>
      <c r="F14" s="5" t="n">
        <v>-34224</v>
      </c>
      <c r="G14" s="5" t="n">
        <v>-30554</v>
      </c>
      <c r="H14" s="5" t="n">
        <v>-18452</v>
      </c>
      <c r="I14" s="5" t="n">
        <v>-14432</v>
      </c>
      <c r="J14" s="5" t="n">
        <v>-4001</v>
      </c>
      <c r="Y14" t="inlineStr">
        <is>
          <t>Profit/(loss) before tax</t>
        </is>
      </c>
      <c r="Z14" t="n">
        <v>-4001</v>
      </c>
      <c r="AA14" t="n">
        <v>-14432</v>
      </c>
      <c r="AB14" t="n">
        <v>-18452</v>
      </c>
      <c r="AC14" t="n">
        <v>-30554</v>
      </c>
      <c r="AD14" t="n">
        <v>-34224</v>
      </c>
      <c r="AE14" t="n">
        <v>-25988</v>
      </c>
      <c r="AF14" t="n">
        <v>15817</v>
      </c>
      <c r="AG14" t="n">
        <v>31550</v>
      </c>
      <c r="AH14" t="n">
        <v>44852</v>
      </c>
    </row>
    <row r="15">
      <c r="A15" s="5" t="inlineStr">
        <is>
          <t>Profit/(loss) after tax</t>
        </is>
      </c>
      <c r="B15" s="5" t="n">
        <v>33380</v>
      </c>
      <c r="C15" s="5" t="n">
        <v>21777</v>
      </c>
      <c r="D15" s="5" t="n">
        <v>38881</v>
      </c>
      <c r="E15" s="5" t="n">
        <v>-25988</v>
      </c>
      <c r="F15" s="5" t="n">
        <v>-34223</v>
      </c>
      <c r="G15" s="5" t="n">
        <v>-30545</v>
      </c>
      <c r="H15" s="5" t="n">
        <v>-17867</v>
      </c>
      <c r="I15" s="5" t="n">
        <v>-14432</v>
      </c>
      <c r="J15" s="5" t="n">
        <v>-4001</v>
      </c>
      <c r="Y15" t="inlineStr">
        <is>
          <t>Profit/(loss) after tax</t>
        </is>
      </c>
      <c r="Z15" t="n">
        <v>-4001</v>
      </c>
      <c r="AA15" t="n">
        <v>-14432</v>
      </c>
      <c r="AB15" t="n">
        <v>-17867</v>
      </c>
      <c r="AC15" t="n">
        <v>-30545</v>
      </c>
      <c r="AD15" t="n">
        <v>-34223</v>
      </c>
      <c r="AE15" t="n">
        <v>-25988</v>
      </c>
      <c r="AF15" t="n">
        <v>38881</v>
      </c>
      <c r="AG15" t="n">
        <v>21777</v>
      </c>
      <c r="AH15" t="n">
        <v>33380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497291</v>
      </c>
      <c r="C19" s="5" t="n">
        <v>404415</v>
      </c>
      <c r="D19" s="5" t="n">
        <v>299607</v>
      </c>
      <c r="E19" s="5" t="n">
        <v>252255</v>
      </c>
      <c r="F19" s="5" t="n">
        <v>127622</v>
      </c>
      <c r="G19" s="5" t="n">
        <v>19638</v>
      </c>
      <c r="H19" s="5" t="n">
        <v>21814</v>
      </c>
      <c r="I19" s="5" t="n">
        <v>-3806</v>
      </c>
      <c r="J19" s="5" t="n">
        <v>0</v>
      </c>
      <c r="AK19" t="inlineStr">
        <is>
          <t>Opening equity</t>
        </is>
      </c>
      <c r="AL19" t="n">
        <v>0</v>
      </c>
      <c r="AM19" t="n">
        <v>-3806</v>
      </c>
      <c r="AN19" t="n">
        <v>21814</v>
      </c>
      <c r="AO19" t="n">
        <v>19638</v>
      </c>
      <c r="AP19" t="n">
        <v>127622</v>
      </c>
      <c r="AQ19" t="n">
        <v>252255</v>
      </c>
      <c r="AR19" t="n">
        <v>299607</v>
      </c>
      <c r="AS19" t="n">
        <v>404415</v>
      </c>
      <c r="AT19" t="n">
        <v>497291</v>
      </c>
    </row>
    <row r="20">
      <c r="A20" s="5" t="inlineStr">
        <is>
          <t>Total comprehensive income/(loss) for the year</t>
        </is>
      </c>
      <c r="B20" s="5" t="n">
        <v>33567</v>
      </c>
      <c r="C20" s="5" t="n">
        <v>21731</v>
      </c>
      <c r="D20" s="5" t="n">
        <v>38832</v>
      </c>
      <c r="E20" s="5" t="n">
        <v>-25988</v>
      </c>
      <c r="F20" s="5" t="n">
        <v>-34223</v>
      </c>
      <c r="G20" s="5" t="n">
        <v>-30545</v>
      </c>
      <c r="H20" s="5" t="n">
        <v>-17867</v>
      </c>
      <c r="I20" s="5" t="n">
        <v>-14432</v>
      </c>
      <c r="J20" s="5" t="n">
        <v>-4001</v>
      </c>
      <c r="AK20" t="inlineStr">
        <is>
          <t>Total comprehensive income/(loss) for the year</t>
        </is>
      </c>
      <c r="AL20" t="n">
        <v>-4001</v>
      </c>
      <c r="AM20" t="n">
        <v>-14432</v>
      </c>
      <c r="AN20" t="n">
        <v>-17867</v>
      </c>
      <c r="AO20" t="n">
        <v>-30545</v>
      </c>
      <c r="AP20" t="n">
        <v>-34223</v>
      </c>
      <c r="AQ20" t="n">
        <v>-25988</v>
      </c>
      <c r="AR20" t="n">
        <v>38832</v>
      </c>
      <c r="AS20" t="n">
        <v>21731</v>
      </c>
      <c r="AT20" t="n">
        <v>33567</v>
      </c>
    </row>
    <row r="21">
      <c r="A21" s="5" t="inlineStr">
        <is>
          <t>Other equity movements, net</t>
        </is>
      </c>
      <c r="B21" s="5" t="n">
        <v>92359</v>
      </c>
      <c r="C21" s="5" t="n">
        <v>71145</v>
      </c>
      <c r="D21" s="5" t="n">
        <v>65976</v>
      </c>
      <c r="E21" s="5" t="n">
        <v>73340</v>
      </c>
      <c r="F21" s="5" t="n">
        <v>158856</v>
      </c>
      <c r="G21" s="5" t="n">
        <v>138529</v>
      </c>
      <c r="H21" s="5" t="n">
        <v>15691</v>
      </c>
      <c r="I21" s="5" t="n">
        <v>40052</v>
      </c>
      <c r="J21" s="5" t="n">
        <v>195</v>
      </c>
      <c r="AK21" t="inlineStr">
        <is>
          <t>Other equity movements, net</t>
        </is>
      </c>
      <c r="AL21" t="n">
        <v>195</v>
      </c>
      <c r="AM21" t="n">
        <v>40052</v>
      </c>
      <c r="AN21" t="n">
        <v>15691</v>
      </c>
      <c r="AO21" t="n">
        <v>138529</v>
      </c>
      <c r="AP21" t="n">
        <v>158856</v>
      </c>
      <c r="AQ21" t="n">
        <v>73340</v>
      </c>
      <c r="AR21" t="n">
        <v>65976</v>
      </c>
      <c r="AS21" t="n">
        <v>71145</v>
      </c>
      <c r="AT21" t="n">
        <v>92359</v>
      </c>
    </row>
    <row r="22">
      <c r="A22" s="5" t="inlineStr">
        <is>
          <t>Closing equity</t>
        </is>
      </c>
      <c r="B22" s="5" t="n">
        <v>623217</v>
      </c>
      <c r="C22" s="5" t="n">
        <v>497291</v>
      </c>
      <c r="D22" s="5" t="n">
        <v>404415</v>
      </c>
      <c r="E22" s="5" t="n">
        <v>299607</v>
      </c>
      <c r="F22" s="5" t="n">
        <v>252255</v>
      </c>
      <c r="G22" s="5" t="n">
        <v>127622</v>
      </c>
      <c r="H22" s="5" t="n">
        <v>19638</v>
      </c>
      <c r="I22" s="5" t="n">
        <v>21814</v>
      </c>
      <c r="J22" s="5" t="n">
        <v>-3806</v>
      </c>
      <c r="AK22" t="inlineStr">
        <is>
          <t>Closing equity</t>
        </is>
      </c>
      <c r="AL22" t="n">
        <v>-3806</v>
      </c>
      <c r="AM22" t="n">
        <v>21814</v>
      </c>
      <c r="AN22" t="n">
        <v>19638</v>
      </c>
      <c r="AO22" t="n">
        <v>127622</v>
      </c>
      <c r="AP22" t="n">
        <v>252255</v>
      </c>
      <c r="AQ22" t="n">
        <v>299607</v>
      </c>
      <c r="AR22" t="n">
        <v>404415</v>
      </c>
      <c r="AS22" t="n">
        <v>497291</v>
      </c>
      <c r="AT22" t="n">
        <v>623217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363343</v>
      </c>
      <c r="C26" s="5" t="n">
        <v>1736072</v>
      </c>
      <c r="D26" s="5" t="n">
        <v>-52437</v>
      </c>
      <c r="E26" s="5" t="n">
        <v>1149272</v>
      </c>
      <c r="F26" s="5" t="n">
        <v>-175837</v>
      </c>
      <c r="G26" s="5" t="n">
        <v>-56978</v>
      </c>
      <c r="H26" s="5" t="n">
        <v>-25594</v>
      </c>
      <c r="I26" s="5" t="n">
        <v>-20803</v>
      </c>
      <c r="J26" s="5" t="n">
        <v>500</v>
      </c>
      <c r="AW26" t="inlineStr">
        <is>
          <t>Net cash from/(used in) operating activities</t>
        </is>
      </c>
      <c r="AX26" t="n">
        <v>500</v>
      </c>
      <c r="AY26" t="n">
        <v>-20803</v>
      </c>
      <c r="AZ26" t="n">
        <v>-25594</v>
      </c>
      <c r="BA26" t="n">
        <v>-56978</v>
      </c>
      <c r="BB26" t="n">
        <v>-175837</v>
      </c>
      <c r="BC26" t="n">
        <v>1149272</v>
      </c>
      <c r="BD26" t="n">
        <v>-52437</v>
      </c>
      <c r="BE26" t="n">
        <v>1736072</v>
      </c>
      <c r="BF26" t="n">
        <v>363343</v>
      </c>
    </row>
    <row r="27">
      <c r="A27" s="5" t="inlineStr">
        <is>
          <t>Net cash from/(used in) investing activities</t>
        </is>
      </c>
      <c r="B27" s="5" t="n">
        <v>-817416</v>
      </c>
      <c r="C27" s="5" t="n">
        <v>-389003</v>
      </c>
      <c r="D27" s="5" t="n">
        <v>-92313</v>
      </c>
      <c r="E27" s="5" t="n">
        <v>-4558</v>
      </c>
      <c r="F27" s="5" t="n">
        <v>-2555</v>
      </c>
      <c r="G27" s="5" t="n">
        <v>-2872</v>
      </c>
      <c r="H27" s="5" t="n">
        <v>-1460</v>
      </c>
      <c r="I27" s="5" t="n">
        <v>-16149</v>
      </c>
      <c r="J27" s="5" t="n">
        <v>-305</v>
      </c>
      <c r="AW27" t="inlineStr">
        <is>
          <t>Net cash from/(used in) investing activities</t>
        </is>
      </c>
      <c r="AX27" t="n">
        <v>-305</v>
      </c>
      <c r="AY27" t="n">
        <v>-16149</v>
      </c>
      <c r="AZ27" t="n">
        <v>-1460</v>
      </c>
      <c r="BA27" t="n">
        <v>-2872</v>
      </c>
      <c r="BB27" t="n">
        <v>-2555</v>
      </c>
      <c r="BC27" t="n">
        <v>-4558</v>
      </c>
      <c r="BD27" t="n">
        <v>-92313</v>
      </c>
      <c r="BE27" t="n">
        <v>-389003</v>
      </c>
      <c r="BF27" t="n">
        <v>-817416</v>
      </c>
    </row>
    <row r="28">
      <c r="A28" s="5" t="inlineStr">
        <is>
          <t>Net cash from/(used in) financing activities</t>
        </is>
      </c>
      <c r="B28" s="5" t="n">
        <v>-27173</v>
      </c>
      <c r="C28" s="5" t="n">
        <v>66682</v>
      </c>
      <c r="D28" s="5" t="n">
        <v>118865</v>
      </c>
      <c r="E28" s="5" t="n">
        <v>49405</v>
      </c>
      <c r="F28" s="5" t="n">
        <v>346694</v>
      </c>
      <c r="G28" s="5" t="n">
        <v>126482</v>
      </c>
      <c r="H28" s="5" t="n">
        <v>17369</v>
      </c>
      <c r="I28" s="5" t="n">
        <v>39160</v>
      </c>
      <c r="J28" s="5" t="n">
        <v>0</v>
      </c>
      <c r="AW28" t="inlineStr">
        <is>
          <t>Net cash from/(used in) financing activities</t>
        </is>
      </c>
      <c r="AX28" t="n">
        <v>0</v>
      </c>
      <c r="AY28" t="n">
        <v>39160</v>
      </c>
      <c r="AZ28" t="n">
        <v>17369</v>
      </c>
      <c r="BA28" t="n">
        <v>126482</v>
      </c>
      <c r="BB28" t="n">
        <v>346694</v>
      </c>
      <c r="BC28" t="n">
        <v>49405</v>
      </c>
      <c r="BD28" t="n">
        <v>118865</v>
      </c>
      <c r="BE28" t="n">
        <v>66682</v>
      </c>
      <c r="BF28" t="n">
        <v>-27173</v>
      </c>
    </row>
    <row r="29">
      <c r="A29" s="5" t="inlineStr">
        <is>
          <t>Cash and cash equivalents at end of year</t>
        </is>
      </c>
      <c r="B29" s="5" t="n">
        <v>2338497</v>
      </c>
      <c r="C29" s="5" t="n">
        <v>2819743</v>
      </c>
      <c r="D29" s="5" t="n">
        <v>1405992</v>
      </c>
      <c r="E29" s="5" t="n">
        <v>1431877</v>
      </c>
      <c r="F29" s="5" t="n">
        <v>237758</v>
      </c>
      <c r="G29" s="5" t="n">
        <v>69368</v>
      </c>
      <c r="H29" s="5" t="n">
        <v>2736</v>
      </c>
      <c r="I29" s="5" t="n">
        <v>2402</v>
      </c>
      <c r="J29" s="5" t="n">
        <v>194</v>
      </c>
      <c r="AW29" t="inlineStr">
        <is>
          <t>Cash and cash equivalents at end of year</t>
        </is>
      </c>
      <c r="AX29" t="n">
        <v>194</v>
      </c>
      <c r="AY29" t="n">
        <v>2402</v>
      </c>
      <c r="AZ29" t="n">
        <v>2736</v>
      </c>
      <c r="BA29" t="n">
        <v>69368</v>
      </c>
      <c r="BB29" t="n">
        <v>237758</v>
      </c>
      <c r="BC29" t="n">
        <v>1431877</v>
      </c>
      <c r="BD29" t="n">
        <v>1405992</v>
      </c>
      <c r="BE29" t="n">
        <v>2819743</v>
      </c>
      <c r="BF29" t="n">
        <v>2338497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14.54%</t>
        </is>
      </c>
      <c r="C33" s="6" t="inlineStr">
        <is>
          <t>16.76%</t>
        </is>
      </c>
      <c r="D33" s="6" t="inlineStr">
        <is>
          <t>16.50%</t>
        </is>
      </c>
      <c r="E33" s="6" t="inlineStr">
        <is>
          <t>17.44%</t>
        </is>
      </c>
      <c r="F33" s="6" t="inlineStr">
        <is>
          <t>22.92%</t>
        </is>
      </c>
      <c r="G33" s="6" t="n"/>
      <c r="H33" s="6" t="n"/>
      <c r="I33" s="6" t="inlineStr">
        <is>
          <t>19%</t>
        </is>
      </c>
      <c r="J33" s="6" t="n"/>
    </row>
    <row r="34">
      <c r="A34" s="6" t="inlineStr">
        <is>
          <t>Tier 1 Ratio</t>
        </is>
      </c>
      <c r="B34" s="6" t="inlineStr">
        <is>
          <t>16.87%</t>
        </is>
      </c>
      <c r="C34" s="6" t="inlineStr">
        <is>
          <t>16.76%</t>
        </is>
      </c>
      <c r="D34" s="6" t="inlineStr">
        <is>
          <t>16.50%</t>
        </is>
      </c>
      <c r="E34" s="6" t="inlineStr">
        <is>
          <t>17.44%</t>
        </is>
      </c>
      <c r="F34" s="6" t="inlineStr">
        <is>
          <t>22.92%</t>
        </is>
      </c>
      <c r="G34" s="6" t="n"/>
      <c r="H34" s="6" t="n"/>
      <c r="I34" s="6" t="inlineStr">
        <is>
          <t>19%</t>
        </is>
      </c>
      <c r="J34" s="6" t="n"/>
    </row>
    <row r="35">
      <c r="A35" s="6" t="inlineStr">
        <is>
          <t>Total Capital Ratio</t>
        </is>
      </c>
      <c r="B35" s="6" t="inlineStr">
        <is>
          <t>19.10%</t>
        </is>
      </c>
      <c r="C35" s="6" t="inlineStr">
        <is>
          <t>19.57%</t>
        </is>
      </c>
      <c r="D35" s="6" t="inlineStr">
        <is>
          <t>19.90%</t>
        </is>
      </c>
      <c r="E35" s="6" t="inlineStr">
        <is>
          <t>17.44%</t>
        </is>
      </c>
      <c r="F35" s="6" t="inlineStr">
        <is>
          <t>22.92%</t>
        </is>
      </c>
      <c r="G35" s="6" t="n"/>
      <c r="H35" s="6" t="n"/>
      <c r="I35" s="6" t="inlineStr">
        <is>
          <t>19%</t>
        </is>
      </c>
      <c r="J35" s="6" t="n"/>
    </row>
    <row r="36">
      <c r="A36" s="6" t="inlineStr">
        <is>
          <t>Leverage Ratio</t>
        </is>
      </c>
      <c r="B36" s="6" t="inlineStr">
        <is>
          <t>11.36%</t>
        </is>
      </c>
      <c r="C36" s="6" t="inlineStr">
        <is>
          <t>12.99%</t>
        </is>
      </c>
      <c r="D36" s="6" t="inlineStr">
        <is>
          <t>13.48%</t>
        </is>
      </c>
      <c r="E36" s="6" t="inlineStr">
        <is>
          <t>14.34%</t>
        </is>
      </c>
      <c r="F36" s="6" t="n"/>
      <c r="G36" s="6" t="n"/>
      <c r="H36" s="6" t="n"/>
      <c r="I36" s="6" t="n"/>
      <c r="J36" s="6" t="n"/>
    </row>
    <row r="37">
      <c r="A37" s="6" t="inlineStr">
        <is>
          <t>LCR</t>
        </is>
      </c>
      <c r="B37" s="6" t="inlineStr">
        <is>
          <t>484%</t>
        </is>
      </c>
      <c r="C37" s="6" t="inlineStr">
        <is>
          <t>546%</t>
        </is>
      </c>
      <c r="D37" s="6" t="inlineStr">
        <is>
          <t>730%</t>
        </is>
      </c>
      <c r="E37" s="6" t="inlineStr">
        <is>
          <t>1,033%</t>
        </is>
      </c>
      <c r="F37" s="6" t="n"/>
      <c r="G37" s="6" t="n"/>
      <c r="H37" s="6" t="n"/>
      <c r="I37" s="6" t="n"/>
      <c r="J37" s="6" t="n"/>
    </row>
    <row r="38">
      <c r="A38" s="6" t="inlineStr">
        <is>
          <t>NSFR</t>
        </is>
      </c>
      <c r="B38" s="6" t="inlineStr">
        <is>
          <t>225%</t>
        </is>
      </c>
      <c r="C38" s="6" t="inlineStr">
        <is>
          <t>227%</t>
        </is>
      </c>
      <c r="D38" s="6" t="inlineStr">
        <is>
          <t>207%</t>
        </is>
      </c>
      <c r="E38" s="6" t="n"/>
      <c r="F38" s="6" t="n"/>
      <c r="G38" s="6" t="n"/>
      <c r="H38" s="6" t="n"/>
      <c r="I38" s="6" t="n"/>
      <c r="J38" s="6" t="n"/>
    </row>
    <row r="40" ht="45" customHeight="1">
      <c r="A40" s="7" t="inlineStr">
        <is>
          <t>Note: Figures are duplicated from the detail sheets for at-a-glance trend viewing; see each sheet's own source citation for the underlying document/page. All figures are Zopa Bank Limited's own entity-level basis, not the wider Zopa Group. FY2017 is the pre-banking-licence entity (Zopa Financial Services Limited); FY2018-FY2020 predate full, unrestricted authorisation - see HISTORICAL FLOOR NOTE on the Balance Sheet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Balance Sheet</t>
        </is>
      </c>
    </row>
    <row r="2">
      <c r="A2" s="2" t="inlineStr">
        <is>
          <t>Zopa Bank Limited (entity-level), £'000. Total assets = Total liabilities + Total equity for every year (FY2017 has a &lt;£1k rounding-only gap - see source note). Ties exactly to the Statement of Changes in Equity sheet's own closing Total equity every year. FY2017 is Zopa Financial Services Limited, the same Companies House entity pre-banking-licence - see HISTORICAL FLOOR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 / balances - Central bank(s)</t>
        </is>
      </c>
      <c r="B5" s="6" t="n">
        <v>2225694</v>
      </c>
      <c r="C5" s="6" t="n">
        <v>2761315</v>
      </c>
      <c r="D5" s="6" t="n">
        <v>1336105</v>
      </c>
      <c r="E5" s="6" t="n">
        <v>1397062</v>
      </c>
      <c r="F5" s="6" t="n">
        <v>191148</v>
      </c>
      <c r="G5" s="6" t="n">
        <v>35024</v>
      </c>
      <c r="H5" s="6" t="n"/>
      <c r="I5" s="6" t="n"/>
      <c r="J5" s="6" t="n"/>
    </row>
    <row r="6">
      <c r="A6" s="6" t="inlineStr">
        <is>
          <t>Cash and cash equivalents / balances - Other bank(s)</t>
        </is>
      </c>
      <c r="B6" s="6" t="n">
        <v>82231</v>
      </c>
      <c r="C6" s="6" t="n">
        <v>58428</v>
      </c>
      <c r="D6" s="6" t="n">
        <v>66063</v>
      </c>
      <c r="E6" s="6" t="n">
        <v>21429</v>
      </c>
      <c r="F6" s="6" t="n">
        <v>30366</v>
      </c>
      <c r="G6" s="6" t="n">
        <v>22189</v>
      </c>
      <c r="H6" s="6" t="n">
        <v>2577</v>
      </c>
      <c r="I6" s="6" t="n">
        <v>2402</v>
      </c>
      <c r="J6" s="6" t="n">
        <v>194</v>
      </c>
    </row>
    <row r="7">
      <c r="A7" s="6" t="inlineStr">
        <is>
          <t>Debt securities (cash-like)</t>
        </is>
      </c>
      <c r="B7" s="6" t="n">
        <v>30572</v>
      </c>
      <c r="C7" s="6" t="n">
        <v>0</v>
      </c>
      <c r="D7" s="6" t="n">
        <v>13988</v>
      </c>
      <c r="E7" s="6" t="n">
        <v>13386</v>
      </c>
      <c r="F7" s="6" t="n">
        <v>16244</v>
      </c>
      <c r="G7" s="6" t="n">
        <v>12243</v>
      </c>
      <c r="H7" s="6" t="n">
        <v>243</v>
      </c>
      <c r="I7" s="6" t="n">
        <v>10019</v>
      </c>
      <c r="J7" s="6" t="n"/>
    </row>
    <row r="8">
      <c r="A8" s="6" t="inlineStr">
        <is>
          <t>Amounts due from other Group undertakings</t>
        </is>
      </c>
      <c r="B8" s="6" t="n">
        <v>39724</v>
      </c>
      <c r="C8" s="6" t="n">
        <v>642</v>
      </c>
      <c r="D8" s="6" t="n">
        <v>1431</v>
      </c>
      <c r="E8" s="6" t="n">
        <v>0</v>
      </c>
      <c r="F8" s="6" t="n">
        <v>1808</v>
      </c>
      <c r="G8" s="6" t="n">
        <v>3080</v>
      </c>
      <c r="H8" s="6" t="n">
        <v>646</v>
      </c>
      <c r="I8" s="6" t="n"/>
      <c r="J8" s="6" t="n"/>
    </row>
    <row r="9">
      <c r="A9" s="6" t="inlineStr">
        <is>
          <t>Derivative financial instruments</t>
        </is>
      </c>
      <c r="B9" s="6" t="n">
        <v>141</v>
      </c>
      <c r="C9" s="6" t="n">
        <v>5946</v>
      </c>
      <c r="D9" s="6" t="n">
        <v>7974</v>
      </c>
      <c r="E9" s="6" t="n">
        <v>8346</v>
      </c>
      <c r="F9" s="6" t="n">
        <v>11</v>
      </c>
      <c r="G9" s="6" t="n"/>
      <c r="H9" s="6" t="n"/>
      <c r="I9" s="6" t="n"/>
      <c r="J9" s="6" t="n"/>
    </row>
    <row r="10">
      <c r="A10" s="6" t="inlineStr">
        <is>
          <t>Loans and advances to customers</t>
        </is>
      </c>
      <c r="B10" s="6" t="n">
        <v>3506654</v>
      </c>
      <c r="C10" s="6" t="n">
        <v>2865635</v>
      </c>
      <c r="D10" s="6" t="n">
        <v>2478213</v>
      </c>
      <c r="E10" s="6" t="n">
        <v>1937964</v>
      </c>
      <c r="F10" s="6" t="n">
        <v>1173013</v>
      </c>
      <c r="G10" s="6" t="n">
        <v>225390</v>
      </c>
      <c r="H10" s="6" t="n">
        <v>16372</v>
      </c>
      <c r="I10" s="6" t="n"/>
      <c r="J10" s="6" t="n"/>
    </row>
    <row r="11">
      <c r="A11" s="6" t="inlineStr">
        <is>
          <t>Investment securities (held at FVOCI)</t>
        </is>
      </c>
      <c r="B11" s="6" t="n">
        <v>1253125</v>
      </c>
      <c r="C11" s="6" t="n">
        <v>455157</v>
      </c>
      <c r="D11" s="6" t="n">
        <v>80710</v>
      </c>
      <c r="E11" s="6" t="n">
        <v>0</v>
      </c>
      <c r="F11" s="6" t="n"/>
      <c r="G11" s="6" t="n"/>
      <c r="H11" s="6" t="n"/>
      <c r="I11" s="6" t="n"/>
      <c r="J11" s="6" t="n"/>
    </row>
    <row r="12">
      <c r="A12" s="6" t="inlineStr">
        <is>
          <t>Prepayments and accrued income</t>
        </is>
      </c>
      <c r="B12" s="6" t="n">
        <v>8578</v>
      </c>
      <c r="C12" s="6" t="n">
        <v>6445</v>
      </c>
      <c r="D12" s="6" t="n">
        <v>4891</v>
      </c>
      <c r="E12" s="6" t="n">
        <v>5007</v>
      </c>
      <c r="F12" s="6" t="n">
        <v>2489</v>
      </c>
      <c r="G12" s="6" t="n">
        <v>1480</v>
      </c>
      <c r="H12" s="6" t="n">
        <v>1634</v>
      </c>
      <c r="I12" s="6" t="n"/>
      <c r="J12" s="6" t="n"/>
    </row>
    <row r="13">
      <c r="A13" s="6" t="inlineStr">
        <is>
          <t>Other assets</t>
        </is>
      </c>
      <c r="B13" s="6" t="n">
        <v>22470</v>
      </c>
      <c r="C13" s="6" t="n">
        <v>22259</v>
      </c>
      <c r="D13" s="6" t="n">
        <v>13814</v>
      </c>
      <c r="E13" s="6" t="n">
        <v>28358</v>
      </c>
      <c r="F13" s="6" t="n">
        <v>1960</v>
      </c>
      <c r="G13" s="6" t="n">
        <v>567</v>
      </c>
      <c r="H13" s="6" t="n">
        <v>103</v>
      </c>
      <c r="I13" s="6" t="n">
        <v>976</v>
      </c>
      <c r="J13" s="6" t="n"/>
    </row>
    <row r="14">
      <c r="A14" s="6" t="inlineStr">
        <is>
          <t>Current tax asset</t>
        </is>
      </c>
      <c r="B14" s="6" t="n"/>
      <c r="C14" s="6" t="n"/>
      <c r="D14" s="6" t="n"/>
      <c r="E14" s="6" t="n"/>
      <c r="F14" s="6" t="n"/>
      <c r="G14" s="6" t="n">
        <v>522</v>
      </c>
      <c r="H14" s="6" t="n">
        <v>585</v>
      </c>
      <c r="I14" s="6" t="n"/>
      <c r="J14" s="6" t="n"/>
    </row>
    <row r="15">
      <c r="A15" s="6" t="inlineStr">
        <is>
          <t>Property, plant and equipment</t>
        </is>
      </c>
      <c r="B15" s="6" t="n">
        <v>1676</v>
      </c>
      <c r="C15" s="6" t="n">
        <v>1150</v>
      </c>
      <c r="D15" s="6" t="n">
        <v>1307</v>
      </c>
      <c r="E15" s="6" t="n">
        <v>788</v>
      </c>
      <c r="F15" s="6" t="n">
        <v>1054</v>
      </c>
      <c r="G15" s="6" t="n">
        <v>1376</v>
      </c>
      <c r="H15" s="6" t="n">
        <v>1417</v>
      </c>
      <c r="I15" s="6" t="n">
        <v>1733</v>
      </c>
      <c r="J15" s="6" t="n">
        <v>1372</v>
      </c>
    </row>
    <row r="16">
      <c r="A16" s="6" t="inlineStr">
        <is>
          <t>Right-of-use assets</t>
        </is>
      </c>
      <c r="B16" s="6" t="n">
        <v>17109</v>
      </c>
      <c r="C16" s="6" t="n">
        <v>2137</v>
      </c>
      <c r="D16" s="6" t="n">
        <v>4135</v>
      </c>
      <c r="E16" s="6" t="n">
        <v>1559</v>
      </c>
      <c r="F16" s="6" t="n">
        <v>3526</v>
      </c>
      <c r="G16" s="6" t="n">
        <v>511</v>
      </c>
      <c r="H16" s="6" t="n">
        <v>889</v>
      </c>
      <c r="I16" s="6" t="n"/>
      <c r="J16" s="6" t="n"/>
    </row>
    <row r="17">
      <c r="A17" s="6" t="inlineStr">
        <is>
          <t>Intangible assets</t>
        </is>
      </c>
      <c r="B17" s="6" t="n">
        <v>43949</v>
      </c>
      <c r="C17" s="6" t="n">
        <v>32360</v>
      </c>
      <c r="D17" s="6" t="n">
        <v>16055</v>
      </c>
      <c r="E17" s="6" t="n">
        <v>9435</v>
      </c>
      <c r="F17" s="6" t="n">
        <v>9352</v>
      </c>
      <c r="G17" s="6" t="n">
        <v>12183</v>
      </c>
      <c r="H17" s="6" t="n">
        <v>6384</v>
      </c>
      <c r="I17" s="6" t="n">
        <v>6228</v>
      </c>
      <c r="J17" s="6" t="n">
        <v>914</v>
      </c>
    </row>
    <row r="18">
      <c r="A18" s="6" t="inlineStr">
        <is>
          <t>Deferred tax assets</t>
        </is>
      </c>
      <c r="B18" s="6" t="n">
        <v>11788</v>
      </c>
      <c r="C18" s="6" t="n">
        <v>17573</v>
      </c>
      <c r="D18" s="6" t="n">
        <v>24401</v>
      </c>
      <c r="E18" s="6" t="n">
        <v>0</v>
      </c>
      <c r="F18" s="6" t="n"/>
      <c r="G18" s="6" t="n"/>
      <c r="H18" s="6" t="n"/>
      <c r="I18" s="6" t="n"/>
      <c r="J18" s="6" t="n"/>
    </row>
    <row r="19">
      <c r="A19" s="6" t="inlineStr">
        <is>
          <t>Loans and receivables (non-current; pre-banking-licence entity - a rental deposit, not customer lending)</t>
        </is>
      </c>
      <c r="B19" s="6" t="n"/>
      <c r="C19" s="6" t="n"/>
      <c r="D19" s="6" t="n"/>
      <c r="E19" s="6" t="n"/>
      <c r="F19" s="6" t="n"/>
      <c r="G19" s="6" t="n"/>
      <c r="H19" s="6" t="n"/>
      <c r="I19" s="6" t="n">
        <v>7244</v>
      </c>
      <c r="J19" s="6" t="n">
        <v>234</v>
      </c>
    </row>
    <row r="20">
      <c r="A20" s="5" t="inlineStr">
        <is>
          <t>Total assets</t>
        </is>
      </c>
      <c r="B20" s="5" t="n">
        <v>7243711</v>
      </c>
      <c r="C20" s="5" t="n">
        <v>6229047</v>
      </c>
      <c r="D20" s="5" t="n">
        <v>4049087</v>
      </c>
      <c r="E20" s="5" t="n">
        <v>3423334</v>
      </c>
      <c r="F20" s="5" t="n">
        <v>1430971</v>
      </c>
      <c r="G20" s="5" t="n">
        <v>314565</v>
      </c>
      <c r="H20" s="5" t="n">
        <v>30850</v>
      </c>
      <c r="I20" s="5" t="n">
        <v>28602</v>
      </c>
      <c r="J20" s="5" t="n">
        <v>2778</v>
      </c>
    </row>
    <row r="21">
      <c r="A21" s="5" t="inlineStr">
        <is>
          <t>Liabilities</t>
        </is>
      </c>
      <c r="B21" s="6" t="n"/>
      <c r="C21" s="6" t="n"/>
      <c r="D21" s="6" t="n"/>
      <c r="E21" s="6" t="n"/>
      <c r="F21" s="6" t="n"/>
      <c r="G21" s="6" t="n"/>
      <c r="H21" s="6" t="n"/>
      <c r="I21" s="6" t="n"/>
      <c r="J21" s="6" t="n"/>
    </row>
    <row r="22">
      <c r="A22" s="6" t="inlineStr">
        <is>
          <t>Derivative financial instruments</t>
        </is>
      </c>
      <c r="B22" s="6" t="n">
        <v>6020</v>
      </c>
      <c r="C22" s="6" t="n">
        <v>1087</v>
      </c>
      <c r="D22" s="6" t="n">
        <v>3388</v>
      </c>
      <c r="E22" s="6" t="n">
        <v>757</v>
      </c>
      <c r="F22" s="6" t="n">
        <v>0</v>
      </c>
      <c r="G22" s="6" t="n">
        <v>97</v>
      </c>
      <c r="H22" s="6" t="n"/>
      <c r="I22" s="6" t="n"/>
      <c r="J22" s="6" t="n"/>
    </row>
    <row r="23">
      <c r="A23" s="6" t="inlineStr">
        <is>
          <t>Amounts due to banks</t>
        </is>
      </c>
      <c r="B23" s="6" t="n">
        <v>50783</v>
      </c>
      <c r="C23" s="6" t="n">
        <v>157227</v>
      </c>
      <c r="D23" s="6" t="n">
        <v>159239</v>
      </c>
      <c r="E23" s="6" t="n">
        <v>180074</v>
      </c>
      <c r="F23" s="6" t="n">
        <v>175193</v>
      </c>
      <c r="G23" s="6" t="n">
        <v>11</v>
      </c>
      <c r="H23" s="6" t="n"/>
      <c r="I23" s="6" t="n"/>
      <c r="J23" s="6" t="n"/>
    </row>
    <row r="24">
      <c r="A24" s="6" t="inlineStr">
        <is>
          <t>Deposits by customers</t>
        </is>
      </c>
      <c r="B24" s="6" t="n">
        <v>6393598</v>
      </c>
      <c r="C24" s="6" t="n">
        <v>5455740</v>
      </c>
      <c r="D24" s="6" t="n">
        <v>3357724</v>
      </c>
      <c r="E24" s="6" t="n">
        <v>2922845</v>
      </c>
      <c r="F24" s="6" t="n">
        <v>968000</v>
      </c>
      <c r="G24" s="6" t="n">
        <v>177823</v>
      </c>
      <c r="H24" s="6" t="n"/>
      <c r="I24" s="6" t="n"/>
      <c r="J24" s="6" t="n"/>
    </row>
    <row r="25">
      <c r="A25" s="6" t="inlineStr">
        <is>
          <t>Amounts due to other Group undertakings</t>
        </is>
      </c>
      <c r="B25" s="6" t="n">
        <v>34361</v>
      </c>
      <c r="C25" s="6" t="n">
        <v>4</v>
      </c>
      <c r="D25" s="6" t="n">
        <v>615</v>
      </c>
      <c r="E25" s="6" t="n">
        <v>106</v>
      </c>
      <c r="F25" s="6" t="n">
        <v>17000</v>
      </c>
      <c r="G25" s="6" t="n">
        <v>3128</v>
      </c>
      <c r="H25" s="6" t="n">
        <v>7867</v>
      </c>
      <c r="I25" s="6" t="n"/>
      <c r="J25" s="6" t="n"/>
    </row>
    <row r="26">
      <c r="A26" s="6" t="inlineStr">
        <is>
          <t>Subordinated liabilities</t>
        </is>
      </c>
      <c r="B26" s="6" t="n">
        <v>76086</v>
      </c>
      <c r="C26" s="6" t="n">
        <v>76086</v>
      </c>
      <c r="D26" s="6" t="n">
        <v>78817</v>
      </c>
      <c r="E26" s="6" t="n">
        <v>0</v>
      </c>
      <c r="F26" s="6" t="n"/>
      <c r="G26" s="6" t="n"/>
      <c r="H26" s="6" t="n"/>
      <c r="I26" s="6" t="n"/>
      <c r="J26" s="6" t="n"/>
    </row>
    <row r="27">
      <c r="A27" s="6" t="inlineStr">
        <is>
          <t>Accruals</t>
        </is>
      </c>
      <c r="B27" s="6" t="n">
        <v>17498</v>
      </c>
      <c r="C27" s="6" t="n">
        <v>16747</v>
      </c>
      <c r="D27" s="6" t="n">
        <v>12483</v>
      </c>
      <c r="E27" s="6" t="n">
        <v>10449</v>
      </c>
      <c r="F27" s="6" t="n">
        <v>8887</v>
      </c>
      <c r="G27" s="6" t="n">
        <v>3446</v>
      </c>
      <c r="H27" s="6" t="n">
        <v>1512</v>
      </c>
      <c r="I27" s="6" t="n"/>
      <c r="J27" s="6" t="n"/>
    </row>
    <row r="28">
      <c r="A28" s="6" t="inlineStr">
        <is>
          <t>Provisions</t>
        </is>
      </c>
      <c r="B28" s="6" t="n">
        <v>10521</v>
      </c>
      <c r="C28" s="6" t="n">
        <v>3110</v>
      </c>
      <c r="D28" s="6" t="n">
        <v>2131</v>
      </c>
      <c r="E28" s="6" t="n">
        <v>1370</v>
      </c>
      <c r="F28" s="6" t="n">
        <v>1372</v>
      </c>
      <c r="G28" s="6" t="n">
        <v>224</v>
      </c>
      <c r="H28" s="6" t="n">
        <v>103</v>
      </c>
      <c r="I28" s="6" t="n"/>
      <c r="J28" s="6" t="n"/>
    </row>
    <row r="29">
      <c r="A29" s="6" t="inlineStr">
        <is>
          <t>Other liabilities</t>
        </is>
      </c>
      <c r="B29" s="6" t="n">
        <v>15313</v>
      </c>
      <c r="C29" s="6" t="n">
        <v>20016</v>
      </c>
      <c r="D29" s="6" t="n">
        <v>27237</v>
      </c>
      <c r="E29" s="6" t="n">
        <v>7087</v>
      </c>
      <c r="F29" s="6" t="n">
        <v>5113</v>
      </c>
      <c r="G29" s="6" t="n">
        <v>1747</v>
      </c>
      <c r="H29" s="6" t="n">
        <v>928</v>
      </c>
      <c r="I29" s="6" t="n"/>
      <c r="J29" s="6" t="n"/>
    </row>
    <row r="30">
      <c r="A30" s="6" t="inlineStr">
        <is>
          <t>Lease liabilities</t>
        </is>
      </c>
      <c r="B30" s="6" t="n">
        <v>16314</v>
      </c>
      <c r="C30" s="6" t="n">
        <v>1739</v>
      </c>
      <c r="D30" s="6" t="n">
        <v>3038</v>
      </c>
      <c r="E30" s="6" t="n">
        <v>1039</v>
      </c>
      <c r="F30" s="6" t="n">
        <v>3151</v>
      </c>
      <c r="G30" s="6" t="n">
        <v>467</v>
      </c>
      <c r="H30" s="6" t="n">
        <v>802</v>
      </c>
      <c r="I30" s="6" t="n"/>
      <c r="J30" s="6" t="n"/>
    </row>
    <row r="31">
      <c r="A31" s="6" t="inlineStr">
        <is>
          <t>Trade and other payables (aggregate; pre-banking-licence/restricted-licence entity, not yet split by category)</t>
        </is>
      </c>
      <c r="B31" s="6" t="n"/>
      <c r="C31" s="6" t="n"/>
      <c r="D31" s="6" t="n"/>
      <c r="E31" s="6" t="n"/>
      <c r="F31" s="6" t="n"/>
      <c r="G31" s="6" t="n"/>
      <c r="H31" s="6" t="n"/>
      <c r="I31" s="6" t="n">
        <v>6788</v>
      </c>
      <c r="J31" s="6" t="n">
        <v>6583</v>
      </c>
    </row>
    <row r="32">
      <c r="A32" s="5" t="inlineStr">
        <is>
          <t>Total liabilities</t>
        </is>
      </c>
      <c r="B32" s="5" t="n">
        <v>6620494</v>
      </c>
      <c r="C32" s="5" t="n">
        <v>5731756</v>
      </c>
      <c r="D32" s="5" t="n">
        <v>3644672</v>
      </c>
      <c r="E32" s="5" t="n">
        <v>3123727</v>
      </c>
      <c r="F32" s="5" t="n">
        <v>1178716</v>
      </c>
      <c r="G32" s="5" t="n">
        <v>186943</v>
      </c>
      <c r="H32" s="5" t="n">
        <v>11212</v>
      </c>
      <c r="I32" s="5" t="n">
        <v>6788</v>
      </c>
      <c r="J32" s="5" t="n">
        <v>6583</v>
      </c>
    </row>
    <row r="33">
      <c r="A33" s="5" t="inlineStr">
        <is>
          <t>Equity</t>
        </is>
      </c>
      <c r="B33" s="6" t="n"/>
      <c r="C33" s="6" t="n"/>
      <c r="D33" s="6" t="n"/>
      <c r="E33" s="6" t="n"/>
      <c r="F33" s="6" t="n"/>
      <c r="G33" s="6" t="n"/>
      <c r="H33" s="6" t="n"/>
      <c r="I33" s="6" t="n"/>
      <c r="J33" s="6" t="n"/>
    </row>
    <row r="34">
      <c r="A34" s="6" t="inlineStr">
        <is>
          <t>Called-up share capital</t>
        </is>
      </c>
      <c r="B34" s="6" t="n">
        <v>68542</v>
      </c>
      <c r="C34" s="6" t="n">
        <v>554819</v>
      </c>
      <c r="D34" s="6" t="n">
        <v>486319</v>
      </c>
      <c r="E34" s="6" t="n">
        <v>421319</v>
      </c>
      <c r="F34" s="6" t="n">
        <v>349319</v>
      </c>
      <c r="G34" s="6" t="n">
        <v>192319</v>
      </c>
      <c r="H34" s="6" t="n">
        <v>54160</v>
      </c>
      <c r="I34" s="6" t="n">
        <v>39160</v>
      </c>
      <c r="J34" s="6" t="n">
        <v>0</v>
      </c>
    </row>
    <row r="35">
      <c r="A35" s="6" t="inlineStr">
        <is>
          <t>Share premium</t>
        </is>
      </c>
      <c r="B35" s="6" t="n">
        <v>6146</v>
      </c>
      <c r="C35" s="6" t="n">
        <v>0</v>
      </c>
      <c r="D35" s="6" t="n"/>
      <c r="E35" s="6" t="n"/>
      <c r="F35" s="6" t="n"/>
      <c r="G35" s="6" t="n"/>
      <c r="H35" s="6" t="n"/>
      <c r="I35" s="6" t="n"/>
      <c r="J35" s="6" t="n"/>
    </row>
    <row r="36">
      <c r="A36" s="6" t="inlineStr">
        <is>
          <t>Other equity instruments</t>
        </is>
      </c>
      <c r="B36" s="6" t="n">
        <v>78298</v>
      </c>
      <c r="C36" s="6" t="n">
        <v>0</v>
      </c>
      <c r="D36" s="6" t="n"/>
      <c r="E36" s="6" t="n"/>
      <c r="F36" s="6" t="n"/>
      <c r="G36" s="6" t="n"/>
      <c r="H36" s="6" t="n"/>
      <c r="I36" s="6" t="n"/>
      <c r="J36" s="6" t="n"/>
    </row>
    <row r="37">
      <c r="A37" s="6" t="inlineStr">
        <is>
          <t>Other reserves</t>
        </is>
      </c>
      <c r="B37" s="6" t="n">
        <v>21826</v>
      </c>
      <c r="C37" s="6" t="n">
        <v>9428</v>
      </c>
      <c r="D37" s="6" t="n">
        <v>6829</v>
      </c>
      <c r="E37" s="6" t="n">
        <v>5902</v>
      </c>
      <c r="F37" s="6" t="n">
        <v>6180</v>
      </c>
      <c r="G37" s="6" t="n">
        <v>4324</v>
      </c>
      <c r="H37" s="6" t="n">
        <v>1786</v>
      </c>
      <c r="I37" s="6" t="n">
        <v>1088</v>
      </c>
      <c r="J37" s="6" t="n">
        <v>195</v>
      </c>
    </row>
    <row r="38">
      <c r="A38" s="6" t="inlineStr">
        <is>
          <t>Retained earnings/(accumulated losses)</t>
        </is>
      </c>
      <c r="B38" s="6" t="n">
        <v>448405</v>
      </c>
      <c r="C38" s="6" t="n">
        <v>-66956</v>
      </c>
      <c r="D38" s="6" t="n">
        <v>-88733</v>
      </c>
      <c r="E38" s="6" t="n">
        <v>-127614</v>
      </c>
      <c r="F38" s="6" t="n">
        <v>-103244</v>
      </c>
      <c r="G38" s="6" t="n">
        <v>-69021</v>
      </c>
      <c r="H38" s="6" t="n">
        <v>-36308</v>
      </c>
      <c r="I38" s="6" t="n">
        <v>-18434</v>
      </c>
      <c r="J38" s="6" t="n">
        <v>-4001</v>
      </c>
    </row>
    <row r="39">
      <c r="A39" s="5" t="inlineStr">
        <is>
          <t>Total equity</t>
        </is>
      </c>
      <c r="B39" s="5" t="n">
        <v>623217</v>
      </c>
      <c r="C39" s="5" t="n">
        <v>497291</v>
      </c>
      <c r="D39" s="5" t="n">
        <v>404415</v>
      </c>
      <c r="E39" s="5" t="n">
        <v>299607</v>
      </c>
      <c r="F39" s="5" t="n">
        <v>252255</v>
      </c>
      <c r="G39" s="5" t="n">
        <v>127622</v>
      </c>
      <c r="H39" s="5" t="n">
        <v>19638</v>
      </c>
      <c r="I39" s="5" t="n">
        <v>21814</v>
      </c>
      <c r="J39" s="5" t="n">
        <v>-3806</v>
      </c>
    </row>
    <row r="40">
      <c r="A40" s="5" t="inlineStr">
        <is>
          <t>Total equity and liabilities</t>
        </is>
      </c>
      <c r="B40" s="5" t="n">
        <v>7243711</v>
      </c>
      <c r="C40" s="5" t="n">
        <v>6229047</v>
      </c>
      <c r="D40" s="5" t="n">
        <v>4049087</v>
      </c>
      <c r="E40" s="5" t="n">
        <v>3423334</v>
      </c>
      <c r="F40" s="5" t="n">
        <v>1430971</v>
      </c>
      <c r="G40" s="5" t="n">
        <v>314565</v>
      </c>
      <c r="H40" s="5" t="n">
        <v>30850</v>
      </c>
      <c r="I40" s="5" t="n">
        <v>28602</v>
      </c>
      <c r="J40" s="5" t="n">
        <v>2778</v>
      </c>
    </row>
    <row r="42" ht="420" customHeight="1">
      <c r="A42"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42:J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Profit &amp; Loss</t>
        </is>
      </c>
    </row>
    <row r="2">
      <c r="A2" s="2" t="inlineStr">
        <is>
          <t>Zopa Bank Limited (entity-level), £'000. All profits/losses are from continuing operations. FY2017-FY2022 disclose no other comprehensive income items at all (confirmed via each source statement's own text, not a gap) - Total comprehensive income equals Profit/(loss) after tax exactly in those years. Every year's Profit/(loss) before tax ties exactly to the Cash Flow Statement sheet's own opening reconciliation line. FY2017/FY2018 use their own period's distinct line items (Revenue/Cost of sales/Gross profit) - see PRESENTATION NOTE on the Balance Sheet sheet.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Revenue (pre-banking-licence entity; intercompany services + minor interest, not split by type)</t>
        </is>
      </c>
      <c r="B5" s="6" t="n"/>
      <c r="C5" s="6" t="n"/>
      <c r="D5" s="6" t="n"/>
      <c r="E5" s="6" t="n"/>
      <c r="F5" s="6" t="n"/>
      <c r="G5" s="6" t="n"/>
      <c r="H5" s="6" t="n"/>
      <c r="I5" s="6" t="n">
        <v>4584</v>
      </c>
      <c r="J5" s="6" t="n">
        <v>69</v>
      </c>
    </row>
    <row r="6">
      <c r="A6" s="6" t="inlineStr">
        <is>
          <t>Cost of sales (pre-banking-licence entity)</t>
        </is>
      </c>
      <c r="B6" s="6" t="n"/>
      <c r="C6" s="6" t="n"/>
      <c r="D6" s="6" t="n"/>
      <c r="E6" s="6" t="n"/>
      <c r="F6" s="6" t="n"/>
      <c r="G6" s="6" t="n"/>
      <c r="H6" s="6" t="n"/>
      <c r="I6" s="6" t="n">
        <v>-98</v>
      </c>
      <c r="J6" s="6" t="n">
        <v>-81</v>
      </c>
    </row>
    <row r="7">
      <c r="A7" s="5" t="inlineStr">
        <is>
          <t>Gross profit/(loss) (pre-banking-licence entity)</t>
        </is>
      </c>
      <c r="B7" s="5" t="n"/>
      <c r="C7" s="5" t="n"/>
      <c r="D7" s="5" t="n"/>
      <c r="E7" s="5" t="n"/>
      <c r="F7" s="5" t="n"/>
      <c r="G7" s="5" t="n"/>
      <c r="H7" s="5" t="n"/>
      <c r="I7" s="5" t="n">
        <v>4486</v>
      </c>
      <c r="J7" s="5" t="n">
        <v>-12</v>
      </c>
    </row>
    <row r="8">
      <c r="A8" s="6" t="inlineStr">
        <is>
          <t>Interest income</t>
        </is>
      </c>
      <c r="B8" s="6" t="n">
        <v>598989</v>
      </c>
      <c r="C8" s="6" t="n">
        <v>503794</v>
      </c>
      <c r="D8" s="6" t="n">
        <v>349917</v>
      </c>
      <c r="E8" s="6" t="n">
        <v>200049</v>
      </c>
      <c r="F8" s="6" t="n">
        <v>61146</v>
      </c>
      <c r="G8" s="6" t="n">
        <v>7228</v>
      </c>
      <c r="H8" s="6" t="n">
        <v>640</v>
      </c>
      <c r="I8" s="6" t="n"/>
      <c r="J8" s="6" t="n"/>
    </row>
    <row r="9">
      <c r="A9" s="6" t="inlineStr">
        <is>
          <t>Interest expense</t>
        </is>
      </c>
      <c r="B9" s="6" t="n">
        <v>-239341</v>
      </c>
      <c r="C9" s="6" t="n">
        <v>-224454</v>
      </c>
      <c r="D9" s="6" t="n">
        <v>-136957</v>
      </c>
      <c r="E9" s="6" t="n">
        <v>-33937</v>
      </c>
      <c r="F9" s="6" t="n">
        <v>-5466</v>
      </c>
      <c r="G9" s="6" t="n">
        <v>-610</v>
      </c>
      <c r="H9" s="6" t="n">
        <v>-173</v>
      </c>
      <c r="I9" s="6" t="n"/>
      <c r="J9" s="6" t="n"/>
    </row>
    <row r="10">
      <c r="A10" s="5" t="inlineStr">
        <is>
          <t>Net interest income</t>
        </is>
      </c>
      <c r="B10" s="5" t="n">
        <v>359648</v>
      </c>
      <c r="C10" s="5" t="n">
        <v>279340</v>
      </c>
      <c r="D10" s="5" t="n">
        <v>212960</v>
      </c>
      <c r="E10" s="5" t="n">
        <v>166112</v>
      </c>
      <c r="F10" s="5" t="n">
        <v>55680</v>
      </c>
      <c r="G10" s="5" t="n">
        <v>6618</v>
      </c>
      <c r="H10" s="5" t="n">
        <v>467</v>
      </c>
      <c r="I10" s="5" t="n"/>
      <c r="J10" s="5" t="n"/>
    </row>
    <row r="11">
      <c r="A11" s="6" t="inlineStr">
        <is>
          <t>Fee and commission income</t>
        </is>
      </c>
      <c r="B11" s="6" t="n">
        <v>15232</v>
      </c>
      <c r="C11" s="6" t="n">
        <v>14347</v>
      </c>
      <c r="D11" s="6" t="n">
        <v>13020</v>
      </c>
      <c r="E11" s="6" t="n">
        <v>8133</v>
      </c>
      <c r="F11" s="6" t="n">
        <v>2432</v>
      </c>
      <c r="G11" s="6" t="n">
        <v>152</v>
      </c>
      <c r="H11" s="6" t="n"/>
      <c r="I11" s="6" t="n"/>
      <c r="J11" s="6" t="n"/>
    </row>
    <row r="12">
      <c r="A12" s="6" t="inlineStr">
        <is>
          <t>Fee and commission expense</t>
        </is>
      </c>
      <c r="B12" s="6" t="n">
        <v>-16633</v>
      </c>
      <c r="C12" s="6" t="n">
        <v>-14033</v>
      </c>
      <c r="D12" s="6" t="n">
        <v>-10684</v>
      </c>
      <c r="E12" s="6" t="n">
        <v>-9040</v>
      </c>
      <c r="F12" s="6" t="n">
        <v>-3275</v>
      </c>
      <c r="G12" s="6" t="n">
        <v>-2072</v>
      </c>
      <c r="H12" s="6" t="n">
        <v>-450</v>
      </c>
      <c r="I12" s="6" t="n"/>
      <c r="J12" s="6" t="n"/>
    </row>
    <row r="13">
      <c r="A13" s="5" t="inlineStr">
        <is>
          <t>Net fee and commission income/(expense)</t>
        </is>
      </c>
      <c r="B13" s="5" t="n">
        <v>-1401</v>
      </c>
      <c r="C13" s="5" t="n">
        <v>314</v>
      </c>
      <c r="D13" s="5" t="n">
        <v>2336</v>
      </c>
      <c r="E13" s="5" t="n">
        <v>-907</v>
      </c>
      <c r="F13" s="5" t="n">
        <v>-843</v>
      </c>
      <c r="G13" s="5" t="n">
        <v>-1920</v>
      </c>
      <c r="H13" s="5" t="n">
        <v>-450</v>
      </c>
      <c r="I13" s="5" t="n"/>
      <c r="J13" s="5" t="n"/>
    </row>
    <row r="14">
      <c r="A14" s="6" t="inlineStr">
        <is>
          <t>Other operating income</t>
        </is>
      </c>
      <c r="B14" s="6" t="n">
        <v>266</v>
      </c>
      <c r="C14" s="6" t="n">
        <v>2478</v>
      </c>
      <c r="D14" s="6" t="n">
        <v>1261</v>
      </c>
      <c r="E14" s="6" t="n">
        <v>279</v>
      </c>
      <c r="F14" s="6" t="n">
        <v>12807</v>
      </c>
      <c r="G14" s="6" t="n">
        <v>16114</v>
      </c>
      <c r="H14" s="6" t="n">
        <v>12491</v>
      </c>
      <c r="I14" s="6" t="n"/>
      <c r="J14" s="6" t="n"/>
    </row>
    <row r="15">
      <c r="A15" s="6" t="inlineStr">
        <is>
          <t>Net gains/(losses) on derecognition of financial assets at amortised cost</t>
        </is>
      </c>
      <c r="B15" s="6" t="n">
        <v>212</v>
      </c>
      <c r="C15" s="6" t="n">
        <v>10095</v>
      </c>
      <c r="D15" s="6" t="n">
        <v>2984</v>
      </c>
      <c r="E15" s="6" t="n">
        <v>-21049</v>
      </c>
      <c r="F15" s="6" t="n">
        <v>-2234</v>
      </c>
      <c r="G15" s="6" t="n"/>
      <c r="H15" s="6" t="n"/>
      <c r="I15" s="6" t="n"/>
      <c r="J15" s="6" t="n"/>
    </row>
    <row r="16">
      <c r="A16" s="6" t="inlineStr">
        <is>
          <t>Net losses on disposal of property, plant and equipment</t>
        </is>
      </c>
      <c r="B16" s="6" t="n"/>
      <c r="C16" s="6" t="n"/>
      <c r="D16" s="6" t="n"/>
      <c r="E16" s="6" t="n"/>
      <c r="F16" s="6" t="n">
        <v>0</v>
      </c>
      <c r="G16" s="6" t="n"/>
      <c r="H16" s="6" t="n"/>
      <c r="I16" s="6" t="n"/>
      <c r="J16" s="6" t="n"/>
    </row>
    <row r="17">
      <c r="A17" s="6" t="inlineStr">
        <is>
          <t>Changes in fair value of financial instruments measured at FVTPL</t>
        </is>
      </c>
      <c r="B17" s="6" t="n">
        <v>827</v>
      </c>
      <c r="C17" s="6" t="n">
        <v>5561</v>
      </c>
      <c r="D17" s="6" t="n">
        <v>2889</v>
      </c>
      <c r="E17" s="6" t="n">
        <v>6089</v>
      </c>
      <c r="F17" s="6" t="n">
        <v>-182</v>
      </c>
      <c r="G17" s="6" t="n">
        <v>71</v>
      </c>
      <c r="H17" s="6" t="n"/>
      <c r="I17" s="6" t="n"/>
      <c r="J17" s="6" t="n"/>
    </row>
    <row r="18">
      <c r="A18" s="6" t="inlineStr">
        <is>
          <t>Other interest receivable and similar income (pre-banking-licence/restricted-licence entity)</t>
        </is>
      </c>
      <c r="B18" s="6" t="n"/>
      <c r="C18" s="6" t="n"/>
      <c r="D18" s="6" t="n"/>
      <c r="E18" s="6" t="n"/>
      <c r="F18" s="6" t="n"/>
      <c r="G18" s="6" t="n"/>
      <c r="H18" s="6" t="n"/>
      <c r="I18" s="6" t="n">
        <v>26</v>
      </c>
      <c r="J18" s="6" t="n"/>
    </row>
    <row r="19">
      <c r="A19" s="5" t="inlineStr">
        <is>
          <t>Total operating income</t>
        </is>
      </c>
      <c r="B19" s="5" t="n">
        <v>359552</v>
      </c>
      <c r="C19" s="5" t="n">
        <v>297788</v>
      </c>
      <c r="D19" s="5" t="n">
        <v>222430</v>
      </c>
      <c r="E19" s="5" t="n">
        <v>150524</v>
      </c>
      <c r="F19" s="5" t="n">
        <v>65228</v>
      </c>
      <c r="G19" s="5" t="n">
        <v>20883</v>
      </c>
      <c r="H19" s="5" t="n">
        <v>12508</v>
      </c>
      <c r="I19" s="5" t="n"/>
      <c r="J19" s="5" t="n"/>
    </row>
    <row r="20">
      <c r="A20" s="5" t="inlineStr">
        <is>
          <t>Operating expenses and impairment</t>
        </is>
      </c>
      <c r="B20" s="6" t="n"/>
      <c r="C20" s="6" t="n"/>
      <c r="D20" s="6" t="n"/>
      <c r="E20" s="6" t="n"/>
      <c r="F20" s="6" t="n"/>
      <c r="G20" s="6" t="n"/>
      <c r="H20" s="6" t="n"/>
      <c r="I20" s="6" t="n"/>
      <c r="J20" s="6" t="n"/>
    </row>
    <row r="21">
      <c r="A21" s="6" t="inlineStr">
        <is>
          <t>Operating expenses</t>
        </is>
      </c>
      <c r="B21" s="6" t="n">
        <v>-136999</v>
      </c>
      <c r="C21" s="6" t="n">
        <v>-107992</v>
      </c>
      <c r="D21" s="6" t="n">
        <v>-83266</v>
      </c>
      <c r="E21" s="6" t="n">
        <v>-75578</v>
      </c>
      <c r="F21" s="6" t="n">
        <v>-57640</v>
      </c>
      <c r="G21" s="6" t="n">
        <v>-38567</v>
      </c>
      <c r="H21" s="6" t="n">
        <v>-30798</v>
      </c>
      <c r="I21" s="6" t="n">
        <v>-18895</v>
      </c>
      <c r="J21" s="6" t="n">
        <v>-3990</v>
      </c>
    </row>
    <row r="22">
      <c r="A22" s="5" t="inlineStr">
        <is>
          <t>Net operating income/(loss)</t>
        </is>
      </c>
      <c r="B22" s="5" t="n">
        <v>222553</v>
      </c>
      <c r="C22" s="5" t="n">
        <v>189796</v>
      </c>
      <c r="D22" s="5" t="n">
        <v>139164</v>
      </c>
      <c r="E22" s="5" t="n">
        <v>74946</v>
      </c>
      <c r="F22" s="5" t="n">
        <v>7588</v>
      </c>
      <c r="G22" s="5" t="n">
        <v>-17684</v>
      </c>
      <c r="H22" s="5" t="n">
        <v>-18290</v>
      </c>
      <c r="I22" s="5" t="n">
        <v>-14409</v>
      </c>
      <c r="J22" s="5" t="n">
        <v>-4001</v>
      </c>
    </row>
    <row r="23">
      <c r="A23" s="6" t="inlineStr">
        <is>
          <t>Change in expected credit losses and other credit impairment charges</t>
        </is>
      </c>
      <c r="B23" s="6" t="n">
        <v>-167501</v>
      </c>
      <c r="C23" s="6" t="n">
        <v>-156229</v>
      </c>
      <c r="D23" s="6" t="n">
        <v>-122817</v>
      </c>
      <c r="E23" s="6" t="n">
        <v>-100609</v>
      </c>
      <c r="F23" s="6" t="n">
        <v>-41812</v>
      </c>
      <c r="G23" s="6" t="n">
        <v>-12788</v>
      </c>
      <c r="H23" s="6" t="n">
        <v>-162</v>
      </c>
      <c r="I23" s="6" t="n">
        <v>-49</v>
      </c>
      <c r="J23" s="6" t="n"/>
    </row>
    <row r="24">
      <c r="A24" s="6" t="inlineStr">
        <is>
          <t>Change in provisions for other liabilities and charges</t>
        </is>
      </c>
      <c r="B24" s="6" t="n">
        <v>-10200</v>
      </c>
      <c r="C24" s="6" t="n">
        <v>-2017</v>
      </c>
      <c r="D24" s="6" t="n">
        <v>-530</v>
      </c>
      <c r="E24" s="6" t="n">
        <v>-325</v>
      </c>
      <c r="F24" s="6" t="n">
        <v>0</v>
      </c>
      <c r="G24" s="6" t="n"/>
      <c r="H24" s="6" t="n"/>
      <c r="I24" s="6" t="n"/>
      <c r="J24" s="6" t="n"/>
    </row>
    <row r="25">
      <c r="A25" s="6" t="inlineStr">
        <is>
          <t>Loss on disposal of assets</t>
        </is>
      </c>
      <c r="B25" s="6" t="n"/>
      <c r="C25" s="6" t="n"/>
      <c r="D25" s="6" t="n"/>
      <c r="E25" s="6" t="n"/>
      <c r="F25" s="6" t="n"/>
      <c r="G25" s="6" t="n">
        <v>-82</v>
      </c>
      <c r="H25" s="6" t="n"/>
      <c r="I25" s="6" t="n"/>
      <c r="J25" s="6" t="n"/>
    </row>
    <row r="26">
      <c r="A26" s="5" t="inlineStr">
        <is>
          <t>Profit/(loss) before tax</t>
        </is>
      </c>
      <c r="B26" s="5" t="n">
        <v>44852</v>
      </c>
      <c r="C26" s="5" t="n">
        <v>31550</v>
      </c>
      <c r="D26" s="5" t="n">
        <v>15817</v>
      </c>
      <c r="E26" s="5" t="n">
        <v>-25988</v>
      </c>
      <c r="F26" s="5" t="n">
        <v>-34224</v>
      </c>
      <c r="G26" s="5" t="n">
        <v>-30554</v>
      </c>
      <c r="H26" s="5" t="n">
        <v>-18452</v>
      </c>
      <c r="I26" s="5" t="n">
        <v>-14432</v>
      </c>
      <c r="J26" s="5" t="n">
        <v>-4001</v>
      </c>
    </row>
    <row r="27">
      <c r="A27" s="6" t="inlineStr">
        <is>
          <t>Taxation</t>
        </is>
      </c>
      <c r="B27" s="6" t="n">
        <v>-11472</v>
      </c>
      <c r="C27" s="6" t="n">
        <v>-9773</v>
      </c>
      <c r="D27" s="6" t="n">
        <v>23064</v>
      </c>
      <c r="E27" s="6" t="n">
        <v>0</v>
      </c>
      <c r="F27" s="6" t="n">
        <v>1</v>
      </c>
      <c r="G27" s="6" t="n">
        <v>9</v>
      </c>
      <c r="H27" s="6" t="n">
        <v>585</v>
      </c>
      <c r="I27" s="6" t="n">
        <v>0</v>
      </c>
      <c r="J27" s="6" t="n">
        <v>0</v>
      </c>
    </row>
    <row r="28">
      <c r="A28" s="5" t="inlineStr">
        <is>
          <t>Profit/(loss) after tax</t>
        </is>
      </c>
      <c r="B28" s="5" t="n">
        <v>33380</v>
      </c>
      <c r="C28" s="5" t="n">
        <v>21777</v>
      </c>
      <c r="D28" s="5" t="n">
        <v>38881</v>
      </c>
      <c r="E28" s="5" t="n">
        <v>-25988</v>
      </c>
      <c r="F28" s="5" t="n">
        <v>-34223</v>
      </c>
      <c r="G28" s="5" t="n">
        <v>-30545</v>
      </c>
      <c r="H28" s="5" t="n">
        <v>-17867</v>
      </c>
      <c r="I28" s="5" t="n">
        <v>-14432</v>
      </c>
      <c r="J28" s="5" t="n">
        <v>-4001</v>
      </c>
    </row>
    <row r="29">
      <c r="A29" s="5" t="inlineStr">
        <is>
          <t>Other comprehensive income/(loss)</t>
        </is>
      </c>
      <c r="B29" s="6" t="n"/>
      <c r="C29" s="6" t="n"/>
      <c r="D29" s="6" t="n"/>
      <c r="E29" s="6" t="n"/>
      <c r="F29" s="6" t="n"/>
      <c r="G29" s="6" t="n"/>
      <c r="H29" s="6" t="n"/>
      <c r="I29" s="6" t="n"/>
      <c r="J29" s="6" t="n"/>
    </row>
    <row r="30">
      <c r="A30" s="6" t="inlineStr">
        <is>
          <t>Changes in fair value of investment securities held at FVOCI</t>
        </is>
      </c>
      <c r="B30" s="6" t="n">
        <v>187</v>
      </c>
      <c r="C30" s="6" t="n">
        <v>-46</v>
      </c>
      <c r="D30" s="6" t="n">
        <v>-49</v>
      </c>
      <c r="E30" s="6" t="n"/>
      <c r="F30" s="6" t="n"/>
      <c r="G30" s="6" t="n"/>
      <c r="H30" s="6" t="n"/>
      <c r="I30" s="6" t="n"/>
      <c r="J30" s="6" t="n"/>
    </row>
    <row r="31">
      <c r="A31" s="5" t="inlineStr">
        <is>
          <t>Total other comprehensive income/(loss)</t>
        </is>
      </c>
      <c r="B31" s="5" t="n">
        <v>187</v>
      </c>
      <c r="C31" s="5" t="n">
        <v>-46</v>
      </c>
      <c r="D31" s="5" t="n">
        <v>-49</v>
      </c>
      <c r="E31" s="5" t="n"/>
      <c r="F31" s="5" t="n"/>
      <c r="G31" s="5" t="n"/>
      <c r="H31" s="5" t="n"/>
      <c r="I31" s="5" t="n"/>
      <c r="J31" s="5" t="n"/>
    </row>
    <row r="32">
      <c r="A32" s="5" t="inlineStr">
        <is>
          <t>Total comprehensive income/(loss)</t>
        </is>
      </c>
      <c r="B32" s="5" t="n">
        <v>33567</v>
      </c>
      <c r="C32" s="5" t="n">
        <v>21731</v>
      </c>
      <c r="D32" s="5" t="n">
        <v>38832</v>
      </c>
      <c r="E32" s="5" t="n">
        <v>-25988</v>
      </c>
      <c r="F32" s="5" t="n">
        <v>-34223</v>
      </c>
      <c r="G32" s="5" t="n">
        <v>-30545</v>
      </c>
      <c r="H32" s="5" t="n">
        <v>-17867</v>
      </c>
      <c r="I32" s="5" t="n">
        <v>-14432</v>
      </c>
      <c r="J32" s="5" t="n">
        <v>-4001</v>
      </c>
    </row>
    <row r="34" ht="420" customHeight="1">
      <c r="A34"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34:J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Statement of Changes in Equity</t>
        </is>
      </c>
    </row>
    <row r="2">
      <c r="A2" s="2" t="inlineStr">
        <is>
          <t>Zopa Bank Limited (entity-level), £'000, chronological (oldest to newest), back to incorporation on 20 February 2017. Zero undocumented plug rows across all years - ties exactly to the Balance Sheet sheet's own Total equity every year and chains correctly across every boundary. 'Share premium' and 'Other equity instruments' columns only exist from FY2025 (blank/nil in earlier years, not a gap).</t>
        </is>
      </c>
    </row>
    <row r="3">
      <c r="A3" s="4" t="inlineStr">
        <is>
          <t>Movement</t>
        </is>
      </c>
      <c r="B3" s="4" t="inlineStr">
        <is>
          <t>Called-up share capital</t>
        </is>
      </c>
      <c r="C3" s="4" t="inlineStr">
        <is>
          <t>Share premium</t>
        </is>
      </c>
      <c r="D3" s="4" t="inlineStr">
        <is>
          <t>Other equity instruments</t>
        </is>
      </c>
      <c r="E3" s="4" t="inlineStr">
        <is>
          <t>Other reserves</t>
        </is>
      </c>
      <c r="F3" s="4" t="inlineStr">
        <is>
          <t>Retained earnings/(accumulated losses)</t>
        </is>
      </c>
      <c r="G3" s="4" t="inlineStr">
        <is>
          <t>Total equity</t>
        </is>
      </c>
    </row>
    <row r="4">
      <c r="A4" s="5" t="inlineStr">
        <is>
          <t>Balance at 20 February 2017 (incorporation, as Zopa Financial Services Limited)</t>
        </is>
      </c>
      <c r="B4" s="5" t="n">
        <v>0</v>
      </c>
      <c r="C4" s="5" t="n"/>
      <c r="D4" s="5" t="n"/>
      <c r="E4" s="5" t="n">
        <v>0</v>
      </c>
      <c r="F4" s="5" t="n">
        <v>0</v>
      </c>
      <c r="G4" s="5" t="n">
        <v>0</v>
      </c>
    </row>
    <row r="5">
      <c r="A5" s="6" t="inlineStr">
        <is>
          <t>Total comprehensive expense</t>
        </is>
      </c>
      <c r="B5" s="6" t="n"/>
      <c r="C5" s="6" t="n"/>
      <c r="D5" s="6" t="n"/>
      <c r="E5" s="6" t="n"/>
      <c r="F5" s="6" t="n">
        <v>-4001</v>
      </c>
      <c r="G5" s="6" t="n">
        <v>-4001</v>
      </c>
    </row>
    <row r="6">
      <c r="A6" s="6" t="inlineStr">
        <is>
          <t>Issue of new shares</t>
        </is>
      </c>
      <c r="B6" s="6" t="n">
        <v>0</v>
      </c>
      <c r="C6" s="6" t="n"/>
      <c r="D6" s="6" t="n"/>
      <c r="E6" s="6" t="n"/>
      <c r="F6" s="6" t="n"/>
      <c r="G6" s="6" t="n">
        <v>0</v>
      </c>
    </row>
    <row r="7">
      <c r="A7" s="6" t="inlineStr">
        <is>
          <t>Share based payment charge</t>
        </is>
      </c>
      <c r="B7" s="6" t="n"/>
      <c r="C7" s="6" t="n"/>
      <c r="D7" s="6" t="n"/>
      <c r="E7" s="6" t="n">
        <v>195</v>
      </c>
      <c r="F7" s="6" t="n"/>
      <c r="G7" s="6" t="n">
        <v>195</v>
      </c>
    </row>
    <row r="8">
      <c r="A8" s="5" t="inlineStr">
        <is>
          <t>Balance at 31 December 2017 / 1 January 2018</t>
        </is>
      </c>
      <c r="B8" s="5" t="n">
        <v>0</v>
      </c>
      <c r="C8" s="5" t="n"/>
      <c r="D8" s="5" t="n"/>
      <c r="E8" s="5" t="n">
        <v>195</v>
      </c>
      <c r="F8" s="5" t="n">
        <v>-4001</v>
      </c>
      <c r="G8" s="5" t="n">
        <v>-3806</v>
      </c>
    </row>
    <row r="9">
      <c r="A9" s="6" t="inlineStr">
        <is>
          <t>Changes on initial application of new accounting standards</t>
        </is>
      </c>
      <c r="B9" s="6" t="n"/>
      <c r="C9" s="6" t="n"/>
      <c r="D9" s="6" t="n"/>
      <c r="E9" s="6" t="n"/>
      <c r="F9" s="6" t="n">
        <v>-1</v>
      </c>
      <c r="G9" s="6" t="n">
        <v>-1</v>
      </c>
    </row>
    <row r="10">
      <c r="A10" s="5" t="inlineStr">
        <is>
          <t>Balance at 1 January 2018 (restated)</t>
        </is>
      </c>
      <c r="B10" s="5" t="n">
        <v>0</v>
      </c>
      <c r="C10" s="5" t="n"/>
      <c r="D10" s="5" t="n"/>
      <c r="E10" s="5" t="n">
        <v>195</v>
      </c>
      <c r="F10" s="5" t="n">
        <v>-4002</v>
      </c>
      <c r="G10" s="5" t="n">
        <v>-3807</v>
      </c>
    </row>
    <row r="11">
      <c r="A11" s="6" t="inlineStr">
        <is>
          <t>Total comprehensive expense</t>
        </is>
      </c>
      <c r="B11" s="6" t="n"/>
      <c r="C11" s="6" t="n"/>
      <c r="D11" s="6" t="n"/>
      <c r="E11" s="6" t="n"/>
      <c r="F11" s="6" t="n">
        <v>-14432</v>
      </c>
      <c r="G11" s="6" t="n">
        <v>-14432</v>
      </c>
    </row>
    <row r="12">
      <c r="A12" s="6" t="inlineStr">
        <is>
          <t>Issue of share capital</t>
        </is>
      </c>
      <c r="B12" s="6" t="n">
        <v>39160</v>
      </c>
      <c r="C12" s="6" t="n"/>
      <c r="D12" s="6" t="n"/>
      <c r="E12" s="6" t="n"/>
      <c r="F12" s="6" t="n"/>
      <c r="G12" s="6" t="n">
        <v>39160</v>
      </c>
    </row>
    <row r="13">
      <c r="A13" s="6" t="inlineStr">
        <is>
          <t>Share based payment charge</t>
        </is>
      </c>
      <c r="B13" s="6" t="n"/>
      <c r="C13" s="6" t="n"/>
      <c r="D13" s="6" t="n"/>
      <c r="E13" s="6" t="n">
        <v>893</v>
      </c>
      <c r="F13" s="6" t="n"/>
      <c r="G13" s="6" t="n">
        <v>893</v>
      </c>
    </row>
    <row r="14">
      <c r="A14" s="5" t="inlineStr">
        <is>
          <t>Balance at 31 December 2018 / 1 January 2019</t>
        </is>
      </c>
      <c r="B14" s="5" t="n">
        <v>39160</v>
      </c>
      <c r="C14" s="5" t="n"/>
      <c r="D14" s="5" t="n"/>
      <c r="E14" s="5" t="n">
        <v>1088</v>
      </c>
      <c r="F14" s="5" t="n">
        <v>-18434</v>
      </c>
      <c r="G14" s="5" t="n">
        <v>21814</v>
      </c>
    </row>
    <row r="15">
      <c r="A15" s="6" t="inlineStr">
        <is>
          <t>Change on initial application of IFRS 16</t>
        </is>
      </c>
      <c r="B15" s="6" t="n"/>
      <c r="C15" s="6" t="n"/>
      <c r="D15" s="6" t="n"/>
      <c r="E15" s="6" t="n"/>
      <c r="F15" s="6" t="n">
        <v>-7</v>
      </c>
      <c r="G15" s="6" t="n">
        <v>-7</v>
      </c>
    </row>
    <row r="16">
      <c r="A16" s="5" t="inlineStr">
        <is>
          <t>Balance at 1 January 2019 (restated)</t>
        </is>
      </c>
      <c r="B16" s="5" t="n">
        <v>39160</v>
      </c>
      <c r="C16" s="5" t="n"/>
      <c r="D16" s="5" t="n"/>
      <c r="E16" s="5" t="n">
        <v>1088</v>
      </c>
      <c r="F16" s="5" t="n">
        <v>-18441</v>
      </c>
      <c r="G16" s="5" t="n">
        <v>21807</v>
      </c>
    </row>
    <row r="17">
      <c r="A17" s="6" t="inlineStr">
        <is>
          <t>Total comprehensive expense</t>
        </is>
      </c>
      <c r="B17" s="6" t="n"/>
      <c r="C17" s="6" t="n"/>
      <c r="D17" s="6" t="n"/>
      <c r="E17" s="6" t="n"/>
      <c r="F17" s="6" t="n">
        <v>-17867</v>
      </c>
      <c r="G17" s="6" t="n">
        <v>-17867</v>
      </c>
    </row>
    <row r="18">
      <c r="A18" s="6" t="inlineStr">
        <is>
          <t>Issue of share capital</t>
        </is>
      </c>
      <c r="B18" s="6" t="n">
        <v>15000</v>
      </c>
      <c r="C18" s="6" t="n"/>
      <c r="D18" s="6" t="n"/>
      <c r="E18" s="6" t="n"/>
      <c r="F18" s="6" t="n"/>
      <c r="G18" s="6" t="n">
        <v>15000</v>
      </c>
    </row>
    <row r="19">
      <c r="A19" s="6" t="inlineStr">
        <is>
          <t>Share based payment charge</t>
        </is>
      </c>
      <c r="B19" s="6" t="n"/>
      <c r="C19" s="6" t="n"/>
      <c r="D19" s="6" t="n"/>
      <c r="E19" s="6" t="n">
        <v>698</v>
      </c>
      <c r="F19" s="6" t="n"/>
      <c r="G19" s="6" t="n">
        <v>698</v>
      </c>
    </row>
    <row r="20">
      <c r="A20" s="5" t="inlineStr">
        <is>
          <t>Balance at 31 December 2019 / 1 January 2020</t>
        </is>
      </c>
      <c r="B20" s="5" t="n">
        <v>54160</v>
      </c>
      <c r="C20" s="5" t="n"/>
      <c r="D20" s="5" t="n"/>
      <c r="E20" s="5" t="n">
        <v>1786</v>
      </c>
      <c r="F20" s="5" t="n">
        <v>-36308</v>
      </c>
      <c r="G20" s="5" t="n">
        <v>19638</v>
      </c>
    </row>
    <row r="21">
      <c r="A21" s="6" t="inlineStr">
        <is>
          <t>Total comprehensive expense</t>
        </is>
      </c>
      <c r="B21" s="6" t="n"/>
      <c r="C21" s="6" t="n"/>
      <c r="D21" s="6" t="n"/>
      <c r="E21" s="6" t="n"/>
      <c r="F21" s="6" t="n">
        <v>-30545</v>
      </c>
      <c r="G21" s="6" t="n">
        <v>-30545</v>
      </c>
    </row>
    <row r="22">
      <c r="A22" s="6" t="inlineStr">
        <is>
          <t>Issue of share capital</t>
        </is>
      </c>
      <c r="B22" s="6" t="n">
        <v>138159</v>
      </c>
      <c r="C22" s="6" t="n"/>
      <c r="D22" s="6" t="n"/>
      <c r="E22" s="6" t="n"/>
      <c r="F22" s="6" t="n"/>
      <c r="G22" s="6" t="n">
        <v>138159</v>
      </c>
    </row>
    <row r="23">
      <c r="A23" s="6" t="inlineStr">
        <is>
          <t>Share based payment charge</t>
        </is>
      </c>
      <c r="B23" s="6" t="n"/>
      <c r="C23" s="6" t="n"/>
      <c r="D23" s="6" t="n"/>
      <c r="E23" s="6" t="n">
        <v>920</v>
      </c>
      <c r="F23" s="6" t="n"/>
      <c r="G23" s="6" t="n">
        <v>920</v>
      </c>
    </row>
    <row r="24">
      <c r="A24" s="6" t="inlineStr">
        <is>
          <t>Transfer of assets from related party</t>
        </is>
      </c>
      <c r="B24" s="6" t="n"/>
      <c r="C24" s="6" t="n"/>
      <c r="D24" s="6" t="n"/>
      <c r="E24" s="6" t="n"/>
      <c r="F24" s="6" t="n">
        <v>-2168</v>
      </c>
      <c r="G24" s="6" t="n">
        <v>-2168</v>
      </c>
    </row>
    <row r="25">
      <c r="A25" s="6" t="inlineStr">
        <is>
          <t>Capital contribution</t>
        </is>
      </c>
      <c r="B25" s="6" t="n"/>
      <c r="C25" s="6" t="n"/>
      <c r="D25" s="6" t="n"/>
      <c r="E25" s="6" t="n">
        <v>1618</v>
      </c>
      <c r="F25" s="6" t="n"/>
      <c r="G25" s="6" t="n">
        <v>1618</v>
      </c>
    </row>
    <row r="26">
      <c r="A26" s="5" t="inlineStr">
        <is>
          <t>Balance at 31 December 2020 / 1 January 2021</t>
        </is>
      </c>
      <c r="B26" s="5" t="n">
        <v>192319</v>
      </c>
      <c r="C26" s="5" t="n"/>
      <c r="D26" s="5" t="n"/>
      <c r="E26" s="5" t="n">
        <v>4324</v>
      </c>
      <c r="F26" s="5" t="n">
        <v>-69021</v>
      </c>
      <c r="G26" s="5" t="n">
        <v>127622</v>
      </c>
    </row>
    <row r="27">
      <c r="A27" s="6" t="inlineStr">
        <is>
          <t>Total comprehensive loss</t>
        </is>
      </c>
      <c r="B27" s="6" t="n"/>
      <c r="C27" s="6" t="n"/>
      <c r="D27" s="6" t="n"/>
      <c r="E27" s="6" t="n"/>
      <c r="F27" s="6" t="n">
        <v>-34223</v>
      </c>
      <c r="G27" s="6" t="n">
        <v>-34223</v>
      </c>
    </row>
    <row r="28">
      <c r="A28" s="6" t="inlineStr">
        <is>
          <t>Shares issued</t>
        </is>
      </c>
      <c r="B28" s="6" t="n">
        <v>157000</v>
      </c>
      <c r="C28" s="6" t="n"/>
      <c r="D28" s="6" t="n"/>
      <c r="E28" s="6" t="n"/>
      <c r="F28" s="6" t="n"/>
      <c r="G28" s="6" t="n">
        <v>157000</v>
      </c>
    </row>
    <row r="29">
      <c r="A29" s="6" t="inlineStr">
        <is>
          <t>Net share option movements</t>
        </is>
      </c>
      <c r="B29" s="6" t="n"/>
      <c r="C29" s="6" t="n"/>
      <c r="D29" s="6" t="n"/>
      <c r="E29" s="6" t="n">
        <v>1856</v>
      </c>
      <c r="F29" s="6" t="n"/>
      <c r="G29" s="6" t="n">
        <v>1856</v>
      </c>
    </row>
    <row r="30">
      <c r="A30" s="5" t="inlineStr">
        <is>
          <t>Balance at 31 December 2021 / 1 January 2022</t>
        </is>
      </c>
      <c r="B30" s="5" t="n">
        <v>349319</v>
      </c>
      <c r="C30" s="5" t="n"/>
      <c r="D30" s="5" t="n"/>
      <c r="E30" s="5" t="n">
        <v>6180</v>
      </c>
      <c r="F30" s="5" t="n">
        <v>-103244</v>
      </c>
      <c r="G30" s="5" t="n">
        <v>252255</v>
      </c>
    </row>
    <row r="31">
      <c r="A31" s="6" t="inlineStr">
        <is>
          <t>Total comprehensive loss</t>
        </is>
      </c>
      <c r="B31" s="6" t="n"/>
      <c r="C31" s="6" t="n"/>
      <c r="D31" s="6" t="n"/>
      <c r="E31" s="6" t="n"/>
      <c r="F31" s="6" t="n">
        <v>-25988</v>
      </c>
      <c r="G31" s="6" t="n">
        <v>-25988</v>
      </c>
    </row>
    <row r="32">
      <c r="A32" s="6" t="inlineStr">
        <is>
          <t>Shares issued</t>
        </is>
      </c>
      <c r="B32" s="6" t="n">
        <v>72000</v>
      </c>
      <c r="C32" s="6" t="n"/>
      <c r="D32" s="6" t="n"/>
      <c r="E32" s="6" t="n"/>
      <c r="F32" s="6" t="n"/>
      <c r="G32" s="6" t="n">
        <v>72000</v>
      </c>
    </row>
    <row r="33">
      <c r="A33" s="6" t="inlineStr">
        <is>
          <t>Net share option movements</t>
        </is>
      </c>
      <c r="B33" s="6" t="n"/>
      <c r="C33" s="6" t="n"/>
      <c r="D33" s="6" t="n"/>
      <c r="E33" s="6" t="n">
        <v>1340</v>
      </c>
      <c r="F33" s="6" t="n"/>
      <c r="G33" s="6" t="n">
        <v>1340</v>
      </c>
    </row>
    <row r="34">
      <c r="A34" s="6" t="inlineStr">
        <is>
          <t>Transfer of capital contribution reserve</t>
        </is>
      </c>
      <c r="B34" s="6" t="n"/>
      <c r="C34" s="6" t="n"/>
      <c r="D34" s="6" t="n"/>
      <c r="E34" s="6" t="n">
        <v>-1618</v>
      </c>
      <c r="F34" s="6" t="n">
        <v>1618</v>
      </c>
      <c r="G34" s="6" t="n">
        <v>0</v>
      </c>
    </row>
    <row r="35">
      <c r="A35" s="5" t="inlineStr">
        <is>
          <t>Balance at 31 December 2022 / 1 January 2023</t>
        </is>
      </c>
      <c r="B35" s="5" t="n">
        <v>421319</v>
      </c>
      <c r="C35" s="5" t="n"/>
      <c r="D35" s="5" t="n"/>
      <c r="E35" s="5" t="n">
        <v>5902</v>
      </c>
      <c r="F35" s="5" t="n">
        <v>-127614</v>
      </c>
      <c r="G35" s="5" t="n">
        <v>299607</v>
      </c>
    </row>
    <row r="36">
      <c r="A36" s="6" t="inlineStr">
        <is>
          <t>Profit for the year</t>
        </is>
      </c>
      <c r="B36" s="6" t="n"/>
      <c r="C36" s="6" t="n"/>
      <c r="D36" s="6" t="n"/>
      <c r="E36" s="6" t="n"/>
      <c r="F36" s="6" t="n">
        <v>38881</v>
      </c>
      <c r="G36" s="6" t="n">
        <v>38881</v>
      </c>
    </row>
    <row r="37">
      <c r="A37" s="6" t="inlineStr">
        <is>
          <t>Other comprehensive loss relating to investment securities held at FVOCI</t>
        </is>
      </c>
      <c r="B37" s="6" t="n"/>
      <c r="C37" s="6" t="n"/>
      <c r="D37" s="6" t="n"/>
      <c r="E37" s="6" t="n">
        <v>-49</v>
      </c>
      <c r="F37" s="6" t="n"/>
      <c r="G37" s="6" t="n">
        <v>-49</v>
      </c>
    </row>
    <row r="38">
      <c r="A38" s="5" t="inlineStr">
        <is>
          <t>Total comprehensive income</t>
        </is>
      </c>
      <c r="B38" s="5" t="n"/>
      <c r="C38" s="5" t="n"/>
      <c r="D38" s="5" t="n"/>
      <c r="E38" s="5" t="n">
        <v>-49</v>
      </c>
      <c r="F38" s="5" t="n">
        <v>38881</v>
      </c>
      <c r="G38" s="5" t="n">
        <v>38832</v>
      </c>
    </row>
    <row r="39">
      <c r="A39" s="6" t="inlineStr">
        <is>
          <t>Shares issued</t>
        </is>
      </c>
      <c r="B39" s="6" t="n">
        <v>65000</v>
      </c>
      <c r="C39" s="6" t="n"/>
      <c r="D39" s="6" t="n"/>
      <c r="E39" s="6" t="n"/>
      <c r="F39" s="6" t="n"/>
      <c r="G39" s="6" t="n">
        <v>65000</v>
      </c>
    </row>
    <row r="40">
      <c r="A40" s="6" t="inlineStr">
        <is>
          <t>Net share option movements</t>
        </is>
      </c>
      <c r="B40" s="6" t="n"/>
      <c r="C40" s="6" t="n"/>
      <c r="D40" s="6" t="n"/>
      <c r="E40" s="6" t="n">
        <v>976</v>
      </c>
      <c r="F40" s="6" t="n"/>
      <c r="G40" s="6" t="n">
        <v>976</v>
      </c>
    </row>
    <row r="41">
      <c r="A41" s="5" t="inlineStr">
        <is>
          <t>Balance at 31 December 2023 / 1 January 2024</t>
        </is>
      </c>
      <c r="B41" s="5" t="n">
        <v>486319</v>
      </c>
      <c r="C41" s="5" t="n"/>
      <c r="D41" s="5" t="n"/>
      <c r="E41" s="5" t="n">
        <v>6829</v>
      </c>
      <c r="F41" s="5" t="n">
        <v>-88733</v>
      </c>
      <c r="G41" s="5" t="n">
        <v>404415</v>
      </c>
    </row>
    <row r="42">
      <c r="A42" s="6" t="inlineStr">
        <is>
          <t>Profit for the year</t>
        </is>
      </c>
      <c r="B42" s="6" t="n"/>
      <c r="C42" s="6" t="n"/>
      <c r="D42" s="6" t="n"/>
      <c r="E42" s="6" t="n"/>
      <c r="F42" s="6" t="n">
        <v>21777</v>
      </c>
      <c r="G42" s="6" t="n">
        <v>21777</v>
      </c>
    </row>
    <row r="43">
      <c r="A43" s="6" t="inlineStr">
        <is>
          <t>Other comprehensive loss relating to investment securities</t>
        </is>
      </c>
      <c r="B43" s="6" t="n"/>
      <c r="C43" s="6" t="n"/>
      <c r="D43" s="6" t="n"/>
      <c r="E43" s="6" t="n">
        <v>-46</v>
      </c>
      <c r="F43" s="6" t="n"/>
      <c r="G43" s="6" t="n">
        <v>-46</v>
      </c>
    </row>
    <row r="44">
      <c r="A44" s="5" t="inlineStr">
        <is>
          <t>Total comprehensive income</t>
        </is>
      </c>
      <c r="B44" s="5" t="n"/>
      <c r="C44" s="5" t="n"/>
      <c r="D44" s="5" t="n"/>
      <c r="E44" s="5" t="n">
        <v>-46</v>
      </c>
      <c r="F44" s="5" t="n">
        <v>21777</v>
      </c>
      <c r="G44" s="5" t="n">
        <v>21731</v>
      </c>
    </row>
    <row r="45">
      <c r="A45" s="6" t="inlineStr">
        <is>
          <t>Shares issued</t>
        </is>
      </c>
      <c r="B45" s="6" t="n">
        <v>68500</v>
      </c>
      <c r="C45" s="6" t="n"/>
      <c r="D45" s="6" t="n"/>
      <c r="E45" s="6" t="n"/>
      <c r="F45" s="6" t="n"/>
      <c r="G45" s="6" t="n">
        <v>68500</v>
      </c>
    </row>
    <row r="46">
      <c r="A46" s="6" t="inlineStr">
        <is>
          <t>Net share option movements</t>
        </is>
      </c>
      <c r="B46" s="6" t="n"/>
      <c r="C46" s="6" t="n"/>
      <c r="D46" s="6" t="n"/>
      <c r="E46" s="6" t="n">
        <v>2645</v>
      </c>
      <c r="F46" s="6" t="n"/>
      <c r="G46" s="6" t="n">
        <v>2645</v>
      </c>
    </row>
    <row r="47">
      <c r="A47" s="5" t="inlineStr">
        <is>
          <t>Balance at 31 December 2024 / 1 January 2025</t>
        </is>
      </c>
      <c r="B47" s="5" t="n">
        <v>554819</v>
      </c>
      <c r="C47" s="5" t="n">
        <v>0</v>
      </c>
      <c r="D47" s="5" t="n">
        <v>0</v>
      </c>
      <c r="E47" s="5" t="n">
        <v>9428</v>
      </c>
      <c r="F47" s="5" t="n">
        <v>-66956</v>
      </c>
      <c r="G47" s="5" t="n">
        <v>497291</v>
      </c>
    </row>
    <row r="48">
      <c r="A48" s="6" t="inlineStr">
        <is>
          <t>Profit for the year</t>
        </is>
      </c>
      <c r="B48" s="6" t="n"/>
      <c r="C48" s="6" t="n"/>
      <c r="D48" s="6" t="n"/>
      <c r="E48" s="6" t="n"/>
      <c r="F48" s="6" t="n">
        <v>33380</v>
      </c>
      <c r="G48" s="6" t="n">
        <v>33380</v>
      </c>
    </row>
    <row r="49">
      <c r="A49" s="6" t="inlineStr">
        <is>
          <t>Other comprehensive income relating to investment securities</t>
        </is>
      </c>
      <c r="B49" s="6" t="n"/>
      <c r="C49" s="6" t="n"/>
      <c r="D49" s="6" t="n"/>
      <c r="E49" s="6" t="n">
        <v>187</v>
      </c>
      <c r="F49" s="6" t="n"/>
      <c r="G49" s="6" t="n">
        <v>187</v>
      </c>
    </row>
    <row r="50">
      <c r="A50" s="5" t="inlineStr">
        <is>
          <t>Total comprehensive income</t>
        </is>
      </c>
      <c r="B50" s="5" t="n"/>
      <c r="C50" s="5" t="n"/>
      <c r="D50" s="5" t="n"/>
      <c r="E50" s="5" t="n">
        <v>187</v>
      </c>
      <c r="F50" s="5" t="n">
        <v>33380</v>
      </c>
      <c r="G50" s="5" t="n">
        <v>33567</v>
      </c>
    </row>
    <row r="51">
      <c r="A51" s="6" t="inlineStr">
        <is>
          <t>Shares issued</t>
        </is>
      </c>
      <c r="B51" s="6" t="n">
        <v>854</v>
      </c>
      <c r="C51" s="6" t="n">
        <v>6146</v>
      </c>
      <c r="D51" s="6" t="n"/>
      <c r="E51" s="6" t="n"/>
      <c r="F51" s="6" t="n"/>
      <c r="G51" s="6" t="n">
        <v>7000</v>
      </c>
    </row>
    <row r="52">
      <c r="A52" s="6" t="inlineStr">
        <is>
          <t>Capital reduction</t>
        </is>
      </c>
      <c r="B52" s="6" t="n">
        <v>-487131</v>
      </c>
      <c r="C52" s="6" t="n"/>
      <c r="D52" s="6" t="n"/>
      <c r="E52" s="6" t="n"/>
      <c r="F52" s="6" t="n">
        <v>487131</v>
      </c>
      <c r="G52" s="6" t="n">
        <v>0</v>
      </c>
    </row>
    <row r="53">
      <c r="A53" s="6" t="inlineStr">
        <is>
          <t>Issue of other equity instruments</t>
        </is>
      </c>
      <c r="B53" s="6" t="n"/>
      <c r="C53" s="6" t="n"/>
      <c r="D53" s="6" t="n">
        <v>78298</v>
      </c>
      <c r="E53" s="6" t="n"/>
      <c r="F53" s="6" t="n"/>
      <c r="G53" s="6" t="n">
        <v>78298</v>
      </c>
    </row>
    <row r="54">
      <c r="A54" s="6" t="inlineStr">
        <is>
          <t>Coupons paid on other equity instruments</t>
        </is>
      </c>
      <c r="B54" s="6" t="n"/>
      <c r="C54" s="6" t="n"/>
      <c r="D54" s="6" t="n"/>
      <c r="E54" s="6" t="n"/>
      <c r="F54" s="6" t="n">
        <v>-5150</v>
      </c>
      <c r="G54" s="6" t="n">
        <v>-5150</v>
      </c>
    </row>
    <row r="55">
      <c r="A55" s="6" t="inlineStr">
        <is>
          <t>Net share option movements</t>
        </is>
      </c>
      <c r="B55" s="6" t="n"/>
      <c r="C55" s="6" t="n"/>
      <c r="D55" s="6" t="n"/>
      <c r="E55" s="6" t="n">
        <v>12211</v>
      </c>
      <c r="F55" s="6" t="n"/>
      <c r="G55" s="6" t="n">
        <v>12211</v>
      </c>
    </row>
    <row r="56">
      <c r="A56" s="5" t="inlineStr">
        <is>
          <t>Balance at 31 December 2025</t>
        </is>
      </c>
      <c r="B56" s="5" t="n">
        <v>68542</v>
      </c>
      <c r="C56" s="5" t="n">
        <v>6146</v>
      </c>
      <c r="D56" s="5" t="n">
        <v>78298</v>
      </c>
      <c r="E56" s="5" t="n">
        <v>21826</v>
      </c>
      <c r="F56" s="5" t="n">
        <v>448405</v>
      </c>
      <c r="G56" s="5" t="n">
        <v>623217</v>
      </c>
    </row>
    <row r="58" ht="420" customHeight="1">
      <c r="A58"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Cash Flow Statement</t>
        </is>
      </c>
    </row>
    <row r="2">
      <c r="A2" s="2" t="inlineStr">
        <is>
          <t>Zopa Bank Limited (entity-level),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Reconciliation of profit/(loss) before tax to net cash flows from operating activities</t>
        </is>
      </c>
      <c r="B4" s="6" t="n"/>
      <c r="C4" s="6" t="n"/>
      <c r="D4" s="6" t="n"/>
      <c r="E4" s="6" t="n"/>
      <c r="F4" s="6" t="n"/>
      <c r="G4" s="6" t="n"/>
      <c r="H4" s="6" t="n"/>
      <c r="I4" s="6" t="n"/>
      <c r="J4" s="6" t="n"/>
    </row>
    <row r="5">
      <c r="A5" s="6" t="inlineStr">
        <is>
          <t>Profit/(loss) before tax</t>
        </is>
      </c>
      <c r="B5" s="6" t="n">
        <v>44852</v>
      </c>
      <c r="C5" s="6" t="n">
        <v>31550</v>
      </c>
      <c r="D5" s="6" t="n">
        <v>15817</v>
      </c>
      <c r="E5" s="6" t="n">
        <v>-25988</v>
      </c>
      <c r="F5" s="6" t="n">
        <v>-34224</v>
      </c>
      <c r="G5" s="6" t="n">
        <v>-30554</v>
      </c>
      <c r="H5" s="6" t="n">
        <v>-18452</v>
      </c>
      <c r="I5" s="6" t="n">
        <v>-14432</v>
      </c>
      <c r="J5" s="6" t="n">
        <v>-4001</v>
      </c>
    </row>
    <row r="6">
      <c r="A6" s="6" t="inlineStr">
        <is>
          <t>Non-cash items</t>
        </is>
      </c>
      <c r="B6" s="6" t="n">
        <v>108122</v>
      </c>
      <c r="C6" s="6" t="n">
        <v>67370</v>
      </c>
      <c r="D6" s="6" t="n">
        <v>66198</v>
      </c>
      <c r="E6" s="6" t="n">
        <v>92460</v>
      </c>
      <c r="F6" s="6" t="n">
        <v>50828</v>
      </c>
      <c r="G6" s="6" t="n">
        <v>5009</v>
      </c>
      <c r="H6" s="6" t="n">
        <v>3297</v>
      </c>
      <c r="I6" s="6" t="n">
        <v>689</v>
      </c>
      <c r="J6" s="6" t="n">
        <v>4500</v>
      </c>
    </row>
    <row r="7">
      <c r="A7" s="6" t="inlineStr">
        <is>
          <t>Changes in operating assets and liabilities</t>
        </is>
      </c>
      <c r="B7" s="6" t="n">
        <v>216056</v>
      </c>
      <c r="C7" s="6" t="n">
        <v>1640591</v>
      </c>
      <c r="D7" s="6" t="n">
        <v>-133115</v>
      </c>
      <c r="E7" s="6" t="n">
        <v>1082800</v>
      </c>
      <c r="F7" s="6" t="n">
        <v>-192441</v>
      </c>
      <c r="G7" s="6" t="n">
        <v>-31433</v>
      </c>
      <c r="H7" s="6" t="n">
        <v>-10439</v>
      </c>
      <c r="I7" s="6" t="n">
        <v>-7060</v>
      </c>
      <c r="J7" s="6" t="n"/>
    </row>
    <row r="8">
      <c r="A8" s="6" t="inlineStr">
        <is>
          <t>Current tax expense</t>
        </is>
      </c>
      <c r="B8" s="6" t="n">
        <v>-5687</v>
      </c>
      <c r="C8" s="6" t="n">
        <v>-3439</v>
      </c>
      <c r="D8" s="6" t="n">
        <v>-1337</v>
      </c>
      <c r="E8" s="6" t="n"/>
      <c r="F8" s="6" t="n"/>
      <c r="G8" s="6" t="n"/>
      <c r="H8" s="6" t="n"/>
      <c r="I8" s="6" t="n"/>
      <c r="J8" s="6" t="n"/>
    </row>
    <row r="9">
      <c r="A9" s="6" t="inlineStr">
        <is>
          <t>Tax received</t>
        </is>
      </c>
      <c r="B9" s="6" t="n"/>
      <c r="C9" s="6" t="n"/>
      <c r="D9" s="6" t="n"/>
      <c r="E9" s="6" t="n"/>
      <c r="F9" s="6" t="n">
        <v>0</v>
      </c>
      <c r="G9" s="6" t="n"/>
      <c r="H9" s="6" t="n"/>
      <c r="I9" s="6" t="n"/>
      <c r="J9" s="6" t="n"/>
    </row>
    <row r="10">
      <c r="A10" s="5" t="inlineStr">
        <is>
          <t>Net cash generated from/(used in) operating activities</t>
        </is>
      </c>
      <c r="B10" s="5" t="n">
        <v>363343</v>
      </c>
      <c r="C10" s="5" t="n">
        <v>1736072</v>
      </c>
      <c r="D10" s="5" t="n">
        <v>-52437</v>
      </c>
      <c r="E10" s="5" t="n">
        <v>1149272</v>
      </c>
      <c r="F10" s="5" t="n">
        <v>-175837</v>
      </c>
      <c r="G10" s="5" t="n">
        <v>-56978</v>
      </c>
      <c r="H10" s="5" t="n">
        <v>-25594</v>
      </c>
      <c r="I10" s="5" t="n">
        <v>-20803</v>
      </c>
      <c r="J10" s="5" t="n">
        <v>500</v>
      </c>
    </row>
    <row r="11">
      <c r="A11" s="5" t="inlineStr">
        <is>
          <t>Investing activities</t>
        </is>
      </c>
      <c r="B11" s="6" t="n"/>
      <c r="C11" s="6" t="n"/>
      <c r="D11" s="6" t="n"/>
      <c r="E11" s="6" t="n"/>
      <c r="F11" s="6" t="n"/>
      <c r="G11" s="6" t="n"/>
      <c r="H11" s="6" t="n"/>
      <c r="I11" s="6" t="n"/>
      <c r="J11" s="6" t="n"/>
    </row>
    <row r="12">
      <c r="A12" s="6" t="inlineStr">
        <is>
          <t>Purchase of investment securities</t>
        </is>
      </c>
      <c r="B12" s="6" t="n">
        <v>-948990</v>
      </c>
      <c r="C12" s="6" t="n">
        <v>-431925</v>
      </c>
      <c r="D12" s="6" t="n">
        <v>-80367</v>
      </c>
      <c r="E12" s="6" t="n"/>
      <c r="F12" s="6" t="n"/>
      <c r="G12" s="6" t="n"/>
      <c r="H12" s="6" t="n"/>
      <c r="I12" s="6" t="n"/>
      <c r="J12" s="6" t="n"/>
    </row>
    <row r="13">
      <c r="A13" s="6" t="inlineStr">
        <is>
          <t>Investment securities matured during the year</t>
        </is>
      </c>
      <c r="B13" s="6" t="n">
        <v>154254</v>
      </c>
      <c r="C13" s="6" t="n">
        <v>67356</v>
      </c>
      <c r="D13" s="6" t="n"/>
      <c r="E13" s="6" t="n"/>
      <c r="F13" s="6" t="n"/>
      <c r="G13" s="6" t="n"/>
      <c r="H13" s="6" t="n"/>
      <c r="I13" s="6" t="n"/>
      <c r="J13" s="6" t="n"/>
    </row>
    <row r="14">
      <c r="A14" s="6" t="inlineStr">
        <is>
          <t>Disposal of property, plant and equipment</t>
        </is>
      </c>
      <c r="B14" s="6" t="n"/>
      <c r="C14" s="6" t="n"/>
      <c r="D14" s="6" t="n"/>
      <c r="E14" s="6" t="n"/>
      <c r="F14" s="6" t="n">
        <v>0</v>
      </c>
      <c r="G14" s="6" t="n"/>
      <c r="H14" s="6" t="n"/>
      <c r="I14" s="6" t="n"/>
      <c r="J14" s="6" t="n"/>
    </row>
    <row r="15">
      <c r="A15" s="6" t="inlineStr">
        <is>
          <t>Purchase of non-current assets from related party</t>
        </is>
      </c>
      <c r="B15" s="6" t="n"/>
      <c r="C15" s="6" t="n"/>
      <c r="D15" s="6" t="n"/>
      <c r="E15" s="6" t="n"/>
      <c r="F15" s="6" t="n">
        <v>0</v>
      </c>
      <c r="G15" s="6" t="n"/>
      <c r="H15" s="6" t="n"/>
      <c r="I15" s="6" t="n"/>
      <c r="J15" s="6" t="n"/>
    </row>
    <row r="16">
      <c r="A16" s="6" t="inlineStr">
        <is>
          <t>Purchase of debt securities</t>
        </is>
      </c>
      <c r="B16" s="6" t="n"/>
      <c r="C16" s="6" t="n"/>
      <c r="D16" s="6" t="n"/>
      <c r="E16" s="6" t="n"/>
      <c r="F16" s="6" t="n"/>
      <c r="G16" s="6" t="n"/>
      <c r="H16" s="6" t="n"/>
      <c r="I16" s="6" t="n">
        <v>-10019</v>
      </c>
      <c r="J16" s="6" t="n"/>
    </row>
    <row r="17">
      <c r="A17" s="6" t="inlineStr">
        <is>
          <t>Interest received</t>
        </is>
      </c>
      <c r="B17" s="6" t="n"/>
      <c r="C17" s="6" t="n"/>
      <c r="D17" s="6" t="n"/>
      <c r="E17" s="6" t="n"/>
      <c r="F17" s="6" t="n"/>
      <c r="G17" s="6" t="n">
        <v>24</v>
      </c>
      <c r="H17" s="6" t="n">
        <v>31</v>
      </c>
      <c r="I17" s="6" t="n">
        <v>26</v>
      </c>
      <c r="J17" s="6" t="n"/>
    </row>
    <row r="18">
      <c r="A18" s="6" t="inlineStr">
        <is>
          <t>Purchase of property, plant and equipment</t>
        </is>
      </c>
      <c r="B18" s="6" t="n">
        <v>-1486</v>
      </c>
      <c r="C18" s="6" t="n">
        <v>-659</v>
      </c>
      <c r="D18" s="6" t="n">
        <v>-1167</v>
      </c>
      <c r="E18" s="6" t="n">
        <v>-610</v>
      </c>
      <c r="F18" s="6" t="n">
        <v>-519</v>
      </c>
      <c r="G18" s="6" t="n">
        <v>-221</v>
      </c>
      <c r="H18" s="6" t="n">
        <v>-184</v>
      </c>
      <c r="I18" s="6" t="n">
        <v>-740</v>
      </c>
      <c r="J18" s="6" t="n">
        <v>-66</v>
      </c>
    </row>
    <row r="19">
      <c r="A19" s="6" t="inlineStr">
        <is>
          <t>Purchase and development of intangible assets</t>
        </is>
      </c>
      <c r="B19" s="6" t="n">
        <v>-21194</v>
      </c>
      <c r="C19" s="6" t="n">
        <v>-23775</v>
      </c>
      <c r="D19" s="6" t="n">
        <v>-10779</v>
      </c>
      <c r="E19" s="6" t="n">
        <v>-3948</v>
      </c>
      <c r="F19" s="6" t="n">
        <v>-2036</v>
      </c>
      <c r="G19" s="6" t="n">
        <v>-2675</v>
      </c>
      <c r="H19" s="6" t="n">
        <v>-1307</v>
      </c>
      <c r="I19" s="6" t="n">
        <v>-5416</v>
      </c>
      <c r="J19" s="6" t="n">
        <v>-5</v>
      </c>
    </row>
    <row r="20">
      <c r="A20" s="6" t="inlineStr">
        <is>
          <t>Purchase of loans and receivables (pre-banking-licence entity - a rental deposit)</t>
        </is>
      </c>
      <c r="B20" s="6" t="n"/>
      <c r="C20" s="6" t="n"/>
      <c r="D20" s="6" t="n"/>
      <c r="E20" s="6" t="n"/>
      <c r="F20" s="6" t="n"/>
      <c r="G20" s="6" t="n"/>
      <c r="H20" s="6" t="n"/>
      <c r="I20" s="6" t="n"/>
      <c r="J20" s="6" t="n">
        <v>-234</v>
      </c>
    </row>
    <row r="21">
      <c r="A21" s="5" t="inlineStr">
        <is>
          <t>Net cash used in investing activities</t>
        </is>
      </c>
      <c r="B21" s="5" t="n">
        <v>-817416</v>
      </c>
      <c r="C21" s="5" t="n">
        <v>-389003</v>
      </c>
      <c r="D21" s="5" t="n">
        <v>-92313</v>
      </c>
      <c r="E21" s="5" t="n">
        <v>-4558</v>
      </c>
      <c r="F21" s="5" t="n">
        <v>-2555</v>
      </c>
      <c r="G21" s="5" t="n">
        <v>-2872</v>
      </c>
      <c r="H21" s="5" t="n">
        <v>-1460</v>
      </c>
      <c r="I21" s="5" t="n">
        <v>-16149</v>
      </c>
      <c r="J21" s="5" t="n">
        <v>-305</v>
      </c>
    </row>
    <row r="22">
      <c r="A22" s="5" t="inlineStr">
        <is>
          <t>Financing activities</t>
        </is>
      </c>
      <c r="B22" s="6" t="n"/>
      <c r="C22" s="6" t="n"/>
      <c r="D22" s="6" t="n"/>
      <c r="E22" s="6" t="n"/>
      <c r="F22" s="6" t="n"/>
      <c r="G22" s="6" t="n"/>
      <c r="H22" s="6" t="n"/>
      <c r="I22" s="6" t="n"/>
      <c r="J22" s="6" t="n"/>
    </row>
    <row r="23">
      <c r="A23" s="6" t="inlineStr">
        <is>
          <t>Shares issued</t>
        </is>
      </c>
      <c r="B23" s="6" t="n">
        <v>7000</v>
      </c>
      <c r="C23" s="6" t="n">
        <v>68500</v>
      </c>
      <c r="D23" s="6" t="n">
        <v>65000</v>
      </c>
      <c r="E23" s="6" t="n">
        <v>72000</v>
      </c>
      <c r="F23" s="6" t="n">
        <v>157000</v>
      </c>
      <c r="G23" s="6" t="n">
        <v>138159</v>
      </c>
      <c r="H23" s="6" t="n">
        <v>15000</v>
      </c>
      <c r="I23" s="6" t="n">
        <v>39160</v>
      </c>
      <c r="J23" s="6" t="n">
        <v>0</v>
      </c>
    </row>
    <row r="24">
      <c r="A24" s="6" t="inlineStr">
        <is>
          <t>Issuance of other equity instruments</t>
        </is>
      </c>
      <c r="B24" s="6" t="n">
        <v>80000</v>
      </c>
      <c r="C24" s="6" t="n"/>
      <c r="D24" s="6" t="n"/>
      <c r="E24" s="6" t="n"/>
      <c r="F24" s="6" t="n"/>
      <c r="G24" s="6" t="n"/>
      <c r="H24" s="6" t="n"/>
      <c r="I24" s="6" t="n"/>
      <c r="J24" s="6" t="n"/>
    </row>
    <row r="25">
      <c r="A25" s="6" t="inlineStr">
        <is>
          <t>Transaction costs on issuance of other equity instruments</t>
        </is>
      </c>
      <c r="B25" s="6" t="n">
        <v>-1702</v>
      </c>
      <c r="C25" s="6" t="n"/>
      <c r="D25" s="6" t="n"/>
      <c r="E25" s="6" t="n"/>
      <c r="F25" s="6" t="n"/>
      <c r="G25" s="6" t="n"/>
      <c r="H25" s="6" t="n"/>
      <c r="I25" s="6" t="n"/>
      <c r="J25" s="6" t="n"/>
    </row>
    <row r="26">
      <c r="A26" s="6" t="inlineStr">
        <is>
          <t>Coupon payment on other equity instruments</t>
        </is>
      </c>
      <c r="B26" s="6" t="n">
        <v>-5150</v>
      </c>
      <c r="C26" s="6" t="n"/>
      <c r="D26" s="6" t="n"/>
      <c r="E26" s="6" t="n"/>
      <c r="F26" s="6" t="n"/>
      <c r="G26" s="6" t="n"/>
      <c r="H26" s="6" t="n"/>
      <c r="I26" s="6" t="n"/>
      <c r="J26" s="6" t="n"/>
    </row>
    <row r="27">
      <c r="A27" s="6" t="inlineStr">
        <is>
          <t>Proceeds from issuance of subordinated liabilities</t>
        </is>
      </c>
      <c r="B27" s="6" t="n"/>
      <c r="C27" s="6" t="n"/>
      <c r="D27" s="6" t="n">
        <v>75000</v>
      </c>
      <c r="E27" s="6" t="n"/>
      <c r="F27" s="6" t="n"/>
      <c r="G27" s="6" t="n"/>
      <c r="H27" s="6" t="n"/>
      <c r="I27" s="6" t="n"/>
      <c r="J27" s="6" t="n"/>
    </row>
    <row r="28">
      <c r="A28" s="6" t="inlineStr">
        <is>
          <t>Repayment of TFSME borrowings</t>
        </is>
      </c>
      <c r="B28" s="6" t="n">
        <v>-150000</v>
      </c>
      <c r="C28" s="6" t="n"/>
      <c r="D28" s="6" t="n"/>
      <c r="E28" s="6" t="n"/>
      <c r="F28" s="6" t="n"/>
      <c r="G28" s="6" t="n"/>
      <c r="H28" s="6" t="n"/>
      <c r="I28" s="6" t="n"/>
      <c r="J28" s="6" t="n"/>
    </row>
    <row r="29">
      <c r="A29" s="6" t="inlineStr">
        <is>
          <t>Proceeds from ILTR borrowings</t>
        </is>
      </c>
      <c r="B29" s="6" t="n">
        <v>50000</v>
      </c>
      <c r="C29" s="6" t="n"/>
      <c r="D29" s="6" t="n"/>
      <c r="E29" s="6" t="n"/>
      <c r="F29" s="6" t="n"/>
      <c r="G29" s="6" t="n"/>
      <c r="H29" s="6" t="n"/>
      <c r="I29" s="6" t="n"/>
      <c r="J29" s="6" t="n"/>
    </row>
    <row r="30">
      <c r="A30" s="6" t="inlineStr">
        <is>
          <t>Change in TFSME and ILTR borrowings</t>
        </is>
      </c>
      <c r="B30" s="6" t="n"/>
      <c r="C30" s="6" t="n"/>
      <c r="D30" s="6" t="n">
        <v>-19316</v>
      </c>
      <c r="E30" s="6" t="n">
        <v>-3791</v>
      </c>
      <c r="F30" s="6" t="n"/>
      <c r="G30" s="6" t="n"/>
      <c r="H30" s="6" t="n"/>
      <c r="I30" s="6" t="n"/>
      <c r="J30" s="6" t="n"/>
    </row>
    <row r="31">
      <c r="A31" s="6" t="inlineStr">
        <is>
          <t>Change in amounts due to banks</t>
        </is>
      </c>
      <c r="B31" s="6" t="n"/>
      <c r="C31" s="6" t="n"/>
      <c r="D31" s="6" t="n"/>
      <c r="E31" s="6" t="n"/>
      <c r="F31" s="6" t="n">
        <v>175182</v>
      </c>
      <c r="G31" s="6" t="n"/>
      <c r="H31" s="6" t="n"/>
      <c r="I31" s="6" t="n"/>
      <c r="J31" s="6" t="n"/>
    </row>
    <row r="32">
      <c r="A32" s="6" t="inlineStr">
        <is>
          <t>Change in non-trading amounts due to and from other Group undertakings</t>
        </is>
      </c>
      <c r="B32" s="6" t="n">
        <v>-5393</v>
      </c>
      <c r="C32" s="6" t="n">
        <v>4</v>
      </c>
      <c r="D32" s="6" t="n">
        <v>-74</v>
      </c>
      <c r="E32" s="6" t="n">
        <v>-16507</v>
      </c>
      <c r="F32" s="6" t="n">
        <v>15144</v>
      </c>
      <c r="G32" s="6" t="n">
        <v>-11499</v>
      </c>
      <c r="H32" s="6" t="n">
        <v>2522</v>
      </c>
      <c r="I32" s="6" t="n"/>
      <c r="J32" s="6" t="n"/>
    </row>
    <row r="33">
      <c r="A33" s="6" t="inlineStr">
        <is>
          <t>Interest paid on intercompany loans</t>
        </is>
      </c>
      <c r="B33" s="6" t="n"/>
      <c r="C33" s="6" t="n"/>
      <c r="D33" s="6" t="n"/>
      <c r="E33" s="6" t="n"/>
      <c r="F33" s="6" t="n"/>
      <c r="G33" s="6" t="n">
        <v>-178</v>
      </c>
      <c r="H33" s="6" t="n">
        <v>-153</v>
      </c>
      <c r="I33" s="6" t="n"/>
      <c r="J33" s="6" t="n"/>
    </row>
    <row r="34">
      <c r="A34" s="6" t="inlineStr">
        <is>
          <t>Cash payments/principal elements on lease liabilities</t>
        </is>
      </c>
      <c r="B34" s="6" t="n">
        <v>-1928</v>
      </c>
      <c r="C34" s="6" t="n">
        <v>-1822</v>
      </c>
      <c r="D34" s="6" t="n">
        <v>-1745</v>
      </c>
      <c r="E34" s="6" t="n">
        <v>-2297</v>
      </c>
      <c r="F34" s="6" t="n">
        <v>-632</v>
      </c>
      <c r="G34" s="6" t="n"/>
      <c r="H34" s="6" t="n"/>
      <c r="I34" s="6" t="n"/>
      <c r="J34" s="6" t="n"/>
    </row>
    <row r="35">
      <c r="A35" s="5" t="inlineStr">
        <is>
          <t>Net cash (used in)/generated from financing activities</t>
        </is>
      </c>
      <c r="B35" s="5" t="n">
        <v>-27173</v>
      </c>
      <c r="C35" s="5" t="n">
        <v>66682</v>
      </c>
      <c r="D35" s="5" t="n">
        <v>118865</v>
      </c>
      <c r="E35" s="5" t="n">
        <v>49405</v>
      </c>
      <c r="F35" s="5" t="n">
        <v>346694</v>
      </c>
      <c r="G35" s="5" t="n">
        <v>126482</v>
      </c>
      <c r="H35" s="5" t="n">
        <v>17369</v>
      </c>
      <c r="I35" s="5" t="n">
        <v>39160</v>
      </c>
      <c r="J35" s="5" t="n">
        <v>0</v>
      </c>
    </row>
    <row r="36">
      <c r="A36" s="5" t="inlineStr">
        <is>
          <t>Net (decrease)/increase in cash and cash equivalents</t>
        </is>
      </c>
      <c r="B36" s="5" t="n">
        <v>-481246</v>
      </c>
      <c r="C36" s="5" t="n">
        <v>1413751</v>
      </c>
      <c r="D36" s="5" t="n">
        <v>-25885</v>
      </c>
      <c r="E36" s="5" t="n">
        <v>1194119</v>
      </c>
      <c r="F36" s="5" t="n">
        <v>168302</v>
      </c>
      <c r="G36" s="5" t="n">
        <v>66632</v>
      </c>
      <c r="H36" s="5" t="n">
        <v>-9685</v>
      </c>
      <c r="I36" s="5" t="n">
        <v>2208</v>
      </c>
      <c r="J36" s="5" t="n">
        <v>194</v>
      </c>
    </row>
    <row r="37">
      <c r="A37" s="6" t="inlineStr">
        <is>
          <t>Cash and cash equivalents at start of year</t>
        </is>
      </c>
      <c r="B37" s="6" t="n">
        <v>2819743</v>
      </c>
      <c r="C37" s="6" t="n">
        <v>1405992</v>
      </c>
      <c r="D37" s="6" t="n">
        <v>1431877</v>
      </c>
      <c r="E37" s="6" t="n">
        <v>237758</v>
      </c>
      <c r="F37" s="6" t="n">
        <v>69456</v>
      </c>
      <c r="G37" s="6" t="n">
        <v>2736</v>
      </c>
      <c r="H37" s="6" t="n">
        <v>12421</v>
      </c>
      <c r="I37" s="6" t="n">
        <v>194</v>
      </c>
      <c r="J37" s="6" t="n">
        <v>0</v>
      </c>
    </row>
    <row r="38">
      <c r="A38" s="5" t="inlineStr">
        <is>
          <t>Cash and cash equivalents at end of year</t>
        </is>
      </c>
      <c r="B38" s="5" t="n">
        <v>2338497</v>
      </c>
      <c r="C38" s="5" t="n">
        <v>2819743</v>
      </c>
      <c r="D38" s="5" t="n">
        <v>1405992</v>
      </c>
      <c r="E38" s="5" t="n">
        <v>1431877</v>
      </c>
      <c r="F38" s="5" t="n">
        <v>237758</v>
      </c>
      <c r="G38" s="5" t="n">
        <v>69368</v>
      </c>
      <c r="H38" s="5" t="n">
        <v>2736</v>
      </c>
      <c r="I38" s="5" t="n">
        <v>2402</v>
      </c>
      <c r="J38" s="5" t="n">
        <v>194</v>
      </c>
    </row>
    <row r="40" ht="340" customHeight="1">
      <c r="A40" s="8" t="inlineStr">
        <is>
          <t>Sources - all figures are Zopa Bank Limited's own Statement of cash flows, £'000:
FY2025 &amp; FY2024: Zopa Bank Limited Annual Report and Accounts 2025, p.101 (Statement of cash flows) - https://www.datocms-assets.com/23873/1773841899-zopa_bank_ar25_web.pdf
FY2023: Zopa Bank Limited Annual Report and Accounts 2023, p.114 (Statement of cash flows) - https://www.datocms-assets.com/23873/1713257733-zopa-group-2023-annual-report-signed_web-version.pdf (cross-checked against its comparative appearance in the 2024 Annual Report, p.111 - https://www.datocms-assets.com/23873/1747055131-zopa-bank-2024-annual-report-signed-web-based.pdf - matched exactly)
FY2022: Zopa Bank Limited Annual Report and Accounts 2022, p.95 (Statement of cash flows) - https://www.datocms-assets.com/23873/1694796852-zopa-bank-annual-report-2022-web.pdf (cross-checked against its comparative appearance in the 2023 Annual Report, p.114 - matched exactly)
FY2021: Zopa Bank Limited Annual Report and Accounts 2021, p.69 (Statement of cash flows) - https://www.datocms-assets.com/23873/1658745948-zopa-bank-annual-report-2021.pdf (cross-checked against its comparative appearance in the 2022 Annual Report, p.95 - matched exactly)
FY2020: Annual Report and Financial Statements 2020, p.30 (Statement of cash flows) - https://www.datocms-assets.com/23873/1658745479-zopa-bank-limited-annual-report-and-financial-statements-2020.pdf
FY2019: Annual Report and Financial Statements 2019, p.24 (Statement of cash flows) - https://find-and-update.company-information.service.gov.uk/company/10627575/filing-history/MzI4NjUxOTIyNmFkaXF6a2N4/document?format=pdf&amp;download=0 (cross-checked against its comparative appearance in the 2020 report - matched exactly)
FY2018: Annual Report and Financial Statements 2018, p.18 (Statement of cash flows) - https://find-and-update.company-information.service.gov.uk/company/10627575/filing-history/MzI0NjEzNjE0OWFkaXF6a2N4/document?format=pdf&amp;download=0
FY2017: Zopa Financial Services Limited Annual Report and Financial Statements 2017, p.13 - https://find-and-update.company-information.service.gov.uk/company/10627575/filing-history/MzIxNTk5NjMyMmFkaXF6a2N4/document?format=pdf&amp;download=0 (re-presented in whole-£'000-rounded form as the comparative column of the FY2018 report, p.18 - both versions used together below; see PRESENTATION NOTE)
Note: the 2021 Annual Report states 'the statement of cash flows has been represented' vs. its own prior-year presentation (details in that report's note 1.9) - not a concern for the FY2021-FY2025 figures shown here, which are all on a mutually consistent, cross-checked basis. Separately, FY2021's own opening cash balance (£69,456k) is £88k above FY2020's own closing cash balance (£69,368k) shown here - FY2020's own note explicitly states its closing cash EXCLUDES £88k of restricted balances, which the FY2021 presentation folds back in; both figures are reproduced exactly as each report states them, not forced to tie.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PRESENTATION NOTE: FY2017-FY2020 predate the current reconciliation format and are mapped onto the existing rows as follows - each year's 'Profit/(loss) before tax' plus a residual 'Non-cash items' figure (the difference between that year's own single 'cash generated from operations' reconciliation line and profit/(loss) before tax) plus 'Changes in operating assets and liabilities' (that year's own operating asset/liability movement lines, summed) together foot exactly to that year's own stated net operating cash flow. FY2018-FY2020 also disclose a small 'Interest received' investing line and (FY2019/FY2020 only) 'Interest paid on intercompany loans' within financing, shown as their own rows, blank in other years.</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Asset Quality</t>
        </is>
      </c>
    </row>
    <row r="2">
      <c r="A2" s="2" t="inlineStr">
        <is>
          <t>Zopa Bank Limited (entity-level), £'000, on-balance sheet loans and advances to customers only. Ties exactly to Balance Sheet net loans for FY2025/FY2024 (after the fair value hedge adjustment) and every other disclosed year; FY2023/FY2022 have a small (&lt;0.1%) genuine gap - see source note, not a plug. FY2017 is genuinely blank (no banking licence, no customer lending that year - see HISTORICAL FLOOR NOTE on the Balance Sheet sheet), not a self-skip. FY2020's unusually high &gt;100% Stage 3 coverage ratio is reproduced exactly as the source states it (a rapidly-growing, then-young auto-loan book with a high loss-given-default assumption that year, per the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gross carrying amount by IFRS 9 stage (on-balance sheet)</t>
        </is>
      </c>
      <c r="B4" s="6" t="n"/>
      <c r="C4" s="6" t="n"/>
      <c r="D4" s="6" t="n"/>
      <c r="E4" s="6" t="n"/>
      <c r="F4" s="6" t="n"/>
      <c r="G4" s="6" t="n"/>
      <c r="H4" s="6" t="n"/>
      <c r="I4" s="6" t="n"/>
    </row>
    <row r="5">
      <c r="A5" s="6" t="inlineStr">
        <is>
          <t>Stage 1 (12-month ECL)</t>
        </is>
      </c>
      <c r="B5" s="6" t="n">
        <v>3337595</v>
      </c>
      <c r="C5" s="6" t="n">
        <v>2728099</v>
      </c>
      <c r="D5" s="6" t="n">
        <v>2336414</v>
      </c>
      <c r="E5" s="6" t="n">
        <v>1794856</v>
      </c>
      <c r="F5" s="6" t="n">
        <v>1151567</v>
      </c>
      <c r="G5" s="6" t="n">
        <v>229988</v>
      </c>
      <c r="H5" s="6" t="n">
        <v>15180</v>
      </c>
      <c r="I5" s="6" t="n">
        <v>6853</v>
      </c>
    </row>
    <row r="6">
      <c r="A6" s="6" t="inlineStr">
        <is>
          <t>Stage 2 (lifetime ECL, not credit-impaired)</t>
        </is>
      </c>
      <c r="B6" s="6" t="n">
        <v>252301</v>
      </c>
      <c r="C6" s="6" t="n">
        <v>228781</v>
      </c>
      <c r="D6" s="6" t="n">
        <v>214897</v>
      </c>
      <c r="E6" s="6" t="n">
        <v>216507</v>
      </c>
      <c r="F6" s="6" t="n">
        <v>55351</v>
      </c>
      <c r="G6" s="6" t="n">
        <v>7346</v>
      </c>
      <c r="H6" s="6" t="n">
        <v>1330</v>
      </c>
      <c r="I6" s="6" t="n">
        <v>310</v>
      </c>
    </row>
    <row r="7">
      <c r="A7" s="6" t="inlineStr">
        <is>
          <t>Stage 3 (lifetime ECL, credit-impaired)</t>
        </is>
      </c>
      <c r="B7" s="6" t="n">
        <v>181656</v>
      </c>
      <c r="C7" s="6" t="n">
        <v>110477</v>
      </c>
      <c r="D7" s="6" t="n">
        <v>97665</v>
      </c>
      <c r="E7" s="6" t="n">
        <v>65747</v>
      </c>
      <c r="F7" s="6" t="n">
        <v>14802</v>
      </c>
      <c r="G7" s="6" t="n">
        <v>732</v>
      </c>
      <c r="H7" s="6" t="n">
        <v>70</v>
      </c>
      <c r="I7" s="6" t="n">
        <v>13</v>
      </c>
    </row>
    <row r="8">
      <c r="A8" s="6" t="inlineStr">
        <is>
          <t>POCI (purchased or originated credit-impaired)</t>
        </is>
      </c>
      <c r="B8" s="6" t="n">
        <v>0</v>
      </c>
      <c r="C8" s="6" t="n">
        <v>450</v>
      </c>
      <c r="D8" s="6" t="n">
        <v>1305</v>
      </c>
      <c r="E8" s="6" t="n">
        <v>3743</v>
      </c>
      <c r="F8" s="6" t="n">
        <v>4725</v>
      </c>
      <c r="G8" s="6" t="n"/>
      <c r="H8" s="6" t="n"/>
      <c r="I8" s="6" t="n"/>
    </row>
    <row r="9">
      <c r="A9" s="5" t="inlineStr">
        <is>
          <t>Total gross carrying amount</t>
        </is>
      </c>
      <c r="B9" s="5" t="n">
        <v>3771552</v>
      </c>
      <c r="C9" s="5" t="n">
        <v>3067807</v>
      </c>
      <c r="D9" s="5" t="n">
        <v>2650281</v>
      </c>
      <c r="E9" s="5" t="n">
        <v>2080853</v>
      </c>
      <c r="F9" s="5" t="n">
        <v>1226445</v>
      </c>
      <c r="G9" s="5" t="n">
        <v>238066</v>
      </c>
      <c r="H9" s="5" t="n">
        <v>16580</v>
      </c>
      <c r="I9" s="5" t="n">
        <v>7176</v>
      </c>
    </row>
    <row r="10">
      <c r="A10" s="5" t="inlineStr">
        <is>
          <t>ECL allowance by IFRS 9 stage (on-balance sheet)</t>
        </is>
      </c>
      <c r="B10" s="6" t="n"/>
      <c r="C10" s="6" t="n"/>
      <c r="D10" s="6" t="n"/>
      <c r="E10" s="6" t="n"/>
      <c r="F10" s="6" t="n"/>
      <c r="G10" s="6" t="n"/>
      <c r="H10" s="6" t="n"/>
      <c r="I10" s="6" t="n"/>
    </row>
    <row r="11">
      <c r="A11" s="6" t="inlineStr">
        <is>
          <t>Stage 1 allowance</t>
        </is>
      </c>
      <c r="B11" s="6" t="n">
        <v>75836</v>
      </c>
      <c r="C11" s="6" t="n">
        <v>58414</v>
      </c>
      <c r="D11" s="6" t="n">
        <v>44313</v>
      </c>
      <c r="E11" s="6" t="n">
        <v>38924</v>
      </c>
      <c r="F11" s="6" t="n">
        <v>27069</v>
      </c>
      <c r="G11" s="6" t="n">
        <v>9649</v>
      </c>
      <c r="H11" s="6" t="n">
        <v>98</v>
      </c>
      <c r="I11" s="6" t="n">
        <v>29</v>
      </c>
    </row>
    <row r="12">
      <c r="A12" s="6" t="inlineStr">
        <is>
          <t>Stage 2 allowance</t>
        </is>
      </c>
      <c r="B12" s="6" t="n">
        <v>71644</v>
      </c>
      <c r="C12" s="6" t="n">
        <v>67210</v>
      </c>
      <c r="D12" s="6" t="n">
        <v>60155</v>
      </c>
      <c r="E12" s="6" t="n">
        <v>53373</v>
      </c>
      <c r="F12" s="6" t="n">
        <v>15713</v>
      </c>
      <c r="G12" s="6" t="n">
        <v>2075</v>
      </c>
      <c r="H12" s="6" t="n">
        <v>65</v>
      </c>
      <c r="I12" s="6" t="n">
        <v>15</v>
      </c>
    </row>
    <row r="13">
      <c r="A13" s="6" t="inlineStr">
        <is>
          <t>Stage 3 allowance</t>
        </is>
      </c>
      <c r="B13" s="6" t="n">
        <v>121455</v>
      </c>
      <c r="C13" s="6" t="n">
        <v>75822</v>
      </c>
      <c r="D13" s="6" t="n">
        <v>69847</v>
      </c>
      <c r="E13" s="6" t="n">
        <v>48454</v>
      </c>
      <c r="F13" s="6" t="n">
        <v>10650</v>
      </c>
      <c r="G13" s="6" t="n">
        <v>952</v>
      </c>
      <c r="H13" s="6" t="n">
        <v>45</v>
      </c>
      <c r="I13" s="6" t="n">
        <v>6</v>
      </c>
    </row>
    <row r="14">
      <c r="A14" s="6" t="inlineStr">
        <is>
          <t>POCI allowance</t>
        </is>
      </c>
      <c r="B14" s="6" t="n"/>
      <c r="C14" s="6" t="n">
        <v>12</v>
      </c>
      <c r="D14" s="6" t="n">
        <v>49</v>
      </c>
      <c r="E14" s="6" t="n">
        <v>334</v>
      </c>
      <c r="F14" s="6" t="n"/>
      <c r="G14" s="6" t="n"/>
      <c r="H14" s="6" t="n"/>
      <c r="I14" s="6" t="n"/>
    </row>
    <row r="15">
      <c r="A15" s="5" t="inlineStr">
        <is>
          <t>Total ECL allowance</t>
        </is>
      </c>
      <c r="B15" s="5" t="n">
        <v>268935</v>
      </c>
      <c r="C15" s="5" t="n">
        <v>201458</v>
      </c>
      <c r="D15" s="5" t="n">
        <v>174364</v>
      </c>
      <c r="E15" s="5" t="n">
        <v>141085</v>
      </c>
      <c r="F15" s="5" t="n">
        <v>53432</v>
      </c>
      <c r="G15" s="5" t="n">
        <v>12676</v>
      </c>
      <c r="H15" s="5" t="n">
        <v>208</v>
      </c>
      <c r="I15" s="5" t="n">
        <v>50</v>
      </c>
    </row>
    <row r="16">
      <c r="A16" s="5" t="inlineStr">
        <is>
          <t>Net loans and advances to customers (on-balance sheet)</t>
        </is>
      </c>
      <c r="B16" s="5" t="n">
        <v>3502617</v>
      </c>
      <c r="C16" s="5" t="n">
        <v>2866349</v>
      </c>
      <c r="D16" s="5" t="n">
        <v>2475917</v>
      </c>
      <c r="E16" s="5" t="n">
        <v>1939768</v>
      </c>
      <c r="F16" s="5" t="n">
        <v>1173013</v>
      </c>
      <c r="G16" s="5" t="n">
        <v>225390</v>
      </c>
      <c r="H16" s="5" t="n">
        <v>16372</v>
      </c>
      <c r="I16" s="5" t="n">
        <v>7126</v>
      </c>
    </row>
    <row r="17">
      <c r="A17" s="5" t="inlineStr">
        <is>
          <t>Asset quality ratios</t>
        </is>
      </c>
      <c r="B17" s="6" t="n"/>
      <c r="C17" s="6" t="n"/>
      <c r="D17" s="6" t="n"/>
      <c r="E17" s="6" t="n"/>
      <c r="F17" s="6" t="n"/>
      <c r="G17" s="6" t="n"/>
      <c r="H17" s="6" t="n"/>
      <c r="I17" s="6" t="n"/>
    </row>
    <row r="18">
      <c r="A18" s="6" t="inlineStr">
        <is>
          <t>NPL ratio (Stage 3 gross / Total gross)</t>
        </is>
      </c>
      <c r="B18" s="6" t="inlineStr">
        <is>
          <t>4.82%</t>
        </is>
      </c>
      <c r="C18" s="6" t="inlineStr">
        <is>
          <t>3.60%</t>
        </is>
      </c>
      <c r="D18" s="6" t="inlineStr">
        <is>
          <t>3.69%</t>
        </is>
      </c>
      <c r="E18" s="6" t="inlineStr">
        <is>
          <t>3.16%</t>
        </is>
      </c>
      <c r="F18" s="6" t="inlineStr">
        <is>
          <t>1.21%</t>
        </is>
      </c>
      <c r="G18" s="6" t="inlineStr">
        <is>
          <t>0.31%</t>
        </is>
      </c>
      <c r="H18" s="6" t="inlineStr">
        <is>
          <t>0.42%</t>
        </is>
      </c>
      <c r="I18" s="6" t="inlineStr">
        <is>
          <t>0.18%</t>
        </is>
      </c>
    </row>
    <row r="19">
      <c r="A19" s="6" t="inlineStr">
        <is>
          <t>Coverage ratio (Total ECL allowance / Total gross)</t>
        </is>
      </c>
      <c r="B19" s="6" t="inlineStr">
        <is>
          <t>7.13%</t>
        </is>
      </c>
      <c r="C19" s="6" t="inlineStr">
        <is>
          <t>6.57%</t>
        </is>
      </c>
      <c r="D19" s="6" t="inlineStr">
        <is>
          <t>6.58%</t>
        </is>
      </c>
      <c r="E19" s="6" t="inlineStr">
        <is>
          <t>6.78%</t>
        </is>
      </c>
      <c r="F19" s="6" t="inlineStr">
        <is>
          <t>4.36%</t>
        </is>
      </c>
      <c r="G19" s="6" t="inlineStr">
        <is>
          <t>5.32%</t>
        </is>
      </c>
      <c r="H19" s="6" t="inlineStr">
        <is>
          <t>1.25%</t>
        </is>
      </c>
      <c r="I19" s="6" t="inlineStr">
        <is>
          <t>0.70%</t>
        </is>
      </c>
    </row>
    <row r="20">
      <c r="A20" s="6" t="inlineStr">
        <is>
          <t>Stage 3 coverage ratio (Stage 3 allowance / Stage 3 gross)</t>
        </is>
      </c>
      <c r="B20" s="6" t="inlineStr">
        <is>
          <t>66.86%</t>
        </is>
      </c>
      <c r="C20" s="6" t="inlineStr">
        <is>
          <t>68.63%</t>
        </is>
      </c>
      <c r="D20" s="6" t="inlineStr">
        <is>
          <t>71.52%</t>
        </is>
      </c>
      <c r="E20" s="6" t="inlineStr">
        <is>
          <t>73.70%</t>
        </is>
      </c>
      <c r="F20" s="6" t="inlineStr">
        <is>
          <t>71.95%</t>
        </is>
      </c>
      <c r="G20" s="6" t="inlineStr">
        <is>
          <t>130.05%</t>
        </is>
      </c>
      <c r="H20" s="6" t="inlineStr">
        <is>
          <t>64.29%</t>
        </is>
      </c>
      <c r="I20" s="6" t="inlineStr">
        <is>
          <t>46.15%</t>
        </is>
      </c>
    </row>
    <row r="22" ht="360" customHeight="1">
      <c r="A22" s="8" t="inlineStr">
        <is>
          <t>Sources - Zopa Bank Limited entity-level credit quality disclosures (on-balance sheet loans and advances to customers only), £'000:
FY2025/FY2024: Annual Report and Accounts 2025, Note 37.1.11 'Credit performance' and Note 37.1.12 'Credit quality', p.158 - https://www.datocms-assets.com/23873/1773841899-zopa_bank_ar25_web.pdf
FY2023/FY2022: Annual Report and Accounts 2023, Note 37.1.11 'Credit performance' and Note 37.1.12 'Credit quality', p.167 - https://www.datocms-assets.com/23873/1713257733-zopa-group-2023-annual-report-signed_web-version.pdf
FY2021: Annual Report and Accounts 2021, Note 34.1.10 'Rating distribution' (Zopa risk ratings tier table), p.107-108 - aggregated across all 4 Tier bands to a single Stage 1/2/3 figure, since no consolidated by-stage summary table exists in this earlier report vintage - https://www.datocms-assets.com/23873/1658745948-zopa-bank-annual-report-2021.pdf
FY2020: Annual Report and Financial Statements 2020, Note 13 'Loans and advances to customers' and the ECL/gross-carrying-amount stage tables in Note 24(a), p.56-57 - https://www.datocms-assets.com/23873/1658745479-zopa-bank-limited-annual-report-and-financial-statements-2020.pdf
FY2019: Annual Report and Financial Statements 2019, Note 24(a) 'Credit risk' stage tables, p.49-50 - https://find-and-update.company-information.service.gov.uk/company/10627575/filing-history/MzI4NjUxOTIyNmFkaXF6a2N4/document?format=pdf&amp;download=0 (cross-checked against its comparative appearance in the 2020 Annual Report, p.56-57 - matched exactly)
FY2018: Annual Report and Financial Statements 2018, Note 3 'Management of financial risks' stage tables, p.30 - https://find-and-update.company-information.service.gov.uk/company/10627575/filing-history/MzI0NjEzNjE0OWFkaXF6a2N4/document?format=pdf&amp;download=0 (cross-checked against its comparative appearance in the 2019 Annual Report, p.49-50 - matched exactly)
FY2017: not applicable - Zopa Financial Services Limited had no banking licence and no customer lending that year (the only 'loan' on its FY2017 balance sheet is a rental deposit - see Balance Sheet sheet). Left blank, not a self-skip.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GENUINE, IMMATERIAL DISCREPANCY (not forced to tie): FY2023's on-balance sheet net figure (£2,475,917k) is £2,296k below the Balance Sheet's own Loans and advances to customers line (£2,478,213k); FY2022's (£1,939,768k) is £1,804k above the Balance Sheet's own figure (£1,937,964k). Both gaps are under 0.1% of the balance and are reproduced exactly as each note states them, not plugged. FY2025/FY2024 tie exactly once the Balance Sheet's own fair value hedge adjustment (+£4,037k / -£714k, see Balance Sheet sheet note 14) is added back; FY2021/FY2020/FY2019/FY2018 tie exactly with no adjustment needed.</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Zopa Bank Limited — KM1 Key Metrics</t>
        </is>
      </c>
    </row>
    <row r="2">
      <c r="A2" s="2" t="inlineStr">
        <is>
          <t>The Bank-only Table 5 UK KM1, reproduced in its own row order, row numbering and precision. Amounts are £m; LCR/NSFR figures are trailing-period averages as described by Zopa.</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489</v>
      </c>
      <c r="C5" s="6" t="n">
        <v>448</v>
      </c>
      <c r="D5" s="6" t="n">
        <v>364</v>
      </c>
      <c r="E5" s="6" t="n">
        <v>290</v>
      </c>
      <c r="F5" s="6" t="n">
        <v>243</v>
      </c>
    </row>
    <row r="6">
      <c r="A6" s="6" t="inlineStr">
        <is>
          <t>2 Tier 1 capital (£m)</t>
        </is>
      </c>
      <c r="B6" s="6" t="n">
        <v>567</v>
      </c>
      <c r="C6" s="6" t="n">
        <v>448</v>
      </c>
      <c r="D6" s="6" t="n">
        <v>364</v>
      </c>
      <c r="E6" s="6" t="n">
        <v>290</v>
      </c>
      <c r="F6" s="6" t="n">
        <v>243</v>
      </c>
    </row>
    <row r="7">
      <c r="A7" s="6" t="inlineStr">
        <is>
          <t>3 Total capital (£m)</t>
        </is>
      </c>
      <c r="B7" s="6" t="n">
        <v>642</v>
      </c>
      <c r="C7" s="6" t="n">
        <v>523</v>
      </c>
      <c r="D7" s="6" t="n">
        <v>439</v>
      </c>
      <c r="E7" s="6" t="n">
        <v>290</v>
      </c>
      <c r="F7" s="6" t="n">
        <v>243</v>
      </c>
    </row>
    <row r="8">
      <c r="A8" s="5" t="inlineStr">
        <is>
          <t>Risk-weighted exposure amounts</t>
        </is>
      </c>
      <c r="B8" s="6" t="n"/>
      <c r="C8" s="6" t="n"/>
      <c r="D8" s="6" t="n"/>
      <c r="E8" s="6" t="n"/>
      <c r="F8" s="6" t="n"/>
    </row>
    <row r="9">
      <c r="A9" s="6" t="inlineStr">
        <is>
          <t>4 Total risk-weighted exposure amount (£m)</t>
        </is>
      </c>
      <c r="B9" s="6" t="n">
        <v>3364</v>
      </c>
      <c r="C9" s="6" t="n">
        <v>2670</v>
      </c>
      <c r="D9" s="6" t="n">
        <v>2205</v>
      </c>
      <c r="E9" s="6" t="n">
        <v>1663</v>
      </c>
      <c r="F9" s="6" t="n">
        <v>1060</v>
      </c>
    </row>
    <row r="10">
      <c r="A10" s="5" t="inlineStr">
        <is>
          <t>Capital ratios (as a percentage of risk-weighted exposure amount)</t>
        </is>
      </c>
      <c r="B10" s="6" t="n"/>
      <c r="C10" s="6" t="n"/>
      <c r="D10" s="6" t="n"/>
      <c r="E10" s="6" t="n"/>
      <c r="F10" s="6" t="n"/>
    </row>
    <row r="11">
      <c r="A11" s="6" t="inlineStr">
        <is>
          <t>5 Common Equity Tier 1 ratio (%)</t>
        </is>
      </c>
      <c r="B11" s="6" t="inlineStr">
        <is>
          <t>14.54%</t>
        </is>
      </c>
      <c r="C11" s="6" t="inlineStr">
        <is>
          <t>16.76%</t>
        </is>
      </c>
      <c r="D11" s="6" t="inlineStr">
        <is>
          <t>16.50%</t>
        </is>
      </c>
      <c r="E11" s="6" t="inlineStr">
        <is>
          <t>17.44%</t>
        </is>
      </c>
      <c r="F11" s="6" t="inlineStr">
        <is>
          <t>22.92%</t>
        </is>
      </c>
    </row>
    <row r="12">
      <c r="A12" s="6" t="inlineStr">
        <is>
          <t>6 Tier 1 ratio (%)</t>
        </is>
      </c>
      <c r="B12" s="6" t="inlineStr">
        <is>
          <t>16.87%</t>
        </is>
      </c>
      <c r="C12" s="6" t="inlineStr">
        <is>
          <t>16.76%</t>
        </is>
      </c>
      <c r="D12" s="6" t="inlineStr">
        <is>
          <t>16.50%</t>
        </is>
      </c>
      <c r="E12" s="6" t="inlineStr">
        <is>
          <t>17.44%</t>
        </is>
      </c>
      <c r="F12" s="6" t="inlineStr">
        <is>
          <t>22.92%</t>
        </is>
      </c>
    </row>
    <row r="13">
      <c r="A13" s="6" t="inlineStr">
        <is>
          <t>7 Total capital ratio (%)</t>
        </is>
      </c>
      <c r="B13" s="6" t="inlineStr">
        <is>
          <t>19.10%</t>
        </is>
      </c>
      <c r="C13" s="6" t="inlineStr">
        <is>
          <t>19.57%</t>
        </is>
      </c>
      <c r="D13" s="6" t="inlineStr">
        <is>
          <t>19.90%</t>
        </is>
      </c>
      <c r="E13" s="6" t="inlineStr">
        <is>
          <t>17.44%</t>
        </is>
      </c>
      <c r="F13" s="6" t="inlineStr">
        <is>
          <t>22.92%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1.30%</t>
        </is>
      </c>
      <c r="C15" s="6" t="inlineStr">
        <is>
          <t>1.96%</t>
        </is>
      </c>
      <c r="D15" s="6" t="inlineStr">
        <is>
          <t>1.96%</t>
        </is>
      </c>
      <c r="E15" s="6" t="inlineStr">
        <is>
          <t>1.79%</t>
        </is>
      </c>
      <c r="F15" s="6" t="inlineStr">
        <is>
          <t>1.79%</t>
        </is>
      </c>
    </row>
    <row r="16">
      <c r="A16" s="6" t="inlineStr">
        <is>
          <t>UK 7b Additional AT1 SREP requirements (%)</t>
        </is>
      </c>
      <c r="B16" s="6" t="inlineStr">
        <is>
          <t>0.43%</t>
        </is>
      </c>
      <c r="C16" s="6" t="inlineStr">
        <is>
          <t>0.65%</t>
        </is>
      </c>
      <c r="D16" s="6" t="inlineStr">
        <is>
          <t>0.65%</t>
        </is>
      </c>
      <c r="E16" s="6" t="inlineStr">
        <is>
          <t>0.60%</t>
        </is>
      </c>
      <c r="F16" s="6" t="inlineStr">
        <is>
          <t>0.60%</t>
        </is>
      </c>
    </row>
    <row r="17">
      <c r="A17" s="6" t="inlineStr">
        <is>
          <t>UK 7c Additional T2 SREP requirements (%)</t>
        </is>
      </c>
      <c r="B17" s="6" t="inlineStr">
        <is>
          <t>0.58%</t>
        </is>
      </c>
      <c r="C17" s="6" t="inlineStr">
        <is>
          <t>0.87%</t>
        </is>
      </c>
      <c r="D17" s="6" t="inlineStr">
        <is>
          <t>0.87%</t>
        </is>
      </c>
      <c r="E17" s="6" t="inlineStr">
        <is>
          <t>0.80%</t>
        </is>
      </c>
      <c r="F17" s="6" t="inlineStr">
        <is>
          <t>0.80%</t>
        </is>
      </c>
    </row>
    <row r="18">
      <c r="A18" s="6" t="inlineStr">
        <is>
          <t>UK 7d Total SREP own funds requirements (%)</t>
        </is>
      </c>
      <c r="B18" s="6" t="inlineStr">
        <is>
          <t>10.31%</t>
        </is>
      </c>
      <c r="C18" s="6" t="inlineStr">
        <is>
          <t>11.48%</t>
        </is>
      </c>
      <c r="D18" s="6" t="inlineStr">
        <is>
          <t>11.48%</t>
        </is>
      </c>
      <c r="E18" s="6" t="inlineStr">
        <is>
          <t>11.18%</t>
        </is>
      </c>
      <c r="F18" s="6" t="inlineStr">
        <is>
          <t>11.18%</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2.00%</t>
        </is>
      </c>
      <c r="C21" s="6" t="inlineStr">
        <is>
          <t>2.00%</t>
        </is>
      </c>
      <c r="D21" s="6" t="inlineStr">
        <is>
          <t>2.00%</t>
        </is>
      </c>
      <c r="E21" s="6" t="inlineStr">
        <is>
          <t>1.00%</t>
        </is>
      </c>
      <c r="F21" s="6" t="inlineStr">
        <is>
          <t>-</t>
        </is>
      </c>
    </row>
    <row r="22">
      <c r="A22" s="6" t="inlineStr">
        <is>
          <t>11 Combined buffer requirement (%)</t>
        </is>
      </c>
      <c r="B22" s="6" t="inlineStr">
        <is>
          <t>4.50%</t>
        </is>
      </c>
      <c r="C22" s="6" t="inlineStr">
        <is>
          <t>4.50%</t>
        </is>
      </c>
      <c r="D22" s="6" t="inlineStr">
        <is>
          <t>4.50%</t>
        </is>
      </c>
      <c r="E22" s="6" t="inlineStr">
        <is>
          <t>3.50%</t>
        </is>
      </c>
      <c r="F22" s="6" t="inlineStr">
        <is>
          <t>2.50%</t>
        </is>
      </c>
    </row>
    <row r="23">
      <c r="A23" s="6" t="inlineStr">
        <is>
          <t>UK 11a Overall capital requirements (%)</t>
        </is>
      </c>
      <c r="B23" s="6" t="inlineStr">
        <is>
          <t>14.81%</t>
        </is>
      </c>
      <c r="C23" s="6" t="inlineStr">
        <is>
          <t>15.98%</t>
        </is>
      </c>
      <c r="D23" s="6" t="inlineStr">
        <is>
          <t>15.98%</t>
        </is>
      </c>
      <c r="E23" s="6" t="inlineStr">
        <is>
          <t>14.68%</t>
        </is>
      </c>
      <c r="F23" s="6" t="inlineStr">
        <is>
          <t>13.96%</t>
        </is>
      </c>
    </row>
    <row r="24">
      <c r="A24" s="6" t="inlineStr">
        <is>
          <t>12 CET1 available after meeting the total SREP own funds requirements (%)</t>
        </is>
      </c>
      <c r="B24" s="6" t="inlineStr">
        <is>
          <t>8.74%</t>
        </is>
      </c>
      <c r="C24" s="6" t="inlineStr">
        <is>
          <t>10.31%</t>
        </is>
      </c>
      <c r="D24" s="6" t="inlineStr">
        <is>
          <t>10.05%</t>
        </is>
      </c>
      <c r="E24" s="6" t="inlineStr">
        <is>
          <t>11.16%</t>
        </is>
      </c>
      <c r="F24" s="6" t="inlineStr">
        <is>
          <t>16.63%</t>
        </is>
      </c>
    </row>
    <row r="25">
      <c r="A25" s="5" t="inlineStr">
        <is>
          <t>Leverage ratio</t>
        </is>
      </c>
      <c r="B25" s="6" t="n"/>
      <c r="C25" s="6" t="n"/>
      <c r="D25" s="6" t="n"/>
      <c r="E25" s="6" t="n"/>
      <c r="F25" s="6" t="n"/>
    </row>
    <row r="26">
      <c r="A26" s="6" t="inlineStr">
        <is>
          <t>13 Total exposure measure excluding claims on central banks (£m)</t>
        </is>
      </c>
      <c r="B26" s="6" t="n">
        <v>4998</v>
      </c>
      <c r="C26" s="6" t="n">
        <v>3445</v>
      </c>
      <c r="D26" s="6" t="n">
        <v>2699</v>
      </c>
      <c r="E26" s="6" t="n">
        <v>2024</v>
      </c>
      <c r="F26" s="6" t="inlineStr">
        <is>
          <t>-</t>
        </is>
      </c>
    </row>
    <row r="27">
      <c r="A27" s="6" t="inlineStr">
        <is>
          <t>14 Leverage ratio excluding claims on central banks (%)</t>
        </is>
      </c>
      <c r="B27" s="6" t="inlineStr">
        <is>
          <t>11.36%</t>
        </is>
      </c>
      <c r="C27" s="6" t="inlineStr">
        <is>
          <t>12.99%</t>
        </is>
      </c>
      <c r="D27" s="6" t="inlineStr">
        <is>
          <t>13.48%</t>
        </is>
      </c>
      <c r="E27" s="6" t="inlineStr">
        <is>
          <t>14.34%</t>
        </is>
      </c>
      <c r="F27" s="6" t="inlineStr">
        <is>
          <t>-</t>
        </is>
      </c>
    </row>
    <row r="28">
      <c r="A28" s="5" t="inlineStr">
        <is>
          <t>Liquidity Coverage Ratio</t>
        </is>
      </c>
      <c r="B28" s="6" t="n"/>
      <c r="C28" s="6" t="n"/>
      <c r="D28" s="6" t="n"/>
      <c r="E28" s="6" t="n"/>
      <c r="F28" s="6" t="n"/>
    </row>
    <row r="29">
      <c r="A29" s="6" t="inlineStr">
        <is>
          <t>15 Total high-quality liquid assets (HQLA) (Weighted value - average) (£m)</t>
        </is>
      </c>
      <c r="B29" s="6" t="n">
        <v>2970</v>
      </c>
      <c r="C29" s="6" t="n">
        <v>2347</v>
      </c>
      <c r="D29" s="6" t="n">
        <v>1701</v>
      </c>
      <c r="E29" s="6" t="n">
        <v>626</v>
      </c>
      <c r="F29" s="6" t="inlineStr">
        <is>
          <t>-</t>
        </is>
      </c>
    </row>
    <row r="30">
      <c r="A30" s="6" t="inlineStr">
        <is>
          <t>UK 16a Cash outflows - Total weighted value (£m)</t>
        </is>
      </c>
      <c r="B30" s="6" t="n">
        <v>755</v>
      </c>
      <c r="C30" s="6" t="n">
        <v>550</v>
      </c>
      <c r="D30" s="6" t="n">
        <v>312</v>
      </c>
      <c r="E30" s="6" t="n">
        <v>97</v>
      </c>
      <c r="F30" s="6" t="inlineStr">
        <is>
          <t>-</t>
        </is>
      </c>
    </row>
    <row r="31">
      <c r="A31" s="6" t="inlineStr">
        <is>
          <t>UK 16b Cash inflows - Total weighted value (£m)</t>
        </is>
      </c>
      <c r="B31" s="6" t="n">
        <v>140</v>
      </c>
      <c r="C31" s="6" t="n">
        <v>120</v>
      </c>
      <c r="D31" s="6" t="n">
        <v>79</v>
      </c>
      <c r="E31" s="6" t="n">
        <v>36</v>
      </c>
      <c r="F31" s="6" t="inlineStr">
        <is>
          <t>-</t>
        </is>
      </c>
    </row>
    <row r="32">
      <c r="A32" s="6" t="inlineStr">
        <is>
          <t>16 Total net cash outflows (adjusted value) (£m)</t>
        </is>
      </c>
      <c r="B32" s="6" t="n">
        <v>614</v>
      </c>
      <c r="C32" s="6" t="n">
        <v>430</v>
      </c>
      <c r="D32" s="6" t="n">
        <v>233</v>
      </c>
      <c r="E32" s="6" t="n">
        <v>61</v>
      </c>
      <c r="F32" s="6" t="inlineStr">
        <is>
          <t>-</t>
        </is>
      </c>
    </row>
    <row r="33">
      <c r="A33" s="6" t="inlineStr">
        <is>
          <t>17 Liquidity coverage ratio (%)</t>
        </is>
      </c>
      <c r="B33" s="6" t="inlineStr">
        <is>
          <t>484%</t>
        </is>
      </c>
      <c r="C33" s="6" t="inlineStr">
        <is>
          <t>546%</t>
        </is>
      </c>
      <c r="D33" s="6" t="inlineStr">
        <is>
          <t>730%</t>
        </is>
      </c>
      <c r="E33" s="6" t="inlineStr">
        <is>
          <t>1,033%</t>
        </is>
      </c>
      <c r="F33" s="6" t="inlineStr">
        <is>
          <t>-</t>
        </is>
      </c>
    </row>
    <row r="34">
      <c r="A34" s="5" t="inlineStr">
        <is>
          <t>Net Stable Funding Ratio</t>
        </is>
      </c>
      <c r="B34" s="6" t="n"/>
      <c r="C34" s="6" t="n"/>
      <c r="D34" s="6" t="n"/>
      <c r="E34" s="6" t="n"/>
      <c r="F34" s="6" t="n"/>
    </row>
    <row r="35">
      <c r="A35" s="6" t="inlineStr">
        <is>
          <t>18 Total available stable funding (£m)</t>
        </is>
      </c>
      <c r="B35" s="6" t="n">
        <v>5761</v>
      </c>
      <c r="C35" s="6" t="n">
        <v>4918</v>
      </c>
      <c r="D35" s="6" t="n">
        <v>3701</v>
      </c>
      <c r="E35" s="6" t="n"/>
      <c r="F35" s="6" t="n"/>
    </row>
    <row r="36">
      <c r="A36" s="6" t="inlineStr">
        <is>
          <t>19 Total required stable funding (£m)</t>
        </is>
      </c>
      <c r="B36" s="6" t="n">
        <v>2562</v>
      </c>
      <c r="C36" s="6" t="n">
        <v>2162</v>
      </c>
      <c r="D36" s="6" t="n">
        <v>1785</v>
      </c>
      <c r="E36" s="6" t="n"/>
      <c r="F36" s="6" t="n"/>
    </row>
    <row r="37">
      <c r="A37" s="6" t="inlineStr">
        <is>
          <t>20 NSFR ratio (%)</t>
        </is>
      </c>
      <c r="B37" s="6" t="inlineStr">
        <is>
          <t>225%</t>
        </is>
      </c>
      <c r="C37" s="6" t="inlineStr">
        <is>
          <t>227%</t>
        </is>
      </c>
      <c r="D37" s="6" t="inlineStr">
        <is>
          <t>207%</t>
        </is>
      </c>
      <c r="E37" s="6" t="n"/>
      <c r="F37" s="6" t="n"/>
    </row>
    <row r="39" ht="310" customHeight="1">
      <c r="A39" s="8" t="inlineStr">
        <is>
          <t xml:space="preserve">Sources — Zopa Bank Limited's own entity-level Table 5: UK KM1 – Key metrics table, £m; the wider Group Table 2 in the same documents was deliberately not used:
FY2025: 2025 Pillar 3, printed pp.14-15 — https://www.datocms-assets.com/23873/1773842098-12-25-pillar-3-disclosures.pdf
FY2024: 2024 Pillar 3, printed pp.14-15 — https://www.datocms-assets.com/23873/1745405670-2024-zopa-bank-pillar-3-disclosures.pdf
FY2023: 2023 Pillar 3, printed pp.14-15 — https://www.datocms-assets.com/23873/1715596314-2023-pillar-3-disclosures-final.pdf
FY2022: 2022 Pillar 3, printed pp.13-14 — https://www.datocms-assets.com/23873/1696603046-2022-pillar-3-disclosures-final_051023.pdf
FY2021: 2022 Pillar 3 comparative column, printed pp.13-14 — https://www.datocms-assets.com/23873/1696603046-2022-pillar-3-disclosures-final_051023.pdf
Each FY2022-FY2025 column uses its own edition; FY2021 uses the first later-edition comparative because Zopa had not yet published an entity-level UK KM1. Row 9 for FY2021 carries a literal '-' because the 2022 edition prints a dash in that column - re-read on 2026-09-18, where the same row prints '1.00%' for 2022 beside it - and a dash is the Bank saying the buffer did not apply, not a figure it withheld. The source's explicit 'n/a' leverage and LCR cells (rows 13-17, Dec-21 column) are carried as '-' per KM1 map rule 2 (GA-020, 2026-09-19): the glyph the 2022 edition prints is lowercase 'n/a'. Rows 18-20 were omitted from the 2022 template because the Bank states NSFR was not applicable until 1 January 2023, so FY2021/FY2022 are blank. No UK KM1 exists for FY2017-FY2020 and those columns remain blank. Zopa's live investor-information page was checked on 17 September 2026: FY2025 remains the newest annual Pillar 3 edition; the H1 2026 disclosure is interim and does not replace a year-end column.
ROWS 1, 2 AND 3 ARE EQUAL IN THE SOURCE FOR FY2022 AND FY2021 - READ FROM THE DOCUMENT ON 2026-09-18 AND RECORDED HERE SO THE QUESTION IS NOT RE-OPENED. The Pillar 3 Disclosures 2022 prints 290 on rows 1, 2 and 3 at Dec-22 and 243 at Dec-21, with no Additional Tier 1 or Tier 2 line populated. ENTITY: that edition prints the template TWICE - Table 2 headed 'GROUP' and Table 5 headed 'Bank'. This sheet is the BANK series. The two tables agree at Dec-22 (290 on both) and differ at Dec-21 (Group 255, Bank 243), so the Dec-21 column is the only place where the choice of table is visible at all. FY2024 and FY2023 are DISTINCT in the source (448 against 523; 364 against 439) and are held that way here.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CET1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489</v>
      </c>
      <c r="C4" s="6" t="n">
        <v>448</v>
      </c>
      <c r="D4" s="6" t="n">
        <v>364</v>
      </c>
      <c r="E4" s="6" t="n">
        <v>290</v>
      </c>
      <c r="F4" s="6" t="n">
        <v>243</v>
      </c>
      <c r="G4" s="6" t="n">
        <v>115.4</v>
      </c>
      <c r="H4" s="6" t="n">
        <v>13.3</v>
      </c>
      <c r="I4" s="6" t="n">
        <v>15.6</v>
      </c>
    </row>
    <row r="5" ht="60" customHeight="1">
      <c r="A5" s="7" t="inlineStr">
        <is>
          <t>Note: FY2017: not applicable - Zopa Financial Services Limited had no banking licence and no regulatory capital of any kind that year. FY2018 is the first year of any capital disclosure (restricted banking licence granted December 2018).</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CET1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14.54%</t>
        </is>
      </c>
      <c r="C4" s="6" t="inlineStr">
        <is>
          <t>16.76%</t>
        </is>
      </c>
      <c r="D4" s="6" t="inlineStr">
        <is>
          <t>16.50%</t>
        </is>
      </c>
      <c r="E4" s="6" t="inlineStr">
        <is>
          <t>17.44%</t>
        </is>
      </c>
      <c r="F4" s="6" t="inlineStr">
        <is>
          <t>22.92%</t>
        </is>
      </c>
      <c r="G4" s="6" t="inlineStr">
        <is>
          <t>29%</t>
        </is>
      </c>
      <c r="H4" s="6" t="inlineStr">
        <is>
          <t>25.1%</t>
        </is>
      </c>
      <c r="I4" s="6" t="inlineStr">
        <is>
          <t>19%</t>
        </is>
      </c>
    </row>
    <row r="5" ht="60" customHeight="1">
      <c r="A5" s="7" t="inlineStr">
        <is>
          <t>Note: FY2020 ADDED 2026-09-18: 29%, printed as the 2020 comparative in the Annual Report and Accounts 2021's Financial review capital table (p.22), a Bank-level table headed 'Bank | 2021 | 2020 | Change'. It is a comparative, not an own-year disclosure, and is whole-percent as the Bank prints it - note that the same table's 2021 column reads 23% where this row's FY2021 figure, taken from the KM1 template, is 22.92%, so the two sources agree to the Bank's own rounding. FY2019 remains genuinely blank: its Annual Report (an image-only scan, OCR'd in full) discloses CET1 capital only, no RWA and no ratio, and no later report carries a 2019 comparative for either. FY2018's 19% is an unaudited Pillar 1 figure the Bank itself flags as 'not covered by the external auditor's opinion'.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Tier 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567</v>
      </c>
      <c r="C4" s="6" t="n">
        <v>448</v>
      </c>
      <c r="D4" s="6" t="n">
        <v>364</v>
      </c>
      <c r="E4" s="6" t="n">
        <v>290</v>
      </c>
      <c r="F4" s="6" t="n">
        <v>243</v>
      </c>
      <c r="G4" s="6" t="n">
        <v>115.4</v>
      </c>
      <c r="H4" s="6" t="n">
        <v>13.3</v>
      </c>
      <c r="I4" s="6" t="n">
        <v>15.6</v>
      </c>
    </row>
    <row r="5" ht="60" customHeight="1">
      <c r="A5" s="7" t="inlineStr">
        <is>
          <t>Note: Tier 1 = CET1 in every disclosed year except FY2025, where the Bank issued £80m of other (AT1) equity instruments during the year (see Cash Flow Statement sheet), taking Tier 1 above CET1 for the first time.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Tier 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16.87%</t>
        </is>
      </c>
      <c r="C4" s="6" t="inlineStr">
        <is>
          <t>16.76%</t>
        </is>
      </c>
      <c r="D4" s="6" t="inlineStr">
        <is>
          <t>16.50%</t>
        </is>
      </c>
      <c r="E4" s="6" t="inlineStr">
        <is>
          <t>17.44%</t>
        </is>
      </c>
      <c r="F4" s="6" t="inlineStr">
        <is>
          <t>22.92%</t>
        </is>
      </c>
      <c r="G4" s="6" t="inlineStr">
        <is>
          <t>29%</t>
        </is>
      </c>
      <c r="H4" s="6" t="inlineStr">
        <is>
          <t>25.1%</t>
        </is>
      </c>
      <c r="I4" s="6" t="inlineStr">
        <is>
          <t>19%</t>
        </is>
      </c>
    </row>
    <row r="5" ht="60" customHeight="1">
      <c r="A5" s="7" t="inlineStr">
        <is>
          <t>Note: FY2020 ADDED 2026-09-18: 29%. Zopa published ONE capital ratio for 2020 - the CET1 ratio, as the 2020 comparative in the Annual Report and Accounts 2021 (p.22, see CET1 Ratio sheet). It is repeated here because the Bank's own FY2020 capital note states that CET1 WAS its entire capital base: note 24(d) of the Annual Report and Financial Statements 2020, p.61, prints 'Total Common equity Tier 1 capital (CET1) 115,439' and 'Total capital resources 115,439' - no AT1, no Tier 2. Tier 1 therefore equals CET1 that year as a matter of the Bank's disclosure, which is the same reasoning this workbook already applies to the FY2020 cell of the Tier 1 Capital and Total Capital sheets (all three carry £115.4m). Nothing here is computed from RWA. FY2019 remains blank: no ratio of any kind was published for it (see CET1 Ratio sheet note).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642</v>
      </c>
      <c r="C4" s="6" t="n">
        <v>523</v>
      </c>
      <c r="D4" s="6" t="n">
        <v>439</v>
      </c>
      <c r="E4" s="6" t="n">
        <v>290</v>
      </c>
      <c r="F4" s="6" t="n">
        <v>243</v>
      </c>
      <c r="G4" s="6" t="n">
        <v>115.4</v>
      </c>
      <c r="H4" s="6" t="n">
        <v>13.3</v>
      </c>
      <c r="I4" s="6" t="n">
        <v>15.6</v>
      </c>
    </row>
    <row r="5" ht="60" customHeight="1">
      <c r="A5" s="7" t="inlineStr">
        <is>
          <t>Note: Total capital includes Tier 2 capital (subordinated debt) from FY2023 onward - £75m issued, of which £63m/£72m/£73m was eligible as at FY2023/FY2024/FY2025 respectively (stated in each year's Pillar 3 report). No Tier 2 capital existed in FY2018-FY2022, so Total Capital = Tier 1 = CET1 in those years.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Capital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19.10%</t>
        </is>
      </c>
      <c r="C4" s="6" t="inlineStr">
        <is>
          <t>19.57%</t>
        </is>
      </c>
      <c r="D4" s="6" t="inlineStr">
        <is>
          <t>19.90%</t>
        </is>
      </c>
      <c r="E4" s="6" t="inlineStr">
        <is>
          <t>17.44%</t>
        </is>
      </c>
      <c r="F4" s="6" t="inlineStr">
        <is>
          <t>22.92%</t>
        </is>
      </c>
      <c r="G4" s="6" t="inlineStr">
        <is>
          <t>29%</t>
        </is>
      </c>
      <c r="H4" s="6" t="inlineStr">
        <is>
          <t>25.1%</t>
        </is>
      </c>
      <c r="I4" s="6" t="inlineStr">
        <is>
          <t>19%</t>
        </is>
      </c>
    </row>
    <row r="5" ht="60" customHeight="1">
      <c r="A5" s="7" t="inlineStr">
        <is>
          <t>Note: FY2020 ADDED 2026-09-18: 29%, on exactly the same footing as the Tier 1 Ratio sheet's FY2020 cell - the only 2020 ratio Zopa published is the CET1 ratio (Annual Report and Accounts 2021, p.22, 2020 comparative column), and the FY2020 capital note (Annual Report 2020, p.61) prints total capital resources equal to CET1 to the pound, so Total capital ratio and CET1 ratio are the same published number that year. Not derived from RWA. FY2019 remains blank.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RWAs</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3364</v>
      </c>
      <c r="C4" s="6" t="n">
        <v>2670</v>
      </c>
      <c r="D4" s="6" t="n">
        <v>2205</v>
      </c>
      <c r="E4" s="6" t="n">
        <v>1663</v>
      </c>
      <c r="F4" s="6" t="n">
        <v>1060</v>
      </c>
      <c r="G4" s="6" t="n">
        <v>390.5</v>
      </c>
      <c r="H4" s="6" t="n">
        <v>52.9</v>
      </c>
      <c r="I4" s="6" t="n">
        <v>82.5</v>
      </c>
    </row>
    <row r="5" ht="60" customHeight="1">
      <c r="A5" s="7" t="inlineStr">
        <is>
          <t>Note: FY2020 ADDED 2026-09-18: £390.5m, printed as the 2020 comparative in the Annual Report and Accounts 2021's Financial review capital table (p.22). The note this replaces said no RWA figure appeared 'anywhere in the document' - true of the FY2020 Annual Report, which was the document searched, and false of the Bank, which published the figure in the following year's report. The two columns of that table are internally consistent: it states RWA growth of '+171%' between them, and 390.5 x 2.71 = 1,058, against the FY2021 figure of £1,059.3m already on this row. FY2019 is NOT disclosed: its own Annual Report is an image-only scan whose 58 pages were rendered and OCR'd in full on 2026-09-18 with no RWA figure anywhere, and no later report carries a 2019 comparative. FY2018's £82.5m is an unaudited Pillar 1 figure.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Zopa Bank Limited — RWA Breakdown</t>
        </is>
      </c>
    </row>
    <row r="2">
      <c r="A2" s="2" t="inlineStr">
        <is>
          <t>Zopa Bank Limited basis, £m. Category sums tie to the Total RWAs sheet's own figures every year (a &lt;£1m rounding gap in FY2024 only). Securitisation exposures only appear from FY2025. No category breakdown was ever disclosed for FY2017-FY2020 -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RWA (excluding CCR)</t>
        </is>
      </c>
      <c r="B4" s="6" t="n">
        <v>2804</v>
      </c>
      <c r="C4" s="6" t="n">
        <v>2249</v>
      </c>
      <c r="D4" s="6" t="n">
        <v>1921</v>
      </c>
      <c r="E4" s="6" t="n">
        <v>1502</v>
      </c>
      <c r="F4" s="6" t="n">
        <v>898</v>
      </c>
    </row>
    <row r="5">
      <c r="A5" s="6" t="inlineStr">
        <is>
          <t>Counterparty Credit Risk RWA</t>
        </is>
      </c>
      <c r="B5" s="6" t="n">
        <v>0.6</v>
      </c>
      <c r="C5" s="6" t="n">
        <v>1</v>
      </c>
      <c r="D5" s="6" t="n">
        <v>0.5</v>
      </c>
      <c r="E5" s="6" t="n">
        <v>0.3</v>
      </c>
      <c r="F5" s="6" t="n">
        <v>0</v>
      </c>
    </row>
    <row r="6">
      <c r="A6" s="6" t="inlineStr">
        <is>
          <t>Securitisation exposures RWA (non-trading book, after the cap)</t>
        </is>
      </c>
      <c r="B6" s="6" t="n">
        <v>23</v>
      </c>
      <c r="C6" s="6" t="n">
        <v>0</v>
      </c>
      <c r="D6" s="6" t="n"/>
      <c r="E6" s="6" t="n"/>
      <c r="F6" s="6" t="n"/>
    </row>
    <row r="7">
      <c r="A7" s="6" t="inlineStr">
        <is>
          <t>Operational risk RWA</t>
        </is>
      </c>
      <c r="B7" s="6" t="n">
        <v>537</v>
      </c>
      <c r="C7" s="6" t="n">
        <v>421</v>
      </c>
      <c r="D7" s="6" t="n">
        <v>283</v>
      </c>
      <c r="E7" s="6" t="n">
        <v>161</v>
      </c>
      <c r="F7" s="6" t="n">
        <v>162</v>
      </c>
    </row>
    <row r="8">
      <c r="A8" s="5" t="inlineStr">
        <is>
          <t>Total RWAs</t>
        </is>
      </c>
      <c r="B8" s="5" t="n">
        <v>3364</v>
      </c>
      <c r="C8" s="5" t="n">
        <v>2670</v>
      </c>
      <c r="D8" s="5" t="n">
        <v>2205</v>
      </c>
      <c r="E8" s="5" t="n">
        <v>1663</v>
      </c>
      <c r="F8" s="5" t="n">
        <v>1060</v>
      </c>
    </row>
    <row r="10" ht="300" customHeight="1">
      <c r="A10" s="8" t="inlineStr">
        <is>
          <t>Sources - Zopa Bank Limited basis, Table 4: UK OV1 - Overview of risk weighted exposure amounts (within each year's 'Section 4: Disclosures for Zopa Bank Limited'), £m:
FY2025 &amp; FY2024: Pillar 3 Disclosures, year ended 31 December 2025, p.14 - https://www.datocms-assets.com/23873/1773842098-12-25-pillar-3-disclosures.pdf
FY2023: Pillar 3 Disclosures, year ended 31 December 2023, p.14 - https://www.datocms-assets.com/23873/1715596314-2023-pillar-3-disclosures-final.pdf (cross-checked against its comparative in the 2024 report - matched exactly)
FY2022: Pillar 3 Disclosures, year ended 31 December 2022, p.13 - https://www.datocms-assets.com/23873/1696603046-2022-pillar-3-disclosures-final_051023.pdf (cross-checked against its comparative in the 2023 report - matched exactly)
FY2021: as the comparative ('2021') column in the Pillar 3 Disclosures, year ended 31 December 2022, p.13 - https://www.datocms-assets.com/23873/1696603046-2022-pillar-3-disclosures-final_051023.pdf (same access-gap basis as the FY2021 Total RWAs figure elsewhere in this workbook - no standalone FY2021 OV1 table exists, so the FY2022 report's own comparative column is used)
Category sums round to the Total RWAs figure each year (a &lt;£1m rounding gap in FY2024 only, both figures reproduced exactly as the source states them).
FY2020/FY2019/FY2018/FY2017: not disclosed - no OV1-style RWA category breakdown exists in any Zopa Bank Limited document for these years (FY2018's single Pillar 1 RWA total is on the Total RWAs sheet, with no component split available; FY2017 is not applicable, no banking licence that year).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t>
        </is>
      </c>
    </row>
  </sheetData>
  <mergeCells count="1">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Zopa Bank Limited — Leverage Ratio</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 excluding claims on central banks</t>
        </is>
      </c>
      <c r="B4" s="6" t="n">
        <v>4998</v>
      </c>
      <c r="C4" s="6" t="n">
        <v>3445</v>
      </c>
      <c r="D4" s="6" t="n">
        <v>2699</v>
      </c>
      <c r="E4" s="6" t="n">
        <v>2024</v>
      </c>
      <c r="F4" s="6" t="n"/>
      <c r="G4" s="6" t="n"/>
      <c r="H4" s="6" t="n"/>
    </row>
    <row r="5">
      <c r="A5" s="6" t="inlineStr">
        <is>
          <t>Leverage ratio excluding claims on central banks (%)</t>
        </is>
      </c>
      <c r="B5" s="6" t="inlineStr">
        <is>
          <t>11.36%</t>
        </is>
      </c>
      <c r="C5" s="6" t="inlineStr">
        <is>
          <t>12.99%</t>
        </is>
      </c>
      <c r="D5" s="6" t="inlineStr">
        <is>
          <t>13.48%</t>
        </is>
      </c>
      <c r="E5" s="6" t="inlineStr">
        <is>
          <t>14.34%</t>
        </is>
      </c>
      <c r="F5" s="6" t="inlineStr">
        <is>
          <t>n/a (as printed)</t>
        </is>
      </c>
      <c r="G5" s="6" t="n"/>
      <c r="H5" s="6" t="n"/>
    </row>
    <row r="6">
      <c r="A6" s="6" t="inlineStr">
        <is>
          <t>Leverage ratio (%) - Annual Report basis, year-end (see note)</t>
        </is>
      </c>
      <c r="B6" s="6" t="n"/>
      <c r="C6" s="6" t="n"/>
      <c r="D6" s="6" t="n"/>
      <c r="E6" s="6" t="n"/>
      <c r="F6" s="6" t="inlineStr">
        <is>
          <t>20%</t>
        </is>
      </c>
      <c r="G6" s="6" t="inlineStr">
        <is>
          <t>38%</t>
        </is>
      </c>
      <c r="H6" s="6" t="inlineStr">
        <is>
          <t>54.3%</t>
        </is>
      </c>
    </row>
    <row r="7" ht="60" customHeight="1">
      <c r="A7" s="7" t="inlineStr">
        <is>
          <t>Note: TWO ROWS, TWO DOCUMENTS. The Pillar 3 row is the KM1 template's 'excluding claims on central banks' measure, and its Dec-21 comparative column really does print 'n/a' for both the exposure measure and the ratio, with no explanation given.
THE THIRD ROW WAS ADDED 2026-09-18 AND CORRECTS THIS NOTE'S OWN PREVIOUS CLAIM, which read 'no leverage ratio of any kind appears in any FY2017-FY2020 Annual Report either'. It does. The Annual Report and Accounts 2021, Financial review, 'Capital position remains very strong' table on printed p.22, publishes a Bank-level leverage ratio of 20% for 2021 and 38% for 2020, next to the RWA and CET1-ratio figures this workbook now uses on other sheets. The claim was a statement about the documents that had been searched - the FY2017-FY2020 reports - presented as a statement about the Bank, and the answer was in the FY2021 report all along.
The two rows are NOT merged and neither is adjusted toward the other: the Annual Report figures are year-end and whole-percent, and the Bank never says whether its own KPI leverage ratio uses the central-bank-claims exclusion, so they are not known to be the same measure. FY2020 is a comparative column of the FY2021 report. FY2019 is the year-end comparative printed in Zopa Bank Limited's FY2020 Pillar 3 'Key ratios' / leverage disclosure (PDF p.17); it stays on this basis-specific row.</t>
        </is>
      </c>
    </row>
    <row r="9" ht="200" customHeight="1">
      <c r="A9"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Zopa Bank Limited — LCR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(average)</t>
        </is>
      </c>
      <c r="B4" s="6" t="n">
        <v>2970</v>
      </c>
      <c r="C4" s="6" t="n">
        <v>2347</v>
      </c>
      <c r="D4" s="6" t="n">
        <v>1701</v>
      </c>
      <c r="E4" s="6" t="n">
        <v>626</v>
      </c>
      <c r="F4" s="6" t="n"/>
      <c r="G4" s="6" t="n"/>
      <c r="H4" s="6" t="n"/>
    </row>
    <row r="5">
      <c r="A5" s="6" t="inlineStr">
        <is>
          <t>Total net cash outflows, adjusted value</t>
        </is>
      </c>
      <c r="B5" s="6" t="n">
        <v>614</v>
      </c>
      <c r="C5" s="6" t="n">
        <v>430</v>
      </c>
      <c r="D5" s="6" t="n">
        <v>233</v>
      </c>
      <c r="E5" s="6" t="n">
        <v>61</v>
      </c>
      <c r="F5" s="6" t="n"/>
      <c r="G5" s="6" t="n"/>
      <c r="H5" s="6" t="n"/>
    </row>
    <row r="6">
      <c r="A6" s="6" t="inlineStr">
        <is>
          <t>Liquidity Coverage Ratio (%)</t>
        </is>
      </c>
      <c r="B6" s="6" t="inlineStr">
        <is>
          <t>484%</t>
        </is>
      </c>
      <c r="C6" s="6" t="inlineStr">
        <is>
          <t>546%</t>
        </is>
      </c>
      <c r="D6" s="6" t="inlineStr">
        <is>
          <t>730%</t>
        </is>
      </c>
      <c r="E6" s="6" t="inlineStr">
        <is>
          <t>1,033%</t>
        </is>
      </c>
      <c r="F6" s="6" t="inlineStr">
        <is>
          <t>n/a (as printed)</t>
        </is>
      </c>
      <c r="G6" s="6" t="n"/>
      <c r="H6" s="6" t="n"/>
    </row>
    <row r="7">
      <c r="A7" s="6" t="inlineStr">
        <is>
          <t>Liquidity Coverage Ratio (%) - Annual Report basis, year-end position (see note)</t>
        </is>
      </c>
      <c r="B7" s="6" t="n"/>
      <c r="C7" s="6" t="n"/>
      <c r="D7" s="6" t="n"/>
      <c r="E7" s="6" t="n"/>
      <c r="F7" s="6" t="inlineStr">
        <is>
          <t>9,360%</t>
        </is>
      </c>
      <c r="G7" s="6" t="inlineStr">
        <is>
          <t>13,597%</t>
        </is>
      </c>
      <c r="H7" s="6" t="inlineStr">
        <is>
          <t>10,059%</t>
        </is>
      </c>
    </row>
    <row r="8" ht="60" customHeight="1">
      <c r="A8" s="7" t="inlineStr">
        <is>
          <t>Note: TWO BASES, AND THE BANK NAMES THE DIFFERENCE ITSELF. The Pillar 3 LCR row is a 12-month simple average of month-end observations, which the Pillar 3 report says 'differs to the metrics reported in the Bank ARA, which present the position at the year-end date'. LCR is a new Pillar 3 disclosure from the FY2022 report onward and no earlier Pillar 3 comparative was provided, which is why that row starts at FY2022.
THE YEAR-END ROW WAS ADDED 2026-09-18. The Annual Report and Accounts 2021's Financial review 'Liquidity' table, printed p.22, publishes exactly the ARA-basis metric the Pillar 3 footnote refers to: LCR 9,360% for 2021 and 13,597% for 2020 (FY2020 being that table's comparative column). This note previously said LCR was 'Not disclosed for FY2017-FY2021'; that was true of the Pillar 3 reports and false of the Annual Reports. The two rows are kept separate because averaged and year-end LCR are different measures - the year-end figures are enormous because Zopa Bank was holding very large central-bank balances against a small deposit book at those dates, not because either number is wrong. FY2019 is the year-end comparative printed in Zopa Bank Limited's FY2020 Pillar 3 liquidity disclosure (PDF p.29); it stays on this basis-specific row.</t>
        </is>
      </c>
    </row>
    <row r="10" ht="200" customHeight="1">
      <c r="A10"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8:H8"/>
    <mergeCell ref="A10:H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NSFR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5761</v>
      </c>
      <c r="C4" s="6" t="n">
        <v>4918</v>
      </c>
      <c r="D4" s="6" t="n">
        <v>3701</v>
      </c>
      <c r="E4" s="6" t="n"/>
      <c r="F4" s="6" t="n"/>
      <c r="G4" s="6" t="n"/>
    </row>
    <row r="5">
      <c r="A5" s="6" t="inlineStr">
        <is>
          <t>Total required stable funding</t>
        </is>
      </c>
      <c r="B5" s="6" t="n">
        <v>2562</v>
      </c>
      <c r="C5" s="6" t="n">
        <v>2162</v>
      </c>
      <c r="D5" s="6" t="n">
        <v>1785</v>
      </c>
      <c r="E5" s="6" t="n"/>
      <c r="F5" s="6" t="n"/>
      <c r="G5" s="6" t="n"/>
    </row>
    <row r="6">
      <c r="A6" s="6" t="inlineStr">
        <is>
          <t>NSFR ratio (%)</t>
        </is>
      </c>
      <c r="B6" s="6" t="inlineStr">
        <is>
          <t>225%</t>
        </is>
      </c>
      <c r="C6" s="6" t="inlineStr">
        <is>
          <t>227%</t>
        </is>
      </c>
      <c r="D6" s="6" t="inlineStr">
        <is>
          <t>207%</t>
        </is>
      </c>
      <c r="E6" s="6" t="inlineStr">
        <is>
          <t>Not applicable – Pillar 3 2022 (Bank KM1, p.14) states NSFR rows 18-20 'are not applicable until 1 January 2023' (PRA PS22/21); see Annual Report basis row below</t>
        </is>
      </c>
      <c r="F6" s="6" t="inlineStr">
        <is>
          <t>Not applicable – Pillar 3 2022 (Bank KM1, p.14) states NSFR rows 18-20 'are not applicable until 1 January 2023' (PRA PS22/21); see Annual Report basis row below</t>
        </is>
      </c>
      <c r="G6" s="6" t="n"/>
    </row>
    <row r="7">
      <c r="A7" s="6" t="inlineStr">
        <is>
          <t>Net Stable Funding Ratio (%) - Annual Report basis (see note)</t>
        </is>
      </c>
      <c r="B7" s="6" t="n"/>
      <c r="C7" s="6" t="n"/>
      <c r="D7" s="6" t="n"/>
      <c r="E7" s="6" t="n"/>
      <c r="F7" s="6" t="inlineStr">
        <is>
          <t>136%</t>
        </is>
      </c>
      <c r="G7" s="6" t="inlineStr">
        <is>
          <t>152%</t>
        </is>
      </c>
    </row>
    <row r="8" ht="60" customHeight="1">
      <c r="A8" s="7" t="inlineStr">
        <is>
          <t>Note: NSFR was not a REQUIRED Pillar 3 disclosure until 1 January 2023 (PRA PS22/21), which is why the template row above starts at FY2023 and marks FY2021/FY2022 'Not applicable'. That is a statement about the disclosure obligation and it stands.
IT IS NOT A STATEMENT ABOUT THE BANK, and this note used to end 'so no FY2017-FY2022 figures exist', which is a different claim and a false one. Corrected 2026-09-18: Zopa published an NSFR voluntarily, before it had to. The Annual Report and Accounts 2021's Financial review 'Liquidity' table, printed p.22, gives a Bank-level Net Stable Funding Ratio of 136% for 2021 and 152% for 2020 (comparative column) - added as the row above. Not required to disclose is not the same as did not disclose.</t>
        </is>
      </c>
    </row>
    <row r="10" ht="200" customHeight="1">
      <c r="A10"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8:G8"/>
    <mergeCell ref="A10:G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MREL Ratio</t>
        </is>
      </c>
    </row>
    <row r="2">
      <c r="A2" s="2" t="inlineStr">
        <is>
          <t>Zopa Bank Limited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no MREL figure or mention in this year's Pillar 3 Disclosures or Annual Report (text-searched 2026-09-19)</t>
        </is>
      </c>
      <c r="C4" s="6" t="inlineStr">
        <is>
          <t>Not published – no MREL figure or mention in this year's Pillar 3 Disclosures or Annual Report (text-searched 2026-09-19)</t>
        </is>
      </c>
      <c r="D4" s="6" t="inlineStr">
        <is>
          <t>Not published – no MREL figure or mention in this year's Pillar 3 Disclosures or Annual Report (text-searched 2026-09-19)</t>
        </is>
      </c>
      <c r="E4" s="6" t="inlineStr">
        <is>
          <t>Not published – no MREL figure or mention in this year's Pillar 3 Disclosures or Annual Report (text-searched 2026-09-19)</t>
        </is>
      </c>
      <c r="F4" s="6" t="inlineStr">
        <is>
          <t>Not published – no MREL figure or mention in this year's Pillar 3 Disclosures or Annual Report (text-searched 2026-09-19)</t>
        </is>
      </c>
      <c r="G4" s="6" t="inlineStr">
        <is>
          <t>Not published – no MREL figure or mention in this year's Pillar 3 Disclosures or Annual Report (text-searched 2026-09-19)</t>
        </is>
      </c>
      <c r="H4" s="6" t="inlineStr">
        <is>
          <t>Unreached today – no Pillar 3 for this year found (zopa.com 503; CDX of Zopa's DatoCMS folder and cdn.zopa.com: Pillar 3 from FY2020 only; 2026-09-19); its AR (OCR) has no MREL</t>
        </is>
      </c>
      <c r="I4" s="6" t="inlineStr">
        <is>
          <t>Unreached today – no Pillar 3 for this year found (zopa.com 503; CDX of Zopa's DatoCMS folder and cdn.zopa.com: Pillar 3 from FY2020 only; 2026-09-19); its AR (OCR) has no MREL</t>
        </is>
      </c>
    </row>
    <row r="5" ht="60" customHeight="1">
      <c r="A5" s="7" t="inlineStr">
        <is>
          <t>Note: No MREL disclosure of any kind (numeric or qualitative) was found in Zopa Bank Limited's Annual Reports or Pillar 3 reports for any year reviewed (FY2018-FY2025) - unlike some smaller banks in this workbook series, no report explicitly states an SNCI/below-threshold exemption reason, it is simply absent from every KM1 template and surrounding narrative. FY2017: not applicable (no banking licence that year). GA-020 re-check 2026-09-19: searched for 'MREL' with zero hits - Pillar 3 FY2020 (Bank, 46pp), FY2021 (69pp), FY2022-FY2025 and Annual Reports FY2021-FY2025 (native text); Annual Reports FY2018 and FY2019 (Companies House scans, OCR 150dpi, 872/1,260 occurrences of ' the ' as a richness control). FY2018 and FY2019 stay UNREACHED because no Pillar 3 for those years could be found. File-host check 2026-09-19: Wayback CDX matchType=prefix on datocms-assets.com/23873/ (Zopa's own asset folder, 5,122 rows, 60 PDFs) holds Pillar 3 files for FY2020-FY2025 and the 2025 mid-year only, the earliest asset id being 1608116542 (December 2020); CDX of cdn.zopa.com (the pre-2021 S3 host, 85 rows) holds no Pillar 3; archived zopa.com /about pages of March 2019 link no PDF; the S3 bucket refuses listing.</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2026-09-20T11:31:31Z</dcterms:created>
  <dcterms:modified xmlns:dcterms="http://purl.org/dc/terms/" xmlns:xsi="http://www.w3.org/2001/XMLSchema-instance" xsi:type="dcterms:W3CDTF">2026-09-20T11:31:31Z</dcterms:modified>
</cp:coreProperties>
</file>