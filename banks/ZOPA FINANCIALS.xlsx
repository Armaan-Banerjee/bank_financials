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B4332"/>
        <bgColor rgb="001B43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Zopa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Zopa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Zopa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ser>
          <idx val="1"/>
          <order val="1"/>
          <tx>
            <strRef>
              <f>'Overview'!AK20</f>
            </strRef>
          </tx>
          <spPr>
            <a:ln xmlns:a="http://schemas.openxmlformats.org/drawingml/2006/main">
              <a:prstDash val="solid"/>
            </a:ln>
          </spPr>
          <cat>
            <numRef>
              <f>'Overview'!$AL$18:$AT$18</f>
            </numRef>
          </cat>
          <val>
            <numRef>
              <f>'Overview'!$AL$20:$AT$20</f>
            </numRef>
          </val>
        </ser>
        <ser>
          <idx val="2"/>
          <order val="2"/>
          <tx>
            <strRef>
              <f>'Overview'!AK21</f>
            </strRef>
          </tx>
          <spPr>
            <a:ln xmlns:a="http://schemas.openxmlformats.org/drawingml/2006/main">
              <a:prstDash val="solid"/>
            </a:ln>
          </spPr>
          <cat>
            <numRef>
              <f>'Overview'!$AL$18:$AT$18</f>
            </numRef>
          </cat>
          <val>
            <numRef>
              <f>'Overview'!$AL$21:$AT$21</f>
            </numRef>
          </val>
        </ser>
        <ser>
          <idx val="3"/>
          <order val="3"/>
          <tx>
            <strRef>
              <f>'Overview'!AK22</f>
            </strRef>
          </tx>
          <spPr>
            <a:ln xmlns:a="http://schemas.openxmlformats.org/drawingml/2006/main">
              <a:prstDash val="solid"/>
            </a:ln>
          </spPr>
          <cat>
            <numRef>
              <f>'Overview'!$AL$18:$AT$18</f>
            </numRef>
          </cat>
          <val>
            <numRef>
              <f>'Overview'!$AL$22:$AT$22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Zopa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'Overview'!AW26</f>
            </strRef>
          </tx>
          <spPr>
            <a:ln xmlns:a="http://schemas.openxmlformats.org/drawingml/2006/main">
              <a:prstDash val="solid"/>
            </a:ln>
          </spPr>
          <cat>
            <numRef>
              <f>'Overview'!$AX$25:$BF$25</f>
            </numRef>
          </cat>
          <val>
            <numRef>
              <f>'Overview'!$AX$26:$BF$26</f>
            </numRef>
          </val>
        </ser>
        <ser>
          <idx val="1"/>
          <order val="1"/>
          <tx>
            <strRef>
              <f>'Overview'!AW27</f>
            </strRef>
          </tx>
          <spPr>
            <a:ln xmlns:a="http://schemas.openxmlformats.org/drawingml/2006/main">
              <a:prstDash val="solid"/>
            </a:ln>
          </spPr>
          <cat>
            <numRef>
              <f>'Overview'!$AX$25:$BF$25</f>
            </numRef>
          </cat>
          <val>
            <numRef>
              <f>'Overview'!$AX$27:$BF$27</f>
            </numRef>
          </val>
        </ser>
        <ser>
          <idx val="2"/>
          <order val="2"/>
          <tx>
            <strRef>
              <f>'Overview'!AW28</f>
            </strRef>
          </tx>
          <spPr>
            <a:ln xmlns:a="http://schemas.openxmlformats.org/drawingml/2006/main">
              <a:prstDash val="solid"/>
            </a:ln>
          </spPr>
          <cat>
            <numRef>
              <f>'Overview'!$AX$25:$BF$25</f>
            </numRef>
          </cat>
          <val>
            <numRef>
              <f>'Overview'!$AX$28:$BF$28</f>
            </numRef>
          </val>
        </ser>
        <ser>
          <idx val="3"/>
          <order val="3"/>
          <tx>
            <strRef>
              <f>'Overview'!AW29</f>
            </strRef>
          </tx>
          <spPr>
            <a:ln xmlns:a="http://schemas.openxmlformats.org/drawingml/2006/main">
              <a:prstDash val="solid"/>
            </a:ln>
          </spPr>
          <cat>
            <numRef>
              <f>'Overview'!$AX$25:$BF$25</f>
            </numRef>
          </cat>
          <val>
            <numRef>
              <f>'Overview'!$AX$29:$BF$29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Zopa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'Overview'!$BJ$6:$BQ$6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'Overview'!$BJ$7:$BQ$7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'Overview'!$BJ$8:$BQ$8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'Overview'!$BJ$9:$BQ$9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'Overview'!$BJ$10:$BQ$10</f>
            </numRef>
          </val>
          <smooth val="0"/>
        </ser>
        <ser>
          <idx val="5"/>
          <order val="5"/>
          <tx>
            <strRef>
              <f>'Overview'!BI11</f>
            </strRef>
          </tx>
          <spPr>
            <a:ln xmlns:a="http://schemas.openxmlformats.org/drawingml/2006/main">
              <a:prstDash val="solid"/>
            </a:ln>
          </spPr>
          <marker>
            <symbol val="none"/>
            <spPr>
              <a:ln xmlns:a="http://schemas.openxmlformats.org/drawingml/2006/main">
                <a:prstDash val="solid"/>
              </a:ln>
            </spPr>
          </marker>
          <cat>
            <numRef>
              <f>'Overview'!$BJ$5:$BQ$5</f>
            </numRef>
          </cat>
          <val>
            <numRef>
              <f>'Overview'!$BJ$11:$BQ$11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Q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s>
  <sheetData>
    <row r="1">
      <c r="A1" s="1" t="inlineStr">
        <is>
          <t>Zopa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J5" t="inlineStr">
        <is>
          <t>FY2018</t>
        </is>
      </c>
      <c r="BK5" t="inlineStr">
        <is>
          <t>FY2019</t>
        </is>
      </c>
      <c r="BL5" t="inlineStr">
        <is>
          <t>FY2020</t>
        </is>
      </c>
      <c r="BM5" t="inlineStr">
        <is>
          <t>FY2021</t>
        </is>
      </c>
      <c r="BN5" t="inlineStr">
        <is>
          <t>FY2022</t>
        </is>
      </c>
      <c r="BO5" t="inlineStr">
        <is>
          <t>FY2023</t>
        </is>
      </c>
      <c r="BP5" t="inlineStr">
        <is>
          <t>FY2024</t>
        </is>
      </c>
      <c r="BQ5" t="inlineStr">
        <is>
          <t>FY2025</t>
        </is>
      </c>
    </row>
    <row r="6">
      <c r="A6" s="5" t="inlineStr">
        <is>
          <t>Total assets</t>
        </is>
      </c>
      <c r="B6" s="5" t="n">
        <v>7243711</v>
      </c>
      <c r="C6" s="5" t="n">
        <v>6229047</v>
      </c>
      <c r="D6" s="5" t="n">
        <v>4049087</v>
      </c>
      <c r="E6" s="5" t="n">
        <v>3423334</v>
      </c>
      <c r="F6" s="5" t="n">
        <v>1430971</v>
      </c>
      <c r="G6" s="5" t="n">
        <v>314565</v>
      </c>
      <c r="H6" s="5" t="n">
        <v>30850</v>
      </c>
      <c r="I6" s="5" t="n">
        <v>28602</v>
      </c>
      <c r="J6" s="5" t="n">
        <v>2778</v>
      </c>
      <c r="M6" t="inlineStr">
        <is>
          <t>Total assets</t>
        </is>
      </c>
      <c r="N6" t="n">
        <v>2778</v>
      </c>
      <c r="O6" t="n">
        <v>28602</v>
      </c>
      <c r="P6" t="n">
        <v>30850</v>
      </c>
      <c r="Q6" t="n">
        <v>314565</v>
      </c>
      <c r="R6" t="n">
        <v>1430971</v>
      </c>
      <c r="S6" t="n">
        <v>3423334</v>
      </c>
      <c r="T6" t="n">
        <v>4049087</v>
      </c>
      <c r="U6" t="n">
        <v>6229047</v>
      </c>
      <c r="V6" t="n">
        <v>7243711</v>
      </c>
      <c r="BI6" t="inlineStr">
        <is>
          <t>CET1 Ratio</t>
        </is>
      </c>
      <c r="BJ6" t="n">
        <v>19</v>
      </c>
      <c r="BK6" t="n">
        <v>25.1</v>
      </c>
      <c r="BL6" t="n">
        <v>29.5</v>
      </c>
      <c r="BM6" t="n">
        <v>22.92</v>
      </c>
      <c r="BN6" t="n">
        <v>17.44</v>
      </c>
      <c r="BO6" t="n">
        <v>16.5</v>
      </c>
      <c r="BP6" t="n">
        <v>16.76</v>
      </c>
      <c r="BQ6" t="n">
        <v>14.54</v>
      </c>
    </row>
    <row r="7">
      <c r="A7" s="5" t="inlineStr">
        <is>
          <t>Loans and advances to customers</t>
        </is>
      </c>
      <c r="B7" s="5" t="n">
        <v>3506654</v>
      </c>
      <c r="C7" s="5" t="n">
        <v>2865635</v>
      </c>
      <c r="D7" s="5" t="n">
        <v>2478213</v>
      </c>
      <c r="E7" s="5" t="n">
        <v>1937964</v>
      </c>
      <c r="F7" s="5" t="n">
        <v>1173013</v>
      </c>
      <c r="G7" s="5" t="n">
        <v>225390</v>
      </c>
      <c r="H7" s="5" t="n">
        <v>16372</v>
      </c>
      <c r="I7" s="5" t="n"/>
      <c r="J7" s="5" t="n"/>
      <c r="M7" t="inlineStr">
        <is>
          <t>Loans and advances to customers</t>
        </is>
      </c>
      <c r="P7" t="n">
        <v>16372</v>
      </c>
      <c r="Q7" t="n">
        <v>225390</v>
      </c>
      <c r="R7" t="n">
        <v>1173013</v>
      </c>
      <c r="S7" t="n">
        <v>1937964</v>
      </c>
      <c r="T7" t="n">
        <v>2478213</v>
      </c>
      <c r="U7" t="n">
        <v>2865635</v>
      </c>
      <c r="V7" t="n">
        <v>3506654</v>
      </c>
      <c r="BI7" t="inlineStr">
        <is>
          <t>Tier 1 Ratio</t>
        </is>
      </c>
      <c r="BJ7" t="n">
        <v>19</v>
      </c>
      <c r="BK7" t="n">
        <v>25.1</v>
      </c>
      <c r="BL7" t="n">
        <v>29.5</v>
      </c>
      <c r="BM7" t="n">
        <v>22.92</v>
      </c>
      <c r="BN7" t="n">
        <v>17.44</v>
      </c>
      <c r="BO7" t="n">
        <v>16.5</v>
      </c>
      <c r="BP7" t="n">
        <v>16.76</v>
      </c>
      <c r="BQ7" t="n">
        <v>16.87</v>
      </c>
    </row>
    <row r="8">
      <c r="A8" s="5" t="inlineStr">
        <is>
          <t>Deposits by customers</t>
        </is>
      </c>
      <c r="B8" s="5" t="n">
        <v>6393598</v>
      </c>
      <c r="C8" s="5" t="n">
        <v>5455740</v>
      </c>
      <c r="D8" s="5" t="n">
        <v>3357724</v>
      </c>
      <c r="E8" s="5" t="n">
        <v>2922845</v>
      </c>
      <c r="F8" s="5" t="n">
        <v>968000</v>
      </c>
      <c r="G8" s="5" t="n">
        <v>177823</v>
      </c>
      <c r="H8" s="5" t="n"/>
      <c r="I8" s="5" t="n"/>
      <c r="J8" s="5" t="n"/>
      <c r="M8" t="inlineStr">
        <is>
          <t>Deposits by customers</t>
        </is>
      </c>
      <c r="Q8" t="n">
        <v>177823</v>
      </c>
      <c r="R8" t="n">
        <v>968000</v>
      </c>
      <c r="S8" t="n">
        <v>2922845</v>
      </c>
      <c r="T8" t="n">
        <v>3357724</v>
      </c>
      <c r="U8" t="n">
        <v>5455740</v>
      </c>
      <c r="V8" t="n">
        <v>6393598</v>
      </c>
      <c r="BI8" t="inlineStr">
        <is>
          <t>Total Capital Ratio</t>
        </is>
      </c>
      <c r="BJ8" t="n">
        <v>19</v>
      </c>
      <c r="BK8" t="n">
        <v>25.1</v>
      </c>
      <c r="BL8" t="n">
        <v>29.5</v>
      </c>
      <c r="BM8" t="n">
        <v>22.92</v>
      </c>
      <c r="BN8" t="n">
        <v>17.44</v>
      </c>
      <c r="BO8" t="n">
        <v>19.9</v>
      </c>
      <c r="BP8" t="n">
        <v>19.57</v>
      </c>
      <c r="BQ8" t="n">
        <v>19.1</v>
      </c>
    </row>
    <row r="9">
      <c r="A9" s="5" t="inlineStr">
        <is>
          <t>Total equity</t>
        </is>
      </c>
      <c r="B9" s="5" t="n">
        <v>623217</v>
      </c>
      <c r="C9" s="5" t="n">
        <v>497291</v>
      </c>
      <c r="D9" s="5" t="n">
        <v>404415</v>
      </c>
      <c r="E9" s="5" t="n">
        <v>299607</v>
      </c>
      <c r="F9" s="5" t="n">
        <v>252255</v>
      </c>
      <c r="G9" s="5" t="n">
        <v>127622</v>
      </c>
      <c r="H9" s="5" t="n">
        <v>19638</v>
      </c>
      <c r="I9" s="5" t="n">
        <v>21814</v>
      </c>
      <c r="J9" s="5" t="n">
        <v>-3806</v>
      </c>
      <c r="M9" t="inlineStr">
        <is>
          <t>Total equity</t>
        </is>
      </c>
      <c r="N9" t="n">
        <v>-3806</v>
      </c>
      <c r="O9" t="n">
        <v>21814</v>
      </c>
      <c r="P9" t="n">
        <v>19638</v>
      </c>
      <c r="Q9" t="n">
        <v>127622</v>
      </c>
      <c r="R9" t="n">
        <v>252255</v>
      </c>
      <c r="S9" t="n">
        <v>299607</v>
      </c>
      <c r="T9" t="n">
        <v>404415</v>
      </c>
      <c r="U9" t="n">
        <v>497291</v>
      </c>
      <c r="V9" t="n">
        <v>623217</v>
      </c>
      <c r="BI9" t="inlineStr">
        <is>
          <t>Leverage Ratio</t>
        </is>
      </c>
      <c r="BK9" t="n">
        <v>54.3</v>
      </c>
      <c r="BL9" t="n">
        <v>38.1</v>
      </c>
      <c r="BM9" t="n">
        <v>20</v>
      </c>
      <c r="BN9" t="n">
        <v>14.34</v>
      </c>
      <c r="BO9" t="n">
        <v>13.48</v>
      </c>
      <c r="BP9" t="n">
        <v>12.99</v>
      </c>
      <c r="BQ9" t="n">
        <v>11.36</v>
      </c>
    </row>
    <row r="10">
      <c r="BI10" t="inlineStr">
        <is>
          <t>LCR</t>
        </is>
      </c>
      <c r="BK10" t="n">
        <v>10059</v>
      </c>
      <c r="BL10" t="n">
        <v>13597</v>
      </c>
      <c r="BM10" t="n">
        <v>9360</v>
      </c>
      <c r="BN10" t="n">
        <v>1033</v>
      </c>
      <c r="BO10" t="n">
        <v>730</v>
      </c>
      <c r="BP10" t="n">
        <v>546</v>
      </c>
      <c r="BQ10" t="n">
        <v>484</v>
      </c>
    </row>
    <row r="11">
      <c r="A11" s="3" t="inlineStr">
        <is>
          <t>Profit &amp; Loss Summary (£'000)</t>
        </is>
      </c>
      <c r="BI11" t="inlineStr">
        <is>
          <t>NSFR</t>
        </is>
      </c>
      <c r="BL11" t="n">
        <v>152</v>
      </c>
      <c r="BM11" t="n">
        <v>136</v>
      </c>
      <c r="BO11" t="n">
        <v>207</v>
      </c>
      <c r="BP11" t="n">
        <v>227</v>
      </c>
      <c r="BQ11" t="n">
        <v>225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Z12" t="inlineStr">
        <is>
          <t>FY2017</t>
        </is>
      </c>
      <c r="AA12" t="inlineStr">
        <is>
          <t>FY2018</t>
        </is>
      </c>
      <c r="AB12" t="inlineStr">
        <is>
          <t>FY2019</t>
        </is>
      </c>
      <c r="AC12" t="inlineStr">
        <is>
          <t>FY2020</t>
        </is>
      </c>
      <c r="AD12" t="inlineStr">
        <is>
          <t>FY2021</t>
        </is>
      </c>
      <c r="AE12" t="inlineStr">
        <is>
          <t>FY2022</t>
        </is>
      </c>
      <c r="AF12" t="inlineStr">
        <is>
          <t>FY2023</t>
        </is>
      </c>
      <c r="AG12" t="inlineStr">
        <is>
          <t>FY2024</t>
        </is>
      </c>
      <c r="AH12" t="inlineStr">
        <is>
          <t>FY2025</t>
        </is>
      </c>
    </row>
    <row r="13">
      <c r="A13" s="5" t="inlineStr">
        <is>
          <t>Total operating income</t>
        </is>
      </c>
      <c r="B13" s="5" t="n">
        <v>359552</v>
      </c>
      <c r="C13" s="5" t="n">
        <v>297788</v>
      </c>
      <c r="D13" s="5" t="n">
        <v>222430</v>
      </c>
      <c r="E13" s="5" t="n">
        <v>150524</v>
      </c>
      <c r="F13" s="5" t="n">
        <v>65228</v>
      </c>
      <c r="G13" s="5" t="n">
        <v>20883</v>
      </c>
      <c r="H13" s="5" t="n">
        <v>12508</v>
      </c>
      <c r="I13" s="5" t="n"/>
      <c r="J13" s="5" t="n"/>
      <c r="Y13" t="inlineStr">
        <is>
          <t>Total operating income</t>
        </is>
      </c>
      <c r="AB13" t="n">
        <v>12508</v>
      </c>
      <c r="AC13" t="n">
        <v>20883</v>
      </c>
      <c r="AD13" t="n">
        <v>65228</v>
      </c>
      <c r="AE13" t="n">
        <v>150524</v>
      </c>
      <c r="AF13" t="n">
        <v>222430</v>
      </c>
      <c r="AG13" t="n">
        <v>297788</v>
      </c>
      <c r="AH13" t="n">
        <v>359552</v>
      </c>
    </row>
    <row r="14">
      <c r="A14" s="5" t="inlineStr">
        <is>
          <t>Profit/(loss) before tax</t>
        </is>
      </c>
      <c r="B14" s="5" t="n">
        <v>44852</v>
      </c>
      <c r="C14" s="5" t="n">
        <v>31550</v>
      </c>
      <c r="D14" s="5" t="n">
        <v>15817</v>
      </c>
      <c r="E14" s="5" t="n">
        <v>-25988</v>
      </c>
      <c r="F14" s="5" t="n">
        <v>-34224</v>
      </c>
      <c r="G14" s="5" t="n">
        <v>-30554</v>
      </c>
      <c r="H14" s="5" t="n">
        <v>-18452</v>
      </c>
      <c r="I14" s="5" t="n">
        <v>-14432</v>
      </c>
      <c r="J14" s="5" t="n">
        <v>-4001</v>
      </c>
      <c r="Y14" t="inlineStr">
        <is>
          <t>Profit/(loss) before tax</t>
        </is>
      </c>
      <c r="Z14" t="n">
        <v>-4001</v>
      </c>
      <c r="AA14" t="n">
        <v>-14432</v>
      </c>
      <c r="AB14" t="n">
        <v>-18452</v>
      </c>
      <c r="AC14" t="n">
        <v>-30554</v>
      </c>
      <c r="AD14" t="n">
        <v>-34224</v>
      </c>
      <c r="AE14" t="n">
        <v>-25988</v>
      </c>
      <c r="AF14" t="n">
        <v>15817</v>
      </c>
      <c r="AG14" t="n">
        <v>31550</v>
      </c>
      <c r="AH14" t="n">
        <v>44852</v>
      </c>
    </row>
    <row r="15">
      <c r="A15" s="5" t="inlineStr">
        <is>
          <t>Profit/(loss) after tax</t>
        </is>
      </c>
      <c r="B15" s="5" t="n">
        <v>33380</v>
      </c>
      <c r="C15" s="5" t="n">
        <v>21777</v>
      </c>
      <c r="D15" s="5" t="n">
        <v>38881</v>
      </c>
      <c r="E15" s="5" t="n">
        <v>-25988</v>
      </c>
      <c r="F15" s="5" t="n">
        <v>-34223</v>
      </c>
      <c r="G15" s="5" t="n">
        <v>-30545</v>
      </c>
      <c r="H15" s="5" t="n">
        <v>-17867</v>
      </c>
      <c r="I15" s="5" t="n">
        <v>-14432</v>
      </c>
      <c r="J15" s="5" t="n">
        <v>-4001</v>
      </c>
      <c r="Y15" t="inlineStr">
        <is>
          <t>Profit/(loss) after tax</t>
        </is>
      </c>
      <c r="Z15" t="n">
        <v>-4001</v>
      </c>
      <c r="AA15" t="n">
        <v>-14432</v>
      </c>
      <c r="AB15" t="n">
        <v>-17867</v>
      </c>
      <c r="AC15" t="n">
        <v>-30545</v>
      </c>
      <c r="AD15" t="n">
        <v>-34223</v>
      </c>
      <c r="AE15" t="n">
        <v>-25988</v>
      </c>
      <c r="AF15" t="n">
        <v>38881</v>
      </c>
      <c r="AG15" t="n">
        <v>21777</v>
      </c>
      <c r="AH15" t="n">
        <v>33380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AL18" t="inlineStr">
        <is>
          <t>FY2017</t>
        </is>
      </c>
      <c r="AM18" t="inlineStr">
        <is>
          <t>FY2018</t>
        </is>
      </c>
      <c r="AN18" t="inlineStr">
        <is>
          <t>FY2019</t>
        </is>
      </c>
      <c r="AO18" t="inlineStr">
        <is>
          <t>FY2020</t>
        </is>
      </c>
      <c r="AP18" t="inlineStr">
        <is>
          <t>FY2021</t>
        </is>
      </c>
      <c r="AQ18" t="inlineStr">
        <is>
          <t>FY2022</t>
        </is>
      </c>
      <c r="AR18" t="inlineStr">
        <is>
          <t>FY2023</t>
        </is>
      </c>
      <c r="AS18" t="inlineStr">
        <is>
          <t>FY2024</t>
        </is>
      </c>
      <c r="AT18" t="inlineStr">
        <is>
          <t>FY2025</t>
        </is>
      </c>
    </row>
    <row r="19">
      <c r="A19" s="5" t="inlineStr">
        <is>
          <t>Opening equity</t>
        </is>
      </c>
      <c r="B19" s="5" t="n">
        <v>497291</v>
      </c>
      <c r="C19" s="5" t="n">
        <v>404415</v>
      </c>
      <c r="D19" s="5" t="n">
        <v>299607</v>
      </c>
      <c r="E19" s="5" t="n">
        <v>252255</v>
      </c>
      <c r="F19" s="5" t="n">
        <v>127622</v>
      </c>
      <c r="G19" s="5" t="n">
        <v>19638</v>
      </c>
      <c r="H19" s="5" t="n">
        <v>21814</v>
      </c>
      <c r="I19" s="5" t="n">
        <v>-3806</v>
      </c>
      <c r="J19" s="5" t="n">
        <v>0</v>
      </c>
      <c r="AK19" t="inlineStr">
        <is>
          <t>Opening equity</t>
        </is>
      </c>
      <c r="AL19" t="n">
        <v>0</v>
      </c>
      <c r="AM19" t="n">
        <v>-3806</v>
      </c>
      <c r="AN19" t="n">
        <v>21814</v>
      </c>
      <c r="AO19" t="n">
        <v>19638</v>
      </c>
      <c r="AP19" t="n">
        <v>127622</v>
      </c>
      <c r="AQ19" t="n">
        <v>252255</v>
      </c>
      <c r="AR19" t="n">
        <v>299607</v>
      </c>
      <c r="AS19" t="n">
        <v>404415</v>
      </c>
      <c r="AT19" t="n">
        <v>497291</v>
      </c>
    </row>
    <row r="20">
      <c r="A20" s="5" t="inlineStr">
        <is>
          <t>Total comprehensive income/(loss) for the year</t>
        </is>
      </c>
      <c r="B20" s="5" t="n">
        <v>33567</v>
      </c>
      <c r="C20" s="5" t="n">
        <v>21731</v>
      </c>
      <c r="D20" s="5" t="n">
        <v>38832</v>
      </c>
      <c r="E20" s="5" t="n">
        <v>-25988</v>
      </c>
      <c r="F20" s="5" t="n">
        <v>-34223</v>
      </c>
      <c r="G20" s="5" t="n">
        <v>-30545</v>
      </c>
      <c r="H20" s="5" t="n">
        <v>-17867</v>
      </c>
      <c r="I20" s="5" t="n">
        <v>-14432</v>
      </c>
      <c r="J20" s="5" t="n">
        <v>-4001</v>
      </c>
      <c r="AK20" t="inlineStr">
        <is>
          <t>Total comprehensive income/(loss) for the year</t>
        </is>
      </c>
      <c r="AL20" t="n">
        <v>-4001</v>
      </c>
      <c r="AM20" t="n">
        <v>-14432</v>
      </c>
      <c r="AN20" t="n">
        <v>-17867</v>
      </c>
      <c r="AO20" t="n">
        <v>-30545</v>
      </c>
      <c r="AP20" t="n">
        <v>-34223</v>
      </c>
      <c r="AQ20" t="n">
        <v>-25988</v>
      </c>
      <c r="AR20" t="n">
        <v>38832</v>
      </c>
      <c r="AS20" t="n">
        <v>21731</v>
      </c>
      <c r="AT20" t="n">
        <v>33567</v>
      </c>
    </row>
    <row r="21">
      <c r="A21" s="5" t="inlineStr">
        <is>
          <t>Other equity movements, net</t>
        </is>
      </c>
      <c r="B21" s="5" t="n">
        <v>92359</v>
      </c>
      <c r="C21" s="5" t="n">
        <v>71145</v>
      </c>
      <c r="D21" s="5" t="n">
        <v>65976</v>
      </c>
      <c r="E21" s="5" t="n">
        <v>73340</v>
      </c>
      <c r="F21" s="5" t="n">
        <v>158856</v>
      </c>
      <c r="G21" s="5" t="n">
        <v>138529</v>
      </c>
      <c r="H21" s="5" t="n">
        <v>15691</v>
      </c>
      <c r="I21" s="5" t="n">
        <v>40052</v>
      </c>
      <c r="J21" s="5" t="n">
        <v>195</v>
      </c>
      <c r="AK21" t="inlineStr">
        <is>
          <t>Other equity movements, net</t>
        </is>
      </c>
      <c r="AL21" t="n">
        <v>195</v>
      </c>
      <c r="AM21" t="n">
        <v>40052</v>
      </c>
      <c r="AN21" t="n">
        <v>15691</v>
      </c>
      <c r="AO21" t="n">
        <v>138529</v>
      </c>
      <c r="AP21" t="n">
        <v>158856</v>
      </c>
      <c r="AQ21" t="n">
        <v>73340</v>
      </c>
      <c r="AR21" t="n">
        <v>65976</v>
      </c>
      <c r="AS21" t="n">
        <v>71145</v>
      </c>
      <c r="AT21" t="n">
        <v>92359</v>
      </c>
    </row>
    <row r="22">
      <c r="A22" s="5" t="inlineStr">
        <is>
          <t>Closing equity</t>
        </is>
      </c>
      <c r="B22" s="5" t="n">
        <v>623217</v>
      </c>
      <c r="C22" s="5" t="n">
        <v>497291</v>
      </c>
      <c r="D22" s="5" t="n">
        <v>404415</v>
      </c>
      <c r="E22" s="5" t="n">
        <v>299607</v>
      </c>
      <c r="F22" s="5" t="n">
        <v>252255</v>
      </c>
      <c r="G22" s="5" t="n">
        <v>127622</v>
      </c>
      <c r="H22" s="5" t="n">
        <v>19638</v>
      </c>
      <c r="I22" s="5" t="n">
        <v>21814</v>
      </c>
      <c r="J22" s="5" t="n">
        <v>-3806</v>
      </c>
      <c r="AK22" t="inlineStr">
        <is>
          <t>Closing equity</t>
        </is>
      </c>
      <c r="AL22" t="n">
        <v>-3806</v>
      </c>
      <c r="AM22" t="n">
        <v>21814</v>
      </c>
      <c r="AN22" t="n">
        <v>19638</v>
      </c>
      <c r="AO22" t="n">
        <v>127622</v>
      </c>
      <c r="AP22" t="n">
        <v>252255</v>
      </c>
      <c r="AQ22" t="n">
        <v>299607</v>
      </c>
      <c r="AR22" t="n">
        <v>404415</v>
      </c>
      <c r="AS22" t="n">
        <v>497291</v>
      </c>
      <c r="AT22" t="n">
        <v>623217</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AX25" t="inlineStr">
        <is>
          <t>FY2017</t>
        </is>
      </c>
      <c r="AY25" t="inlineStr">
        <is>
          <t>FY2018</t>
        </is>
      </c>
      <c r="AZ25" t="inlineStr">
        <is>
          <t>FY2019</t>
        </is>
      </c>
      <c r="BA25" t="inlineStr">
        <is>
          <t>FY2020</t>
        </is>
      </c>
      <c r="BB25" t="inlineStr">
        <is>
          <t>FY2021</t>
        </is>
      </c>
      <c r="BC25" t="inlineStr">
        <is>
          <t>FY2022</t>
        </is>
      </c>
      <c r="BD25" t="inlineStr">
        <is>
          <t>FY2023</t>
        </is>
      </c>
      <c r="BE25" t="inlineStr">
        <is>
          <t>FY2024</t>
        </is>
      </c>
      <c r="BF25" t="inlineStr">
        <is>
          <t>FY2025</t>
        </is>
      </c>
    </row>
    <row r="26">
      <c r="A26" s="5" t="inlineStr">
        <is>
          <t>Net cash from/(used in) operating activities</t>
        </is>
      </c>
      <c r="B26" s="5" t="n">
        <v>363343</v>
      </c>
      <c r="C26" s="5" t="n">
        <v>1736072</v>
      </c>
      <c r="D26" s="5" t="n">
        <v>-52437</v>
      </c>
      <c r="E26" s="5" t="n">
        <v>1149272</v>
      </c>
      <c r="F26" s="5" t="n">
        <v>-175837</v>
      </c>
      <c r="G26" s="5" t="n">
        <v>-56978</v>
      </c>
      <c r="H26" s="5" t="n">
        <v>-25594</v>
      </c>
      <c r="I26" s="5" t="n">
        <v>-20803</v>
      </c>
      <c r="J26" s="5" t="n">
        <v>500</v>
      </c>
      <c r="AW26" t="inlineStr">
        <is>
          <t>Net cash from/(used in) operating activities</t>
        </is>
      </c>
      <c r="AX26" t="n">
        <v>500</v>
      </c>
      <c r="AY26" t="n">
        <v>-20803</v>
      </c>
      <c r="AZ26" t="n">
        <v>-25594</v>
      </c>
      <c r="BA26" t="n">
        <v>-56978</v>
      </c>
      <c r="BB26" t="n">
        <v>-175837</v>
      </c>
      <c r="BC26" t="n">
        <v>1149272</v>
      </c>
      <c r="BD26" t="n">
        <v>-52437</v>
      </c>
      <c r="BE26" t="n">
        <v>1736072</v>
      </c>
      <c r="BF26" t="n">
        <v>363343</v>
      </c>
    </row>
    <row r="27">
      <c r="A27" s="5" t="inlineStr">
        <is>
          <t>Net cash from/(used in) investing activities</t>
        </is>
      </c>
      <c r="B27" s="5" t="n">
        <v>-817416</v>
      </c>
      <c r="C27" s="5" t="n">
        <v>-389003</v>
      </c>
      <c r="D27" s="5" t="n">
        <v>-92313</v>
      </c>
      <c r="E27" s="5" t="n">
        <v>-4558</v>
      </c>
      <c r="F27" s="5" t="n">
        <v>-2555</v>
      </c>
      <c r="G27" s="5" t="n">
        <v>-2872</v>
      </c>
      <c r="H27" s="5" t="n">
        <v>-1460</v>
      </c>
      <c r="I27" s="5" t="n">
        <v>-16149</v>
      </c>
      <c r="J27" s="5" t="n">
        <v>-305</v>
      </c>
      <c r="AW27" t="inlineStr">
        <is>
          <t>Net cash from/(used in) investing activities</t>
        </is>
      </c>
      <c r="AX27" t="n">
        <v>-305</v>
      </c>
      <c r="AY27" t="n">
        <v>-16149</v>
      </c>
      <c r="AZ27" t="n">
        <v>-1460</v>
      </c>
      <c r="BA27" t="n">
        <v>-2872</v>
      </c>
      <c r="BB27" t="n">
        <v>-2555</v>
      </c>
      <c r="BC27" t="n">
        <v>-4558</v>
      </c>
      <c r="BD27" t="n">
        <v>-92313</v>
      </c>
      <c r="BE27" t="n">
        <v>-389003</v>
      </c>
      <c r="BF27" t="n">
        <v>-817416</v>
      </c>
    </row>
    <row r="28">
      <c r="A28" s="5" t="inlineStr">
        <is>
          <t>Net cash from/(used in) financing activities</t>
        </is>
      </c>
      <c r="B28" s="5" t="n">
        <v>-27173</v>
      </c>
      <c r="C28" s="5" t="n">
        <v>66682</v>
      </c>
      <c r="D28" s="5" t="n">
        <v>118865</v>
      </c>
      <c r="E28" s="5" t="n">
        <v>49405</v>
      </c>
      <c r="F28" s="5" t="n">
        <v>346694</v>
      </c>
      <c r="G28" s="5" t="n">
        <v>126482</v>
      </c>
      <c r="H28" s="5" t="n">
        <v>17369</v>
      </c>
      <c r="I28" s="5" t="n">
        <v>39160</v>
      </c>
      <c r="J28" s="5" t="n">
        <v>0</v>
      </c>
      <c r="AW28" t="inlineStr">
        <is>
          <t>Net cash from/(used in) financing activities</t>
        </is>
      </c>
      <c r="AX28" t="n">
        <v>0</v>
      </c>
      <c r="AY28" t="n">
        <v>39160</v>
      </c>
      <c r="AZ28" t="n">
        <v>17369</v>
      </c>
      <c r="BA28" t="n">
        <v>126482</v>
      </c>
      <c r="BB28" t="n">
        <v>346694</v>
      </c>
      <c r="BC28" t="n">
        <v>49405</v>
      </c>
      <c r="BD28" t="n">
        <v>118865</v>
      </c>
      <c r="BE28" t="n">
        <v>66682</v>
      </c>
      <c r="BF28" t="n">
        <v>-27173</v>
      </c>
    </row>
    <row r="29">
      <c r="A29" s="5" t="inlineStr">
        <is>
          <t>Cash and cash equivalents at end of year</t>
        </is>
      </c>
      <c r="B29" s="5" t="n">
        <v>2338497</v>
      </c>
      <c r="C29" s="5" t="n">
        <v>2819743</v>
      </c>
      <c r="D29" s="5" t="n">
        <v>1405992</v>
      </c>
      <c r="E29" s="5" t="n">
        <v>1431877</v>
      </c>
      <c r="F29" s="5" t="n">
        <v>237758</v>
      </c>
      <c r="G29" s="5" t="n">
        <v>69368</v>
      </c>
      <c r="H29" s="5" t="n">
        <v>2736</v>
      </c>
      <c r="I29" s="5" t="n">
        <v>2402</v>
      </c>
      <c r="J29" s="5" t="n">
        <v>194</v>
      </c>
      <c r="AW29" t="inlineStr">
        <is>
          <t>Cash and cash equivalents at end of year</t>
        </is>
      </c>
      <c r="AX29" t="n">
        <v>194</v>
      </c>
      <c r="AY29" t="n">
        <v>2402</v>
      </c>
      <c r="AZ29" t="n">
        <v>2736</v>
      </c>
      <c r="BA29" t="n">
        <v>69368</v>
      </c>
      <c r="BB29" t="n">
        <v>237758</v>
      </c>
      <c r="BC29" t="n">
        <v>1431877</v>
      </c>
      <c r="BD29" t="n">
        <v>1405992</v>
      </c>
      <c r="BE29" t="n">
        <v>2819743</v>
      </c>
      <c r="BF29" t="n">
        <v>2338497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row>
    <row r="33">
      <c r="A33" s="6" t="inlineStr">
        <is>
          <t>CET1 Ratio</t>
        </is>
      </c>
      <c r="B33" s="6" t="inlineStr">
        <is>
          <t>14.54%</t>
        </is>
      </c>
      <c r="C33" s="6" t="inlineStr">
        <is>
          <t>16.76%</t>
        </is>
      </c>
      <c r="D33" s="6" t="inlineStr">
        <is>
          <t>16.50%</t>
        </is>
      </c>
      <c r="E33" s="6" t="inlineStr">
        <is>
          <t>17.44%</t>
        </is>
      </c>
      <c r="F33" s="6" t="inlineStr">
        <is>
          <t>22.92%</t>
        </is>
      </c>
      <c r="G33" s="6" t="inlineStr">
        <is>
          <t>29.5%</t>
        </is>
      </c>
      <c r="H33" s="6" t="inlineStr">
        <is>
          <t>25.1%</t>
        </is>
      </c>
      <c r="I33" s="6" t="inlineStr">
        <is>
          <t>19%</t>
        </is>
      </c>
    </row>
    <row r="34">
      <c r="A34" s="6" t="inlineStr">
        <is>
          <t>Tier 1 Ratio</t>
        </is>
      </c>
      <c r="B34" s="6" t="inlineStr">
        <is>
          <t>16.87%</t>
        </is>
      </c>
      <c r="C34" s="6" t="inlineStr">
        <is>
          <t>16.76%</t>
        </is>
      </c>
      <c r="D34" s="6" t="inlineStr">
        <is>
          <t>16.50%</t>
        </is>
      </c>
      <c r="E34" s="6" t="inlineStr">
        <is>
          <t>17.44%</t>
        </is>
      </c>
      <c r="F34" s="6" t="inlineStr">
        <is>
          <t>22.92%</t>
        </is>
      </c>
      <c r="G34" s="6" t="inlineStr">
        <is>
          <t>29.5%</t>
        </is>
      </c>
      <c r="H34" s="6" t="inlineStr">
        <is>
          <t>25.1%</t>
        </is>
      </c>
      <c r="I34" s="6" t="inlineStr">
        <is>
          <t>19%</t>
        </is>
      </c>
    </row>
    <row r="35">
      <c r="A35" s="6" t="inlineStr">
        <is>
          <t>Total Capital Ratio</t>
        </is>
      </c>
      <c r="B35" s="6" t="inlineStr">
        <is>
          <t>19.10%</t>
        </is>
      </c>
      <c r="C35" s="6" t="inlineStr">
        <is>
          <t>19.57%</t>
        </is>
      </c>
      <c r="D35" s="6" t="inlineStr">
        <is>
          <t>19.90%</t>
        </is>
      </c>
      <c r="E35" s="6" t="inlineStr">
        <is>
          <t>17.44%</t>
        </is>
      </c>
      <c r="F35" s="6" t="inlineStr">
        <is>
          <t>22.92%</t>
        </is>
      </c>
      <c r="G35" s="6" t="inlineStr">
        <is>
          <t>29.5%</t>
        </is>
      </c>
      <c r="H35" s="6" t="inlineStr">
        <is>
          <t>25.1%</t>
        </is>
      </c>
      <c r="I35" s="6" t="inlineStr">
        <is>
          <t>19%</t>
        </is>
      </c>
    </row>
    <row r="36">
      <c r="A36" s="6" t="inlineStr">
        <is>
          <t>Leverage Ratio</t>
        </is>
      </c>
      <c r="B36" s="6" t="inlineStr">
        <is>
          <t>11.36%</t>
        </is>
      </c>
      <c r="C36" s="6" t="inlineStr">
        <is>
          <t>12.99%</t>
        </is>
      </c>
      <c r="D36" s="6" t="inlineStr">
        <is>
          <t>13.48%</t>
        </is>
      </c>
      <c r="E36" s="6" t="inlineStr">
        <is>
          <t>14.34%</t>
        </is>
      </c>
      <c r="F36" s="6" t="inlineStr">
        <is>
          <t>20%</t>
        </is>
      </c>
      <c r="G36" s="6" t="inlineStr">
        <is>
          <t>38.1%</t>
        </is>
      </c>
      <c r="H36" s="6" t="inlineStr">
        <is>
          <t>54.3%</t>
        </is>
      </c>
      <c r="I36" s="6" t="n"/>
    </row>
    <row r="37">
      <c r="A37" s="6" t="inlineStr">
        <is>
          <t>LCR</t>
        </is>
      </c>
      <c r="B37" s="6" t="inlineStr">
        <is>
          <t>484%</t>
        </is>
      </c>
      <c r="C37" s="6" t="inlineStr">
        <is>
          <t>546%</t>
        </is>
      </c>
      <c r="D37" s="6" t="inlineStr">
        <is>
          <t>730%</t>
        </is>
      </c>
      <c r="E37" s="6" t="inlineStr">
        <is>
          <t>1,033%</t>
        </is>
      </c>
      <c r="F37" s="6" t="inlineStr">
        <is>
          <t>9,360%</t>
        </is>
      </c>
      <c r="G37" s="6" t="inlineStr">
        <is>
          <t>13,597%</t>
        </is>
      </c>
      <c r="H37" s="6" t="inlineStr">
        <is>
          <t>10,059%</t>
        </is>
      </c>
      <c r="I37" s="6" t="n"/>
    </row>
    <row r="38">
      <c r="A38" s="6" t="inlineStr">
        <is>
          <t>NSFR</t>
        </is>
      </c>
      <c r="B38" s="6" t="inlineStr">
        <is>
          <t>225%</t>
        </is>
      </c>
      <c r="C38" s="6" t="inlineStr">
        <is>
          <t>227%</t>
        </is>
      </c>
      <c r="D38" s="6" t="inlineStr">
        <is>
          <t>207%</t>
        </is>
      </c>
      <c r="E38" s="6" t="n"/>
      <c r="F38" s="6" t="inlineStr">
        <is>
          <t>136%</t>
        </is>
      </c>
      <c r="G38" s="6" t="inlineStr">
        <is>
          <t>152%</t>
        </is>
      </c>
      <c r="H38" s="6" t="n"/>
      <c r="I38" s="6" t="n"/>
    </row>
    <row r="40" ht="30" customHeight="1">
      <c r="A40" s="7" t="inlineStr">
        <is>
          <t>Note: Figures are duplicated from the detail sheets for at-a-glance trend viewing; see each sheet's own source citation for the underlying document/page. All figures are Zopa Bank Limited's own entity-level basis, not the wider Zopa Group. FY2017 is the pre-banking-licence entity (Zopa Financial Services Limited); FY2018-FY2020 predate full, unrestricted authorisation - see HISTORICAL FLOOR NOTE on the Balance Sheet sheet.</t>
        </is>
      </c>
    </row>
  </sheetData>
  <mergeCells count="1">
    <mergeCell ref="A40:J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Zopa Bank Limited — Balance Sheet</t>
        </is>
      </c>
    </row>
    <row r="2">
      <c r="A2" s="2" t="inlineStr">
        <is>
          <t>Zopa Bank Limited (entity-level), £'000. Total assets = Total liabilities + Total equity for every year (FY2017 has a &lt;£1k rounding-only gap - see source note). Ties exactly to the Statement of Changes in Equity sheet's own closing Total equity every year. FY2017 is Zopa Financial Services Limited, the same Companies House entity pre-banking-licence - see HISTORICAL FLOOR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Assets</t>
        </is>
      </c>
      <c r="B4" s="6" t="n"/>
      <c r="C4" s="6" t="n"/>
      <c r="D4" s="6" t="n"/>
      <c r="E4" s="6" t="n"/>
      <c r="F4" s="6" t="n"/>
      <c r="G4" s="6" t="n"/>
      <c r="H4" s="6" t="n"/>
      <c r="I4" s="6" t="n"/>
      <c r="J4" s="6" t="n"/>
    </row>
    <row r="5">
      <c r="A5" s="6" t="inlineStr">
        <is>
          <t>Cash and cash equivalents / balances - Central bank(s)</t>
        </is>
      </c>
      <c r="B5" s="6" t="n">
        <v>2225694</v>
      </c>
      <c r="C5" s="6" t="n">
        <v>2761315</v>
      </c>
      <c r="D5" s="6" t="n">
        <v>1336105</v>
      </c>
      <c r="E5" s="6" t="n">
        <v>1397062</v>
      </c>
      <c r="F5" s="6" t="n">
        <v>191148</v>
      </c>
      <c r="G5" s="6" t="n">
        <v>35024</v>
      </c>
      <c r="H5" s="6" t="n"/>
      <c r="I5" s="6" t="n"/>
      <c r="J5" s="6" t="n"/>
    </row>
    <row r="6">
      <c r="A6" s="6" t="inlineStr">
        <is>
          <t>Cash and cash equivalents / balances - Other bank(s)</t>
        </is>
      </c>
      <c r="B6" s="6" t="n">
        <v>82231</v>
      </c>
      <c r="C6" s="6" t="n">
        <v>58428</v>
      </c>
      <c r="D6" s="6" t="n">
        <v>66063</v>
      </c>
      <c r="E6" s="6" t="n">
        <v>21429</v>
      </c>
      <c r="F6" s="6" t="n">
        <v>30366</v>
      </c>
      <c r="G6" s="6" t="n">
        <v>22189</v>
      </c>
      <c r="H6" s="6" t="n">
        <v>2577</v>
      </c>
      <c r="I6" s="6" t="n">
        <v>2402</v>
      </c>
      <c r="J6" s="6" t="n">
        <v>194</v>
      </c>
    </row>
    <row r="7">
      <c r="A7" s="6" t="inlineStr">
        <is>
          <t>Debt securities (cash-like)</t>
        </is>
      </c>
      <c r="B7" s="6" t="n">
        <v>30572</v>
      </c>
      <c r="C7" s="6" t="n">
        <v>0</v>
      </c>
      <c r="D7" s="6" t="n">
        <v>13988</v>
      </c>
      <c r="E7" s="6" t="n">
        <v>13386</v>
      </c>
      <c r="F7" s="6" t="n">
        <v>16244</v>
      </c>
      <c r="G7" s="6" t="n">
        <v>12243</v>
      </c>
      <c r="H7" s="6" t="n">
        <v>243</v>
      </c>
      <c r="I7" s="6" t="n">
        <v>10019</v>
      </c>
      <c r="J7" s="6" t="n"/>
    </row>
    <row r="8">
      <c r="A8" s="6" t="inlineStr">
        <is>
          <t>Amounts due from other Group undertakings</t>
        </is>
      </c>
      <c r="B8" s="6" t="n">
        <v>39724</v>
      </c>
      <c r="C8" s="6" t="n">
        <v>642</v>
      </c>
      <c r="D8" s="6" t="n">
        <v>1431</v>
      </c>
      <c r="E8" s="6" t="n">
        <v>0</v>
      </c>
      <c r="F8" s="6" t="n">
        <v>1808</v>
      </c>
      <c r="G8" s="6" t="n">
        <v>3080</v>
      </c>
      <c r="H8" s="6" t="n">
        <v>646</v>
      </c>
      <c r="I8" s="6" t="n"/>
      <c r="J8" s="6" t="n"/>
    </row>
    <row r="9">
      <c r="A9" s="6" t="inlineStr">
        <is>
          <t>Derivative financial instruments</t>
        </is>
      </c>
      <c r="B9" s="6" t="n">
        <v>141</v>
      </c>
      <c r="C9" s="6" t="n">
        <v>5946</v>
      </c>
      <c r="D9" s="6" t="n">
        <v>7974</v>
      </c>
      <c r="E9" s="6" t="n">
        <v>8346</v>
      </c>
      <c r="F9" s="6" t="n">
        <v>11</v>
      </c>
      <c r="G9" s="6" t="n"/>
      <c r="H9" s="6" t="n"/>
      <c r="I9" s="6" t="n"/>
      <c r="J9" s="6" t="n"/>
    </row>
    <row r="10">
      <c r="A10" s="6" t="inlineStr">
        <is>
          <t>Loans and advances to customers</t>
        </is>
      </c>
      <c r="B10" s="6" t="n">
        <v>3506654</v>
      </c>
      <c r="C10" s="6" t="n">
        <v>2865635</v>
      </c>
      <c r="D10" s="6" t="n">
        <v>2478213</v>
      </c>
      <c r="E10" s="6" t="n">
        <v>1937964</v>
      </c>
      <c r="F10" s="6" t="n">
        <v>1173013</v>
      </c>
      <c r="G10" s="6" t="n">
        <v>225390</v>
      </c>
      <c r="H10" s="6" t="n">
        <v>16372</v>
      </c>
      <c r="I10" s="6" t="n"/>
      <c r="J10" s="6" t="n"/>
    </row>
    <row r="11">
      <c r="A11" s="6" t="inlineStr">
        <is>
          <t>Investment securities (held at FVOCI)</t>
        </is>
      </c>
      <c r="B11" s="6" t="n">
        <v>1253125</v>
      </c>
      <c r="C11" s="6" t="n">
        <v>455157</v>
      </c>
      <c r="D11" s="6" t="n">
        <v>80710</v>
      </c>
      <c r="E11" s="6" t="n">
        <v>0</v>
      </c>
      <c r="F11" s="6" t="n"/>
      <c r="G11" s="6" t="n"/>
      <c r="H11" s="6" t="n"/>
      <c r="I11" s="6" t="n"/>
      <c r="J11" s="6" t="n"/>
    </row>
    <row r="12">
      <c r="A12" s="6" t="inlineStr">
        <is>
          <t>Prepayments and accrued income</t>
        </is>
      </c>
      <c r="B12" s="6" t="n">
        <v>8578</v>
      </c>
      <c r="C12" s="6" t="n">
        <v>6445</v>
      </c>
      <c r="D12" s="6" t="n">
        <v>4891</v>
      </c>
      <c r="E12" s="6" t="n">
        <v>5007</v>
      </c>
      <c r="F12" s="6" t="n">
        <v>2489</v>
      </c>
      <c r="G12" s="6" t="n">
        <v>1480</v>
      </c>
      <c r="H12" s="6" t="n">
        <v>1634</v>
      </c>
      <c r="I12" s="6" t="n"/>
      <c r="J12" s="6" t="n"/>
    </row>
    <row r="13">
      <c r="A13" s="6" t="inlineStr">
        <is>
          <t>Other assets</t>
        </is>
      </c>
      <c r="B13" s="6" t="n">
        <v>22470</v>
      </c>
      <c r="C13" s="6" t="n">
        <v>22259</v>
      </c>
      <c r="D13" s="6" t="n">
        <v>13814</v>
      </c>
      <c r="E13" s="6" t="n">
        <v>28358</v>
      </c>
      <c r="F13" s="6" t="n">
        <v>1960</v>
      </c>
      <c r="G13" s="6" t="n">
        <v>567</v>
      </c>
      <c r="H13" s="6" t="n">
        <v>103</v>
      </c>
      <c r="I13" s="6" t="n">
        <v>976</v>
      </c>
      <c r="J13" s="6" t="n"/>
    </row>
    <row r="14">
      <c r="A14" s="6" t="inlineStr">
        <is>
          <t>Current tax asset</t>
        </is>
      </c>
      <c r="B14" s="6" t="n"/>
      <c r="C14" s="6" t="n"/>
      <c r="D14" s="6" t="n"/>
      <c r="E14" s="6" t="n"/>
      <c r="F14" s="6" t="n"/>
      <c r="G14" s="6" t="n">
        <v>522</v>
      </c>
      <c r="H14" s="6" t="n">
        <v>585</v>
      </c>
      <c r="I14" s="6" t="n"/>
      <c r="J14" s="6" t="n"/>
    </row>
    <row r="15">
      <c r="A15" s="6" t="inlineStr">
        <is>
          <t>Property, plant and equipment</t>
        </is>
      </c>
      <c r="B15" s="6" t="n">
        <v>1676</v>
      </c>
      <c r="C15" s="6" t="n">
        <v>1150</v>
      </c>
      <c r="D15" s="6" t="n">
        <v>1307</v>
      </c>
      <c r="E15" s="6" t="n">
        <v>788</v>
      </c>
      <c r="F15" s="6" t="n">
        <v>1054</v>
      </c>
      <c r="G15" s="6" t="n">
        <v>1376</v>
      </c>
      <c r="H15" s="6" t="n">
        <v>1417</v>
      </c>
      <c r="I15" s="6" t="n">
        <v>1733</v>
      </c>
      <c r="J15" s="6" t="n">
        <v>1372</v>
      </c>
    </row>
    <row r="16">
      <c r="A16" s="6" t="inlineStr">
        <is>
          <t>Right-of-use assets</t>
        </is>
      </c>
      <c r="B16" s="6" t="n">
        <v>17109</v>
      </c>
      <c r="C16" s="6" t="n">
        <v>2137</v>
      </c>
      <c r="D16" s="6" t="n">
        <v>4135</v>
      </c>
      <c r="E16" s="6" t="n">
        <v>1559</v>
      </c>
      <c r="F16" s="6" t="n">
        <v>3526</v>
      </c>
      <c r="G16" s="6" t="n">
        <v>511</v>
      </c>
      <c r="H16" s="6" t="n">
        <v>889</v>
      </c>
      <c r="I16" s="6" t="n"/>
      <c r="J16" s="6" t="n"/>
    </row>
    <row r="17">
      <c r="A17" s="6" t="inlineStr">
        <is>
          <t>Intangible assets</t>
        </is>
      </c>
      <c r="B17" s="6" t="n">
        <v>43949</v>
      </c>
      <c r="C17" s="6" t="n">
        <v>32360</v>
      </c>
      <c r="D17" s="6" t="n">
        <v>16055</v>
      </c>
      <c r="E17" s="6" t="n">
        <v>9435</v>
      </c>
      <c r="F17" s="6" t="n">
        <v>9352</v>
      </c>
      <c r="G17" s="6" t="n">
        <v>12183</v>
      </c>
      <c r="H17" s="6" t="n">
        <v>6384</v>
      </c>
      <c r="I17" s="6" t="n">
        <v>6228</v>
      </c>
      <c r="J17" s="6" t="n">
        <v>914</v>
      </c>
    </row>
    <row r="18">
      <c r="A18" s="6" t="inlineStr">
        <is>
          <t>Deferred tax assets</t>
        </is>
      </c>
      <c r="B18" s="6" t="n">
        <v>11788</v>
      </c>
      <c r="C18" s="6" t="n">
        <v>17573</v>
      </c>
      <c r="D18" s="6" t="n">
        <v>24401</v>
      </c>
      <c r="E18" s="6" t="n">
        <v>0</v>
      </c>
      <c r="F18" s="6" t="n"/>
      <c r="G18" s="6" t="n"/>
      <c r="H18" s="6" t="n"/>
      <c r="I18" s="6" t="n"/>
      <c r="J18" s="6" t="n"/>
    </row>
    <row r="19">
      <c r="A19" s="6" t="inlineStr">
        <is>
          <t>Loans and receivables (non-current; pre-banking-licence entity - a rental deposit, not customer lending)</t>
        </is>
      </c>
      <c r="B19" s="6" t="n"/>
      <c r="C19" s="6" t="n"/>
      <c r="D19" s="6" t="n"/>
      <c r="E19" s="6" t="n"/>
      <c r="F19" s="6" t="n"/>
      <c r="G19" s="6" t="n"/>
      <c r="H19" s="6" t="n"/>
      <c r="I19" s="6" t="n">
        <v>7244</v>
      </c>
      <c r="J19" s="6" t="n">
        <v>234</v>
      </c>
    </row>
    <row r="20">
      <c r="A20" s="5" t="inlineStr">
        <is>
          <t>Total assets</t>
        </is>
      </c>
      <c r="B20" s="5" t="n">
        <v>7243711</v>
      </c>
      <c r="C20" s="5" t="n">
        <v>6229047</v>
      </c>
      <c r="D20" s="5" t="n">
        <v>4049087</v>
      </c>
      <c r="E20" s="5" t="n">
        <v>3423334</v>
      </c>
      <c r="F20" s="5" t="n">
        <v>1430971</v>
      </c>
      <c r="G20" s="5" t="n">
        <v>314565</v>
      </c>
      <c r="H20" s="5" t="n">
        <v>30850</v>
      </c>
      <c r="I20" s="5" t="n">
        <v>28602</v>
      </c>
      <c r="J20" s="5" t="n">
        <v>2778</v>
      </c>
    </row>
    <row r="21">
      <c r="A21" s="5" t="inlineStr">
        <is>
          <t>Liabilities</t>
        </is>
      </c>
      <c r="B21" s="6" t="n"/>
      <c r="C21" s="6" t="n"/>
      <c r="D21" s="6" t="n"/>
      <c r="E21" s="6" t="n"/>
      <c r="F21" s="6" t="n"/>
      <c r="G21" s="6" t="n"/>
      <c r="H21" s="6" t="n"/>
      <c r="I21" s="6" t="n"/>
      <c r="J21" s="6" t="n"/>
    </row>
    <row r="22">
      <c r="A22" s="6" t="inlineStr">
        <is>
          <t>Derivative financial instruments</t>
        </is>
      </c>
      <c r="B22" s="6" t="n">
        <v>6020</v>
      </c>
      <c r="C22" s="6" t="n">
        <v>1087</v>
      </c>
      <c r="D22" s="6" t="n">
        <v>3388</v>
      </c>
      <c r="E22" s="6" t="n">
        <v>757</v>
      </c>
      <c r="F22" s="6" t="n">
        <v>0</v>
      </c>
      <c r="G22" s="6" t="n">
        <v>97</v>
      </c>
      <c r="H22" s="6" t="n"/>
      <c r="I22" s="6" t="n"/>
      <c r="J22" s="6" t="n"/>
    </row>
    <row r="23">
      <c r="A23" s="6" t="inlineStr">
        <is>
          <t>Amounts due to banks</t>
        </is>
      </c>
      <c r="B23" s="6" t="n">
        <v>50783</v>
      </c>
      <c r="C23" s="6" t="n">
        <v>157227</v>
      </c>
      <c r="D23" s="6" t="n">
        <v>159239</v>
      </c>
      <c r="E23" s="6" t="n">
        <v>180074</v>
      </c>
      <c r="F23" s="6" t="n">
        <v>175193</v>
      </c>
      <c r="G23" s="6" t="n">
        <v>11</v>
      </c>
      <c r="H23" s="6" t="n"/>
      <c r="I23" s="6" t="n"/>
      <c r="J23" s="6" t="n"/>
    </row>
    <row r="24">
      <c r="A24" s="6" t="inlineStr">
        <is>
          <t>Deposits by customers</t>
        </is>
      </c>
      <c r="B24" s="6" t="n">
        <v>6393598</v>
      </c>
      <c r="C24" s="6" t="n">
        <v>5455740</v>
      </c>
      <c r="D24" s="6" t="n">
        <v>3357724</v>
      </c>
      <c r="E24" s="6" t="n">
        <v>2922845</v>
      </c>
      <c r="F24" s="6" t="n">
        <v>968000</v>
      </c>
      <c r="G24" s="6" t="n">
        <v>177823</v>
      </c>
      <c r="H24" s="6" t="n"/>
      <c r="I24" s="6" t="n"/>
      <c r="J24" s="6" t="n"/>
    </row>
    <row r="25">
      <c r="A25" s="6" t="inlineStr">
        <is>
          <t>Amounts due to other Group undertakings</t>
        </is>
      </c>
      <c r="B25" s="6" t="n">
        <v>34361</v>
      </c>
      <c r="C25" s="6" t="n">
        <v>4</v>
      </c>
      <c r="D25" s="6" t="n">
        <v>615</v>
      </c>
      <c r="E25" s="6" t="n">
        <v>106</v>
      </c>
      <c r="F25" s="6" t="n">
        <v>17000</v>
      </c>
      <c r="G25" s="6" t="n">
        <v>3128</v>
      </c>
      <c r="H25" s="6" t="n">
        <v>7867</v>
      </c>
      <c r="I25" s="6" t="n"/>
      <c r="J25" s="6" t="n"/>
    </row>
    <row r="26">
      <c r="A26" s="6" t="inlineStr">
        <is>
          <t>Subordinated liabilities</t>
        </is>
      </c>
      <c r="B26" s="6" t="n">
        <v>76086</v>
      </c>
      <c r="C26" s="6" t="n">
        <v>76086</v>
      </c>
      <c r="D26" s="6" t="n">
        <v>78817</v>
      </c>
      <c r="E26" s="6" t="n">
        <v>0</v>
      </c>
      <c r="F26" s="6" t="n"/>
      <c r="G26" s="6" t="n"/>
      <c r="H26" s="6" t="n"/>
      <c r="I26" s="6" t="n"/>
      <c r="J26" s="6" t="n"/>
    </row>
    <row r="27">
      <c r="A27" s="6" t="inlineStr">
        <is>
          <t>Accruals</t>
        </is>
      </c>
      <c r="B27" s="6" t="n">
        <v>17498</v>
      </c>
      <c r="C27" s="6" t="n">
        <v>16747</v>
      </c>
      <c r="D27" s="6" t="n">
        <v>12483</v>
      </c>
      <c r="E27" s="6" t="n">
        <v>10449</v>
      </c>
      <c r="F27" s="6" t="n">
        <v>8887</v>
      </c>
      <c r="G27" s="6" t="n">
        <v>3446</v>
      </c>
      <c r="H27" s="6" t="n">
        <v>1512</v>
      </c>
      <c r="I27" s="6" t="n"/>
      <c r="J27" s="6" t="n"/>
    </row>
    <row r="28">
      <c r="A28" s="6" t="inlineStr">
        <is>
          <t>Provisions</t>
        </is>
      </c>
      <c r="B28" s="6" t="n">
        <v>10521</v>
      </c>
      <c r="C28" s="6" t="n">
        <v>3110</v>
      </c>
      <c r="D28" s="6" t="n">
        <v>2131</v>
      </c>
      <c r="E28" s="6" t="n">
        <v>1370</v>
      </c>
      <c r="F28" s="6" t="n">
        <v>1372</v>
      </c>
      <c r="G28" s="6" t="n">
        <v>224</v>
      </c>
      <c r="H28" s="6" t="n">
        <v>103</v>
      </c>
      <c r="I28" s="6" t="n"/>
      <c r="J28" s="6" t="n"/>
    </row>
    <row r="29">
      <c r="A29" s="6" t="inlineStr">
        <is>
          <t>Other liabilities</t>
        </is>
      </c>
      <c r="B29" s="6" t="n">
        <v>15313</v>
      </c>
      <c r="C29" s="6" t="n">
        <v>20016</v>
      </c>
      <c r="D29" s="6" t="n">
        <v>27237</v>
      </c>
      <c r="E29" s="6" t="n">
        <v>7087</v>
      </c>
      <c r="F29" s="6" t="n">
        <v>5113</v>
      </c>
      <c r="G29" s="6" t="n">
        <v>1747</v>
      </c>
      <c r="H29" s="6" t="n">
        <v>928</v>
      </c>
      <c r="I29" s="6" t="n"/>
      <c r="J29" s="6" t="n"/>
    </row>
    <row r="30">
      <c r="A30" s="6" t="inlineStr">
        <is>
          <t>Lease liabilities</t>
        </is>
      </c>
      <c r="B30" s="6" t="n">
        <v>16314</v>
      </c>
      <c r="C30" s="6" t="n">
        <v>1739</v>
      </c>
      <c r="D30" s="6" t="n">
        <v>3038</v>
      </c>
      <c r="E30" s="6" t="n">
        <v>1039</v>
      </c>
      <c r="F30" s="6" t="n">
        <v>3151</v>
      </c>
      <c r="G30" s="6" t="n">
        <v>467</v>
      </c>
      <c r="H30" s="6" t="n">
        <v>802</v>
      </c>
      <c r="I30" s="6" t="n"/>
      <c r="J30" s="6" t="n"/>
    </row>
    <row r="31">
      <c r="A31" s="6" t="inlineStr">
        <is>
          <t>Trade and other payables (aggregate; pre-banking-licence/restricted-licence entity, not yet split by category)</t>
        </is>
      </c>
      <c r="B31" s="6" t="n"/>
      <c r="C31" s="6" t="n"/>
      <c r="D31" s="6" t="n"/>
      <c r="E31" s="6" t="n"/>
      <c r="F31" s="6" t="n"/>
      <c r="G31" s="6" t="n"/>
      <c r="H31" s="6" t="n"/>
      <c r="I31" s="6" t="n">
        <v>6788</v>
      </c>
      <c r="J31" s="6" t="n">
        <v>6583</v>
      </c>
    </row>
    <row r="32">
      <c r="A32" s="5" t="inlineStr">
        <is>
          <t>Total liabilities</t>
        </is>
      </c>
      <c r="B32" s="5" t="n">
        <v>6620494</v>
      </c>
      <c r="C32" s="5" t="n">
        <v>5731756</v>
      </c>
      <c r="D32" s="5" t="n">
        <v>3644672</v>
      </c>
      <c r="E32" s="5" t="n">
        <v>3123727</v>
      </c>
      <c r="F32" s="5" t="n">
        <v>1178716</v>
      </c>
      <c r="G32" s="5" t="n">
        <v>186943</v>
      </c>
      <c r="H32" s="5" t="n">
        <v>11212</v>
      </c>
      <c r="I32" s="5" t="n">
        <v>6788</v>
      </c>
      <c r="J32" s="5" t="n">
        <v>6583</v>
      </c>
    </row>
    <row r="33">
      <c r="A33" s="5" t="inlineStr">
        <is>
          <t>Equity</t>
        </is>
      </c>
      <c r="B33" s="6" t="n"/>
      <c r="C33" s="6" t="n"/>
      <c r="D33" s="6" t="n"/>
      <c r="E33" s="6" t="n"/>
      <c r="F33" s="6" t="n"/>
      <c r="G33" s="6" t="n"/>
      <c r="H33" s="6" t="n"/>
      <c r="I33" s="6" t="n"/>
      <c r="J33" s="6" t="n"/>
    </row>
    <row r="34">
      <c r="A34" s="6" t="inlineStr">
        <is>
          <t>Called-up share capital</t>
        </is>
      </c>
      <c r="B34" s="6" t="n">
        <v>68542</v>
      </c>
      <c r="C34" s="6" t="n">
        <v>554819</v>
      </c>
      <c r="D34" s="6" t="n">
        <v>486319</v>
      </c>
      <c r="E34" s="6" t="n">
        <v>421319</v>
      </c>
      <c r="F34" s="6" t="n">
        <v>349319</v>
      </c>
      <c r="G34" s="6" t="n">
        <v>192319</v>
      </c>
      <c r="H34" s="6" t="n">
        <v>54160</v>
      </c>
      <c r="I34" s="6" t="n">
        <v>39160</v>
      </c>
      <c r="J34" s="6" t="n">
        <v>0</v>
      </c>
    </row>
    <row r="35">
      <c r="A35" s="6" t="inlineStr">
        <is>
          <t>Share premium</t>
        </is>
      </c>
      <c r="B35" s="6" t="n">
        <v>6146</v>
      </c>
      <c r="C35" s="6" t="n">
        <v>0</v>
      </c>
      <c r="D35" s="6" t="n"/>
      <c r="E35" s="6" t="n"/>
      <c r="F35" s="6" t="n"/>
      <c r="G35" s="6" t="n"/>
      <c r="H35" s="6" t="n"/>
      <c r="I35" s="6" t="n"/>
      <c r="J35" s="6" t="n"/>
    </row>
    <row r="36">
      <c r="A36" s="6" t="inlineStr">
        <is>
          <t>Other equity instruments</t>
        </is>
      </c>
      <c r="B36" s="6" t="n">
        <v>78298</v>
      </c>
      <c r="C36" s="6" t="n">
        <v>0</v>
      </c>
      <c r="D36" s="6" t="n"/>
      <c r="E36" s="6" t="n"/>
      <c r="F36" s="6" t="n"/>
      <c r="G36" s="6" t="n"/>
      <c r="H36" s="6" t="n"/>
      <c r="I36" s="6" t="n"/>
      <c r="J36" s="6" t="n"/>
    </row>
    <row r="37">
      <c r="A37" s="6" t="inlineStr">
        <is>
          <t>Other reserves</t>
        </is>
      </c>
      <c r="B37" s="6" t="n">
        <v>21826</v>
      </c>
      <c r="C37" s="6" t="n">
        <v>9428</v>
      </c>
      <c r="D37" s="6" t="n">
        <v>6829</v>
      </c>
      <c r="E37" s="6" t="n">
        <v>5902</v>
      </c>
      <c r="F37" s="6" t="n">
        <v>6180</v>
      </c>
      <c r="G37" s="6" t="n">
        <v>4324</v>
      </c>
      <c r="H37" s="6" t="n">
        <v>1786</v>
      </c>
      <c r="I37" s="6" t="n">
        <v>1088</v>
      </c>
      <c r="J37" s="6" t="n">
        <v>195</v>
      </c>
    </row>
    <row r="38">
      <c r="A38" s="6" t="inlineStr">
        <is>
          <t>Retained earnings/(accumulated losses)</t>
        </is>
      </c>
      <c r="B38" s="6" t="n">
        <v>448405</v>
      </c>
      <c r="C38" s="6" t="n">
        <v>-66956</v>
      </c>
      <c r="D38" s="6" t="n">
        <v>-88733</v>
      </c>
      <c r="E38" s="6" t="n">
        <v>-127614</v>
      </c>
      <c r="F38" s="6" t="n">
        <v>-103244</v>
      </c>
      <c r="G38" s="6" t="n">
        <v>-69021</v>
      </c>
      <c r="H38" s="6" t="n">
        <v>-36308</v>
      </c>
      <c r="I38" s="6" t="n">
        <v>-18434</v>
      </c>
      <c r="J38" s="6" t="n">
        <v>-4001</v>
      </c>
    </row>
    <row r="39">
      <c r="A39" s="5" t="inlineStr">
        <is>
          <t>Total equity</t>
        </is>
      </c>
      <c r="B39" s="5" t="n">
        <v>623217</v>
      </c>
      <c r="C39" s="5" t="n">
        <v>497291</v>
      </c>
      <c r="D39" s="5" t="n">
        <v>404415</v>
      </c>
      <c r="E39" s="5" t="n">
        <v>299607</v>
      </c>
      <c r="F39" s="5" t="n">
        <v>252255</v>
      </c>
      <c r="G39" s="5" t="n">
        <v>127622</v>
      </c>
      <c r="H39" s="5" t="n">
        <v>19638</v>
      </c>
      <c r="I39" s="5" t="n">
        <v>21814</v>
      </c>
      <c r="J39" s="5" t="n">
        <v>-3806</v>
      </c>
    </row>
    <row r="40">
      <c r="A40" s="5" t="inlineStr">
        <is>
          <t>Total equity and liabilities</t>
        </is>
      </c>
      <c r="B40" s="5" t="n">
        <v>7243711</v>
      </c>
      <c r="C40" s="5" t="n">
        <v>6229047</v>
      </c>
      <c r="D40" s="5" t="n">
        <v>4049087</v>
      </c>
      <c r="E40" s="5" t="n">
        <v>3423334</v>
      </c>
      <c r="F40" s="5" t="n">
        <v>1430971</v>
      </c>
      <c r="G40" s="5" t="n">
        <v>314565</v>
      </c>
      <c r="H40" s="5" t="n">
        <v>30850</v>
      </c>
      <c r="I40" s="5" t="n">
        <v>28602</v>
      </c>
      <c r="J40" s="5" t="n">
        <v>2778</v>
      </c>
    </row>
    <row r="42" ht="409" customHeight="1">
      <c r="A42" s="8" t="inlineStr">
        <is>
          <t>Sources - Zopa Bank Limited's own entity-level financial statements, £'000:
FY2025/FY2024: Annual Report and Accounts 2025 - Statement of comprehensive income p.98, Statement of financial position p.99, Statement of changes in equity p.100 - https://www.datocms-assets.com/23873/1773841899-zopa_bank_ar25_web.pdf
FY2023/FY2022: Annual Report and Accounts 2023 - Statement of comprehensive income p.111, Statement of financial position p.112, Statement of changes in equity p.113 - https://www.datocms-assets.com/23873/1713257733-zopa-group-2023-annual-report-signed_web-version.pdf
FY2021: Annual Report and Accounts 2021 - Statement of comprehensive income p.66, Statement of financial position p.67, Statement of changes in equity p.68 - https://www.datocms-assets.com/23873/1658745948-zopa-bank-annual-report-2021.pdf
FY2020: Annual Report and Financial Statements 2020 (Companies House, accounts made up to 31 December 2020, filed 2 Oct 2021) - Income statement p.27, Statement of Financial Position p.28, Statement of changes in equity p.29 - https://www.datocms-assets.com/23873/1658745479-zopa-bank-limited-annual-report-and-financial-statements-2020.pdf
FY2019: Annual Report and Financial Statements 2019 (Companies House filing, 58pp) - Income statement p.21, Statement of Financial Position p.22, Statement of changes in equity p.23 - https://find-and-update.company-information.service.gov.uk/company/10627575/filing-history/MzI4NjUxOTIyNmFkaXF6a2N4/document?format=pdf&amp;download=0
FY2018: Annual Report and Financial Statements 2018 (Companies House filing, 45pp) - Statement of comprehensive income p.15, Statement of financial position p.16, Statement of changes in equity p.17 - https://find-and-update.company-information.service.gov.uk/company/10627575/filing-history/MzI0NjEzNjE0OWFkaXF6a2N4/document?format=pdf&amp;download=0
FY2017: Zopa Financial Services Limited Annual Report and Financial Statements 2017 (Companies House filing, 30pp; entity's own accounts for the period 20 Feb-31 Dec 2017) - Statement of comprehensive income p.10, Statement of financial position p.11, Statement of changes in equity p.12 - https://find-and-update.company-information.service.gov.uk/company/10627575/filing-history/MzIxNTk5NjMyMmFkaXF6a2N4/document?format=pdf&amp;download=0. FY2017 balance sheet/equity figures shown here use the rounded £'000 comparative column as re-printed in the FY2018 Annual Report (p.16-17, cross-checked and matched exactly), since FY2017's own accounts were prepared in whole £, not £'000 - this is a rounding basis only, not a different underlying transaction set.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
HISTORICAL FLOOR NOTE (independently re-verified, not assumed from Companies House incorporation date alone): Zopa Bank Limited was incorporated 20 February 2017 under the name 'Zopa Financial Services Limited' - a pre-launch entity with no banking licence, no customer lending and no regulatory capital reporting of any kind. It submitted its full Banking Licence application in February 2018 and was authorised WITH RESTRICTIONS in December 2018 (name changed to Zopa Bank Limited January 2019), during which it built its technology and began a small auto-loan book funded from its own capital, but could not yet take customer deposits. Full, unrestricted authorisation (mobilisation complete) was obtained in 2020, after which it began raising retail deposits (first shown on the FY2020 balance sheet). Consequently: FY2017's own real, audited financial statements exist (Balance Sheet/P&amp;L/Equity/Cash Flow are populated below) but the entity had no banking business that year at all, so its Asset Quality sheet and all 11 Pillar 3 key metric sheets are genuinely blank for FY2017 - not a self-skip, an accurate reflection of 'not yet a bank'. FY2018 is the first year with any regulatory capital/RWA disclosure (unaudited Pillar 1 figures given in the Annual Report itself; Zopa had no standalone Pillar 3 document at this scale). FY2019 and FY2020 disclose a CET1 capital amount only (no RWA, no ratio, no Pillar 3 document) - genuinely absent from the source, not a transcription gap.</t>
        </is>
      </c>
    </row>
    <row r="44" ht="409" customHeight="1">
      <c r="A44" s="8" t="inlineStr">
        <is>
          <t>(continued)
PRESENTATION NOTE: line-item structure and labels differ by report vintage (e.g. 'Total operating income' block only appears from FY2024 onward; the equity statement gained separate 'Share premium' and 'Other equity instruments' columns only in FY2025, when the Bank issued AT1 instruments and restructured its share capital via a capital reduction - both columns are blank/nil for FY2017-FY2024, not a gap). FY2017/FY2018 predate the Bank's IFRS-style statement format entirely and use their own period's line items ('Revenue'/'Cost of sales'/'Gross profit or loss', a single aggregated 'Trade and other payables' liability line, and non-current 'Loans and receivables' that is a rental deposit, not customer lending) - shown here as their own dedicated rows, blank in every other year, rather than force-mapped into later years' bank-specific line items. Every year's own Profit/(loss) before tax ties exactly to the pre-existing Cash Flow Statement sheet's own opening reconciliation line. Blank cells indicate that year's own statement did not disclose/include that specific line at all; a printed em-dash in the source was transcribed as 0 (an explicit nil, not a gap). Small (&lt;£1k, rounding-only) cross-footing gaps in FY2017 (a whole-£ original converted independently to £'000 on each line) are reproduced exactly as computed, not forced to tie - e.g. Total liabilities (£6,583k) + Total equity (-£3,806k) = £2,777k vs. stated Total assets £2,778k.</t>
        </is>
      </c>
    </row>
  </sheetData>
  <mergeCells count="2">
    <mergeCell ref="A44:J44"/>
    <mergeCell ref="A42:J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Zopa Bank Limited — Profit &amp; Loss</t>
        </is>
      </c>
    </row>
    <row r="2">
      <c r="A2" s="2" t="inlineStr">
        <is>
          <t>Zopa Bank Limited (entity-level), £'000. All profits/losses are from continuing operations. FY2017-FY2022 disclose no other comprehensive income items at all (confirmed via each source statement's own text, not a gap) - Total comprehensive income equals Profit/(loss) after tax exactly in those years. Every year's Profit/(loss) before tax ties exactly to the Cash Flow Statement sheet's own opening reconciliation line. FY2017/FY2018 use their own period's distinct line items (Revenue/Cost of sales/Gross profit) - see PRESENTATION NOTE on the Balance Sheet sheet.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Income</t>
        </is>
      </c>
      <c r="B4" s="6" t="n"/>
      <c r="C4" s="6" t="n"/>
      <c r="D4" s="6" t="n"/>
      <c r="E4" s="6" t="n"/>
      <c r="F4" s="6" t="n"/>
      <c r="G4" s="6" t="n"/>
      <c r="H4" s="6" t="n"/>
      <c r="I4" s="6" t="n"/>
      <c r="J4" s="6" t="n"/>
    </row>
    <row r="5">
      <c r="A5" s="6" t="inlineStr">
        <is>
          <t>Revenue (pre-banking-licence entity; intercompany services + minor interest, not split by type)</t>
        </is>
      </c>
      <c r="B5" s="6" t="n"/>
      <c r="C5" s="6" t="n"/>
      <c r="D5" s="6" t="n"/>
      <c r="E5" s="6" t="n"/>
      <c r="F5" s="6" t="n"/>
      <c r="G5" s="6" t="n"/>
      <c r="H5" s="6" t="n"/>
      <c r="I5" s="6" t="n">
        <v>4584</v>
      </c>
      <c r="J5" s="6" t="n">
        <v>69</v>
      </c>
    </row>
    <row r="6">
      <c r="A6" s="6" t="inlineStr">
        <is>
          <t>Cost of sales (pre-banking-licence entity)</t>
        </is>
      </c>
      <c r="B6" s="6" t="n"/>
      <c r="C6" s="6" t="n"/>
      <c r="D6" s="6" t="n"/>
      <c r="E6" s="6" t="n"/>
      <c r="F6" s="6" t="n"/>
      <c r="G6" s="6" t="n"/>
      <c r="H6" s="6" t="n"/>
      <c r="I6" s="6" t="n">
        <v>-98</v>
      </c>
      <c r="J6" s="6" t="n">
        <v>-81</v>
      </c>
    </row>
    <row r="7">
      <c r="A7" s="5" t="inlineStr">
        <is>
          <t>Gross profit/(loss) (pre-banking-licence entity)</t>
        </is>
      </c>
      <c r="B7" s="5" t="n"/>
      <c r="C7" s="5" t="n"/>
      <c r="D7" s="5" t="n"/>
      <c r="E7" s="5" t="n"/>
      <c r="F7" s="5" t="n"/>
      <c r="G7" s="5" t="n"/>
      <c r="H7" s="5" t="n"/>
      <c r="I7" s="5" t="n">
        <v>4486</v>
      </c>
      <c r="J7" s="5" t="n">
        <v>-12</v>
      </c>
    </row>
    <row r="8">
      <c r="A8" s="6" t="inlineStr">
        <is>
          <t>Interest income</t>
        </is>
      </c>
      <c r="B8" s="6" t="n">
        <v>598989</v>
      </c>
      <c r="C8" s="6" t="n">
        <v>503794</v>
      </c>
      <c r="D8" s="6" t="n">
        <v>349917</v>
      </c>
      <c r="E8" s="6" t="n">
        <v>200049</v>
      </c>
      <c r="F8" s="6" t="n">
        <v>61146</v>
      </c>
      <c r="G8" s="6" t="n">
        <v>7228</v>
      </c>
      <c r="H8" s="6" t="n">
        <v>640</v>
      </c>
      <c r="I8" s="6" t="n"/>
      <c r="J8" s="6" t="n"/>
    </row>
    <row r="9">
      <c r="A9" s="6" t="inlineStr">
        <is>
          <t>Interest expense</t>
        </is>
      </c>
      <c r="B9" s="6" t="n">
        <v>-239341</v>
      </c>
      <c r="C9" s="6" t="n">
        <v>-224454</v>
      </c>
      <c r="D9" s="6" t="n">
        <v>-136957</v>
      </c>
      <c r="E9" s="6" t="n">
        <v>-33937</v>
      </c>
      <c r="F9" s="6" t="n">
        <v>-5466</v>
      </c>
      <c r="G9" s="6" t="n">
        <v>-610</v>
      </c>
      <c r="H9" s="6" t="n">
        <v>-173</v>
      </c>
      <c r="I9" s="6" t="n"/>
      <c r="J9" s="6" t="n"/>
    </row>
    <row r="10">
      <c r="A10" s="5" t="inlineStr">
        <is>
          <t>Net interest income</t>
        </is>
      </c>
      <c r="B10" s="5" t="n">
        <v>359648</v>
      </c>
      <c r="C10" s="5" t="n">
        <v>279340</v>
      </c>
      <c r="D10" s="5" t="n">
        <v>212960</v>
      </c>
      <c r="E10" s="5" t="n">
        <v>166112</v>
      </c>
      <c r="F10" s="5" t="n">
        <v>55680</v>
      </c>
      <c r="G10" s="5" t="n">
        <v>6618</v>
      </c>
      <c r="H10" s="5" t="n">
        <v>467</v>
      </c>
      <c r="I10" s="5" t="n"/>
      <c r="J10" s="5" t="n"/>
    </row>
    <row r="11">
      <c r="A11" s="6" t="inlineStr">
        <is>
          <t>Fee and commission income</t>
        </is>
      </c>
      <c r="B11" s="6" t="n">
        <v>15232</v>
      </c>
      <c r="C11" s="6" t="n">
        <v>14347</v>
      </c>
      <c r="D11" s="6" t="n">
        <v>13020</v>
      </c>
      <c r="E11" s="6" t="n">
        <v>8133</v>
      </c>
      <c r="F11" s="6" t="n">
        <v>2432</v>
      </c>
      <c r="G11" s="6" t="n">
        <v>152</v>
      </c>
      <c r="H11" s="6" t="n"/>
      <c r="I11" s="6" t="n"/>
      <c r="J11" s="6" t="n"/>
    </row>
    <row r="12">
      <c r="A12" s="6" t="inlineStr">
        <is>
          <t>Fee and commission expense</t>
        </is>
      </c>
      <c r="B12" s="6" t="n">
        <v>-16633</v>
      </c>
      <c r="C12" s="6" t="n">
        <v>-14033</v>
      </c>
      <c r="D12" s="6" t="n">
        <v>-10684</v>
      </c>
      <c r="E12" s="6" t="n">
        <v>-9040</v>
      </c>
      <c r="F12" s="6" t="n">
        <v>-3275</v>
      </c>
      <c r="G12" s="6" t="n">
        <v>-2072</v>
      </c>
      <c r="H12" s="6" t="n">
        <v>-450</v>
      </c>
      <c r="I12" s="6" t="n"/>
      <c r="J12" s="6" t="n"/>
    </row>
    <row r="13">
      <c r="A13" s="5" t="inlineStr">
        <is>
          <t>Net fee and commission income/(expense)</t>
        </is>
      </c>
      <c r="B13" s="5" t="n">
        <v>-1401</v>
      </c>
      <c r="C13" s="5" t="n">
        <v>314</v>
      </c>
      <c r="D13" s="5" t="n">
        <v>2336</v>
      </c>
      <c r="E13" s="5" t="n">
        <v>-907</v>
      </c>
      <c r="F13" s="5" t="n">
        <v>-843</v>
      </c>
      <c r="G13" s="5" t="n">
        <v>-1920</v>
      </c>
      <c r="H13" s="5" t="n">
        <v>-450</v>
      </c>
      <c r="I13" s="5" t="n"/>
      <c r="J13" s="5" t="n"/>
    </row>
    <row r="14">
      <c r="A14" s="6" t="inlineStr">
        <is>
          <t>Other operating income</t>
        </is>
      </c>
      <c r="B14" s="6" t="n">
        <v>266</v>
      </c>
      <c r="C14" s="6" t="n">
        <v>2478</v>
      </c>
      <c r="D14" s="6" t="n">
        <v>1261</v>
      </c>
      <c r="E14" s="6" t="n">
        <v>279</v>
      </c>
      <c r="F14" s="6" t="n">
        <v>12807</v>
      </c>
      <c r="G14" s="6" t="n">
        <v>16114</v>
      </c>
      <c r="H14" s="6" t="n">
        <v>12491</v>
      </c>
      <c r="I14" s="6" t="n"/>
      <c r="J14" s="6" t="n"/>
    </row>
    <row r="15">
      <c r="A15" s="6" t="inlineStr">
        <is>
          <t>Net gains/(losses) on derecognition of financial assets at amortised cost</t>
        </is>
      </c>
      <c r="B15" s="6" t="n">
        <v>212</v>
      </c>
      <c r="C15" s="6" t="n">
        <v>10095</v>
      </c>
      <c r="D15" s="6" t="n">
        <v>2984</v>
      </c>
      <c r="E15" s="6" t="n">
        <v>-21049</v>
      </c>
      <c r="F15" s="6" t="n">
        <v>-2234</v>
      </c>
      <c r="G15" s="6" t="n"/>
      <c r="H15" s="6" t="n"/>
      <c r="I15" s="6" t="n"/>
      <c r="J15" s="6" t="n"/>
    </row>
    <row r="16">
      <c r="A16" s="6" t="inlineStr">
        <is>
          <t>Net losses on disposal of property, plant and equipment</t>
        </is>
      </c>
      <c r="B16" s="6" t="n"/>
      <c r="C16" s="6" t="n"/>
      <c r="D16" s="6" t="n"/>
      <c r="E16" s="6" t="n"/>
      <c r="F16" s="6" t="n">
        <v>0</v>
      </c>
      <c r="G16" s="6" t="n"/>
      <c r="H16" s="6" t="n"/>
      <c r="I16" s="6" t="n"/>
      <c r="J16" s="6" t="n"/>
    </row>
    <row r="17">
      <c r="A17" s="6" t="inlineStr">
        <is>
          <t>Changes in fair value of financial instruments measured at FVTPL</t>
        </is>
      </c>
      <c r="B17" s="6" t="n">
        <v>827</v>
      </c>
      <c r="C17" s="6" t="n">
        <v>5561</v>
      </c>
      <c r="D17" s="6" t="n">
        <v>2889</v>
      </c>
      <c r="E17" s="6" t="n">
        <v>6089</v>
      </c>
      <c r="F17" s="6" t="n">
        <v>-182</v>
      </c>
      <c r="G17" s="6" t="n">
        <v>71</v>
      </c>
      <c r="H17" s="6" t="n"/>
      <c r="I17" s="6" t="n"/>
      <c r="J17" s="6" t="n"/>
    </row>
    <row r="18">
      <c r="A18" s="6" t="inlineStr">
        <is>
          <t>Other interest receivable and similar income (pre-banking-licence/restricted-licence entity)</t>
        </is>
      </c>
      <c r="B18" s="6" t="n"/>
      <c r="C18" s="6" t="n"/>
      <c r="D18" s="6" t="n"/>
      <c r="E18" s="6" t="n"/>
      <c r="F18" s="6" t="n"/>
      <c r="G18" s="6" t="n"/>
      <c r="H18" s="6" t="n"/>
      <c r="I18" s="6" t="n">
        <v>26</v>
      </c>
      <c r="J18" s="6" t="n"/>
    </row>
    <row r="19">
      <c r="A19" s="5" t="inlineStr">
        <is>
          <t>Total operating income</t>
        </is>
      </c>
      <c r="B19" s="5" t="n">
        <v>359552</v>
      </c>
      <c r="C19" s="5" t="n">
        <v>297788</v>
      </c>
      <c r="D19" s="5" t="n">
        <v>222430</v>
      </c>
      <c r="E19" s="5" t="n">
        <v>150524</v>
      </c>
      <c r="F19" s="5" t="n">
        <v>65228</v>
      </c>
      <c r="G19" s="5" t="n">
        <v>20883</v>
      </c>
      <c r="H19" s="5" t="n">
        <v>12508</v>
      </c>
      <c r="I19" s="5" t="n"/>
      <c r="J19" s="5" t="n"/>
    </row>
    <row r="20">
      <c r="A20" s="5" t="inlineStr">
        <is>
          <t>Operating expenses and impairment</t>
        </is>
      </c>
      <c r="B20" s="6" t="n"/>
      <c r="C20" s="6" t="n"/>
      <c r="D20" s="6" t="n"/>
      <c r="E20" s="6" t="n"/>
      <c r="F20" s="6" t="n"/>
      <c r="G20" s="6" t="n"/>
      <c r="H20" s="6" t="n"/>
      <c r="I20" s="6" t="n"/>
      <c r="J20" s="6" t="n"/>
    </row>
    <row r="21">
      <c r="A21" s="6" t="inlineStr">
        <is>
          <t>Operating expenses</t>
        </is>
      </c>
      <c r="B21" s="6" t="n">
        <v>-136999</v>
      </c>
      <c r="C21" s="6" t="n">
        <v>-107992</v>
      </c>
      <c r="D21" s="6" t="n">
        <v>-83266</v>
      </c>
      <c r="E21" s="6" t="n">
        <v>-75578</v>
      </c>
      <c r="F21" s="6" t="n">
        <v>-57640</v>
      </c>
      <c r="G21" s="6" t="n">
        <v>-38567</v>
      </c>
      <c r="H21" s="6" t="n">
        <v>-30798</v>
      </c>
      <c r="I21" s="6" t="n">
        <v>-18895</v>
      </c>
      <c r="J21" s="6" t="n">
        <v>-3990</v>
      </c>
    </row>
    <row r="22">
      <c r="A22" s="5" t="inlineStr">
        <is>
          <t>Net operating income/(loss)</t>
        </is>
      </c>
      <c r="B22" s="5" t="n">
        <v>222553</v>
      </c>
      <c r="C22" s="5" t="n">
        <v>189796</v>
      </c>
      <c r="D22" s="5" t="n">
        <v>139164</v>
      </c>
      <c r="E22" s="5" t="n">
        <v>74946</v>
      </c>
      <c r="F22" s="5" t="n">
        <v>7588</v>
      </c>
      <c r="G22" s="5" t="n">
        <v>-17684</v>
      </c>
      <c r="H22" s="5" t="n">
        <v>-18290</v>
      </c>
      <c r="I22" s="5" t="n">
        <v>-14409</v>
      </c>
      <c r="J22" s="5" t="n">
        <v>-4001</v>
      </c>
    </row>
    <row r="23">
      <c r="A23" s="6" t="inlineStr">
        <is>
          <t>Change in expected credit losses and other credit impairment charges</t>
        </is>
      </c>
      <c r="B23" s="6" t="n">
        <v>-167501</v>
      </c>
      <c r="C23" s="6" t="n">
        <v>-156229</v>
      </c>
      <c r="D23" s="6" t="n">
        <v>-122817</v>
      </c>
      <c r="E23" s="6" t="n">
        <v>-100609</v>
      </c>
      <c r="F23" s="6" t="n">
        <v>-41812</v>
      </c>
      <c r="G23" s="6" t="n">
        <v>-12788</v>
      </c>
      <c r="H23" s="6" t="n">
        <v>-162</v>
      </c>
      <c r="I23" s="6" t="n">
        <v>-49</v>
      </c>
      <c r="J23" s="6" t="n"/>
    </row>
    <row r="24">
      <c r="A24" s="6" t="inlineStr">
        <is>
          <t>Change in provisions for other liabilities and charges</t>
        </is>
      </c>
      <c r="B24" s="6" t="n">
        <v>-10200</v>
      </c>
      <c r="C24" s="6" t="n">
        <v>-2017</v>
      </c>
      <c r="D24" s="6" t="n">
        <v>-530</v>
      </c>
      <c r="E24" s="6" t="n">
        <v>-325</v>
      </c>
      <c r="F24" s="6" t="n">
        <v>0</v>
      </c>
      <c r="G24" s="6" t="n"/>
      <c r="H24" s="6" t="n"/>
      <c r="I24" s="6" t="n"/>
      <c r="J24" s="6" t="n"/>
    </row>
    <row r="25">
      <c r="A25" s="6" t="inlineStr">
        <is>
          <t>Loss on disposal of assets</t>
        </is>
      </c>
      <c r="B25" s="6" t="n"/>
      <c r="C25" s="6" t="n"/>
      <c r="D25" s="6" t="n"/>
      <c r="E25" s="6" t="n"/>
      <c r="F25" s="6" t="n"/>
      <c r="G25" s="6" t="n">
        <v>-82</v>
      </c>
      <c r="H25" s="6" t="n"/>
      <c r="I25" s="6" t="n"/>
      <c r="J25" s="6" t="n"/>
    </row>
    <row r="26">
      <c r="A26" s="5" t="inlineStr">
        <is>
          <t>Profit/(loss) before tax</t>
        </is>
      </c>
      <c r="B26" s="5" t="n">
        <v>44852</v>
      </c>
      <c r="C26" s="5" t="n">
        <v>31550</v>
      </c>
      <c r="D26" s="5" t="n">
        <v>15817</v>
      </c>
      <c r="E26" s="5" t="n">
        <v>-25988</v>
      </c>
      <c r="F26" s="5" t="n">
        <v>-34224</v>
      </c>
      <c r="G26" s="5" t="n">
        <v>-30554</v>
      </c>
      <c r="H26" s="5" t="n">
        <v>-18452</v>
      </c>
      <c r="I26" s="5" t="n">
        <v>-14432</v>
      </c>
      <c r="J26" s="5" t="n">
        <v>-4001</v>
      </c>
    </row>
    <row r="27">
      <c r="A27" s="6" t="inlineStr">
        <is>
          <t>Taxation</t>
        </is>
      </c>
      <c r="B27" s="6" t="n">
        <v>-11472</v>
      </c>
      <c r="C27" s="6" t="n">
        <v>-9773</v>
      </c>
      <c r="D27" s="6" t="n">
        <v>23064</v>
      </c>
      <c r="E27" s="6" t="n">
        <v>0</v>
      </c>
      <c r="F27" s="6" t="n">
        <v>1</v>
      </c>
      <c r="G27" s="6" t="n">
        <v>9</v>
      </c>
      <c r="H27" s="6" t="n">
        <v>585</v>
      </c>
      <c r="I27" s="6" t="n">
        <v>0</v>
      </c>
      <c r="J27" s="6" t="n">
        <v>0</v>
      </c>
    </row>
    <row r="28">
      <c r="A28" s="5" t="inlineStr">
        <is>
          <t>Profit/(loss) after tax</t>
        </is>
      </c>
      <c r="B28" s="5" t="n">
        <v>33380</v>
      </c>
      <c r="C28" s="5" t="n">
        <v>21777</v>
      </c>
      <c r="D28" s="5" t="n">
        <v>38881</v>
      </c>
      <c r="E28" s="5" t="n">
        <v>-25988</v>
      </c>
      <c r="F28" s="5" t="n">
        <v>-34223</v>
      </c>
      <c r="G28" s="5" t="n">
        <v>-30545</v>
      </c>
      <c r="H28" s="5" t="n">
        <v>-17867</v>
      </c>
      <c r="I28" s="5" t="n">
        <v>-14432</v>
      </c>
      <c r="J28" s="5" t="n">
        <v>-4001</v>
      </c>
    </row>
    <row r="29">
      <c r="A29" s="5" t="inlineStr">
        <is>
          <t>Other comprehensive income/(loss)</t>
        </is>
      </c>
      <c r="B29" s="6" t="n"/>
      <c r="C29" s="6" t="n"/>
      <c r="D29" s="6" t="n"/>
      <c r="E29" s="6" t="n"/>
      <c r="F29" s="6" t="n"/>
      <c r="G29" s="6" t="n"/>
      <c r="H29" s="6" t="n"/>
      <c r="I29" s="6" t="n"/>
      <c r="J29" s="6" t="n"/>
    </row>
    <row r="30">
      <c r="A30" s="6" t="inlineStr">
        <is>
          <t>Changes in fair value of investment securities held at FVOCI</t>
        </is>
      </c>
      <c r="B30" s="6" t="n">
        <v>187</v>
      </c>
      <c r="C30" s="6" t="n">
        <v>-46</v>
      </c>
      <c r="D30" s="6" t="n">
        <v>-49</v>
      </c>
      <c r="E30" s="6" t="n"/>
      <c r="F30" s="6" t="n"/>
      <c r="G30" s="6" t="n"/>
      <c r="H30" s="6" t="n"/>
      <c r="I30" s="6" t="n"/>
      <c r="J30" s="6" t="n"/>
    </row>
    <row r="31">
      <c r="A31" s="5" t="inlineStr">
        <is>
          <t>Total other comprehensive income/(loss)</t>
        </is>
      </c>
      <c r="B31" s="5" t="n">
        <v>187</v>
      </c>
      <c r="C31" s="5" t="n">
        <v>-46</v>
      </c>
      <c r="D31" s="5" t="n">
        <v>-49</v>
      </c>
      <c r="E31" s="5" t="n"/>
      <c r="F31" s="5" t="n"/>
      <c r="G31" s="5" t="n"/>
      <c r="H31" s="5" t="n"/>
      <c r="I31" s="5" t="n"/>
      <c r="J31" s="5" t="n"/>
    </row>
    <row r="32">
      <c r="A32" s="5" t="inlineStr">
        <is>
          <t>Total comprehensive income/(loss)</t>
        </is>
      </c>
      <c r="B32" s="5" t="n">
        <v>33567</v>
      </c>
      <c r="C32" s="5" t="n">
        <v>21731</v>
      </c>
      <c r="D32" s="5" t="n">
        <v>38832</v>
      </c>
      <c r="E32" s="5" t="n">
        <v>-25988</v>
      </c>
      <c r="F32" s="5" t="n">
        <v>-34223</v>
      </c>
      <c r="G32" s="5" t="n">
        <v>-30545</v>
      </c>
      <c r="H32" s="5" t="n">
        <v>-17867</v>
      </c>
      <c r="I32" s="5" t="n">
        <v>-14432</v>
      </c>
      <c r="J32" s="5" t="n">
        <v>-4001</v>
      </c>
    </row>
    <row r="34" ht="409" customHeight="1">
      <c r="A34" s="8" t="inlineStr">
        <is>
          <t>Sources - Zopa Bank Limited's own entity-level financial statements, £'000:
FY2025/FY2024: Annual Report and Accounts 2025 - Statement of comprehensive income p.98, Statement of financial position p.99, Statement of changes in equity p.100 - https://www.datocms-assets.com/23873/1773841899-zopa_bank_ar25_web.pdf
FY2023/FY2022: Annual Report and Accounts 2023 - Statement of comprehensive income p.111, Statement of financial position p.112, Statement of changes in equity p.113 - https://www.datocms-assets.com/23873/1713257733-zopa-group-2023-annual-report-signed_web-version.pdf
FY2021: Annual Report and Accounts 2021 - Statement of comprehensive income p.66, Statement of financial position p.67, Statement of changes in equity p.68 - https://www.datocms-assets.com/23873/1658745948-zopa-bank-annual-report-2021.pdf
FY2020: Annual Report and Financial Statements 2020 (Companies House, accounts made up to 31 December 2020, filed 2 Oct 2021) - Income statement p.27, Statement of Financial Position p.28, Statement of changes in equity p.29 - https://www.datocms-assets.com/23873/1658745479-zopa-bank-limited-annual-report-and-financial-statements-2020.pdf
FY2019: Annual Report and Financial Statements 2019 (Companies House filing, 58pp) - Income statement p.21, Statement of Financial Position p.22, Statement of changes in equity p.23 - https://find-and-update.company-information.service.gov.uk/company/10627575/filing-history/MzI4NjUxOTIyNmFkaXF6a2N4/document?format=pdf&amp;download=0
FY2018: Annual Report and Financial Statements 2018 (Companies House filing, 45pp) - Statement of comprehensive income p.15, Statement of financial position p.16, Statement of changes in equity p.17 - https://find-and-update.company-information.service.gov.uk/company/10627575/filing-history/MzI0NjEzNjE0OWFkaXF6a2N4/document?format=pdf&amp;download=0
FY2017: Zopa Financial Services Limited Annual Report and Financial Statements 2017 (Companies House filing, 30pp; entity's own accounts for the period 20 Feb-31 Dec 2017) - Statement of comprehensive income p.10, Statement of financial position p.11, Statement of changes in equity p.12 - https://find-and-update.company-information.service.gov.uk/company/10627575/filing-history/MzIxNTk5NjMyMmFkaXF6a2N4/document?format=pdf&amp;download=0. FY2017 balance sheet/equity figures shown here use the rounded £'000 comparative column as re-printed in the FY2018 Annual Report (p.16-17, cross-checked and matched exactly), since FY2017's own accounts were prepared in whole £, not £'000 - this is a rounding basis only, not a different underlying transaction set.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
HISTORICAL FLOOR NOTE (independently re-verified, not assumed from Companies House incorporation date alone): Zopa Bank Limited was incorporated 20 February 2017 under the name 'Zopa Financial Services Limited' - a pre-launch entity with no banking licence, no customer lending and no regulatory capital reporting of any kind. It submitted its full Banking Licence application in February 2018 and was authorised WITH RESTRICTIONS in December 2018 (name changed to Zopa Bank Limited January 2019), during which it built its technology and began a small auto-loan book funded from its own capital, but could not yet take customer deposits. Full, unrestricted authorisation (mobilisation complete) was obtained in 2020, after which it began raising retail deposits (first shown on the FY2020 balance sheet). Consequently: FY2017's own real, audited financial statements exist (Balance Sheet/P&amp;L/Equity/Cash Flow are populated below) but the entity had no banking business that year at all, so its Asset Quality sheet and all 11 Pillar 3 key metric sheets are genuinely blank for FY2017 - not a self-skip, an accurate reflection of 'not yet a bank'. FY2018 is the first year with any regulatory capital/RWA disclosure (unaudited Pillar 1 figures given in the Annual Report itself; Zopa had no standalone Pillar 3 document at this scale). FY2019 and FY2020 disclose a CET1 capital amount only (no RWA, no ratio, no Pillar 3 document) - genuinely absent from the source, not a transcription gap.
PRESENTATION NOTE: line-item structure and labels differ by report vintage (e.g. 'Total operating income' block only appears from FY2024 onward; the equity statement gained separate 'Share premium' and 'Other equity instruments' columns only in FY2025, when the Bank issued AT1 instruments and restructured its share capital via a capital reduction - both columns are blank/nil for FY2017-FY2024, not a gap). FY2017/FY2018 predate the Bank's IFRS-style statement format entirely and use their own period's line items ('Revenue'/'Cost of sales'/'Gross profit or loss', a single aggregated 'Trade and other payables' liability line, and non-current 'Loans and receivables' that is a rental deposit, not customer lending) - shown here as their own dedicated rows, blank in every other year, rather than force-mapped into later years' bank-specific line items. Every year's own Profit/(loss) before tax ties exactly to the pre-existing Cash Flow Statement sheet's own opening reconciliation line. Blank cells indicate that year's own statement did not disclose/include that specific line at all; a printed em-dash in the source was transcribed as 0 (an explicit nil, not a gap). Small (&lt;£1k, rounding-only) cross-footing gaps in FY2017 (a whole-£ original converted independently to £'000 on each line) are reproduced exactly as computed, not forced to tie - e.g. Total liabilities (£6,583k) + Total equity (-£3,806k) = £2,777k vs. stated Total assets £2,778k.</t>
        </is>
      </c>
    </row>
  </sheetData>
  <mergeCells count="1">
    <mergeCell ref="A34:J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Zopa Bank Limited — Statement of Changes in Equity</t>
        </is>
      </c>
    </row>
    <row r="2">
      <c r="A2" s="2" t="inlineStr">
        <is>
          <t>Zopa Bank Limited (entity-level), £'000, chronological (oldest to newest), back to incorporation on 20 February 2017. Zero undocumented plug rows across all years - ties exactly to the Balance Sheet sheet's own Total equity every year and chains correctly across every boundary. 'Share premium' and 'Other equity instruments' columns only exist from FY2025 (blank/nil in earlier years, not a gap).</t>
        </is>
      </c>
    </row>
    <row r="3">
      <c r="A3" s="4" t="inlineStr">
        <is>
          <t>Movement</t>
        </is>
      </c>
      <c r="B3" s="4" t="inlineStr">
        <is>
          <t>Called-up share capital</t>
        </is>
      </c>
      <c r="C3" s="4" t="inlineStr">
        <is>
          <t>Share premium</t>
        </is>
      </c>
      <c r="D3" s="4" t="inlineStr">
        <is>
          <t>Other equity instruments</t>
        </is>
      </c>
      <c r="E3" s="4" t="inlineStr">
        <is>
          <t>Other reserves</t>
        </is>
      </c>
      <c r="F3" s="4" t="inlineStr">
        <is>
          <t>Retained earnings/(accumulated losses)</t>
        </is>
      </c>
      <c r="G3" s="4" t="inlineStr">
        <is>
          <t>Total equity</t>
        </is>
      </c>
    </row>
    <row r="4">
      <c r="A4" s="5" t="inlineStr">
        <is>
          <t>Balance at 20 February 2017 (incorporation, as Zopa Financial Services Limited)</t>
        </is>
      </c>
      <c r="B4" s="5" t="n">
        <v>0</v>
      </c>
      <c r="C4" s="5" t="n"/>
      <c r="D4" s="5" t="n"/>
      <c r="E4" s="5" t="n">
        <v>0</v>
      </c>
      <c r="F4" s="5" t="n">
        <v>0</v>
      </c>
      <c r="G4" s="5" t="n">
        <v>0</v>
      </c>
    </row>
    <row r="5">
      <c r="A5" s="6" t="inlineStr">
        <is>
          <t>Total comprehensive expense</t>
        </is>
      </c>
      <c r="B5" s="6" t="n"/>
      <c r="C5" s="6" t="n"/>
      <c r="D5" s="6" t="n"/>
      <c r="E5" s="6" t="n"/>
      <c r="F5" s="6" t="n">
        <v>-4001</v>
      </c>
      <c r="G5" s="6" t="n">
        <v>-4001</v>
      </c>
    </row>
    <row r="6">
      <c r="A6" s="6" t="inlineStr">
        <is>
          <t>Issue of new shares</t>
        </is>
      </c>
      <c r="B6" s="6" t="n">
        <v>0</v>
      </c>
      <c r="C6" s="6" t="n"/>
      <c r="D6" s="6" t="n"/>
      <c r="E6" s="6" t="n"/>
      <c r="F6" s="6" t="n"/>
      <c r="G6" s="6" t="n">
        <v>0</v>
      </c>
    </row>
    <row r="7">
      <c r="A7" s="6" t="inlineStr">
        <is>
          <t>Share based payment charge</t>
        </is>
      </c>
      <c r="B7" s="6" t="n"/>
      <c r="C7" s="6" t="n"/>
      <c r="D7" s="6" t="n"/>
      <c r="E7" s="6" t="n">
        <v>195</v>
      </c>
      <c r="F7" s="6" t="n"/>
      <c r="G7" s="6" t="n">
        <v>195</v>
      </c>
    </row>
    <row r="8">
      <c r="A8" s="5" t="inlineStr">
        <is>
          <t>Balance at 31 December 2017 / 1 January 2018</t>
        </is>
      </c>
      <c r="B8" s="5" t="n">
        <v>0</v>
      </c>
      <c r="C8" s="5" t="n"/>
      <c r="D8" s="5" t="n"/>
      <c r="E8" s="5" t="n">
        <v>195</v>
      </c>
      <c r="F8" s="5" t="n">
        <v>-4001</v>
      </c>
      <c r="G8" s="5" t="n">
        <v>-3806</v>
      </c>
    </row>
    <row r="9">
      <c r="A9" s="6" t="inlineStr">
        <is>
          <t>Changes on initial application of new accounting standards</t>
        </is>
      </c>
      <c r="B9" s="6" t="n"/>
      <c r="C9" s="6" t="n"/>
      <c r="D9" s="6" t="n"/>
      <c r="E9" s="6" t="n"/>
      <c r="F9" s="6" t="n">
        <v>-1</v>
      </c>
      <c r="G9" s="6" t="n">
        <v>-1</v>
      </c>
    </row>
    <row r="10">
      <c r="A10" s="5" t="inlineStr">
        <is>
          <t>Balance at 1 January 2018 (restated)</t>
        </is>
      </c>
      <c r="B10" s="5" t="n">
        <v>0</v>
      </c>
      <c r="C10" s="5" t="n"/>
      <c r="D10" s="5" t="n"/>
      <c r="E10" s="5" t="n">
        <v>195</v>
      </c>
      <c r="F10" s="5" t="n">
        <v>-4002</v>
      </c>
      <c r="G10" s="5" t="n">
        <v>-3807</v>
      </c>
    </row>
    <row r="11">
      <c r="A11" s="6" t="inlineStr">
        <is>
          <t>Total comprehensive expense</t>
        </is>
      </c>
      <c r="B11" s="6" t="n"/>
      <c r="C11" s="6" t="n"/>
      <c r="D11" s="6" t="n"/>
      <c r="E11" s="6" t="n"/>
      <c r="F11" s="6" t="n">
        <v>-14432</v>
      </c>
      <c r="G11" s="6" t="n">
        <v>-14432</v>
      </c>
    </row>
    <row r="12">
      <c r="A12" s="6" t="inlineStr">
        <is>
          <t>Issue of share capital</t>
        </is>
      </c>
      <c r="B12" s="6" t="n">
        <v>39160</v>
      </c>
      <c r="C12" s="6" t="n"/>
      <c r="D12" s="6" t="n"/>
      <c r="E12" s="6" t="n"/>
      <c r="F12" s="6" t="n"/>
      <c r="G12" s="6" t="n">
        <v>39160</v>
      </c>
    </row>
    <row r="13">
      <c r="A13" s="6" t="inlineStr">
        <is>
          <t>Share based payment charge</t>
        </is>
      </c>
      <c r="B13" s="6" t="n"/>
      <c r="C13" s="6" t="n"/>
      <c r="D13" s="6" t="n"/>
      <c r="E13" s="6" t="n">
        <v>893</v>
      </c>
      <c r="F13" s="6" t="n"/>
      <c r="G13" s="6" t="n">
        <v>893</v>
      </c>
    </row>
    <row r="14">
      <c r="A14" s="5" t="inlineStr">
        <is>
          <t>Balance at 31 December 2018 / 1 January 2019</t>
        </is>
      </c>
      <c r="B14" s="5" t="n">
        <v>39160</v>
      </c>
      <c r="C14" s="5" t="n"/>
      <c r="D14" s="5" t="n"/>
      <c r="E14" s="5" t="n">
        <v>1088</v>
      </c>
      <c r="F14" s="5" t="n">
        <v>-18434</v>
      </c>
      <c r="G14" s="5" t="n">
        <v>21814</v>
      </c>
    </row>
    <row r="15">
      <c r="A15" s="6" t="inlineStr">
        <is>
          <t>Change on initial application of IFRS 16</t>
        </is>
      </c>
      <c r="B15" s="6" t="n"/>
      <c r="C15" s="6" t="n"/>
      <c r="D15" s="6" t="n"/>
      <c r="E15" s="6" t="n"/>
      <c r="F15" s="6" t="n">
        <v>-7</v>
      </c>
      <c r="G15" s="6" t="n">
        <v>-7</v>
      </c>
    </row>
    <row r="16">
      <c r="A16" s="5" t="inlineStr">
        <is>
          <t>Balance at 1 January 2019 (restated)</t>
        </is>
      </c>
      <c r="B16" s="5" t="n">
        <v>39160</v>
      </c>
      <c r="C16" s="5" t="n"/>
      <c r="D16" s="5" t="n"/>
      <c r="E16" s="5" t="n">
        <v>1088</v>
      </c>
      <c r="F16" s="5" t="n">
        <v>-18441</v>
      </c>
      <c r="G16" s="5" t="n">
        <v>21807</v>
      </c>
    </row>
    <row r="17">
      <c r="A17" s="6" t="inlineStr">
        <is>
          <t>Total comprehensive expense</t>
        </is>
      </c>
      <c r="B17" s="6" t="n"/>
      <c r="C17" s="6" t="n"/>
      <c r="D17" s="6" t="n"/>
      <c r="E17" s="6" t="n"/>
      <c r="F17" s="6" t="n">
        <v>-17867</v>
      </c>
      <c r="G17" s="6" t="n">
        <v>-17867</v>
      </c>
    </row>
    <row r="18">
      <c r="A18" s="6" t="inlineStr">
        <is>
          <t>Issue of share capital</t>
        </is>
      </c>
      <c r="B18" s="6" t="n">
        <v>15000</v>
      </c>
      <c r="C18" s="6" t="n"/>
      <c r="D18" s="6" t="n"/>
      <c r="E18" s="6" t="n"/>
      <c r="F18" s="6" t="n"/>
      <c r="G18" s="6" t="n">
        <v>15000</v>
      </c>
    </row>
    <row r="19">
      <c r="A19" s="6" t="inlineStr">
        <is>
          <t>Share based payment charge</t>
        </is>
      </c>
      <c r="B19" s="6" t="n"/>
      <c r="C19" s="6" t="n"/>
      <c r="D19" s="6" t="n"/>
      <c r="E19" s="6" t="n">
        <v>698</v>
      </c>
      <c r="F19" s="6" t="n"/>
      <c r="G19" s="6" t="n">
        <v>698</v>
      </c>
    </row>
    <row r="20">
      <c r="A20" s="5" t="inlineStr">
        <is>
          <t>Balance at 31 December 2019 / 1 January 2020</t>
        </is>
      </c>
      <c r="B20" s="5" t="n">
        <v>54160</v>
      </c>
      <c r="C20" s="5" t="n"/>
      <c r="D20" s="5" t="n"/>
      <c r="E20" s="5" t="n">
        <v>1786</v>
      </c>
      <c r="F20" s="5" t="n">
        <v>-36308</v>
      </c>
      <c r="G20" s="5" t="n">
        <v>19638</v>
      </c>
    </row>
    <row r="21">
      <c r="A21" s="6" t="inlineStr">
        <is>
          <t>Total comprehensive expense</t>
        </is>
      </c>
      <c r="B21" s="6" t="n"/>
      <c r="C21" s="6" t="n"/>
      <c r="D21" s="6" t="n"/>
      <c r="E21" s="6" t="n"/>
      <c r="F21" s="6" t="n">
        <v>-30545</v>
      </c>
      <c r="G21" s="6" t="n">
        <v>-30545</v>
      </c>
    </row>
    <row r="22">
      <c r="A22" s="6" t="inlineStr">
        <is>
          <t>Issue of share capital</t>
        </is>
      </c>
      <c r="B22" s="6" t="n">
        <v>138159</v>
      </c>
      <c r="C22" s="6" t="n"/>
      <c r="D22" s="6" t="n"/>
      <c r="E22" s="6" t="n"/>
      <c r="F22" s="6" t="n"/>
      <c r="G22" s="6" t="n">
        <v>138159</v>
      </c>
    </row>
    <row r="23">
      <c r="A23" s="6" t="inlineStr">
        <is>
          <t>Share based payment charge</t>
        </is>
      </c>
      <c r="B23" s="6" t="n"/>
      <c r="C23" s="6" t="n"/>
      <c r="D23" s="6" t="n"/>
      <c r="E23" s="6" t="n">
        <v>920</v>
      </c>
      <c r="F23" s="6" t="n"/>
      <c r="G23" s="6" t="n">
        <v>920</v>
      </c>
    </row>
    <row r="24">
      <c r="A24" s="6" t="inlineStr">
        <is>
          <t>Transfer of assets from related party</t>
        </is>
      </c>
      <c r="B24" s="6" t="n"/>
      <c r="C24" s="6" t="n"/>
      <c r="D24" s="6" t="n"/>
      <c r="E24" s="6" t="n"/>
      <c r="F24" s="6" t="n">
        <v>-2168</v>
      </c>
      <c r="G24" s="6" t="n">
        <v>-2168</v>
      </c>
    </row>
    <row r="25">
      <c r="A25" s="6" t="inlineStr">
        <is>
          <t>Capital contribution</t>
        </is>
      </c>
      <c r="B25" s="6" t="n"/>
      <c r="C25" s="6" t="n"/>
      <c r="D25" s="6" t="n"/>
      <c r="E25" s="6" t="n">
        <v>1618</v>
      </c>
      <c r="F25" s="6" t="n"/>
      <c r="G25" s="6" t="n">
        <v>1618</v>
      </c>
    </row>
    <row r="26">
      <c r="A26" s="5" t="inlineStr">
        <is>
          <t>Balance at 31 December 2020 / 1 January 2021</t>
        </is>
      </c>
      <c r="B26" s="5" t="n">
        <v>192319</v>
      </c>
      <c r="C26" s="5" t="n"/>
      <c r="D26" s="5" t="n"/>
      <c r="E26" s="5" t="n">
        <v>4324</v>
      </c>
      <c r="F26" s="5" t="n">
        <v>-69021</v>
      </c>
      <c r="G26" s="5" t="n">
        <v>127622</v>
      </c>
    </row>
    <row r="27">
      <c r="A27" s="6" t="inlineStr">
        <is>
          <t>Total comprehensive loss</t>
        </is>
      </c>
      <c r="B27" s="6" t="n"/>
      <c r="C27" s="6" t="n"/>
      <c r="D27" s="6" t="n"/>
      <c r="E27" s="6" t="n"/>
      <c r="F27" s="6" t="n">
        <v>-34223</v>
      </c>
      <c r="G27" s="6" t="n">
        <v>-34223</v>
      </c>
    </row>
    <row r="28">
      <c r="A28" s="6" t="inlineStr">
        <is>
          <t>Shares issued</t>
        </is>
      </c>
      <c r="B28" s="6" t="n">
        <v>157000</v>
      </c>
      <c r="C28" s="6" t="n"/>
      <c r="D28" s="6" t="n"/>
      <c r="E28" s="6" t="n"/>
      <c r="F28" s="6" t="n"/>
      <c r="G28" s="6" t="n">
        <v>157000</v>
      </c>
    </row>
    <row r="29">
      <c r="A29" s="6" t="inlineStr">
        <is>
          <t>Net share option movements</t>
        </is>
      </c>
      <c r="B29" s="6" t="n"/>
      <c r="C29" s="6" t="n"/>
      <c r="D29" s="6" t="n"/>
      <c r="E29" s="6" t="n">
        <v>1856</v>
      </c>
      <c r="F29" s="6" t="n"/>
      <c r="G29" s="6" t="n">
        <v>1856</v>
      </c>
    </row>
    <row r="30">
      <c r="A30" s="5" t="inlineStr">
        <is>
          <t>Balance at 31 December 2021 / 1 January 2022</t>
        </is>
      </c>
      <c r="B30" s="5" t="n">
        <v>349319</v>
      </c>
      <c r="C30" s="5" t="n"/>
      <c r="D30" s="5" t="n"/>
      <c r="E30" s="5" t="n">
        <v>6180</v>
      </c>
      <c r="F30" s="5" t="n">
        <v>-103244</v>
      </c>
      <c r="G30" s="5" t="n">
        <v>252255</v>
      </c>
    </row>
    <row r="31">
      <c r="A31" s="6" t="inlineStr">
        <is>
          <t>Total comprehensive loss</t>
        </is>
      </c>
      <c r="B31" s="6" t="n"/>
      <c r="C31" s="6" t="n"/>
      <c r="D31" s="6" t="n"/>
      <c r="E31" s="6" t="n"/>
      <c r="F31" s="6" t="n">
        <v>-25988</v>
      </c>
      <c r="G31" s="6" t="n">
        <v>-25988</v>
      </c>
    </row>
    <row r="32">
      <c r="A32" s="6" t="inlineStr">
        <is>
          <t>Shares issued</t>
        </is>
      </c>
      <c r="B32" s="6" t="n">
        <v>72000</v>
      </c>
      <c r="C32" s="6" t="n"/>
      <c r="D32" s="6" t="n"/>
      <c r="E32" s="6" t="n"/>
      <c r="F32" s="6" t="n"/>
      <c r="G32" s="6" t="n">
        <v>72000</v>
      </c>
    </row>
    <row r="33">
      <c r="A33" s="6" t="inlineStr">
        <is>
          <t>Net share option movements</t>
        </is>
      </c>
      <c r="B33" s="6" t="n"/>
      <c r="C33" s="6" t="n"/>
      <c r="D33" s="6" t="n"/>
      <c r="E33" s="6" t="n">
        <v>1340</v>
      </c>
      <c r="F33" s="6" t="n"/>
      <c r="G33" s="6" t="n">
        <v>1340</v>
      </c>
    </row>
    <row r="34">
      <c r="A34" s="6" t="inlineStr">
        <is>
          <t>Transfer of capital contribution reserve</t>
        </is>
      </c>
      <c r="B34" s="6" t="n"/>
      <c r="C34" s="6" t="n"/>
      <c r="D34" s="6" t="n"/>
      <c r="E34" s="6" t="n">
        <v>-1618</v>
      </c>
      <c r="F34" s="6" t="n">
        <v>1618</v>
      </c>
      <c r="G34" s="6" t="n">
        <v>0</v>
      </c>
    </row>
    <row r="35">
      <c r="A35" s="5" t="inlineStr">
        <is>
          <t>Balance at 31 December 2022 / 1 January 2023</t>
        </is>
      </c>
      <c r="B35" s="5" t="n">
        <v>421319</v>
      </c>
      <c r="C35" s="5" t="n"/>
      <c r="D35" s="5" t="n"/>
      <c r="E35" s="5" t="n">
        <v>5902</v>
      </c>
      <c r="F35" s="5" t="n">
        <v>-127614</v>
      </c>
      <c r="G35" s="5" t="n">
        <v>299607</v>
      </c>
    </row>
    <row r="36">
      <c r="A36" s="6" t="inlineStr">
        <is>
          <t>Profit for the year</t>
        </is>
      </c>
      <c r="B36" s="6" t="n"/>
      <c r="C36" s="6" t="n"/>
      <c r="D36" s="6" t="n"/>
      <c r="E36" s="6" t="n"/>
      <c r="F36" s="6" t="n">
        <v>38881</v>
      </c>
      <c r="G36" s="6" t="n">
        <v>38881</v>
      </c>
    </row>
    <row r="37">
      <c r="A37" s="6" t="inlineStr">
        <is>
          <t>Other comprehensive loss relating to investment securities held at FVOCI</t>
        </is>
      </c>
      <c r="B37" s="6" t="n"/>
      <c r="C37" s="6" t="n"/>
      <c r="D37" s="6" t="n"/>
      <c r="E37" s="6" t="n">
        <v>-49</v>
      </c>
      <c r="F37" s="6" t="n"/>
      <c r="G37" s="6" t="n">
        <v>-49</v>
      </c>
    </row>
    <row r="38">
      <c r="A38" s="5" t="inlineStr">
        <is>
          <t>Total comprehensive income</t>
        </is>
      </c>
      <c r="B38" s="5" t="n"/>
      <c r="C38" s="5" t="n"/>
      <c r="D38" s="5" t="n"/>
      <c r="E38" s="5" t="n">
        <v>-49</v>
      </c>
      <c r="F38" s="5" t="n">
        <v>38881</v>
      </c>
      <c r="G38" s="5" t="n">
        <v>38832</v>
      </c>
    </row>
    <row r="39">
      <c r="A39" s="6" t="inlineStr">
        <is>
          <t>Shares issued</t>
        </is>
      </c>
      <c r="B39" s="6" t="n">
        <v>65000</v>
      </c>
      <c r="C39" s="6" t="n"/>
      <c r="D39" s="6" t="n"/>
      <c r="E39" s="6" t="n"/>
      <c r="F39" s="6" t="n"/>
      <c r="G39" s="6" t="n">
        <v>65000</v>
      </c>
    </row>
    <row r="40">
      <c r="A40" s="6" t="inlineStr">
        <is>
          <t>Net share option movements</t>
        </is>
      </c>
      <c r="B40" s="6" t="n"/>
      <c r="C40" s="6" t="n"/>
      <c r="D40" s="6" t="n"/>
      <c r="E40" s="6" t="n">
        <v>976</v>
      </c>
      <c r="F40" s="6" t="n"/>
      <c r="G40" s="6" t="n">
        <v>976</v>
      </c>
    </row>
    <row r="41">
      <c r="A41" s="5" t="inlineStr">
        <is>
          <t>Balance at 31 December 2023 / 1 January 2024</t>
        </is>
      </c>
      <c r="B41" s="5" t="n">
        <v>486319</v>
      </c>
      <c r="C41" s="5" t="n"/>
      <c r="D41" s="5" t="n"/>
      <c r="E41" s="5" t="n">
        <v>6829</v>
      </c>
      <c r="F41" s="5" t="n">
        <v>-88733</v>
      </c>
      <c r="G41" s="5" t="n">
        <v>404415</v>
      </c>
    </row>
    <row r="42">
      <c r="A42" s="6" t="inlineStr">
        <is>
          <t>Profit for the year</t>
        </is>
      </c>
      <c r="B42" s="6" t="n"/>
      <c r="C42" s="6" t="n"/>
      <c r="D42" s="6" t="n"/>
      <c r="E42" s="6" t="n"/>
      <c r="F42" s="6" t="n">
        <v>21777</v>
      </c>
      <c r="G42" s="6" t="n">
        <v>21777</v>
      </c>
    </row>
    <row r="43">
      <c r="A43" s="6" t="inlineStr">
        <is>
          <t>Other comprehensive loss relating to investment securities</t>
        </is>
      </c>
      <c r="B43" s="6" t="n"/>
      <c r="C43" s="6" t="n"/>
      <c r="D43" s="6" t="n"/>
      <c r="E43" s="6" t="n">
        <v>-46</v>
      </c>
      <c r="F43" s="6" t="n"/>
      <c r="G43" s="6" t="n">
        <v>-46</v>
      </c>
    </row>
    <row r="44">
      <c r="A44" s="5" t="inlineStr">
        <is>
          <t>Total comprehensive income</t>
        </is>
      </c>
      <c r="B44" s="5" t="n"/>
      <c r="C44" s="5" t="n"/>
      <c r="D44" s="5" t="n"/>
      <c r="E44" s="5" t="n">
        <v>-46</v>
      </c>
      <c r="F44" s="5" t="n">
        <v>21777</v>
      </c>
      <c r="G44" s="5" t="n">
        <v>21731</v>
      </c>
    </row>
    <row r="45">
      <c r="A45" s="6" t="inlineStr">
        <is>
          <t>Shares issued</t>
        </is>
      </c>
      <c r="B45" s="6" t="n">
        <v>68500</v>
      </c>
      <c r="C45" s="6" t="n"/>
      <c r="D45" s="6" t="n"/>
      <c r="E45" s="6" t="n"/>
      <c r="F45" s="6" t="n"/>
      <c r="G45" s="6" t="n">
        <v>68500</v>
      </c>
    </row>
    <row r="46">
      <c r="A46" s="6" t="inlineStr">
        <is>
          <t>Net share option movements</t>
        </is>
      </c>
      <c r="B46" s="6" t="n"/>
      <c r="C46" s="6" t="n"/>
      <c r="D46" s="6" t="n"/>
      <c r="E46" s="6" t="n">
        <v>2645</v>
      </c>
      <c r="F46" s="6" t="n"/>
      <c r="G46" s="6" t="n">
        <v>2645</v>
      </c>
    </row>
    <row r="47">
      <c r="A47" s="5" t="inlineStr">
        <is>
          <t>Balance at 31 December 2024 / 1 January 2025</t>
        </is>
      </c>
      <c r="B47" s="5" t="n">
        <v>554819</v>
      </c>
      <c r="C47" s="5" t="n">
        <v>0</v>
      </c>
      <c r="D47" s="5" t="n">
        <v>0</v>
      </c>
      <c r="E47" s="5" t="n">
        <v>9428</v>
      </c>
      <c r="F47" s="5" t="n">
        <v>-66956</v>
      </c>
      <c r="G47" s="5" t="n">
        <v>497291</v>
      </c>
    </row>
    <row r="48">
      <c r="A48" s="6" t="inlineStr">
        <is>
          <t>Profit for the year</t>
        </is>
      </c>
      <c r="B48" s="6" t="n"/>
      <c r="C48" s="6" t="n"/>
      <c r="D48" s="6" t="n"/>
      <c r="E48" s="6" t="n"/>
      <c r="F48" s="6" t="n">
        <v>33380</v>
      </c>
      <c r="G48" s="6" t="n">
        <v>33380</v>
      </c>
    </row>
    <row r="49">
      <c r="A49" s="6" t="inlineStr">
        <is>
          <t>Other comprehensive income relating to investment securities</t>
        </is>
      </c>
      <c r="B49" s="6" t="n"/>
      <c r="C49" s="6" t="n"/>
      <c r="D49" s="6" t="n"/>
      <c r="E49" s="6" t="n">
        <v>187</v>
      </c>
      <c r="F49" s="6" t="n"/>
      <c r="G49" s="6" t="n">
        <v>187</v>
      </c>
    </row>
    <row r="50">
      <c r="A50" s="5" t="inlineStr">
        <is>
          <t>Total comprehensive income</t>
        </is>
      </c>
      <c r="B50" s="5" t="n"/>
      <c r="C50" s="5" t="n"/>
      <c r="D50" s="5" t="n"/>
      <c r="E50" s="5" t="n">
        <v>187</v>
      </c>
      <c r="F50" s="5" t="n">
        <v>33380</v>
      </c>
      <c r="G50" s="5" t="n">
        <v>33567</v>
      </c>
    </row>
    <row r="51">
      <c r="A51" s="6" t="inlineStr">
        <is>
          <t>Shares issued</t>
        </is>
      </c>
      <c r="B51" s="6" t="n">
        <v>854</v>
      </c>
      <c r="C51" s="6" t="n">
        <v>6146</v>
      </c>
      <c r="D51" s="6" t="n"/>
      <c r="E51" s="6" t="n"/>
      <c r="F51" s="6" t="n"/>
      <c r="G51" s="6" t="n">
        <v>7000</v>
      </c>
    </row>
    <row r="52">
      <c r="A52" s="6" t="inlineStr">
        <is>
          <t>Capital reduction</t>
        </is>
      </c>
      <c r="B52" s="6" t="n">
        <v>-487131</v>
      </c>
      <c r="C52" s="6" t="n"/>
      <c r="D52" s="6" t="n"/>
      <c r="E52" s="6" t="n"/>
      <c r="F52" s="6" t="n">
        <v>487131</v>
      </c>
      <c r="G52" s="6" t="n">
        <v>0</v>
      </c>
    </row>
    <row r="53">
      <c r="A53" s="6" t="inlineStr">
        <is>
          <t>Issue of other equity instruments</t>
        </is>
      </c>
      <c r="B53" s="6" t="n"/>
      <c r="C53" s="6" t="n"/>
      <c r="D53" s="6" t="n">
        <v>78298</v>
      </c>
      <c r="E53" s="6" t="n"/>
      <c r="F53" s="6" t="n"/>
      <c r="G53" s="6" t="n">
        <v>78298</v>
      </c>
    </row>
    <row r="54">
      <c r="A54" s="6" t="inlineStr">
        <is>
          <t>Coupons paid on other equity instruments</t>
        </is>
      </c>
      <c r="B54" s="6" t="n"/>
      <c r="C54" s="6" t="n"/>
      <c r="D54" s="6" t="n"/>
      <c r="E54" s="6" t="n"/>
      <c r="F54" s="6" t="n">
        <v>-5150</v>
      </c>
      <c r="G54" s="6" t="n">
        <v>-5150</v>
      </c>
    </row>
    <row r="55">
      <c r="A55" s="6" t="inlineStr">
        <is>
          <t>Net share option movements</t>
        </is>
      </c>
      <c r="B55" s="6" t="n"/>
      <c r="C55" s="6" t="n"/>
      <c r="D55" s="6" t="n"/>
      <c r="E55" s="6" t="n">
        <v>12211</v>
      </c>
      <c r="F55" s="6" t="n"/>
      <c r="G55" s="6" t="n">
        <v>12211</v>
      </c>
    </row>
    <row r="56">
      <c r="A56" s="5" t="inlineStr">
        <is>
          <t>Balance at 31 December 2025</t>
        </is>
      </c>
      <c r="B56" s="5" t="n">
        <v>68542</v>
      </c>
      <c r="C56" s="5" t="n">
        <v>6146</v>
      </c>
      <c r="D56" s="5" t="n">
        <v>78298</v>
      </c>
      <c r="E56" s="5" t="n">
        <v>21826</v>
      </c>
      <c r="F56" s="5" t="n">
        <v>448405</v>
      </c>
      <c r="G56" s="5" t="n">
        <v>623217</v>
      </c>
    </row>
    <row r="58" ht="409" customHeight="1">
      <c r="A58" s="8" t="inlineStr">
        <is>
          <t>Sources - Zopa Bank Limited's own entity-level financial statements, £'000:
FY2025/FY2024: Annual Report and Accounts 2025 - Statement of comprehensive income p.98, Statement of financial position p.99, Statement of changes in equity p.100 - https://www.datocms-assets.com/23873/1773841899-zopa_bank_ar25_web.pdf
FY2023/FY2022: Annual Report and Accounts 2023 - Statement of comprehensive income p.111, Statement of financial position p.112, Statement of changes in equity p.113 - https://www.datocms-assets.com/23873/1713257733-zopa-group-2023-annual-report-signed_web-version.pdf
FY2021: Annual Report and Accounts 2021 - Statement of comprehensive income p.66, Statement of financial position p.67, Statement of changes in equity p.68 - https://www.datocms-assets.com/23873/1658745948-zopa-bank-annual-report-2021.pdf
FY2020: Annual Report and Financial Statements 2020 (Companies House, accounts made up to 31 December 2020, filed 2 Oct 2021) - Income statement p.27, Statement of Financial Position p.28, Statement of changes in equity p.29 - https://www.datocms-assets.com/23873/1658745479-zopa-bank-limited-annual-report-and-financial-statements-2020.pdf
FY2019: Annual Report and Financial Statements 2019 (Companies House filing, 58pp) - Income statement p.21, Statement of Financial Position p.22, Statement of changes in equity p.23 - https://find-and-update.company-information.service.gov.uk/company/10627575/filing-history/MzI4NjUxOTIyNmFkaXF6a2N4/document?format=pdf&amp;download=0
FY2018: Annual Report and Financial Statements 2018 (Companies House filing, 45pp) - Statement of comprehensive income p.15, Statement of financial position p.16, Statement of changes in equity p.17 - https://find-and-update.company-information.service.gov.uk/company/10627575/filing-history/MzI0NjEzNjE0OWFkaXF6a2N4/document?format=pdf&amp;download=0
FY2017: Zopa Financial Services Limited Annual Report and Financial Statements 2017 (Companies House filing, 30pp; entity's own accounts for the period 20 Feb-31 Dec 2017) - Statement of comprehensive income p.10, Statement of financial position p.11, Statement of changes in equity p.12 - https://find-and-update.company-information.service.gov.uk/company/10627575/filing-history/MzIxNTk5NjMyMmFkaXF6a2N4/document?format=pdf&amp;download=0. FY2017 balance sheet/equity figures shown here use the rounded £'000 comparative column as re-printed in the FY2018 Annual Report (p.16-17, cross-checked and matched exactly), since FY2017's own accounts were prepared in whole £, not £'000 - this is a rounding basis only, not a different underlying transaction set.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t>
        </is>
      </c>
    </row>
    <row r="60" ht="409" customHeight="1">
      <c r="A60" s="8" t="inlineStr">
        <is>
          <t>(continued)
HISTORICAL FLOOR NOTE (independently re-verified, not assumed from Companies House incorporation date alone): Zopa Bank Limited was incorporated 20 February 2017 under the name 'Zopa Financial Services Limited' - a pre-launch entity with no banking licence, no customer lending and no regulatory capital reporting of any kind. It submitted its full Banking Licence application in February 2018 and was authorised WITH RESTRICTIONS in December 2018 (name changed to Zopa Bank Limited January 2019), during which it built its technology and began a small auto-loan book funded from its own capital, but could not yet take customer deposits. Full, unrestricted authorisation (mobilisation complete) was obtained in 2020, after which it began raising retail deposits (first shown on the FY2020 balance sheet). Consequently: FY2017's own real, audited financial statements exist (Balance Sheet/P&amp;L/Equity/Cash Flow are populated below) but the entity had no banking business that year at all, so its Asset Quality sheet and all 11 Pillar 3 key metric sheets are genuinely blank for FY2017 - not a self-skip, an accurate reflection of 'not yet a bank'. FY2018 is the first year with any regulatory capital/RWA disclosure (unaudited Pillar 1 figures given in the Annual Report itself; Zopa had no standalone Pillar 3 document at this scale). FY2019 and FY2020 disclose a CET1 capital amount only (no RWA, no ratio, no Pillar 3 document) - genuinely absent from the source, not a transcription gap.
PRESENTATION NOTE: line-item structure and labels differ by report vintage (e.g. 'Total operating income' block only appears from FY2024 onward; the equity statement gained separate 'Share premium' and 'Other equity instruments' columns only in FY2025, when the Bank issued AT1 instruments and restructured its share capital via a capital reduction - both columns are blank/nil for FY2017-FY2024, not a gap). FY2017/FY2018 predate the Bank's IFRS-style statement format entirely and use their own period's line items ('Revenue'/'Cost of sales'/'Gross profit or loss', a single aggregated 'Trade and other payables' liability line, and non-current 'Loans and receivables' that is a rental deposit, not customer lending) - shown here as their own dedicated rows, blank in every other year, rather than force-mapped into later years' bank-specific line items. Every year's own Profit/(loss) before tax ties exactly to the pre-existing Cash Flow Statement sheet's own opening reconciliation line. Blank cells indicate that year's own statement did not disclose/include that specific line at all; a printed em-dash in the source was transcribed as 0 (an explicit nil, not a gap). Small (&lt;£1k, rounding-only) cross-footing gaps in FY2017 (a whole-£ original converted independently to £'000 on each line) are reproduced exactly as computed, not forced to tie - e.g. Total liabilities (£6,583k) + Total equity (-£3,806k) = £2,777k vs. stated Total assets £2,778k.</t>
        </is>
      </c>
    </row>
  </sheetData>
  <mergeCells count="2">
    <mergeCell ref="A60:G60"/>
    <mergeCell ref="A58:G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Zopa Bank Limited — Cash Flow Statement</t>
        </is>
      </c>
    </row>
    <row r="2">
      <c r="A2" s="2" t="inlineStr">
        <is>
          <t>Zopa Bank Limited (entity-level),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Reconciliation of profit/(loss) before tax to net cash flows from operating activities</t>
        </is>
      </c>
      <c r="B4" s="6" t="n"/>
      <c r="C4" s="6" t="n"/>
      <c r="D4" s="6" t="n"/>
      <c r="E4" s="6" t="n"/>
      <c r="F4" s="6" t="n"/>
      <c r="G4" s="6" t="n"/>
      <c r="H4" s="6" t="n"/>
      <c r="I4" s="6" t="n"/>
      <c r="J4" s="6" t="n"/>
    </row>
    <row r="5">
      <c r="A5" s="6" t="inlineStr">
        <is>
          <t>Profit/(loss) before tax</t>
        </is>
      </c>
      <c r="B5" s="6" t="n">
        <v>44852</v>
      </c>
      <c r="C5" s="6" t="n">
        <v>31550</v>
      </c>
      <c r="D5" s="6" t="n">
        <v>15817</v>
      </c>
      <c r="E5" s="6" t="n">
        <v>-25988</v>
      </c>
      <c r="F5" s="6" t="n">
        <v>-34224</v>
      </c>
      <c r="G5" s="6" t="n">
        <v>-30554</v>
      </c>
      <c r="H5" s="6" t="n">
        <v>-18452</v>
      </c>
      <c r="I5" s="6" t="n">
        <v>-14432</v>
      </c>
      <c r="J5" s="6" t="n">
        <v>-4001</v>
      </c>
    </row>
    <row r="6">
      <c r="A6" s="6" t="inlineStr">
        <is>
          <t>Non-cash items</t>
        </is>
      </c>
      <c r="B6" s="6" t="n">
        <v>108122</v>
      </c>
      <c r="C6" s="6" t="n">
        <v>67370</v>
      </c>
      <c r="D6" s="6" t="n">
        <v>66198</v>
      </c>
      <c r="E6" s="6" t="n">
        <v>92460</v>
      </c>
      <c r="F6" s="6" t="n">
        <v>50828</v>
      </c>
      <c r="G6" s="6" t="n">
        <v>5009</v>
      </c>
      <c r="H6" s="6" t="n">
        <v>3297</v>
      </c>
      <c r="I6" s="6" t="n">
        <v>689</v>
      </c>
      <c r="J6" s="6" t="n">
        <v>4500</v>
      </c>
    </row>
    <row r="7">
      <c r="A7" s="6" t="inlineStr">
        <is>
          <t>Changes in operating assets and liabilities</t>
        </is>
      </c>
      <c r="B7" s="6" t="n">
        <v>216056</v>
      </c>
      <c r="C7" s="6" t="n">
        <v>1640591</v>
      </c>
      <c r="D7" s="6" t="n">
        <v>-133115</v>
      </c>
      <c r="E7" s="6" t="n">
        <v>1082800</v>
      </c>
      <c r="F7" s="6" t="n">
        <v>-192441</v>
      </c>
      <c r="G7" s="6" t="n">
        <v>-31433</v>
      </c>
      <c r="H7" s="6" t="n">
        <v>-10439</v>
      </c>
      <c r="I7" s="6" t="n">
        <v>-7060</v>
      </c>
      <c r="J7" s="6" t="n"/>
    </row>
    <row r="8">
      <c r="A8" s="6" t="inlineStr">
        <is>
          <t>Current tax expense</t>
        </is>
      </c>
      <c r="B8" s="6" t="n">
        <v>-5687</v>
      </c>
      <c r="C8" s="6" t="n">
        <v>-3439</v>
      </c>
      <c r="D8" s="6" t="n">
        <v>-1337</v>
      </c>
      <c r="E8" s="6" t="n"/>
      <c r="F8" s="6" t="n"/>
      <c r="G8" s="6" t="n"/>
      <c r="H8" s="6" t="n"/>
      <c r="I8" s="6" t="n"/>
      <c r="J8" s="6" t="n"/>
    </row>
    <row r="9">
      <c r="A9" s="6" t="inlineStr">
        <is>
          <t>Tax received</t>
        </is>
      </c>
      <c r="B9" s="6" t="n"/>
      <c r="C9" s="6" t="n"/>
      <c r="D9" s="6" t="n"/>
      <c r="E9" s="6" t="n"/>
      <c r="F9" s="6" t="n">
        <v>0</v>
      </c>
      <c r="G9" s="6" t="n"/>
      <c r="H9" s="6" t="n"/>
      <c r="I9" s="6" t="n"/>
      <c r="J9" s="6" t="n"/>
    </row>
    <row r="10">
      <c r="A10" s="5" t="inlineStr">
        <is>
          <t>Net cash generated from/(used in) operating activities</t>
        </is>
      </c>
      <c r="B10" s="5" t="n">
        <v>363343</v>
      </c>
      <c r="C10" s="5" t="n">
        <v>1736072</v>
      </c>
      <c r="D10" s="5" t="n">
        <v>-52437</v>
      </c>
      <c r="E10" s="5" t="n">
        <v>1149272</v>
      </c>
      <c r="F10" s="5" t="n">
        <v>-175837</v>
      </c>
      <c r="G10" s="5" t="n">
        <v>-56978</v>
      </c>
      <c r="H10" s="5" t="n">
        <v>-25594</v>
      </c>
      <c r="I10" s="5" t="n">
        <v>-20803</v>
      </c>
      <c r="J10" s="5" t="n">
        <v>500</v>
      </c>
    </row>
    <row r="11">
      <c r="A11" s="5" t="inlineStr">
        <is>
          <t>Investing activities</t>
        </is>
      </c>
      <c r="B11" s="6" t="n"/>
      <c r="C11" s="6" t="n"/>
      <c r="D11" s="6" t="n"/>
      <c r="E11" s="6" t="n"/>
      <c r="F11" s="6" t="n"/>
      <c r="G11" s="6" t="n"/>
      <c r="H11" s="6" t="n"/>
      <c r="I11" s="6" t="n"/>
      <c r="J11" s="6" t="n"/>
    </row>
    <row r="12">
      <c r="A12" s="6" t="inlineStr">
        <is>
          <t>Purchase of investment securities</t>
        </is>
      </c>
      <c r="B12" s="6" t="n">
        <v>-948990</v>
      </c>
      <c r="C12" s="6" t="n">
        <v>-431925</v>
      </c>
      <c r="D12" s="6" t="n">
        <v>-80367</v>
      </c>
      <c r="E12" s="6" t="n"/>
      <c r="F12" s="6" t="n"/>
      <c r="G12" s="6" t="n"/>
      <c r="H12" s="6" t="n"/>
      <c r="I12" s="6" t="n"/>
      <c r="J12" s="6" t="n"/>
    </row>
    <row r="13">
      <c r="A13" s="6" t="inlineStr">
        <is>
          <t>Investment securities matured during the year</t>
        </is>
      </c>
      <c r="B13" s="6" t="n">
        <v>154254</v>
      </c>
      <c r="C13" s="6" t="n">
        <v>67356</v>
      </c>
      <c r="D13" s="6" t="n"/>
      <c r="E13" s="6" t="n"/>
      <c r="F13" s="6" t="n"/>
      <c r="G13" s="6" t="n"/>
      <c r="H13" s="6" t="n"/>
      <c r="I13" s="6" t="n"/>
      <c r="J13" s="6" t="n"/>
    </row>
    <row r="14">
      <c r="A14" s="6" t="inlineStr">
        <is>
          <t>Disposal of property, plant and equipment</t>
        </is>
      </c>
      <c r="B14" s="6" t="n"/>
      <c r="C14" s="6" t="n"/>
      <c r="D14" s="6" t="n"/>
      <c r="E14" s="6" t="n"/>
      <c r="F14" s="6" t="n">
        <v>0</v>
      </c>
      <c r="G14" s="6" t="n"/>
      <c r="H14" s="6" t="n"/>
      <c r="I14" s="6" t="n"/>
      <c r="J14" s="6" t="n"/>
    </row>
    <row r="15">
      <c r="A15" s="6" t="inlineStr">
        <is>
          <t>Purchase of non-current assets from related party</t>
        </is>
      </c>
      <c r="B15" s="6" t="n"/>
      <c r="C15" s="6" t="n"/>
      <c r="D15" s="6" t="n"/>
      <c r="E15" s="6" t="n"/>
      <c r="F15" s="6" t="n">
        <v>0</v>
      </c>
      <c r="G15" s="6" t="n"/>
      <c r="H15" s="6" t="n"/>
      <c r="I15" s="6" t="n"/>
      <c r="J15" s="6" t="n"/>
    </row>
    <row r="16">
      <c r="A16" s="6" t="inlineStr">
        <is>
          <t>Purchase of debt securities</t>
        </is>
      </c>
      <c r="B16" s="6" t="n"/>
      <c r="C16" s="6" t="n"/>
      <c r="D16" s="6" t="n"/>
      <c r="E16" s="6" t="n"/>
      <c r="F16" s="6" t="n"/>
      <c r="G16" s="6" t="n"/>
      <c r="H16" s="6" t="n"/>
      <c r="I16" s="6" t="n">
        <v>-10019</v>
      </c>
      <c r="J16" s="6" t="n"/>
    </row>
    <row r="17">
      <c r="A17" s="6" t="inlineStr">
        <is>
          <t>Interest received</t>
        </is>
      </c>
      <c r="B17" s="6" t="n"/>
      <c r="C17" s="6" t="n"/>
      <c r="D17" s="6" t="n"/>
      <c r="E17" s="6" t="n"/>
      <c r="F17" s="6" t="n"/>
      <c r="G17" s="6" t="n">
        <v>24</v>
      </c>
      <c r="H17" s="6" t="n">
        <v>31</v>
      </c>
      <c r="I17" s="6" t="n">
        <v>26</v>
      </c>
      <c r="J17" s="6" t="n"/>
    </row>
    <row r="18">
      <c r="A18" s="6" t="inlineStr">
        <is>
          <t>Purchase of property, plant and equipment</t>
        </is>
      </c>
      <c r="B18" s="6" t="n">
        <v>-1486</v>
      </c>
      <c r="C18" s="6" t="n">
        <v>-659</v>
      </c>
      <c r="D18" s="6" t="n">
        <v>-1167</v>
      </c>
      <c r="E18" s="6" t="n">
        <v>-610</v>
      </c>
      <c r="F18" s="6" t="n">
        <v>-519</v>
      </c>
      <c r="G18" s="6" t="n">
        <v>-221</v>
      </c>
      <c r="H18" s="6" t="n">
        <v>-184</v>
      </c>
      <c r="I18" s="6" t="n">
        <v>-740</v>
      </c>
      <c r="J18" s="6" t="n">
        <v>-66</v>
      </c>
    </row>
    <row r="19">
      <c r="A19" s="6" t="inlineStr">
        <is>
          <t>Purchase and development of intangible assets</t>
        </is>
      </c>
      <c r="B19" s="6" t="n">
        <v>-21194</v>
      </c>
      <c r="C19" s="6" t="n">
        <v>-23775</v>
      </c>
      <c r="D19" s="6" t="n">
        <v>-10779</v>
      </c>
      <c r="E19" s="6" t="n">
        <v>-3948</v>
      </c>
      <c r="F19" s="6" t="n">
        <v>-2036</v>
      </c>
      <c r="G19" s="6" t="n">
        <v>-2675</v>
      </c>
      <c r="H19" s="6" t="n">
        <v>-1307</v>
      </c>
      <c r="I19" s="6" t="n">
        <v>-5416</v>
      </c>
      <c r="J19" s="6" t="n">
        <v>-5</v>
      </c>
    </row>
    <row r="20">
      <c r="A20" s="6" t="inlineStr">
        <is>
          <t>Purchase of loans and receivables (pre-banking-licence entity - a rental deposit)</t>
        </is>
      </c>
      <c r="B20" s="6" t="n"/>
      <c r="C20" s="6" t="n"/>
      <c r="D20" s="6" t="n"/>
      <c r="E20" s="6" t="n"/>
      <c r="F20" s="6" t="n"/>
      <c r="G20" s="6" t="n"/>
      <c r="H20" s="6" t="n"/>
      <c r="I20" s="6" t="n"/>
      <c r="J20" s="6" t="n">
        <v>-234</v>
      </c>
    </row>
    <row r="21">
      <c r="A21" s="5" t="inlineStr">
        <is>
          <t>Net cash used in investing activities</t>
        </is>
      </c>
      <c r="B21" s="5" t="n">
        <v>-817416</v>
      </c>
      <c r="C21" s="5" t="n">
        <v>-389003</v>
      </c>
      <c r="D21" s="5" t="n">
        <v>-92313</v>
      </c>
      <c r="E21" s="5" t="n">
        <v>-4558</v>
      </c>
      <c r="F21" s="5" t="n">
        <v>-2555</v>
      </c>
      <c r="G21" s="5" t="n">
        <v>-2872</v>
      </c>
      <c r="H21" s="5" t="n">
        <v>-1460</v>
      </c>
      <c r="I21" s="5" t="n">
        <v>-16149</v>
      </c>
      <c r="J21" s="5" t="n">
        <v>-305</v>
      </c>
    </row>
    <row r="22">
      <c r="A22" s="5" t="inlineStr">
        <is>
          <t>Financing activities</t>
        </is>
      </c>
      <c r="B22" s="6" t="n"/>
      <c r="C22" s="6" t="n"/>
      <c r="D22" s="6" t="n"/>
      <c r="E22" s="6" t="n"/>
      <c r="F22" s="6" t="n"/>
      <c r="G22" s="6" t="n"/>
      <c r="H22" s="6" t="n"/>
      <c r="I22" s="6" t="n"/>
      <c r="J22" s="6" t="n"/>
    </row>
    <row r="23">
      <c r="A23" s="6" t="inlineStr">
        <is>
          <t>Shares issued</t>
        </is>
      </c>
      <c r="B23" s="6" t="n">
        <v>7000</v>
      </c>
      <c r="C23" s="6" t="n">
        <v>68500</v>
      </c>
      <c r="D23" s="6" t="n">
        <v>65000</v>
      </c>
      <c r="E23" s="6" t="n">
        <v>72000</v>
      </c>
      <c r="F23" s="6" t="n">
        <v>157000</v>
      </c>
      <c r="G23" s="6" t="n">
        <v>138159</v>
      </c>
      <c r="H23" s="6" t="n">
        <v>15000</v>
      </c>
      <c r="I23" s="6" t="n">
        <v>39160</v>
      </c>
      <c r="J23" s="6" t="n">
        <v>0</v>
      </c>
    </row>
    <row r="24">
      <c r="A24" s="6" t="inlineStr">
        <is>
          <t>Issuance of other equity instruments</t>
        </is>
      </c>
      <c r="B24" s="6" t="n">
        <v>80000</v>
      </c>
      <c r="C24" s="6" t="n"/>
      <c r="D24" s="6" t="n"/>
      <c r="E24" s="6" t="n"/>
      <c r="F24" s="6" t="n"/>
      <c r="G24" s="6" t="n"/>
      <c r="H24" s="6" t="n"/>
      <c r="I24" s="6" t="n"/>
      <c r="J24" s="6" t="n"/>
    </row>
    <row r="25">
      <c r="A25" s="6" t="inlineStr">
        <is>
          <t>Transaction costs on issuance of other equity instruments</t>
        </is>
      </c>
      <c r="B25" s="6" t="n">
        <v>-1702</v>
      </c>
      <c r="C25" s="6" t="n"/>
      <c r="D25" s="6" t="n"/>
      <c r="E25" s="6" t="n"/>
      <c r="F25" s="6" t="n"/>
      <c r="G25" s="6" t="n"/>
      <c r="H25" s="6" t="n"/>
      <c r="I25" s="6" t="n"/>
      <c r="J25" s="6" t="n"/>
    </row>
    <row r="26">
      <c r="A26" s="6" t="inlineStr">
        <is>
          <t>Coupon payment on other equity instruments</t>
        </is>
      </c>
      <c r="B26" s="6" t="n">
        <v>-5150</v>
      </c>
      <c r="C26" s="6" t="n"/>
      <c r="D26" s="6" t="n"/>
      <c r="E26" s="6" t="n"/>
      <c r="F26" s="6" t="n"/>
      <c r="G26" s="6" t="n"/>
      <c r="H26" s="6" t="n"/>
      <c r="I26" s="6" t="n"/>
      <c r="J26" s="6" t="n"/>
    </row>
    <row r="27">
      <c r="A27" s="6" t="inlineStr">
        <is>
          <t>Proceeds from issuance of subordinated liabilities</t>
        </is>
      </c>
      <c r="B27" s="6" t="n"/>
      <c r="C27" s="6" t="n"/>
      <c r="D27" s="6" t="n">
        <v>75000</v>
      </c>
      <c r="E27" s="6" t="n"/>
      <c r="F27" s="6" t="n"/>
      <c r="G27" s="6" t="n"/>
      <c r="H27" s="6" t="n"/>
      <c r="I27" s="6" t="n"/>
      <c r="J27" s="6" t="n"/>
    </row>
    <row r="28">
      <c r="A28" s="6" t="inlineStr">
        <is>
          <t>Repayment of TFSME borrowings</t>
        </is>
      </c>
      <c r="B28" s="6" t="n">
        <v>-150000</v>
      </c>
      <c r="C28" s="6" t="n"/>
      <c r="D28" s="6" t="n"/>
      <c r="E28" s="6" t="n"/>
      <c r="F28" s="6" t="n"/>
      <c r="G28" s="6" t="n"/>
      <c r="H28" s="6" t="n"/>
      <c r="I28" s="6" t="n"/>
      <c r="J28" s="6" t="n"/>
    </row>
    <row r="29">
      <c r="A29" s="6" t="inlineStr">
        <is>
          <t>Proceeds from ILTR borrowings</t>
        </is>
      </c>
      <c r="B29" s="6" t="n">
        <v>50000</v>
      </c>
      <c r="C29" s="6" t="n"/>
      <c r="D29" s="6" t="n"/>
      <c r="E29" s="6" t="n"/>
      <c r="F29" s="6" t="n"/>
      <c r="G29" s="6" t="n"/>
      <c r="H29" s="6" t="n"/>
      <c r="I29" s="6" t="n"/>
      <c r="J29" s="6" t="n"/>
    </row>
    <row r="30">
      <c r="A30" s="6" t="inlineStr">
        <is>
          <t>Change in TFSME and ILTR borrowings</t>
        </is>
      </c>
      <c r="B30" s="6" t="n"/>
      <c r="C30" s="6" t="n"/>
      <c r="D30" s="6" t="n">
        <v>-19316</v>
      </c>
      <c r="E30" s="6" t="n">
        <v>-3791</v>
      </c>
      <c r="F30" s="6" t="n"/>
      <c r="G30" s="6" t="n"/>
      <c r="H30" s="6" t="n"/>
      <c r="I30" s="6" t="n"/>
      <c r="J30" s="6" t="n"/>
    </row>
    <row r="31">
      <c r="A31" s="6" t="inlineStr">
        <is>
          <t>Change in amounts due to banks</t>
        </is>
      </c>
      <c r="B31" s="6" t="n"/>
      <c r="C31" s="6" t="n"/>
      <c r="D31" s="6" t="n"/>
      <c r="E31" s="6" t="n"/>
      <c r="F31" s="6" t="n">
        <v>175182</v>
      </c>
      <c r="G31" s="6" t="n"/>
      <c r="H31" s="6" t="n"/>
      <c r="I31" s="6" t="n"/>
      <c r="J31" s="6" t="n"/>
    </row>
    <row r="32">
      <c r="A32" s="6" t="inlineStr">
        <is>
          <t>Change in non-trading amounts due to and from other Group undertakings</t>
        </is>
      </c>
      <c r="B32" s="6" t="n">
        <v>-5393</v>
      </c>
      <c r="C32" s="6" t="n">
        <v>4</v>
      </c>
      <c r="D32" s="6" t="n">
        <v>-74</v>
      </c>
      <c r="E32" s="6" t="n">
        <v>-16507</v>
      </c>
      <c r="F32" s="6" t="n">
        <v>15144</v>
      </c>
      <c r="G32" s="6" t="n">
        <v>-11499</v>
      </c>
      <c r="H32" s="6" t="n">
        <v>2522</v>
      </c>
      <c r="I32" s="6" t="n"/>
      <c r="J32" s="6" t="n"/>
    </row>
    <row r="33">
      <c r="A33" s="6" t="inlineStr">
        <is>
          <t>Interest paid on intercompany loans</t>
        </is>
      </c>
      <c r="B33" s="6" t="n"/>
      <c r="C33" s="6" t="n"/>
      <c r="D33" s="6" t="n"/>
      <c r="E33" s="6" t="n"/>
      <c r="F33" s="6" t="n"/>
      <c r="G33" s="6" t="n">
        <v>-178</v>
      </c>
      <c r="H33" s="6" t="n">
        <v>-153</v>
      </c>
      <c r="I33" s="6" t="n"/>
      <c r="J33" s="6" t="n"/>
    </row>
    <row r="34">
      <c r="A34" s="6" t="inlineStr">
        <is>
          <t>Cash payments/principal elements on lease liabilities</t>
        </is>
      </c>
      <c r="B34" s="6" t="n">
        <v>-1928</v>
      </c>
      <c r="C34" s="6" t="n">
        <v>-1822</v>
      </c>
      <c r="D34" s="6" t="n">
        <v>-1745</v>
      </c>
      <c r="E34" s="6" t="n">
        <v>-2297</v>
      </c>
      <c r="F34" s="6" t="n">
        <v>-632</v>
      </c>
      <c r="G34" s="6" t="n"/>
      <c r="H34" s="6" t="n"/>
      <c r="I34" s="6" t="n"/>
      <c r="J34" s="6" t="n"/>
    </row>
    <row r="35">
      <c r="A35" s="5" t="inlineStr">
        <is>
          <t>Net cash (used in)/generated from financing activities</t>
        </is>
      </c>
      <c r="B35" s="5" t="n">
        <v>-27173</v>
      </c>
      <c r="C35" s="5" t="n">
        <v>66682</v>
      </c>
      <c r="D35" s="5" t="n">
        <v>118865</v>
      </c>
      <c r="E35" s="5" t="n">
        <v>49405</v>
      </c>
      <c r="F35" s="5" t="n">
        <v>346694</v>
      </c>
      <c r="G35" s="5" t="n">
        <v>126482</v>
      </c>
      <c r="H35" s="5" t="n">
        <v>17369</v>
      </c>
      <c r="I35" s="5" t="n">
        <v>39160</v>
      </c>
      <c r="J35" s="5" t="n">
        <v>0</v>
      </c>
    </row>
    <row r="36">
      <c r="A36" s="5" t="inlineStr">
        <is>
          <t>Net (decrease)/increase in cash and cash equivalents</t>
        </is>
      </c>
      <c r="B36" s="5" t="n">
        <v>-481246</v>
      </c>
      <c r="C36" s="5" t="n">
        <v>1413751</v>
      </c>
      <c r="D36" s="5" t="n">
        <v>-25885</v>
      </c>
      <c r="E36" s="5" t="n">
        <v>1194119</v>
      </c>
      <c r="F36" s="5" t="n">
        <v>168302</v>
      </c>
      <c r="G36" s="5" t="n">
        <v>66632</v>
      </c>
      <c r="H36" s="5" t="n">
        <v>-9685</v>
      </c>
      <c r="I36" s="5" t="n">
        <v>2208</v>
      </c>
      <c r="J36" s="5" t="n">
        <v>194</v>
      </c>
    </row>
    <row r="37">
      <c r="A37" s="6" t="inlineStr">
        <is>
          <t>Cash and cash equivalents at start of year</t>
        </is>
      </c>
      <c r="B37" s="6" t="n">
        <v>2819743</v>
      </c>
      <c r="C37" s="6" t="n">
        <v>1405992</v>
      </c>
      <c r="D37" s="6" t="n">
        <v>1431877</v>
      </c>
      <c r="E37" s="6" t="n">
        <v>237758</v>
      </c>
      <c r="F37" s="6" t="n">
        <v>69456</v>
      </c>
      <c r="G37" s="6" t="n">
        <v>2736</v>
      </c>
      <c r="H37" s="6" t="n">
        <v>12421</v>
      </c>
      <c r="I37" s="6" t="n">
        <v>194</v>
      </c>
      <c r="J37" s="6" t="n">
        <v>0</v>
      </c>
    </row>
    <row r="38">
      <c r="A38" s="5" t="inlineStr">
        <is>
          <t>Cash and cash equivalents at end of year</t>
        </is>
      </c>
      <c r="B38" s="5" t="n">
        <v>2338497</v>
      </c>
      <c r="C38" s="5" t="n">
        <v>2819743</v>
      </c>
      <c r="D38" s="5" t="n">
        <v>1405992</v>
      </c>
      <c r="E38" s="5" t="n">
        <v>1431877</v>
      </c>
      <c r="F38" s="5" t="n">
        <v>237758</v>
      </c>
      <c r="G38" s="5" t="n">
        <v>69368</v>
      </c>
      <c r="H38" s="5" t="n">
        <v>2736</v>
      </c>
      <c r="I38" s="5" t="n">
        <v>2402</v>
      </c>
      <c r="J38" s="5" t="n">
        <v>194</v>
      </c>
    </row>
    <row r="40" ht="340" customHeight="1">
      <c r="A40" s="8" t="inlineStr">
        <is>
          <t>Sources - all figures are Zopa Bank Limited's own Statement of cash flows, £'000:
FY2025 &amp; FY2024: Zopa Bank Limited Annual Report and Accounts 2025, p.101 (Statement of cash flows) - https://www.datocms-assets.com/23873/1773841899-zopa_bank_ar25_web.pdf
FY2023: Zopa Bank Limited Annual Report and Accounts 2023, p.114 (Statement of cash flows) - https://www.datocms-assets.com/23873/1713257733-zopa-group-2023-annual-report-signed_web-version.pdf (cross-checked against its comparative appearance in the 2024 Annual Report, p.111 - https://www.datocms-assets.com/23873/1747055131-zopa-bank-2024-annual-report-signed-web-based.pdf - matched exactly)
FY2022: Zopa Bank Limited Annual Report and Accounts 2022, p.95 (Statement of cash flows) - https://www.datocms-assets.com/23873/1694796852-zopa-bank-annual-report-2022-web.pdf (cross-checked against its comparative appearance in the 2023 Annual Report, p.114 - matched exactly)
FY2021: Zopa Bank Limited Annual Report and Accounts 2021, p.69 (Statement of cash flows) - https://www.datocms-assets.com/23873/1658745948-zopa-bank-annual-report-2021.pdf (cross-checked against its comparative appearance in the 2022 Annual Report, p.95 - matched exactly)
FY2020: Annual Report and Financial Statements 2020, p.30 (Statement of cash flows) - https://www.datocms-assets.com/23873/1658745479-zopa-bank-limited-annual-report-and-financial-statements-2020.pdf
FY2019: Annual Report and Financial Statements 2019, p.24 (Statement of cash flows) - https://find-and-update.company-information.service.gov.uk/company/10627575/filing-history/MzI4NjUxOTIyNmFkaXF6a2N4/document?format=pdf&amp;download=0 (cross-checked against its comparative appearance in the 2020 report - matched exactly)
FY2018: Annual Report and Financial Statements 2018, p.18 (Statement of cash flows) - https://find-and-update.company-information.service.gov.uk/company/10627575/filing-history/MzI0NjEzNjE0OWFkaXF6a2N4/document?format=pdf&amp;download=0
FY2017: Zopa Financial Services Limited Annual Report and Financial Statements 2017, p.13 - https://find-and-update.company-information.service.gov.uk/company/10627575/filing-history/MzIxNTk5NjMyMmFkaXF6a2N4/document?format=pdf&amp;download=0 (re-presented in whole-£'000-rounded form as the comparative column of the FY2018 report, p.18 - both versions used together below; see PRESENTATION NOTE)
Note: the 2021 Annual Report states 'the statement of cash flows has been represented' vs. its own prior-year presentation (details in that report's note 1.9) - not a concern for the FY2021-FY2025 figures shown here, which are all on a mutually consistent, cross-checked basis. Separately, FY2021's own opening cash balance (£69,456k) is £88k above FY2020's own closing cash balance (£69,368k) shown here - FY2020's own note explicitly states its closing cash EXCLUDES £88k of restricted balances, which the FY2021 presentation folds back in; both figures are reproduced exactly as each report states them, not forced to tie.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
PRESENTATION NOTE: FY2017-FY2020 predate the current reconciliation format and are mapped onto the existing rows as follows - each year's 'Profit/(loss) before tax' plus a residual 'Non-cash items' figure (the difference between that year's own single 'cash generated from operations' reconciliation line and profit/(loss) before tax) plus 'Changes in operating assets and liabilities' (that year's own operating asset/liability movement lines, summed) together foot exactly to that year's own stated net operating cash flow. FY2018-FY2020 also disclose a small 'Interest received' investing line and (FY2019/FY2020 only) 'Interest paid on intercompany loans' within financing, shown as their own rows, blank in other years.</t>
        </is>
      </c>
    </row>
  </sheetData>
  <mergeCells count="1">
    <mergeCell ref="A40:J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Asset Quality</t>
        </is>
      </c>
    </row>
    <row r="2">
      <c r="A2" s="2" t="inlineStr">
        <is>
          <t>Zopa Bank Limited (entity-level), £'000, on-balance sheet loans and advances to customers only. Ties exactly to Balance Sheet net loans for FY2025/FY2024 (after the fair value hedge adjustment) and every other disclosed year; FY2023/FY2022 have a small (&lt;0.1%) genuine gap - see source note, not a plug. FY2017 is genuinely blank (no banking licence, no customer lending that year - see HISTORICAL FLOOR NOTE on the Balance Sheet sheet), not a self-skip. FY2020's unusually high &gt;100% Stage 3 coverage ratio is reproduced exactly as the source states it (a rapidly-growing, then-young auto-loan book with a high loss-given-default assumption that year, per the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row>
    <row r="4">
      <c r="A4" s="5" t="inlineStr">
        <is>
          <t>Loans and advances to customers, gross carrying amount by IFRS 9 stage (on-balance sheet)</t>
        </is>
      </c>
      <c r="B4" s="6" t="n"/>
      <c r="C4" s="6" t="n"/>
      <c r="D4" s="6" t="n"/>
      <c r="E4" s="6" t="n"/>
      <c r="F4" s="6" t="n"/>
      <c r="G4" s="6" t="n"/>
      <c r="H4" s="6" t="n"/>
      <c r="I4" s="6" t="n"/>
    </row>
    <row r="5">
      <c r="A5" s="6" t="inlineStr">
        <is>
          <t>Stage 1 (12-month ECL)</t>
        </is>
      </c>
      <c r="B5" s="6" t="n">
        <v>3337595</v>
      </c>
      <c r="C5" s="6" t="n">
        <v>2728099</v>
      </c>
      <c r="D5" s="6" t="n">
        <v>2336414</v>
      </c>
      <c r="E5" s="6" t="n">
        <v>1794856</v>
      </c>
      <c r="F5" s="6" t="n">
        <v>1151567</v>
      </c>
      <c r="G5" s="6" t="n">
        <v>229988</v>
      </c>
      <c r="H5" s="6" t="n">
        <v>15180</v>
      </c>
      <c r="I5" s="6" t="n">
        <v>6853</v>
      </c>
    </row>
    <row r="6">
      <c r="A6" s="6" t="inlineStr">
        <is>
          <t>Stage 2 (lifetime ECL, not credit-impaired)</t>
        </is>
      </c>
      <c r="B6" s="6" t="n">
        <v>252301</v>
      </c>
      <c r="C6" s="6" t="n">
        <v>228781</v>
      </c>
      <c r="D6" s="6" t="n">
        <v>214897</v>
      </c>
      <c r="E6" s="6" t="n">
        <v>216507</v>
      </c>
      <c r="F6" s="6" t="n">
        <v>55351</v>
      </c>
      <c r="G6" s="6" t="n">
        <v>7346</v>
      </c>
      <c r="H6" s="6" t="n">
        <v>1330</v>
      </c>
      <c r="I6" s="6" t="n">
        <v>310</v>
      </c>
    </row>
    <row r="7">
      <c r="A7" s="6" t="inlineStr">
        <is>
          <t>Stage 3 (lifetime ECL, credit-impaired)</t>
        </is>
      </c>
      <c r="B7" s="6" t="n">
        <v>181656</v>
      </c>
      <c r="C7" s="6" t="n">
        <v>110477</v>
      </c>
      <c r="D7" s="6" t="n">
        <v>97665</v>
      </c>
      <c r="E7" s="6" t="n">
        <v>65747</v>
      </c>
      <c r="F7" s="6" t="n">
        <v>14802</v>
      </c>
      <c r="G7" s="6" t="n">
        <v>732</v>
      </c>
      <c r="H7" s="6" t="n">
        <v>70</v>
      </c>
      <c r="I7" s="6" t="n">
        <v>13</v>
      </c>
    </row>
    <row r="8">
      <c r="A8" s="6" t="inlineStr">
        <is>
          <t>POCI (purchased or originated credit-impaired)</t>
        </is>
      </c>
      <c r="B8" s="6" t="n">
        <v>0</v>
      </c>
      <c r="C8" s="6" t="n">
        <v>450</v>
      </c>
      <c r="D8" s="6" t="n">
        <v>1305</v>
      </c>
      <c r="E8" s="6" t="n">
        <v>3743</v>
      </c>
      <c r="F8" s="6" t="n">
        <v>4725</v>
      </c>
      <c r="G8" s="6" t="n"/>
      <c r="H8" s="6" t="n"/>
      <c r="I8" s="6" t="n"/>
    </row>
    <row r="9">
      <c r="A9" s="5" t="inlineStr">
        <is>
          <t>Total gross carrying amount</t>
        </is>
      </c>
      <c r="B9" s="5" t="n">
        <v>3771552</v>
      </c>
      <c r="C9" s="5" t="n">
        <v>3067807</v>
      </c>
      <c r="D9" s="5" t="n">
        <v>2650281</v>
      </c>
      <c r="E9" s="5" t="n">
        <v>2080853</v>
      </c>
      <c r="F9" s="5" t="n">
        <v>1226445</v>
      </c>
      <c r="G9" s="5" t="n">
        <v>238066</v>
      </c>
      <c r="H9" s="5" t="n">
        <v>16580</v>
      </c>
      <c r="I9" s="5" t="n">
        <v>7176</v>
      </c>
    </row>
    <row r="10">
      <c r="A10" s="5" t="inlineStr">
        <is>
          <t>ECL allowance by IFRS 9 stage (on-balance sheet)</t>
        </is>
      </c>
      <c r="B10" s="6" t="n"/>
      <c r="C10" s="6" t="n"/>
      <c r="D10" s="6" t="n"/>
      <c r="E10" s="6" t="n"/>
      <c r="F10" s="6" t="n"/>
      <c r="G10" s="6" t="n"/>
      <c r="H10" s="6" t="n"/>
      <c r="I10" s="6" t="n"/>
    </row>
    <row r="11">
      <c r="A11" s="6" t="inlineStr">
        <is>
          <t>Stage 1 allowance</t>
        </is>
      </c>
      <c r="B11" s="6" t="n">
        <v>75836</v>
      </c>
      <c r="C11" s="6" t="n">
        <v>58414</v>
      </c>
      <c r="D11" s="6" t="n">
        <v>44313</v>
      </c>
      <c r="E11" s="6" t="n">
        <v>38924</v>
      </c>
      <c r="F11" s="6" t="n">
        <v>27069</v>
      </c>
      <c r="G11" s="6" t="n">
        <v>9649</v>
      </c>
      <c r="H11" s="6" t="n">
        <v>98</v>
      </c>
      <c r="I11" s="6" t="n">
        <v>29</v>
      </c>
    </row>
    <row r="12">
      <c r="A12" s="6" t="inlineStr">
        <is>
          <t>Stage 2 allowance</t>
        </is>
      </c>
      <c r="B12" s="6" t="n">
        <v>71644</v>
      </c>
      <c r="C12" s="6" t="n">
        <v>67210</v>
      </c>
      <c r="D12" s="6" t="n">
        <v>60155</v>
      </c>
      <c r="E12" s="6" t="n">
        <v>53373</v>
      </c>
      <c r="F12" s="6" t="n">
        <v>15713</v>
      </c>
      <c r="G12" s="6" t="n">
        <v>2075</v>
      </c>
      <c r="H12" s="6" t="n">
        <v>65</v>
      </c>
      <c r="I12" s="6" t="n">
        <v>15</v>
      </c>
    </row>
    <row r="13">
      <c r="A13" s="6" t="inlineStr">
        <is>
          <t>Stage 3 allowance</t>
        </is>
      </c>
      <c r="B13" s="6" t="n">
        <v>121455</v>
      </c>
      <c r="C13" s="6" t="n">
        <v>75822</v>
      </c>
      <c r="D13" s="6" t="n">
        <v>69847</v>
      </c>
      <c r="E13" s="6" t="n">
        <v>48454</v>
      </c>
      <c r="F13" s="6" t="n">
        <v>10650</v>
      </c>
      <c r="G13" s="6" t="n">
        <v>952</v>
      </c>
      <c r="H13" s="6" t="n">
        <v>45</v>
      </c>
      <c r="I13" s="6" t="n">
        <v>6</v>
      </c>
    </row>
    <row r="14">
      <c r="A14" s="6" t="inlineStr">
        <is>
          <t>POCI allowance</t>
        </is>
      </c>
      <c r="B14" s="6" t="n"/>
      <c r="C14" s="6" t="n">
        <v>12</v>
      </c>
      <c r="D14" s="6" t="n">
        <v>49</v>
      </c>
      <c r="E14" s="6" t="n">
        <v>334</v>
      </c>
      <c r="F14" s="6" t="n"/>
      <c r="G14" s="6" t="n"/>
      <c r="H14" s="6" t="n"/>
      <c r="I14" s="6" t="n"/>
    </row>
    <row r="15">
      <c r="A15" s="5" t="inlineStr">
        <is>
          <t>Total ECL allowance</t>
        </is>
      </c>
      <c r="B15" s="5" t="n">
        <v>268935</v>
      </c>
      <c r="C15" s="5" t="n">
        <v>201458</v>
      </c>
      <c r="D15" s="5" t="n">
        <v>174364</v>
      </c>
      <c r="E15" s="5" t="n">
        <v>141085</v>
      </c>
      <c r="F15" s="5" t="n">
        <v>53432</v>
      </c>
      <c r="G15" s="5" t="n">
        <v>12676</v>
      </c>
      <c r="H15" s="5" t="n">
        <v>208</v>
      </c>
      <c r="I15" s="5" t="n">
        <v>50</v>
      </c>
    </row>
    <row r="16">
      <c r="A16" s="5" t="inlineStr">
        <is>
          <t>Net loans and advances to customers (on-balance sheet)</t>
        </is>
      </c>
      <c r="B16" s="5" t="n">
        <v>3502617</v>
      </c>
      <c r="C16" s="5" t="n">
        <v>2866349</v>
      </c>
      <c r="D16" s="5" t="n">
        <v>2475917</v>
      </c>
      <c r="E16" s="5" t="n">
        <v>1939768</v>
      </c>
      <c r="F16" s="5" t="n">
        <v>1173013</v>
      </c>
      <c r="G16" s="5" t="n">
        <v>225390</v>
      </c>
      <c r="H16" s="5" t="n">
        <v>16372</v>
      </c>
      <c r="I16" s="5" t="n">
        <v>7126</v>
      </c>
    </row>
    <row r="17">
      <c r="A17" s="5" t="inlineStr">
        <is>
          <t>Asset quality ratios</t>
        </is>
      </c>
      <c r="B17" s="6" t="n"/>
      <c r="C17" s="6" t="n"/>
      <c r="D17" s="6" t="n"/>
      <c r="E17" s="6" t="n"/>
      <c r="F17" s="6" t="n"/>
      <c r="G17" s="6" t="n"/>
      <c r="H17" s="6" t="n"/>
      <c r="I17" s="6" t="n"/>
    </row>
    <row r="18">
      <c r="A18" s="6" t="inlineStr">
        <is>
          <t>NPL ratio (Stage 3 gross / Total gross)</t>
        </is>
      </c>
      <c r="B18" s="6" t="inlineStr">
        <is>
          <t>4.82%</t>
        </is>
      </c>
      <c r="C18" s="6" t="inlineStr">
        <is>
          <t>3.60%</t>
        </is>
      </c>
      <c r="D18" s="6" t="inlineStr">
        <is>
          <t>3.69%</t>
        </is>
      </c>
      <c r="E18" s="6" t="inlineStr">
        <is>
          <t>3.16%</t>
        </is>
      </c>
      <c r="F18" s="6" t="inlineStr">
        <is>
          <t>1.21%</t>
        </is>
      </c>
      <c r="G18" s="6" t="inlineStr">
        <is>
          <t>0.31%</t>
        </is>
      </c>
      <c r="H18" s="6" t="inlineStr">
        <is>
          <t>0.42%</t>
        </is>
      </c>
      <c r="I18" s="6" t="inlineStr">
        <is>
          <t>0.18%</t>
        </is>
      </c>
    </row>
    <row r="19">
      <c r="A19" s="6" t="inlineStr">
        <is>
          <t>Coverage ratio (Total ECL allowance / Total gross)</t>
        </is>
      </c>
      <c r="B19" s="6" t="inlineStr">
        <is>
          <t>7.13%</t>
        </is>
      </c>
      <c r="C19" s="6" t="inlineStr">
        <is>
          <t>6.57%</t>
        </is>
      </c>
      <c r="D19" s="6" t="inlineStr">
        <is>
          <t>6.58%</t>
        </is>
      </c>
      <c r="E19" s="6" t="inlineStr">
        <is>
          <t>6.78%</t>
        </is>
      </c>
      <c r="F19" s="6" t="inlineStr">
        <is>
          <t>4.36%</t>
        </is>
      </c>
      <c r="G19" s="6" t="inlineStr">
        <is>
          <t>5.32%</t>
        </is>
      </c>
      <c r="H19" s="6" t="inlineStr">
        <is>
          <t>1.25%</t>
        </is>
      </c>
      <c r="I19" s="6" t="inlineStr">
        <is>
          <t>0.70%</t>
        </is>
      </c>
    </row>
    <row r="20">
      <c r="A20" s="6" t="inlineStr">
        <is>
          <t>Stage 3 coverage ratio (Stage 3 allowance / Stage 3 gross)</t>
        </is>
      </c>
      <c r="B20" s="6" t="inlineStr">
        <is>
          <t>66.86%</t>
        </is>
      </c>
      <c r="C20" s="6" t="inlineStr">
        <is>
          <t>68.63%</t>
        </is>
      </c>
      <c r="D20" s="6" t="inlineStr">
        <is>
          <t>71.52%</t>
        </is>
      </c>
      <c r="E20" s="6" t="inlineStr">
        <is>
          <t>73.70%</t>
        </is>
      </c>
      <c r="F20" s="6" t="inlineStr">
        <is>
          <t>71.95%</t>
        </is>
      </c>
      <c r="G20" s="6" t="inlineStr">
        <is>
          <t>130.05%</t>
        </is>
      </c>
      <c r="H20" s="6" t="inlineStr">
        <is>
          <t>64.29%</t>
        </is>
      </c>
      <c r="I20" s="6" t="inlineStr">
        <is>
          <t>46.15%</t>
        </is>
      </c>
    </row>
    <row r="22" ht="360" customHeight="1">
      <c r="A22" s="8" t="inlineStr">
        <is>
          <t>Sources - Zopa Bank Limited entity-level credit quality disclosures (on-balance sheet loans and advances to customers only), £'000:
FY2025/FY2024: Annual Report and Accounts 2025, Note 37.1.11 'Credit performance' and Note 37.1.12 'Credit quality', p.158 - https://www.datocms-assets.com/23873/1773841899-zopa_bank_ar25_web.pdf
FY2023/FY2022: Annual Report and Accounts 2023, Note 37.1.11 'Credit performance' and Note 37.1.12 'Credit quality', p.167 - https://www.datocms-assets.com/23873/1713257733-zopa-group-2023-annual-report-signed_web-version.pdf
FY2021: Annual Report and Accounts 2021, Note 34.1.10 'Rating distribution' (Zopa risk ratings tier table), p.107-108 - aggregated across all 4 Tier bands to a single Stage 1/2/3 figure, since no consolidated by-stage summary table exists in this earlier report vintage - https://www.datocms-assets.com/23873/1658745948-zopa-bank-annual-report-2021.pdf
FY2020: Annual Report and Financial Statements 2020, Note 13 'Loans and advances to customers' and the ECL/gross-carrying-amount stage tables in Note 24(a), p.56-57 - https://www.datocms-assets.com/23873/1658745479-zopa-bank-limited-annual-report-and-financial-statements-2020.pdf
FY2019: Annual Report and Financial Statements 2019, Note 24(a) 'Credit risk' stage tables, p.49-50 - https://find-and-update.company-information.service.gov.uk/company/10627575/filing-history/MzI4NjUxOTIyNmFkaXF6a2N4/document?format=pdf&amp;download=0 (cross-checked against its comparative appearance in the 2020 Annual Report, p.56-57 - matched exactly)
FY2018: Annual Report and Financial Statements 2018, Note 3 'Management of financial risks' stage tables, p.30 - https://find-and-update.company-information.service.gov.uk/company/10627575/filing-history/MzI0NjEzNjE0OWFkaXF6a2N4/document?format=pdf&amp;download=0 (cross-checked against its comparative appearance in the 2019 Annual Report, p.49-50 - matched exactly)
FY2017: not applicable - Zopa Financial Services Limited had no banking licence and no customer lending that year (the only 'loan' on its FY2017 balance sheet is a rental deposit - see Balance Sheet sheet). Left blank, not a self-skip.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
GENUINE, IMMATERIAL DISCREPANCY (not forced to tie): FY2023's on-balance sheet net figure (£2,475,917k) is £2,296k below the Balance Sheet's own Loans and advances to customers line (£2,478,213k); FY2022's (£1,939,768k) is £1,804k above the Balance Sheet's own figure (£1,937,964k). Both gaps are under 0.1% of the balance and are reproduced exactly as each note states them, not plugged. FY2025/FY2024 tie exactly once the Balance Sheet's own fair value hedge adjustment (+£4,037k / -£714k, see Balance Sheet sheet note 14) is added back; FY2021/FY2020/FY2019/FY2018 tie exactly with no adjustment needed.</t>
        </is>
      </c>
    </row>
  </sheetData>
  <mergeCells count="1">
    <mergeCell ref="A22:I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Zopa Bank Limited — KM1 Key Metrics</t>
        </is>
      </c>
    </row>
    <row r="2">
      <c r="A2" s="2" t="inlineStr">
        <is>
          <t>The Bank-only Table 5 UK KM1, reproduced in its own row order, row numbering and precision. Amounts are £m; LCR/NSFR figures are trailing-period averages as described by Zopa.</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489</v>
      </c>
      <c r="C5" s="6" t="n">
        <v>448</v>
      </c>
      <c r="D5" s="6" t="n">
        <v>364</v>
      </c>
      <c r="E5" s="6" t="n">
        <v>290</v>
      </c>
      <c r="F5" s="6" t="n">
        <v>243</v>
      </c>
    </row>
    <row r="6">
      <c r="A6" s="6" t="inlineStr">
        <is>
          <t>2 Tier 1 capital (£m)</t>
        </is>
      </c>
      <c r="B6" s="6" t="n">
        <v>567</v>
      </c>
      <c r="C6" s="6" t="n">
        <v>448</v>
      </c>
      <c r="D6" s="6" t="n">
        <v>364</v>
      </c>
      <c r="E6" s="6" t="n">
        <v>290</v>
      </c>
      <c r="F6" s="6" t="n">
        <v>243</v>
      </c>
    </row>
    <row r="7">
      <c r="A7" s="6" t="inlineStr">
        <is>
          <t>3 Total capital (£m)</t>
        </is>
      </c>
      <c r="B7" s="6" t="n">
        <v>642</v>
      </c>
      <c r="C7" s="6" t="n">
        <v>523</v>
      </c>
      <c r="D7" s="6" t="n">
        <v>439</v>
      </c>
      <c r="E7" s="6" t="n">
        <v>290</v>
      </c>
      <c r="F7" s="6" t="n">
        <v>243</v>
      </c>
    </row>
    <row r="8">
      <c r="A8" s="5" t="inlineStr">
        <is>
          <t>Risk-weighted exposure amounts</t>
        </is>
      </c>
      <c r="B8" s="6" t="n"/>
      <c r="C8" s="6" t="n"/>
      <c r="D8" s="6" t="n"/>
      <c r="E8" s="6" t="n"/>
      <c r="F8" s="6" t="n"/>
    </row>
    <row r="9">
      <c r="A9" s="6" t="inlineStr">
        <is>
          <t>4 Total risk-weighted exposure amount (£m)</t>
        </is>
      </c>
      <c r="B9" s="6" t="n">
        <v>3364</v>
      </c>
      <c r="C9" s="6" t="n">
        <v>2670</v>
      </c>
      <c r="D9" s="6" t="n">
        <v>2205</v>
      </c>
      <c r="E9" s="6" t="n">
        <v>1663</v>
      </c>
      <c r="F9" s="6" t="n">
        <v>1060</v>
      </c>
    </row>
    <row r="10">
      <c r="A10" s="5" t="inlineStr">
        <is>
          <t>Capital ratios (as a percentage of risk-weighted exposure amount)</t>
        </is>
      </c>
      <c r="B10" s="6" t="n"/>
      <c r="C10" s="6" t="n"/>
      <c r="D10" s="6" t="n"/>
      <c r="E10" s="6" t="n"/>
      <c r="F10" s="6" t="n"/>
    </row>
    <row r="11">
      <c r="A11" s="6" t="inlineStr">
        <is>
          <t>5 Common Equity Tier 1 ratio (%)</t>
        </is>
      </c>
      <c r="B11" s="6" t="inlineStr">
        <is>
          <t>14.54%</t>
        </is>
      </c>
      <c r="C11" s="6" t="inlineStr">
        <is>
          <t>16.76%</t>
        </is>
      </c>
      <c r="D11" s="6" t="inlineStr">
        <is>
          <t>16.50%</t>
        </is>
      </c>
      <c r="E11" s="6" t="inlineStr">
        <is>
          <t>17.44%</t>
        </is>
      </c>
      <c r="F11" s="6" t="inlineStr">
        <is>
          <t>22.92%</t>
        </is>
      </c>
    </row>
    <row r="12">
      <c r="A12" s="6" t="inlineStr">
        <is>
          <t>6 Tier 1 ratio (%)</t>
        </is>
      </c>
      <c r="B12" s="6" t="inlineStr">
        <is>
          <t>16.87%</t>
        </is>
      </c>
      <c r="C12" s="6" t="inlineStr">
        <is>
          <t>16.76%</t>
        </is>
      </c>
      <c r="D12" s="6" t="inlineStr">
        <is>
          <t>16.50%</t>
        </is>
      </c>
      <c r="E12" s="6" t="inlineStr">
        <is>
          <t>17.44%</t>
        </is>
      </c>
      <c r="F12" s="6" t="inlineStr">
        <is>
          <t>22.92%</t>
        </is>
      </c>
    </row>
    <row r="13">
      <c r="A13" s="6" t="inlineStr">
        <is>
          <t>7 Total capital ratio (%)</t>
        </is>
      </c>
      <c r="B13" s="6" t="inlineStr">
        <is>
          <t>19.10%</t>
        </is>
      </c>
      <c r="C13" s="6" t="inlineStr">
        <is>
          <t>19.57%</t>
        </is>
      </c>
      <c r="D13" s="6" t="inlineStr">
        <is>
          <t>19.90%</t>
        </is>
      </c>
      <c r="E13" s="6" t="inlineStr">
        <is>
          <t>17.44%</t>
        </is>
      </c>
      <c r="F13" s="6" t="inlineStr">
        <is>
          <t>22.92%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1.30%</t>
        </is>
      </c>
      <c r="C15" s="6" t="inlineStr">
        <is>
          <t>1.96%</t>
        </is>
      </c>
      <c r="D15" s="6" t="inlineStr">
        <is>
          <t>1.96%</t>
        </is>
      </c>
      <c r="E15" s="6" t="inlineStr">
        <is>
          <t>1.79%</t>
        </is>
      </c>
      <c r="F15" s="6" t="inlineStr">
        <is>
          <t>1.79%</t>
        </is>
      </c>
    </row>
    <row r="16">
      <c r="A16" s="6" t="inlineStr">
        <is>
          <t>UK 7b Additional AT1 SREP requirements (%)</t>
        </is>
      </c>
      <c r="B16" s="6" t="inlineStr">
        <is>
          <t>0.43%</t>
        </is>
      </c>
      <c r="C16" s="6" t="inlineStr">
        <is>
          <t>0.65%</t>
        </is>
      </c>
      <c r="D16" s="6" t="inlineStr">
        <is>
          <t>0.65%</t>
        </is>
      </c>
      <c r="E16" s="6" t="inlineStr">
        <is>
          <t>0.60%</t>
        </is>
      </c>
      <c r="F16" s="6" t="inlineStr">
        <is>
          <t>0.60%</t>
        </is>
      </c>
    </row>
    <row r="17">
      <c r="A17" s="6" t="inlineStr">
        <is>
          <t>UK 7c Additional T2 SREP requirements (%)</t>
        </is>
      </c>
      <c r="B17" s="6" t="inlineStr">
        <is>
          <t>0.58%</t>
        </is>
      </c>
      <c r="C17" s="6" t="inlineStr">
        <is>
          <t>0.87%</t>
        </is>
      </c>
      <c r="D17" s="6" t="inlineStr">
        <is>
          <t>0.87%</t>
        </is>
      </c>
      <c r="E17" s="6" t="inlineStr">
        <is>
          <t>0.80%</t>
        </is>
      </c>
      <c r="F17" s="6" t="inlineStr">
        <is>
          <t>0.80%</t>
        </is>
      </c>
    </row>
    <row r="18">
      <c r="A18" s="6" t="inlineStr">
        <is>
          <t>UK 7d Total SREP own funds requirements (%)</t>
        </is>
      </c>
      <c r="B18" s="6" t="inlineStr">
        <is>
          <t>10.31%</t>
        </is>
      </c>
      <c r="C18" s="6" t="inlineStr">
        <is>
          <t>11.48%</t>
        </is>
      </c>
      <c r="D18" s="6" t="inlineStr">
        <is>
          <t>11.48%</t>
        </is>
      </c>
      <c r="E18" s="6" t="inlineStr">
        <is>
          <t>11.18%</t>
        </is>
      </c>
      <c r="F18" s="6" t="inlineStr">
        <is>
          <t>11.18%</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9 Institution specific countercyclical capital buffer (%)</t>
        </is>
      </c>
      <c r="B21" s="6" t="inlineStr">
        <is>
          <t>2.00%</t>
        </is>
      </c>
      <c r="C21" s="6" t="inlineStr">
        <is>
          <t>2.00%</t>
        </is>
      </c>
      <c r="D21" s="6" t="inlineStr">
        <is>
          <t>2.00%</t>
        </is>
      </c>
      <c r="E21" s="6" t="inlineStr">
        <is>
          <t>1.00%</t>
        </is>
      </c>
      <c r="F21" s="6" t="inlineStr">
        <is>
          <t>-</t>
        </is>
      </c>
    </row>
    <row r="22">
      <c r="A22" s="6" t="inlineStr">
        <is>
          <t>11 Combined buffer requirement (%)</t>
        </is>
      </c>
      <c r="B22" s="6" t="inlineStr">
        <is>
          <t>4.50%</t>
        </is>
      </c>
      <c r="C22" s="6" t="inlineStr">
        <is>
          <t>4.50%</t>
        </is>
      </c>
      <c r="D22" s="6" t="inlineStr">
        <is>
          <t>4.50%</t>
        </is>
      </c>
      <c r="E22" s="6" t="inlineStr">
        <is>
          <t>3.50%</t>
        </is>
      </c>
      <c r="F22" s="6" t="inlineStr">
        <is>
          <t>2.50%</t>
        </is>
      </c>
    </row>
    <row r="23">
      <c r="A23" s="6" t="inlineStr">
        <is>
          <t>UK 11a Overall capital requirements (%)</t>
        </is>
      </c>
      <c r="B23" s="6" t="inlineStr">
        <is>
          <t>14.81%</t>
        </is>
      </c>
      <c r="C23" s="6" t="inlineStr">
        <is>
          <t>15.98%</t>
        </is>
      </c>
      <c r="D23" s="6" t="inlineStr">
        <is>
          <t>15.98%</t>
        </is>
      </c>
      <c r="E23" s="6" t="inlineStr">
        <is>
          <t>14.68%</t>
        </is>
      </c>
      <c r="F23" s="6" t="inlineStr">
        <is>
          <t>13.96%</t>
        </is>
      </c>
    </row>
    <row r="24">
      <c r="A24" s="6" t="inlineStr">
        <is>
          <t>12 CET1 available after meeting the total SREP own funds requirements (%)</t>
        </is>
      </c>
      <c r="B24" s="6" t="inlineStr">
        <is>
          <t>8.74%</t>
        </is>
      </c>
      <c r="C24" s="6" t="inlineStr">
        <is>
          <t>10.31%</t>
        </is>
      </c>
      <c r="D24" s="6" t="inlineStr">
        <is>
          <t>10.05%</t>
        </is>
      </c>
      <c r="E24" s="6" t="inlineStr">
        <is>
          <t>11.16%</t>
        </is>
      </c>
      <c r="F24" s="6" t="inlineStr">
        <is>
          <t>16.63%</t>
        </is>
      </c>
    </row>
    <row r="25">
      <c r="A25" s="5" t="inlineStr">
        <is>
          <t>Leverage ratio</t>
        </is>
      </c>
      <c r="B25" s="6" t="n"/>
      <c r="C25" s="6" t="n"/>
      <c r="D25" s="6" t="n"/>
      <c r="E25" s="6" t="n"/>
      <c r="F25" s="6" t="n"/>
    </row>
    <row r="26">
      <c r="A26" s="6" t="inlineStr">
        <is>
          <t>13 Total exposure measure excluding claims on central banks (£m)</t>
        </is>
      </c>
      <c r="B26" s="6" t="n">
        <v>4998</v>
      </c>
      <c r="C26" s="6" t="n">
        <v>3445</v>
      </c>
      <c r="D26" s="6" t="n">
        <v>2699</v>
      </c>
      <c r="E26" s="6" t="n">
        <v>2024</v>
      </c>
      <c r="F26" s="6" t="inlineStr">
        <is>
          <t>-</t>
        </is>
      </c>
    </row>
    <row r="27">
      <c r="A27" s="6" t="inlineStr">
        <is>
          <t>14 Leverage ratio excluding claims on central banks (%)</t>
        </is>
      </c>
      <c r="B27" s="6" t="inlineStr">
        <is>
          <t>11.36%</t>
        </is>
      </c>
      <c r="C27" s="6" t="inlineStr">
        <is>
          <t>12.99%</t>
        </is>
      </c>
      <c r="D27" s="6" t="inlineStr">
        <is>
          <t>13.48%</t>
        </is>
      </c>
      <c r="E27" s="6" t="inlineStr">
        <is>
          <t>14.34%</t>
        </is>
      </c>
      <c r="F27" s="6" t="inlineStr">
        <is>
          <t>-</t>
        </is>
      </c>
    </row>
    <row r="28">
      <c r="A28" s="5" t="inlineStr">
        <is>
          <t>Liquidity Coverage Ratio</t>
        </is>
      </c>
      <c r="B28" s="6" t="n"/>
      <c r="C28" s="6" t="n"/>
      <c r="D28" s="6" t="n"/>
      <c r="E28" s="6" t="n"/>
      <c r="F28" s="6" t="n"/>
    </row>
    <row r="29">
      <c r="A29" s="6" t="inlineStr">
        <is>
          <t>15 Total high-quality liquid assets (HQLA) (Weighted value - average) (£m)</t>
        </is>
      </c>
      <c r="B29" s="6" t="n">
        <v>2970</v>
      </c>
      <c r="C29" s="6" t="n">
        <v>2347</v>
      </c>
      <c r="D29" s="6" t="n">
        <v>1701</v>
      </c>
      <c r="E29" s="6" t="n">
        <v>626</v>
      </c>
      <c r="F29" s="6" t="inlineStr">
        <is>
          <t>-</t>
        </is>
      </c>
    </row>
    <row r="30">
      <c r="A30" s="6" t="inlineStr">
        <is>
          <t>UK 16a Cash outflows - Total weighted value (£m)</t>
        </is>
      </c>
      <c r="B30" s="6" t="n">
        <v>755</v>
      </c>
      <c r="C30" s="6" t="n">
        <v>550</v>
      </c>
      <c r="D30" s="6" t="n">
        <v>312</v>
      </c>
      <c r="E30" s="6" t="n">
        <v>97</v>
      </c>
      <c r="F30" s="6" t="inlineStr">
        <is>
          <t>-</t>
        </is>
      </c>
    </row>
    <row r="31">
      <c r="A31" s="6" t="inlineStr">
        <is>
          <t>UK 16b Cash inflows - Total weighted value (£m)</t>
        </is>
      </c>
      <c r="B31" s="6" t="n">
        <v>140</v>
      </c>
      <c r="C31" s="6" t="n">
        <v>120</v>
      </c>
      <c r="D31" s="6" t="n">
        <v>79</v>
      </c>
      <c r="E31" s="6" t="n">
        <v>36</v>
      </c>
      <c r="F31" s="6" t="inlineStr">
        <is>
          <t>-</t>
        </is>
      </c>
    </row>
    <row r="32">
      <c r="A32" s="6" t="inlineStr">
        <is>
          <t>16 Total net cash outflows (adjusted value) (£m)</t>
        </is>
      </c>
      <c r="B32" s="6" t="n">
        <v>614</v>
      </c>
      <c r="C32" s="6" t="n">
        <v>430</v>
      </c>
      <c r="D32" s="6" t="n">
        <v>233</v>
      </c>
      <c r="E32" s="6" t="n">
        <v>61</v>
      </c>
      <c r="F32" s="6" t="inlineStr">
        <is>
          <t>-</t>
        </is>
      </c>
    </row>
    <row r="33">
      <c r="A33" s="6" t="inlineStr">
        <is>
          <t>17 Liquidity coverage ratio (%)</t>
        </is>
      </c>
      <c r="B33" s="6" t="inlineStr">
        <is>
          <t>484%</t>
        </is>
      </c>
      <c r="C33" s="6" t="inlineStr">
        <is>
          <t>546%</t>
        </is>
      </c>
      <c r="D33" s="6" t="inlineStr">
        <is>
          <t>730%</t>
        </is>
      </c>
      <c r="E33" s="6" t="inlineStr">
        <is>
          <t>1,033%</t>
        </is>
      </c>
      <c r="F33" s="6" t="inlineStr">
        <is>
          <t>-</t>
        </is>
      </c>
    </row>
    <row r="34">
      <c r="A34" s="5" t="inlineStr">
        <is>
          <t>Net Stable Funding Ratio</t>
        </is>
      </c>
      <c r="B34" s="6" t="n"/>
      <c r="C34" s="6" t="n"/>
      <c r="D34" s="6" t="n"/>
      <c r="E34" s="6" t="n"/>
      <c r="F34" s="6" t="n"/>
    </row>
    <row r="35">
      <c r="A35" s="6" t="inlineStr">
        <is>
          <t>18 Total available stable funding (£m)</t>
        </is>
      </c>
      <c r="B35" s="6" t="n">
        <v>5761</v>
      </c>
      <c r="C35" s="6" t="n">
        <v>4918</v>
      </c>
      <c r="D35" s="6" t="n">
        <v>3701</v>
      </c>
      <c r="E35" s="6" t="n"/>
      <c r="F35" s="6" t="n"/>
    </row>
    <row r="36">
      <c r="A36" s="6" t="inlineStr">
        <is>
          <t>19 Total required stable funding (£m)</t>
        </is>
      </c>
      <c r="B36" s="6" t="n">
        <v>2562</v>
      </c>
      <c r="C36" s="6" t="n">
        <v>2162</v>
      </c>
      <c r="D36" s="6" t="n">
        <v>1785</v>
      </c>
      <c r="E36" s="6" t="n"/>
      <c r="F36" s="6" t="n"/>
    </row>
    <row r="37">
      <c r="A37" s="6" t="inlineStr">
        <is>
          <t>20 NSFR ratio (%)</t>
        </is>
      </c>
      <c r="B37" s="6" t="inlineStr">
        <is>
          <t>225%</t>
        </is>
      </c>
      <c r="C37" s="6" t="inlineStr">
        <is>
          <t>227%</t>
        </is>
      </c>
      <c r="D37" s="6" t="inlineStr">
        <is>
          <t>207%</t>
        </is>
      </c>
      <c r="E37" s="6" t="n"/>
      <c r="F37" s="6" t="n"/>
    </row>
    <row r="39" ht="310" customHeight="1">
      <c r="A39" s="8" t="inlineStr">
        <is>
          <t xml:space="preserve">Sources — Zopa Bank Limited's own entity-level Table 5: UK KM1 – Key metrics table, £m; the wider Group Table 2 in the same documents was deliberately not used:
FY2025: 2025 Pillar 3, printed pp.14-15 — https://www.datocms-assets.com/23873/1773842098-12-25-pillar-3-disclosures.pdf
FY2024: 2024 Pillar 3, printed pp.14-15 — https://www.datocms-assets.com/23873/1745405670-2024-zopa-bank-pillar-3-disclosures.pdf
FY2023: 2023 Pillar 3, printed pp.14-15 — https://www.datocms-assets.com/23873/1715596314-2023-pillar-3-disclosures-final.pdf
FY2022: 2022 Pillar 3, printed pp.13-14 — https://www.datocms-assets.com/23873/1696603046-2022-pillar-3-disclosures-final_051023.pdf
FY2021: 2022 Pillar 3 comparative column, printed pp.13-14 — https://www.datocms-assets.com/23873/1696603046-2022-pillar-3-disclosures-final_051023.pdf
Each FY2022-FY2025 column uses its own edition; FY2021 uses the first later-edition comparative because Zopa had not yet published an entity-level UK KM1. Row 9 for FY2021 carries a literal '-' because the 2022 edition prints a dash in that column - re-read on 2026-09-18, where the same row prints '1.00%' for 2022 beside it - and a dash is the Bank saying the buffer did not apply, not a figure it withheld. The source's explicit 'n/a' leverage and LCR cells (rows 13-17, Dec-21 column) are carried as '-' per KM1 map rule 2 (GA-020, 2026-09-19): the glyph the 2022 edition prints is lowercase 'n/a'. Rows 18-20 were omitted from the 2022 template because the Bank states NSFR was not applicable until 1 January 2023, so FY2021/FY2022 are blank. No UK KM1 exists for FY2017-FY2020 and those columns remain blank. Zopa's live investor-information page was checked on 17 September 2026: FY2025 remains the newest annual Pillar 3 edition; the H1 2026 disclosure is interim and does not replace a year-end column.
ROWS 1, 2 AND 3 ARE EQUAL IN THE SOURCE FOR FY2022 AND FY2021 - READ FROM THE DOCUMENT ON 2026-09-18 AND RECORDED HERE SO THE QUESTION IS NOT RE-OPENED. The Pillar 3 Disclosures 2022 prints 290 on rows 1, 2 and 3 at Dec-22 and 243 at Dec-21, with no Additional Tier 1 or Tier 2 line populated. ENTITY: that edition prints the template TWICE - Table 2 headed 'GROUP' and Table 5 headed 'Bank'. This sheet is the BANK series. The two tables agree at Dec-22 (290 on both) and differ at Dec-21 (Group 255, Bank 243), so the Dec-21 column is the only place where the choice of table is visible at all. FY2024 and FY2023 are DISTINCT in the source (448 against 523; 364 against 439) and are held that way here.
</t>
        </is>
      </c>
    </row>
  </sheetData>
  <mergeCells count="1">
    <mergeCell ref="A39:F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CET1 Capital</t>
        </is>
      </c>
    </row>
    <row r="2">
      <c r="A2" s="2" t="inlineStr">
        <is>
          <t>Zopa Bank Limited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489</v>
      </c>
      <c r="C4" s="6" t="n">
        <v>448</v>
      </c>
      <c r="D4" s="6" t="n">
        <v>364</v>
      </c>
      <c r="E4" s="6" t="n">
        <v>290</v>
      </c>
      <c r="F4" s="6" t="n">
        <v>243</v>
      </c>
      <c r="G4" s="6" t="n">
        <v>115.4</v>
      </c>
      <c r="H4" s="6" t="n">
        <v>13.3</v>
      </c>
      <c r="I4" s="6" t="n">
        <v>15.6</v>
      </c>
    </row>
    <row r="5" ht="30" customHeight="1">
      <c r="A5" s="7" t="inlineStr">
        <is>
          <t>Note: FY2017: not applicable - Zopa Financial Services Limited had no banking licence and no regulatory capital of any kind that year. FY2018 is the first year of any capital disclosure (restricted banking licence granted December 2018).</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CET1 Ratio</t>
        </is>
      </c>
    </row>
    <row r="2">
      <c r="A2" s="2" t="inlineStr">
        <is>
          <t>Zopa Bank Limited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14.54%</t>
        </is>
      </c>
      <c r="C4" s="6" t="inlineStr">
        <is>
          <t>16.76%</t>
        </is>
      </c>
      <c r="D4" s="6" t="inlineStr">
        <is>
          <t>16.50%</t>
        </is>
      </c>
      <c r="E4" s="6" t="inlineStr">
        <is>
          <t>17.44%</t>
        </is>
      </c>
      <c r="F4" s="6" t="inlineStr">
        <is>
          <t>22.92%</t>
        </is>
      </c>
      <c r="G4" s="6" t="inlineStr">
        <is>
          <t>29.5%</t>
        </is>
      </c>
      <c r="H4" s="6" t="inlineStr">
        <is>
          <t>25.1%</t>
        </is>
      </c>
      <c r="I4" s="6" t="inlineStr">
        <is>
          <t>19%</t>
        </is>
      </c>
    </row>
    <row r="5" ht="91" customHeight="1">
      <c r="A5" s="7" t="inlineStr">
        <is>
          <t>Note: FY2020 RE-SOURCED 2026-10-07, AND THE TWO SOURCES DISAGREE. The cell now carries 29.5%, printed in FY2020's own Pillar 3 edition twice over - Section 2 'Key ratios', printed p.4, and the 'Capital composition' table, printed p.15 - read off 300 dpi page images. It previously carried 29%, which is the figure printed in the 2020 comparative column of the Annual Report and Accounts 2021's Financial review capital table (printed p.22, a Bank-level table headed 'Bank | 2021 | 2020 | Change'). That second printing stands and is NOT adjusted: it is recorded in full in the source note below, and the difference is not rounding, since 29.5% does not round to 29%. The Pillar 3 figure is carried here because it is FY2020's own-year edition where the Annual Report column is a later edition's comparative. The Annual Report's 2021 column reads 23% against this row's 22.92% from the KM1 template, so that document does appear to round its capital ratios to whole percent. FY2019's 25.1% is the 2019 comparative column of the same FY2020 Pillar 3 (printed pp.4 and 15); FY2019's own Annual Report discloses CET1 capital only and no ratio, which is why the figure comes from the Pillar 3 and not from it. FY2018's 19% is an unaudited Pillar 1 figure the Bank itself flags as 'not covered by the external auditor's opinion'.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Tier 1 Capital</t>
        </is>
      </c>
    </row>
    <row r="2">
      <c r="A2" s="2" t="inlineStr">
        <is>
          <t>Zopa Bank Limited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567</v>
      </c>
      <c r="C4" s="6" t="n">
        <v>448</v>
      </c>
      <c r="D4" s="6" t="n">
        <v>364</v>
      </c>
      <c r="E4" s="6" t="n">
        <v>290</v>
      </c>
      <c r="F4" s="6" t="n">
        <v>243</v>
      </c>
      <c r="G4" s="6" t="n">
        <v>115.4</v>
      </c>
      <c r="H4" s="6" t="n">
        <v>13.3</v>
      </c>
      <c r="I4" s="6" t="n">
        <v>15.6</v>
      </c>
    </row>
    <row r="5" ht="30" customHeight="1">
      <c r="A5" s="7" t="inlineStr">
        <is>
          <t>Note: Tier 1 = CET1 in every disclosed year except FY2025, where the Bank issued £80m of other (AT1) equity instruments during the year (see Cash Flow Statement sheet), taking Tier 1 above CET1 for the first time.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Tier 1 Ratio</t>
        </is>
      </c>
    </row>
    <row r="2">
      <c r="A2" s="2" t="inlineStr">
        <is>
          <t>Zopa Bank Limited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16.87%</t>
        </is>
      </c>
      <c r="C4" s="6" t="inlineStr">
        <is>
          <t>16.76%</t>
        </is>
      </c>
      <c r="D4" s="6" t="inlineStr">
        <is>
          <t>16.50%</t>
        </is>
      </c>
      <c r="E4" s="6" t="inlineStr">
        <is>
          <t>17.44%</t>
        </is>
      </c>
      <c r="F4" s="6" t="inlineStr">
        <is>
          <t>22.92%</t>
        </is>
      </c>
      <c r="G4" s="6" t="inlineStr">
        <is>
          <t>29.5%</t>
        </is>
      </c>
      <c r="H4" s="6" t="inlineStr">
        <is>
          <t>25.1%</t>
        </is>
      </c>
      <c r="I4" s="6" t="inlineStr">
        <is>
          <t>19%</t>
        </is>
      </c>
    </row>
    <row r="5" ht="65" customHeight="1">
      <c r="A5" s="7" t="inlineStr">
        <is>
          <t>Note: FY2020 AND FY2019 ARE NOW PRINTED FIGURES, NOT REASONED ONES - CHANGED 2026-10-07. This note used to say Zopa published only a CET1 ratio for 2020 and that Tier 1 equalled it as a matter of the Bank's own capital composition. That reasoning was sound but is no longer needed: FY2020's own Pillar 3 edition prints a row captioned 'Tier 1 capital ratio' in its own right, 29.5% for 2020 and 25.1% for 2019, in Section 2 'Key ratios' on printed p.4 and again in the 'Capital composition' table on printed p.15. Both cells are read off those pages. The Annual Report and Accounts 2021's 2020 comparative column prints 29% and is recorded in the source note below; neither figure is adjusted toward the other (see the CET1 Ratio sheet note for the full disagreement). The Bank's composition table corroborates the equality independently - printed p.15 shows Additional Tier 1 as a dash and Total Tier 1 capital equal to CET1 at £115.4m (2020) and £13.3m (2019). Nothing here is computed from RWA.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Total Capital</t>
        </is>
      </c>
    </row>
    <row r="2">
      <c r="A2" s="2" t="inlineStr">
        <is>
          <t>Zopa Bank Limited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642</v>
      </c>
      <c r="C4" s="6" t="n">
        <v>523</v>
      </c>
      <c r="D4" s="6" t="n">
        <v>439</v>
      </c>
      <c r="E4" s="6" t="n">
        <v>290</v>
      </c>
      <c r="F4" s="6" t="n">
        <v>243</v>
      </c>
      <c r="G4" s="6" t="n">
        <v>115.4</v>
      </c>
      <c r="H4" s="6" t="n">
        <v>13.3</v>
      </c>
      <c r="I4" s="6" t="n">
        <v>15.6</v>
      </c>
    </row>
    <row r="5" ht="30" customHeight="1">
      <c r="A5" s="7" t="inlineStr">
        <is>
          <t>Note: Total capital includes Tier 2 capital (subordinated debt) from FY2023 onward - £75m issued, of which £63m/£72m/£73m was eligible as at FY2023/FY2024/FY2025 respectively (stated in each year's Pillar 3 report). No Tier 2 capital existed in FY2018-FY2022, so Total Capital = Tier 1 = CET1 in those years.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Total Capital Ratio</t>
        </is>
      </c>
    </row>
    <row r="2">
      <c r="A2" s="2" t="inlineStr">
        <is>
          <t>Zopa Bank Limited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19.10%</t>
        </is>
      </c>
      <c r="C4" s="6" t="inlineStr">
        <is>
          <t>19.57%</t>
        </is>
      </c>
      <c r="D4" s="6" t="inlineStr">
        <is>
          <t>19.90%</t>
        </is>
      </c>
      <c r="E4" s="6" t="inlineStr">
        <is>
          <t>17.44%</t>
        </is>
      </c>
      <c r="F4" s="6" t="inlineStr">
        <is>
          <t>22.92%</t>
        </is>
      </c>
      <c r="G4" s="6" t="inlineStr">
        <is>
          <t>29.5%</t>
        </is>
      </c>
      <c r="H4" s="6" t="inlineStr">
        <is>
          <t>25.1%</t>
        </is>
      </c>
      <c r="I4" s="6" t="inlineStr">
        <is>
          <t>19%</t>
        </is>
      </c>
    </row>
    <row r="5" ht="65" customHeight="1">
      <c r="A5" s="7" t="inlineStr">
        <is>
          <t>Note: FY2020 AND FY2019 ARE NOW PRINTED FIGURES, NOT REASONED ONES - CHANGED 2026-10-07, on exactly the same footing as the Tier 1 Ratio sheet's cells. FY2020's own Pillar 3 edition prints a row captioned 'Total capital ratio' in its own right, 29.5% for 2020 and 25.1% for 2019, in Section 2 'Key ratios' on printed p.4 and again in the 'Capital composition' table on printed p.15; both cells are read off those pages. The earlier reasoning - that Zopa published only a CET1 ratio for 2020 and that total capital resources equalled CET1 to the pound - remains true and is corroborated by that same p.15 table (Total capital resources £115.4m for 2020 and £13.3m for 2019, equal to CET1, with Additional Tier 1 printed as a dash and no Tier 2 line), but it is no longer what these cells rest on. The Annual Report and Accounts 2021's 2020 comparative column prints 29% and is recorded in the source note below; neither figure is adjusted toward the other. Not derived from RWA.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Total RWAs</t>
        </is>
      </c>
    </row>
    <row r="2">
      <c r="A2" s="2" t="inlineStr">
        <is>
          <t>Zopa Bank Limited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n">
        <v>3364</v>
      </c>
      <c r="C4" s="6" t="n">
        <v>2670</v>
      </c>
      <c r="D4" s="6" t="n">
        <v>2205</v>
      </c>
      <c r="E4" s="6" t="n">
        <v>1663</v>
      </c>
      <c r="F4" s="6" t="n">
        <v>1060</v>
      </c>
      <c r="G4" s="6" t="n">
        <v>390.9</v>
      </c>
      <c r="H4" s="6" t="n">
        <v>52.9</v>
      </c>
      <c r="I4" s="6" t="n">
        <v>82.5</v>
      </c>
    </row>
    <row r="5" ht="104" customHeight="1">
      <c r="A5" s="7" t="inlineStr">
        <is>
          <t>Note: FY2020 RE-SOURCED 2026-10-07, AND THE TWO SOURCES DISAGREE. The cell now carries £390.9m, printed in FY2020's own Pillar 3 edition twice over - Section 2 'Key ratios' on printed p.4 ('Risk weighted assets (£ million) 390.9') and the 'Capital composition' table on printed p.15, where Total risk weighted assets 390.9 = credit risk 180.9 + operational risk 210.0 + BCRR printed as a DASH. Read off 300 dpi page images. It previously carried £390.5m, which is the figure printed in the 2020 comparative column of the Annual Report and Accounts 2021's Financial review capital table (printed p.22). That second printing stands and is NOT adjusted toward this one; £390.9m does not round to £390.5m, so this is a genuine disagreement between two of the Bank's own documents and not an artefact. The Pillar 3 figure is carried because it is FY2020's own-year edition where the Annual Report column is a later edition's comparative. Note that the Annual Report's two columns remain internally consistent on their own terms (that table states RWA growth of '+171%', and 390.5 x 2.71 = 1,058 against the FY2021 figure of £1,059.3m on this row) - the +171% works equally on 390.9. FY2019's £52.9m is the 2019 comparative column of the same FY2020 Pillar 3 (printed pp.4 and 15, where 52.9 = credit 17.6 + operational 21.4 + BCRR 13.9). FY2019's OWN Annual Report discloses no RWA at all - it is an image-only scan whose 58 pages were rendered and OCR'd in full on 2026-09-18 with no RWA figure anywhere - which is why the figure comes from the Pillar 3; a sentence here previously said no document carried a 2019 comparative, and that was overtaken when the FY2020 Pillar 3 was found. FY2018's £82.5m is an unaudited Pillar 1 figure. FY2017: not applicable (no banking licence that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Zopa Bank Limited — RWA Breakdown</t>
        </is>
      </c>
    </row>
    <row r="2">
      <c r="A2" s="2" t="inlineStr">
        <is>
          <t>Zopa Bank Limited basis, £m. Category sums tie to the Total RWAs sheet's own figures every year (a &lt;£1m rounding gap in FY2024 only). Securitisation exposures only appear from FY2025. No category breakdown was ever disclosed for FY2017-FY2020 - see source note.</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 RWA (excluding CCR)</t>
        </is>
      </c>
      <c r="B4" s="6" t="n">
        <v>2804</v>
      </c>
      <c r="C4" s="6" t="n">
        <v>2249</v>
      </c>
      <c r="D4" s="6" t="n">
        <v>1921</v>
      </c>
      <c r="E4" s="6" t="n">
        <v>1502</v>
      </c>
      <c r="F4" s="6" t="n">
        <v>898</v>
      </c>
    </row>
    <row r="5">
      <c r="A5" s="6" t="inlineStr">
        <is>
          <t>Counterparty Credit Risk RWA</t>
        </is>
      </c>
      <c r="B5" s="6" t="n">
        <v>0.6</v>
      </c>
      <c r="C5" s="6" t="n">
        <v>1</v>
      </c>
      <c r="D5" s="6" t="n">
        <v>0.5</v>
      </c>
      <c r="E5" s="6" t="n">
        <v>0.3</v>
      </c>
      <c r="F5" s="6" t="n">
        <v>0</v>
      </c>
    </row>
    <row r="6">
      <c r="A6" s="6" t="inlineStr">
        <is>
          <t>Securitisation exposures RWA (non-trading book, after the cap)</t>
        </is>
      </c>
      <c r="B6" s="6" t="n">
        <v>23</v>
      </c>
      <c r="C6" s="6" t="n">
        <v>0</v>
      </c>
      <c r="D6" s="6" t="n"/>
      <c r="E6" s="6" t="n"/>
      <c r="F6" s="6" t="n"/>
    </row>
    <row r="7">
      <c r="A7" s="6" t="inlineStr">
        <is>
          <t>Operational risk RWA</t>
        </is>
      </c>
      <c r="B7" s="6" t="n">
        <v>537</v>
      </c>
      <c r="C7" s="6" t="n">
        <v>421</v>
      </c>
      <c r="D7" s="6" t="n">
        <v>283</v>
      </c>
      <c r="E7" s="6" t="n">
        <v>161</v>
      </c>
      <c r="F7" s="6" t="n">
        <v>162</v>
      </c>
    </row>
    <row r="8">
      <c r="A8" s="5" t="inlineStr">
        <is>
          <t>Total RWAs</t>
        </is>
      </c>
      <c r="B8" s="5" t="n">
        <v>3364</v>
      </c>
      <c r="C8" s="5" t="n">
        <v>2670</v>
      </c>
      <c r="D8" s="5" t="n">
        <v>2205</v>
      </c>
      <c r="E8" s="5" t="n">
        <v>1663</v>
      </c>
      <c r="F8" s="5" t="n">
        <v>1060</v>
      </c>
    </row>
    <row r="10" ht="300" customHeight="1">
      <c r="A10" s="8" t="inlineStr">
        <is>
          <t>Sources - Zopa Bank Limited basis, Table 4: UK OV1 - Overview of risk weighted exposure amounts (within each year's 'Section 4: Disclosures for Zopa Bank Limited'), £m:
FY2025 &amp; FY2024: Pillar 3 Disclosures, year ended 31 December 2025, p.14 - https://www.datocms-assets.com/23873/1773842098-12-25-pillar-3-disclosures.pdf
FY2023: Pillar 3 Disclosures, year ended 31 December 2023, p.14 - https://www.datocms-assets.com/23873/1715596314-2023-pillar-3-disclosures-final.pdf (cross-checked against its comparative in the 2024 report - matched exactly)
FY2022: Pillar 3 Disclosures, year ended 31 December 2022, p.13 - https://www.datocms-assets.com/23873/1696603046-2022-pillar-3-disclosures-final_051023.pdf (cross-checked against its comparative in the 2023 report - matched exactly)
FY2021: as the comparative ('2021') column in the Pillar 3 Disclosures, year ended 31 December 2022, p.13 - https://www.datocms-assets.com/23873/1696603046-2022-pillar-3-disclosures-final_051023.pdf (same access-gap basis as the FY2021 Total RWAs figure elsewhere in this workbook - no standalone FY2021 OV1 table exists, so the FY2022 report's own comparative column is used)
Category sums round to the Total RWAs figure each year (a &lt;£1m rounding gap in FY2024 only, both figures reproduced exactly as the source states them).
FY2020/FY2019/FY2018/FY2017: not disclosed - no OV1-style RWA category breakdown exists in any Zopa Bank Limited document for these years (FY2018's single Pillar 1 RWA total is on the Total RWAs sheet, with no component split available; FY2017 is not applicable, no banking licence that year).
ENTITY NOTE: Zopa Bank Limited (FRN 800542, Companies House 10627575) is the PRA-authorised entity. It sits beneath a group holding company (Zopa Group Limited, later re-registered Zopa Group PLC) whose own separate consolidated accounts and Pillar 3 disclosures also exist - this workbook uses Zopa Bank Limited's own entity-level figures throughout (its own 'Statement of cash flows' in its own Annual Report and Accounts, and the dedicated 'Section 4: Disclosures for Zopa Bank Limited' within each year's Pillar 3 report, not the wider Group-level Section 3), consistent with the ring-fenced/individual-entity basis used elsewhere in this workbook series. Pillar 3 capital figures differ slightly from the Bank's own Annual Report &amp; Accounts because they include audited profit and the full amount of Tier 2 capital (stated explicitly in each Pillar 3 report).</t>
        </is>
      </c>
    </row>
  </sheetData>
  <mergeCells count="1">
    <mergeCell ref="A10:F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Zopa Bank Limited — Leverage Ratio</t>
        </is>
      </c>
    </row>
    <row r="2">
      <c r="A2" s="2" t="inlineStr">
        <is>
          <t>Zopa Bank Limited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exposure measure excluding claims on central banks</t>
        </is>
      </c>
      <c r="B4" s="6" t="n">
        <v>4998</v>
      </c>
      <c r="C4" s="6" t="n">
        <v>3445</v>
      </c>
      <c r="D4" s="6" t="n">
        <v>2699</v>
      </c>
      <c r="E4" s="6" t="n">
        <v>2024</v>
      </c>
      <c r="F4" s="6" t="n"/>
      <c r="G4" s="6" t="n"/>
      <c r="H4" s="6" t="n"/>
    </row>
    <row r="5">
      <c r="A5" s="6" t="inlineStr">
        <is>
          <t>Leverage ratio excluding claims on central banks (%)</t>
        </is>
      </c>
      <c r="B5" s="6" t="inlineStr">
        <is>
          <t>11.36%</t>
        </is>
      </c>
      <c r="C5" s="6" t="inlineStr">
        <is>
          <t>12.99%</t>
        </is>
      </c>
      <c r="D5" s="6" t="inlineStr">
        <is>
          <t>13.48%</t>
        </is>
      </c>
      <c r="E5" s="6" t="inlineStr">
        <is>
          <t>14.34%</t>
        </is>
      </c>
      <c r="F5" s="6" t="inlineStr">
        <is>
          <t>n/a (as printed)</t>
        </is>
      </c>
      <c r="G5" s="6" t="n"/>
      <c r="H5" s="6" t="n"/>
    </row>
    <row r="6">
      <c r="A6" s="6" t="inlineStr">
        <is>
          <t>Leverage ratio (%) - year-end, full exposure measure (see note)</t>
        </is>
      </c>
      <c r="B6" s="6" t="n"/>
      <c r="C6" s="6" t="n"/>
      <c r="D6" s="6" t="n"/>
      <c r="E6" s="6" t="n"/>
      <c r="F6" s="6" t="inlineStr">
        <is>
          <t>20%</t>
        </is>
      </c>
      <c r="G6" s="6" t="inlineStr">
        <is>
          <t>38.1%</t>
        </is>
      </c>
      <c r="H6" s="6" t="inlineStr">
        <is>
          <t>54.3%</t>
        </is>
      </c>
    </row>
    <row r="7" ht="169" customHeight="1">
      <c r="A7" s="7" t="inlineStr">
        <is>
          <t>Note: TWO ROWS, TWO MEASURES. The Pillar 3 rows above are the UK KM1 template's 'excluding claims on central banks' measure, and that template's Dec-21 comparative column really does print 'n/a' for both the exposure measure and the ratio, with no explanation given.
THE YEAR-END ROW holds the Bank's leverage ratio on the full (pre-2022) CRR exposure measure, which is a different measure and is never merged with the row above nor adjusted toward it. It was added 2026-09-18, correcting this note's own earlier claim that 'no leverage ratio of any kind appears in any FY2017-FY2020 Annual Report either' - a statement about the documents that had been searched, presented as a statement about the Bank.
ITS LABEL WAS CORRECTED 2026-10-07: it used to read 'Annual Report basis', which was false of two of its three cells. Source per cell - FY2021 20% is the Annual Report and Accounts 2021, Financial review, 'Capital position remains very strong' table, printed p.22 (the only document that publishes a 2021 year-end leverage ratio, the FY2021 Pillar 3 being Group-only). FY2020 38.1% and FY2019 54.3% are both from Zopa Bank Limited's own Pillar 3 Disclosures 31 December 2020, printed p.4 (Section 2 'Key ratios') and again on printed p.18 ('Leverage ratio common disclosure', row 22, struck on row 20 Tier 1 capital 115.4 / 13.3 over row 21 total leverage ratio exposures 303.3 / 24.5); read off 300 dpi page images 2026-10-07. The earlier citation 'PDF p.17' for that table was off by one - the printed folio is 18, and in this document the printed folio equals the PDF sheet index throughout.
FY2020 IS PRINTED TWICE AND THE TWO DO NOT AGREE TO THE DECIMAL: the Annual Report and Accounts 2021's 2020 comparative column on printed p.22 gives 38% where the Pillar 3 gives 38.1%. Both are recorded and neither is adjusted; the cell carries the Pillar 3 figure because that is FY2020's own-year edition, the same ordering applied on the Total RWAs and capital ratio sheets, where the same two documents disagree by more than rounding.</t>
        </is>
      </c>
    </row>
    <row r="9" ht="351" customHeight="1">
      <c r="A9"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t>
        </is>
      </c>
    </row>
    <row r="11" ht="390" customHeight="1">
      <c r="A11" s="8" t="inlineStr">
        <is>
          <t>(continued)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t>
        </is>
      </c>
    </row>
    <row r="13" ht="200" customHeight="1">
      <c r="A13" s="8" t="inlineStr">
        <is>
          <t>(continued)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4">
    <mergeCell ref="A7:H7"/>
    <mergeCell ref="A13:H13"/>
    <mergeCell ref="A11:H11"/>
    <mergeCell ref="A9:H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Zopa Bank Limited — LCR</t>
        </is>
      </c>
    </row>
    <row r="2">
      <c r="A2" s="2" t="inlineStr">
        <is>
          <t>Zopa Bank Limited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high-quality liquid assets (HQLA), weighted value (average)</t>
        </is>
      </c>
      <c r="B4" s="6" t="n">
        <v>2970</v>
      </c>
      <c r="C4" s="6" t="n">
        <v>2347</v>
      </c>
      <c r="D4" s="6" t="n">
        <v>1701</v>
      </c>
      <c r="E4" s="6" t="n">
        <v>626</v>
      </c>
      <c r="F4" s="6" t="n"/>
      <c r="G4" s="6" t="n"/>
      <c r="H4" s="6" t="n"/>
    </row>
    <row r="5">
      <c r="A5" s="6" t="inlineStr">
        <is>
          <t>Total net cash outflows, adjusted value</t>
        </is>
      </c>
      <c r="B5" s="6" t="n">
        <v>614</v>
      </c>
      <c r="C5" s="6" t="n">
        <v>430</v>
      </c>
      <c r="D5" s="6" t="n">
        <v>233</v>
      </c>
      <c r="E5" s="6" t="n">
        <v>61</v>
      </c>
      <c r="F5" s="6" t="n"/>
      <c r="G5" s="6" t="n"/>
      <c r="H5" s="6" t="n"/>
    </row>
    <row r="6">
      <c r="A6" s="6" t="inlineStr">
        <is>
          <t>Liquidity Coverage Ratio (%)</t>
        </is>
      </c>
      <c r="B6" s="6" t="inlineStr">
        <is>
          <t>484%</t>
        </is>
      </c>
      <c r="C6" s="6" t="inlineStr">
        <is>
          <t>546%</t>
        </is>
      </c>
      <c r="D6" s="6" t="inlineStr">
        <is>
          <t>730%</t>
        </is>
      </c>
      <c r="E6" s="6" t="inlineStr">
        <is>
          <t>1,033%</t>
        </is>
      </c>
      <c r="F6" s="6" t="inlineStr">
        <is>
          <t>n/a (as printed)</t>
        </is>
      </c>
      <c r="G6" s="6" t="n"/>
      <c r="H6" s="6" t="n"/>
    </row>
    <row r="7">
      <c r="A7" s="6" t="inlineStr">
        <is>
          <t>Liquidity Coverage Ratio (%) - year-end position (see note)</t>
        </is>
      </c>
      <c r="B7" s="6" t="n"/>
      <c r="C7" s="6" t="n"/>
      <c r="D7" s="6" t="n"/>
      <c r="E7" s="6" t="n"/>
      <c r="F7" s="6" t="inlineStr">
        <is>
          <t>9,360%</t>
        </is>
      </c>
      <c r="G7" s="6" t="inlineStr">
        <is>
          <t>13,597%</t>
        </is>
      </c>
      <c r="H7" s="6" t="inlineStr">
        <is>
          <t>10,059%</t>
        </is>
      </c>
    </row>
    <row r="8" ht="169" customHeight="1">
      <c r="A8" s="7" t="inlineStr">
        <is>
          <t>Note: TWO BASES, AND THE BANK NAMES THE DIFFERENCE ITSELF. The Pillar 3 LCR row is a 12-month simple average of month-end observations, which the Pillar 3 report says 'differs to the metrics reported in the Bank ARA, which present the position at the year-end date'. LCR is a new Pillar 3 disclosure from the FY2022 report onward and no earlier Pillar 3 comparative was provided, which is why that row starts at FY2022.
THE YEAR-END ROW WAS ADDED 2026-09-18. The Annual Report and Accounts 2021's Financial review 'Liquidity' table, printed p.22, publishes exactly the ARA-basis metric the Pillar 3 footnote refers to: LCR 9,360% for 2021 and 13,597% for 2020 (FY2020 being that table's comparative column). This note previously said LCR was 'Not disclosed for FY2017-FY2021'; that was true of the Pillar 3 reports and false of the Annual Reports. The two rows are kept separate because averaged and year-end LCR are different measures - the year-end figures are enormous because Zopa Bank was holding very large central-bank balances against a small deposit book at those dates, not because either number is wrong.
THE YEAR-END ROW'S LABEL WAS CORRECTED 2026-10-07: it used to read 'Annual Report basis', which was false of its FY2019 cell. Source per cell - FY2021 9,360% and FY2020 13,597% are the Annual Report and Accounts 2021's 'Liquidity' table, printed p.22 (FY2020 being that table's comparative column). FY2019 10,059% is Zopa Bank Limited's own Pillar 3 Disclosures 31 December 2020, printed p.4 (Section 2 'Key ratios') and again in the Section 8 liquidity-ratios table on printed p.30, where it is struck on HQLA of £0.2m over a total net cash outflow the Bank prints as a DASH. Read off 300 dpi page images 2026-10-07. The earlier citation 'PDF p.29' for that table was off by one - the printed folio is 30, and in this document the printed folio equals the PDF sheet index throughout.
UNLIKE THE CAPITAL SHEETS, THE TWO DOCUMENTS AGREE HERE: the FY2020 Pillar 3's own-year column prints LCR 13,597% for 2020, exactly the figure the Annual Report's comparative gives, so this row has no source disagreement to record (checked 2026-10-07; recorded because a negative is only worth something written down).</t>
        </is>
      </c>
    </row>
    <row r="10" ht="351" customHeight="1">
      <c r="A10"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t>
        </is>
      </c>
    </row>
    <row r="12" ht="390" customHeight="1">
      <c r="A12" s="8" t="inlineStr">
        <is>
          <t>(continued)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t>
        </is>
      </c>
    </row>
    <row r="14" ht="200" customHeight="1">
      <c r="A14" s="8" t="inlineStr">
        <is>
          <t>(continued)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4">
    <mergeCell ref="A12:H12"/>
    <mergeCell ref="A8:H8"/>
    <mergeCell ref="A14:H14"/>
    <mergeCell ref="A10:H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Zopa Bank Limited — NSFR</t>
        </is>
      </c>
    </row>
    <row r="2">
      <c r="A2" s="2" t="inlineStr">
        <is>
          <t>Zopa Bank Limited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available stable funding</t>
        </is>
      </c>
      <c r="B4" s="6" t="n">
        <v>5761</v>
      </c>
      <c r="C4" s="6" t="n">
        <v>4918</v>
      </c>
      <c r="D4" s="6" t="n">
        <v>3701</v>
      </c>
      <c r="E4" s="6" t="n"/>
      <c r="F4" s="6" t="n"/>
      <c r="G4" s="6" t="n"/>
    </row>
    <row r="5">
      <c r="A5" s="6" t="inlineStr">
        <is>
          <t>Total required stable funding</t>
        </is>
      </c>
      <c r="B5" s="6" t="n">
        <v>2562</v>
      </c>
      <c r="C5" s="6" t="n">
        <v>2162</v>
      </c>
      <c r="D5" s="6" t="n">
        <v>1785</v>
      </c>
      <c r="E5" s="6" t="n"/>
      <c r="F5" s="6" t="n"/>
      <c r="G5" s="6" t="n"/>
    </row>
    <row r="6">
      <c r="A6" s="6" t="inlineStr">
        <is>
          <t>NSFR ratio (%)</t>
        </is>
      </c>
      <c r="B6" s="6" t="inlineStr">
        <is>
          <t>225%</t>
        </is>
      </c>
      <c r="C6" s="6" t="inlineStr">
        <is>
          <t>227%</t>
        </is>
      </c>
      <c r="D6" s="6" t="inlineStr">
        <is>
          <t>207%</t>
        </is>
      </c>
      <c r="E6" s="6" t="inlineStr">
        <is>
          <t>Not applicable – Pillar 3 2022 (Bank KM1, p.14) states NSFR rows 18-20 'are not applicable until 1 January 2023' (PRA PS22/21); see Annual Report basis row below</t>
        </is>
      </c>
      <c r="F6" s="6" t="inlineStr">
        <is>
          <t>Not applicable – Pillar 3 2022 (Bank KM1, p.14) states NSFR rows 18-20 'are not applicable until 1 January 2023' (PRA PS22/21); see Annual Report basis row below</t>
        </is>
      </c>
      <c r="G6" s="6" t="n"/>
    </row>
    <row r="7">
      <c r="A7" s="6" t="inlineStr">
        <is>
          <t>Net Stable Funding Ratio (%) - Annual Report basis (see note)</t>
        </is>
      </c>
      <c r="B7" s="6" t="n"/>
      <c r="C7" s="6" t="n"/>
      <c r="D7" s="6" t="n"/>
      <c r="E7" s="6" t="n"/>
      <c r="F7" s="6" t="inlineStr">
        <is>
          <t>136%</t>
        </is>
      </c>
      <c r="G7" s="6" t="inlineStr">
        <is>
          <t>152%</t>
        </is>
      </c>
    </row>
    <row r="8" ht="65" customHeight="1">
      <c r="A8" s="7" t="inlineStr">
        <is>
          <t>Note: NSFR was not a REQUIRED Pillar 3 disclosure until 1 January 2023 (PRA PS22/21), which is why the template row above starts at FY2023 and marks FY2021/FY2022 'Not applicable'. That is a statement about the disclosure obligation and it stands.
IT IS NOT A STATEMENT ABOUT THE BANK, and this note used to end 'so no FY2017-FY2022 figures exist', which is a different claim and a false one. Corrected 2026-09-18: Zopa published an NSFR voluntarily, before it had to. The Annual Report and Accounts 2021's Financial review 'Liquidity' table, printed p.22, gives a Bank-level Net Stable Funding Ratio of 136% for 2021 and 152% for 2020 (comparative column) - added as the row above. Not required to disclose is not the same as did not disclose.</t>
        </is>
      </c>
    </row>
    <row r="10" ht="390" customHeight="1">
      <c r="A10"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t>
        </is>
      </c>
    </row>
    <row r="12" ht="351" customHeight="1">
      <c r="A12" s="8" t="inlineStr">
        <is>
          <t>(continued)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t>
        </is>
      </c>
    </row>
    <row r="14" ht="200" customHeight="1">
      <c r="A14" s="8" t="inlineStr">
        <is>
          <t>(continued)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4">
    <mergeCell ref="A8:G8"/>
    <mergeCell ref="A14:G14"/>
    <mergeCell ref="A10:G10"/>
    <mergeCell ref="A12:G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Zopa Bank Limited — MREL Ratio</t>
        </is>
      </c>
    </row>
    <row r="2">
      <c r="A2" s="2" t="inlineStr">
        <is>
          <t>Zopa Bank Limited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published – no MREL figure or mention in this year's Pillar 3 Disclosures or Annual Report (text-searched 2026-09-19)</t>
        </is>
      </c>
      <c r="C4" s="6" t="inlineStr">
        <is>
          <t>Not published – no MREL figure or mention in this year's Pillar 3 Disclosures or Annual Report (text-searched 2026-09-19)</t>
        </is>
      </c>
      <c r="D4" s="6" t="inlineStr">
        <is>
          <t>Not published – no MREL figure or mention in this year's Pillar 3 Disclosures or Annual Report (text-searched 2026-09-19)</t>
        </is>
      </c>
      <c r="E4" s="6" t="inlineStr">
        <is>
          <t>Not published – no MREL figure or mention in this year's Pillar 3 Disclosures or Annual Report (text-searched 2026-09-19)</t>
        </is>
      </c>
      <c r="F4" s="6" t="inlineStr">
        <is>
          <t>Not published – no MREL figure or mention in this year's Pillar 3 Disclosures or Annual Report (text-searched 2026-09-19)</t>
        </is>
      </c>
      <c r="G4" s="6" t="inlineStr">
        <is>
          <t>Not published – no MREL figure or mention in this year's Pillar 3 Disclosures or Annual Report (text-searched 2026-09-19)</t>
        </is>
      </c>
      <c r="H4" s="6" t="inlineStr">
        <is>
          <t>Unreached today – no Pillar 3 for this year found (zopa.com 503; CDX of Zopa's DatoCMS folder and cdn.zopa.com: Pillar 3 from FY2020 only; Common Crawl 2019-2022, 3,000+ URLs incl. PDFs: none; 2026-10-07); its AR (OCR) has no MREL</t>
        </is>
      </c>
      <c r="I4" s="6" t="inlineStr">
        <is>
          <t>Unreached today – no Pillar 3 for this year found (zopa.com 503; CDX of Zopa's DatoCMS folder and cdn.zopa.com: Pillar 3 from FY2020 only; Common Crawl 2019-2022, 3,000+ URLs incl. PDFs: none; 2026-10-07); its AR (OCR) has no MREL</t>
        </is>
      </c>
    </row>
    <row r="5" ht="156" customHeight="1">
      <c r="A5" s="7" t="inlineStr">
        <is>
          <t>Note: No MREL disclosure of any kind (numeric or qualitative) was found in Zopa Bank Limited's Annual Reports or Pillar 3 reports for any year reviewed (FY2018-FY2025) - unlike some smaller banks in this workbook series, no report explicitly states an SNCI/below-threshold exemption reason, it is simply absent from every KM1 template and surrounding narrative. FY2017: not applicable (no banking licence that year). GA-020 re-check 2026-09-19: searched for 'MREL' with zero hits - Pillar 3 FY2020 (Bank, 46pp), FY2021 (69pp), FY2022-FY2025 and Annual Reports FY2021-FY2025 (native text); Annual Reports FY2018 and FY2019 (Companies House scans, OCR 150dpi, 872/1,260 occurrences of ' the ' as a richness control). FY2018 and FY2019 stay UNREACHED because no Pillar 3 for those years could be found. File-host check 2026-09-19: Wayback CDX matchType=prefix on datocms-assets.com/23873/ (Zopa's own asset folder, 5,122 rows, 60 PDFs) holds Pillar 3 files for FY2020-FY2025 and the 2025 mid-year only, the earliest asset id being 1608116542 (December 2020); CDX of cdn.zopa.com (the pre-2021 S3 host, 85 rows) holds no Pillar 3; archived zopa.com /about pages of March 2019 link no PDF; the S3 bucket refuses listing. COMMON CRAWL PASS 2026-10-07 (GA-020): queried through the ZipNum index files on data.commoncrawl.org (index.commoncrawl.org was down), domain-wide and UNFILTERED so the search terms could be applied to a full listing rather than trusted to a server-side filter. domain:zopa.com was queried across all 36 crawls 2019-2022; the 22 of them swept unfiltered return 9,212 records and 3,108 distinct URLs - 144 to 736 per crawl - so the archive's reach over this site is deep and the zero that follows is a CONTROLLED NEGATIVE, not a reach limit. Among those 3,108 URLs there is NO Pillar 3 document of any year: the only matches for 'pillar', 'p3', 'disclos', 'capital' or 'regulat' are blog posts about P2P regulation. PDFs ARE captured from this estate - cdn.zopa.com press releases 2014-2016, documents/rate-roulette-...-june-2019.pdf, www.zopa.com/files/Zopa-Fixed-Term-Savings-Terms-and-Conditions.pdf - which is the positive control that the crawler does fetch Zopa's PDFs when it finds them (12 distinct PDFs in all, none a Pillar 3). domain:zopa.co.uk holds only 6 records in total, and domain:zopabank.co.uk returns 0 records across all 36 crawls swept. The 14 zopa.com crawls not listed in full were queried with the search terms applied to their full record sets (4,523 records) and matched nothing either. FY2018 and FY2019 therefore stay UNREACHED on this route too: Common Crawl holds no Pillar 3 for either year.</t>
        </is>
      </c>
    </row>
    <row r="7" ht="377" customHeight="1">
      <c r="A7" s="8" t="inlineStr">
        <is>
          <t>Sources - Zopa Bank Limited basis (Section 4: 'Disclosures for Zopa Bank Limited', within each year's 'Zopa Group' Pillar 3 Disclosures document):
FY2025 &amp; FY2024: Pillar 3 Disclosures, year ended 31 December 2025, p.14-15 (Table 5: UK KM1 - Key metrics table) - https://www.datocms-assets.com/23873/1773842098-12-25-pillar-3-disclosures.pdf
FY2023: Pillar 3 Disclosures, year ended 31 December 2023, p.14-15 (Table 5: UK KM1) - https://www.datocms-assets.com/23873/1715596314-2023-pillar-3-disclosures-final.pdf (cross-checked against its comparative in the 2024 report, p.14 - https://www.datocms-assets.com/23873/1745405670-2024-zopa-bank-pillar-3-disclosures.pdf - matched exactly)
FY2022: Pillar 3 Disclosures, year ended 31 December 2022, p.13-14 (Table 5: UK KM1) - https://www.datocms-assets.com/23873/1696603046-2022-pillar-3-disclosures-final_051023.pdf (cross-checked against its comparative in the 2023 report, p.14 - matched exactly)
FY2021: as the comparative ('Dec-21') column in the Pillar 3 Disclosures, year ended 31 December 2022, p.13-14 (Table 5: UK KM1) - https://www.datocms-assets.com/23873/1696603046-2022-pillar-3-disclosures-final_051023.pdf (Zopa's FY2021 Pillar 3 document is titled/structured as a Group-only disclosure with no equivalent Bank-specific KM1 section, so the FY2022 report's own comparative column is used as the citable Bank-level source for FY2021 instead)
FY2020: two documents, and they say different things - both are used.
  (a) CET1 CAPITAL (the £ amount): note 24(d) 'Capital risk and management', Annual Report and Financial Statements 2020, p.61 - https://www.datocms-assets.com/23873/1658745479-zopa-bank-limited-annual-report-and-financial-statements-2020.pdf. That note prints a CET1 build-up ending 'Total Common equity Tier 1 capital (CET1) 115,439' and, on the line below, 'Total capital resources 115,439'. The two being equal is the Bank's own statement that it held no AT1 and no Tier 2 at 31 December 2020.
  (b) RWA AND RATIOS: FY2020's OWN Pillar 3 edition, 'Zopa Bank Limited - Pillar 3 Disclosures 31 December 2020' (46pp) - https://www.datocms-assets.com/23873/1658745471-2020-zopa-pillar-3-disclosures.pdf. Section 2 'Key ratios', printed p.4, and the 'Capital composition' table, printed p.15, both print, for 2020: CET1 ratio 29.5%, Tier 1 capital ratio 29.5%, Total capital ratio 29.5%, Total risk weighted assets £390.9m (credit 180.9 + operational 210.0 + BCRR '-'), CET1 / Total Tier 1 / Total capital resources all £115.4m. Printed p.4 additionally gives leverage 38.1% and LCR 13,597%, and the 'Leverage ratio common disclosure' on printed p.18 gives Tier 1 capital 115.4, total leverage ratio exposures 303.3 and leverage ratio 38.1%. Read off 300 dpi page images on 2026-10-07; the printed folio equals the PDF sheet index throughout this document (checked on pp.4, 15, 18 and 30).
  (b2) A SECOND PRINTING OF THE SAME 2020 YEAR EXISTS AND DOES NOT AGREE. The Annual Report and Accounts 2021's Financial review, 'Capital position remains very strong' table, printed p.22, carries a BANK-level 2020 COMPARATIVE COLUMN giving RWAs £390.5m, CET1 ratio 29% and leverage ratio 38%, and a companion 'Liquidity' table on the same page gives NSFR 152% and LCR 13,597% for 2020 - https://www.datocms-assets.com/23873/1658745948-zopa-bank-annual-report-2021.pdf. BOTH printings are recorded and NEITHER is adjusted toward the other. The cells carry the Pillar 3 figures because that document is FY2020's own-year edition while the Annual Report column is a later edition's comparative, which is the same ordering this sheet already applies to every other year. The gap is not rounding: 29.5% does not round to 29%, and £390.9m does not round to £390.5m. LCR 13,597% is identical in both documents. NSFR 152% for 2020 and every 2021 figure have only the Annual Report as a source (the FY2021 Pillar 3 is Group-only) and are unaffected.
  WHAT THIS CORRECTS: this note used to read 'no standalone Pillar 3 document existed at this scale' and 'No RWA or capital ratio of any kind was disclosed that year'. The first clause is still unproven either way (zopa.com returned HTTP 503 to every rung of the fetching ladder on 2026-09-18 and the Internet Archive was globally offline, so no document index could be read - an access limit, not a finding). The second clause was simply wrong: it was true of the FY2020 Annual Report, which was the only document searched, and the FY2021 Annual Report published all of it a year later.
FY2019: within note 24(d) 'Capital risk and management' of the Annual Report and Financial Statements 2019, p.54 - https://find-and-update.company-information.service.gov.uk/company/10627575/filing-history/MzI4NjUxOTIyNmFkaXF6a2N4/document?format=pdf&amp;download=0. CET1 capital only (£13,254k, again equal to 'Total capital resources'). NO RWA AND NO CAPITAL RATIO - and unlike FY2020 this was tested properly: that filing is an IMAGE-ONLY SCAN with a 58-character text layer across 58 pages, so a text search of it proves nothing. All 58 pages were rendered at 200 dpi and OCR'd on 2026-09-18; the strings 'risk weighted', 'RWA', 'capital ratio' and 'leverage ratio' appear nowhere in the document, and the FY2020 Annual Report (also an image-only scan, OCR'd the same way) carries no 2019 comparative for them either. Whether a Zopa Group Pillar 3 covering 2019 exists is UNKNOWN - see the access limit noted for FY2020.</t>
        </is>
      </c>
    </row>
    <row r="9" ht="351" customHeight="1">
      <c r="A9" s="8" t="inlineStr">
        <is>
          <t>(continued)
RE-ESTABLISHED INDEPENDENTLY 2026-09-19, and now written into the four FY2019 cells it explains (CET1 Ratio, Tier 1 Ratio, Total Capital Ratio, Total RWAs), which until today stood blank. Pages 50-58 of that filing were re-rendered at 300 dpi and re-OCR'd from scratch rather than re-reading the earlier pass's text: note 24(d) 'Capital risk and management' on printed p.54 runs Share capital 54,160 / Other reserves 1,786 / Accumulated losses (36,308) / Less intangible assets (6,384) to 'Total Common equity Tier 1 capital (CET1) 13,254' and 'Total capital resources 13,254', and the note ENDS there - note 25 'Financial instruments and fair values' begins on the next page. No RWA, no capital ratio, no leverage ratio. Richness control on that OCR: 103 occurrences of ' the ', so the zero hits on 'risk weight', 'RWA', 'capital ratio' and 'leverage' are facts about the document and not about the instrument.
  THE ACCESS LIMIT ON THE INDEX IS UNCHANGED AND IS STILL NOT A FINDING. zopa.com returned HTTP 503 to every rung again on 2026-09-19 - plain curl, -L, --http1.1, browser UA, apex host and plain http:// - with a 91-byte body reading {"Site Unavailable": ...}, i.e. an edge block, so the live document index still cannot be read. Two archive routes were tried instead and neither contradicts anything above: a Wayback CDX sweep of the whole zopa.com domain filtered on 'pillar' returns ZERO rows against a positive control on the same host that returns PDFs freely (40 captured .pdf URLs), and the March 2026 capture of the Bank's own investor-information page links no PDF and never uses the word 'Pillar'. Zopa's Pillar 3 files are served from datocms-assets.com, a CDN shared across that vendor's customers, which is too large to enumerate by CDX [CORRECTED 2026-09-19: Zopa's own folder datocms-assets.com/23873/ enumerates in one prefix query - 5,122 rows, Pillar 3 FY2020-FY2025 only] - so the FY2019 Pillar 3 question is UNREACHED, not answered, and the cells say only what the accounts do and do not print.
  SUPERSEDED 2026-09-19 (GA-020) - FY2019 RATIOS AND RWA FOUND. The Pillar 3 question above is now answered: 'Zopa Bank Limited - Pillar 3 Disclosures 31 December 2020' (46pp, native text) is hosted on datocms-assets.com and was located by web search - https://www.datocms-assets.com/23873/1658745471-2020-zopa-pillar-3-disclosures.pdf. Its 2019 comparative column prints CET1 ratio 25.1%, Tier 1 capital ratio 25.1%, Total capital ratio 25.1% and Risk weighted assets £52.9m (p.4 'Key ratios'; repeated on p.15 'Capital composition', where Total risk weighted assets 52.9 = credit 17.6 + operational 21.4 + BCRR 13.9, and CET1 13.3). Read off page images, not OCR. These now fill the four FY2019 cells that previously said 'Not published' on the strength of the Annual Report alone. The same p.4 table also gives 2019 leverage ratio 54.3% and LCR 10,059% - not transcribed here, because neither sheet has a row on that basis. SOURCE DISCREPANCY VERIFIED FROM PAGE IMAGES 2026-09-20: the FY2020 Pillar 3's own-year 2020 column prints RWA £390.9m and CET1 ratio 29.5%, while the FY2021 Annual Report comparative used for the main FY2020 cells prints £390.5m and 29%. Both source statements have now been read from rendered page images; the workbook retains the Annual Report comparative values and documents the Pillar 3 values here rather than silently choosing between them. The FY2020 Pillar 3's 2019 comparative values (including leverage 54.3% and LCR 10,059%) are independently legible on printed p.4. No FY2018 or FY2019 Pillar 3 edition was found.
  RE-READ AND RESOLVED 2026-10-07. The whole FY2020 Pillar 3 was re-fetched (HTTP 200, Content-Type application/pdf, %PDF-1.7 magic bytes) and pp.4, 15, 18 and 30 re-rendered at 300 dpi and read by eye. The 2019 comparative column is confirmed on all four: CET1/Tier 1/Total capital ratio 25.1%, Total risk weighted assets £52.9m (credit 17.6 + operational 21.4 + BCRR 13.9), CET1 / Tier 1 / Total capital resources £13.3m, leverage ratio 54.3% (p.18 row 22, on Tier 1 capital 13.3 over total leverage ratio exposures 24.5) and LCR 10,059% (p.30, on HQLA £0.2m over a total net cash outflow printed as a DASH). The 2019 leverage and LCR figures ARE now transcribed, on the year-end rows of the Leverage Ratio and LCR sheets - the sentence above saying they were 'not transcribed here' is superseded. Two page citations given by the earlier pass were off by one and are corrected here and on those two sheets: the leverage table is printed p.18 (not 'PDF p.17') and the liquidity table printed p.30 (not 'PDF p.29').
FY2018: within the Strategic Report's KPI table and note (unaudited Pillar 1 figures, explicitly marked as such and 'not covered by the external auditor's opinion') of the Annual Report and Financial Statements 2018, p.4 and p.35 - https://find-and-update.company-information.service.gov.uk/company/10627575/filing-history/MzI0NjEzNjE0OWFkaXF6a2N4/document?format=pdf&amp;download=0. This is the first year any RWA/capital ratio was disclosed (the Bank's first restricted banking licence was granted in December 2018).
FY2017: not applicable - Zopa Financial Services Limited had no banking licence and no regulatory capital reporting of any kind that year (see HISTORICAL FLOOR NOTE on the Balance Sheet sheet).</t>
        </is>
      </c>
    </row>
  </sheetData>
  <mergeCells count="3">
    <mergeCell ref="A5:I5"/>
    <mergeCell ref="A9:I9"/>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2026-10-10T15:08:45Z</dcterms:created>
  <dcterms:modified xmlns:dcterms="http://purl.org/dc/terms/" xmlns:xsi="http://www.w3.org/2001/XMLSchema-instance" xsi:type="dcterms:W3CDTF">2026-10-10T15:08:46Z</dcterms:modified>
</cp:coreProperties>
</file>