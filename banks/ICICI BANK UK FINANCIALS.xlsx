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A5D67"/>
        <bgColor rgb="002A5D6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ICICI Bank UK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'Overview'!Q6</f>
            </strRef>
          </tx>
          <spPr>
            <a:ln xmlns:a="http://schemas.openxmlformats.org/drawingml/2006/main">
              <a:prstDash val="solid"/>
            </a:ln>
          </spPr>
          <cat>
            <numRef>
              <f>'Overview'!$R$5:$AD$5</f>
            </numRef>
          </cat>
          <val>
            <numRef>
              <f>'Overview'!$R$6:$AD$6</f>
            </numRef>
          </val>
        </ser>
        <ser>
          <idx val="1"/>
          <order val="1"/>
          <tx>
            <strRef>
              <f>'Overview'!Q7</f>
            </strRef>
          </tx>
          <spPr>
            <a:ln xmlns:a="http://schemas.openxmlformats.org/drawingml/2006/main">
              <a:prstDash val="solid"/>
            </a:ln>
          </spPr>
          <cat>
            <numRef>
              <f>'Overview'!$R$5:$AD$5</f>
            </numRef>
          </cat>
          <val>
            <numRef>
              <f>'Overview'!$R$7:$AD$7</f>
            </numRef>
          </val>
        </ser>
        <ser>
          <idx val="2"/>
          <order val="2"/>
          <tx>
            <strRef>
              <f>'Overview'!Q8</f>
            </strRef>
          </tx>
          <spPr>
            <a:ln xmlns:a="http://schemas.openxmlformats.org/drawingml/2006/main">
              <a:prstDash val="solid"/>
            </a:ln>
          </spPr>
          <cat>
            <numRef>
              <f>'Overview'!$R$5:$AD$5</f>
            </numRef>
          </cat>
          <val>
            <numRef>
              <f>'Overview'!$R$8:$AD$8</f>
            </numRef>
          </val>
        </ser>
        <ser>
          <idx val="3"/>
          <order val="3"/>
          <tx>
            <strRef>
              <f>'Overview'!Q9</f>
            </strRef>
          </tx>
          <spPr>
            <a:ln xmlns:a="http://schemas.openxmlformats.org/drawingml/2006/main">
              <a:prstDash val="solid"/>
            </a:ln>
          </spPr>
          <cat>
            <numRef>
              <f>'Overview'!$R$5:$AD$5</f>
            </numRef>
          </cat>
          <val>
            <numRef>
              <f>'Overview'!$R$9:$AD$9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ICICI Bank UK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'Overview'!AG13</f>
            </strRef>
          </tx>
          <spPr>
            <a:ln xmlns:a="http://schemas.openxmlformats.org/drawingml/2006/main">
              <a:prstDash val="solid"/>
            </a:ln>
          </spPr>
          <cat>
            <numRef>
              <f>'Overview'!$AH$12:$AT$12</f>
            </numRef>
          </cat>
          <val>
            <numRef>
              <f>'Overview'!$AH$13:$AT$13</f>
            </numRef>
          </val>
        </ser>
        <ser>
          <idx val="1"/>
          <order val="1"/>
          <tx>
            <strRef>
              <f>'Overview'!AG14</f>
            </strRef>
          </tx>
          <spPr>
            <a:ln xmlns:a="http://schemas.openxmlformats.org/drawingml/2006/main">
              <a:prstDash val="solid"/>
            </a:ln>
          </spPr>
          <cat>
            <numRef>
              <f>'Overview'!$AH$12:$AT$12</f>
            </numRef>
          </cat>
          <val>
            <numRef>
              <f>'Overview'!$AH$14:$AT$14</f>
            </numRef>
          </val>
        </ser>
        <ser>
          <idx val="2"/>
          <order val="2"/>
          <tx>
            <strRef>
              <f>'Overview'!AG15</f>
            </strRef>
          </tx>
          <spPr>
            <a:ln xmlns:a="http://schemas.openxmlformats.org/drawingml/2006/main">
              <a:prstDash val="solid"/>
            </a:ln>
          </spPr>
          <cat>
            <numRef>
              <f>'Overview'!$AH$12:$AT$12</f>
            </numRef>
          </cat>
          <val>
            <numRef>
              <f>'Overview'!$AH$15:$AT$15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ICICI Bank UK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'Overview'!AW19</f>
            </strRef>
          </tx>
          <spPr>
            <a:ln xmlns:a="http://schemas.openxmlformats.org/drawingml/2006/main">
              <a:prstDash val="solid"/>
            </a:ln>
          </spPr>
          <cat>
            <numRef>
              <f>'Overview'!$AX$18:$BJ$18</f>
            </numRef>
          </cat>
          <val>
            <numRef>
              <f>'Overview'!$AX$19:$BJ$19</f>
            </numRef>
          </val>
        </ser>
        <ser>
          <idx val="1"/>
          <order val="1"/>
          <tx>
            <strRef>
              <f>'Overview'!AW20</f>
            </strRef>
          </tx>
          <spPr>
            <a:ln xmlns:a="http://schemas.openxmlformats.org/drawingml/2006/main">
              <a:prstDash val="solid"/>
            </a:ln>
          </spPr>
          <cat>
            <numRef>
              <f>'Overview'!$AX$18:$BJ$18</f>
            </numRef>
          </cat>
          <val>
            <numRef>
              <f>'Overview'!$AX$20:$BJ$20</f>
            </numRef>
          </val>
        </ser>
        <ser>
          <idx val="2"/>
          <order val="2"/>
          <tx>
            <strRef>
              <f>'Overview'!AW21</f>
            </strRef>
          </tx>
          <spPr>
            <a:ln xmlns:a="http://schemas.openxmlformats.org/drawingml/2006/main">
              <a:prstDash val="solid"/>
            </a:ln>
          </spPr>
          <cat>
            <numRef>
              <f>'Overview'!$AX$18:$BJ$18</f>
            </numRef>
          </cat>
          <val>
            <numRef>
              <f>'Overview'!$AX$21:$BJ$21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ICICI Bank UK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'Overview'!BM6</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'Overview'!$BN$6:$BZ$6</f>
            </numRef>
          </val>
          <smooth val="0"/>
        </ser>
        <ser>
          <idx val="1"/>
          <order val="1"/>
          <tx>
            <strRef>
              <f>'Overview'!BM7</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'Overview'!$BN$7:$BZ$7</f>
            </numRef>
          </val>
          <smooth val="0"/>
        </ser>
        <ser>
          <idx val="2"/>
          <order val="2"/>
          <tx>
            <strRef>
              <f>'Overview'!BM8</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'Overview'!$BN$8:$BZ$8</f>
            </numRef>
          </val>
          <smooth val="0"/>
        </ser>
        <ser>
          <idx val="3"/>
          <order val="3"/>
          <tx>
            <strRef>
              <f>'Overview'!BM9</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'Overview'!$BN$9:$BZ$9</f>
            </numRef>
          </val>
          <smooth val="0"/>
        </ser>
        <ser>
          <idx val="4"/>
          <order val="4"/>
          <tx>
            <strRef>
              <f>'Overview'!BM10</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'Overview'!$BN$10:$BZ$10</f>
            </numRef>
          </val>
          <smooth val="0"/>
        </ser>
        <ser>
          <idx val="5"/>
          <order val="5"/>
          <tx>
            <strRef>
              <f>'Overview'!BM11</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'Overview'!$BN$11:$BZ$11</f>
            </numRef>
          </val>
          <smooth val="0"/>
        </ser>
        <ser>
          <idx val="6"/>
          <order val="6"/>
          <tx>
            <strRef>
              <f>'Overview'!BM12</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'Overview'!$BN$12:$BZ$12</f>
            </numRef>
          </val>
          <smooth val="0"/>
        </ser>
        <ser>
          <idx val="7"/>
          <order val="7"/>
          <tx>
            <strRef>
              <f>'Overview'!BM13</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'Overview'!$BN$13:$BZ$13</f>
            </numRef>
          </val>
          <smooth val="0"/>
        </ser>
        <ser>
          <idx val="8"/>
          <order val="8"/>
          <tx>
            <strRef>
              <f>'Overview'!BM14</f>
            </strRef>
          </tx>
          <spPr>
            <a:ln xmlns:a="http://schemas.openxmlformats.org/drawingml/2006/main">
              <a:prstDash val="solid"/>
            </a:ln>
          </spPr>
          <marker>
            <symbol val="none"/>
            <spPr>
              <a:ln xmlns:a="http://schemas.openxmlformats.org/drawingml/2006/main">
                <a:prstDash val="solid"/>
              </a:ln>
            </spPr>
          </marker>
          <cat>
            <numRef>
              <f>'Overview'!$BN$5:$BZ$5</f>
            </numRef>
          </cat>
          <val>
            <numRef>
              <f>'Overview'!$BN$14:$BZ$14</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Z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s>
  <sheetData>
    <row r="1">
      <c r="A1" s="1" t="inlineStr">
        <is>
          <t>ICICI Bank UK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(USD'000)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K5" s="4" t="inlineStr">
        <is>
          <t>FY2017</t>
        </is>
      </c>
      <c r="L5" s="4" t="inlineStr">
        <is>
          <t>FY2016</t>
        </is>
      </c>
      <c r="M5" s="4" t="inlineStr">
        <is>
          <t>FY2015</t>
        </is>
      </c>
      <c r="N5" s="4" t="inlineStr">
        <is>
          <t>FY2014</t>
        </is>
      </c>
      <c r="R5" t="inlineStr">
        <is>
          <t>FY2014</t>
        </is>
      </c>
      <c r="S5" t="inlineStr">
        <is>
          <t>FY2015</t>
        </is>
      </c>
      <c r="T5" t="inlineStr">
        <is>
          <t>FY2016</t>
        </is>
      </c>
      <c r="U5" t="inlineStr">
        <is>
          <t>FY2017</t>
        </is>
      </c>
      <c r="V5" t="inlineStr">
        <is>
          <t>FY2018</t>
        </is>
      </c>
      <c r="W5" t="inlineStr">
        <is>
          <t>FY2019</t>
        </is>
      </c>
      <c r="X5" t="inlineStr">
        <is>
          <t>FY2020</t>
        </is>
      </c>
      <c r="Y5" t="inlineStr">
        <is>
          <t>FY2021</t>
        </is>
      </c>
      <c r="Z5" t="inlineStr">
        <is>
          <t>FY2022</t>
        </is>
      </c>
      <c r="AA5" t="inlineStr">
        <is>
          <t>FY2023</t>
        </is>
      </c>
      <c r="AB5" t="inlineStr">
        <is>
          <t>FY2024</t>
        </is>
      </c>
      <c r="AC5" t="inlineStr">
        <is>
          <t>FY2025</t>
        </is>
      </c>
      <c r="AD5" t="inlineStr">
        <is>
          <t>FY2026</t>
        </is>
      </c>
      <c r="BN5" t="inlineStr">
        <is>
          <t>FY2014</t>
        </is>
      </c>
      <c r="BO5" t="inlineStr">
        <is>
          <t>FY2015</t>
        </is>
      </c>
      <c r="BP5" t="inlineStr">
        <is>
          <t>FY2016</t>
        </is>
      </c>
      <c r="BQ5" t="inlineStr">
        <is>
          <t>FY2017</t>
        </is>
      </c>
      <c r="BR5" t="inlineStr">
        <is>
          <t>FY2018</t>
        </is>
      </c>
      <c r="BS5" t="inlineStr">
        <is>
          <t>FY2019</t>
        </is>
      </c>
      <c r="BT5" t="inlineStr">
        <is>
          <t>FY2020</t>
        </is>
      </c>
      <c r="BU5" t="inlineStr">
        <is>
          <t>FY2021</t>
        </is>
      </c>
      <c r="BV5" t="inlineStr">
        <is>
          <t>FY2022</t>
        </is>
      </c>
      <c r="BW5" t="inlineStr">
        <is>
          <t>FY2023</t>
        </is>
      </c>
      <c r="BX5" t="inlineStr">
        <is>
          <t>FY2024</t>
        </is>
      </c>
      <c r="BY5" t="inlineStr">
        <is>
          <t>FY2025</t>
        </is>
      </c>
      <c r="BZ5" t="inlineStr">
        <is>
          <t>FY2026</t>
        </is>
      </c>
    </row>
    <row r="6">
      <c r="A6" s="5" t="inlineStr">
        <is>
          <t>Total assets</t>
        </is>
      </c>
      <c r="B6" s="5" t="n">
        <v>2908251</v>
      </c>
      <c r="C6" s="5" t="n">
        <v>2421613</v>
      </c>
      <c r="D6" s="5" t="n">
        <v>2203260</v>
      </c>
      <c r="E6" s="5" t="n">
        <v>2142060</v>
      </c>
      <c r="F6" s="5" t="n">
        <v>2241973</v>
      </c>
      <c r="G6" s="5" t="n">
        <v>2956754</v>
      </c>
      <c r="H6" s="5" t="n">
        <v>3540684</v>
      </c>
      <c r="I6" s="5" t="n">
        <v>3840160</v>
      </c>
      <c r="J6" s="5" t="n">
        <v>3884340</v>
      </c>
      <c r="K6" s="5" t="n">
        <v>3479766</v>
      </c>
      <c r="L6" s="5" t="n">
        <v>4603257</v>
      </c>
      <c r="M6" s="5" t="n">
        <v>4129806</v>
      </c>
      <c r="N6" s="5" t="n">
        <v>4471154</v>
      </c>
      <c r="Q6" t="inlineStr">
        <is>
          <t>Total assets</t>
        </is>
      </c>
      <c r="R6" t="n">
        <v>4471154</v>
      </c>
      <c r="S6" t="n">
        <v>4129806</v>
      </c>
      <c r="T6" t="n">
        <v>4603257</v>
      </c>
      <c r="U6" t="n">
        <v>3479766</v>
      </c>
      <c r="V6" t="n">
        <v>3884340</v>
      </c>
      <c r="W6" t="n">
        <v>3840160</v>
      </c>
      <c r="X6" t="n">
        <v>3540684</v>
      </c>
      <c r="Y6" t="n">
        <v>2956754</v>
      </c>
      <c r="Z6" t="n">
        <v>2241973</v>
      </c>
      <c r="AA6" t="n">
        <v>2142060</v>
      </c>
      <c r="AB6" t="n">
        <v>2203260</v>
      </c>
      <c r="AC6" t="n">
        <v>2421613</v>
      </c>
      <c r="AD6" t="n">
        <v>2908251</v>
      </c>
      <c r="BM6" t="inlineStr">
        <is>
          <t>CET1 Ratio</t>
        </is>
      </c>
      <c r="BN6" t="n">
        <v>16.7</v>
      </c>
      <c r="BO6" t="n">
        <v>14.6</v>
      </c>
      <c r="BP6" t="n">
        <v>13.1</v>
      </c>
      <c r="BQ6" t="n">
        <v>15.53</v>
      </c>
      <c r="BR6" t="n">
        <v>13.97</v>
      </c>
      <c r="BS6" t="n">
        <v>12.93</v>
      </c>
      <c r="BT6" t="n">
        <v>14.99</v>
      </c>
      <c r="BU6" t="n">
        <v>23.8</v>
      </c>
      <c r="BV6" t="n">
        <v>17.79</v>
      </c>
      <c r="BW6" t="n">
        <v>21.54</v>
      </c>
      <c r="BX6" t="n">
        <v>20.14</v>
      </c>
      <c r="BY6" t="n">
        <v>19.57</v>
      </c>
      <c r="BZ6" t="n">
        <v>17.07</v>
      </c>
    </row>
    <row r="7">
      <c r="A7" s="5" t="inlineStr">
        <is>
          <t>Loans and advances to customers</t>
        </is>
      </c>
      <c r="B7" s="5" t="n">
        <v>1303357</v>
      </c>
      <c r="C7" s="5" t="n">
        <v>964471</v>
      </c>
      <c r="D7" s="5" t="n">
        <v>888857</v>
      </c>
      <c r="E7" s="5" t="n">
        <v>899505</v>
      </c>
      <c r="F7" s="5" t="n">
        <v>1182895</v>
      </c>
      <c r="G7" s="5" t="n">
        <v>1522138</v>
      </c>
      <c r="H7" s="5" t="n">
        <v>2074527</v>
      </c>
      <c r="I7" s="5" t="n">
        <v>2423180</v>
      </c>
      <c r="J7" s="5" t="n">
        <v>2365651</v>
      </c>
      <c r="K7" s="5" t="n">
        <v>2332132</v>
      </c>
      <c r="L7" s="5" t="n">
        <v>2962535</v>
      </c>
      <c r="M7" s="5" t="n">
        <v>2878811</v>
      </c>
      <c r="N7" s="5" t="n">
        <v>2749136</v>
      </c>
      <c r="Q7" t="inlineStr">
        <is>
          <t>Loans and advances to customers</t>
        </is>
      </c>
      <c r="R7" t="n">
        <v>2749136</v>
      </c>
      <c r="S7" t="n">
        <v>2878811</v>
      </c>
      <c r="T7" t="n">
        <v>2962535</v>
      </c>
      <c r="U7" t="n">
        <v>2332132</v>
      </c>
      <c r="V7" t="n">
        <v>2365651</v>
      </c>
      <c r="W7" t="n">
        <v>2423180</v>
      </c>
      <c r="X7" t="n">
        <v>2074527</v>
      </c>
      <c r="Y7" t="n">
        <v>1522138</v>
      </c>
      <c r="Z7" t="n">
        <v>1182895</v>
      </c>
      <c r="AA7" t="n">
        <v>899505</v>
      </c>
      <c r="AB7" t="n">
        <v>888857</v>
      </c>
      <c r="AC7" t="n">
        <v>964471</v>
      </c>
      <c r="AD7" t="n">
        <v>1303357</v>
      </c>
      <c r="BM7" t="inlineStr">
        <is>
          <t>Tier 1 Ratio</t>
        </is>
      </c>
      <c r="BN7" t="n">
        <v>16.7</v>
      </c>
      <c r="BO7" t="n">
        <v>14.6</v>
      </c>
      <c r="BP7" t="n">
        <v>13.1</v>
      </c>
      <c r="BQ7" t="n">
        <v>15.53</v>
      </c>
      <c r="BR7" t="n">
        <v>13.97</v>
      </c>
      <c r="BS7" t="n">
        <v>12.93</v>
      </c>
      <c r="BT7" t="n">
        <v>14.99</v>
      </c>
      <c r="BU7" t="n">
        <v>23.8</v>
      </c>
      <c r="BV7" t="n">
        <v>17.79</v>
      </c>
      <c r="BW7" t="n">
        <v>21.54</v>
      </c>
      <c r="BX7" t="n">
        <v>20.14</v>
      </c>
      <c r="BY7" t="n">
        <v>19.57</v>
      </c>
      <c r="BZ7" t="n">
        <v>17.07</v>
      </c>
    </row>
    <row r="8">
      <c r="A8" s="5" t="inlineStr">
        <is>
          <t>Customer accounts</t>
        </is>
      </c>
      <c r="B8" s="5" t="n">
        <v>2263521</v>
      </c>
      <c r="C8" s="5" t="n">
        <v>1901625</v>
      </c>
      <c r="D8" s="5" t="n">
        <v>1668596</v>
      </c>
      <c r="E8" s="5" t="n">
        <v>1617438</v>
      </c>
      <c r="F8" s="5" t="n">
        <v>1541957</v>
      </c>
      <c r="G8" s="5" t="n">
        <v>1957458</v>
      </c>
      <c r="H8" s="5" t="n">
        <v>2042228</v>
      </c>
      <c r="I8" s="5" t="n">
        <v>2140798</v>
      </c>
      <c r="J8" s="5" t="n">
        <v>1748820</v>
      </c>
      <c r="K8" s="5" t="n">
        <v>1648588</v>
      </c>
      <c r="L8" s="5" t="n">
        <v>2466866</v>
      </c>
      <c r="M8" s="5" t="n">
        <v>2284686</v>
      </c>
      <c r="N8" s="5" t="n">
        <v>2533259</v>
      </c>
      <c r="Q8" t="inlineStr">
        <is>
          <t>Customer accounts</t>
        </is>
      </c>
      <c r="R8" t="n">
        <v>2533259</v>
      </c>
      <c r="S8" t="n">
        <v>2284686</v>
      </c>
      <c r="T8" t="n">
        <v>2466866</v>
      </c>
      <c r="U8" t="n">
        <v>1648588</v>
      </c>
      <c r="V8" t="n">
        <v>1748820</v>
      </c>
      <c r="W8" t="n">
        <v>2140798</v>
      </c>
      <c r="X8" t="n">
        <v>2042228</v>
      </c>
      <c r="Y8" t="n">
        <v>1957458</v>
      </c>
      <c r="Z8" t="n">
        <v>1541957</v>
      </c>
      <c r="AA8" t="n">
        <v>1617438</v>
      </c>
      <c r="AB8" t="n">
        <v>1668596</v>
      </c>
      <c r="AC8" t="n">
        <v>1901625</v>
      </c>
      <c r="AD8" t="n">
        <v>2263521</v>
      </c>
      <c r="BM8" t="inlineStr">
        <is>
          <t>Total Capital Ratio</t>
        </is>
      </c>
      <c r="BN8" t="n">
        <v>21.8</v>
      </c>
      <c r="BO8" t="n">
        <v>19.2</v>
      </c>
      <c r="BP8" t="n">
        <v>16.7</v>
      </c>
      <c r="BQ8" t="n">
        <v>18.36</v>
      </c>
      <c r="BR8" t="n">
        <v>16.54</v>
      </c>
      <c r="BS8" t="n">
        <v>16.84</v>
      </c>
      <c r="BT8" t="n">
        <v>18.6</v>
      </c>
      <c r="BU8" t="n">
        <v>28.27</v>
      </c>
      <c r="BV8" t="n">
        <v>22.96</v>
      </c>
      <c r="BW8" t="n">
        <v>27.12</v>
      </c>
      <c r="BX8" t="n">
        <v>23.37</v>
      </c>
      <c r="BY8" t="n">
        <v>22.6</v>
      </c>
      <c r="BZ8" t="n">
        <v>19.67</v>
      </c>
    </row>
    <row r="9">
      <c r="A9" s="5" t="inlineStr">
        <is>
          <t>Total Equity</t>
        </is>
      </c>
      <c r="B9" s="5" t="n">
        <v>357782</v>
      </c>
      <c r="C9" s="5" t="n">
        <v>351941</v>
      </c>
      <c r="D9" s="5" t="n">
        <v>337469</v>
      </c>
      <c r="E9" s="5" t="n">
        <v>318343</v>
      </c>
      <c r="F9" s="5" t="n">
        <v>315872</v>
      </c>
      <c r="G9" s="5" t="n">
        <v>506741</v>
      </c>
      <c r="H9" s="5" t="n">
        <v>453332</v>
      </c>
      <c r="I9" s="5" t="n">
        <v>454331</v>
      </c>
      <c r="J9" s="5" t="n">
        <v>506752</v>
      </c>
      <c r="K9" s="5" t="n">
        <v>533230</v>
      </c>
      <c r="L9" s="5" t="n">
        <v>545527</v>
      </c>
      <c r="M9" s="5" t="n">
        <v>545428</v>
      </c>
      <c r="N9" s="5" t="n">
        <v>629049</v>
      </c>
      <c r="Q9" t="inlineStr">
        <is>
          <t>Total Equity</t>
        </is>
      </c>
      <c r="R9" t="n">
        <v>629049</v>
      </c>
      <c r="S9" t="n">
        <v>545428</v>
      </c>
      <c r="T9" t="n">
        <v>545527</v>
      </c>
      <c r="U9" t="n">
        <v>533230</v>
      </c>
      <c r="V9" t="n">
        <v>506752</v>
      </c>
      <c r="W9" t="n">
        <v>454331</v>
      </c>
      <c r="X9" t="n">
        <v>453332</v>
      </c>
      <c r="Y9" t="n">
        <v>506741</v>
      </c>
      <c r="Z9" t="n">
        <v>315872</v>
      </c>
      <c r="AA9" t="n">
        <v>318343</v>
      </c>
      <c r="AB9" t="n">
        <v>337469</v>
      </c>
      <c r="AC9" t="n">
        <v>351941</v>
      </c>
      <c r="AD9" t="n">
        <v>357782</v>
      </c>
      <c r="BM9" t="inlineStr">
        <is>
          <t>Leverage Ratio (UK KM1 basis, excl. central banks - FY2022 onward)</t>
        </is>
      </c>
      <c r="BV9" t="n">
        <v>14.05</v>
      </c>
      <c r="BW9" t="n">
        <v>15.43</v>
      </c>
      <c r="BX9" t="n">
        <v>14.92</v>
      </c>
      <c r="BY9" t="n">
        <v>14.18</v>
      </c>
      <c r="BZ9" t="n">
        <v>11.54</v>
      </c>
    </row>
    <row r="10">
      <c r="BM10" t="inlineStr">
        <is>
          <t>Leverage Ratio (CRR LRCom basis, full exposure incl. central banks - FY2017-FY2021)</t>
        </is>
      </c>
      <c r="BQ10" t="n">
        <v>13.97</v>
      </c>
      <c r="BR10" t="n">
        <v>11.7</v>
      </c>
      <c r="BS10" t="n">
        <v>10.7</v>
      </c>
      <c r="BT10" t="n">
        <v>11.8</v>
      </c>
      <c r="BU10" t="n">
        <v>15.7</v>
      </c>
    </row>
    <row r="11">
      <c r="A11" s="3" t="inlineStr">
        <is>
          <t>Profit &amp; Loss Summary (USD'000)</t>
        </is>
      </c>
      <c r="BM11" t="inlineStr">
        <is>
          <t>LCR (UK KM1 12-month average - FY2022 onward)</t>
        </is>
      </c>
      <c r="BV11" t="n">
        <v>226.9</v>
      </c>
      <c r="BW11" t="n">
        <v>226.83</v>
      </c>
      <c r="BX11" t="n">
        <v>240.2</v>
      </c>
      <c r="BY11" t="n">
        <v>190.08</v>
      </c>
      <c r="BZ11" t="n">
        <v>169.42</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K12" s="4" t="inlineStr">
        <is>
          <t>FY2017</t>
        </is>
      </c>
      <c r="L12" s="4" t="inlineStr">
        <is>
          <t>FY2016</t>
        </is>
      </c>
      <c r="M12" s="4" t="inlineStr">
        <is>
          <t>FY2015</t>
        </is>
      </c>
      <c r="N12" s="4" t="inlineStr">
        <is>
          <t>FY2014</t>
        </is>
      </c>
      <c r="AH12" t="inlineStr">
        <is>
          <t>FY2014</t>
        </is>
      </c>
      <c r="AI12" t="inlineStr">
        <is>
          <t>FY2015</t>
        </is>
      </c>
      <c r="AJ12" t="inlineStr">
        <is>
          <t>FY2016</t>
        </is>
      </c>
      <c r="AK12" t="inlineStr">
        <is>
          <t>FY2017</t>
        </is>
      </c>
      <c r="AL12" t="inlineStr">
        <is>
          <t>FY2018</t>
        </is>
      </c>
      <c r="AM12" t="inlineStr">
        <is>
          <t>FY2019</t>
        </is>
      </c>
      <c r="AN12" t="inlineStr">
        <is>
          <t>FY2020</t>
        </is>
      </c>
      <c r="AO12" t="inlineStr">
        <is>
          <t>FY2021</t>
        </is>
      </c>
      <c r="AP12" t="inlineStr">
        <is>
          <t>FY2022</t>
        </is>
      </c>
      <c r="AQ12" t="inlineStr">
        <is>
          <t>FY2023</t>
        </is>
      </c>
      <c r="AR12" t="inlineStr">
        <is>
          <t>FY2024</t>
        </is>
      </c>
      <c r="AS12" t="inlineStr">
        <is>
          <t>FY2025</t>
        </is>
      </c>
      <c r="AT12" t="inlineStr">
        <is>
          <t>FY2026</t>
        </is>
      </c>
      <c r="BM12" t="inlineStr">
        <is>
          <t>LCR (point-in-time at 31 March)</t>
        </is>
      </c>
      <c r="BR12" t="n">
        <v>203.9</v>
      </c>
      <c r="BS12" t="n">
        <v>225</v>
      </c>
      <c r="BT12" t="n">
        <v>183.3</v>
      </c>
      <c r="BU12" t="n">
        <v>329.5</v>
      </c>
      <c r="BV12" t="n">
        <v>245.23</v>
      </c>
      <c r="BW12" t="n">
        <v>346.1</v>
      </c>
      <c r="BX12" t="n">
        <v>221.17</v>
      </c>
      <c r="BY12" t="n">
        <v>216.84</v>
      </c>
      <c r="BZ12" t="n">
        <v>171.83</v>
      </c>
    </row>
    <row r="13">
      <c r="A13" s="5" t="inlineStr">
        <is>
          <t>Total revenue / Net Income</t>
        </is>
      </c>
      <c r="B13" s="5" t="n">
        <v>90300</v>
      </c>
      <c r="C13" s="5" t="n">
        <v>87322</v>
      </c>
      <c r="D13" s="5" t="n">
        <v>85691</v>
      </c>
      <c r="E13" s="5" t="n">
        <v>60052</v>
      </c>
      <c r="F13" s="5" t="n">
        <v>54457</v>
      </c>
      <c r="G13" s="5" t="n">
        <v>62577</v>
      </c>
      <c r="H13" s="5" t="n">
        <v>79310</v>
      </c>
      <c r="I13" s="5" t="n">
        <v>79842</v>
      </c>
      <c r="J13" s="5" t="n">
        <v>83224</v>
      </c>
      <c r="K13" s="5" t="n">
        <v>78890</v>
      </c>
      <c r="L13" s="5" t="n">
        <v>87637</v>
      </c>
      <c r="M13" s="5" t="n">
        <v>104627</v>
      </c>
      <c r="N13" s="5" t="n">
        <v>90155</v>
      </c>
      <c r="AG13" t="inlineStr">
        <is>
          <t>Total revenue / Net Income</t>
        </is>
      </c>
      <c r="AH13" t="n">
        <v>90155</v>
      </c>
      <c r="AI13" t="n">
        <v>104627</v>
      </c>
      <c r="AJ13" t="n">
        <v>87637</v>
      </c>
      <c r="AK13" t="n">
        <v>78890</v>
      </c>
      <c r="AL13" t="n">
        <v>83224</v>
      </c>
      <c r="AM13" t="n">
        <v>79842</v>
      </c>
      <c r="AN13" t="n">
        <v>79310</v>
      </c>
      <c r="AO13" t="n">
        <v>62577</v>
      </c>
      <c r="AP13" t="n">
        <v>54457</v>
      </c>
      <c r="AQ13" t="n">
        <v>60052</v>
      </c>
      <c r="AR13" t="n">
        <v>85691</v>
      </c>
      <c r="AS13" t="n">
        <v>87322</v>
      </c>
      <c r="AT13" t="n">
        <v>90300</v>
      </c>
      <c r="BM13" t="inlineStr">
        <is>
          <t>NSFR (UK KM1 four-quarter average - FY2023 onward)</t>
        </is>
      </c>
      <c r="BW13" t="n">
        <v>147.72</v>
      </c>
      <c r="BX13" t="n">
        <v>159.2</v>
      </c>
      <c r="BY13" t="n">
        <v>151.03</v>
      </c>
      <c r="BZ13" t="n">
        <v>136.53</v>
      </c>
    </row>
    <row r="14">
      <c r="A14" s="5" t="inlineStr">
        <is>
          <t>Administrative expenses</t>
        </is>
      </c>
      <c r="B14" s="5" t="n">
        <v>-57704</v>
      </c>
      <c r="C14" s="5" t="n">
        <v>-51266</v>
      </c>
      <c r="D14" s="5" t="n">
        <v>-46758</v>
      </c>
      <c r="E14" s="5" t="n">
        <v>-37348</v>
      </c>
      <c r="F14" s="5" t="n">
        <v>-38960</v>
      </c>
      <c r="G14" s="5" t="n">
        <v>-35531</v>
      </c>
      <c r="H14" s="5" t="n">
        <v>-37402</v>
      </c>
      <c r="I14" s="5" t="n">
        <v>-33314</v>
      </c>
      <c r="J14" s="5" t="n">
        <v>-34135</v>
      </c>
      <c r="K14" s="5" t="n">
        <v>-33050</v>
      </c>
      <c r="L14" s="5" t="n">
        <v>-33142</v>
      </c>
      <c r="M14" s="5" t="n">
        <v>-37259</v>
      </c>
      <c r="N14" s="5" t="n">
        <v>-35318</v>
      </c>
      <c r="AG14" t="inlineStr">
        <is>
          <t>Administrative expenses</t>
        </is>
      </c>
      <c r="AH14" t="n">
        <v>-35318</v>
      </c>
      <c r="AI14" t="n">
        <v>-37259</v>
      </c>
      <c r="AJ14" t="n">
        <v>-33142</v>
      </c>
      <c r="AK14" t="n">
        <v>-33050</v>
      </c>
      <c r="AL14" t="n">
        <v>-34135</v>
      </c>
      <c r="AM14" t="n">
        <v>-33314</v>
      </c>
      <c r="AN14" t="n">
        <v>-37402</v>
      </c>
      <c r="AO14" t="n">
        <v>-35531</v>
      </c>
      <c r="AP14" t="n">
        <v>-38960</v>
      </c>
      <c r="AQ14" t="n">
        <v>-37348</v>
      </c>
      <c r="AR14" t="n">
        <v>-46758</v>
      </c>
      <c r="AS14" t="n">
        <v>-51266</v>
      </c>
      <c r="AT14" t="n">
        <v>-57704</v>
      </c>
      <c r="BM14" t="inlineStr">
        <is>
          <t>NSFR (point-in-time at 31 March - FY2022 onward)</t>
        </is>
      </c>
      <c r="BV14" t="n">
        <v>141.69</v>
      </c>
      <c r="BW14" t="n">
        <v>169.72</v>
      </c>
      <c r="BX14" t="n">
        <v>152.71</v>
      </c>
      <c r="BY14" t="n">
        <v>147.5</v>
      </c>
      <c r="BZ14" t="n">
        <v>132.18</v>
      </c>
    </row>
    <row r="15">
      <c r="A15" s="5" t="inlineStr">
        <is>
          <t>Profit for the year</t>
        </is>
      </c>
      <c r="B15" s="5" t="n">
        <v>25260</v>
      </c>
      <c r="C15" s="5" t="n">
        <v>26828</v>
      </c>
      <c r="D15" s="5" t="n">
        <v>28777</v>
      </c>
      <c r="E15" s="5" t="n">
        <v>13010</v>
      </c>
      <c r="F15" s="5" t="n">
        <v>10901</v>
      </c>
      <c r="G15" s="5" t="n">
        <v>14792</v>
      </c>
      <c r="H15" s="5" t="n">
        <v>23249</v>
      </c>
      <c r="I15" s="5" t="n">
        <v>-52869</v>
      </c>
      <c r="J15" s="5" t="n">
        <v>-25548</v>
      </c>
      <c r="K15" s="5" t="n">
        <v>-16082</v>
      </c>
      <c r="L15" s="5" t="n">
        <v>543</v>
      </c>
      <c r="M15" s="5" t="n">
        <v>18329</v>
      </c>
      <c r="N15" s="5" t="n">
        <v>25224</v>
      </c>
      <c r="AG15" t="inlineStr">
        <is>
          <t>Profit for the year</t>
        </is>
      </c>
      <c r="AH15" t="n">
        <v>25224</v>
      </c>
      <c r="AI15" t="n">
        <v>18329</v>
      </c>
      <c r="AJ15" t="n">
        <v>543</v>
      </c>
      <c r="AK15" t="n">
        <v>-16082</v>
      </c>
      <c r="AL15" t="n">
        <v>-25548</v>
      </c>
      <c r="AM15" t="n">
        <v>-52869</v>
      </c>
      <c r="AN15" t="n">
        <v>23249</v>
      </c>
      <c r="AO15" t="n">
        <v>14792</v>
      </c>
      <c r="AP15" t="n">
        <v>10901</v>
      </c>
      <c r="AQ15" t="n">
        <v>13010</v>
      </c>
      <c r="AR15" t="n">
        <v>28777</v>
      </c>
      <c r="AS15" t="n">
        <v>26828</v>
      </c>
      <c r="AT15" t="n">
        <v>25260</v>
      </c>
    </row>
    <row r="17">
      <c r="A17" s="3" t="inlineStr">
        <is>
          <t>Statement of Changes in Equity Summary (USD'000)</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K18" s="4" t="inlineStr">
        <is>
          <t>FY2017</t>
        </is>
      </c>
      <c r="L18" s="4" t="inlineStr">
        <is>
          <t>FY2016</t>
        </is>
      </c>
      <c r="M18" s="4" t="inlineStr">
        <is>
          <t>FY2015</t>
        </is>
      </c>
      <c r="N18" s="4" t="inlineStr">
        <is>
          <t>FY2014</t>
        </is>
      </c>
      <c r="AX18" t="inlineStr">
        <is>
          <t>FY2014</t>
        </is>
      </c>
      <c r="AY18" t="inlineStr">
        <is>
          <t>FY2015</t>
        </is>
      </c>
      <c r="AZ18" t="inlineStr">
        <is>
          <t>FY2016</t>
        </is>
      </c>
      <c r="BA18" t="inlineStr">
        <is>
          <t>FY2017</t>
        </is>
      </c>
      <c r="BB18" t="inlineStr">
        <is>
          <t>FY2018</t>
        </is>
      </c>
      <c r="BC18" t="inlineStr">
        <is>
          <t>FY2019</t>
        </is>
      </c>
      <c r="BD18" t="inlineStr">
        <is>
          <t>FY2020</t>
        </is>
      </c>
      <c r="BE18" t="inlineStr">
        <is>
          <t>FY2021</t>
        </is>
      </c>
      <c r="BF18" t="inlineStr">
        <is>
          <t>FY2022</t>
        </is>
      </c>
      <c r="BG18" t="inlineStr">
        <is>
          <t>FY2023</t>
        </is>
      </c>
      <c r="BH18" t="inlineStr">
        <is>
          <t>FY2024</t>
        </is>
      </c>
      <c r="BI18" t="inlineStr">
        <is>
          <t>FY2025</t>
        </is>
      </c>
      <c r="BJ18" t="inlineStr">
        <is>
          <t>FY2026</t>
        </is>
      </c>
    </row>
    <row r="19">
      <c r="A19" s="5" t="inlineStr">
        <is>
          <t>Opening equity</t>
        </is>
      </c>
      <c r="B19" s="5" t="n">
        <v>351941</v>
      </c>
      <c r="C19" s="5" t="n">
        <v>337469</v>
      </c>
      <c r="D19" s="5" t="n">
        <v>317075</v>
      </c>
      <c r="E19" s="5" t="n">
        <v>315872</v>
      </c>
      <c r="F19" s="5" t="n">
        <v>506741</v>
      </c>
      <c r="G19" s="5" t="n">
        <v>453332</v>
      </c>
      <c r="H19" s="5" t="n">
        <v>454331</v>
      </c>
      <c r="I19" s="5" t="n">
        <v>506752</v>
      </c>
      <c r="J19" s="5" t="n">
        <v>533230</v>
      </c>
      <c r="K19" s="5" t="n">
        <v>545527</v>
      </c>
      <c r="L19" s="5" t="n">
        <v>545428</v>
      </c>
      <c r="M19" s="5" t="n">
        <v>629049</v>
      </c>
      <c r="N19" s="5" t="n">
        <v>622172</v>
      </c>
      <c r="AW19" t="inlineStr">
        <is>
          <t>Opening equity</t>
        </is>
      </c>
      <c r="AX19" t="n">
        <v>622172</v>
      </c>
      <c r="AY19" t="n">
        <v>629049</v>
      </c>
      <c r="AZ19" t="n">
        <v>545428</v>
      </c>
      <c r="BA19" t="n">
        <v>545527</v>
      </c>
      <c r="BB19" t="n">
        <v>533230</v>
      </c>
      <c r="BC19" t="n">
        <v>506752</v>
      </c>
      <c r="BD19" t="n">
        <v>454331</v>
      </c>
      <c r="BE19" t="n">
        <v>453332</v>
      </c>
      <c r="BF19" t="n">
        <v>506741</v>
      </c>
      <c r="BG19" t="n">
        <v>315872</v>
      </c>
      <c r="BH19" t="n">
        <v>317075</v>
      </c>
      <c r="BI19" t="n">
        <v>337469</v>
      </c>
      <c r="BJ19" t="n">
        <v>351941</v>
      </c>
    </row>
    <row r="20">
      <c r="A20" s="5" t="inlineStr">
        <is>
          <t>Total comprehensive income/(loss) for the year</t>
        </is>
      </c>
      <c r="B20" s="5" t="n">
        <v>21841</v>
      </c>
      <c r="C20" s="5" t="n">
        <v>27472</v>
      </c>
      <c r="D20" s="5" t="n">
        <v>30394</v>
      </c>
      <c r="E20" s="5" t="n">
        <v>12457</v>
      </c>
      <c r="F20" s="5" t="n">
        <v>9045</v>
      </c>
      <c r="G20" s="5" t="n">
        <v>52935</v>
      </c>
      <c r="H20" s="5" t="n">
        <v>-1931</v>
      </c>
      <c r="I20" s="5" t="n">
        <v>-52956</v>
      </c>
      <c r="J20" s="5" t="n">
        <v>-27525</v>
      </c>
      <c r="K20" s="5" t="n">
        <v>-14086</v>
      </c>
      <c r="L20" s="5" t="n">
        <v>-1321</v>
      </c>
      <c r="M20" s="5" t="n">
        <v>20723</v>
      </c>
      <c r="N20" s="5" t="n">
        <v>30769</v>
      </c>
      <c r="AW20" t="inlineStr">
        <is>
          <t>Total comprehensive income/(loss) for the year</t>
        </is>
      </c>
      <c r="AX20" t="n">
        <v>30769</v>
      </c>
      <c r="AY20" t="n">
        <v>20723</v>
      </c>
      <c r="AZ20" t="n">
        <v>-1321</v>
      </c>
      <c r="BA20" t="n">
        <v>-14086</v>
      </c>
      <c r="BB20" t="n">
        <v>-27525</v>
      </c>
      <c r="BC20" t="n">
        <v>-52956</v>
      </c>
      <c r="BD20" t="n">
        <v>-1931</v>
      </c>
      <c r="BE20" t="n">
        <v>52935</v>
      </c>
      <c r="BF20" t="n">
        <v>9045</v>
      </c>
      <c r="BG20" t="n">
        <v>12457</v>
      </c>
      <c r="BH20" t="n">
        <v>30394</v>
      </c>
      <c r="BI20" t="n">
        <v>27472</v>
      </c>
      <c r="BJ20" t="n">
        <v>21841</v>
      </c>
    </row>
    <row r="21">
      <c r="A21" s="5" t="inlineStr">
        <is>
          <t>Closing equity</t>
        </is>
      </c>
      <c r="B21" s="5" t="n">
        <v>357782</v>
      </c>
      <c r="C21" s="5" t="n">
        <v>351941</v>
      </c>
      <c r="D21" s="5" t="n">
        <v>337469</v>
      </c>
      <c r="E21" s="5" t="n">
        <v>318343</v>
      </c>
      <c r="F21" s="5" t="n">
        <v>315872</v>
      </c>
      <c r="G21" s="5" t="n">
        <v>506741</v>
      </c>
      <c r="H21" s="5" t="n">
        <v>453332</v>
      </c>
      <c r="I21" s="5" t="n">
        <v>454331</v>
      </c>
      <c r="J21" s="5" t="n">
        <v>506752</v>
      </c>
      <c r="K21" s="5" t="n">
        <v>533230</v>
      </c>
      <c r="L21" s="5" t="n">
        <v>545527</v>
      </c>
      <c r="M21" s="5" t="n">
        <v>545428</v>
      </c>
      <c r="N21" s="5" t="n">
        <v>629049</v>
      </c>
      <c r="AW21" t="inlineStr">
        <is>
          <t>Closing equity</t>
        </is>
      </c>
      <c r="AX21" t="n">
        <v>629049</v>
      </c>
      <c r="AY21" t="n">
        <v>545428</v>
      </c>
      <c r="AZ21" t="n">
        <v>545527</v>
      </c>
      <c r="BA21" t="n">
        <v>533230</v>
      </c>
      <c r="BB21" t="n">
        <v>506752</v>
      </c>
      <c r="BC21" t="n">
        <v>454331</v>
      </c>
      <c r="BD21" t="n">
        <v>453332</v>
      </c>
      <c r="BE21" t="n">
        <v>506741</v>
      </c>
      <c r="BF21" t="n">
        <v>315872</v>
      </c>
      <c r="BG21" t="n">
        <v>318343</v>
      </c>
      <c r="BH21" t="n">
        <v>337469</v>
      </c>
      <c r="BI21" t="n">
        <v>351941</v>
      </c>
      <c r="BJ21" t="n">
        <v>357782</v>
      </c>
    </row>
    <row r="23">
      <c r="A23" s="3" t="inlineStr">
        <is>
          <t>Cash Flow Summary: not applicable — this entity does not publish a cash flow statement (see the Cash Flow Statement sheet for the exemption basis).</t>
        </is>
      </c>
    </row>
    <row r="25">
      <c r="A25" s="3" t="inlineStr">
        <is>
          <t>Pillar 3 Key Metrics</t>
        </is>
      </c>
    </row>
    <row r="26">
      <c r="A26" s="4" t="inlineStr">
        <is>
          <t>Line item</t>
        </is>
      </c>
      <c r="B26" s="4" t="inlineStr">
        <is>
          <t>FY2026</t>
        </is>
      </c>
      <c r="C26" s="4" t="inlineStr">
        <is>
          <t>FY2025</t>
        </is>
      </c>
      <c r="D26" s="4" t="inlineStr">
        <is>
          <t>FY2024</t>
        </is>
      </c>
      <c r="E26" s="4" t="inlineStr">
        <is>
          <t>FY2023</t>
        </is>
      </c>
      <c r="F26" s="4" t="inlineStr">
        <is>
          <t>FY2022</t>
        </is>
      </c>
      <c r="G26" s="4" t="inlineStr">
        <is>
          <t>FY2021</t>
        </is>
      </c>
      <c r="H26" s="4" t="inlineStr">
        <is>
          <t>FY2020</t>
        </is>
      </c>
      <c r="I26" s="4" t="inlineStr">
        <is>
          <t>FY2019</t>
        </is>
      </c>
      <c r="J26" s="4" t="inlineStr">
        <is>
          <t>FY2018</t>
        </is>
      </c>
      <c r="K26" s="4" t="inlineStr">
        <is>
          <t>FY2017</t>
        </is>
      </c>
      <c r="L26" s="4" t="inlineStr">
        <is>
          <t>FY2016</t>
        </is>
      </c>
      <c r="M26" s="4" t="inlineStr">
        <is>
          <t>FY2015</t>
        </is>
      </c>
      <c r="N26" s="4" t="inlineStr">
        <is>
          <t>FY2014</t>
        </is>
      </c>
    </row>
    <row r="27">
      <c r="A27" s="6" t="inlineStr">
        <is>
          <t>CET1 Ratio</t>
        </is>
      </c>
      <c r="B27" s="6" t="inlineStr">
        <is>
          <t>17.07%</t>
        </is>
      </c>
      <c r="C27" s="6" t="inlineStr">
        <is>
          <t>19.57%</t>
        </is>
      </c>
      <c r="D27" s="6" t="inlineStr">
        <is>
          <t>20.14%</t>
        </is>
      </c>
      <c r="E27" s="6" t="inlineStr">
        <is>
          <t>21.54%</t>
        </is>
      </c>
      <c r="F27" s="6" t="inlineStr">
        <is>
          <t>17.79%</t>
        </is>
      </c>
      <c r="G27" s="6" t="inlineStr">
        <is>
          <t>23.80%</t>
        </is>
      </c>
      <c r="H27" s="6" t="inlineStr">
        <is>
          <t>14.99%</t>
        </is>
      </c>
      <c r="I27" s="6" t="inlineStr">
        <is>
          <t>12.93%</t>
        </is>
      </c>
      <c r="J27" s="6" t="inlineStr">
        <is>
          <t>13.97%</t>
        </is>
      </c>
      <c r="K27" s="6" t="inlineStr">
        <is>
          <t>15.53%</t>
        </is>
      </c>
      <c r="L27" s="6" t="inlineStr">
        <is>
          <t>13.1%</t>
        </is>
      </c>
      <c r="M27" s="6" t="inlineStr">
        <is>
          <t>14.6%</t>
        </is>
      </c>
      <c r="N27" s="6" t="inlineStr">
        <is>
          <t>16.7%</t>
        </is>
      </c>
    </row>
    <row r="28">
      <c r="A28" s="6" t="inlineStr">
        <is>
          <t>Tier 1 Ratio</t>
        </is>
      </c>
      <c r="B28" s="6" t="inlineStr">
        <is>
          <t>17.07%</t>
        </is>
      </c>
      <c r="C28" s="6" t="inlineStr">
        <is>
          <t>19.57%</t>
        </is>
      </c>
      <c r="D28" s="6" t="inlineStr">
        <is>
          <t>20.14%</t>
        </is>
      </c>
      <c r="E28" s="6" t="inlineStr">
        <is>
          <t>21.54%</t>
        </is>
      </c>
      <c r="F28" s="6" t="inlineStr">
        <is>
          <t>17.79%</t>
        </is>
      </c>
      <c r="G28" s="6" t="inlineStr">
        <is>
          <t>23.80%</t>
        </is>
      </c>
      <c r="H28" s="6" t="inlineStr">
        <is>
          <t>14.99%</t>
        </is>
      </c>
      <c r="I28" s="6" t="inlineStr">
        <is>
          <t>12.93%</t>
        </is>
      </c>
      <c r="J28" s="6" t="inlineStr">
        <is>
          <t>13.97%</t>
        </is>
      </c>
      <c r="K28" s="6" t="inlineStr">
        <is>
          <t>15.53%</t>
        </is>
      </c>
      <c r="L28" s="6" t="inlineStr">
        <is>
          <t>13.1%</t>
        </is>
      </c>
      <c r="M28" s="6" t="inlineStr">
        <is>
          <t>14.6%</t>
        </is>
      </c>
      <c r="N28" s="6" t="inlineStr">
        <is>
          <t>16.7%</t>
        </is>
      </c>
    </row>
    <row r="29">
      <c r="A29" s="6" t="inlineStr">
        <is>
          <t>Total Capital Ratio</t>
        </is>
      </c>
      <c r="B29" s="6" t="inlineStr">
        <is>
          <t>19.67%</t>
        </is>
      </c>
      <c r="C29" s="6" t="inlineStr">
        <is>
          <t>22.60%</t>
        </is>
      </c>
      <c r="D29" s="6" t="inlineStr">
        <is>
          <t>23.37%</t>
        </is>
      </c>
      <c r="E29" s="6" t="inlineStr">
        <is>
          <t>27.12%</t>
        </is>
      </c>
      <c r="F29" s="6" t="inlineStr">
        <is>
          <t>22.96%</t>
        </is>
      </c>
      <c r="G29" s="6" t="inlineStr">
        <is>
          <t>28.27%</t>
        </is>
      </c>
      <c r="H29" s="6" t="inlineStr">
        <is>
          <t>18.60%</t>
        </is>
      </c>
      <c r="I29" s="6" t="inlineStr">
        <is>
          <t>16.84%</t>
        </is>
      </c>
      <c r="J29" s="6" t="inlineStr">
        <is>
          <t>16.54%</t>
        </is>
      </c>
      <c r="K29" s="6" t="inlineStr">
        <is>
          <t>18.36%</t>
        </is>
      </c>
      <c r="L29" s="6" t="inlineStr">
        <is>
          <t>16.7%</t>
        </is>
      </c>
      <c r="M29" s="6" t="inlineStr">
        <is>
          <t>19.2%</t>
        </is>
      </c>
      <c r="N29" s="6" t="inlineStr">
        <is>
          <t>21.8%</t>
        </is>
      </c>
    </row>
    <row r="30">
      <c r="A30" s="6" t="inlineStr">
        <is>
          <t>Leverage Ratio (UK KM1 basis, excl. central banks - FY2022 onward)</t>
        </is>
      </c>
      <c r="B30" s="6" t="inlineStr">
        <is>
          <t>11.54%</t>
        </is>
      </c>
      <c r="C30" s="6" t="inlineStr">
        <is>
          <t>14.18%</t>
        </is>
      </c>
      <c r="D30" s="6" t="inlineStr">
        <is>
          <t>14.92%</t>
        </is>
      </c>
      <c r="E30" s="6" t="inlineStr">
        <is>
          <t>15.43%</t>
        </is>
      </c>
      <c r="F30" s="6" t="inlineStr">
        <is>
          <t>14.05%</t>
        </is>
      </c>
      <c r="G30" s="6" t="n"/>
      <c r="H30" s="6" t="n"/>
      <c r="I30" s="6" t="n"/>
      <c r="J30" s="6" t="n"/>
      <c r="K30" s="6" t="n"/>
      <c r="L30" s="6" t="n"/>
      <c r="M30" s="6" t="n"/>
      <c r="N30" s="6" t="n"/>
    </row>
    <row r="31">
      <c r="A31" s="6" t="inlineStr">
        <is>
          <t>Leverage Ratio (CRR LRCom basis, full exposure incl. central banks - FY2017-FY2021)</t>
        </is>
      </c>
      <c r="B31" s="6" t="n"/>
      <c r="C31" s="6" t="n"/>
      <c r="D31" s="6" t="n"/>
      <c r="E31" s="6" t="n"/>
      <c r="F31" s="6" t="n"/>
      <c r="G31" s="6" t="inlineStr">
        <is>
          <t>15.7%</t>
        </is>
      </c>
      <c r="H31" s="6" t="inlineStr">
        <is>
          <t>11.8%</t>
        </is>
      </c>
      <c r="I31" s="6" t="inlineStr">
        <is>
          <t>10.7%</t>
        </is>
      </c>
      <c r="J31" s="6" t="inlineStr">
        <is>
          <t>11.7%</t>
        </is>
      </c>
      <c r="K31" s="6" t="inlineStr">
        <is>
          <t>13.97%</t>
        </is>
      </c>
      <c r="L31" s="6" t="n"/>
      <c r="M31" s="6" t="n"/>
      <c r="N31" s="6" t="n"/>
    </row>
    <row r="32">
      <c r="A32" s="6" t="inlineStr">
        <is>
          <t>LCR (UK KM1 12-month average - FY2022 onward)</t>
        </is>
      </c>
      <c r="B32" s="6" t="inlineStr">
        <is>
          <t>169.42%</t>
        </is>
      </c>
      <c r="C32" s="6" t="inlineStr">
        <is>
          <t>190.08%</t>
        </is>
      </c>
      <c r="D32" s="6" t="inlineStr">
        <is>
          <t>240.20%</t>
        </is>
      </c>
      <c r="E32" s="6" t="inlineStr">
        <is>
          <t>226.83%</t>
        </is>
      </c>
      <c r="F32" s="6" t="inlineStr">
        <is>
          <t>226.90%</t>
        </is>
      </c>
      <c r="G32" s="6" t="n"/>
      <c r="H32" s="6" t="n"/>
      <c r="I32" s="6" t="n"/>
      <c r="J32" s="6" t="n"/>
      <c r="K32" s="6" t="n"/>
      <c r="L32" s="6" t="n"/>
      <c r="M32" s="6" t="n"/>
      <c r="N32" s="6" t="n"/>
    </row>
    <row r="33">
      <c r="A33" s="6" t="inlineStr">
        <is>
          <t>LCR (point-in-time at 31 March)</t>
        </is>
      </c>
      <c r="B33" s="6" t="inlineStr">
        <is>
          <t>171.83%</t>
        </is>
      </c>
      <c r="C33" s="6" t="inlineStr">
        <is>
          <t>216.84%</t>
        </is>
      </c>
      <c r="D33" s="6" t="inlineStr">
        <is>
          <t>221.17%</t>
        </is>
      </c>
      <c r="E33" s="6" t="inlineStr">
        <is>
          <t>346.1%</t>
        </is>
      </c>
      <c r="F33" s="6" t="inlineStr">
        <is>
          <t>245.23%</t>
        </is>
      </c>
      <c r="G33" s="6" t="inlineStr">
        <is>
          <t>329.5%</t>
        </is>
      </c>
      <c r="H33" s="6" t="inlineStr">
        <is>
          <t>183.3%</t>
        </is>
      </c>
      <c r="I33" s="6" t="inlineStr">
        <is>
          <t>225.0%</t>
        </is>
      </c>
      <c r="J33" s="6" t="inlineStr">
        <is>
          <t>203.9%</t>
        </is>
      </c>
      <c r="K33" s="6" t="n"/>
      <c r="L33" s="6" t="n"/>
      <c r="M33" s="6" t="n"/>
      <c r="N33" s="6" t="n"/>
    </row>
    <row r="34">
      <c r="A34" s="6" t="inlineStr">
        <is>
          <t>NSFR (UK KM1 four-quarter average - FY2023 onward)</t>
        </is>
      </c>
      <c r="B34" s="6" t="inlineStr">
        <is>
          <t>136.53%</t>
        </is>
      </c>
      <c r="C34" s="6" t="inlineStr">
        <is>
          <t>151.03%</t>
        </is>
      </c>
      <c r="D34" s="6" t="inlineStr">
        <is>
          <t>159.20%</t>
        </is>
      </c>
      <c r="E34" s="6" t="inlineStr">
        <is>
          <t>147.72%</t>
        </is>
      </c>
      <c r="F34" s="6" t="inlineStr">
        <is>
          <t>Not computed - first year of the requirement</t>
        </is>
      </c>
      <c r="G34" s="6" t="inlineStr">
        <is>
          <t>Not applicable – UK NSFR requirement began 1 Jan 2022 (FY2023 Pillar 3 note (h)); this year's Pillar 3 says NSFR is 'yet to be introduced as a regulatory requirement' and gives no figure</t>
        </is>
      </c>
      <c r="H34" s="6" t="inlineStr">
        <is>
          <t>Not applicable – UK NSFR requirement began 1 Jan 2022 (FY2023 Pillar 3 note (h)); this year's Pillar 3 says NSFR is 'yet to be introduced as a regulatory requirement' and gives no figure</t>
        </is>
      </c>
      <c r="I34" s="6" t="inlineStr">
        <is>
          <t>Not applicable – UK NSFR requirement began 1 Jan 2022 (FY2023 Pillar 3 note (h)); this year's Pillar 3 says NSFR is 'yet to be introduced as a regulatory requirement' and gives no figure</t>
        </is>
      </c>
      <c r="J34" s="6" t="inlineStr">
        <is>
          <t>Not applicable – UK NSFR requirement began 1 Jan 2022 (FY2023 Pillar 3 note (h)); this year's Pillar 3 says NSFR is 'yet to be introduced as a regulatory requirement' and gives no figure</t>
        </is>
      </c>
      <c r="K34" s="6" t="inlineStr">
        <is>
          <t>Not applicable – UK NSFR requirement began 1 Jan 2022 (FY2023 Pillar 3 note (h)); this year's Pillar 3 edition contains no NSFR (full-text search 2026-09-19)</t>
        </is>
      </c>
      <c r="L34" s="6" t="inlineStr">
        <is>
          <t>Not applicable – UK NSFR requirement began 1 Jan 2022 (FY2023 Pillar 3 note (h)); this year's Pillar 3 edition contains no NSFR (full-text search 2026-09-19)</t>
        </is>
      </c>
      <c r="M34" s="6" t="inlineStr">
        <is>
          <t>Not applicable – UK NSFR requirement began 1 Jan 2022 (FY2023 Pillar 3 note (h)); this year's Pillar 3 edition contains no NSFR (full-text search 2026-09-19)</t>
        </is>
      </c>
      <c r="N34" s="6" t="inlineStr">
        <is>
          <t>Not applicable – UK NSFR requirement began 1 Jan 2022 (FY2023 Pillar 3 note (h)); this year's Pillar 3 edition contains no NSFR (full-text search 2026-09-19)</t>
        </is>
      </c>
    </row>
    <row r="35">
      <c r="A35" s="6" t="inlineStr">
        <is>
          <t>NSFR (point-in-time at 31 March - FY2022 onward)</t>
        </is>
      </c>
      <c r="B35" s="6" t="inlineStr">
        <is>
          <t>132.18%</t>
        </is>
      </c>
      <c r="C35" s="6" t="inlineStr">
        <is>
          <t>147.50%</t>
        </is>
      </c>
      <c r="D35" s="6" t="inlineStr">
        <is>
          <t>152.71%</t>
        </is>
      </c>
      <c r="E35" s="6" t="inlineStr">
        <is>
          <t>169.72%</t>
        </is>
      </c>
      <c r="F35" s="6" t="inlineStr">
        <is>
          <t>141.69%</t>
        </is>
      </c>
      <c r="G35" s="6" t="inlineStr">
        <is>
          <t>Not applicable – UK NSFR requirement began 1 Jan 2022 (FY2023 Pillar 3 note (h)); this year's Pillar 3 says NSFR is 'yet to be introduced as a regulatory requirement' and gives no figure</t>
        </is>
      </c>
      <c r="H35" s="6" t="inlineStr">
        <is>
          <t>Not applicable – UK NSFR requirement began 1 Jan 2022 (FY2023 Pillar 3 note (h)); this year's Pillar 3 says NSFR is 'yet to be introduced as a regulatory requirement' and gives no figure</t>
        </is>
      </c>
      <c r="I35" s="6" t="inlineStr">
        <is>
          <t>Not applicable – UK NSFR requirement began 1 Jan 2022 (FY2023 Pillar 3 note (h)); this year's Pillar 3 says NSFR is 'yet to be introduced as a regulatory requirement' and gives no figure</t>
        </is>
      </c>
      <c r="J35" s="6" t="inlineStr">
        <is>
          <t>Not applicable – UK NSFR requirement began 1 Jan 2022 (FY2023 Pillar 3 note (h)); this year's Pillar 3 says NSFR is 'yet to be introduced as a regulatory requirement' and gives no figure</t>
        </is>
      </c>
      <c r="K35" s="6" t="inlineStr">
        <is>
          <t>Not applicable – UK NSFR requirement began 1 Jan 2022 (FY2023 Pillar 3 note (h)); this year's Pillar 3 edition contains no NSFR (full-text search 2026-09-19)</t>
        </is>
      </c>
      <c r="L35" s="6" t="inlineStr">
        <is>
          <t>Not applicable – UK NSFR requirement began 1 Jan 2022 (FY2023 Pillar 3 note (h)); this year's Pillar 3 edition contains no NSFR (full-text search 2026-09-19)</t>
        </is>
      </c>
      <c r="M35" s="6" t="inlineStr">
        <is>
          <t>Not applicable – UK NSFR requirement began 1 Jan 2022 (FY2023 Pillar 3 note (h)); this year's Pillar 3 edition contains no NSFR (full-text search 2026-09-19)</t>
        </is>
      </c>
      <c r="N35" s="6" t="inlineStr">
        <is>
          <t>Not applicable – UK NSFR requirement began 1 Jan 2022 (FY2023 Pillar 3 note (h)); this year's Pillar 3 edition contains no NSFR (full-text search 2026-09-19)</t>
        </is>
      </c>
    </row>
    <row r="37" ht="78" customHeight="1">
      <c r="A37" s="7" t="inlineStr">
        <is>
          <t>Note: ICICI Bank UK Plc's FRS 102 cash-flow exemption means no cash-flow summary or chart is shown (5 blocks total: Balance Sheet, P&amp;L, Equity, and Ratios - no Cash Flow block). All statement figures are Bank-standalone USD, kept in the Bank's own native reporting currency (not converted to £) for consistency with the pre-existing Pillar 3 sheets, which are also USD. FY2026 (year ended 31 March 2026) was added 2026-09-15 from the Bank's own website - its Annual Report and Pillar 3 disclosure are both published there ahead of the Companies House filing, whose latest accounts are still those for 31 March 2025. Extended back to FY2014 (from FY2021) under HD-046, capped at FY2014 by explicit project-wide decision even though the Bank's own archive goes back further (see wayfinder/historical-depth/tickets/HD-046.md). Leverage Ratio and LCR are blank before FY2017/FY2018 respectively (not yet disclosed as a published figure by the Bank) and NSFR is marked 'Not applicable' before FY2022 (the PRA introduced the UK NSFR framework only with effect from 1 January 2022) - neither is force-filled. 2026-09-15: each of Leverage Ratio, LCR and NSFR is now split across TWO rows because each spans a genuine definitional break, and the two rows in each pair must not be read, charted or compared as one series - Leverage breaks at FY2022 (UK KM1 measure excluding central-bank claims, vs the earlier CRR LRCom full exposure measure that includes them), LCR breaks at FY2022 (UK KM1 12-month average vs the point-in-time figure each edition states in prose, which for FY2022 differ by 18pp and for FY2023 by 119pp), and NSFR breaks at FY2023, NOT FY2022 (the FY2022 KM1 figure is itself point-in-time by that edition's own note, since the four-quarter average could not be computed in the requirement's first year). See each metric sheet's own note for the verbatim source wording establishing each break.</t>
        </is>
      </c>
    </row>
  </sheetData>
  <mergeCells count="1">
    <mergeCell ref="A37:N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ICICI Bank UK Plc — Statement of Financial Position</t>
        </is>
      </c>
    </row>
    <row r="2">
      <c r="A2" s="2" t="inlineStr">
        <is>
          <t>Bank (standalone), USD'000, each year's own originally-published figures. See source note at bottom.</t>
        </is>
      </c>
    </row>
    <row r="3">
      <c r="A3" s="4" t="inlineStr">
        <is>
          <t>Line item</t>
        </is>
      </c>
      <c r="B3" s="4" t="inlineStr">
        <is>
          <t>FY2026 (USD'000)</t>
        </is>
      </c>
      <c r="C3" s="4" t="inlineStr">
        <is>
          <t>FY2025 (USD'000)</t>
        </is>
      </c>
      <c r="D3" s="4" t="inlineStr">
        <is>
          <t>FY2024 (USD'000)</t>
        </is>
      </c>
      <c r="E3" s="4" t="inlineStr">
        <is>
          <t>FY2023 (USD'000)</t>
        </is>
      </c>
      <c r="F3" s="4" t="inlineStr">
        <is>
          <t>FY2022 (USD'000)</t>
        </is>
      </c>
      <c r="G3" s="4" t="inlineStr">
        <is>
          <t>FY2021 (USD'000)</t>
        </is>
      </c>
      <c r="H3" s="4" t="inlineStr">
        <is>
          <t>FY2020 (USD'000)</t>
        </is>
      </c>
      <c r="I3" s="4" t="inlineStr">
        <is>
          <t>FY2019 (USD'000)</t>
        </is>
      </c>
      <c r="J3" s="4" t="inlineStr">
        <is>
          <t>FY2018 (USD'000)</t>
        </is>
      </c>
      <c r="K3" s="4" t="inlineStr">
        <is>
          <t>FY2017 (USD'000)</t>
        </is>
      </c>
      <c r="L3" s="4" t="inlineStr">
        <is>
          <t>FY2016 (USD'000)</t>
        </is>
      </c>
      <c r="M3" s="4" t="inlineStr">
        <is>
          <t>FY2015 (USD'000)</t>
        </is>
      </c>
      <c r="N3" s="4" t="inlineStr">
        <is>
          <t>FY2014 (USD'000)</t>
        </is>
      </c>
      <c r="O3" s="4" t="inlineStr">
        <is>
          <t>FY2013 (USD'000)</t>
        </is>
      </c>
      <c r="P3" s="4" t="inlineStr">
        <is>
          <t>FY2012 (USD'000)</t>
        </is>
      </c>
      <c r="Q3" s="4" t="inlineStr">
        <is>
          <t>FY2011 (USD'000)</t>
        </is>
      </c>
      <c r="R3" s="4" t="inlineStr">
        <is>
          <t>FY2010 (USD'000)</t>
        </is>
      </c>
      <c r="S3" s="4" t="inlineStr">
        <is>
          <t>FY2009 (USD'000)</t>
        </is>
      </c>
      <c r="T3" s="4" t="inlineStr">
        <is>
          <t>FY2008 (USD'000)</t>
        </is>
      </c>
    </row>
    <row r="4">
      <c r="A4" s="5" t="inlineStr">
        <is>
          <t>Assets</t>
        </is>
      </c>
      <c r="B4" s="6" t="n"/>
      <c r="C4" s="6" t="n"/>
      <c r="D4" s="6" t="n"/>
      <c r="E4" s="6" t="n"/>
      <c r="F4" s="6" t="n"/>
      <c r="G4" s="6" t="n"/>
      <c r="H4" s="6" t="n"/>
      <c r="I4" s="6" t="n"/>
      <c r="J4" s="6" t="n"/>
      <c r="K4" s="6" t="n"/>
      <c r="L4" s="6" t="n"/>
      <c r="M4" s="6" t="n"/>
      <c r="N4" s="6" t="n"/>
      <c r="O4" s="6" t="n"/>
      <c r="P4" s="6" t="n"/>
      <c r="Q4" s="6" t="n"/>
      <c r="R4" s="6" t="n"/>
      <c r="S4" s="6" t="n"/>
      <c r="T4" s="6" t="n"/>
    </row>
    <row r="5">
      <c r="A5" s="6" t="inlineStr">
        <is>
          <t>Cash and cash equivalents / Cash and Balances at Central Banks</t>
        </is>
      </c>
      <c r="B5" s="6" t="n">
        <v>339580</v>
      </c>
      <c r="C5" s="6" t="n">
        <v>403868</v>
      </c>
      <c r="D5" s="6" t="n">
        <v>219629</v>
      </c>
      <c r="E5" s="6" t="n">
        <v>352907</v>
      </c>
      <c r="F5" s="6" t="n">
        <v>336706</v>
      </c>
      <c r="G5" s="6" t="n">
        <v>733560</v>
      </c>
      <c r="H5" s="6" t="n">
        <v>289988</v>
      </c>
      <c r="I5" s="6" t="n">
        <v>273101</v>
      </c>
      <c r="J5" s="6" t="n">
        <v>500246</v>
      </c>
      <c r="K5" s="6" t="n">
        <v>282287</v>
      </c>
      <c r="L5" s="6" t="n">
        <v>500618</v>
      </c>
      <c r="M5" s="6" t="n">
        <v>449752</v>
      </c>
      <c r="N5" s="6" t="n">
        <v>1009055</v>
      </c>
      <c r="O5" s="6" t="n">
        <v>583792</v>
      </c>
      <c r="P5" s="6" t="n">
        <v>1255</v>
      </c>
      <c r="Q5" s="6" t="n">
        <v>1057</v>
      </c>
      <c r="R5" s="6" t="n">
        <v>1060</v>
      </c>
      <c r="S5" s="6" t="n">
        <v>3108</v>
      </c>
      <c r="T5" s="6" t="n">
        <v>3150</v>
      </c>
    </row>
    <row r="6">
      <c r="A6" s="6" t="inlineStr">
        <is>
          <t>Investment in Treasury Bills / Government Securities</t>
        </is>
      </c>
      <c r="B6" s="6" t="n">
        <v>410126</v>
      </c>
      <c r="C6" s="6" t="n">
        <v>140589</v>
      </c>
      <c r="D6" s="6" t="n">
        <v>146509</v>
      </c>
      <c r="E6" s="6" t="n">
        <v>206357</v>
      </c>
      <c r="F6" s="6" t="n">
        <v>154441</v>
      </c>
      <c r="G6" s="6" t="n">
        <v>125760</v>
      </c>
      <c r="H6" s="6" t="n">
        <v>263617</v>
      </c>
      <c r="I6" s="6" t="n">
        <v>297509</v>
      </c>
      <c r="J6" s="6" t="n">
        <v>192094</v>
      </c>
      <c r="K6" s="6" t="n">
        <v>74127</v>
      </c>
      <c r="L6" s="6" t="n">
        <v>129352</v>
      </c>
      <c r="M6" s="6" t="n">
        <v>84951</v>
      </c>
      <c r="N6" s="6" t="n">
        <v>126967</v>
      </c>
      <c r="O6" s="6" t="n">
        <v>101988</v>
      </c>
      <c r="P6" s="6" t="n">
        <v>693723</v>
      </c>
      <c r="Q6" s="6" t="n">
        <v>517435</v>
      </c>
      <c r="R6" s="6" t="n"/>
      <c r="S6" s="6" t="n"/>
      <c r="T6" s="6" t="n"/>
    </row>
    <row r="7">
      <c r="A7" s="6" t="inlineStr">
        <is>
          <t>Loans and advances to banks</t>
        </is>
      </c>
      <c r="B7" s="6" t="n">
        <v>342659</v>
      </c>
      <c r="C7" s="6" t="n">
        <v>339561</v>
      </c>
      <c r="D7" s="6" t="n">
        <v>355557</v>
      </c>
      <c r="E7" s="6" t="n">
        <v>190371</v>
      </c>
      <c r="F7" s="6" t="n">
        <v>141379</v>
      </c>
      <c r="G7" s="6" t="n">
        <v>52372</v>
      </c>
      <c r="H7" s="6" t="n">
        <v>168105</v>
      </c>
      <c r="I7" s="6" t="n">
        <v>144881</v>
      </c>
      <c r="J7" s="6" t="n">
        <v>137553</v>
      </c>
      <c r="K7" s="6" t="n">
        <v>106641</v>
      </c>
      <c r="L7" s="6" t="n">
        <v>283149</v>
      </c>
      <c r="M7" s="6" t="n">
        <v>184146</v>
      </c>
      <c r="N7" s="6" t="n">
        <v>79079</v>
      </c>
      <c r="O7" s="6" t="n">
        <v>78657</v>
      </c>
      <c r="P7" s="6" t="n">
        <v>301503</v>
      </c>
      <c r="Q7" s="6" t="n">
        <v>875384</v>
      </c>
      <c r="R7" s="6" t="n">
        <v>1429224</v>
      </c>
      <c r="S7" s="6" t="n">
        <v>984601</v>
      </c>
      <c r="T7" s="6" t="n">
        <v>2225539</v>
      </c>
    </row>
    <row r="8">
      <c r="A8" s="6" t="inlineStr">
        <is>
          <t>Loans and advances to customers</t>
        </is>
      </c>
      <c r="B8" s="6" t="n">
        <v>1303357</v>
      </c>
      <c r="C8" s="6" t="n">
        <v>964471</v>
      </c>
      <c r="D8" s="6" t="n">
        <v>888857</v>
      </c>
      <c r="E8" s="6" t="n">
        <v>899505</v>
      </c>
      <c r="F8" s="6" t="n">
        <v>1182895</v>
      </c>
      <c r="G8" s="6" t="n">
        <v>1522138</v>
      </c>
      <c r="H8" s="6" t="n">
        <v>2074527</v>
      </c>
      <c r="I8" s="6" t="n">
        <v>2423180</v>
      </c>
      <c r="J8" s="6" t="n">
        <v>2365651</v>
      </c>
      <c r="K8" s="6" t="n">
        <v>2332132</v>
      </c>
      <c r="L8" s="6" t="n">
        <v>2962535</v>
      </c>
      <c r="M8" s="6" t="n">
        <v>2878811</v>
      </c>
      <c r="N8" s="6" t="n">
        <v>2749136</v>
      </c>
      <c r="O8" s="6" t="n">
        <v>2282972</v>
      </c>
      <c r="P8" s="6" t="n">
        <v>2387707</v>
      </c>
      <c r="Q8" s="6" t="n">
        <v>3594595</v>
      </c>
      <c r="R8" s="6" t="n">
        <v>3635269</v>
      </c>
      <c r="S8" s="6" t="n">
        <v>3146865</v>
      </c>
      <c r="T8" s="6" t="n">
        <v>1963202</v>
      </c>
    </row>
    <row r="9">
      <c r="A9" s="6" t="inlineStr">
        <is>
          <t>Investment securities other than Government/Treasury securities (FY2026 and FY2025: Debt Securities + Equity shares combined)</t>
        </is>
      </c>
      <c r="B9" s="6" t="n">
        <v>477577</v>
      </c>
      <c r="C9" s="6" t="n">
        <v>535052</v>
      </c>
      <c r="D9" s="6" t="n">
        <v>551784</v>
      </c>
      <c r="E9" s="6" t="n">
        <v>431819</v>
      </c>
      <c r="F9" s="6" t="n">
        <v>366804</v>
      </c>
      <c r="G9" s="6" t="n">
        <v>412986</v>
      </c>
      <c r="H9" s="6" t="n">
        <v>607599</v>
      </c>
      <c r="I9" s="6" t="n">
        <v>608610</v>
      </c>
      <c r="J9" s="6" t="n">
        <v>612801</v>
      </c>
      <c r="K9" s="6" t="n">
        <v>609179</v>
      </c>
      <c r="L9" s="6" t="n">
        <v>614061</v>
      </c>
      <c r="M9" s="6" t="n">
        <v>412979</v>
      </c>
      <c r="N9" s="6" t="n">
        <v>371918</v>
      </c>
      <c r="O9" s="6" t="n">
        <v>423667</v>
      </c>
      <c r="P9" s="6" t="n">
        <v>479531</v>
      </c>
      <c r="Q9" s="6" t="n">
        <v>1057938</v>
      </c>
      <c r="R9" s="6" t="n"/>
      <c r="S9" s="6" t="n"/>
      <c r="T9" s="6" t="n"/>
    </row>
    <row r="10">
      <c r="A10" s="6" t="inlineStr">
        <is>
          <t>Investment securities (FY2008-FY2010 only - combined, not split into Treasury Bills/other; see source note)</t>
        </is>
      </c>
      <c r="B10" s="6" t="n"/>
      <c r="C10" s="6" t="n"/>
      <c r="D10" s="6" t="n"/>
      <c r="E10" s="6" t="n"/>
      <c r="F10" s="6" t="n"/>
      <c r="G10" s="6" t="n"/>
      <c r="H10" s="6" t="n"/>
      <c r="I10" s="6" t="n"/>
      <c r="J10" s="6" t="n"/>
      <c r="K10" s="6" t="n"/>
      <c r="L10" s="6" t="n"/>
      <c r="M10" s="6" t="n"/>
      <c r="N10" s="6" t="n"/>
      <c r="O10" s="6" t="n"/>
      <c r="P10" s="6" t="n"/>
      <c r="Q10" s="6" t="n"/>
      <c r="R10" s="6" t="n">
        <v>2000397</v>
      </c>
      <c r="S10" s="6" t="n">
        <v>2927000</v>
      </c>
      <c r="T10" s="6" t="n">
        <v>4365047</v>
      </c>
    </row>
    <row r="11">
      <c r="A11" s="6" t="inlineStr">
        <is>
          <t>Derivative financial instruments</t>
        </is>
      </c>
      <c r="B11" s="6" t="n">
        <v>16802</v>
      </c>
      <c r="C11" s="6" t="n">
        <v>22995</v>
      </c>
      <c r="D11" s="6" t="n">
        <v>23710</v>
      </c>
      <c r="E11" s="6" t="n">
        <v>48189</v>
      </c>
      <c r="F11" s="6" t="n">
        <v>20096</v>
      </c>
      <c r="G11" s="6" t="n">
        <v>49181</v>
      </c>
      <c r="H11" s="6" t="n">
        <v>33964</v>
      </c>
      <c r="I11" s="6" t="n">
        <v>29259</v>
      </c>
      <c r="J11" s="6" t="n">
        <v>24295</v>
      </c>
      <c r="K11" s="6" t="n"/>
      <c r="L11" s="6" t="n"/>
      <c r="M11" s="6" t="n"/>
      <c r="N11" s="6" t="n"/>
      <c r="O11" s="6" t="n"/>
      <c r="P11" s="6" t="n"/>
      <c r="Q11" s="6" t="n"/>
      <c r="R11" s="6" t="n"/>
      <c r="S11" s="6" t="n"/>
      <c r="T11" s="6" t="n"/>
    </row>
    <row r="12">
      <c r="A12" s="6" t="inlineStr">
        <is>
          <t>Tangible &amp; intangible fixed assets</t>
        </is>
      </c>
      <c r="B12" s="6" t="n">
        <v>3334</v>
      </c>
      <c r="C12" s="6" t="n">
        <v>2447</v>
      </c>
      <c r="D12" s="6" t="n">
        <v>2350</v>
      </c>
      <c r="E12" s="6" t="n">
        <v>2348</v>
      </c>
      <c r="F12" s="6" t="n">
        <v>2690</v>
      </c>
      <c r="G12" s="6" t="n">
        <v>3549</v>
      </c>
      <c r="H12" s="6" t="n">
        <v>4107</v>
      </c>
      <c r="I12" s="6" t="n">
        <v>2302</v>
      </c>
      <c r="J12" s="6" t="n">
        <v>2776</v>
      </c>
      <c r="K12" s="6" t="n">
        <v>3469</v>
      </c>
      <c r="L12" s="6" t="n">
        <v>4184</v>
      </c>
      <c r="M12" s="6" t="n">
        <v>4774</v>
      </c>
      <c r="N12" s="6" t="n">
        <v>5751</v>
      </c>
      <c r="O12" s="6" t="n">
        <v>7172</v>
      </c>
      <c r="P12" s="6" t="n">
        <v>8487</v>
      </c>
      <c r="Q12" s="6" t="n">
        <v>9760</v>
      </c>
      <c r="R12" s="6" t="n">
        <v>11666</v>
      </c>
      <c r="S12" s="6" t="n">
        <v>13076</v>
      </c>
      <c r="T12" s="6" t="n">
        <v>7677</v>
      </c>
    </row>
    <row r="13">
      <c r="A13" s="6" t="inlineStr">
        <is>
          <t>Other assets</t>
        </is>
      </c>
      <c r="B13" s="6" t="n">
        <v>13670</v>
      </c>
      <c r="C13" s="6" t="n">
        <v>11331</v>
      </c>
      <c r="D13" s="6" t="n">
        <v>13339</v>
      </c>
      <c r="E13" s="6" t="n">
        <v>9221</v>
      </c>
      <c r="F13" s="6" t="n">
        <v>27383</v>
      </c>
      <c r="G13" s="6" t="n">
        <v>46158</v>
      </c>
      <c r="H13" s="6" t="n">
        <v>82985</v>
      </c>
      <c r="I13" s="6" t="n">
        <v>43270</v>
      </c>
      <c r="J13" s="6" t="n">
        <v>30380</v>
      </c>
      <c r="K13" s="6" t="n">
        <v>55076</v>
      </c>
      <c r="L13" s="6" t="n">
        <v>53236</v>
      </c>
      <c r="M13" s="6" t="n">
        <v>79037</v>
      </c>
      <c r="N13" s="6" t="n">
        <v>109065</v>
      </c>
      <c r="O13" s="6" t="n">
        <v>93402</v>
      </c>
      <c r="P13" s="6" t="n">
        <v>182211</v>
      </c>
      <c r="Q13" s="6" t="n">
        <v>337406</v>
      </c>
      <c r="R13" s="6" t="n">
        <v>285930</v>
      </c>
      <c r="S13" s="6" t="n">
        <v>162985</v>
      </c>
      <c r="T13" s="6" t="n">
        <v>177925</v>
      </c>
    </row>
    <row r="14">
      <c r="A14" s="6" t="inlineStr">
        <is>
          <t>Prepayments and accrued income</t>
        </is>
      </c>
      <c r="B14" s="6" t="n">
        <v>1146</v>
      </c>
      <c r="C14" s="6" t="n">
        <v>1299</v>
      </c>
      <c r="D14" s="6" t="n">
        <v>1525</v>
      </c>
      <c r="E14" s="6" t="n">
        <v>1343</v>
      </c>
      <c r="F14" s="6" t="n">
        <v>9579</v>
      </c>
      <c r="G14" s="6" t="n">
        <v>11050</v>
      </c>
      <c r="H14" s="6" t="n">
        <v>15792</v>
      </c>
      <c r="I14" s="6" t="n">
        <v>18048</v>
      </c>
      <c r="J14" s="6" t="n">
        <v>18544</v>
      </c>
      <c r="K14" s="6" t="n">
        <v>16855</v>
      </c>
      <c r="L14" s="6" t="n">
        <v>56122</v>
      </c>
      <c r="M14" s="6" t="n">
        <v>35356</v>
      </c>
      <c r="N14" s="6" t="n">
        <v>20183</v>
      </c>
      <c r="O14" s="6" t="n">
        <v>15656</v>
      </c>
      <c r="P14" s="6" t="n">
        <v>29905</v>
      </c>
      <c r="Q14" s="6" t="n">
        <v>48445</v>
      </c>
      <c r="R14" s="6" t="n">
        <v>55319</v>
      </c>
      <c r="S14" s="6" t="n">
        <v>83073</v>
      </c>
      <c r="T14" s="6" t="n">
        <v>86509</v>
      </c>
    </row>
    <row r="15">
      <c r="A15" s="5" t="inlineStr">
        <is>
          <t>Total assets</t>
        </is>
      </c>
      <c r="B15" s="5" t="n">
        <v>2908251</v>
      </c>
      <c r="C15" s="5" t="n">
        <v>2421613</v>
      </c>
      <c r="D15" s="5" t="n">
        <v>2203260</v>
      </c>
      <c r="E15" s="5" t="n">
        <v>2142060</v>
      </c>
      <c r="F15" s="5" t="n">
        <v>2241973</v>
      </c>
      <c r="G15" s="5" t="n">
        <v>2956754</v>
      </c>
      <c r="H15" s="5" t="n">
        <v>3540684</v>
      </c>
      <c r="I15" s="5" t="n">
        <v>3840160</v>
      </c>
      <c r="J15" s="5" t="n">
        <v>3884340</v>
      </c>
      <c r="K15" s="5" t="n">
        <v>3479766</v>
      </c>
      <c r="L15" s="5" t="n">
        <v>4603257</v>
      </c>
      <c r="M15" s="5" t="n">
        <v>4129806</v>
      </c>
      <c r="N15" s="5" t="n">
        <v>4471154</v>
      </c>
      <c r="O15" s="5" t="n">
        <v>3587306</v>
      </c>
      <c r="P15" s="5" t="n">
        <v>4084322</v>
      </c>
      <c r="Q15" s="5" t="n">
        <v>6442020</v>
      </c>
      <c r="R15" s="5" t="n">
        <v>7418865</v>
      </c>
      <c r="S15" s="5" t="n">
        <v>7320708</v>
      </c>
      <c r="T15" s="5" t="n">
        <v>8829049</v>
      </c>
    </row>
    <row r="16">
      <c r="A16" s="5" t="inlineStr">
        <is>
          <t>Liabilities</t>
        </is>
      </c>
      <c r="B16" s="6" t="n"/>
      <c r="C16" s="6" t="n"/>
      <c r="D16" s="6" t="n"/>
      <c r="E16" s="6" t="n"/>
      <c r="F16" s="6" t="n"/>
      <c r="G16" s="6" t="n"/>
      <c r="H16" s="6" t="n"/>
      <c r="I16" s="6" t="n"/>
      <c r="J16" s="6" t="n"/>
      <c r="K16" s="6" t="n"/>
      <c r="L16" s="6" t="n"/>
      <c r="M16" s="6" t="n"/>
      <c r="N16" s="6" t="n"/>
      <c r="O16" s="6" t="n"/>
      <c r="P16" s="6" t="n"/>
      <c r="Q16" s="6" t="n"/>
      <c r="R16" s="6" t="n"/>
      <c r="S16" s="6" t="n"/>
      <c r="T16" s="6" t="n"/>
    </row>
    <row r="17">
      <c r="A17" s="6" t="inlineStr">
        <is>
          <t>Deposits by banks</t>
        </is>
      </c>
      <c r="B17" s="6" t="n">
        <v>167161</v>
      </c>
      <c r="C17" s="6" t="n">
        <v>27169</v>
      </c>
      <c r="D17" s="6" t="n">
        <v>0</v>
      </c>
      <c r="E17" s="6" t="n">
        <v>32456</v>
      </c>
      <c r="F17" s="6" t="n">
        <v>28850</v>
      </c>
      <c r="G17" s="6" t="n">
        <v>65315</v>
      </c>
      <c r="H17" s="6" t="n">
        <v>285939</v>
      </c>
      <c r="I17" s="6" t="n">
        <v>559541</v>
      </c>
      <c r="J17" s="6" t="n">
        <v>916438</v>
      </c>
      <c r="K17" s="6" t="n">
        <v>602425</v>
      </c>
      <c r="L17" s="6" t="n">
        <v>591280</v>
      </c>
      <c r="M17" s="6" t="n">
        <v>365417</v>
      </c>
      <c r="N17" s="6" t="n">
        <v>461141</v>
      </c>
      <c r="O17" s="6" t="n">
        <v>288768</v>
      </c>
      <c r="P17" s="6" t="n">
        <v>318651</v>
      </c>
      <c r="Q17" s="6" t="n">
        <v>355627</v>
      </c>
      <c r="R17" s="6" t="n">
        <v>782806</v>
      </c>
      <c r="S17" s="6" t="n">
        <v>813326</v>
      </c>
      <c r="T17" s="6" t="n">
        <v>1413152</v>
      </c>
    </row>
    <row r="18">
      <c r="A18" s="6" t="inlineStr">
        <is>
          <t>Customer accounts</t>
        </is>
      </c>
      <c r="B18" s="6" t="n">
        <v>2263521</v>
      </c>
      <c r="C18" s="6" t="n">
        <v>1901625</v>
      </c>
      <c r="D18" s="6" t="n">
        <v>1668596</v>
      </c>
      <c r="E18" s="6" t="n">
        <v>1617438</v>
      </c>
      <c r="F18" s="6" t="n">
        <v>1541957</v>
      </c>
      <c r="G18" s="6" t="n">
        <v>1957458</v>
      </c>
      <c r="H18" s="6" t="n">
        <v>2042228</v>
      </c>
      <c r="I18" s="6" t="n">
        <v>2140798</v>
      </c>
      <c r="J18" s="6" t="n">
        <v>1748820</v>
      </c>
      <c r="K18" s="6" t="n">
        <v>1648588</v>
      </c>
      <c r="L18" s="6" t="n">
        <v>2466866</v>
      </c>
      <c r="M18" s="6" t="n">
        <v>2284686</v>
      </c>
      <c r="N18" s="6" t="n">
        <v>2533259</v>
      </c>
      <c r="O18" s="6" t="n">
        <v>1799281</v>
      </c>
      <c r="P18" s="6" t="n">
        <v>2411464</v>
      </c>
      <c r="Q18" s="6" t="n">
        <v>4210158</v>
      </c>
      <c r="R18" s="6" t="n">
        <v>4552107</v>
      </c>
      <c r="S18" s="6" t="n">
        <v>4622767</v>
      </c>
      <c r="T18" s="6" t="n">
        <v>5180328</v>
      </c>
    </row>
    <row r="19">
      <c r="A19" s="6" t="inlineStr">
        <is>
          <t>Bonds and medium term notes</t>
        </is>
      </c>
      <c r="B19" s="6" t="n"/>
      <c r="C19" s="6" t="n"/>
      <c r="D19" s="6" t="n">
        <v>0</v>
      </c>
      <c r="E19" s="6" t="n">
        <v>25122</v>
      </c>
      <c r="F19" s="6" t="n">
        <v>146358</v>
      </c>
      <c r="G19" s="6" t="n">
        <v>197852</v>
      </c>
      <c r="H19" s="6" t="n">
        <v>295301</v>
      </c>
      <c r="I19" s="6" t="n">
        <v>238632</v>
      </c>
      <c r="J19" s="6" t="n">
        <v>359781</v>
      </c>
      <c r="K19" s="6" t="n">
        <v>344197</v>
      </c>
      <c r="L19" s="6" t="n">
        <v>511453</v>
      </c>
      <c r="M19" s="6" t="n">
        <v>250530</v>
      </c>
      <c r="N19" s="6" t="n"/>
      <c r="O19" s="6" t="n"/>
      <c r="P19" s="6" t="n"/>
      <c r="Q19" s="6" t="n"/>
      <c r="R19" s="6" t="n"/>
      <c r="S19" s="6" t="n"/>
      <c r="T19" s="6" t="n"/>
    </row>
    <row r="20">
      <c r="A20" s="6" t="inlineStr">
        <is>
          <t>Debt securities and subordinated liabilities (FY2008-FY2014 only - combined; none of these years' own Annual Reports, nor any later year's comparative column, ever splits this into Bonds/Subordinated debt, see source note)</t>
        </is>
      </c>
      <c r="B20" s="6" t="n"/>
      <c r="C20" s="6" t="n"/>
      <c r="D20" s="6" t="n"/>
      <c r="E20" s="6" t="n"/>
      <c r="F20" s="6" t="n"/>
      <c r="G20" s="6" t="n"/>
      <c r="H20" s="6" t="n"/>
      <c r="I20" s="6" t="n"/>
      <c r="J20" s="6" t="n"/>
      <c r="K20" s="6" t="n"/>
      <c r="L20" s="6" t="n"/>
      <c r="M20" s="6" t="n"/>
      <c r="N20" s="6" t="n">
        <v>426643</v>
      </c>
      <c r="O20" s="6" t="n">
        <v>528070</v>
      </c>
      <c r="P20" s="6" t="n">
        <v>372621</v>
      </c>
      <c r="Q20" s="6" t="n">
        <v>838492</v>
      </c>
      <c r="R20" s="6" t="n">
        <v>1112408</v>
      </c>
      <c r="S20" s="6" t="n">
        <v>1168120</v>
      </c>
      <c r="T20" s="6" t="n">
        <v>1341251</v>
      </c>
    </row>
    <row r="21">
      <c r="A21" s="6" t="inlineStr">
        <is>
          <t>Derivative financial instruments</t>
        </is>
      </c>
      <c r="B21" s="6" t="n">
        <v>15516</v>
      </c>
      <c r="C21" s="6" t="n">
        <v>16587</v>
      </c>
      <c r="D21" s="6" t="n">
        <v>19191</v>
      </c>
      <c r="E21" s="6" t="n">
        <v>28483</v>
      </c>
      <c r="F21" s="6" t="n">
        <v>18208</v>
      </c>
      <c r="G21" s="6" t="n">
        <v>40360</v>
      </c>
      <c r="H21" s="6" t="n">
        <v>73225</v>
      </c>
      <c r="I21" s="6" t="n">
        <v>19918</v>
      </c>
      <c r="J21" s="6" t="n">
        <v>17572</v>
      </c>
      <c r="K21" s="6" t="n"/>
      <c r="L21" s="6" t="n"/>
      <c r="M21" s="6" t="n"/>
      <c r="N21" s="6" t="n"/>
      <c r="O21" s="6" t="n"/>
      <c r="P21" s="6" t="n"/>
      <c r="Q21" s="6" t="n"/>
      <c r="R21" s="6" t="n"/>
      <c r="S21" s="6" t="n"/>
      <c r="T21" s="6" t="n"/>
    </row>
    <row r="22">
      <c r="A22" s="6" t="inlineStr">
        <is>
          <t>Other liabilities</t>
        </is>
      </c>
      <c r="B22" s="6" t="n">
        <v>16953</v>
      </c>
      <c r="C22" s="6" t="n">
        <v>28627</v>
      </c>
      <c r="D22" s="6" t="n">
        <v>24163</v>
      </c>
      <c r="E22" s="6" t="n">
        <v>37868</v>
      </c>
      <c r="F22" s="6" t="n">
        <v>15546</v>
      </c>
      <c r="G22" s="6" t="n">
        <v>19620</v>
      </c>
      <c r="H22" s="6" t="n">
        <v>18843</v>
      </c>
      <c r="I22" s="6" t="n">
        <v>32265</v>
      </c>
      <c r="J22" s="6" t="n">
        <v>13066</v>
      </c>
      <c r="K22" s="6" t="n">
        <v>26297</v>
      </c>
      <c r="L22" s="6" t="n">
        <v>76075</v>
      </c>
      <c r="M22" s="6" t="n">
        <v>126762</v>
      </c>
      <c r="N22" s="6" t="n">
        <v>73041</v>
      </c>
      <c r="O22" s="6" t="n">
        <v>106591</v>
      </c>
      <c r="P22" s="6" t="n">
        <v>222742</v>
      </c>
      <c r="Q22" s="6" t="n">
        <v>262727</v>
      </c>
      <c r="R22" s="6" t="n">
        <v>245458</v>
      </c>
      <c r="S22" s="6" t="n">
        <v>287430</v>
      </c>
      <c r="T22" s="6" t="n">
        <v>403240</v>
      </c>
    </row>
    <row r="23">
      <c r="A23" s="6" t="inlineStr">
        <is>
          <t>Accruals and deferred income</t>
        </is>
      </c>
      <c r="B23" s="6" t="n">
        <v>12955</v>
      </c>
      <c r="C23" s="6" t="n">
        <v>11671</v>
      </c>
      <c r="D23" s="6" t="n">
        <v>11078</v>
      </c>
      <c r="E23" s="6" t="n">
        <v>9734</v>
      </c>
      <c r="F23" s="6" t="n">
        <v>13680</v>
      </c>
      <c r="G23" s="6" t="n">
        <v>14139</v>
      </c>
      <c r="H23" s="6" t="n">
        <v>20724</v>
      </c>
      <c r="I23" s="6" t="n">
        <v>24064</v>
      </c>
      <c r="J23" s="6" t="n">
        <v>21045</v>
      </c>
      <c r="K23" s="6" t="n">
        <v>19096</v>
      </c>
      <c r="L23" s="6" t="n">
        <v>24431</v>
      </c>
      <c r="M23" s="6" t="n">
        <v>29546</v>
      </c>
      <c r="N23" s="6" t="n">
        <v>31477</v>
      </c>
      <c r="O23" s="6" t="n">
        <v>34464</v>
      </c>
      <c r="P23" s="6" t="n">
        <v>49204</v>
      </c>
      <c r="Q23" s="6" t="n">
        <v>91654</v>
      </c>
      <c r="R23" s="6" t="n">
        <v>99483</v>
      </c>
      <c r="S23" s="6" t="n">
        <v>19233</v>
      </c>
      <c r="T23" s="6" t="n">
        <v>25056</v>
      </c>
    </row>
    <row r="24">
      <c r="A24" s="6" t="inlineStr">
        <is>
          <t>Subordinated debt</t>
        </is>
      </c>
      <c r="B24" s="6" t="n">
        <v>50661</v>
      </c>
      <c r="C24" s="6" t="n">
        <v>50568</v>
      </c>
      <c r="D24" s="6" t="n">
        <v>50028</v>
      </c>
      <c r="E24" s="6" t="n">
        <v>72616</v>
      </c>
      <c r="F24" s="6" t="n">
        <v>72954</v>
      </c>
      <c r="G24" s="6" t="n">
        <v>76116</v>
      </c>
      <c r="H24" s="6" t="n">
        <v>219854</v>
      </c>
      <c r="I24" s="6" t="n">
        <v>223348</v>
      </c>
      <c r="J24" s="6" t="n">
        <v>149880</v>
      </c>
      <c r="K24" s="6" t="n">
        <v>176149</v>
      </c>
      <c r="L24" s="6" t="n">
        <v>234242</v>
      </c>
      <c r="M24" s="6" t="n">
        <v>233402</v>
      </c>
      <c r="N24" s="6" t="n"/>
      <c r="O24" s="6" t="n"/>
      <c r="P24" s="6" t="n"/>
      <c r="Q24" s="6" t="n"/>
      <c r="R24" s="6" t="n"/>
      <c r="S24" s="6" t="n"/>
      <c r="T24" s="6" t="n"/>
    </row>
    <row r="25">
      <c r="A25" s="6" t="inlineStr">
        <is>
          <t>Repurchase Agreements</t>
        </is>
      </c>
      <c r="B25" s="6" t="n">
        <v>23702</v>
      </c>
      <c r="C25" s="6" t="n">
        <v>33425</v>
      </c>
      <c r="D25" s="6" t="n">
        <v>92735</v>
      </c>
      <c r="E25" s="6" t="n">
        <v>0</v>
      </c>
      <c r="F25" s="6" t="n">
        <v>88548</v>
      </c>
      <c r="G25" s="6" t="n">
        <v>79153</v>
      </c>
      <c r="H25" s="6" t="n">
        <v>131238</v>
      </c>
      <c r="I25" s="6" t="n">
        <v>147263</v>
      </c>
      <c r="J25" s="6" t="n">
        <v>150986</v>
      </c>
      <c r="K25" s="6" t="n">
        <v>129784</v>
      </c>
      <c r="L25" s="6" t="n">
        <v>153383</v>
      </c>
      <c r="M25" s="6" t="n">
        <v>294035</v>
      </c>
      <c r="N25" s="6" t="n">
        <v>316544</v>
      </c>
      <c r="O25" s="6" t="n"/>
      <c r="P25" s="6" t="n"/>
      <c r="Q25" s="6" t="n"/>
      <c r="R25" s="6" t="n"/>
      <c r="S25" s="6" t="n"/>
      <c r="T25" s="6" t="n"/>
    </row>
    <row r="26">
      <c r="A26" s="5" t="inlineStr">
        <is>
          <t>Total Liabilities</t>
        </is>
      </c>
      <c r="B26" s="5" t="n">
        <v>2550469</v>
      </c>
      <c r="C26" s="5" t="n">
        <v>2069672</v>
      </c>
      <c r="D26" s="5" t="n">
        <v>1865791</v>
      </c>
      <c r="E26" s="5" t="n">
        <v>1823717</v>
      </c>
      <c r="F26" s="5" t="n">
        <v>1926101</v>
      </c>
      <c r="G26" s="5" t="n">
        <v>2450013</v>
      </c>
      <c r="H26" s="5" t="n">
        <v>3087352</v>
      </c>
      <c r="I26" s="5" t="n">
        <v>3385829</v>
      </c>
      <c r="J26" s="5" t="n">
        <v>3377588</v>
      </c>
      <c r="K26" s="5" t="n">
        <v>2946536</v>
      </c>
      <c r="L26" s="5" t="n">
        <v>4057730</v>
      </c>
      <c r="M26" s="5" t="n">
        <v>3584378</v>
      </c>
      <c r="N26" s="5" t="n">
        <v>3842105</v>
      </c>
      <c r="O26" s="5" t="n">
        <v>2965134</v>
      </c>
      <c r="P26" s="5" t="n">
        <v>3374682</v>
      </c>
      <c r="Q26" s="5" t="n">
        <v>5758658</v>
      </c>
      <c r="R26" s="5" t="n">
        <v>6792262</v>
      </c>
      <c r="S26" s="5" t="n">
        <v>6910876</v>
      </c>
      <c r="T26" s="5" t="n">
        <v>8363027</v>
      </c>
    </row>
    <row r="27">
      <c r="A27" s="5" t="inlineStr">
        <is>
          <t>Shareholders' funds</t>
        </is>
      </c>
      <c r="B27" s="6" t="n"/>
      <c r="C27" s="6" t="n"/>
      <c r="D27" s="6" t="n"/>
      <c r="E27" s="6" t="n"/>
      <c r="F27" s="6" t="n"/>
      <c r="G27" s="6" t="n"/>
      <c r="H27" s="6" t="n"/>
      <c r="I27" s="6" t="n"/>
      <c r="J27" s="6" t="n"/>
      <c r="K27" s="6" t="n"/>
      <c r="L27" s="6" t="n"/>
      <c r="M27" s="6" t="n"/>
      <c r="N27" s="6" t="n"/>
      <c r="O27" s="6" t="n"/>
      <c r="P27" s="6" t="n"/>
      <c r="Q27" s="6" t="n"/>
      <c r="R27" s="6" t="n"/>
      <c r="S27" s="6" t="n"/>
      <c r="T27" s="6" t="n"/>
    </row>
    <row r="28">
      <c r="A28" s="6" t="inlineStr">
        <is>
          <t>Issued share capital</t>
        </is>
      </c>
      <c r="B28" s="6" t="n">
        <v>220095</v>
      </c>
      <c r="C28" s="6" t="n">
        <v>220095</v>
      </c>
      <c r="D28" s="6" t="n">
        <v>220095</v>
      </c>
      <c r="E28" s="6" t="n">
        <v>220095</v>
      </c>
      <c r="F28" s="6" t="n">
        <v>220095</v>
      </c>
      <c r="G28" s="6" t="n">
        <v>420095</v>
      </c>
      <c r="H28" s="6" t="n">
        <v>420095</v>
      </c>
      <c r="I28" s="6" t="n">
        <v>420095</v>
      </c>
      <c r="J28" s="6" t="n">
        <v>420095</v>
      </c>
      <c r="K28" s="6" t="n">
        <v>420095</v>
      </c>
      <c r="L28" s="6" t="n">
        <v>420095</v>
      </c>
      <c r="M28" s="6" t="n">
        <v>420095</v>
      </c>
      <c r="N28" s="6" t="n">
        <v>495095</v>
      </c>
      <c r="O28" s="6" t="n">
        <v>495095</v>
      </c>
      <c r="P28" s="6" t="n">
        <v>545095</v>
      </c>
      <c r="Q28" s="6" t="n">
        <v>545095</v>
      </c>
      <c r="R28" s="6" t="n">
        <v>545095</v>
      </c>
      <c r="S28" s="6" t="n">
        <v>545095</v>
      </c>
      <c r="T28" s="6" t="n">
        <v>445095</v>
      </c>
    </row>
    <row r="29">
      <c r="A29" s="6" t="inlineStr">
        <is>
          <t>Preference share capital (Non-equity/Preference share capital; redeemed during FY2013 - see Statement of Changes in Equity)</t>
        </is>
      </c>
      <c r="B29" s="6" t="n"/>
      <c r="C29" s="6" t="n"/>
      <c r="D29" s="6" t="n"/>
      <c r="E29" s="6" t="n"/>
      <c r="F29" s="6" t="n"/>
      <c r="G29" s="6" t="n"/>
      <c r="H29" s="6" t="n"/>
      <c r="I29" s="6" t="n"/>
      <c r="J29" s="6" t="n"/>
      <c r="K29" s="6" t="n"/>
      <c r="L29" s="6" t="n"/>
      <c r="M29" s="6" t="n"/>
      <c r="N29" s="6" t="n"/>
      <c r="O29" s="6" t="n">
        <v>0</v>
      </c>
      <c r="P29" s="6" t="n">
        <v>50000</v>
      </c>
      <c r="Q29" s="6" t="n">
        <v>50000</v>
      </c>
      <c r="R29" s="6" t="n">
        <v>50000</v>
      </c>
      <c r="S29" s="6" t="n">
        <v>50000</v>
      </c>
      <c r="T29" s="6" t="n">
        <v>50000</v>
      </c>
    </row>
    <row r="30">
      <c r="A30" s="6" t="inlineStr">
        <is>
          <t>Capital contribution</t>
        </is>
      </c>
      <c r="B30" s="6" t="n">
        <v>12208</v>
      </c>
      <c r="C30" s="6" t="n">
        <v>12208</v>
      </c>
      <c r="D30" s="6" t="n">
        <v>12208</v>
      </c>
      <c r="E30" s="6" t="n">
        <v>12208</v>
      </c>
      <c r="F30" s="6" t="n">
        <v>12194</v>
      </c>
      <c r="G30" s="6" t="n">
        <v>12108</v>
      </c>
      <c r="H30" s="6" t="n">
        <v>11634</v>
      </c>
      <c r="I30" s="6" t="n">
        <v>10703</v>
      </c>
      <c r="J30" s="6" t="n">
        <v>10168</v>
      </c>
      <c r="K30" s="6" t="n">
        <v>9121</v>
      </c>
      <c r="L30" s="6" t="n">
        <v>7332</v>
      </c>
      <c r="M30" s="6" t="n">
        <v>5912</v>
      </c>
      <c r="N30" s="6" t="n">
        <v>5256</v>
      </c>
      <c r="O30" s="6" t="n">
        <v>4148</v>
      </c>
      <c r="P30" s="6" t="n">
        <v>3151</v>
      </c>
      <c r="Q30" s="6" t="n">
        <v>2131</v>
      </c>
      <c r="R30" s="6" t="n">
        <v>1467</v>
      </c>
      <c r="S30" s="6" t="n">
        <v>851</v>
      </c>
      <c r="T30" s="6" t="n"/>
    </row>
    <row r="31">
      <c r="A31" s="6" t="inlineStr">
        <is>
          <t>Capital redemption reserve (cancelled into Retained earnings during FY2015 - see Statement of Changes in Equity)</t>
        </is>
      </c>
      <c r="B31" s="6" t="n"/>
      <c r="C31" s="6" t="n"/>
      <c r="D31" s="6" t="n"/>
      <c r="E31" s="6" t="n"/>
      <c r="F31" s="6" t="n"/>
      <c r="G31" s="6" t="n"/>
      <c r="H31" s="6" t="n"/>
      <c r="I31" s="6" t="n"/>
      <c r="J31" s="6" t="n"/>
      <c r="K31" s="6" t="n"/>
      <c r="L31" s="6" t="n"/>
      <c r="M31" s="6" t="n">
        <v>0</v>
      </c>
      <c r="N31" s="6" t="n">
        <v>50000</v>
      </c>
      <c r="O31" s="6" t="n">
        <v>50000</v>
      </c>
      <c r="P31" s="6" t="n"/>
      <c r="Q31" s="6" t="n"/>
      <c r="R31" s="6" t="n"/>
      <c r="S31" s="6" t="n"/>
      <c r="T31" s="6" t="n"/>
    </row>
    <row r="32">
      <c r="A32" s="6" t="inlineStr">
        <is>
          <t>Retained earnings</t>
        </is>
      </c>
      <c r="B32" s="6" t="n">
        <v>126683</v>
      </c>
      <c r="C32" s="6" t="n">
        <v>117423</v>
      </c>
      <c r="D32" s="6" t="n">
        <v>103595</v>
      </c>
      <c r="E32" s="6" t="n">
        <v>86086</v>
      </c>
      <c r="F32" s="6" t="n">
        <v>83076</v>
      </c>
      <c r="G32" s="6" t="n">
        <v>72175</v>
      </c>
      <c r="H32" s="6" t="n">
        <v>57383</v>
      </c>
      <c r="I32" s="6" t="n">
        <v>34133</v>
      </c>
      <c r="J32" s="6" t="n">
        <v>87002</v>
      </c>
      <c r="K32" s="6" t="n">
        <v>112550</v>
      </c>
      <c r="L32" s="6" t="n">
        <v>128632</v>
      </c>
      <c r="M32" s="6" t="n">
        <v>128089</v>
      </c>
      <c r="N32" s="6" t="n">
        <v>89760</v>
      </c>
      <c r="O32" s="6" t="n">
        <v>89536</v>
      </c>
      <c r="P32" s="6" t="n">
        <v>149278</v>
      </c>
      <c r="Q32" s="6" t="n">
        <v>148013</v>
      </c>
      <c r="R32" s="6" t="n">
        <v>115582</v>
      </c>
      <c r="S32" s="6" t="n">
        <v>78589</v>
      </c>
      <c r="T32" s="6" t="n">
        <v>71753</v>
      </c>
    </row>
    <row r="33">
      <c r="A33" s="6" t="inlineStr">
        <is>
          <t>Available for sale reserve</t>
        </is>
      </c>
      <c r="B33" s="6" t="n">
        <v>-1204</v>
      </c>
      <c r="C33" s="6" t="n">
        <v>2215</v>
      </c>
      <c r="D33" s="6" t="n">
        <v>1571</v>
      </c>
      <c r="E33" s="6" t="n">
        <v>-46</v>
      </c>
      <c r="F33" s="6" t="n">
        <v>507</v>
      </c>
      <c r="G33" s="6" t="n">
        <v>2363</v>
      </c>
      <c r="H33" s="6" t="n">
        <v>-35780</v>
      </c>
      <c r="I33" s="6" t="n">
        <v>-10600</v>
      </c>
      <c r="J33" s="6" t="n">
        <v>-10513</v>
      </c>
      <c r="K33" s="6" t="n">
        <v>-8536</v>
      </c>
      <c r="L33" s="6" t="n">
        <v>-10532</v>
      </c>
      <c r="M33" s="6" t="n">
        <v>-8668</v>
      </c>
      <c r="N33" s="6" t="n">
        <v>-11062</v>
      </c>
      <c r="O33" s="6" t="n">
        <v>-16607</v>
      </c>
      <c r="P33" s="6" t="n">
        <v>-37884</v>
      </c>
      <c r="Q33" s="6" t="n">
        <v>-61877</v>
      </c>
      <c r="R33" s="6" t="n">
        <v>-85541</v>
      </c>
      <c r="S33" s="6" t="n">
        <v>-264703</v>
      </c>
      <c r="T33" s="6" t="n">
        <v>-100826</v>
      </c>
    </row>
    <row r="34">
      <c r="A34" s="5" t="inlineStr">
        <is>
          <t>Total Equity</t>
        </is>
      </c>
      <c r="B34" s="5" t="n">
        <v>357782</v>
      </c>
      <c r="C34" s="5" t="n">
        <v>351941</v>
      </c>
      <c r="D34" s="5" t="n">
        <v>337469</v>
      </c>
      <c r="E34" s="5" t="n">
        <v>318343</v>
      </c>
      <c r="F34" s="5" t="n">
        <v>315872</v>
      </c>
      <c r="G34" s="5" t="n">
        <v>506741</v>
      </c>
      <c r="H34" s="5" t="n">
        <v>453332</v>
      </c>
      <c r="I34" s="5" t="n">
        <v>454331</v>
      </c>
      <c r="J34" s="5" t="n">
        <v>506752</v>
      </c>
      <c r="K34" s="5" t="n">
        <v>533230</v>
      </c>
      <c r="L34" s="5" t="n">
        <v>545527</v>
      </c>
      <c r="M34" s="5" t="n">
        <v>545428</v>
      </c>
      <c r="N34" s="5" t="n">
        <v>629049</v>
      </c>
      <c r="O34" s="5" t="n">
        <v>622172</v>
      </c>
      <c r="P34" s="5" t="n">
        <v>709640</v>
      </c>
      <c r="Q34" s="5" t="n">
        <v>683362</v>
      </c>
      <c r="R34" s="5" t="n">
        <v>626603</v>
      </c>
      <c r="S34" s="5" t="n">
        <v>409832</v>
      </c>
      <c r="T34" s="5" t="n">
        <v>466022</v>
      </c>
    </row>
    <row r="35">
      <c r="A35" s="5" t="inlineStr">
        <is>
          <t>Total Equity and Liabilities</t>
        </is>
      </c>
      <c r="B35" s="5" t="n">
        <v>2908251</v>
      </c>
      <c r="C35" s="5" t="n">
        <v>2421613</v>
      </c>
      <c r="D35" s="5" t="n">
        <v>2203260</v>
      </c>
      <c r="E35" s="5" t="n">
        <v>2142060</v>
      </c>
      <c r="F35" s="5" t="n">
        <v>2241973</v>
      </c>
      <c r="G35" s="5" t="n">
        <v>2956754</v>
      </c>
      <c r="H35" s="5" t="n">
        <v>3540684</v>
      </c>
      <c r="I35" s="5" t="n">
        <v>3840160</v>
      </c>
      <c r="J35" s="5" t="n">
        <v>3884340</v>
      </c>
      <c r="K35" s="5" t="n">
        <v>3479766</v>
      </c>
      <c r="L35" s="5" t="n">
        <v>4603257</v>
      </c>
      <c r="M35" s="5" t="n">
        <v>4129806</v>
      </c>
      <c r="N35" s="5" t="n">
        <v>4471154</v>
      </c>
      <c r="O35" s="5" t="n">
        <v>3587306</v>
      </c>
      <c r="P35" s="5" t="n">
        <v>4084322</v>
      </c>
      <c r="Q35" s="5" t="n">
        <v>6442020</v>
      </c>
      <c r="R35" s="5" t="n">
        <v>7418865</v>
      </c>
      <c r="S35" s="5" t="n">
        <v>7320708</v>
      </c>
      <c r="T35" s="5" t="n">
        <v>8829049</v>
      </c>
    </row>
    <row r="37" ht="364" customHeight="1">
      <c r="A37" s="8" t="inlineStr">
        <is>
          <t>Sources - ICICI Bank UK Plc's own Annual Reports (own website unless noted; Companies House filings for FY2024/23/22/21/14, text-native except FY2014 which is a scanned/non-text filing read page-by-page):
FY2026: Strategic report, Directors' report and financial statements, year ended 31 March 2026, Profit and loss account p.32 / Statement of other comprehensive income p.33 / Balance sheet p.34 / Statement of change in equity p.36 / Note 19 'Potential credit risk on financial instruments' p.61 - https://www.icicibank.co.uk/content/dam/icicibank-revamp/uk/doc/financial-report-FY2026.pdf. Published on the Bank's own website; the Companies House filing history for 04663024 still shows 31 March 2025 as the latest accounts filed, so this is the Bank's own published source rather than a Companies House copy. Added 2026-09-15. Every FY2026 statement was verified to foot internally (Total assets USD 2,908,251k = Total Liabilities USD 2,550,469k + Total Equity USD 357,782k; the equity roll-forward from the 1 April 2025 opening balance ties to the 31 March 2026 closing balance on all four components) and every FY2025 comparative printed in the FY2026 report reproduces this workbook's existing FY2025 figures exactly, so no prior year was restated. Two presentational points carried over unchanged from FY2025: 'Debt Securities' and 'Equity shares' are printed as two separate Balance Sheet lines and are combined here into the single 'Investment securities other than Government/Treasury securities' row (FY2026 473,773 + 3,804 = 477,577), and 'Intangible fixed assets' and 'Tangible fixed assets' are likewise combined into 'Tangible &amp; intangible fixed assets' (FY2026 1,189 + 2,145 = 3,334) - both matching how the earlier years in this sheet are already presented. FY2026's 'Impairment on loans and advances' is a net credit of USD 534k (a release, not a charge), which is a real disclosed figure, not a sign error.
FY2025/FY2024: Annual Report and Accounts, year ended 31 March 2025, Profit and loss account/Statement of other comprehensive income/Balance sheet/Statement of change in equity, pp.36-39 - https://www.icicibank.co.uk/content/dam/icicibank/icici-assets/uk/financial-report-uk-FY2025.pdf
FY2023 (own): Annual Report and Accounts, year ended 31 March 2023, pp.38-41 - https://find-and-update.company-information.service.gov.uk/company/04663024/filing-history/MzM5Mjc5MzA4M2FkaXF6a2N4/document?format=pdf&amp;download=0
FY2022 (own): Annual Report and Accounts, year ended 31 March 2022, pp.39-42 - https://find-and-update.company-information.service.gov.uk/company/04663024/filing-history/MzM0NjUxNzQwNmFkaXF6a2N4/document?format=pdf&amp;download=0
FY2021 (own): Annual Report and Accounts, year ended 31 March 2021, pp.35-38 - https://find-and-update.company-information.service.gov.uk/company/04663024/filing-history/MzMwMTQ3NjY0OGFkaXF6a2N4/document?format=pdf&amp;download=0
FY2020 (own): Strategic report, Directors' report and financial statements, year ended 31 March 2020, Profit and loss account/Statement of other comprehensive income/Balance sheet/Statement of change in equity/Note 19, pp.30-33, 51-52 - https://www.icicibank.co.uk/content/dam/icicibank/icici-assets/uk/financial-report-19-20.pdf
FY2019 (own): Strategic report, Directors' report and financial statements, year ended 31 March 2019, pp.29-32, 55 - https://www.icicibank.co.uk/content/dam/icicibank/icici-assets/uk/financial-report-18-19.pdf
FY2018 (own): Strategic report, Directors' report and financial statements, year ended 31 March 2018, pp.25-28, 51 - https://www.icicibank.co.uk/content/dam/icicibank/icici-assets/uk/financial-report-17-18.pdf
FY2017 (own): Strategic Report, Directors' Report and Financial Statements, year ended 31 March 2017, pp.19-22, 44 - https://www.icicibank.co.uk/content/dam/icicibank/icici-assets/uk/financial-report-16-17.pdf
FY2016 (own): Strategic Report, Directors' Report and Financial Statements, year ended 31 March 2016, pp.16-19, 40 - https://www.icicibank.co.uk/content/dam/icicibank/icici-assets/uk/financial-report-15-16.pdf
FY2015 (own): Strategic Report, Directors' Report and Financial Statements, year ended 31 March 2015, pp.14-19, 36-39 - https://www.icicibank.co.uk/content/dam/icicibank/icici-assets/uk/financial-report-14-15.pdf
FY2014 (own): Strategic report, Directors' report and financial statements, year ended 31 March 2014 (Companies House filing, scanned/non-text - read directly page by page), pp.16-19 - https://find-and-update.company-information.service.gov.uk/company/04663024/filing-history/MzEwMDE3NDY1OGFkaXF6a2N4/document?format=pdf&amp;download=0. Cross-checked against the identical FY2014 comparative column reproduced text-natively in the FY2015 Annual Report (https://www.icicibank.co.uk/content/dam/icicibank/icici-assets/uk/financial-report-14-15.pdf) - every figure ties exactly.
FY2013 (own, Companies House filing MzA3ODM0MTM2NGFkaXF6a2N4, scanned/non-text - read directly page by page): Directors' report and financial statements, year ended March 31, 2013, Profit and loss account/Balance sheet/Statement of total recognised gains and losses/Reconciliation of movements in shareholders' funds, pp.12-15 - https://find-and-update.company-information.service.gov.uk/company/04663024/filing-history/MzA3ODM0MTM2NGFkaXF6a2N4/document?format=pdf&amp;download=0. Cross-checked against the identical FY2013 comparative column reproduced in the FY2014 Companies House filing (https://find-and-update.company-information.service.gov.uk/company/04663024/filing-history/MzEwMDE3NDY1OGFkaXF6a2N4/document?format=pdf&amp;download=0) via the opening 1 April 2013 balance on the Statement of Changes in Equity sheet - ties exactly.
FY2012 (own, Companies House filing MzA1NzY0MjQxOGFkaXF6a2N4, scanned/non-text): Directors' report and financial statements, year ended March 31, 2012, pp.10-13 - https://find-and-update.company-information.service.gov.uk/company/04663024/filing-history/MzA1NzY0MjQxOGFkaXF6a2N4/document?format=pdf&amp;download=0. Cross-checked against the FY2012 comparative column in the FY2013 filing above - ties exactly except the FY2013 filing's comparative reclassifies USD 67,183k out of 'Loans and advances to banks' into a new 'Balances at central banks' line for FY2012 (a restatement, not a real change - FY2012's own originally-published Total assets of 4,084,322 is unaffected either way); this workbook uses FY2012's own originally-published, unreclassified figures throughout, per this project's standard convention.
FY2011 (own, Companies House filing MzAzNjcwNDYwOGFkaXF6a2N4, scanned/non-text): Directors' report and financial statements, year ended March 31, 2011, pp.9-12 - https://find-and-update.company-information.service.gov.uk/company/04663024/filing-history/MzAzNjcwNDYwOGFkaXF6a2N4/document?format=pdf&amp;download=0. Cross-checked against the FY2011 comparative column in the FY2012 filing above - ties exactly.
FY2010 (own, Companies House filing MzAyMTI3MzU1MGFkaXF6a2N4, scanned/non-text): Directors report and financial statements, year ended March 31, 2010, pp.9-12 - https://find-and-update.company-information.service.gov.uk/company/04663024/filing-history/MzAyMTI3MzU1MGFkaXF6a2N4/document?format=pdf&amp;download=0. Cross-checked against the FY2010 comparative column in the FY2011 filing above - ties exactly.
FY2009 (own, Companies House filing MjAzNTc0MTU4N2FkaXF6a2N4, scanned/non-text): Directors' report and financial statements, year ended March 31, 2009, pp.10-13 - https://find-and-update.company-information.service.gov.uk/company/04663024/filing-history/MjAzNTc0MTU4N2FkaXF6a2N4/document?format=pdf&amp;download=0. Cross-checked against the FY2009 comparative column in the FY2010 filing above - ties exactly.
FY2008 (own, Companies House filing MjAwNzk0MTQ0MGFkaXF6a2N4, scanned/non-text): Directors' report and financial statements, year ended 31 March 2008, Profit and loss account/Balance sheet/Statement of total recognised gains and losses/Reconciliation of movements in shareholders' funds, pp.9-12 - https://find-and-update.company-information.service.gov.uk/company/04663024/filing-history/MjAwNzk0MTQ0MGFkaXF6a2N4/document?format=pdf&amp;download=0. Cross-checked against the FY2008 comparative column in the FY2009 filing above - ties exactly (both give Total assets 8,829,049).
HD-046 (2026-09-05): extended FY2014-FY2020 back from the prior FY2021-FY2025 window, capped at FY2014 by explicit project-wide decision (real archive on icicibank.co.uk goes back to FY2008, see HD-046.md) - see wayfinder/historical-depth/tickets/HD-046.md.
HD-075 (2026-09-06): extended the four statutory statements (Balance Sheet, Profit &amp; Loss, Statement of Changes in Equity, Cash Flow Statement) only, further back to FY2008 - the real statutory floor identified by HD-004/HD-046 - by reading all six Companies House filings for FY2008-FY2013 directly (all scanned/non-text, read page by page). Pillar 3, Asset Quality and RWA Breakdown remain capped at FY2014 - out of scope for HD-075. See wayfinder/historical-depth/tickets/HD-075.md.</t>
        </is>
      </c>
    </row>
    <row r="39" ht="247" customHeight="1">
      <c r="A39" s="8" t="inlineStr">
        <is>
          <t>(continued)
PRESENTATION NOTES: each year's own originally-published figures are used throughout (not later restated comparatives), except for the Statement of Changes in Equity where a genuine, Bank-disclosed prior period adjustment is shown explicitly (see that sheet's own note). Line items renamed/regrouped across years without changing the underlying figure are shown on a consistent row (e.g. FY2021-2023's 'Cash and cash equivalents' = FY2024-25's 'Cash and Balances at Central Banks' = FY2014-2017's 'Cash' + 'Balances at central banks' summed, since FY2014-2017 disclosed these as two separate lines; FY2021-2024's single 'Investment securities other than Government/Treasury securities' line = FY2025's 'Debt Securities' + 'Equity shares' combined, since FY2025 was the only year to break these out separately). P&amp;L uses 'Total revenue' (FY2021-2023) and 'Net Income' (FY2024-2025) interchangeably for the same subtotal concept (sum of net interest income plus fee/FX/trading income including profit/(loss) on sale of financial assets) - shown on one row; FY2018-FY2020's own 'Total revenue' subtotal is built the same way. FY2014-FY2017's own headline subtotal is instead 'Operating income', which EXCLUDES 'Profit/(Loss) on sale of debt securities' (that line sits structurally below impairments in those years' own P&amp;L, immediately before pre-tax profit) - so the 'Total revenue / Net Income' TOTAL row for FY2014-FY2017 equals that year's own 'Operating income' figure, not a recomputed sum including the sale-of-debt-securities line shown elsewhere on this sheet; shown explicitly rather than force-reconciled to match later years' structure. Balance Sheet: FY2025 has no separate 'Bonds and medium term notes' line (present FY2021-2024, nil in FY2024) - left blank for FY2025, not force-merged into another line; FY2025 has no separate 'Deposits by banks' comparator issue (FY2024 explicitly nil, shown as 0). 'Bonds and medium term notes' and 'Subordinated debt' were disclosed as a single combined 'Debt securities and subordinated liabilities' line in both the FY2014 and FY2015 Annual Reports (neither report splits FY2014 into the two components); the FY2015 figure is split here using the FY2016 Annual Report's own FY2015 comparative column (250,530/233,402, ties exactly to the combined 483,932 both FY2014 and FY2015 ARs report), but no equivalent split exists anywhere for FY2014, so FY2014's combined total is shown on its own dedicated row instead, with both 'Bonds and medium term notes' and 'Subordinated debt' left blank for FY2014 rather than guessed. The same 'Debt securities and subordinated liabilities' combined row is used for FY2008-FY2013 too (none of those years' own Annual Reports, nor any later year's comparative column, ever splits them) - see the dedicated combined row below the split rows. Similarly, 'Investment in Treasury Bills / Government Securities' and 'Investment Securities other than Government/Treasury securities' are shown combined on a single 'Investment securities' row for FY2008-FY2010 (no split exists in any source reviewed); FY2011 IS split, using the FY2012 Annual Report's own FY2011 comparative column (517,435/1,057,938, ties exactly to the combined 1,575,373 both the FY2011 and FY2012 ARs report for that year), even though FY2011's own Annual Report itself only shows the combined figure. HD-075 (2026-09-06) wrinkle: 'Issued share capital' meant only Ordinary/Equity share capital throughout the pre-existing FY2014-FY2025 window (Preference share capital having already been redeemed by FY2014); for the newly-added FY2008-FY2012 the Bank's Balance Sheet discloses Ordinary/Equity and Preference/Non-equity share capital as two separate lines throughout (labelled 'Ordinary'/'Preference' from FY2012, 'Equity'/'Non-equity' FY2008-FY2011 - same substance), so a new 'Preference share capital' row is added, carrying 50,000 for FY2008-FY2012 and explicit nil for FY2013 (the year of redemption - see Statement of Changes in Equity), blank thereafter. The Profit &amp; Loss sheet gains a new 'Gains on buy back of bonds' row, disclosed as its own P&amp;L line FY2009-FY2012 (87,357/6,415/150/0) but not present at all in the FY2008 P&amp;L or any FY2013 onward P&amp;L - left blank for FY2008 and FY2013 onward rather than assumed nil (FY2012's own 'Financial 2013' column implies the line still existed conceptually but was FY2013-onward folded back into profit/(loss) on sale of debt securities per that year's own Directors' report highlights table). FY2008's P&amp;L does not separately disclose 'Foreign exchange revaluation gains' - that year's own statement instead shows a single combined 'Dealing (losses)/profits' line (-27,313), which the FY2009 Annual Report's own FY2008 comparative column later reclassifies into 'Foreign exchange revaluation gains' (23,353) plus 'Income/(Expense) on financial instruments at fair value through profit and loss' (-50,666) - a restatement, not a real change (both net to -27,313). Per this workbook's standing convention of using each year's own originally-published figures, FY2008's combined -27,313 is shown on the 'Income/(loss) on financial instruments at fair value through P&amp;L' row, with 'Foreign exchange revaluation gains' left blank for FY2008 only rather than force-split. FY2008's Balance Sheet has no directly-disclosed 'Total Liabilities' subtotal separate from Total Equity (that year's own statement prints one combined bottom-line figure covering both) - the FY2008 Total Liabilities row shown here (8,363,027) is therefore computed as the sum of that year's own disclosed liability line items, not copied from an explicit source subtotal; it ties exactly (Total Liabilities + Total Equity = Total assets = 8,829,049). Tangible/intangible fixed assets: shown as one combined line for FY2014 (5,751, no separate intangible disclosed that year), FY2015 (4,774, ditto), FY2019 and FY2020 (both years' own 'Tangible and Intangible fixed assets' combined line); shown as two components summed for FY2016-FY2018, where the Bank disclosed them as separate lines. 'Derivative financial instruments' first appears as its own Balance Sheet line from FY2018 onward - for FY2014-FY2017 it was not broken out on the face of the Balance Sheet (only within the credit-risk note's 'Other assets'/'Other liabilities' sub-analysis) and is left blank rather than estimated. A 'Capital redemption reserve' row (once $50.0m, cancelled into Retained earnings during FY2015 - see the Statement of Changes in Equity) applied only to FY2014 (50,000) and FY2015 (explicitly nil); no such reserve existed FY2016 onward.
STATEMENTS ENTITY NOTE: the Bank's Balance Sheet, Profit &amp; Loss, Statement of Changes in Equity, Asset Quality, and RWA Breakdown sheets are presented in USD (the Bank's own and sole primary reporting currency in every source document reviewed - each Annual Report and Pillar 3 disclosure gives only an unaudited INR 'convenience translation' alongside the USD primary figures; no GBP figures are published anywhere by this Bank). Kept in USD throughout (not converted to £) for consistency with the workbook's own pre-existing Pillar 3 metric sheets, which are also USD million.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37:T37"/>
    <mergeCell ref="A39:T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ICICI Bank UK Plc — Profit and Loss Account</t>
        </is>
      </c>
    </row>
    <row r="2">
      <c r="A2" s="2" t="inlineStr">
        <is>
          <t>Bank (standalone), USD'000, each year's own originally-published figures. See source note at bottom.</t>
        </is>
      </c>
    </row>
    <row r="3">
      <c r="A3" s="4" t="inlineStr">
        <is>
          <t>Line item</t>
        </is>
      </c>
      <c r="B3" s="4" t="inlineStr">
        <is>
          <t>FY2026 (USD'000)</t>
        </is>
      </c>
      <c r="C3" s="4" t="inlineStr">
        <is>
          <t>FY2025 (USD'000)</t>
        </is>
      </c>
      <c r="D3" s="4" t="inlineStr">
        <is>
          <t>FY2024 (USD'000)</t>
        </is>
      </c>
      <c r="E3" s="4" t="inlineStr">
        <is>
          <t>FY2023 (USD'000)</t>
        </is>
      </c>
      <c r="F3" s="4" t="inlineStr">
        <is>
          <t>FY2022 (USD'000)</t>
        </is>
      </c>
      <c r="G3" s="4" t="inlineStr">
        <is>
          <t>FY2021 (USD'000)</t>
        </is>
      </c>
      <c r="H3" s="4" t="inlineStr">
        <is>
          <t>FY2020 (USD'000)</t>
        </is>
      </c>
      <c r="I3" s="4" t="inlineStr">
        <is>
          <t>FY2019 (USD'000)</t>
        </is>
      </c>
      <c r="J3" s="4" t="inlineStr">
        <is>
          <t>FY2018 (USD'000)</t>
        </is>
      </c>
      <c r="K3" s="4" t="inlineStr">
        <is>
          <t>FY2017 (USD'000)</t>
        </is>
      </c>
      <c r="L3" s="4" t="inlineStr">
        <is>
          <t>FY2016 (USD'000)</t>
        </is>
      </c>
      <c r="M3" s="4" t="inlineStr">
        <is>
          <t>FY2015 (USD'000)</t>
        </is>
      </c>
      <c r="N3" s="4" t="inlineStr">
        <is>
          <t>FY2014 (USD'000)</t>
        </is>
      </c>
      <c r="O3" s="4" t="inlineStr">
        <is>
          <t>FY2013 (USD'000)</t>
        </is>
      </c>
      <c r="P3" s="4" t="inlineStr">
        <is>
          <t>FY2012 (USD'000)</t>
        </is>
      </c>
      <c r="Q3" s="4" t="inlineStr">
        <is>
          <t>FY2011 (USD'000)</t>
        </is>
      </c>
      <c r="R3" s="4" t="inlineStr">
        <is>
          <t>FY2010 (USD'000)</t>
        </is>
      </c>
      <c r="S3" s="4" t="inlineStr">
        <is>
          <t>FY2009 (USD'000)</t>
        </is>
      </c>
      <c r="T3" s="4" t="inlineStr">
        <is>
          <t>FY2008 (USD'000)</t>
        </is>
      </c>
    </row>
    <row r="4">
      <c r="A4" s="5" t="inlineStr">
        <is>
          <t>Income</t>
        </is>
      </c>
      <c r="B4" s="6" t="n"/>
      <c r="C4" s="6" t="n"/>
      <c r="D4" s="6" t="n"/>
      <c r="E4" s="6" t="n"/>
      <c r="F4" s="6" t="n"/>
      <c r="G4" s="6" t="n"/>
      <c r="H4" s="6" t="n"/>
      <c r="I4" s="6" t="n"/>
      <c r="J4" s="6" t="n"/>
      <c r="K4" s="6" t="n"/>
      <c r="L4" s="6" t="n"/>
      <c r="M4" s="6" t="n"/>
      <c r="N4" s="6" t="n"/>
      <c r="O4" s="6" t="n"/>
      <c r="P4" s="6" t="n"/>
      <c r="Q4" s="6" t="n"/>
      <c r="R4" s="6" t="n"/>
      <c r="S4" s="6" t="n"/>
      <c r="T4" s="6" t="n"/>
    </row>
    <row r="5">
      <c r="A5" s="6" t="inlineStr">
        <is>
          <t>Interest income and similar income</t>
        </is>
      </c>
      <c r="B5" s="6" t="n">
        <v>121087</v>
      </c>
      <c r="C5" s="6" t="n">
        <v>124272</v>
      </c>
      <c r="D5" s="6" t="n">
        <v>123959</v>
      </c>
      <c r="E5" s="6" t="n">
        <v>76554</v>
      </c>
      <c r="F5" s="6" t="n">
        <v>54766</v>
      </c>
      <c r="G5" s="6" t="n">
        <v>82846</v>
      </c>
      <c r="H5" s="6" t="n">
        <v>123971</v>
      </c>
      <c r="I5" s="6" t="n">
        <v>130009</v>
      </c>
      <c r="J5" s="6" t="n">
        <v>115269</v>
      </c>
      <c r="K5" s="6" t="n">
        <v>118410</v>
      </c>
      <c r="L5" s="6" t="n">
        <v>141059</v>
      </c>
      <c r="M5" s="6" t="n">
        <v>134664</v>
      </c>
      <c r="N5" s="6" t="n">
        <v>130932</v>
      </c>
      <c r="O5" s="6" t="n">
        <v>141925</v>
      </c>
      <c r="P5" s="6" t="n">
        <v>196182</v>
      </c>
      <c r="Q5" s="6" t="n">
        <v>257674</v>
      </c>
      <c r="R5" s="6" t="n">
        <v>286754</v>
      </c>
      <c r="S5" s="6" t="n">
        <v>447061</v>
      </c>
      <c r="T5" s="6" t="n">
        <v>414259</v>
      </c>
    </row>
    <row r="6">
      <c r="A6" s="6" t="inlineStr">
        <is>
          <t>Interest expense</t>
        </is>
      </c>
      <c r="B6" s="6" t="n">
        <v>-53845</v>
      </c>
      <c r="C6" s="6" t="n">
        <v>-58391</v>
      </c>
      <c r="D6" s="6" t="n">
        <v>-57300</v>
      </c>
      <c r="E6" s="6" t="n">
        <v>-23910</v>
      </c>
      <c r="F6" s="6" t="n">
        <v>-14268</v>
      </c>
      <c r="G6" s="6" t="n">
        <v>-31939</v>
      </c>
      <c r="H6" s="6" t="n">
        <v>-59708</v>
      </c>
      <c r="I6" s="6" t="n">
        <v>-59487</v>
      </c>
      <c r="J6" s="6" t="n">
        <v>-48364</v>
      </c>
      <c r="K6" s="6" t="n">
        <v>-52884</v>
      </c>
      <c r="L6" s="6" t="n">
        <v>-69571</v>
      </c>
      <c r="M6" s="6" t="n">
        <v>-70012</v>
      </c>
      <c r="N6" s="6" t="n">
        <v>-75700</v>
      </c>
      <c r="O6" s="6" t="n">
        <v>-91033</v>
      </c>
      <c r="P6" s="6" t="n">
        <v>-137742</v>
      </c>
      <c r="Q6" s="6" t="n">
        <v>-182846</v>
      </c>
      <c r="R6" s="6" t="n">
        <v>-239637</v>
      </c>
      <c r="S6" s="6" t="n">
        <v>-377893</v>
      </c>
      <c r="T6" s="6" t="n">
        <v>-364419</v>
      </c>
    </row>
    <row r="7">
      <c r="A7" s="5" t="inlineStr">
        <is>
          <t>Net interest income</t>
        </is>
      </c>
      <c r="B7" s="5" t="n">
        <v>67242</v>
      </c>
      <c r="C7" s="5" t="n">
        <v>65881</v>
      </c>
      <c r="D7" s="5" t="n">
        <v>66659</v>
      </c>
      <c r="E7" s="5" t="n">
        <v>52644</v>
      </c>
      <c r="F7" s="5" t="n">
        <v>40498</v>
      </c>
      <c r="G7" s="5" t="n">
        <v>50907</v>
      </c>
      <c r="H7" s="5" t="n">
        <v>64263</v>
      </c>
      <c r="I7" s="5" t="n">
        <v>70522</v>
      </c>
      <c r="J7" s="5" t="n">
        <v>66905</v>
      </c>
      <c r="K7" s="5" t="n">
        <v>65526</v>
      </c>
      <c r="L7" s="5" t="n">
        <v>71488</v>
      </c>
      <c r="M7" s="5" t="n">
        <v>64652</v>
      </c>
      <c r="N7" s="5" t="n">
        <v>55232</v>
      </c>
      <c r="O7" s="5" t="n">
        <v>50892</v>
      </c>
      <c r="P7" s="5" t="n">
        <v>58440</v>
      </c>
      <c r="Q7" s="5" t="n">
        <v>74828</v>
      </c>
      <c r="R7" s="5" t="n">
        <v>47117</v>
      </c>
      <c r="S7" s="5" t="n">
        <v>69168</v>
      </c>
      <c r="T7" s="5" t="n">
        <v>49840</v>
      </c>
    </row>
    <row r="8">
      <c r="A8" s="6" t="inlineStr">
        <is>
          <t>Fees and commissions receivable</t>
        </is>
      </c>
      <c r="B8" s="6" t="n">
        <v>10818</v>
      </c>
      <c r="C8" s="6" t="n">
        <v>8656</v>
      </c>
      <c r="D8" s="6" t="n">
        <v>7399</v>
      </c>
      <c r="E8" s="6" t="n">
        <v>6785</v>
      </c>
      <c r="F8" s="6" t="n">
        <v>7352</v>
      </c>
      <c r="G8" s="6" t="n">
        <v>6461</v>
      </c>
      <c r="H8" s="6" t="n">
        <v>8475</v>
      </c>
      <c r="I8" s="6" t="n">
        <v>8042</v>
      </c>
      <c r="J8" s="6" t="n">
        <v>8135</v>
      </c>
      <c r="K8" s="6" t="n">
        <v>9217</v>
      </c>
      <c r="L8" s="6" t="n">
        <v>17285</v>
      </c>
      <c r="M8" s="6" t="n">
        <v>20812</v>
      </c>
      <c r="N8" s="6" t="n">
        <v>27030</v>
      </c>
      <c r="O8" s="6" t="n">
        <v>19041</v>
      </c>
      <c r="P8" s="6" t="n">
        <v>16514</v>
      </c>
      <c r="Q8" s="6" t="n">
        <v>23578</v>
      </c>
      <c r="R8" s="6" t="n">
        <v>40541</v>
      </c>
      <c r="S8" s="6" t="n">
        <v>31046</v>
      </c>
      <c r="T8" s="6" t="n">
        <v>81023</v>
      </c>
    </row>
    <row r="9">
      <c r="A9" s="6" t="inlineStr">
        <is>
          <t>Foreign exchange revaluation gains</t>
        </is>
      </c>
      <c r="B9" s="6" t="n">
        <v>10585</v>
      </c>
      <c r="C9" s="6" t="n">
        <v>8918</v>
      </c>
      <c r="D9" s="6" t="n">
        <v>8389</v>
      </c>
      <c r="E9" s="6" t="n">
        <v>6343</v>
      </c>
      <c r="F9" s="6" t="n">
        <v>5786</v>
      </c>
      <c r="G9" s="6" t="n">
        <v>6376</v>
      </c>
      <c r="H9" s="6" t="n">
        <v>6969</v>
      </c>
      <c r="I9" s="6" t="n">
        <v>5363</v>
      </c>
      <c r="J9" s="6" t="n">
        <v>6907</v>
      </c>
      <c r="K9" s="6" t="n">
        <v>4572</v>
      </c>
      <c r="L9" s="6" t="n">
        <v>4820</v>
      </c>
      <c r="M9" s="6" t="n">
        <v>6689</v>
      </c>
      <c r="N9" s="6" t="n">
        <v>7999</v>
      </c>
      <c r="O9" s="6" t="n">
        <v>9435</v>
      </c>
      <c r="P9" s="6" t="n">
        <v>9277</v>
      </c>
      <c r="Q9" s="6" t="n">
        <v>2828</v>
      </c>
      <c r="R9" s="6" t="n">
        <v>7456</v>
      </c>
      <c r="S9" s="6" t="n">
        <v>1712</v>
      </c>
      <c r="T9" s="6" t="n"/>
    </row>
    <row r="10">
      <c r="A10" s="6" t="inlineStr">
        <is>
          <t>Income/(loss) on financial instruments at fair value through P&amp;L (FY2008: combined with Foreign exchange revaluation gains as a single 'Dealing (losses)/profits' line - see source note)</t>
        </is>
      </c>
      <c r="B10" s="6" t="n">
        <v>192</v>
      </c>
      <c r="C10" s="6" t="n">
        <v>1238</v>
      </c>
      <c r="D10" s="6" t="n">
        <v>-17</v>
      </c>
      <c r="E10" s="6" t="n">
        <v>1095</v>
      </c>
      <c r="F10" s="6" t="n">
        <v>461</v>
      </c>
      <c r="G10" s="6" t="n">
        <v>-157</v>
      </c>
      <c r="H10" s="6" t="n">
        <v>-749</v>
      </c>
      <c r="I10" s="6" t="n">
        <v>126</v>
      </c>
      <c r="J10" s="6" t="n">
        <v>-2282</v>
      </c>
      <c r="K10" s="6" t="n">
        <v>-1090</v>
      </c>
      <c r="L10" s="6" t="n">
        <v>-6638</v>
      </c>
      <c r="M10" s="6" t="n">
        <v>12023</v>
      </c>
      <c r="N10" s="6" t="n">
        <v>-1291</v>
      </c>
      <c r="O10" s="6" t="n">
        <v>4508</v>
      </c>
      <c r="P10" s="6" t="n">
        <v>-694</v>
      </c>
      <c r="Q10" s="6" t="n">
        <v>3240</v>
      </c>
      <c r="R10" s="6" t="n">
        <v>9460</v>
      </c>
      <c r="S10" s="6" t="n">
        <v>-667</v>
      </c>
      <c r="T10" s="6" t="n">
        <v>-27313</v>
      </c>
    </row>
    <row r="11">
      <c r="A11" s="6" t="inlineStr">
        <is>
          <t>Profit/(loss) on sale of financial assets</t>
        </is>
      </c>
      <c r="B11" s="6" t="n">
        <v>692</v>
      </c>
      <c r="C11" s="6" t="n">
        <v>2601</v>
      </c>
      <c r="D11" s="6" t="n">
        <v>3221</v>
      </c>
      <c r="E11" s="6" t="n">
        <v>-7094</v>
      </c>
      <c r="F11" s="6" t="n">
        <v>66</v>
      </c>
      <c r="G11" s="6" t="n">
        <v>-1336</v>
      </c>
      <c r="H11" s="6" t="n">
        <v>-23</v>
      </c>
      <c r="I11" s="6" t="n">
        <v>-4773</v>
      </c>
      <c r="J11" s="6" t="n">
        <v>2960</v>
      </c>
      <c r="K11" s="6" t="n">
        <v>4619</v>
      </c>
      <c r="L11" s="6" t="n">
        <v>11984</v>
      </c>
      <c r="M11" s="6" t="n">
        <v>8299</v>
      </c>
      <c r="N11" s="6" t="n">
        <v>2974</v>
      </c>
      <c r="O11" s="6" t="n">
        <v>-1192</v>
      </c>
      <c r="P11" s="6" t="n">
        <v>-5205</v>
      </c>
      <c r="Q11" s="6" t="n">
        <v>6390</v>
      </c>
      <c r="R11" s="6" t="n">
        <v>8932</v>
      </c>
      <c r="S11" s="6" t="n">
        <v>-12476</v>
      </c>
      <c r="T11" s="6" t="n">
        <v>23</v>
      </c>
    </row>
    <row r="12">
      <c r="A12" s="6" t="inlineStr">
        <is>
          <t>Gains on buy back of bonds (disclosed as its own P&amp;L line FY2009-FY2012 only; not present in the FY2008 P&amp;L or any FY2013-onward P&amp;L - see source note)</t>
        </is>
      </c>
      <c r="B12" s="6" t="n"/>
      <c r="C12" s="6" t="n"/>
      <c r="D12" s="6" t="n"/>
      <c r="E12" s="6" t="n"/>
      <c r="F12" s="6" t="n"/>
      <c r="G12" s="6" t="n"/>
      <c r="H12" s="6" t="n"/>
      <c r="I12" s="6" t="n"/>
      <c r="J12" s="6" t="n"/>
      <c r="K12" s="6" t="n"/>
      <c r="L12" s="6" t="n"/>
      <c r="M12" s="6" t="n"/>
      <c r="N12" s="6" t="n"/>
      <c r="O12" s="6" t="n"/>
      <c r="P12" s="6" t="n">
        <v>0</v>
      </c>
      <c r="Q12" s="6" t="n">
        <v>150</v>
      </c>
      <c r="R12" s="6" t="n">
        <v>6415</v>
      </c>
      <c r="S12" s="6" t="n">
        <v>87357</v>
      </c>
      <c r="T12" s="6" t="n"/>
    </row>
    <row r="13">
      <c r="A13" s="6" t="inlineStr">
        <is>
          <t>Other operating income</t>
        </is>
      </c>
      <c r="B13" s="6" t="n">
        <v>771</v>
      </c>
      <c r="C13" s="6" t="n">
        <v>28</v>
      </c>
      <c r="D13" s="6" t="n">
        <v>40</v>
      </c>
      <c r="E13" s="6" t="n">
        <v>279</v>
      </c>
      <c r="F13" s="6" t="n">
        <v>294</v>
      </c>
      <c r="G13" s="6" t="n">
        <v>326</v>
      </c>
      <c r="H13" s="6" t="n">
        <v>375</v>
      </c>
      <c r="I13" s="6" t="n">
        <v>562</v>
      </c>
      <c r="J13" s="6" t="n">
        <v>599</v>
      </c>
      <c r="K13" s="6" t="n">
        <v>665</v>
      </c>
      <c r="L13" s="6" t="n">
        <v>682</v>
      </c>
      <c r="M13" s="6" t="n">
        <v>451</v>
      </c>
      <c r="N13" s="6" t="n">
        <v>1185</v>
      </c>
      <c r="O13" s="6" t="n">
        <v>697</v>
      </c>
      <c r="P13" s="6" t="n">
        <v>848</v>
      </c>
      <c r="Q13" s="6" t="n">
        <v>2285</v>
      </c>
      <c r="R13" s="6" t="n">
        <v>2225</v>
      </c>
      <c r="S13" s="6" t="n">
        <v>1508</v>
      </c>
      <c r="T13" s="6" t="n">
        <v>6186</v>
      </c>
    </row>
    <row r="14">
      <c r="A14" s="5" t="inlineStr">
        <is>
          <t>Total revenue / Net Income (FY2014-FY2017: that year's own 'Operating income' subtotal, which EXCLUDES the profit/(loss)-on-sale-of-financial-assets row above - see source note)</t>
        </is>
      </c>
      <c r="B14" s="5" t="n">
        <v>90300</v>
      </c>
      <c r="C14" s="5" t="n">
        <v>87322</v>
      </c>
      <c r="D14" s="5" t="n">
        <v>85691</v>
      </c>
      <c r="E14" s="5" t="n">
        <v>60052</v>
      </c>
      <c r="F14" s="5" t="n">
        <v>54457</v>
      </c>
      <c r="G14" s="5" t="n">
        <v>62577</v>
      </c>
      <c r="H14" s="5" t="n">
        <v>79310</v>
      </c>
      <c r="I14" s="5" t="n">
        <v>79842</v>
      </c>
      <c r="J14" s="5" t="n">
        <v>83224</v>
      </c>
      <c r="K14" s="5" t="n">
        <v>78890</v>
      </c>
      <c r="L14" s="5" t="n">
        <v>87637</v>
      </c>
      <c r="M14" s="5" t="n">
        <v>104627</v>
      </c>
      <c r="N14" s="5" t="n">
        <v>90155</v>
      </c>
      <c r="O14" s="5" t="n">
        <v>84573</v>
      </c>
      <c r="P14" s="5" t="n">
        <v>84385</v>
      </c>
      <c r="Q14" s="5" t="n">
        <v>106909</v>
      </c>
      <c r="R14" s="5" t="n">
        <v>113214</v>
      </c>
      <c r="S14" s="5" t="n">
        <v>190124</v>
      </c>
      <c r="T14" s="5" t="n">
        <v>109736</v>
      </c>
    </row>
    <row r="15">
      <c r="A15" s="5" t="inlineStr">
        <is>
          <t>Expenses</t>
        </is>
      </c>
      <c r="B15" s="6" t="n"/>
      <c r="C15" s="6" t="n"/>
      <c r="D15" s="6" t="n"/>
      <c r="E15" s="6" t="n"/>
      <c r="F15" s="6" t="n"/>
      <c r="G15" s="6" t="n"/>
      <c r="H15" s="6" t="n"/>
      <c r="I15" s="6" t="n"/>
      <c r="J15" s="6" t="n"/>
      <c r="K15" s="6" t="n"/>
      <c r="L15" s="6" t="n"/>
      <c r="M15" s="6" t="n"/>
      <c r="N15" s="6" t="n"/>
      <c r="O15" s="6" t="n"/>
      <c r="P15" s="6" t="n"/>
      <c r="Q15" s="6" t="n"/>
      <c r="R15" s="6" t="n"/>
      <c r="S15" s="6" t="n"/>
      <c r="T15" s="6" t="n"/>
    </row>
    <row r="16">
      <c r="A16" s="6" t="inlineStr">
        <is>
          <t>Administrative expenses</t>
        </is>
      </c>
      <c r="B16" s="6" t="n">
        <v>-57704</v>
      </c>
      <c r="C16" s="6" t="n">
        <v>-51266</v>
      </c>
      <c r="D16" s="6" t="n">
        <v>-46758</v>
      </c>
      <c r="E16" s="6" t="n">
        <v>-37348</v>
      </c>
      <c r="F16" s="6" t="n">
        <v>-38960</v>
      </c>
      <c r="G16" s="6" t="n">
        <v>-35531</v>
      </c>
      <c r="H16" s="6" t="n">
        <v>-37402</v>
      </c>
      <c r="I16" s="6" t="n">
        <v>-33314</v>
      </c>
      <c r="J16" s="6" t="n">
        <v>-34135</v>
      </c>
      <c r="K16" s="6" t="n">
        <v>-33050</v>
      </c>
      <c r="L16" s="6" t="n">
        <v>-33142</v>
      </c>
      <c r="M16" s="6" t="n">
        <v>-37259</v>
      </c>
      <c r="N16" s="6" t="n">
        <v>-35318</v>
      </c>
      <c r="O16" s="6" t="n">
        <v>-35523</v>
      </c>
      <c r="P16" s="6" t="n">
        <v>-37630</v>
      </c>
      <c r="Q16" s="6" t="n">
        <v>-42153</v>
      </c>
      <c r="R16" s="6" t="n">
        <v>-46814</v>
      </c>
      <c r="S16" s="6" t="n">
        <v>-58413</v>
      </c>
      <c r="T16" s="6" t="n">
        <v>-45704</v>
      </c>
    </row>
    <row r="17">
      <c r="A17" s="6" t="inlineStr">
        <is>
          <t>Depreciation</t>
        </is>
      </c>
      <c r="B17" s="6" t="n">
        <v>-1043</v>
      </c>
      <c r="C17" s="6" t="n">
        <v>-786</v>
      </c>
      <c r="D17" s="6" t="n">
        <v>-709</v>
      </c>
      <c r="E17" s="6" t="n">
        <v>-956</v>
      </c>
      <c r="F17" s="6" t="n">
        <v>-1229</v>
      </c>
      <c r="G17" s="6" t="n">
        <v>-1157</v>
      </c>
      <c r="H17" s="6" t="n">
        <v>-994</v>
      </c>
      <c r="I17" s="6" t="n">
        <v>-796</v>
      </c>
      <c r="J17" s="6" t="n">
        <v>-782</v>
      </c>
      <c r="K17" s="6" t="n">
        <v>-867</v>
      </c>
      <c r="L17" s="6" t="n">
        <v>-1026</v>
      </c>
      <c r="M17" s="6" t="n">
        <v>-1414</v>
      </c>
      <c r="N17" s="6" t="n">
        <v>-1472</v>
      </c>
      <c r="O17" s="6" t="n">
        <v>-1476</v>
      </c>
      <c r="P17" s="6" t="n">
        <v>-1540</v>
      </c>
      <c r="Q17" s="6" t="n">
        <v>-2338</v>
      </c>
      <c r="R17" s="6" t="n">
        <v>-2490</v>
      </c>
      <c r="S17" s="6" t="n">
        <v>-1610</v>
      </c>
      <c r="T17" s="6" t="n">
        <v>-1301</v>
      </c>
    </row>
    <row r="18">
      <c r="A18" s="5" t="inlineStr">
        <is>
          <t>Total operating expenses (sum of Administrative expenses + Depreciation above - not itself a printed subtotal)</t>
        </is>
      </c>
      <c r="B18" s="5" t="n">
        <v>-58747</v>
      </c>
      <c r="C18" s="5" t="n">
        <v>-52052</v>
      </c>
      <c r="D18" s="5" t="n">
        <v>-47467</v>
      </c>
      <c r="E18" s="5" t="n">
        <v>-38304</v>
      </c>
      <c r="F18" s="5" t="n">
        <v>-40189</v>
      </c>
      <c r="G18" s="5" t="n">
        <v>-36688</v>
      </c>
      <c r="H18" s="5" t="n">
        <v>-38396</v>
      </c>
      <c r="I18" s="5" t="n">
        <v>-34110</v>
      </c>
      <c r="J18" s="5" t="n">
        <v>-34917</v>
      </c>
      <c r="K18" s="5" t="n">
        <v>-33917</v>
      </c>
      <c r="L18" s="5" t="n">
        <v>-34168</v>
      </c>
      <c r="M18" s="5" t="n">
        <v>-38673</v>
      </c>
      <c r="N18" s="5" t="n">
        <v>-36790</v>
      </c>
      <c r="O18" s="5" t="n">
        <v>-36999</v>
      </c>
      <c r="P18" s="5" t="n">
        <v>-39170</v>
      </c>
      <c r="Q18" s="5" t="n">
        <v>-44491</v>
      </c>
      <c r="R18" s="5" t="n">
        <v>-49304</v>
      </c>
      <c r="S18" s="5" t="n">
        <v>-60023</v>
      </c>
      <c r="T18" s="5" t="n">
        <v>-47005</v>
      </c>
    </row>
    <row r="19">
      <c r="A19" s="6" t="inlineStr">
        <is>
          <t>Impairment on investment securities</t>
        </is>
      </c>
      <c r="B19" s="6" t="n">
        <v>-4</v>
      </c>
      <c r="C19" s="6" t="n">
        <v>-27</v>
      </c>
      <c r="D19" s="6" t="n">
        <v>-23</v>
      </c>
      <c r="E19" s="6" t="n">
        <v>-79</v>
      </c>
      <c r="F19" s="6" t="n">
        <v>-20</v>
      </c>
      <c r="G19" s="6" t="n">
        <v>49</v>
      </c>
      <c r="H19" s="6" t="n">
        <v>-3432</v>
      </c>
      <c r="I19" s="6" t="n">
        <v>-992</v>
      </c>
      <c r="J19" s="6" t="n">
        <v>0</v>
      </c>
      <c r="K19" s="6" t="n">
        <v>0</v>
      </c>
      <c r="L19" s="6" t="n">
        <v>-5917</v>
      </c>
      <c r="M19" s="6" t="n">
        <v>-13538</v>
      </c>
      <c r="N19" s="6" t="n">
        <v>-5632</v>
      </c>
      <c r="O19" s="6" t="n">
        <v>-7015</v>
      </c>
      <c r="P19" s="6" t="n">
        <v>-8916</v>
      </c>
      <c r="Q19" s="6" t="n">
        <v>1112</v>
      </c>
      <c r="R19" s="6" t="n">
        <v>0</v>
      </c>
      <c r="S19" s="6" t="n">
        <v>-91434</v>
      </c>
      <c r="T19" s="6" t="n"/>
    </row>
    <row r="20">
      <c r="A20" s="6" t="inlineStr">
        <is>
          <t>Impairment on loans and advances</t>
        </is>
      </c>
      <c r="B20" s="6" t="n">
        <v>534</v>
      </c>
      <c r="C20" s="6" t="n">
        <v>-3207</v>
      </c>
      <c r="D20" s="6" t="n">
        <v>-7145</v>
      </c>
      <c r="E20" s="6" t="n">
        <v>-5867</v>
      </c>
      <c r="F20" s="6" t="n">
        <v>-2906</v>
      </c>
      <c r="G20" s="6" t="n">
        <v>-8414</v>
      </c>
      <c r="H20" s="6" t="n">
        <v>-8902</v>
      </c>
      <c r="I20" s="6" t="n">
        <v>-104401</v>
      </c>
      <c r="J20" s="6" t="n">
        <v>-78710</v>
      </c>
      <c r="K20" s="6" t="n">
        <v>-68181</v>
      </c>
      <c r="L20" s="6" t="n">
        <v>-53525</v>
      </c>
      <c r="M20" s="6" t="n">
        <v>-37945</v>
      </c>
      <c r="N20" s="6" t="n">
        <v>-14590</v>
      </c>
      <c r="O20" s="6" t="n">
        <v>-20209</v>
      </c>
      <c r="P20" s="6" t="n">
        <v>4356</v>
      </c>
      <c r="Q20" s="6" t="n">
        <v>-18868</v>
      </c>
      <c r="R20" s="6" t="n">
        <v>-20549</v>
      </c>
      <c r="S20" s="6" t="n">
        <v>-16111</v>
      </c>
      <c r="T20" s="6" t="n">
        <v>-6026</v>
      </c>
    </row>
    <row r="21">
      <c r="A21" s="5" t="inlineStr">
        <is>
          <t>Profit on ordinary activities before tax</t>
        </is>
      </c>
      <c r="B21" s="5" t="n">
        <v>32083</v>
      </c>
      <c r="C21" s="5" t="n">
        <v>32036</v>
      </c>
      <c r="D21" s="5" t="n">
        <v>31056</v>
      </c>
      <c r="E21" s="5" t="n">
        <v>15802</v>
      </c>
      <c r="F21" s="5" t="n">
        <v>11342</v>
      </c>
      <c r="G21" s="5" t="n">
        <v>17524</v>
      </c>
      <c r="H21" s="5" t="n">
        <v>28580</v>
      </c>
      <c r="I21" s="5" t="n">
        <v>-59661</v>
      </c>
      <c r="J21" s="5" t="n">
        <v>-30404</v>
      </c>
      <c r="K21" s="5" t="n">
        <v>-18589</v>
      </c>
      <c r="L21" s="5" t="n">
        <v>6011</v>
      </c>
      <c r="M21" s="5" t="n">
        <v>22770</v>
      </c>
      <c r="N21" s="5" t="n">
        <v>36117</v>
      </c>
      <c r="O21" s="5" t="n">
        <v>19158</v>
      </c>
      <c r="P21" s="5" t="n">
        <v>35450</v>
      </c>
      <c r="Q21" s="5" t="n">
        <v>51052</v>
      </c>
      <c r="R21" s="5" t="n">
        <v>52293</v>
      </c>
      <c r="S21" s="5" t="n">
        <v>10080</v>
      </c>
      <c r="T21" s="5" t="n">
        <v>56728</v>
      </c>
    </row>
    <row r="22">
      <c r="A22" s="6" t="inlineStr">
        <is>
          <t>Taxation on ordinary activities</t>
        </is>
      </c>
      <c r="B22" s="6" t="n">
        <v>-6823</v>
      </c>
      <c r="C22" s="6" t="n">
        <v>-5208</v>
      </c>
      <c r="D22" s="6" t="n">
        <v>-2279</v>
      </c>
      <c r="E22" s="6" t="n">
        <v>-2792</v>
      </c>
      <c r="F22" s="6" t="n">
        <v>-441</v>
      </c>
      <c r="G22" s="6" t="n">
        <v>-2732</v>
      </c>
      <c r="H22" s="6" t="n">
        <v>-5331</v>
      </c>
      <c r="I22" s="6" t="n">
        <v>6792</v>
      </c>
      <c r="J22" s="6" t="n">
        <v>4856</v>
      </c>
      <c r="K22" s="6" t="n">
        <v>2507</v>
      </c>
      <c r="L22" s="6" t="n">
        <v>-5468</v>
      </c>
      <c r="M22" s="6" t="n">
        <v>-4441</v>
      </c>
      <c r="N22" s="6" t="n">
        <v>-10893</v>
      </c>
      <c r="O22" s="6" t="n">
        <v>-4775</v>
      </c>
      <c r="P22" s="6" t="n">
        <v>-10060</v>
      </c>
      <c r="Q22" s="6" t="n">
        <v>-14496</v>
      </c>
      <c r="R22" s="6" t="n">
        <v>-15300</v>
      </c>
      <c r="S22" s="6" t="n">
        <v>-3244</v>
      </c>
      <c r="T22" s="6" t="n">
        <v>-18316</v>
      </c>
    </row>
    <row r="23">
      <c r="A23" s="5" t="inlineStr">
        <is>
          <t>Profit for the year</t>
        </is>
      </c>
      <c r="B23" s="5" t="n">
        <v>25260</v>
      </c>
      <c r="C23" s="5" t="n">
        <v>26828</v>
      </c>
      <c r="D23" s="5" t="n">
        <v>28777</v>
      </c>
      <c r="E23" s="5" t="n">
        <v>13010</v>
      </c>
      <c r="F23" s="5" t="n">
        <v>10901</v>
      </c>
      <c r="G23" s="5" t="n">
        <v>14792</v>
      </c>
      <c r="H23" s="5" t="n">
        <v>23249</v>
      </c>
      <c r="I23" s="5" t="n">
        <v>-52869</v>
      </c>
      <c r="J23" s="5" t="n">
        <v>-25548</v>
      </c>
      <c r="K23" s="5" t="n">
        <v>-16082</v>
      </c>
      <c r="L23" s="5" t="n">
        <v>543</v>
      </c>
      <c r="M23" s="5" t="n">
        <v>18329</v>
      </c>
      <c r="N23" s="5" t="n">
        <v>25224</v>
      </c>
      <c r="O23" s="5" t="n">
        <v>14383</v>
      </c>
      <c r="P23" s="5" t="n">
        <v>25390</v>
      </c>
      <c r="Q23" s="5" t="n">
        <v>36556</v>
      </c>
      <c r="R23" s="5" t="n">
        <v>36993</v>
      </c>
      <c r="S23" s="5" t="n">
        <v>6836</v>
      </c>
      <c r="T23" s="5" t="n">
        <v>38412</v>
      </c>
    </row>
    <row r="24">
      <c r="A24" s="5" t="inlineStr">
        <is>
          <t>Other comprehensive income</t>
        </is>
      </c>
      <c r="B24" s="6" t="n"/>
      <c r="C24" s="6" t="n"/>
      <c r="D24" s="6" t="n"/>
      <c r="E24" s="6" t="n"/>
      <c r="F24" s="6" t="n"/>
      <c r="G24" s="6" t="n"/>
      <c r="H24" s="6" t="n"/>
      <c r="I24" s="6" t="n"/>
      <c r="J24" s="6" t="n"/>
      <c r="K24" s="6" t="n"/>
      <c r="L24" s="6" t="n"/>
      <c r="M24" s="6" t="n"/>
      <c r="N24" s="6" t="n"/>
      <c r="O24" s="6" t="n"/>
      <c r="P24" s="6" t="n"/>
      <c r="Q24" s="6" t="n"/>
      <c r="R24" s="6" t="n"/>
      <c r="S24" s="6" t="n"/>
      <c r="T24" s="6" t="n"/>
    </row>
    <row r="25">
      <c r="A25" s="6" t="inlineStr">
        <is>
          <t>Movement in valuation of available for sale debt securities, net of tax (FY2020 also includes a new cash flow hedge component - see source note)</t>
        </is>
      </c>
      <c r="B25" s="6" t="n">
        <v>-3419</v>
      </c>
      <c r="C25" s="6" t="n">
        <v>644</v>
      </c>
      <c r="D25" s="6" t="n">
        <v>1617</v>
      </c>
      <c r="E25" s="6" t="n">
        <v>-553</v>
      </c>
      <c r="F25" s="6" t="n">
        <v>-1856</v>
      </c>
      <c r="G25" s="6" t="n">
        <v>38143</v>
      </c>
      <c r="H25" s="6" t="n">
        <v>-25180</v>
      </c>
      <c r="I25" s="6" t="n">
        <v>-87</v>
      </c>
      <c r="J25" s="6" t="n">
        <v>-1977</v>
      </c>
      <c r="K25" s="6" t="n">
        <v>1996</v>
      </c>
      <c r="L25" s="6" t="n">
        <v>-1864</v>
      </c>
      <c r="M25" s="6" t="n">
        <v>2394</v>
      </c>
      <c r="N25" s="6" t="n">
        <v>5545</v>
      </c>
      <c r="O25" s="6" t="n">
        <v>21277</v>
      </c>
      <c r="P25" s="6" t="n">
        <v>23993</v>
      </c>
      <c r="Q25" s="6" t="n">
        <v>23664</v>
      </c>
      <c r="R25" s="6" t="n">
        <v>179162</v>
      </c>
      <c r="S25" s="6" t="n">
        <v>-163877</v>
      </c>
      <c r="T25" s="6" t="n">
        <v>-100454</v>
      </c>
    </row>
    <row r="26">
      <c r="A26" s="5" t="inlineStr">
        <is>
          <t>Total comprehensive income for the year</t>
        </is>
      </c>
      <c r="B26" s="5" t="n">
        <v>21841</v>
      </c>
      <c r="C26" s="5" t="n">
        <v>27472</v>
      </c>
      <c r="D26" s="5" t="n">
        <v>30394</v>
      </c>
      <c r="E26" s="5" t="n">
        <v>12457</v>
      </c>
      <c r="F26" s="5" t="n">
        <v>9045</v>
      </c>
      <c r="G26" s="5" t="n">
        <v>52935</v>
      </c>
      <c r="H26" s="5" t="n">
        <v>-1931</v>
      </c>
      <c r="I26" s="5" t="n">
        <v>-52956</v>
      </c>
      <c r="J26" s="5" t="n">
        <v>-27525</v>
      </c>
      <c r="K26" s="5" t="n">
        <v>-14086</v>
      </c>
      <c r="L26" s="5" t="n">
        <v>-1321</v>
      </c>
      <c r="M26" s="5" t="n">
        <v>20723</v>
      </c>
      <c r="N26" s="5" t="n">
        <v>30769</v>
      </c>
      <c r="O26" s="5" t="n">
        <v>35660</v>
      </c>
      <c r="P26" s="5" t="n">
        <v>49383</v>
      </c>
      <c r="Q26" s="5" t="n">
        <v>60220</v>
      </c>
      <c r="R26" s="5" t="n">
        <v>216155</v>
      </c>
      <c r="S26" s="5" t="n">
        <v>-157041</v>
      </c>
      <c r="T26" s="5" t="n">
        <v>-62042</v>
      </c>
    </row>
    <row r="28" ht="364" customHeight="1">
      <c r="A28" s="8" t="inlineStr">
        <is>
          <t>Sources - ICICI Bank UK Plc's own Annual Reports (own website unless noted; Companies House filings for FY2024/23/22/21/14, text-native except FY2014 which is a scanned/non-text filing read page-by-page):
FY2026: Strategic report, Directors' report and financial statements, year ended 31 March 2026, Profit and loss account p.32 / Statement of other comprehensive income p.33 / Balance sheet p.34 / Statement of change in equity p.36 / Note 19 'Potential credit risk on financial instruments' p.61 - https://www.icicibank.co.uk/content/dam/icicibank-revamp/uk/doc/financial-report-FY2026.pdf. Published on the Bank's own website; the Companies House filing history for 04663024 still shows 31 March 2025 as the latest accounts filed, so this is the Bank's own published source rather than a Companies House copy. Added 2026-09-15. Every FY2026 statement was verified to foot internally (Total assets USD 2,908,251k = Total Liabilities USD 2,550,469k + Total Equity USD 357,782k; the equity roll-forward from the 1 April 2025 opening balance ties to the 31 March 2026 closing balance on all four components) and every FY2025 comparative printed in the FY2026 report reproduces this workbook's existing FY2025 figures exactly, so no prior year was restated. Two presentational points carried over unchanged from FY2025: 'Debt Securities' and 'Equity shares' are printed as two separate Balance Sheet lines and are combined here into the single 'Investment securities other than Government/Treasury securities' row (FY2026 473,773 + 3,804 = 477,577), and 'Intangible fixed assets' and 'Tangible fixed assets' are likewise combined into 'Tangible &amp; intangible fixed assets' (FY2026 1,189 + 2,145 = 3,334) - both matching how the earlier years in this sheet are already presented. FY2026's 'Impairment on loans and advances' is a net credit of USD 534k (a release, not a charge), which is a real disclosed figure, not a sign error.
FY2025/FY2024: Annual Report and Accounts, year ended 31 March 2025, Profit and loss account/Statement of other comprehensive income/Balance sheet/Statement of change in equity, pp.36-39 - https://www.icicibank.co.uk/content/dam/icicibank/icici-assets/uk/financial-report-uk-FY2025.pdf
FY2023 (own): Annual Report and Accounts, year ended 31 March 2023, pp.38-41 - https://find-and-update.company-information.service.gov.uk/company/04663024/filing-history/MzM5Mjc5MzA4M2FkaXF6a2N4/document?format=pdf&amp;download=0
FY2022 (own): Annual Report and Accounts, year ended 31 March 2022, pp.39-42 - https://find-and-update.company-information.service.gov.uk/company/04663024/filing-history/MzM0NjUxNzQwNmFkaXF6a2N4/document?format=pdf&amp;download=0
FY2021 (own): Annual Report and Accounts, year ended 31 March 2021, pp.35-38 - https://find-and-update.company-information.service.gov.uk/company/04663024/filing-history/MzMwMTQ3NjY0OGFkaXF6a2N4/document?format=pdf&amp;download=0
FY2020 (own): Strategic report, Directors' report and financial statements, year ended 31 March 2020, Profit and loss account/Statement of other comprehensive income/Balance sheet/Statement of change in equity/Note 19, pp.30-33, 51-52 - https://www.icicibank.co.uk/content/dam/icicibank/icici-assets/uk/financial-report-19-20.pdf
FY2019 (own): Strategic report, Directors' report and financial statements, year ended 31 March 2019, pp.29-32, 55 - https://www.icicibank.co.uk/content/dam/icicibank/icici-assets/uk/financial-report-18-19.pdf
FY2018 (own): Strategic report, Directors' report and financial statements, year ended 31 March 2018, pp.25-28, 51 - https://www.icicibank.co.uk/content/dam/icicibank/icici-assets/uk/financial-report-17-18.pdf
FY2017 (own): Strategic Report, Directors' Report and Financial Statements, year ended 31 March 2017, pp.19-22, 44 - https://www.icicibank.co.uk/content/dam/icicibank/icici-assets/uk/financial-report-16-17.pdf
FY2016 (own): Strategic Report, Directors' Report and Financial Statements, year ended 31 March 2016, pp.16-19, 40 - https://www.icicibank.co.uk/content/dam/icicibank/icici-assets/uk/financial-report-15-16.pdf
FY2015 (own): Strategic Report, Directors' Report and Financial Statements, year ended 31 March 2015, pp.14-19, 36-39 - https://www.icicibank.co.uk/content/dam/icicibank/icici-assets/uk/financial-report-14-15.pdf
FY2014 (own): Strategic report, Directors' report and financial statements, year ended 31 March 2014 (Companies House filing, scanned/non-text - read directly page by page), pp.16-19 - https://find-and-update.company-information.service.gov.uk/company/04663024/filing-history/MzEwMDE3NDY1OGFkaXF6a2N4/document?format=pdf&amp;download=0. Cross-checked against the identical FY2014 comparative column reproduced text-natively in the FY2015 Annual Report (https://www.icicibank.co.uk/content/dam/icicibank/icici-assets/uk/financial-report-14-15.pdf) - every figure ties exactly.
FY2013 (own, Companies House filing MzA3ODM0MTM2NGFkaXF6a2N4, scanned/non-text - read directly page by page): Directors' report and financial statements, year ended March 31, 2013, Profit and loss account/Balance sheet/Statement of total recognised gains and losses/Reconciliation of movements in shareholders' funds, pp.12-15 - https://find-and-update.company-information.service.gov.uk/company/04663024/filing-history/MzA3ODM0MTM2NGFkaXF6a2N4/document?format=pdf&amp;download=0. Cross-checked against the identical FY2013 comparative column reproduced in the FY2014 Companies House filing (https://find-and-update.company-information.service.gov.uk/company/04663024/filing-history/MzEwMDE3NDY1OGFkaXF6a2N4/document?format=pdf&amp;download=0) via the opening 1 April 2013 balance on the Statement of Changes in Equity sheet - ties exactly.
FY2012 (own, Companies House filing MzA1NzY0MjQxOGFkaXF6a2N4, scanned/non-text): Directors' report and financial statements, year ended March 31, 2012, pp.10-13 - https://find-and-update.company-information.service.gov.uk/company/04663024/filing-history/MzA1NzY0MjQxOGFkaXF6a2N4/document?format=pdf&amp;download=0. Cross-checked against the FY2012 comparative column in the FY2013 filing above - ties exactly except the FY2013 filing's comparative reclassifies USD 67,183k out of 'Loans and advances to banks' into a new 'Balances at central banks' line for FY2012 (a restatement, not a real change - FY2012's own originally-published Total assets of 4,084,322 is unaffected either way); this workbook uses FY2012's own originally-published, unreclassified figures throughout, per this project's standard convention.
FY2011 (own, Companies House filing MzAzNjcwNDYwOGFkaXF6a2N4, scanned/non-text): Directors' report and financial statements, year ended March 31, 2011, pp.9-12 - https://find-and-update.company-information.service.gov.uk/company/04663024/filing-history/MzAzNjcwNDYwOGFkaXF6a2N4/document?format=pdf&amp;download=0. Cross-checked against the FY2011 comparative column in the FY2012 filing above - ties exactly.
FY2010 (own, Companies House filing MzAyMTI3MzU1MGFkaXF6a2N4, scanned/non-text): Directors report and financial statements, year ended March 31, 2010, pp.9-12 - https://find-and-update.company-information.service.gov.uk/company/04663024/filing-history/MzAyMTI3MzU1MGFkaXF6a2N4/document?format=pdf&amp;download=0. Cross-checked against the FY2010 comparative column in the FY2011 filing above - ties exactly.
FY2009 (own, Companies House filing MjAzNTc0MTU4N2FkaXF6a2N4, scanned/non-text): Directors' report and financial statements, year ended March 31, 2009, pp.10-13 - https://find-and-update.company-information.service.gov.uk/company/04663024/filing-history/MjAzNTc0MTU4N2FkaXF6a2N4/document?format=pdf&amp;download=0. Cross-checked against the FY2009 comparative column in the FY2010 filing above - ties exactly.
FY2008 (own, Companies House filing MjAwNzk0MTQ0MGFkaXF6a2N4, scanned/non-text): Directors' report and financial statements, year ended 31 March 2008, Profit and loss account/Balance sheet/Statement of total recognised gains and losses/Reconciliation of movements in shareholders' funds, pp.9-12 - https://find-and-update.company-information.service.gov.uk/company/04663024/filing-history/MjAwNzk0MTQ0MGFkaXF6a2N4/document?format=pdf&amp;download=0. Cross-checked against the FY2008 comparative column in the FY2009 filing above - ties exactly (both give Total assets 8,829,049).
HD-046 (2026-09-05): extended FY2014-FY2020 back from the prior FY2021-FY2025 window, capped at FY2014 by explicit project-wide decision (real archive on icicibank.co.uk goes back to FY2008, see HD-046.md) - see wayfinder/historical-depth/tickets/HD-046.md.
HD-075 (2026-09-06): extended the four statutory statements (Balance Sheet, Profit &amp; Loss, Statement of Changes in Equity, Cash Flow Statement) only, further back to FY2008 - the real statutory floor identified by HD-004/HD-046 - by reading all six Companies House filings for FY2008-FY2013 directly (all scanned/non-text, read page by page). Pillar 3, Asset Quality and RWA Breakdown remain capped at FY2014 - out of scope for HD-075. See wayfinder/historical-depth/tickets/HD-075.md.</t>
        </is>
      </c>
    </row>
    <row r="30" ht="247" customHeight="1">
      <c r="A30" s="8" t="inlineStr">
        <is>
          <t>(continued)
PRESENTATION NOTES: each year's own originally-published figures are used throughout (not later restated comparatives), except for the Statement of Changes in Equity where a genuine, Bank-disclosed prior period adjustment is shown explicitly (see that sheet's own note). Line items renamed/regrouped across years without changing the underlying figure are shown on a consistent row (e.g. FY2021-2023's 'Cash and cash equivalents' = FY2024-25's 'Cash and Balances at Central Banks' = FY2014-2017's 'Cash' + 'Balances at central banks' summed, since FY2014-2017 disclosed these as two separate lines; FY2021-2024's single 'Investment securities other than Government/Treasury securities' line = FY2025's 'Debt Securities' + 'Equity shares' combined, since FY2025 was the only year to break these out separately). P&amp;L uses 'Total revenue' (FY2021-2023) and 'Net Income' (FY2024-2025) interchangeably for the same subtotal concept (sum of net interest income plus fee/FX/trading income including profit/(loss) on sale of financial assets) - shown on one row; FY2018-FY2020's own 'Total revenue' subtotal is built the same way. FY2014-FY2017's own headline subtotal is instead 'Operating income', which EXCLUDES 'Profit/(Loss) on sale of debt securities' (that line sits structurally below impairments in those years' own P&amp;L, immediately before pre-tax profit) - so the 'Total revenue / Net Income' TOTAL row for FY2014-FY2017 equals that year's own 'Operating income' figure, not a recomputed sum including the sale-of-debt-securities line shown elsewhere on this sheet; shown explicitly rather than force-reconciled to match later years' structure. Balance Sheet: FY2025 has no separate 'Bonds and medium term notes' line (present FY2021-2024, nil in FY2024) - left blank for FY2025, not force-merged into another line; FY2025 has no separate 'Deposits by banks' comparator issue (FY2024 explicitly nil, shown as 0). 'Bonds and medium term notes' and 'Subordinated debt' were disclosed as a single combined 'Debt securities and subordinated liabilities' line in both the FY2014 and FY2015 Annual Reports (neither report splits FY2014 into the two components); the FY2015 figure is split here using the FY2016 Annual Report's own FY2015 comparative column (250,530/233,402, ties exactly to the combined 483,932 both FY2014 and FY2015 ARs report), but no equivalent split exists anywhere for FY2014, so FY2014's combined total is shown on its own dedicated row instead, with both 'Bonds and medium term notes' and 'Subordinated debt' left blank for FY2014 rather than guessed. The same 'Debt securities and subordinated liabilities' combined row is used for FY2008-FY2013 too (none of those years' own Annual Reports, nor any later year's comparative column, ever splits them) - see the dedicated combined row below the split rows. Similarly, 'Investment in Treasury Bills / Government Securities' and 'Investment Securities other than Government/Treasury securities' are shown combined on a single 'Investment securities' row for FY2008-FY2010 (no split exists in any source reviewed); FY2011 IS split, using the FY2012 Annual Report's own FY2011 comparative column (517,435/1,057,938, ties exactly to the combined 1,575,373 both the FY2011 and FY2012 ARs report for that year), even though FY2011's own Annual Report itself only shows the combined figure. HD-075 (2026-09-06) wrinkle: 'Issued share capital' meant only Ordinary/Equity share capital throughout the pre-existing FY2014-FY2025 window (Preference share capital having already been redeemed by FY2014); for the newly-added FY2008-FY2012 the Bank's Balance Sheet discloses Ordinary/Equity and Preference/Non-equity share capital as two separate lines throughout (labelled 'Ordinary'/'Preference' from FY2012, 'Equity'/'Non-equity' FY2008-FY2011 - same substance), so a new 'Preference share capital' row is added, carrying 50,000 for FY2008-FY2012 and explicit nil for FY2013 (the year of redemption - see Statement of Changes in Equity), blank thereafter. The Profit &amp; Loss sheet gains a new 'Gains on buy back of bonds' row, disclosed as its own P&amp;L line FY2009-FY2012 (87,357/6,415/150/0) but not present at all in the FY2008 P&amp;L or any FY2013 onward P&amp;L - left blank for FY2008 and FY2013 onward rather than assumed nil (FY2012's own 'Financial 2013' column implies the line still existed conceptually but was FY2013-onward folded back into profit/(loss) on sale of debt securities per that year's own Directors' report highlights table). FY2008's P&amp;L does not separately disclose 'Foreign exchange revaluation gains' - that year's own statement instead shows a single combined 'Dealing (losses)/profits' line (-27,313), which the FY2009 Annual Report's own FY2008 comparative column later reclassifies into 'Foreign exchange revaluation gains' (23,353) plus 'Income/(Expense) on financial instruments at fair value through profit and loss' (-50,666) - a restatement, not a real change (both net to -27,313). Per this workbook's standing convention of using each year's own originally-published figures, FY2008's combined -27,313 is shown on the 'Income/(loss) on financial instruments at fair value through P&amp;L' row, with 'Foreign exchange revaluation gains' left blank for FY2008 only rather than force-split. FY2008's Balance Sheet has no directly-disclosed 'Total Liabilities' subtotal separate from Total Equity (that year's own statement prints one combined bottom-line figure covering both) - the FY2008 Total Liabilities row shown here (8,363,027) is therefore computed as the sum of that year's own disclosed liability line items, not copied from an explicit source subtotal; it ties exactly (Total Liabilities + Total Equity = Total assets = 8,829,049). Tangible/intangible fixed assets: shown as one combined line for FY2014 (5,751, no separate intangible disclosed that year), FY2015 (4,774, ditto), FY2019 and FY2020 (both years' own 'Tangible and Intangible fixed assets' combined line); shown as two components summed for FY2016-FY2018, where the Bank disclosed them as separate lines. 'Derivative financial instruments' first appears as its own Balance Sheet line from FY2018 onward - for FY2014-FY2017 it was not broken out on the face of the Balance Sheet (only within the credit-risk note's 'Other assets'/'Other liabilities' sub-analysis) and is left blank rather than estimated. A 'Capital redemption reserve' row (once $50.0m, cancelled into Retained earnings during FY2015 - see the Statement of Changes in Equity) applied only to FY2014 (50,000) and FY2015 (explicitly nil); no such reserve existed FY2016 onward.
STATEMENTS ENTITY NOTE: the Bank's Balance Sheet, Profit &amp; Loss, Statement of Changes in Equity, Asset Quality, and RWA Breakdown sheets are presented in USD (the Bank's own and sole primary reporting currency in every source document reviewed - each Annual Report and Pillar 3 disclosure gives only an unaudited INR 'convenience translation' alongside the USD primary figures; no GBP figures are published anywhere by this Bank). Kept in USD throughout (not converted to £) for consistency with the workbook's own pre-existing Pillar 3 metric sheets, which are also USD million.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28:T28"/>
    <mergeCell ref="A30:T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
  <sheetViews>
    <sheetView workbookViewId="0">
      <pane ySplit="4" topLeftCell="A5" activePane="bottomLeft" state="frozen"/>
      <selection pane="bottomLef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ICICI Bank UK Plc — Statement of Changes in Equity</t>
        </is>
      </c>
    </row>
    <row r="2">
      <c r="A2" s="2" t="inlineStr">
        <is>
          <t>USD'000, chronological, oldest to newest. Equity reconciliation ladder confirmed: each year's own closing balance ties exactly to both the next year's own opening balance and that year's own Balance Sheet Total equity, EXCEPT the FY2023 close, which is bridged by an explicit Prior period adjustment row - the FY2024 Annual Report discloses a $1,268k restatement to the 1 April 2022 opening retained earnings (not explained further in that filing) that cascades through to a different 1 April 2023 opening figure ($317,075k) than the FY2023 Annual Report's own originally-published 31 March 2023 closing figure ($318,343k). Both figures are genuine, Bank-disclosed numbers from their respective reports - shown explicitly, not force-reconciled. A Capital redemption reserve of $50,000k existed at the FY2014 opening (1 April 2013) and was cancelled into Retained earnings during FY2015 (nil from 31 March 2015 onward) - carried as its own column throughout for a clean reconciliation even though it is blank/zero after FY2015. HD-075 (2026-09-06) extended the ladder back from FY2013's opening to FY2008's opening (1 April 2007), the real statutory floor. For FY2008-FY2012, the 'Issued share capital' column combines Ordinary/Equity share capital AND Preference/Non-equity share capital into a single figure, exactly matching how the Bank's own Reconciliation of movements in shareholders' funds table presents it in every one of those years' Annual Reports (the Balance Sheet sheet, by contrast, shows them as two separate line items, matching THAT statement's own presentation - the two sheets are individually accurate to their own source table, not to each other's convention). Preference share capital ($50,000k throughout FY2008-FY2012) was redeemed to nil during FY2013 (see the 'Redemption of Preference share capital, FY2013' row), which is also when the Capital redemption reserve column first appears - both events happen in the same year, are unrelated to each other, and are shown as separate rows. Every closing balance from FY2008 to FY2013 ties exactly to the next year's own opening balance and to that year's own Balance Sheet Total Equity (single Issued-share-capital-combined total in both cases).</t>
        </is>
      </c>
    </row>
    <row r="3">
      <c r="A3" s="4" t="inlineStr">
        <is>
          <t>Movement</t>
        </is>
      </c>
      <c r="B3" s="4" t="inlineStr">
        <is>
          <t>Issued share capital</t>
        </is>
      </c>
      <c r="C3" s="4" t="inlineStr">
        <is>
          <t>Retained earnings</t>
        </is>
      </c>
      <c r="D3" s="4" t="inlineStr">
        <is>
          <t>Capital redemption reserve</t>
        </is>
      </c>
      <c r="E3" s="4" t="inlineStr">
        <is>
          <t>Available for sale reserve</t>
        </is>
      </c>
      <c r="F3" s="4" t="inlineStr">
        <is>
          <t>Capital contribution</t>
        </is>
      </c>
      <c r="G3" s="4" t="inlineStr">
        <is>
          <t>Total equity</t>
        </is>
      </c>
    </row>
    <row r="4">
      <c r="A4" s="5" t="inlineStr">
        <is>
          <t>Balance as at 1 April 2007 (FY2008's own opening; 'Issued share capital' here combines Ordinary/Equity + Preference/Non-equity share capital throughout FY2008-FY2012, matching the Bank's own Reconciliation of movements in shareholders' funds table - see subtitle note)</t>
        </is>
      </c>
      <c r="B4" s="5" t="n">
        <v>185095</v>
      </c>
      <c r="C4" s="5" t="n">
        <v>37466</v>
      </c>
      <c r="D4" s="5" t="n"/>
      <c r="E4" s="5" t="n">
        <v>-372</v>
      </c>
      <c r="F4" s="5" t="n"/>
      <c r="G4" s="5" t="n">
        <v>222189</v>
      </c>
    </row>
    <row r="5">
      <c r="A5" s="6" t="inlineStr">
        <is>
          <t>Ordinary shares issued during the year, FY2008</t>
        </is>
      </c>
      <c r="B5" s="6" t="n">
        <v>310000</v>
      </c>
      <c r="C5" s="6" t="n"/>
      <c r="D5" s="6" t="n"/>
      <c r="E5" s="6" t="n"/>
      <c r="F5" s="6" t="n"/>
      <c r="G5" s="6" t="n">
        <v>310000</v>
      </c>
    </row>
    <row r="6">
      <c r="A6" s="6" t="inlineStr">
        <is>
          <t>Unrealised loss on available for sale securities, FY2008</t>
        </is>
      </c>
      <c r="B6" s="6" t="n"/>
      <c r="C6" s="6" t="n"/>
      <c r="D6" s="6" t="n"/>
      <c r="E6" s="6" t="n">
        <v>-142763</v>
      </c>
      <c r="F6" s="6" t="n"/>
      <c r="G6" s="6" t="n">
        <v>-142763</v>
      </c>
    </row>
    <row r="7">
      <c r="A7" s="6" t="inlineStr">
        <is>
          <t>Tax impact on available for sale reserve, FY2008</t>
        </is>
      </c>
      <c r="B7" s="6" t="n"/>
      <c r="C7" s="6" t="n"/>
      <c r="D7" s="6" t="n"/>
      <c r="E7" s="6" t="n">
        <v>42309</v>
      </c>
      <c r="F7" s="6" t="n"/>
      <c r="G7" s="6" t="n">
        <v>42309</v>
      </c>
    </row>
    <row r="8">
      <c r="A8" s="6" t="inlineStr">
        <is>
          <t>Profit for the year, FY2008</t>
        </is>
      </c>
      <c r="B8" s="6" t="n"/>
      <c r="C8" s="6" t="n">
        <v>38412</v>
      </c>
      <c r="D8" s="6" t="n"/>
      <c r="E8" s="6" t="n"/>
      <c r="F8" s="6" t="n"/>
      <c r="G8" s="6" t="n">
        <v>38412</v>
      </c>
    </row>
    <row r="9">
      <c r="A9" s="6" t="inlineStr">
        <is>
          <t>Preference dividend paid, FY2008</t>
        </is>
      </c>
      <c r="B9" s="6" t="n"/>
      <c r="C9" s="6" t="n">
        <v>-4125</v>
      </c>
      <c r="D9" s="6" t="n"/>
      <c r="E9" s="6" t="n"/>
      <c r="F9" s="6" t="n"/>
      <c r="G9" s="6" t="n">
        <v>-4125</v>
      </c>
    </row>
    <row r="10">
      <c r="A10" s="5" t="inlineStr">
        <is>
          <t>Balance as at 31 March 2008 / 1 April 2008</t>
        </is>
      </c>
      <c r="B10" s="5" t="n">
        <v>495095</v>
      </c>
      <c r="C10" s="5" t="n">
        <v>71753</v>
      </c>
      <c r="D10" s="5" t="n"/>
      <c r="E10" s="5" t="n">
        <v>-100826</v>
      </c>
      <c r="F10" s="5" t="n"/>
      <c r="G10" s="5" t="n">
        <v>466022</v>
      </c>
    </row>
    <row r="11">
      <c r="A11" s="6" t="inlineStr">
        <is>
          <t>Ordinary shares issued during the year, FY2009</t>
        </is>
      </c>
      <c r="B11" s="6" t="n">
        <v>100000</v>
      </c>
      <c r="C11" s="6" t="n"/>
      <c r="D11" s="6" t="n"/>
      <c r="E11" s="6" t="n"/>
      <c r="F11" s="6" t="n"/>
      <c r="G11" s="6" t="n">
        <v>100000</v>
      </c>
    </row>
    <row r="12">
      <c r="A12" s="6" t="inlineStr">
        <is>
          <t>Capital contribution (share-based payments), FY2009</t>
        </is>
      </c>
      <c r="B12" s="6" t="n"/>
      <c r="C12" s="6" t="n"/>
      <c r="D12" s="6" t="n"/>
      <c r="E12" s="6" t="n"/>
      <c r="F12" s="6" t="n">
        <v>851</v>
      </c>
      <c r="G12" s="6" t="n">
        <v>851</v>
      </c>
    </row>
    <row r="13">
      <c r="A13" s="6" t="inlineStr">
        <is>
          <t>Unrealised loss on available for sale securities, FY2009</t>
        </is>
      </c>
      <c r="B13" s="6" t="n"/>
      <c r="C13" s="6" t="n"/>
      <c r="D13" s="6" t="n"/>
      <c r="E13" s="6" t="n">
        <v>-208291</v>
      </c>
      <c r="F13" s="6" t="n"/>
      <c r="G13" s="6" t="n">
        <v>-208291</v>
      </c>
    </row>
    <row r="14">
      <c r="A14" s="6" t="inlineStr">
        <is>
          <t>Tax impact on available for sale reserve, FY2009</t>
        </is>
      </c>
      <c r="B14" s="6" t="n"/>
      <c r="C14" s="6" t="n"/>
      <c r="D14" s="6" t="n"/>
      <c r="E14" s="6" t="n">
        <v>44414</v>
      </c>
      <c r="F14" s="6" t="n"/>
      <c r="G14" s="6" t="n">
        <v>44414</v>
      </c>
    </row>
    <row r="15">
      <c r="A15" s="6" t="inlineStr">
        <is>
          <t>Profit for the year, FY2009</t>
        </is>
      </c>
      <c r="B15" s="6" t="n"/>
      <c r="C15" s="6" t="n">
        <v>6836</v>
      </c>
      <c r="D15" s="6" t="n"/>
      <c r="E15" s="6" t="n"/>
      <c r="F15" s="6" t="n"/>
      <c r="G15" s="6" t="n">
        <v>6836</v>
      </c>
    </row>
    <row r="16">
      <c r="A16" s="5" t="inlineStr">
        <is>
          <t>Balance as at 31 March 2009 / 1 April 2009</t>
        </is>
      </c>
      <c r="B16" s="5" t="n">
        <v>595095</v>
      </c>
      <c r="C16" s="5" t="n">
        <v>78589</v>
      </c>
      <c r="D16" s="5" t="n"/>
      <c r="E16" s="5" t="n">
        <v>-264703</v>
      </c>
      <c r="F16" s="5" t="n">
        <v>851</v>
      </c>
      <c r="G16" s="5" t="n">
        <v>409832</v>
      </c>
    </row>
    <row r="17">
      <c r="A17" s="6" t="inlineStr">
        <is>
          <t>Capital contribution (share-based payments), FY2010</t>
        </is>
      </c>
      <c r="B17" s="6" t="n"/>
      <c r="C17" s="6" t="n"/>
      <c r="D17" s="6" t="n"/>
      <c r="E17" s="6" t="n"/>
      <c r="F17" s="6" t="n">
        <v>616</v>
      </c>
      <c r="G17" s="6" t="n">
        <v>616</v>
      </c>
    </row>
    <row r="18">
      <c r="A18" s="6" t="inlineStr">
        <is>
          <t>Unrealised gain on available for sale securities, FY2010</t>
        </is>
      </c>
      <c r="B18" s="6" t="n"/>
      <c r="C18" s="6" t="n"/>
      <c r="D18" s="6" t="n"/>
      <c r="E18" s="6" t="n">
        <v>232412</v>
      </c>
      <c r="F18" s="6" t="n"/>
      <c r="G18" s="6" t="n">
        <v>232412</v>
      </c>
    </row>
    <row r="19">
      <c r="A19" s="6" t="inlineStr">
        <is>
          <t>Tax impact on available for sale reserve, FY2010</t>
        </is>
      </c>
      <c r="B19" s="6" t="n"/>
      <c r="C19" s="6" t="n"/>
      <c r="D19" s="6" t="n"/>
      <c r="E19" s="6" t="n">
        <v>-53250</v>
      </c>
      <c r="F19" s="6" t="n"/>
      <c r="G19" s="6" t="n">
        <v>-53250</v>
      </c>
    </row>
    <row r="20">
      <c r="A20" s="6" t="inlineStr">
        <is>
          <t>Profit for the year, FY2010</t>
        </is>
      </c>
      <c r="B20" s="6" t="n"/>
      <c r="C20" s="6" t="n">
        <v>36993</v>
      </c>
      <c r="D20" s="6" t="n"/>
      <c r="E20" s="6" t="n"/>
      <c r="F20" s="6" t="n"/>
      <c r="G20" s="6" t="n">
        <v>36993</v>
      </c>
    </row>
    <row r="21">
      <c r="A21" s="5" t="inlineStr">
        <is>
          <t>Balance as at 31 March 2010 / 1 April 2010</t>
        </is>
      </c>
      <c r="B21" s="5" t="n">
        <v>595095</v>
      </c>
      <c r="C21" s="5" t="n">
        <v>115582</v>
      </c>
      <c r="D21" s="5" t="n"/>
      <c r="E21" s="5" t="n">
        <v>-85541</v>
      </c>
      <c r="F21" s="5" t="n">
        <v>1467</v>
      </c>
      <c r="G21" s="5" t="n">
        <v>626603</v>
      </c>
    </row>
    <row r="22">
      <c r="A22" s="6" t="inlineStr">
        <is>
          <t>Capital contribution (share-based payments), FY2011</t>
        </is>
      </c>
      <c r="B22" s="6" t="n"/>
      <c r="C22" s="6" t="n"/>
      <c r="D22" s="6" t="n"/>
      <c r="E22" s="6" t="n"/>
      <c r="F22" s="6" t="n">
        <v>664</v>
      </c>
      <c r="G22" s="6" t="n">
        <v>664</v>
      </c>
    </row>
    <row r="23">
      <c r="A23" s="6" t="inlineStr">
        <is>
          <t>Unrealised gain on available for sale securities, FY2011</t>
        </is>
      </c>
      <c r="B23" s="6" t="n"/>
      <c r="C23" s="6" t="n"/>
      <c r="D23" s="6" t="n"/>
      <c r="E23" s="6" t="n">
        <v>32867</v>
      </c>
      <c r="F23" s="6" t="n"/>
      <c r="G23" s="6" t="n">
        <v>32867</v>
      </c>
    </row>
    <row r="24">
      <c r="A24" s="6" t="inlineStr">
        <is>
          <t>Tax impact on available for sale reserve, FY2011</t>
        </is>
      </c>
      <c r="B24" s="6" t="n"/>
      <c r="C24" s="6" t="n"/>
      <c r="D24" s="6" t="n"/>
      <c r="E24" s="6" t="n">
        <v>-9203</v>
      </c>
      <c r="F24" s="6" t="n"/>
      <c r="G24" s="6" t="n">
        <v>-9203</v>
      </c>
    </row>
    <row r="25">
      <c r="A25" s="6" t="inlineStr">
        <is>
          <t>Profit for the year, FY2011</t>
        </is>
      </c>
      <c r="B25" s="6" t="n"/>
      <c r="C25" s="6" t="n">
        <v>36556</v>
      </c>
      <c r="D25" s="6" t="n"/>
      <c r="E25" s="6" t="n"/>
      <c r="F25" s="6" t="n"/>
      <c r="G25" s="6" t="n">
        <v>36556</v>
      </c>
    </row>
    <row r="26">
      <c r="A26" s="6" t="inlineStr">
        <is>
          <t>Preference dividend paid, FY2011</t>
        </is>
      </c>
      <c r="B26" s="6" t="n"/>
      <c r="C26" s="6" t="n">
        <v>-4125</v>
      </c>
      <c r="D26" s="6" t="n"/>
      <c r="E26" s="6" t="n"/>
      <c r="F26" s="6" t="n"/>
      <c r="G26" s="6" t="n">
        <v>-4125</v>
      </c>
    </row>
    <row r="27">
      <c r="A27" s="5" t="inlineStr">
        <is>
          <t>Balance as at 31 March 2011 / 1 April 2011</t>
        </is>
      </c>
      <c r="B27" s="5" t="n">
        <v>595095</v>
      </c>
      <c r="C27" s="5" t="n">
        <v>148013</v>
      </c>
      <c r="D27" s="5" t="n"/>
      <c r="E27" s="5" t="n">
        <v>-61877</v>
      </c>
      <c r="F27" s="5" t="n">
        <v>2131</v>
      </c>
      <c r="G27" s="5" t="n">
        <v>683362</v>
      </c>
    </row>
    <row r="28">
      <c r="A28" s="6" t="inlineStr">
        <is>
          <t>Capital contribution (share-based payments), FY2012</t>
        </is>
      </c>
      <c r="B28" s="6" t="n"/>
      <c r="C28" s="6" t="n"/>
      <c r="D28" s="6" t="n"/>
      <c r="E28" s="6" t="n"/>
      <c r="F28" s="6" t="n">
        <v>1020</v>
      </c>
      <c r="G28" s="6" t="n">
        <v>1020</v>
      </c>
    </row>
    <row r="29">
      <c r="A29" s="6" t="inlineStr">
        <is>
          <t>Unrealised gain on available for sale securities, FY2012</t>
        </is>
      </c>
      <c r="B29" s="6" t="n"/>
      <c r="C29" s="6" t="n"/>
      <c r="D29" s="6" t="n"/>
      <c r="E29" s="6" t="n">
        <v>30020</v>
      </c>
      <c r="F29" s="6" t="n"/>
      <c r="G29" s="6" t="n">
        <v>30020</v>
      </c>
    </row>
    <row r="30">
      <c r="A30" s="6" t="inlineStr">
        <is>
          <t>Tax impact on available for sale reserve, FY2012</t>
        </is>
      </c>
      <c r="B30" s="6" t="n"/>
      <c r="C30" s="6" t="n"/>
      <c r="D30" s="6" t="n"/>
      <c r="E30" s="6" t="n">
        <v>-6027</v>
      </c>
      <c r="F30" s="6" t="n"/>
      <c r="G30" s="6" t="n">
        <v>-6027</v>
      </c>
    </row>
    <row r="31">
      <c r="A31" s="6" t="inlineStr">
        <is>
          <t>Profit for the year, FY2012</t>
        </is>
      </c>
      <c r="B31" s="6" t="n"/>
      <c r="C31" s="6" t="n">
        <v>25390</v>
      </c>
      <c r="D31" s="6" t="n"/>
      <c r="E31" s="6" t="n"/>
      <c r="F31" s="6" t="n"/>
      <c r="G31" s="6" t="n">
        <v>25390</v>
      </c>
    </row>
    <row r="32">
      <c r="A32" s="6" t="inlineStr">
        <is>
          <t>Preference dividend paid, FY2012</t>
        </is>
      </c>
      <c r="B32" s="6" t="n"/>
      <c r="C32" s="6" t="n">
        <v>-4125</v>
      </c>
      <c r="D32" s="6" t="n"/>
      <c r="E32" s="6" t="n"/>
      <c r="F32" s="6" t="n"/>
      <c r="G32" s="6" t="n">
        <v>-4125</v>
      </c>
    </row>
    <row r="33">
      <c r="A33" s="6" t="inlineStr">
        <is>
          <t>Equity dividend paid, FY2012</t>
        </is>
      </c>
      <c r="B33" s="6" t="n"/>
      <c r="C33" s="6" t="n">
        <v>-20000</v>
      </c>
      <c r="D33" s="6" t="n"/>
      <c r="E33" s="6" t="n"/>
      <c r="F33" s="6" t="n"/>
      <c r="G33" s="6" t="n">
        <v>-20000</v>
      </c>
    </row>
    <row r="34">
      <c r="A34" s="5" t="inlineStr">
        <is>
          <t>Balance as at 31 March 2012 / 1 April 2012</t>
        </is>
      </c>
      <c r="B34" s="5" t="n">
        <v>595095</v>
      </c>
      <c r="C34" s="5" t="n">
        <v>149278</v>
      </c>
      <c r="D34" s="5" t="n"/>
      <c r="E34" s="5" t="n">
        <v>-37884</v>
      </c>
      <c r="F34" s="5" t="n">
        <v>3151</v>
      </c>
      <c r="G34" s="5" t="n">
        <v>709640</v>
      </c>
    </row>
    <row r="35">
      <c r="A35" s="6" t="inlineStr">
        <is>
          <t>Capital contribution (share-based payments), FY2013</t>
        </is>
      </c>
      <c r="B35" s="6" t="n"/>
      <c r="C35" s="6" t="n"/>
      <c r="D35" s="6" t="n"/>
      <c r="E35" s="6" t="n"/>
      <c r="F35" s="6" t="n">
        <v>997</v>
      </c>
      <c r="G35" s="6" t="n">
        <v>997</v>
      </c>
    </row>
    <row r="36">
      <c r="A36" s="6" t="inlineStr">
        <is>
          <t>Redemption of Preference share capital, FY2013</t>
        </is>
      </c>
      <c r="B36" s="6" t="n">
        <v>-50000</v>
      </c>
      <c r="C36" s="6" t="n">
        <v>-50000</v>
      </c>
      <c r="D36" s="6" t="n">
        <v>50000</v>
      </c>
      <c r="E36" s="6" t="n"/>
      <c r="F36" s="6" t="n"/>
      <c r="G36" s="6" t="n">
        <v>-50000</v>
      </c>
    </row>
    <row r="37">
      <c r="A37" s="6" t="inlineStr">
        <is>
          <t>Reduction in Equity share capital, FY2013</t>
        </is>
      </c>
      <c r="B37" s="6" t="n">
        <v>-50000</v>
      </c>
      <c r="C37" s="6" t="n"/>
      <c r="D37" s="6" t="n"/>
      <c r="E37" s="6" t="n"/>
      <c r="F37" s="6" t="n"/>
      <c r="G37" s="6" t="n">
        <v>-50000</v>
      </c>
    </row>
    <row r="38">
      <c r="A38" s="6" t="inlineStr">
        <is>
          <t>Unrealised gain on available for sale securities, FY2013</t>
        </is>
      </c>
      <c r="B38" s="6" t="n"/>
      <c r="C38" s="6" t="n"/>
      <c r="D38" s="6" t="n"/>
      <c r="E38" s="6" t="n">
        <v>27996</v>
      </c>
      <c r="F38" s="6" t="n"/>
      <c r="G38" s="6" t="n">
        <v>27996</v>
      </c>
    </row>
    <row r="39">
      <c r="A39" s="6" t="inlineStr">
        <is>
          <t>Tax impact on available for sale reserve, FY2013</t>
        </is>
      </c>
      <c r="B39" s="6" t="n"/>
      <c r="C39" s="6" t="n"/>
      <c r="D39" s="6" t="n"/>
      <c r="E39" s="6" t="n">
        <v>-6719</v>
      </c>
      <c r="F39" s="6" t="n"/>
      <c r="G39" s="6" t="n">
        <v>-6719</v>
      </c>
    </row>
    <row r="40">
      <c r="A40" s="6" t="inlineStr">
        <is>
          <t>Profit for the year, FY2013</t>
        </is>
      </c>
      <c r="B40" s="6" t="n"/>
      <c r="C40" s="6" t="n">
        <v>14383</v>
      </c>
      <c r="D40" s="6" t="n"/>
      <c r="E40" s="6" t="n"/>
      <c r="F40" s="6" t="n"/>
      <c r="G40" s="6" t="n">
        <v>14383</v>
      </c>
    </row>
    <row r="41">
      <c r="A41" s="6" t="inlineStr">
        <is>
          <t>Preference dividend paid, FY2013</t>
        </is>
      </c>
      <c r="B41" s="6" t="n"/>
      <c r="C41" s="6" t="n">
        <v>-4125</v>
      </c>
      <c r="D41" s="6" t="n"/>
      <c r="E41" s="6" t="n"/>
      <c r="F41" s="6" t="n"/>
      <c r="G41" s="6" t="n">
        <v>-4125</v>
      </c>
    </row>
    <row r="42">
      <c r="A42" s="6" t="inlineStr">
        <is>
          <t>Equity dividend paid, FY2013</t>
        </is>
      </c>
      <c r="B42" s="6" t="n"/>
      <c r="C42" s="6" t="n">
        <v>-20000</v>
      </c>
      <c r="D42" s="6" t="n"/>
      <c r="E42" s="6" t="n"/>
      <c r="F42" s="6" t="n"/>
      <c r="G42" s="6" t="n">
        <v>-20000</v>
      </c>
    </row>
    <row r="43">
      <c r="A43" s="5" t="inlineStr">
        <is>
          <t>Balance as at 31 March 2013 / 1 April 2013 (FY2014's own opening; from here on 'Issued share capital' is Ordinary shares only, since Preference share capital was redeemed to nil during FY2013 - see the two DATA rows above)</t>
        </is>
      </c>
      <c r="B43" s="5" t="n">
        <v>495095</v>
      </c>
      <c r="C43" s="5" t="n">
        <v>89536</v>
      </c>
      <c r="D43" s="5" t="n">
        <v>50000</v>
      </c>
      <c r="E43" s="5" t="n">
        <v>-16607</v>
      </c>
      <c r="F43" s="5" t="n">
        <v>4148</v>
      </c>
      <c r="G43" s="5" t="n">
        <v>622172</v>
      </c>
    </row>
    <row r="44">
      <c r="A44" s="6" t="inlineStr">
        <is>
          <t>Capital contribution (share-based payments), FY2014</t>
        </is>
      </c>
      <c r="B44" s="6" t="n"/>
      <c r="C44" s="6" t="n"/>
      <c r="D44" s="6" t="n"/>
      <c r="E44" s="6" t="n"/>
      <c r="F44" s="6" t="n">
        <v>1108</v>
      </c>
      <c r="G44" s="6" t="n">
        <v>1108</v>
      </c>
    </row>
    <row r="45">
      <c r="A45" s="6" t="inlineStr">
        <is>
          <t>Unrealised gain on available for sale securities, FY2014</t>
        </is>
      </c>
      <c r="B45" s="6" t="n"/>
      <c r="C45" s="6" t="n"/>
      <c r="D45" s="6" t="n"/>
      <c r="E45" s="6" t="n">
        <v>7201</v>
      </c>
      <c r="F45" s="6" t="n"/>
      <c r="G45" s="6" t="n">
        <v>7201</v>
      </c>
    </row>
    <row r="46">
      <c r="A46" s="6" t="inlineStr">
        <is>
          <t>Tax impact on available for sale reserve, FY2014</t>
        </is>
      </c>
      <c r="B46" s="6" t="n"/>
      <c r="C46" s="6" t="n"/>
      <c r="D46" s="6" t="n"/>
      <c r="E46" s="6" t="n">
        <v>-1656</v>
      </c>
      <c r="F46" s="6" t="n"/>
      <c r="G46" s="6" t="n">
        <v>-1656</v>
      </c>
    </row>
    <row r="47">
      <c r="A47" s="6" t="inlineStr">
        <is>
          <t>Profit for the year, FY2014</t>
        </is>
      </c>
      <c r="B47" s="6" t="n"/>
      <c r="C47" s="6" t="n">
        <v>25224</v>
      </c>
      <c r="D47" s="6" t="n"/>
      <c r="E47" s="6" t="n"/>
      <c r="F47" s="6" t="n"/>
      <c r="G47" s="6" t="n">
        <v>25224</v>
      </c>
    </row>
    <row r="48">
      <c r="A48" s="6" t="inlineStr">
        <is>
          <t>Equity dividend paid, FY2014</t>
        </is>
      </c>
      <c r="B48" s="6" t="n"/>
      <c r="C48" s="6" t="n">
        <v>-25000</v>
      </c>
      <c r="D48" s="6" t="n"/>
      <c r="E48" s="6" t="n"/>
      <c r="F48" s="6" t="n"/>
      <c r="G48" s="6" t="n">
        <v>-25000</v>
      </c>
    </row>
    <row r="49">
      <c r="A49" s="5" t="inlineStr">
        <is>
          <t>Balance as at 31 March 2014 / 1 April 2014</t>
        </is>
      </c>
      <c r="B49" s="5" t="n">
        <v>495095</v>
      </c>
      <c r="C49" s="5" t="n">
        <v>89760</v>
      </c>
      <c r="D49" s="5" t="n">
        <v>50000</v>
      </c>
      <c r="E49" s="5" t="n">
        <v>-11062</v>
      </c>
      <c r="F49" s="5" t="n">
        <v>5256</v>
      </c>
      <c r="G49" s="5" t="n">
        <v>629049</v>
      </c>
    </row>
    <row r="50">
      <c r="A50" s="6" t="inlineStr">
        <is>
          <t>Reduction in equity share capital, FY2015</t>
        </is>
      </c>
      <c r="B50" s="6" t="n">
        <v>-75000</v>
      </c>
      <c r="C50" s="6" t="n"/>
      <c r="D50" s="6" t="n"/>
      <c r="E50" s="6" t="n"/>
      <c r="F50" s="6" t="n"/>
      <c r="G50" s="6" t="n">
        <v>-75000</v>
      </c>
    </row>
    <row r="51">
      <c r="A51" s="6" t="inlineStr">
        <is>
          <t>Cancellation of capital redemption reserve, FY2015 (moved to Retained earnings, no effect on Total equity)</t>
        </is>
      </c>
      <c r="B51" s="6" t="n"/>
      <c r="C51" s="6" t="n">
        <v>50000</v>
      </c>
      <c r="D51" s="6" t="n">
        <v>-50000</v>
      </c>
      <c r="E51" s="6" t="n"/>
      <c r="F51" s="6" t="n"/>
      <c r="G51" s="6" t="n">
        <v>0</v>
      </c>
    </row>
    <row r="52">
      <c r="A52" s="6" t="inlineStr">
        <is>
          <t>Capital contribution (share-based payments), FY2015</t>
        </is>
      </c>
      <c r="B52" s="6" t="n"/>
      <c r="C52" s="6" t="n"/>
      <c r="D52" s="6" t="n"/>
      <c r="E52" s="6" t="n"/>
      <c r="F52" s="6" t="n">
        <v>656</v>
      </c>
      <c r="G52" s="6" t="n">
        <v>656</v>
      </c>
    </row>
    <row r="53">
      <c r="A53" s="6" t="inlineStr">
        <is>
          <t>Unrealised gain on available for sale securities, FY2015</t>
        </is>
      </c>
      <c r="B53" s="6" t="n"/>
      <c r="C53" s="6" t="n"/>
      <c r="D53" s="6" t="n"/>
      <c r="E53" s="6" t="n">
        <v>6585</v>
      </c>
      <c r="F53" s="6" t="n"/>
      <c r="G53" s="6" t="n">
        <v>6585</v>
      </c>
    </row>
    <row r="54">
      <c r="A54" s="6" t="inlineStr">
        <is>
          <t>Tax impact on available for sale reserve, FY2015</t>
        </is>
      </c>
      <c r="B54" s="6" t="n"/>
      <c r="C54" s="6" t="n"/>
      <c r="D54" s="6" t="n"/>
      <c r="E54" s="6" t="n">
        <v>-4191</v>
      </c>
      <c r="F54" s="6" t="n"/>
      <c r="G54" s="6" t="n">
        <v>-4191</v>
      </c>
    </row>
    <row r="55">
      <c r="A55" s="6" t="inlineStr">
        <is>
          <t>Profit for the year, FY2015</t>
        </is>
      </c>
      <c r="B55" s="6" t="n"/>
      <c r="C55" s="6" t="n">
        <v>18329</v>
      </c>
      <c r="D55" s="6" t="n"/>
      <c r="E55" s="6" t="n"/>
      <c r="F55" s="6" t="n"/>
      <c r="G55" s="6" t="n">
        <v>18329</v>
      </c>
    </row>
    <row r="56">
      <c r="A56" s="6" t="inlineStr">
        <is>
          <t>Equity dividend paid, FY2015</t>
        </is>
      </c>
      <c r="B56" s="6" t="n"/>
      <c r="C56" s="6" t="n">
        <v>-30000</v>
      </c>
      <c r="D56" s="6" t="n"/>
      <c r="E56" s="6" t="n"/>
      <c r="F56" s="6" t="n"/>
      <c r="G56" s="6" t="n">
        <v>-30000</v>
      </c>
    </row>
    <row r="57">
      <c r="A57" s="5" t="inlineStr">
        <is>
          <t>Balance as at 31 March 2015 / 1 April 2015 (Capital redemption reserve now nil, cancelled - see above)</t>
        </is>
      </c>
      <c r="B57" s="5" t="n">
        <v>420095</v>
      </c>
      <c r="C57" s="5" t="n">
        <v>128089</v>
      </c>
      <c r="D57" s="5" t="n">
        <v>0</v>
      </c>
      <c r="E57" s="5" t="n">
        <v>-8668</v>
      </c>
      <c r="F57" s="5" t="n">
        <v>5912</v>
      </c>
      <c r="G57" s="5" t="n">
        <v>545428</v>
      </c>
    </row>
    <row r="58">
      <c r="A58" s="6" t="inlineStr">
        <is>
          <t>Capital contribution (share-based payments), FY2016</t>
        </is>
      </c>
      <c r="B58" s="6" t="n"/>
      <c r="C58" s="6" t="n"/>
      <c r="D58" s="6" t="n"/>
      <c r="E58" s="6" t="n"/>
      <c r="F58" s="6" t="n">
        <v>1420</v>
      </c>
      <c r="G58" s="6" t="n">
        <v>1420</v>
      </c>
    </row>
    <row r="59">
      <c r="A59" s="6" t="inlineStr">
        <is>
          <t>Other comprehensive income, FY2016</t>
        </is>
      </c>
      <c r="B59" s="6" t="n"/>
      <c r="C59" s="6" t="n"/>
      <c r="D59" s="6" t="n"/>
      <c r="E59" s="6" t="n">
        <v>-1864</v>
      </c>
      <c r="F59" s="6" t="n"/>
      <c r="G59" s="6" t="n">
        <v>-1864</v>
      </c>
    </row>
    <row r="60">
      <c r="A60" s="6" t="inlineStr">
        <is>
          <t>Profit for the year, FY2016</t>
        </is>
      </c>
      <c r="B60" s="6" t="n"/>
      <c r="C60" s="6" t="n">
        <v>543</v>
      </c>
      <c r="D60" s="6" t="n"/>
      <c r="E60" s="6" t="n"/>
      <c r="F60" s="6" t="n"/>
      <c r="G60" s="6" t="n">
        <v>543</v>
      </c>
    </row>
    <row r="61">
      <c r="A61" s="5" t="inlineStr">
        <is>
          <t>Balance as at 31 March 2016 / 1 April 2016</t>
        </is>
      </c>
      <c r="B61" s="5" t="n">
        <v>420095</v>
      </c>
      <c r="C61" s="5" t="n">
        <v>128632</v>
      </c>
      <c r="D61" s="5" t="n">
        <v>0</v>
      </c>
      <c r="E61" s="5" t="n">
        <v>-10532</v>
      </c>
      <c r="F61" s="5" t="n">
        <v>7332</v>
      </c>
      <c r="G61" s="5" t="n">
        <v>545527</v>
      </c>
    </row>
    <row r="62">
      <c r="A62" s="6" t="inlineStr">
        <is>
          <t>Capital contribution (share-based payments), FY2017</t>
        </is>
      </c>
      <c r="B62" s="6" t="n"/>
      <c r="C62" s="6" t="n"/>
      <c r="D62" s="6" t="n"/>
      <c r="E62" s="6" t="n"/>
      <c r="F62" s="6" t="n">
        <v>1789</v>
      </c>
      <c r="G62" s="6" t="n">
        <v>1789</v>
      </c>
    </row>
    <row r="63">
      <c r="A63" s="6" t="inlineStr">
        <is>
          <t>Other comprehensive income, FY2017</t>
        </is>
      </c>
      <c r="B63" s="6" t="n"/>
      <c r="C63" s="6" t="n"/>
      <c r="D63" s="6" t="n"/>
      <c r="E63" s="6" t="n">
        <v>1996</v>
      </c>
      <c r="F63" s="6" t="n"/>
      <c r="G63" s="6" t="n">
        <v>1996</v>
      </c>
    </row>
    <row r="64">
      <c r="A64" s="6" t="inlineStr">
        <is>
          <t>(Loss) for the year, FY2017</t>
        </is>
      </c>
      <c r="B64" s="6" t="n"/>
      <c r="C64" s="6" t="n">
        <v>-16082</v>
      </c>
      <c r="D64" s="6" t="n"/>
      <c r="E64" s="6" t="n"/>
      <c r="F64" s="6" t="n"/>
      <c r="G64" s="6" t="n">
        <v>-16082</v>
      </c>
    </row>
    <row r="65">
      <c r="A65" s="5" t="inlineStr">
        <is>
          <t>Balance as at 31 March 2017 / 1 April 2017</t>
        </is>
      </c>
      <c r="B65" s="5" t="n">
        <v>420095</v>
      </c>
      <c r="C65" s="5" t="n">
        <v>112550</v>
      </c>
      <c r="D65" s="5" t="n">
        <v>0</v>
      </c>
      <c r="E65" s="5" t="n">
        <v>-8536</v>
      </c>
      <c r="F65" s="5" t="n">
        <v>9121</v>
      </c>
      <c r="G65" s="5" t="n">
        <v>533230</v>
      </c>
    </row>
    <row r="66">
      <c r="A66" s="6" t="inlineStr">
        <is>
          <t>Capital contribution (share-based payments), FY2018</t>
        </is>
      </c>
      <c r="B66" s="6" t="n"/>
      <c r="C66" s="6" t="n"/>
      <c r="D66" s="6" t="n"/>
      <c r="E66" s="6" t="n"/>
      <c r="F66" s="6" t="n">
        <v>1047</v>
      </c>
      <c r="G66" s="6" t="n">
        <v>1047</v>
      </c>
    </row>
    <row r="67">
      <c r="A67" s="6" t="inlineStr">
        <is>
          <t>Other comprehensive income, FY2018</t>
        </is>
      </c>
      <c r="B67" s="6" t="n"/>
      <c r="C67" s="6" t="n"/>
      <c r="D67" s="6" t="n"/>
      <c r="E67" s="6" t="n">
        <v>-1977</v>
      </c>
      <c r="F67" s="6" t="n"/>
      <c r="G67" s="6" t="n">
        <v>-1977</v>
      </c>
    </row>
    <row r="68">
      <c r="A68" s="6" t="inlineStr">
        <is>
          <t>(Loss) for the year, FY2018</t>
        </is>
      </c>
      <c r="B68" s="6" t="n"/>
      <c r="C68" s="6" t="n">
        <v>-25548</v>
      </c>
      <c r="D68" s="6" t="n"/>
      <c r="E68" s="6" t="n"/>
      <c r="F68" s="6" t="n"/>
      <c r="G68" s="6" t="n">
        <v>-25548</v>
      </c>
    </row>
    <row r="69">
      <c r="A69" s="5" t="inlineStr">
        <is>
          <t>Balance as at 31 March 2018 / 1 April 2018</t>
        </is>
      </c>
      <c r="B69" s="5" t="n">
        <v>420095</v>
      </c>
      <c r="C69" s="5" t="n">
        <v>87002</v>
      </c>
      <c r="D69" s="5" t="n">
        <v>0</v>
      </c>
      <c r="E69" s="5" t="n">
        <v>-10513</v>
      </c>
      <c r="F69" s="5" t="n">
        <v>10168</v>
      </c>
      <c r="G69" s="5" t="n">
        <v>506752</v>
      </c>
    </row>
    <row r="70">
      <c r="A70" s="6" t="inlineStr">
        <is>
          <t>Capital contribution (share-based payments), FY2019</t>
        </is>
      </c>
      <c r="B70" s="6" t="n"/>
      <c r="C70" s="6" t="n"/>
      <c r="D70" s="6" t="n"/>
      <c r="E70" s="6" t="n"/>
      <c r="F70" s="6" t="n">
        <v>535</v>
      </c>
      <c r="G70" s="6" t="n">
        <v>535</v>
      </c>
    </row>
    <row r="71">
      <c r="A71" s="6" t="inlineStr">
        <is>
          <t>Other comprehensive income, FY2019</t>
        </is>
      </c>
      <c r="B71" s="6" t="n"/>
      <c r="C71" s="6" t="n"/>
      <c r="D71" s="6" t="n"/>
      <c r="E71" s="6" t="n">
        <v>-87</v>
      </c>
      <c r="F71" s="6" t="n"/>
      <c r="G71" s="6" t="n">
        <v>-87</v>
      </c>
    </row>
    <row r="72">
      <c r="A72" s="6" t="inlineStr">
        <is>
          <t>(Loss) for the year, FY2019</t>
        </is>
      </c>
      <c r="B72" s="6" t="n"/>
      <c r="C72" s="6" t="n">
        <v>-52869</v>
      </c>
      <c r="D72" s="6" t="n"/>
      <c r="E72" s="6" t="n"/>
      <c r="F72" s="6" t="n"/>
      <c r="G72" s="6" t="n">
        <v>-52869</v>
      </c>
    </row>
    <row r="73">
      <c r="A73" s="5" t="inlineStr">
        <is>
          <t>Balance as at 31 March 2019 / 1 April 2019</t>
        </is>
      </c>
      <c r="B73" s="5" t="n">
        <v>420095</v>
      </c>
      <c r="C73" s="5" t="n">
        <v>34133</v>
      </c>
      <c r="D73" s="5" t="n">
        <v>0</v>
      </c>
      <c r="E73" s="5" t="n">
        <v>-10600</v>
      </c>
      <c r="F73" s="5" t="n">
        <v>10703</v>
      </c>
      <c r="G73" s="5" t="n">
        <v>454331</v>
      </c>
    </row>
    <row r="74">
      <c r="A74" s="6" t="inlineStr">
        <is>
          <t>Capital contribution (share-based payments), FY2020</t>
        </is>
      </c>
      <c r="B74" s="6" t="n"/>
      <c r="C74" s="6" t="n"/>
      <c r="D74" s="6" t="n"/>
      <c r="E74" s="6" t="n"/>
      <c r="F74" s="6" t="n">
        <v>931</v>
      </c>
      <c r="G74" s="6" t="n">
        <v>931</v>
      </c>
    </row>
    <row r="75">
      <c r="A75" s="6" t="inlineStr">
        <is>
          <t>Profit for the year, FY2020 (per the Bank's own Statement of Changes in Equity; the P&amp;L account's own figure is 23,249, a $1k rounding difference between the two source statements)</t>
        </is>
      </c>
      <c r="B75" s="6" t="n"/>
      <c r="C75" s="6" t="n">
        <v>23250</v>
      </c>
      <c r="D75" s="6" t="n"/>
      <c r="E75" s="6" t="n"/>
      <c r="F75" s="6" t="n"/>
      <c r="G75" s="6" t="n">
        <v>23250</v>
      </c>
    </row>
    <row r="76">
      <c r="A76" s="6" t="inlineStr">
        <is>
          <t>Movement in other comprehensive income (fair value + cash flow hedge, net of tax), FY2020</t>
        </is>
      </c>
      <c r="B76" s="6" t="n"/>
      <c r="C76" s="6" t="n"/>
      <c r="D76" s="6" t="n"/>
      <c r="E76" s="6" t="n">
        <v>-25180</v>
      </c>
      <c r="F76" s="6" t="n"/>
      <c r="G76" s="6" t="n">
        <v>-25180</v>
      </c>
    </row>
    <row r="77">
      <c r="A77" s="5" t="inlineStr">
        <is>
          <t>Balance as at 1 April 2020 (FY2021's own opening)</t>
        </is>
      </c>
      <c r="B77" s="5" t="n">
        <v>420095</v>
      </c>
      <c r="C77" s="5" t="n">
        <v>57383</v>
      </c>
      <c r="D77" s="5" t="n">
        <v>0</v>
      </c>
      <c r="E77" s="5" t="n">
        <v>-35780</v>
      </c>
      <c r="F77" s="5" t="n">
        <v>11634</v>
      </c>
      <c r="G77" s="5" t="n">
        <v>453332</v>
      </c>
    </row>
    <row r="78">
      <c r="A78" s="6" t="inlineStr">
        <is>
          <t>Capital contribution (share-based payments), FY2021</t>
        </is>
      </c>
      <c r="B78" s="6" t="n"/>
      <c r="C78" s="6" t="n"/>
      <c r="D78" s="6" t="n"/>
      <c r="E78" s="6" t="n"/>
      <c r="F78" s="6" t="n">
        <v>474</v>
      </c>
      <c r="G78" s="6" t="n">
        <v>474</v>
      </c>
    </row>
    <row r="79">
      <c r="A79" s="6" t="inlineStr">
        <is>
          <t>Profit for the year, FY2021</t>
        </is>
      </c>
      <c r="B79" s="6" t="n"/>
      <c r="C79" s="6" t="n">
        <v>14792</v>
      </c>
      <c r="D79" s="6" t="n"/>
      <c r="E79" s="6" t="n"/>
      <c r="F79" s="6" t="n"/>
      <c r="G79" s="6" t="n">
        <v>14792</v>
      </c>
    </row>
    <row r="80">
      <c r="A80" s="6" t="inlineStr">
        <is>
          <t>Movement in valuation of AFS debt securities, net of tax, FY2021</t>
        </is>
      </c>
      <c r="B80" s="6" t="n"/>
      <c r="C80" s="6" t="n"/>
      <c r="D80" s="6" t="n"/>
      <c r="E80" s="6" t="n">
        <v>38143</v>
      </c>
      <c r="F80" s="6" t="n"/>
      <c r="G80" s="6" t="n">
        <v>38143</v>
      </c>
    </row>
    <row r="81">
      <c r="A81" s="5" t="inlineStr">
        <is>
          <t>Balance as at 31 March 2021 / 1 April 2021</t>
        </is>
      </c>
      <c r="B81" s="5" t="n">
        <v>420095</v>
      </c>
      <c r="C81" s="5" t="n">
        <v>72175</v>
      </c>
      <c r="D81" s="5" t="n">
        <v>0</v>
      </c>
      <c r="E81" s="5" t="n">
        <v>2363</v>
      </c>
      <c r="F81" s="5" t="n">
        <v>12108</v>
      </c>
      <c r="G81" s="5" t="n">
        <v>506741</v>
      </c>
    </row>
    <row r="82">
      <c r="A82" s="6" t="inlineStr">
        <is>
          <t>Capital contribution (share-based payments), FY2022</t>
        </is>
      </c>
      <c r="B82" s="6" t="n"/>
      <c r="C82" s="6" t="n"/>
      <c r="D82" s="6" t="n"/>
      <c r="E82" s="6" t="n"/>
      <c r="F82" s="6" t="n">
        <v>86</v>
      </c>
      <c r="G82" s="6" t="n">
        <v>86</v>
      </c>
    </row>
    <row r="83">
      <c r="A83" s="6" t="inlineStr">
        <is>
          <t>Profit for the year, FY2022</t>
        </is>
      </c>
      <c r="B83" s="6" t="n"/>
      <c r="C83" s="6" t="n">
        <v>10901</v>
      </c>
      <c r="D83" s="6" t="n"/>
      <c r="E83" s="6" t="n"/>
      <c r="F83" s="6" t="n"/>
      <c r="G83" s="6" t="n">
        <v>10901</v>
      </c>
    </row>
    <row r="84">
      <c r="A84" s="6" t="inlineStr">
        <is>
          <t>Movement in valuation of AFS debt securities, net of tax, FY2022</t>
        </is>
      </c>
      <c r="B84" s="6" t="n"/>
      <c r="C84" s="6" t="n"/>
      <c r="D84" s="6" t="n"/>
      <c r="E84" s="6" t="n">
        <v>-1856</v>
      </c>
      <c r="F84" s="6" t="n"/>
      <c r="G84" s="6" t="n">
        <v>-1856</v>
      </c>
    </row>
    <row r="85">
      <c r="A85" s="6" t="inlineStr">
        <is>
          <t>Capital reduction, FY2022</t>
        </is>
      </c>
      <c r="B85" s="6" t="n">
        <v>-200000</v>
      </c>
      <c r="C85" s="6" t="n"/>
      <c r="D85" s="6" t="n"/>
      <c r="E85" s="6" t="n"/>
      <c r="F85" s="6" t="n"/>
      <c r="G85" s="6" t="n">
        <v>-200000</v>
      </c>
    </row>
    <row r="86">
      <c r="A86" s="5" t="inlineStr">
        <is>
          <t>Balance as at 31 March 2022 / 1 April 2022</t>
        </is>
      </c>
      <c r="B86" s="5" t="n">
        <v>220095</v>
      </c>
      <c r="C86" s="5" t="n">
        <v>83076</v>
      </c>
      <c r="D86" s="5" t="n">
        <v>0</v>
      </c>
      <c r="E86" s="5" t="n">
        <v>507</v>
      </c>
      <c r="F86" s="5" t="n">
        <v>12194</v>
      </c>
      <c r="G86" s="5" t="n">
        <v>315872</v>
      </c>
    </row>
    <row r="87">
      <c r="A87" s="6" t="inlineStr">
        <is>
          <t>Capital contribution (share-based payments), FY2023</t>
        </is>
      </c>
      <c r="B87" s="6" t="n"/>
      <c r="C87" s="6" t="n"/>
      <c r="D87" s="6" t="n"/>
      <c r="E87" s="6" t="n"/>
      <c r="F87" s="6" t="n">
        <v>14</v>
      </c>
      <c r="G87" s="6" t="n">
        <v>14</v>
      </c>
    </row>
    <row r="88">
      <c r="A88" s="6" t="inlineStr">
        <is>
          <t>Profit for the year, FY2023</t>
        </is>
      </c>
      <c r="B88" s="6" t="n"/>
      <c r="C88" s="6" t="n">
        <v>13010</v>
      </c>
      <c r="D88" s="6" t="n"/>
      <c r="E88" s="6" t="n"/>
      <c r="F88" s="6" t="n"/>
      <c r="G88" s="6" t="n">
        <v>13010</v>
      </c>
    </row>
    <row r="89">
      <c r="A89" s="6" t="inlineStr">
        <is>
          <t>Movement in valuation of AFS debt securities, net of tax, FY2023</t>
        </is>
      </c>
      <c r="B89" s="6" t="n"/>
      <c r="C89" s="6" t="n"/>
      <c r="D89" s="6" t="n"/>
      <c r="E89" s="6" t="n">
        <v>-553</v>
      </c>
      <c r="F89" s="6" t="n"/>
      <c r="G89" s="6" t="n">
        <v>-553</v>
      </c>
    </row>
    <row r="90">
      <c r="A90" s="6" t="inlineStr">
        <is>
          <t>Dividends paid, FY2023</t>
        </is>
      </c>
      <c r="B90" s="6" t="n"/>
      <c r="C90" s="6" t="n">
        <v>-10000</v>
      </c>
      <c r="D90" s="6" t="n"/>
      <c r="E90" s="6" t="n"/>
      <c r="F90" s="6" t="n"/>
      <c r="G90" s="6" t="n">
        <v>-10000</v>
      </c>
    </row>
    <row r="91">
      <c r="A91" s="5" t="inlineStr">
        <is>
          <t>Balance as at 31 March 2023 (as originally reported in the FY2023 Annual Report)</t>
        </is>
      </c>
      <c r="B91" s="5" t="n">
        <v>220095</v>
      </c>
      <c r="C91" s="5" t="n">
        <v>86086</v>
      </c>
      <c r="D91" s="5" t="n">
        <v>0</v>
      </c>
      <c r="E91" s="5" t="n">
        <v>-46</v>
      </c>
      <c r="F91" s="5" t="n">
        <v>12208</v>
      </c>
      <c r="G91" s="5" t="n">
        <v>318343</v>
      </c>
    </row>
    <row r="92">
      <c r="A92" s="6" t="inlineStr">
        <is>
          <t>Prior period adjustment (disclosed only in the FY2024 Annual Report, restating the 1 April 2022 opening retained earnings - see source note)</t>
        </is>
      </c>
      <c r="B92" s="6" t="n"/>
      <c r="C92" s="6" t="n">
        <v>-1268</v>
      </c>
      <c r="D92" s="6" t="n"/>
      <c r="E92" s="6" t="n"/>
      <c r="F92" s="6" t="n"/>
      <c r="G92" s="6" t="n">
        <v>-1268</v>
      </c>
    </row>
    <row r="93">
      <c r="A93" s="5" t="inlineStr">
        <is>
          <t>Restated balance as at 1 April 2023 (per the FY2024 Annual Report)</t>
        </is>
      </c>
      <c r="B93" s="5" t="n">
        <v>220095</v>
      </c>
      <c r="C93" s="5" t="n">
        <v>84818</v>
      </c>
      <c r="D93" s="5" t="n">
        <v>0</v>
      </c>
      <c r="E93" s="5" t="n">
        <v>-46</v>
      </c>
      <c r="F93" s="5" t="n">
        <v>12208</v>
      </c>
      <c r="G93" s="5" t="n">
        <v>317075</v>
      </c>
    </row>
    <row r="94">
      <c r="A94" s="6" t="inlineStr">
        <is>
          <t>Profit for the year, FY2024</t>
        </is>
      </c>
      <c r="B94" s="6" t="n"/>
      <c r="C94" s="6" t="n">
        <v>28777</v>
      </c>
      <c r="D94" s="6" t="n"/>
      <c r="E94" s="6" t="n"/>
      <c r="F94" s="6" t="n"/>
      <c r="G94" s="6" t="n">
        <v>28777</v>
      </c>
    </row>
    <row r="95">
      <c r="A95" s="6" t="inlineStr">
        <is>
          <t>Movement in valuation of AFS debt securities, net of tax, FY2024</t>
        </is>
      </c>
      <c r="B95" s="6" t="n"/>
      <c r="C95" s="6" t="n"/>
      <c r="D95" s="6" t="n"/>
      <c r="E95" s="6" t="n">
        <v>1617</v>
      </c>
      <c r="F95" s="6" t="n"/>
      <c r="G95" s="6" t="n">
        <v>1617</v>
      </c>
    </row>
    <row r="96">
      <c r="A96" s="6" t="inlineStr">
        <is>
          <t>Dividends paid, FY2024</t>
        </is>
      </c>
      <c r="B96" s="6" t="n"/>
      <c r="C96" s="6" t="n">
        <v>-10000</v>
      </c>
      <c r="D96" s="6" t="n"/>
      <c r="E96" s="6" t="n"/>
      <c r="F96" s="6" t="n"/>
      <c r="G96" s="6" t="n">
        <v>-10000</v>
      </c>
    </row>
    <row r="97">
      <c r="A97" s="5" t="inlineStr">
        <is>
          <t>Balance as at 31 March 2024 / 1 April 2024</t>
        </is>
      </c>
      <c r="B97" s="5" t="n">
        <v>220095</v>
      </c>
      <c r="C97" s="5" t="n">
        <v>103595</v>
      </c>
      <c r="D97" s="5" t="n">
        <v>0</v>
      </c>
      <c r="E97" s="5" t="n">
        <v>1571</v>
      </c>
      <c r="F97" s="5" t="n">
        <v>12208</v>
      </c>
      <c r="G97" s="5" t="n">
        <v>337469</v>
      </c>
    </row>
    <row r="98">
      <c r="A98" s="6" t="inlineStr">
        <is>
          <t>Profit for the year, FY2025</t>
        </is>
      </c>
      <c r="B98" s="6" t="n"/>
      <c r="C98" s="6" t="n">
        <v>26828</v>
      </c>
      <c r="D98" s="6" t="n"/>
      <c r="E98" s="6" t="n"/>
      <c r="F98" s="6" t="n"/>
      <c r="G98" s="6" t="n">
        <v>26828</v>
      </c>
    </row>
    <row r="99">
      <c r="A99" s="6" t="inlineStr">
        <is>
          <t>Movement in valuation of AFS debt securities, net of tax, FY2025</t>
        </is>
      </c>
      <c r="B99" s="6" t="n"/>
      <c r="C99" s="6" t="n"/>
      <c r="D99" s="6" t="n"/>
      <c r="E99" s="6" t="n">
        <v>644</v>
      </c>
      <c r="F99" s="6" t="n"/>
      <c r="G99" s="6" t="n">
        <v>644</v>
      </c>
    </row>
    <row r="100">
      <c r="A100" s="6" t="inlineStr">
        <is>
          <t>Dividends paid, FY2025</t>
        </is>
      </c>
      <c r="B100" s="6" t="n"/>
      <c r="C100" s="6" t="n">
        <v>-13000</v>
      </c>
      <c r="D100" s="6" t="n"/>
      <c r="E100" s="6" t="n"/>
      <c r="F100" s="6" t="n"/>
      <c r="G100" s="6" t="n">
        <v>-13000</v>
      </c>
    </row>
    <row r="101">
      <c r="A101" s="5" t="inlineStr">
        <is>
          <t>Closing shareholders' funds as at 31 March 2025 / 1 April 2025</t>
        </is>
      </c>
      <c r="B101" s="5" t="n">
        <v>220095</v>
      </c>
      <c r="C101" s="5" t="n">
        <v>117423</v>
      </c>
      <c r="D101" s="5" t="n">
        <v>0</v>
      </c>
      <c r="E101" s="5" t="n">
        <v>2215</v>
      </c>
      <c r="F101" s="5" t="n">
        <v>12208</v>
      </c>
      <c r="G101" s="5" t="n">
        <v>351941</v>
      </c>
    </row>
    <row r="102">
      <c r="A102" s="6" t="inlineStr">
        <is>
          <t>Profit for the year, FY2026</t>
        </is>
      </c>
      <c r="B102" s="6" t="n"/>
      <c r="C102" s="6" t="n">
        <v>25260</v>
      </c>
      <c r="D102" s="6" t="n"/>
      <c r="E102" s="6" t="n"/>
      <c r="F102" s="6" t="n"/>
      <c r="G102" s="6" t="n">
        <v>25260</v>
      </c>
    </row>
    <row r="103">
      <c r="A103" s="6" t="inlineStr">
        <is>
          <t>Movement in valuation of AFS debt securities, net of tax, FY2026</t>
        </is>
      </c>
      <c r="B103" s="6" t="n"/>
      <c r="C103" s="6" t="n"/>
      <c r="D103" s="6" t="n"/>
      <c r="E103" s="6" t="n">
        <v>-3419</v>
      </c>
      <c r="F103" s="6" t="n"/>
      <c r="G103" s="6" t="n">
        <v>-3419</v>
      </c>
    </row>
    <row r="104">
      <c r="A104" s="6" t="inlineStr">
        <is>
          <t>Dividends paid, FY2026</t>
        </is>
      </c>
      <c r="B104" s="6" t="n"/>
      <c r="C104" s="6" t="n">
        <v>-16000</v>
      </c>
      <c r="D104" s="6" t="n"/>
      <c r="E104" s="6" t="n"/>
      <c r="F104" s="6" t="n"/>
      <c r="G104" s="6" t="n">
        <v>-16000</v>
      </c>
    </row>
    <row r="105">
      <c r="A105" s="5" t="inlineStr">
        <is>
          <t>Closing shareholders' funds as at 31 March 2026</t>
        </is>
      </c>
      <c r="B105" s="5" t="n">
        <v>220095</v>
      </c>
      <c r="C105" s="5" t="n">
        <v>126683</v>
      </c>
      <c r="D105" s="5" t="n">
        <v>0</v>
      </c>
      <c r="E105" s="5" t="n">
        <v>-1204</v>
      </c>
      <c r="F105" s="5" t="n">
        <v>12208</v>
      </c>
      <c r="G105" s="5" t="n">
        <v>357782</v>
      </c>
    </row>
    <row r="107" ht="351" customHeight="1">
      <c r="A107" s="8" t="inlineStr">
        <is>
          <t>Sources - ICICI Bank UK Plc's own Annual Reports (own website unless noted; Companies House filings for FY2024/23/22/21/14, text-native except FY2014 which is a scanned/non-text filing read page-by-page):
FY2026: Strategic report, Directors' report and financial statements, year ended 31 March 2026, Profit and loss account p.32 / Statement of other comprehensive income p.33 / Balance sheet p.34 / Statement of change in equity p.36 / Note 19 'Potential credit risk on financial instruments' p.61 - https://www.icicibank.co.uk/content/dam/icicibank-revamp/uk/doc/financial-report-FY2026.pdf. Published on the Bank's own website; the Companies House filing history for 04663024 still shows 31 March 2025 as the latest accounts filed, so this is the Bank's own published source rather than a Companies House copy. Added 2026-09-15. Every FY2026 statement was verified to foot internally (Total assets USD 2,908,251k = Total Liabilities USD 2,550,469k + Total Equity USD 357,782k; the equity roll-forward from the 1 April 2025 opening balance ties to the 31 March 2026 closing balance on all four components) and every FY2025 comparative printed in the FY2026 report reproduces this workbook's existing FY2025 figures exactly, so no prior year was restated. Two presentational points carried over unchanged from FY2025: 'Debt Securities' and 'Equity shares' are printed as two separate Balance Sheet lines and are combined here into the single 'Investment securities other than Government/Treasury securities' row (FY2026 473,773 + 3,804 = 477,577), and 'Intangible fixed assets' and 'Tangible fixed assets' are likewise combined into 'Tangible &amp; intangible fixed assets' (FY2026 1,189 + 2,145 = 3,334) - both matching how the earlier years in this sheet are already presented. FY2026's 'Impairment on loans and advances' is a net credit of USD 534k (a release, not a charge), which is a real disclosed figure, not a sign error.
FY2025/FY2024: Annual Report and Accounts, year ended 31 March 2025, Profit and loss account/Statement of other comprehensive income/Balance sheet/Statement of change in equity, pp.36-39 - https://www.icicibank.co.uk/content/dam/icicibank/icici-assets/uk/financial-report-uk-FY2025.pdf
FY2023 (own): Annual Report and Accounts, year ended 31 March 2023, pp.38-41 - https://find-and-update.company-information.service.gov.uk/company/04663024/filing-history/MzM5Mjc5MzA4M2FkaXF6a2N4/document?format=pdf&amp;download=0
FY2022 (own): Annual Report and Accounts, year ended 31 March 2022, pp.39-42 - https://find-and-update.company-information.service.gov.uk/company/04663024/filing-history/MzM0NjUxNzQwNmFkaXF6a2N4/document?format=pdf&amp;download=0
FY2021 (own): Annual Report and Accounts, year ended 31 March 2021, pp.35-38 - https://find-and-update.company-information.service.gov.uk/company/04663024/filing-history/MzMwMTQ3NjY0OGFkaXF6a2N4/document?format=pdf&amp;download=0
FY2020 (own): Strategic report, Directors' report and financial statements, year ended 31 March 2020, Profit and loss account/Statement of other comprehensive income/Balance sheet/Statement of change in equity/Note 19, pp.30-33, 51-52 - https://www.icicibank.co.uk/content/dam/icicibank/icici-assets/uk/financial-report-19-20.pdf
FY2019 (own): Strategic report, Directors' report and financial statements, year ended 31 March 2019, pp.29-32, 55 - https://www.icicibank.co.uk/content/dam/icicibank/icici-assets/uk/financial-report-18-19.pdf
FY2018 (own): Strategic report, Directors' report and financial statements, year ended 31 March 2018, pp.25-28, 51 - https://www.icicibank.co.uk/content/dam/icicibank/icici-assets/uk/financial-report-17-18.pdf
FY2017 (own): Strategic Report, Directors' Report and Financial Statements, year ended 31 March 2017, pp.19-22, 44 - https://www.icicibank.co.uk/content/dam/icicibank/icici-assets/uk/financial-report-16-17.pdf
FY2016 (own): Strategic Report, Directors' Report and Financial Statements, year ended 31 March 2016, pp.16-19, 40 - https://www.icicibank.co.uk/content/dam/icicibank/icici-assets/uk/financial-report-15-16.pdf
FY2015 (own): Strategic Report, Directors' Report and Financial Statements, year ended 31 March 2015, pp.14-19, 36-39 - https://www.icicibank.co.uk/content/dam/icicibank/icici-assets/uk/financial-report-14-15.pdf
FY2014 (own): Strategic report, Directors' report and financial statements, year ended 31 March 2014 (Companies House filing, scanned/non-text - read directly page by page), pp.16-19 - https://find-and-update.company-information.service.gov.uk/company/04663024/filing-history/MzEwMDE3NDY1OGFkaXF6a2N4/document?format=pdf&amp;download=0. Cross-checked against the identical FY2014 comparative column reproduced text-natively in the FY2015 Annual Report (https://www.icicibank.co.uk/content/dam/icicibank/icici-assets/uk/financial-report-14-15.pdf) - every figure ties exactly.</t>
        </is>
      </c>
    </row>
    <row r="109" ht="351" customHeight="1">
      <c r="A109" s="8" t="inlineStr">
        <is>
          <t>(continued)
FY2013 (own, Companies House filing MzA3ODM0MTM2NGFkaXF6a2N4, scanned/non-text - read directly page by page): Directors' report and financial statements, year ended March 31, 2013, Profit and loss account/Balance sheet/Statement of total recognised gains and losses/Reconciliation of movements in shareholders' funds, pp.12-15 - https://find-and-update.company-information.service.gov.uk/company/04663024/filing-history/MzA3ODM0MTM2NGFkaXF6a2N4/document?format=pdf&amp;download=0. Cross-checked against the identical FY2013 comparative column reproduced in the FY2014 Companies House filing (https://find-and-update.company-information.service.gov.uk/company/04663024/filing-history/MzEwMDE3NDY1OGFkaXF6a2N4/document?format=pdf&amp;download=0) via the opening 1 April 2013 balance on the Statement of Changes in Equity sheet - ties exactly.
FY2012 (own, Companies House filing MzA1NzY0MjQxOGFkaXF6a2N4, scanned/non-text): Directors' report and financial statements, year ended March 31, 2012, pp.10-13 - https://find-and-update.company-information.service.gov.uk/company/04663024/filing-history/MzA1NzY0MjQxOGFkaXF6a2N4/document?format=pdf&amp;download=0. Cross-checked against the FY2012 comparative column in the FY2013 filing above - ties exactly except the FY2013 filing's comparative reclassifies USD 67,183k out of 'Loans and advances to banks' into a new 'Balances at central banks' line for FY2012 (a restatement, not a real change - FY2012's own originally-published Total assets of 4,084,322 is unaffected either way); this workbook uses FY2012's own originally-published, unreclassified figures throughout, per this project's standard convention.
FY2011 (own, Companies House filing MzAzNjcwNDYwOGFkaXF6a2N4, scanned/non-text): Directors' report and financial statements, year ended March 31, 2011, pp.9-12 - https://find-and-update.company-information.service.gov.uk/company/04663024/filing-history/MzAzNjcwNDYwOGFkaXF6a2N4/document?format=pdf&amp;download=0. Cross-checked against the FY2011 comparative column in the FY2012 filing above - ties exactly.
FY2010 (own, Companies House filing MzAyMTI3MzU1MGFkaXF6a2N4, scanned/non-text): Directors report and financial statements, year ended March 31, 2010, pp.9-12 - https://find-and-update.company-information.service.gov.uk/company/04663024/filing-history/MzAyMTI3MzU1MGFkaXF6a2N4/document?format=pdf&amp;download=0. Cross-checked against the FY2010 comparative column in the FY2011 filing above - ties exactly.
FY2009 (own, Companies House filing MjAzNTc0MTU4N2FkaXF6a2N4, scanned/non-text): Directors' report and financial statements, year ended March 31, 2009, pp.10-13 - https://find-and-update.company-information.service.gov.uk/company/04663024/filing-history/MjAzNTc0MTU4N2FkaXF6a2N4/document?format=pdf&amp;download=0. Cross-checked against the FY2009 comparative column in the FY2010 filing above - ties exactly.
FY2008 (own, Companies House filing MjAwNzk0MTQ0MGFkaXF6a2N4, scanned/non-text): Directors' report and financial statements, year ended 31 March 2008, Profit and loss account/Balance sheet/Statement of total recognised gains and losses/Reconciliation of movements in shareholders' funds, pp.9-12 - https://find-and-update.company-information.service.gov.uk/company/04663024/filing-history/MjAwNzk0MTQ0MGFkaXF6a2N4/document?format=pdf&amp;download=0. Cross-checked against the FY2008 comparative column in the FY2009 filing above - ties exactly (both give Total assets 8,829,049).
HD-046 (2026-09-05): extended FY2014-FY2020 back from the prior FY2021-FY2025 window, capped at FY2014 by explicit project-wide decision (real archive on icicibank.co.uk goes back to FY2008, see HD-046.md) - see wayfinder/historical-depth/tickets/HD-046.md.
HD-075 (2026-09-06): extended the four statutory statements (Balance Sheet, Profit &amp; Loss, Statement of Changes in Equity, Cash Flow Statement) only, further back to FY2008 - the real statutory floor identified by HD-004/HD-046 - by reading all six Companies House filings for FY2008-FY2013 directly (all scanned/non-text, read page by page). Pillar 3, Asset Quality and RWA Breakdown remain capped at FY2014 - out of scope for HD-075. See wayfinder/historical-depth/tickets/HD-075.md.</t>
        </is>
      </c>
    </row>
    <row r="111" ht="403" customHeight="1">
      <c r="A111" s="8" t="inlineStr">
        <is>
          <t>(continued)
PRESENTATION NOTES: each year's own originally-published figures are used throughout (not later restated comparatives), except for the Statement of Changes in Equity where a genuine, Bank-disclosed prior period adjustment is shown explicitly (see that sheet's own note). Line items renamed/regrouped across years without changing the underlying figure are shown on a consistent row (e.g. FY2021-2023's 'Cash and cash equivalents' = FY2024-25's 'Cash and Balances at Central Banks' = FY2014-2017's 'Cash' + 'Balances at central banks' summed, since FY2014-2017 disclosed these as two separate lines; FY2021-2024's single 'Investment securities other than Government/Treasury securities' line = FY2025's 'Debt Securities' + 'Equity shares' combined, since FY2025 was the only year to break these out separately). P&amp;L uses 'Total revenue' (FY2021-2023) and 'Net Income' (FY2024-2025) interchangeably for the same subtotal concept (sum of net interest income plus fee/FX/trading income including profit/(loss) on sale of financial assets) - shown on one row; FY2018-FY2020's own 'Total revenue' subtotal is built the same way. FY2014-FY2017's own headline subtotal is instead 'Operating income', which EXCLUDES 'Profit/(Loss) on sale of debt securities' (that line sits structurally below impairments in those years' own P&amp;L, immediately before pre-tax profit) - so the 'Total revenue / Net Income' TOTAL row for FY2014-FY2017 equals that year's own 'Operating income' figure, not a recomputed sum including the sale-of-debt-securities line shown elsewhere on this sheet; shown explicitly rather than force-reconciled to match later years' structure. Balance Sheet: FY2025 has no separate 'Bonds and medium term notes' line (present FY2021-2024, nil in FY2024) - left blank for FY2025, not force-merged into another line; FY2025 has no separate 'Deposits by banks' comparator issue (FY2024 explicitly nil, shown as 0). 'Bonds and medium term notes' and 'Subordinated debt' were disclosed as a single combined 'Debt securities and subordinated liabilities' line in both the FY2014 and FY2015 Annual Reports (neither report splits FY2014 into the two components); the FY2015 figure is split here using the FY2016 Annual Report's own FY2015 comparative column (250,530/233,402, ties exactly to the combined 483,932 both FY2014 and FY2015 ARs report), but no equivalent split exists anywhere for FY2014, so FY2014's combined total is shown on its own dedicated row instead, with both 'Bonds and medium term notes' and 'Subordinated debt' left blank for FY2014 rather than guessed. The same 'Debt securities and subordinated liabilities' combined row is used for FY2008-FY2013 too (none of those years' own Annual Reports, nor any later year's comparative column, ever splits them) - see the dedicated combined row below the split rows. Similarly, 'Investment in Treasury Bills / Government Securities' and 'Investment Securities other than Government/Treasury securities' are shown combined on a single 'Investment securities' row for FY2008-FY2010 (no split exists in any source reviewed); FY2011 IS split, using the FY2012 Annual Report's own FY2011 comparative column (517,435/1,057,938, ties exactly to the combined 1,575,373 both the FY2011 and FY2012 ARs report for that year), even though FY2011's own Annual Report itself only shows the combined figure. HD-075 (2026-09-06) wrinkle: 'Issued share capital' meant only Ordinary/Equity share capital throughout the pre-existing FY2014-FY2025 window (Preference share capital having already been redeemed by FY2014); for the newly-added FY2008-FY2012 the Bank's Balance Sheet discloses Ordinary/Equity and Preference/Non-equity share capital as two separate lines throughout (labelled 'Ordinary'/'Preference' from FY2012, 'Equity'/'Non-equity' FY2008-FY2011 - same substance), so a new 'Preference share capital' row is added, carrying 50,000 for FY2008-FY2012 and explicit nil for FY2013 (the year of redemption - see Statement of Changes in Equity), blank thereafter. The Profit &amp; Loss sheet gains a new 'Gains on buy back of bonds' row, disclosed as its own P&amp;L line FY2009-FY2012 (87,357/6,415/150/0) but not present at all in the FY2008 P&amp;L or any FY2013 onward P&amp;L - left blank for FY2008 and FY2013 onward rather than assumed nil (FY2012's own 'Financial 2013' column implies the line still existed conceptually but was FY2013-onward folded back into profit/(loss) on sale of debt securities per that year's own Directors' report highlights table). FY2008's P&amp;L does not separately disclose 'Foreign exchange revaluation gains' - that year's own statement instead shows a single combined 'Dealing (losses)/profits' line (-27,313), which the FY2009 Annual Report's own FY2008 comparative column later reclassifies into 'Foreign exchange revaluation gains' (23,353) plus 'Income/(Expense) on financial instruments at fair value through profit and loss' (-50,666) - a restatement, not a real change (both net to -27,313). Per this workbook's standing convention of using each year's own originally-published figures, FY2008's combined -27,313 is shown on the 'Income/(loss) on financial instruments at fair value through P&amp;L' row, with 'Foreign exchange revaluation gains' left blank for FY2008 only rather than force-split. FY2008's Balance Sheet has no directly-disclosed 'Total Liabilities' subtotal separate from Total Equity (that year's own statement prints one combined bottom-line figure covering both) - the FY2008 Total Liabilities row shown here (8,363,027) is therefore computed as the sum of that year's own disclosed liability line items, not copied from an explicit source subtotal; it ties exactly (Total Liabilities + Total Equity = Total assets = 8,829,049). Tangible/intangible fixed assets: shown as one combined line for FY2014 (5,751, no separate intangible disclosed that year), FY2015 (4,774, ditto), FY2019 and FY2020 (both years' own 'Tangible and Intangible fixed assets' combined line); shown as two components summed for FY2016-FY2018, where the Bank disclosed them as separate lines. 'Derivative financial instruments' first appears as its own Balance Sheet line from FY2018 onward - for FY2014-FY2017 it was not broken out on the face of the Balance Sheet (only within the credit-risk note's 'Other assets'/'Other liabilities' sub-analysis) and is left blank rather than estimated. A 'Capital redemption reserve' row (once $50.0m, cancelled into Retained earnings during FY2015 - see the Statement of Changes in Equity) applied only to FY2014 (50,000) and FY2015 (explicitly nil); no such reserve existed FY2016 onward.</t>
        </is>
      </c>
    </row>
    <row r="113" ht="220" customHeight="1">
      <c r="A113" s="8" t="inlineStr">
        <is>
          <t>(continued)
STATEMENTS ENTITY NOTE: the Bank's Balance Sheet, Profit &amp; Loss, Statement of Changes in Equity, Asset Quality, and RWA Breakdown sheets are presented in USD (the Bank's own and sole primary reporting currency in every source document reviewed - each Annual Report and Pillar 3 disclosure gives only an unaudited INR 'convenience translation' alongside the USD primary figures; no GBP figures are published anywhere by this Bank). Kept in USD throughout (not converted to £) for consistency with the workbook's own pre-existing Pillar 3 metric sheets, which are also USD million.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4">
    <mergeCell ref="A111:G111"/>
    <mergeCell ref="A107:G107"/>
    <mergeCell ref="A109:G109"/>
    <mergeCell ref="A113:G1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ICICI Bank UK Plc — Cash Flow Statement</t>
        </is>
      </c>
    </row>
    <row r="2">
      <c r="A2" s="2" t="inlineStr">
        <is>
          <t>Not applicable — the Bank takes the FRS 102 qualifying-entity exemption from preparing a Cash Flow Statement (FRS 1 for FY2008-FY2015). Every year column carries that statement rather than being left blank.</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c r="O3" s="4" t="inlineStr">
        <is>
          <t>FY2013</t>
        </is>
      </c>
      <c r="P3" s="4" t="inlineStr">
        <is>
          <t>FY2012</t>
        </is>
      </c>
      <c r="Q3" s="4" t="inlineStr">
        <is>
          <t>FY2011</t>
        </is>
      </c>
      <c r="R3" s="4" t="inlineStr">
        <is>
          <t>FY2010</t>
        </is>
      </c>
      <c r="S3" s="4" t="inlineStr">
        <is>
          <t>FY2009</t>
        </is>
      </c>
      <c r="T3" s="4" t="inlineStr">
        <is>
          <t>FY2008</t>
        </is>
      </c>
    </row>
    <row r="4">
      <c r="A4" s="5" t="inlineStr">
        <is>
          <t>Not applicable - the Bank does not prepare a Cash Flow Statement</t>
        </is>
      </c>
      <c r="B4" s="6" t="n"/>
      <c r="C4" s="6" t="n"/>
      <c r="D4" s="6" t="n"/>
      <c r="E4" s="6" t="n"/>
      <c r="F4" s="6" t="n"/>
      <c r="G4" s="6" t="n"/>
      <c r="H4" s="6" t="n"/>
      <c r="I4" s="6" t="n"/>
      <c r="J4" s="6" t="n"/>
      <c r="K4" s="6" t="n"/>
      <c r="L4" s="6" t="n"/>
      <c r="M4" s="6" t="n"/>
      <c r="N4" s="6" t="n"/>
      <c r="O4" s="6" t="n"/>
      <c r="P4" s="6" t="n"/>
      <c r="Q4" s="6" t="n"/>
      <c r="R4" s="6" t="n"/>
      <c r="S4" s="6" t="n"/>
      <c r="T4" s="6" t="n"/>
    </row>
    <row r="5">
      <c r="A5" s="6" t="inlineStr">
        <is>
          <t>Statement of Cash Flows</t>
        </is>
      </c>
      <c r="B5" s="6" t="inlineStr">
        <is>
          <t>Not applicable - FRS 102 qualifying-entity exemption</t>
        </is>
      </c>
      <c r="C5" s="6" t="inlineStr">
        <is>
          <t>Not applicable - FRS 102 qualifying-entity exemption</t>
        </is>
      </c>
      <c r="D5" s="6" t="inlineStr">
        <is>
          <t>Not applicable - FRS 102 qualifying-entity exemption</t>
        </is>
      </c>
      <c r="E5" s="6" t="inlineStr">
        <is>
          <t>Not applicable - FRS 102 qualifying-entity exemption</t>
        </is>
      </c>
      <c r="F5" s="6" t="inlineStr">
        <is>
          <t>Not applicable - FRS 102 qualifying-entity exemption</t>
        </is>
      </c>
      <c r="G5" s="6" t="inlineStr">
        <is>
          <t>Not applicable - FRS 102 qualifying-entity exemption</t>
        </is>
      </c>
      <c r="H5" s="6" t="inlineStr">
        <is>
          <t>Not applicable - FRS 102 qualifying-entity exemption</t>
        </is>
      </c>
      <c r="I5" s="6" t="inlineStr">
        <is>
          <t>Not applicable - FRS 102 qualifying-entity exemption</t>
        </is>
      </c>
      <c r="J5" s="6" t="inlineStr">
        <is>
          <t>Not applicable - FRS 102 qualifying-entity exemption</t>
        </is>
      </c>
      <c r="K5" s="6" t="inlineStr">
        <is>
          <t>Not applicable - FRS 102 qualifying-entity exemption</t>
        </is>
      </c>
      <c r="L5" s="6" t="inlineStr">
        <is>
          <t>Not applicable - FRS 102 qualifying-entity exemption</t>
        </is>
      </c>
      <c r="M5" s="6" t="inlineStr">
        <is>
          <t>Not applicable - FRS 1 (revised) exemption</t>
        </is>
      </c>
      <c r="N5" s="6" t="inlineStr">
        <is>
          <t>Not applicable - FRS 1 (revised) exemption</t>
        </is>
      </c>
      <c r="O5" s="6" t="inlineStr">
        <is>
          <t>Not applicable - FRS 1 (revised) exemption</t>
        </is>
      </c>
      <c r="P5" s="6" t="inlineStr">
        <is>
          <t>Not applicable - FRS 1 (revised) exemption</t>
        </is>
      </c>
      <c r="Q5" s="6" t="inlineStr">
        <is>
          <t>Not applicable - FRS 1 (revised) exemption</t>
        </is>
      </c>
      <c r="R5" s="6" t="inlineStr">
        <is>
          <t>Not applicable - FRS 1 (revised) exemption</t>
        </is>
      </c>
      <c r="S5" s="6" t="inlineStr">
        <is>
          <t>Not applicable - FRS 1 (revised) exemption</t>
        </is>
      </c>
      <c r="T5" s="6" t="inlineStr">
        <is>
          <t>Not applicable - FRS 1 (revised) exemption</t>
        </is>
      </c>
    </row>
    <row r="7" ht="180" customHeight="1">
      <c r="A7" s="8" t="inlineStr">
        <is>
          <t>FRS 102 CASH-FLOW EXEMPTION: ICICI Bank UK Plc is a qualifying entity and takes the FRS 102 disclosure exemption for the Cash Flow Statement, so it does not prepare one. This is therefore a Pillar-3-only workbook; the Cash Flow Statement sheet is retained to document the exemption rather than substituting parent-group cash flows. CORRECTED 2026-09-18 (GA-006): this note previously named FRS 101 as the framework. That was wrong, and the document it cited says so - the string 'FRS 101' does not appear anywhere in either the FY2025 or the FY2026 Annual Report, while 'FRS 102' appears 20 and 19 times respectively. The exemption itself is real and unchanged; only the standard was misnamed. Official supporting source: ICICI Bank UK PLC Strategic report, Directors' report and financial statements for the year ended 31 March 2025, note 2 'Basis of preparation', printed p.36, which reads 'the Bank is considered to be a qualifying entity and has applied the exemptions available under FRS 102 in respect of the following disclosures: Cash Flow Statement and related notes; ...' - https://www.icicibank.co.uk/content/dam/icicibank/icici-assets/uk/financial-report-uk-FY2025.pdf. Confirmed again in the FY2026 edition (year ended 31 March 2026), note 2 'Basis of preparation', printed p.38, in identical wording - https://www.icicibank.co.uk/content/dam/icicibank-revamp/uk/doc/financial-report-FY2026.pdf. For FY2008-FY2015 the Bank's own Annual Report instead cites the equivalent exemption under FRS 1 (the pre-FRS 101/102 UK GAAP standard then in force) - same substantive exemption, different accounting-standard citation; confirmed in the FY2015 Annual Report's own 'Cash flow exemptions' note (d) - https://www.icicibank.co.uk/content/dam/icicibank/icici-assets/uk/financial-report-14-15.pdf - and independently confirmed in the FY2008 Annual Report's own note 3(b) 'Cash flow statement', which cites 'the exemption available within FRS 1 (revised), "Cash Flow Statements"' in identical substance - https://find-and-update.company-information.service.gov.uk/company/04663024/filing-history/MjAwNzk0MTQ0MGFkaXF6a2N4/document?format=pdf&amp;download=0. The intervening years (FY2009-FY2013) were not individually checked for this specific note's wording during HD-075 (only their primary statements were transcribed) - no basis-shift is expected given both endpoints of the range cite FRS 1, but this is flagged rather than assumed.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1">
    <mergeCell ref="A7:T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Asset Quality</t>
        </is>
      </c>
    </row>
    <row r="2">
      <c r="A2" s="2" t="inlineStr">
        <is>
          <t>Bank (standalone), USD'000. No IFRS 9 Stage 1/2/3 split disclosed - the Bank's own Note 19 'Potential credit risk on financial instruments' breaks the loan book into 'Neither past due nor impaired' / 'Past due not impaired' / 'Impaired' instead, confirmed by reading each year's own note in full. FY2026's and FY2025's 'Past due not impaired' are explicitly disclosed as NIL, not blank/missing (the FY2026 note states 'Past due not impaired is NIL as on 31st March 2026'). FY2016 uses that year's own originally-published figures, not the (higher Impaired / lower Past due) figures the FY2017 Annual Report's comparative column later reclassified them into - the net total and impairment allowance are identical either way. See source note at bottom.</t>
        </is>
      </c>
    </row>
    <row r="3">
      <c r="A3" s="4" t="inlineStr">
        <is>
          <t>Line item</t>
        </is>
      </c>
      <c r="B3" s="4" t="inlineStr">
        <is>
          <t>FY2026 (USD'000)</t>
        </is>
      </c>
      <c r="C3" s="4" t="inlineStr">
        <is>
          <t>FY2025 (USD'000)</t>
        </is>
      </c>
      <c r="D3" s="4" t="inlineStr">
        <is>
          <t>FY2024 (USD'000)</t>
        </is>
      </c>
      <c r="E3" s="4" t="inlineStr">
        <is>
          <t>FY2023 (USD'000)</t>
        </is>
      </c>
      <c r="F3" s="4" t="inlineStr">
        <is>
          <t>FY2022 (USD'000)</t>
        </is>
      </c>
      <c r="G3" s="4" t="inlineStr">
        <is>
          <t>FY2021 (USD'000)</t>
        </is>
      </c>
      <c r="H3" s="4" t="inlineStr">
        <is>
          <t>FY2020 (USD'000)</t>
        </is>
      </c>
      <c r="I3" s="4" t="inlineStr">
        <is>
          <t>FY2019 (USD'000)</t>
        </is>
      </c>
      <c r="J3" s="4" t="inlineStr">
        <is>
          <t>FY2018 (USD'000)</t>
        </is>
      </c>
      <c r="K3" s="4" t="inlineStr">
        <is>
          <t>FY2017 (USD'000)</t>
        </is>
      </c>
      <c r="L3" s="4" t="inlineStr">
        <is>
          <t>FY2016 (USD'000)</t>
        </is>
      </c>
      <c r="M3" s="4" t="inlineStr">
        <is>
          <t>FY2015 (USD'000)</t>
        </is>
      </c>
      <c r="N3" s="4" t="inlineStr">
        <is>
          <t>FY2014 (USD'000)</t>
        </is>
      </c>
    </row>
    <row r="4">
      <c r="A4" s="5" t="inlineStr">
        <is>
          <t>Loans and advances to customers, by credit risk category</t>
        </is>
      </c>
      <c r="B4" s="6" t="n"/>
      <c r="C4" s="6" t="n"/>
      <c r="D4" s="6" t="n"/>
      <c r="E4" s="6" t="n"/>
      <c r="F4" s="6" t="n"/>
      <c r="G4" s="6" t="n"/>
      <c r="H4" s="6" t="n"/>
      <c r="I4" s="6" t="n"/>
      <c r="J4" s="6" t="n"/>
      <c r="K4" s="6" t="n"/>
      <c r="L4" s="6" t="n"/>
      <c r="M4" s="6" t="n"/>
      <c r="N4" s="6" t="n"/>
    </row>
    <row r="5">
      <c r="A5" s="6" t="inlineStr">
        <is>
          <t>Neither past due nor impaired</t>
        </is>
      </c>
      <c r="B5" s="6" t="n">
        <v>1304137</v>
      </c>
      <c r="C5" s="6" t="n">
        <v>965499</v>
      </c>
      <c r="D5" s="6" t="n">
        <v>837804</v>
      </c>
      <c r="E5" s="6" t="n">
        <v>864553</v>
      </c>
      <c r="F5" s="6" t="n">
        <v>1098791</v>
      </c>
      <c r="G5" s="6" t="n">
        <v>1465451</v>
      </c>
      <c r="H5" s="6" t="n">
        <v>1994801</v>
      </c>
      <c r="I5" s="6" t="n">
        <v>2364063</v>
      </c>
      <c r="J5" s="6" t="n">
        <v>2177902</v>
      </c>
      <c r="K5" s="6" t="n">
        <v>2113728</v>
      </c>
      <c r="L5" s="6" t="n">
        <v>2767417</v>
      </c>
      <c r="M5" s="6" t="n">
        <v>2665869</v>
      </c>
      <c r="N5" s="6" t="n">
        <v>2476441</v>
      </c>
    </row>
    <row r="6">
      <c r="A6" s="6" t="inlineStr">
        <is>
          <t>Past due not impaired</t>
        </is>
      </c>
      <c r="B6" s="6" t="n">
        <v>0</v>
      </c>
      <c r="C6" s="6" t="n">
        <v>0</v>
      </c>
      <c r="D6" s="6" t="n">
        <v>43847</v>
      </c>
      <c r="E6" s="6" t="n">
        <v>3833</v>
      </c>
      <c r="F6" s="6" t="n">
        <v>69855</v>
      </c>
      <c r="G6" s="6" t="n">
        <v>40536</v>
      </c>
      <c r="H6" s="6" t="n">
        <v>18490</v>
      </c>
      <c r="I6" s="6" t="n">
        <v>8398</v>
      </c>
      <c r="J6" s="6" t="n">
        <v>6004</v>
      </c>
      <c r="K6" s="6" t="n">
        <v>3787</v>
      </c>
      <c r="L6" s="6" t="n">
        <v>74939</v>
      </c>
      <c r="M6" s="6" t="n">
        <v>101160</v>
      </c>
      <c r="N6" s="6" t="n">
        <v>123112</v>
      </c>
    </row>
    <row r="7">
      <c r="A7" s="6" t="inlineStr">
        <is>
          <t>Impaired</t>
        </is>
      </c>
      <c r="B7" s="6" t="n">
        <v>2724</v>
      </c>
      <c r="C7" s="6" t="n">
        <v>8035</v>
      </c>
      <c r="D7" s="6" t="n">
        <v>13901</v>
      </c>
      <c r="E7" s="6" t="n">
        <v>75966</v>
      </c>
      <c r="F7" s="6" t="n">
        <v>54999</v>
      </c>
      <c r="G7" s="6" t="n">
        <v>55208</v>
      </c>
      <c r="H7" s="6" t="n">
        <v>221391</v>
      </c>
      <c r="I7" s="6" t="n">
        <v>216248</v>
      </c>
      <c r="J7" s="6" t="n">
        <v>328109</v>
      </c>
      <c r="K7" s="6" t="n">
        <v>312046</v>
      </c>
      <c r="L7" s="6" t="n">
        <v>202805</v>
      </c>
      <c r="M7" s="6" t="n">
        <v>172804</v>
      </c>
      <c r="N7" s="6" t="n">
        <v>210750</v>
      </c>
    </row>
    <row r="8">
      <c r="A8" s="6" t="inlineStr">
        <is>
          <t>Impairment &amp; collective allowances</t>
        </is>
      </c>
      <c r="B8" s="6" t="n">
        <v>-3504</v>
      </c>
      <c r="C8" s="6" t="n">
        <v>-9063</v>
      </c>
      <c r="D8" s="6" t="n">
        <v>-6695</v>
      </c>
      <c r="E8" s="6" t="n">
        <v>-44847</v>
      </c>
      <c r="F8" s="6" t="n">
        <v>-40750</v>
      </c>
      <c r="G8" s="6" t="n">
        <v>-39057</v>
      </c>
      <c r="H8" s="6" t="n">
        <v>-160155</v>
      </c>
      <c r="I8" s="6" t="n">
        <v>-165529</v>
      </c>
      <c r="J8" s="6" t="n">
        <v>-146364</v>
      </c>
      <c r="K8" s="6" t="n">
        <v>-97429</v>
      </c>
      <c r="L8" s="6" t="n">
        <v>-82626</v>
      </c>
      <c r="M8" s="6" t="n">
        <v>-61022</v>
      </c>
      <c r="N8" s="6" t="n">
        <v>-61167</v>
      </c>
    </row>
    <row r="9">
      <c r="A9" s="5" t="inlineStr">
        <is>
          <t>Total loans and advances to customers (net)</t>
        </is>
      </c>
      <c r="B9" s="5" t="n">
        <v>1303357</v>
      </c>
      <c r="C9" s="5" t="n">
        <v>964471</v>
      </c>
      <c r="D9" s="5" t="n">
        <v>888857</v>
      </c>
      <c r="E9" s="5" t="n">
        <v>899505</v>
      </c>
      <c r="F9" s="5" t="n">
        <v>1182895</v>
      </c>
      <c r="G9" s="5" t="n">
        <v>1522138</v>
      </c>
      <c r="H9" s="5" t="n">
        <v>2074527</v>
      </c>
      <c r="I9" s="5" t="n">
        <v>2423180</v>
      </c>
      <c r="J9" s="5" t="n">
        <v>2365651</v>
      </c>
      <c r="K9" s="5" t="n">
        <v>2332132</v>
      </c>
      <c r="L9" s="5" t="n">
        <v>2962535</v>
      </c>
      <c r="M9" s="5" t="n">
        <v>2878811</v>
      </c>
      <c r="N9" s="5" t="n">
        <v>2749136</v>
      </c>
    </row>
    <row r="10">
      <c r="A10" s="6" t="inlineStr">
        <is>
          <t>Impaired ratio (Impaired / gross loans)</t>
        </is>
      </c>
      <c r="B10" s="6" t="inlineStr">
        <is>
          <t>0.21%</t>
        </is>
      </c>
      <c r="C10" s="6" t="inlineStr">
        <is>
          <t>0.83%</t>
        </is>
      </c>
      <c r="D10" s="6" t="inlineStr">
        <is>
          <t>1.55%</t>
        </is>
      </c>
      <c r="E10" s="6" t="inlineStr">
        <is>
          <t>8.04%</t>
        </is>
      </c>
      <c r="F10" s="6" t="inlineStr">
        <is>
          <t>4.49%</t>
        </is>
      </c>
      <c r="G10" s="6" t="inlineStr">
        <is>
          <t>3.54%</t>
        </is>
      </c>
      <c r="H10" s="6" t="inlineStr">
        <is>
          <t>9.91%</t>
        </is>
      </c>
      <c r="I10" s="6" t="inlineStr">
        <is>
          <t>8.36%</t>
        </is>
      </c>
      <c r="J10" s="6" t="inlineStr">
        <is>
          <t>13.06%</t>
        </is>
      </c>
      <c r="K10" s="6" t="inlineStr">
        <is>
          <t>12.85%</t>
        </is>
      </c>
      <c r="L10" s="6" t="inlineStr">
        <is>
          <t>6.66%</t>
        </is>
      </c>
      <c r="M10" s="6" t="inlineStr">
        <is>
          <t>5.88%</t>
        </is>
      </c>
      <c r="N10" s="6" t="inlineStr">
        <is>
          <t>7.50%</t>
        </is>
      </c>
    </row>
    <row r="11">
      <c r="A11" s="6" t="inlineStr">
        <is>
          <t>Coverage ratio (Impairment &amp; collective allowances / Impaired)</t>
        </is>
      </c>
      <c r="B11" s="6" t="inlineStr">
        <is>
          <t>128.63%</t>
        </is>
      </c>
      <c r="C11" s="6" t="inlineStr">
        <is>
          <t>112.79%</t>
        </is>
      </c>
      <c r="D11" s="6" t="inlineStr">
        <is>
          <t>48.16%</t>
        </is>
      </c>
      <c r="E11" s="6" t="inlineStr">
        <is>
          <t>59.03%</t>
        </is>
      </c>
      <c r="F11" s="6" t="inlineStr">
        <is>
          <t>74.09%</t>
        </is>
      </c>
      <c r="G11" s="6" t="inlineStr">
        <is>
          <t>70.75%</t>
        </is>
      </c>
      <c r="H11" s="6" t="inlineStr">
        <is>
          <t>72.34%</t>
        </is>
      </c>
      <c r="I11" s="6" t="inlineStr">
        <is>
          <t>76.55%</t>
        </is>
      </c>
      <c r="J11" s="6" t="inlineStr">
        <is>
          <t>44.61%</t>
        </is>
      </c>
      <c r="K11" s="6" t="inlineStr">
        <is>
          <t>31.22%</t>
        </is>
      </c>
      <c r="L11" s="6" t="inlineStr">
        <is>
          <t>40.75%</t>
        </is>
      </c>
      <c r="M11" s="6" t="inlineStr">
        <is>
          <t>35.31%</t>
        </is>
      </c>
      <c r="N11" s="6" t="inlineStr">
        <is>
          <t>29.02%</t>
        </is>
      </c>
    </row>
    <row r="13" ht="390" customHeight="1">
      <c r="A13" s="8" t="inlineStr">
        <is>
          <t>Sources - ICICI Bank UK Plc's own Annual Reports (own website unless noted; Companies House filings for FY2024/23/22/21/14, text-native except FY2014 which is a scanned/non-text filing read page-by-page):
FY2026: Strategic report, Directors' report and financial statements, year ended 31 March 2026, Profit and loss account p.32 / Statement of other comprehensive income p.33 / Balance sheet p.34 / Statement of change in equity p.36 / Note 19 'Potential credit risk on financial instruments' p.61 - https://www.icicibank.co.uk/content/dam/icicibank-revamp/uk/doc/financial-report-FY2026.pdf. Published on the Bank's own website; the Companies House filing history for 04663024 still shows 31 March 2025 as the latest accounts filed, so this is the Bank's own published source rather than a Companies House copy. Added 2026-09-15. Every FY2026 statement was verified to foot internally (Total assets USD 2,908,251k = Total Liabilities USD 2,550,469k + Total Equity USD 357,782k; the equity roll-forward from the 1 April 2025 opening balance ties to the 31 March 2026 closing balance on all four components) and every FY2025 comparative printed in the FY2026 report reproduces this workbook's existing FY2025 figures exactly, so no prior year was restated. Two presentational points carried over unchanged from FY2025: 'Debt Securities' and 'Equity shares' are printed as two separate Balance Sheet lines and are combined here into the single 'Investment securities other than Government/Treasury securities' row (FY2026 473,773 + 3,804 = 477,577), and 'Intangible fixed assets' and 'Tangible fixed assets' are likewise combined into 'Tangible &amp; intangible fixed assets' (FY2026 1,189 + 2,145 = 3,334) - both matching how the earlier years in this sheet are already presented. FY2026's 'Impairment on loans and advances' is a net credit of USD 534k (a release, not a charge), which is a real disclosed figure, not a sign error.
FY2025/FY2024: Annual Report and Accounts, year ended 31 March 2025, Profit and loss account/Statement of other comprehensive income/Balance sheet/Statement of change in equity, pp.36-39 - https://www.icicibank.co.uk/content/dam/icicibank/icici-assets/uk/financial-report-uk-FY2025.pdf
FY2023 (own): Annual Report and Accounts, year ended 31 March 2023, pp.38-41 - https://find-and-update.company-information.service.gov.uk/company/04663024/filing-history/MzM5Mjc5MzA4M2FkaXF6a2N4/document?format=pdf&amp;download=0
FY2022 (own): Annual Report and Accounts, year ended 31 March 2022, pp.39-42 - https://find-and-update.company-information.service.gov.uk/company/04663024/filing-history/MzM0NjUxNzQwNmFkaXF6a2N4/document?format=pdf&amp;download=0
FY2021 (own): Annual Report and Accounts, year ended 31 March 2021, pp.35-38 - https://find-and-update.company-information.service.gov.uk/company/04663024/filing-history/MzMwMTQ3NjY0OGFkaXF6a2N4/document?format=pdf&amp;download=0
FY2020 (own): Strategic report, Directors' report and financial statements, year ended 31 March 2020, Profit and loss account/Statement of other comprehensive income/Balance sheet/Statement of change in equity/Note 19, pp.30-33, 51-52 - https://www.icicibank.co.uk/content/dam/icicibank/icici-assets/uk/financial-report-19-20.pdf
FY2019 (own): Strategic report, Directors' report and financial statements, year ended 31 March 2019, pp.29-32, 55 - https://www.icicibank.co.uk/content/dam/icicibank/icici-assets/uk/financial-report-18-19.pdf
FY2018 (own): Strategic report, Directors' report and financial statements, year ended 31 March 2018, pp.25-28, 51 - https://www.icicibank.co.uk/content/dam/icicibank/icici-assets/uk/financial-report-17-18.pdf
FY2017 (own): Strategic Report, Directors' Report and Financial Statements, year ended 31 March 2017, pp.19-22, 44 - https://www.icicibank.co.uk/content/dam/icicibank/icici-assets/uk/financial-report-16-17.pdf
FY2016 (own): Strategic Report, Directors' Report and Financial Statements, year ended 31 March 2016, pp.16-19, 40 - https://www.icicibank.co.uk/content/dam/icicibank/icici-assets/uk/financial-report-15-16.pdf
FY2015 (own): Strategic Report, Directors' Report and Financial Statements, year ended 31 March 2015, pp.14-19, 36-39 - https://www.icicibank.co.uk/content/dam/icicibank/icici-assets/uk/financial-report-14-15.pdf
FY2014 (own): Strategic report, Directors' report and financial statements, year ended 31 March 2014 (Companies House filing, scanned/non-text - read directly page by page), pp.16-19 - https://find-and-update.company-information.service.gov.uk/company/04663024/filing-history/MzEwMDE3NDY1OGFkaXF6a2N4/document?format=pdf&amp;download=0. Cross-checked against the identical FY2014 comparative column reproduced text-natively in the FY2015 Annual Report (https://www.icicibank.co.uk/content/dam/icicibank/icici-assets/uk/financial-report-14-15.pdf) - every figure ties exactly.
FY2013 (own, Companies House filing MzA3ODM0MTM2NGFkaXF6a2N4, scanned/non-text - read directly page by page): Directors' report and financial statements, year ended March 31, 2013, Profit and loss account/Balance sheet/Statement of total recognised gains and losses/Reconciliation of movements in shareholders' funds, pp.12-15 - https://find-and-update.company-information.service.gov.uk/company/04663024/filing-history/MzA3ODM0MTM2NGFkaXF6a2N4/document?format=pdf&amp;download=0. Cross-checked against the identical FY2013 comparative column reproduced in the FY2014 Companies House filing (https://find-and-update.company-information.service.gov.uk/company/04663024/filing-history/MzEwMDE3NDY1OGFkaXF6a2N4/document?format=pdf&amp;download=0) via the opening 1 April 2013 balance on the Statement of Changes in Equity sheet - ties exactly.
FY2012 (own, Companies House filing MzA1NzY0MjQxOGFkaXF6a2N4, scanned/non-text): Directors' report and financial statements, year ended March 31, 2012, pp.10-13 - https://find-and-update.company-information.service.gov.uk/company/04663024/filing-history/MzA1NzY0MjQxOGFkaXF6a2N4/document?format=pdf&amp;download=0. Cross-checked against the FY2012 comparative column in the FY2013 filing above - ties exactly except the FY2013 filing's comparative reclassifies USD 67,183k out of 'Loans and advances to banks' into a new 'Balances at central banks' line for FY2012 (a restatement, not a real change - FY2012's own originally-published Total assets of 4,084,322 is unaffected either way); this workbook uses FY2012's own originally-published, unreclassified figures throughout, per this project's standard convention.
FY2011 (own, Companies House filing MzAzNjcwNDYwOGFkaXF6a2N4, scanned/non-text): Directors' report and financial statements, year ended March 31, 2011, pp.9-12 - https://find-and-update.company-information.service.gov.uk/company/04663024/filing-history/MzAzNjcwNDYwOGFkaXF6a2N4/document?format=pdf&amp;download=0. Cross-checked against the FY2011 comparative column in the FY2012 filing above - ties exactly.
FY2010 (own, Companies House filing MzAyMTI3MzU1MGFkaXF6a2N4, scanned/non-text): Directors report and financial statements, year ended March 31, 2010, pp.9-12 - https://find-and-update.company-information.service.gov.uk/company/04663024/filing-history/MzAyMTI3MzU1MGFkaXF6a2N4/document?format=pdf&amp;download=0. Cross-checked against the FY2010 comparative column in the FY2011 filing above - ties exactly.
FY2009 (own, Companies House filing MjAzNTc0MTU4N2FkaXF6a2N4, scanned/non-text): Directors' report and financial statements, year ended March 31, 2009, pp.10-13 - https://find-and-update.company-information.service.gov.uk/company/04663024/filing-history/MjAzNTc0MTU4N2FkaXF6a2N4/document?format=pdf&amp;download=0. Cross-checked against the FY2009 comparative column in the FY2010 filing above - ties exactly.</t>
        </is>
      </c>
    </row>
    <row r="15" ht="377" customHeight="1">
      <c r="A15" s="8" t="inlineStr">
        <is>
          <t>(continued)
FY2008 (own, Companies House filing MjAwNzk0MTQ0MGFkaXF6a2N4, scanned/non-text): Directors' report and financial statements, year ended 31 March 2008, Profit and loss account/Balance sheet/Statement of total recognised gains and losses/Reconciliation of movements in shareholders' funds, pp.9-12 - https://find-and-update.company-information.service.gov.uk/company/04663024/filing-history/MjAwNzk0MTQ0MGFkaXF6a2N4/document?format=pdf&amp;download=0. Cross-checked against the FY2008 comparative column in the FY2009 filing above - ties exactly (both give Total assets 8,829,049).
HD-046 (2026-09-05): extended FY2014-FY2020 back from the prior FY2021-FY2025 window, capped at FY2014 by explicit project-wide decision (real archive on icicibank.co.uk goes back to FY2008, see HD-046.md) - see wayfinder/historical-depth/tickets/HD-046.md.
HD-075 (2026-09-06): extended the four statutory statements (Balance Sheet, Profit &amp; Loss, Statement of Changes in Equity, Cash Flow Statement) only, further back to FY2008 - the real statutory floor identified by HD-004/HD-046 - by reading all six Companies House filings for FY2008-FY2013 directly (all scanned/non-text, read page by page). Pillar 3, Asset Quality and RWA Breakdown remain capped at FY2014 - out of scope for HD-075. See wayfinder/historical-depth/tickets/HD-075.md.
PRESENTATION NOTES: each year's own originally-published figures are used throughout (not later restated comparatives), except for the Statement of Changes in Equity where a genuine, Bank-disclosed prior period adjustment is shown explicitly (see that sheet's own note). Line items renamed/regrouped across years without changing the underlying figure are shown on a consistent row (e.g. FY2021-2023's 'Cash and cash equivalents' = FY2024-25's 'Cash and Balances at Central Banks' = FY2014-2017's 'Cash' + 'Balances at central banks' summed, since FY2014-2017 disclosed these as two separate lines; FY2021-2024's single 'Investment securities other than Government/Treasury securities' line = FY2025's 'Debt Securities' + 'Equity shares' combined, since FY2025 was the only year to break these out separately). P&amp;L uses 'Total revenue' (FY2021-2023) and 'Net Income' (FY2024-2025) interchangeably for the same subtotal concept (sum of net interest income plus fee/FX/trading income including profit/(loss) on sale of financial assets) - shown on one row; FY2018-FY2020's own 'Total revenue' subtotal is built the same way. FY2014-FY2017's own headline subtotal is instead 'Operating income', which EXCLUDES 'Profit/(Loss) on sale of debt securities' (that line sits structurally below impairments in those years' own P&amp;L, immediately before pre-tax profit) - so the 'Total revenue / Net Income' TOTAL row for FY2014-FY2017 equals that year's own 'Operating income' figure, not a recomputed sum including the sale-of-debt-securities line shown elsewhere on this sheet; shown explicitly rather than force-reconciled to match later years' structure. Balance Sheet: FY2025 has no separate 'Bonds and medium term notes' line (present FY2021-2024, nil in FY2024) - left blank for FY2025, not force-merged into another line; FY2025 has no separate 'Deposits by banks' comparator issue (FY2024 explicitly nil, shown as 0). 'Bonds and medium term notes' and 'Subordinated debt' were disclosed as a single combined 'Debt securities and subordinated liabilities' line in both the FY2014 and FY2015 Annual Reports (neither report splits FY2014 into the two components); the FY2015 figure is split here using the FY2016 Annual Report's own FY2015 comparative column (250,530/233,402, ties exactly to the combined 483,932 both FY2014 and FY2015 ARs report), but no equivalent split exists anywhere for FY2014, so FY2014's combined total is shown on its own dedicated row instead, with both 'Bonds and medium term notes' and 'Subordinated debt' left blank for FY2014 rather than guessed. The same 'Debt securities and subordinated liabilities' combined row is used for FY2008-FY2013 too (none of those years' own Annual Reports, nor any later year's comparative column, ever splits them) - see the dedicated combined row below the split rows. Similarly, 'Investment in Treasury Bills / Government Securities' and 'Investment Securities other than Government/Treasury securities' are shown combined on a single 'Investment securities' row for FY2008-FY2010 (no split exists in any source reviewed); FY2011 IS split, using the FY2012 Annual Report's own FY2011 comparative column (517,435/1,057,938, ties exactly to the combined 1,575,373 both the FY2011 and FY2012 ARs report for that year), even though FY2011's own Annual Report itself only shows the combined figure. HD-075 (2026-09-06) wrinkle: 'Issued share capital' meant only Ordinary/Equity share capital throughout the pre-existing FY2014-FY2025 window (Preference share capital having already been redeemed by FY2014); for the newly-added FY2008-FY2012 the Bank's Balance Sheet discloses Ordinary/Equity and Preference/Non-equity share capital as two separate lines throughout (labelled 'Ordinary'/'Preference' from FY2012, 'Equity'/'Non-equity' FY2008-FY2011 - same substance), so a new 'Preference share capital' row is added, carrying 50,000 for FY2008-FY2012 and explicit nil for FY2013 (the year of redemption - see Statement of Changes in Equity), blank thereafter. The Profit &amp; Loss sheet gains a new 'Gains on buy back of bonds' row, disclosed as its own P&amp;L line FY2009-FY2012 (87,357/6,415/150/0) but not present at all in the FY2008 P&amp;L or any FY2013 onward P&amp;L - left blank for FY2008 and FY2013 onward rather than assumed nil (FY2012's own 'Financial 2013' column implies the line still existed conceptually but was FY2013-onward folded back into profit/(loss) on sale of debt securities per that year's own Directors' report highlights table). FY2008's P&amp;L does not separately disclose 'Foreign exchange revaluation gains' - that year's own statement instead shows a single combined 'Dealing (losses)/profits' line (-27,313), which the FY2009 Annual Report's own FY2008 comparative column later reclassifies into 'Foreign exchange revaluation gains' (23,353) plus 'Income/(Expense) on financial instruments at fair value through profit and loss' (-50,666) - a restatement, not a real change (both net to -27,313). Per this workbook's standing convention of using each year's own originally-published figures, FY2008's combined -27,313 is shown on the 'Income/(loss) on financial instruments at fair value through P&amp;L' row, with 'Foreign exchange revaluation gains' left blank for FY2008 only rather than force-split. FY2008's Balance Sheet has no directly-disclosed 'Total Liabilities' subtotal separate from Total Equity (that year's own statement prints one combined bottom-line figure covering both) - the FY2008 Total Liabilities row shown here (8,363,027) is therefore computed as the sum of that year's own disclosed liability line items, not copied from an explicit source subtotal; it ties exactly (Total Liabilities + Total Equity = Total assets = 8,829,049). Tangible/intangible fixed assets: shown as one combined line for FY2014 (5,751, no separate intangible disclosed that year), FY2015 (4,774, ditto), FY2019 and FY2020 (both years' own 'Tangible and Intangible fixed assets' combined line); shown as two components summed for FY2016-FY2018, where the Bank disclosed them as separate lines. 'Derivative financial instruments' first appears as its own Balance Sheet line from FY2018 onward - for FY2014-FY2017 it was not broken out on the face of the Balance Sheet (only within the credit-risk note's 'Other assets'/'Other liabilities' sub-analysis) and is left blank rather than estimated. A 'Capital redemption reserve' row (once $50.0m, cancelled into Retained earnings during FY2015 - see the Statement of Changes in Equity) applied only to FY2014 (50,000) and FY2015 (explicitly nil); no such reserve existed FY2016 onward.
STATEMENTS ENTITY NOTE: the Bank's Balance Sheet, Profit &amp; Loss, Statement of Changes in Equity, Asset Quality, and RWA Breakdown sheets are presented in USD (the Bank's own and sole primary reporting currency in every source document reviewed - each Annual Report and Pillar 3 disclosure gives only an unaudited INR 'convenience translation' alongside the USD primary figures; no GBP figures are published anywhere by this Bank). Kept in USD throughout (not converted to £) for consistency with the workbook's own pre-existing Pillar 3 metric sheets, which are also USD million.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13:N13"/>
    <mergeCell ref="A15:N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ICICI Bank UK PLC — UK KM1 Key Metrics Template</t>
        </is>
      </c>
    </row>
    <row r="2">
      <c r="A2" s="2" t="inlineStr">
        <is>
          <t>ICICI Bank UK PLC, individual basis, as published. Amounts in USD million; ratios as printed. Year-end 31 March.</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5" t="inlineStr">
        <is>
          <t>Available own funds (amounts)</t>
        </is>
      </c>
      <c r="B4" s="6" t="n"/>
      <c r="C4" s="6" t="n"/>
      <c r="D4" s="6" t="n"/>
      <c r="E4" s="6" t="n"/>
      <c r="F4" s="6" t="n"/>
      <c r="G4" s="6" t="n"/>
    </row>
    <row r="5">
      <c r="A5" s="6" t="inlineStr">
        <is>
          <t>1 Common Equity Tier 1 (CET1) capital (USD million)</t>
        </is>
      </c>
      <c r="B5" s="6" t="n">
        <v>328.4</v>
      </c>
      <c r="C5" s="6" t="n">
        <v>322.9</v>
      </c>
      <c r="D5" s="6" t="n">
        <v>311.3</v>
      </c>
      <c r="E5" s="6" t="n">
        <v>295.4</v>
      </c>
      <c r="F5" s="6" t="n">
        <v>293</v>
      </c>
      <c r="G5" s="6" t="n">
        <v>493.9</v>
      </c>
    </row>
    <row r="6">
      <c r="A6" s="6" t="inlineStr">
        <is>
          <t>2 Tier 1 capital (USD million)</t>
        </is>
      </c>
      <c r="B6" s="6" t="n">
        <v>328.4</v>
      </c>
      <c r="C6" s="6" t="n">
        <v>322.9</v>
      </c>
      <c r="D6" s="6" t="n">
        <v>311.3</v>
      </c>
      <c r="E6" s="6" t="n">
        <v>295.4</v>
      </c>
      <c r="F6" s="6" t="n">
        <v>293</v>
      </c>
      <c r="G6" s="6" t="n">
        <v>493.9</v>
      </c>
    </row>
    <row r="7">
      <c r="A7" s="6" t="inlineStr">
        <is>
          <t>3 Total capital (USD million)</t>
        </is>
      </c>
      <c r="B7" s="6" t="n">
        <v>378.4</v>
      </c>
      <c r="C7" s="6" t="n">
        <v>372.9</v>
      </c>
      <c r="D7" s="6" t="n">
        <v>361.3</v>
      </c>
      <c r="E7" s="6" t="n">
        <v>371.9</v>
      </c>
      <c r="F7" s="6" t="n">
        <v>378</v>
      </c>
      <c r="G7" s="6" t="n">
        <v>586.7</v>
      </c>
    </row>
    <row r="8">
      <c r="A8" s="5" t="inlineStr">
        <is>
          <t>Risk-weighted exposure amounts</t>
        </is>
      </c>
      <c r="B8" s="6" t="n"/>
      <c r="C8" s="6" t="n"/>
      <c r="D8" s="6" t="n"/>
      <c r="E8" s="6" t="n"/>
      <c r="F8" s="6" t="n"/>
      <c r="G8" s="6" t="n"/>
    </row>
    <row r="9">
      <c r="A9" s="6" t="inlineStr">
        <is>
          <t>4 Total risk-weighted exposure amount (USD million)</t>
        </is>
      </c>
      <c r="B9" s="6" t="n">
        <v>1923.3</v>
      </c>
      <c r="C9" s="6" t="n">
        <v>1649.7</v>
      </c>
      <c r="D9" s="6" t="n">
        <v>1546.2</v>
      </c>
      <c r="E9" s="6" t="n">
        <v>1371.5</v>
      </c>
      <c r="F9" s="6" t="n">
        <v>1646.7</v>
      </c>
      <c r="G9" s="6" t="n">
        <v>2075.1</v>
      </c>
    </row>
    <row r="10">
      <c r="A10" s="5" t="inlineStr">
        <is>
          <t>Capital ratios (as a percentage of risk-weighted exposure amount)</t>
        </is>
      </c>
      <c r="B10" s="6" t="n"/>
      <c r="C10" s="6" t="n"/>
      <c r="D10" s="6" t="n"/>
      <c r="E10" s="6" t="n"/>
      <c r="F10" s="6" t="n"/>
      <c r="G10" s="6" t="n"/>
    </row>
    <row r="11">
      <c r="A11" s="6" t="inlineStr">
        <is>
          <t>5 Common Equity Tier 1 ratio (%)</t>
        </is>
      </c>
      <c r="B11" s="6" t="inlineStr">
        <is>
          <t>17.07%</t>
        </is>
      </c>
      <c r="C11" s="6" t="inlineStr">
        <is>
          <t>19.57%</t>
        </is>
      </c>
      <c r="D11" s="6" t="inlineStr">
        <is>
          <t>20.14%</t>
        </is>
      </c>
      <c r="E11" s="6" t="inlineStr">
        <is>
          <t>21.54%</t>
        </is>
      </c>
      <c r="F11" s="6" t="inlineStr">
        <is>
          <t>17.79%</t>
        </is>
      </c>
      <c r="G11" s="6" t="inlineStr">
        <is>
          <t>23.80%</t>
        </is>
      </c>
    </row>
    <row r="12">
      <c r="A12" s="6" t="inlineStr">
        <is>
          <t>6 Tier 1 ratio (%)</t>
        </is>
      </c>
      <c r="B12" s="6" t="inlineStr">
        <is>
          <t>17.07%</t>
        </is>
      </c>
      <c r="C12" s="6" t="inlineStr">
        <is>
          <t>19.57%</t>
        </is>
      </c>
      <c r="D12" s="6" t="inlineStr">
        <is>
          <t>20.14%</t>
        </is>
      </c>
      <c r="E12" s="6" t="inlineStr">
        <is>
          <t>21.54%</t>
        </is>
      </c>
      <c r="F12" s="6" t="inlineStr">
        <is>
          <t>17.79%</t>
        </is>
      </c>
      <c r="G12" s="6" t="inlineStr">
        <is>
          <t>23.80%</t>
        </is>
      </c>
    </row>
    <row r="13">
      <c r="A13" s="6" t="inlineStr">
        <is>
          <t>7 Total capital ratio (%)</t>
        </is>
      </c>
      <c r="B13" s="6" t="inlineStr">
        <is>
          <t>19.67%</t>
        </is>
      </c>
      <c r="C13" s="6" t="inlineStr">
        <is>
          <t>22.60%</t>
        </is>
      </c>
      <c r="D13" s="6" t="inlineStr">
        <is>
          <t>23.37%</t>
        </is>
      </c>
      <c r="E13" s="6" t="inlineStr">
        <is>
          <t>27.12%</t>
        </is>
      </c>
      <c r="F13" s="6" t="inlineStr">
        <is>
          <t>22.96%</t>
        </is>
      </c>
      <c r="G13" s="6" t="inlineStr">
        <is>
          <t>28.27%</t>
        </is>
      </c>
    </row>
    <row r="14">
      <c r="A14" s="5" t="inlineStr">
        <is>
          <t>Additional own funds requirements based on SREP (as a percentage of risk-weighted exposure amount)</t>
        </is>
      </c>
      <c r="B14" s="6" t="n"/>
      <c r="C14" s="6" t="n"/>
      <c r="D14" s="6" t="n"/>
      <c r="E14" s="6" t="n"/>
      <c r="F14" s="6" t="n"/>
      <c r="G14" s="6" t="n"/>
    </row>
    <row r="15">
      <c r="A15" s="6" t="inlineStr">
        <is>
          <t>UK 7a Additional CET1 SREP requirements (%)</t>
        </is>
      </c>
      <c r="B15" s="6" t="inlineStr">
        <is>
          <t>1.95%</t>
        </is>
      </c>
      <c r="C15" s="6" t="inlineStr">
        <is>
          <t>1.95%</t>
        </is>
      </c>
      <c r="D15" s="6" t="inlineStr">
        <is>
          <t>1.29%</t>
        </is>
      </c>
      <c r="E15" s="6" t="inlineStr">
        <is>
          <t>1.29%</t>
        </is>
      </c>
      <c r="F15" s="6" t="inlineStr">
        <is>
          <t>1.45%</t>
        </is>
      </c>
      <c r="G15" s="6" t="inlineStr">
        <is>
          <t>1.24%</t>
        </is>
      </c>
    </row>
    <row r="16">
      <c r="A16" s="6" t="inlineStr">
        <is>
          <t>UK 7b Additional AT1 SREP requirements (%)</t>
        </is>
      </c>
      <c r="B16" s="6" t="inlineStr">
        <is>
          <t>0.65%</t>
        </is>
      </c>
      <c r="C16" s="6" t="inlineStr">
        <is>
          <t>0.65%</t>
        </is>
      </c>
      <c r="D16" s="6" t="inlineStr">
        <is>
          <t>0.43%</t>
        </is>
      </c>
      <c r="E16" s="6" t="inlineStr">
        <is>
          <t>0.43%</t>
        </is>
      </c>
      <c r="F16" s="6" t="inlineStr">
        <is>
          <t>0.43%</t>
        </is>
      </c>
      <c r="G16" s="6" t="inlineStr">
        <is>
          <t>0.36%</t>
        </is>
      </c>
    </row>
    <row r="17">
      <c r="A17" s="6" t="inlineStr">
        <is>
          <t>UK 7c Additional T2 SREP requirements (%)</t>
        </is>
      </c>
      <c r="B17" s="6" t="inlineStr">
        <is>
          <t>0.86%</t>
        </is>
      </c>
      <c r="C17" s="6" t="inlineStr">
        <is>
          <t>0.86%</t>
        </is>
      </c>
      <c r="D17" s="6" t="inlineStr">
        <is>
          <t>0.57%</t>
        </is>
      </c>
      <c r="E17" s="6" t="inlineStr">
        <is>
          <t>0.57%</t>
        </is>
      </c>
      <c r="F17" s="6" t="inlineStr">
        <is>
          <t>0.57%</t>
        </is>
      </c>
      <c r="G17" s="6" t="inlineStr">
        <is>
          <t>0.48%</t>
        </is>
      </c>
    </row>
    <row r="18">
      <c r="A18" s="6" t="inlineStr">
        <is>
          <t>UK 7d Total SREP own funds requirements (%)</t>
        </is>
      </c>
      <c r="B18" s="6" t="inlineStr">
        <is>
          <t>11.46%</t>
        </is>
      </c>
      <c r="C18" s="6" t="inlineStr">
        <is>
          <t>11.46%</t>
        </is>
      </c>
      <c r="D18" s="6" t="inlineStr">
        <is>
          <t>10.29%</t>
        </is>
      </c>
      <c r="E18" s="6" t="inlineStr">
        <is>
          <t>10.29%</t>
        </is>
      </c>
      <c r="F18" s="6" t="inlineStr">
        <is>
          <t>10.45%</t>
        </is>
      </c>
      <c r="G18" s="6" t="inlineStr">
        <is>
          <t>10.08%</t>
        </is>
      </c>
    </row>
    <row r="19">
      <c r="A19" s="5" t="inlineStr">
        <is>
          <t>Combined buffer requirement (as a percentage of risk-weighted exposure amount)</t>
        </is>
      </c>
      <c r="B19" s="6" t="n"/>
      <c r="C19" s="6" t="n"/>
      <c r="D19" s="6" t="n"/>
      <c r="E19" s="6" t="n"/>
      <c r="F19" s="6" t="n"/>
      <c r="G19" s="6" t="n"/>
    </row>
    <row r="20">
      <c r="A20" s="6" t="inlineStr">
        <is>
          <t>8 Capital conservation buffer (%)</t>
        </is>
      </c>
      <c r="B20" s="6" t="inlineStr">
        <is>
          <t>2.50%</t>
        </is>
      </c>
      <c r="C20" s="6" t="inlineStr">
        <is>
          <t>2.50%</t>
        </is>
      </c>
      <c r="D20" s="6" t="inlineStr">
        <is>
          <t>2.50%</t>
        </is>
      </c>
      <c r="E20" s="6" t="inlineStr">
        <is>
          <t>2.50%</t>
        </is>
      </c>
      <c r="F20" s="6" t="inlineStr">
        <is>
          <t>2.50%</t>
        </is>
      </c>
      <c r="G20" s="6" t="inlineStr">
        <is>
          <t>2.50%</t>
        </is>
      </c>
    </row>
    <row r="21">
      <c r="A21" s="6" t="inlineStr">
        <is>
          <t>UK 8a Conservation buffer due to macro-prudential or systemic risk identified at the level of a Member State (%)</t>
        </is>
      </c>
      <c r="B21" s="6" t="inlineStr">
        <is>
          <t>-</t>
        </is>
      </c>
      <c r="C21" s="6" t="inlineStr">
        <is>
          <t>-</t>
        </is>
      </c>
      <c r="D21" s="6" t="inlineStr">
        <is>
          <t>-</t>
        </is>
      </c>
      <c r="E21" s="6" t="inlineStr">
        <is>
          <t>-</t>
        </is>
      </c>
      <c r="F21" s="6" t="inlineStr">
        <is>
          <t>-</t>
        </is>
      </c>
      <c r="G21" s="6" t="inlineStr">
        <is>
          <t>-</t>
        </is>
      </c>
    </row>
    <row r="22">
      <c r="A22" s="6" t="inlineStr">
        <is>
          <t>9 Institution specific countercyclical capital buffer (%)</t>
        </is>
      </c>
      <c r="B22" s="6" t="inlineStr">
        <is>
          <t>1.09%</t>
        </is>
      </c>
      <c r="C22" s="6" t="inlineStr">
        <is>
          <t>0.91%</t>
        </is>
      </c>
      <c r="D22" s="6" t="inlineStr">
        <is>
          <t>0.81%</t>
        </is>
      </c>
      <c r="E22" s="6" t="inlineStr">
        <is>
          <t>0.43%</t>
        </is>
      </c>
      <c r="F22" s="6" t="inlineStr">
        <is>
          <t>0.03%</t>
        </is>
      </c>
      <c r="G22" s="6" t="inlineStr">
        <is>
          <t>0.02%</t>
        </is>
      </c>
    </row>
    <row r="23">
      <c r="A23" s="6" t="inlineStr">
        <is>
          <t>UK 9a Systemic risk buffer (%)</t>
        </is>
      </c>
      <c r="B23" s="6" t="inlineStr">
        <is>
          <t>-</t>
        </is>
      </c>
      <c r="C23" s="6" t="inlineStr">
        <is>
          <t>-</t>
        </is>
      </c>
      <c r="D23" s="6" t="inlineStr">
        <is>
          <t>-</t>
        </is>
      </c>
      <c r="E23" s="6" t="inlineStr">
        <is>
          <t>-</t>
        </is>
      </c>
      <c r="F23" s="6" t="inlineStr">
        <is>
          <t>-</t>
        </is>
      </c>
      <c r="G23" s="6" t="inlineStr">
        <is>
          <t>-</t>
        </is>
      </c>
    </row>
    <row r="24">
      <c r="A24" s="6" t="inlineStr">
        <is>
          <t>10 Global Systemically Important Institution buffer (%)</t>
        </is>
      </c>
      <c r="B24" s="6" t="inlineStr">
        <is>
          <t>-</t>
        </is>
      </c>
      <c r="C24" s="6" t="inlineStr">
        <is>
          <t>-</t>
        </is>
      </c>
      <c r="D24" s="6" t="inlineStr">
        <is>
          <t>-</t>
        </is>
      </c>
      <c r="E24" s="6" t="inlineStr">
        <is>
          <t>-</t>
        </is>
      </c>
      <c r="F24" s="6" t="inlineStr">
        <is>
          <t>-</t>
        </is>
      </c>
      <c r="G24" s="6" t="inlineStr">
        <is>
          <t>-</t>
        </is>
      </c>
    </row>
    <row r="25">
      <c r="A25" s="6" t="inlineStr">
        <is>
          <t>UK 10a Other Systemically Important Institution buffer</t>
        </is>
      </c>
      <c r="B25" s="6" t="inlineStr">
        <is>
          <t>-</t>
        </is>
      </c>
      <c r="C25" s="6" t="inlineStr">
        <is>
          <t>-</t>
        </is>
      </c>
      <c r="D25" s="6" t="inlineStr">
        <is>
          <t>-</t>
        </is>
      </c>
      <c r="E25" s="6" t="inlineStr">
        <is>
          <t>-</t>
        </is>
      </c>
      <c r="F25" s="6" t="inlineStr">
        <is>
          <t>-</t>
        </is>
      </c>
      <c r="G25" s="6" t="inlineStr">
        <is>
          <t>-</t>
        </is>
      </c>
    </row>
    <row r="26">
      <c r="A26" s="6" t="inlineStr">
        <is>
          <t>11 Combined buffer requirement (%)</t>
        </is>
      </c>
      <c r="B26" s="6" t="inlineStr">
        <is>
          <t>3.59%</t>
        </is>
      </c>
      <c r="C26" s="6" t="inlineStr">
        <is>
          <t>3.41%</t>
        </is>
      </c>
      <c r="D26" s="6" t="inlineStr">
        <is>
          <t>3.31%</t>
        </is>
      </c>
      <c r="E26" s="6" t="inlineStr">
        <is>
          <t>2.93%</t>
        </is>
      </c>
      <c r="F26" s="6" t="inlineStr">
        <is>
          <t>2.53%</t>
        </is>
      </c>
      <c r="G26" s="6" t="inlineStr">
        <is>
          <t>2.52%</t>
        </is>
      </c>
    </row>
    <row r="27">
      <c r="A27" s="6" t="inlineStr">
        <is>
          <t>UK 11a Overall capital requirements (%)</t>
        </is>
      </c>
      <c r="B27" s="6" t="inlineStr">
        <is>
          <t>15.05%</t>
        </is>
      </c>
      <c r="C27" s="6" t="inlineStr">
        <is>
          <t>14.87%</t>
        </is>
      </c>
      <c r="D27" s="6" t="inlineStr">
        <is>
          <t>13.60%</t>
        </is>
      </c>
      <c r="E27" s="6" t="inlineStr">
        <is>
          <t>13.22%</t>
        </is>
      </c>
      <c r="F27" s="6" t="inlineStr">
        <is>
          <t>12.98%</t>
        </is>
      </c>
      <c r="G27" s="6" t="inlineStr">
        <is>
          <t>12.60%</t>
        </is>
      </c>
    </row>
    <row r="28">
      <c r="A28" s="6" t="inlineStr">
        <is>
          <t>12 CET1 available after meeting the total SREP own funds requirements (%)</t>
        </is>
      </c>
      <c r="B28" s="6" t="inlineStr">
        <is>
          <t>8.48%</t>
        </is>
      </c>
      <c r="C28" s="6" t="inlineStr">
        <is>
          <t>10.98%</t>
        </is>
      </c>
      <c r="D28" s="6" t="inlineStr">
        <is>
          <t>12.42%</t>
        </is>
      </c>
      <c r="E28" s="6" t="inlineStr">
        <is>
          <t>13.82%</t>
        </is>
      </c>
      <c r="F28" s="6" t="inlineStr">
        <is>
          <t>9.92%</t>
        </is>
      </c>
      <c r="G28" s="6" t="inlineStr">
        <is>
          <t>16.20%</t>
        </is>
      </c>
    </row>
    <row r="29">
      <c r="A29" s="5" t="inlineStr">
        <is>
          <t>Leverage ratio</t>
        </is>
      </c>
      <c r="B29" s="6" t="n"/>
      <c r="C29" s="6" t="n"/>
      <c r="D29" s="6" t="n"/>
      <c r="E29" s="6" t="n"/>
      <c r="F29" s="6" t="n"/>
      <c r="G29" s="6" t="n"/>
    </row>
    <row r="30">
      <c r="A30" s="6" t="inlineStr">
        <is>
          <t>13 Total exposure measure excluding claims on central banks (USD million)</t>
        </is>
      </c>
      <c r="B30" s="6" t="n">
        <v>2845.7</v>
      </c>
      <c r="C30" s="6" t="n">
        <v>2276.7</v>
      </c>
      <c r="D30" s="6" t="n">
        <v>2086.8</v>
      </c>
      <c r="E30" s="6" t="n">
        <v>1914.3</v>
      </c>
      <c r="F30" s="6" t="n">
        <v>2085.6</v>
      </c>
      <c r="G30" s="6" t="n"/>
    </row>
    <row r="31">
      <c r="A31" s="6" t="inlineStr">
        <is>
          <t>14 Leverage ratio excluding claims on central banks (%)</t>
        </is>
      </c>
      <c r="B31" s="6" t="inlineStr">
        <is>
          <t>11.54%</t>
        </is>
      </c>
      <c r="C31" s="6" t="inlineStr">
        <is>
          <t>14.18%</t>
        </is>
      </c>
      <c r="D31" s="6" t="inlineStr">
        <is>
          <t>14.92%</t>
        </is>
      </c>
      <c r="E31" s="6" t="inlineStr">
        <is>
          <t>15.43%</t>
        </is>
      </c>
      <c r="F31" s="6" t="inlineStr">
        <is>
          <t>14.05%</t>
        </is>
      </c>
      <c r="G31" s="6" t="n"/>
    </row>
    <row r="32">
      <c r="A32" s="5" t="inlineStr">
        <is>
          <t>Liquidity Coverage Ratio</t>
        </is>
      </c>
      <c r="B32" s="6" t="n"/>
      <c r="C32" s="6" t="n"/>
      <c r="D32" s="6" t="n"/>
      <c r="E32" s="6" t="n"/>
      <c r="F32" s="6" t="n"/>
      <c r="G32" s="6" t="n"/>
    </row>
    <row r="33">
      <c r="A33" s="6" t="inlineStr">
        <is>
          <t>15 Total high-quality liquid assets (HQLA) (Weighted value - average) (USD million)</t>
        </is>
      </c>
      <c r="B33" s="6" t="n">
        <v>568.3</v>
      </c>
      <c r="C33" s="6" t="n">
        <v>464.2</v>
      </c>
      <c r="D33" s="6" t="n">
        <v>475.6</v>
      </c>
      <c r="E33" s="6" t="n">
        <v>508.1</v>
      </c>
      <c r="F33" s="6" t="n">
        <v>627.1</v>
      </c>
      <c r="G33" s="6" t="n"/>
    </row>
    <row r="34">
      <c r="A34" s="6" t="inlineStr">
        <is>
          <t>UK 16a Cash outflows - Total weighted value (USD million)</t>
        </is>
      </c>
      <c r="B34" s="6" t="n">
        <v>453.5</v>
      </c>
      <c r="C34" s="6" t="n">
        <v>357.1</v>
      </c>
      <c r="D34" s="6" t="n">
        <v>315.4</v>
      </c>
      <c r="E34" s="6" t="n">
        <v>306.5</v>
      </c>
      <c r="F34" s="6" t="n">
        <v>347.7</v>
      </c>
      <c r="G34" s="6" t="n"/>
    </row>
    <row r="35">
      <c r="A35" s="6" t="inlineStr">
        <is>
          <t>UK 16b Cash inflows - Total weighted value (USD million)</t>
        </is>
      </c>
      <c r="B35" s="6" t="n">
        <v>118.1</v>
      </c>
      <c r="C35" s="6" t="n">
        <v>112.9</v>
      </c>
      <c r="D35" s="6" t="n">
        <v>122.2</v>
      </c>
      <c r="E35" s="6" t="n">
        <v>82.5</v>
      </c>
      <c r="F35" s="6" t="n">
        <v>71.3</v>
      </c>
      <c r="G35" s="6" t="n"/>
    </row>
    <row r="36">
      <c r="A36" s="6" t="inlineStr">
        <is>
          <t>16 Total net cash outflows (adjusted value) (USD million)</t>
        </is>
      </c>
      <c r="B36" s="6" t="n">
        <v>335.4</v>
      </c>
      <c r="C36" s="6" t="n">
        <v>244.2</v>
      </c>
      <c r="D36" s="6" t="n">
        <v>193.2</v>
      </c>
      <c r="E36" s="6" t="n">
        <v>224</v>
      </c>
      <c r="F36" s="6" t="n">
        <v>276.4</v>
      </c>
      <c r="G36" s="6" t="n"/>
    </row>
    <row r="37">
      <c r="A37" s="6" t="inlineStr">
        <is>
          <t>17 Liquidity coverage ratio (%)</t>
        </is>
      </c>
      <c r="B37" s="6" t="inlineStr">
        <is>
          <t>169.42%</t>
        </is>
      </c>
      <c r="C37" s="6" t="inlineStr">
        <is>
          <t>190.08%</t>
        </is>
      </c>
      <c r="D37" s="6" t="inlineStr">
        <is>
          <t>240.20%</t>
        </is>
      </c>
      <c r="E37" s="6" t="inlineStr">
        <is>
          <t>226.83%</t>
        </is>
      </c>
      <c r="F37" s="6" t="inlineStr">
        <is>
          <t>226.90%</t>
        </is>
      </c>
      <c r="G37" s="6" t="n"/>
    </row>
    <row r="38">
      <c r="A38" s="5" t="inlineStr">
        <is>
          <t>Net Stable Funding Ratio</t>
        </is>
      </c>
      <c r="B38" s="6" t="n"/>
      <c r="C38" s="6" t="n"/>
      <c r="D38" s="6" t="n"/>
      <c r="E38" s="6" t="n"/>
      <c r="F38" s="6" t="n"/>
      <c r="G38" s="6" t="n"/>
    </row>
    <row r="39">
      <c r="A39" s="6" t="inlineStr">
        <is>
          <t>18 Total available stable funding (USD million)</t>
        </is>
      </c>
      <c r="B39" s="6" t="n">
        <v>1770.7</v>
      </c>
      <c r="C39" s="6" t="n">
        <v>1678.3</v>
      </c>
      <c r="D39" s="6" t="n">
        <v>1663.6</v>
      </c>
      <c r="E39" s="6" t="n">
        <v>1495.7</v>
      </c>
      <c r="F39" s="6" t="n">
        <v>1649.2</v>
      </c>
      <c r="G39" s="6" t="n"/>
    </row>
    <row r="40">
      <c r="A40" s="6" t="inlineStr">
        <is>
          <t>19 Total required stable funding (USD million)</t>
        </is>
      </c>
      <c r="B40" s="6" t="n">
        <v>1297</v>
      </c>
      <c r="C40" s="6" t="n">
        <v>1111.3</v>
      </c>
      <c r="D40" s="6" t="n">
        <v>1044.7</v>
      </c>
      <c r="E40" s="6" t="n">
        <v>1012.5</v>
      </c>
      <c r="F40" s="6" t="n">
        <v>1163.9</v>
      </c>
      <c r="G40" s="6" t="n"/>
    </row>
    <row r="41">
      <c r="A41" s="6" t="inlineStr">
        <is>
          <t>20 Net Stable Funding Ratio (NSFR ratio) (%)</t>
        </is>
      </c>
      <c r="B41" s="6" t="inlineStr">
        <is>
          <t>136.53%</t>
        </is>
      </c>
      <c r="C41" s="6" t="inlineStr">
        <is>
          <t>151.03%</t>
        </is>
      </c>
      <c r="D41" s="6" t="inlineStr">
        <is>
          <t>159.20%</t>
        </is>
      </c>
      <c r="E41" s="6" t="inlineStr">
        <is>
          <t>147.72%</t>
        </is>
      </c>
      <c r="F41" s="6" t="inlineStr">
        <is>
          <t>141.69%</t>
        </is>
      </c>
      <c r="G41" s="6" t="n"/>
    </row>
    <row r="43" ht="390" customHeight="1">
      <c r="A43" s="8" t="inlineStr">
        <is>
          <t>Sources — ICICI Bank UK PLC's own 'UK KM1 - Key metrics template', reproduced as published. The Bank's Pillar 3 disclosures are prepared for ICICI Bank UK PLC on an INDIVIDUAL basis (its own section 1.2 states there is no subsidiary or joint venture required to be consolidated for accounting or prudential purposes), so no parent/group figure appears on this sheet. Amounts in USD millions, the unit the template itself is printed in. The Bank's financial year ends 31 March, so each FY label is that year's 31 March date.
FY2026 (31 March 2026): Basel III - Pillar 3 Disclosures, March 31, 2026, p.7-8 (UK KM1), its OWN reporting year — https://www.icicibank.co.uk/content/dam/icicibank-revamp/uk/doc/basel-pillar-3-disclosures-FY2026.pdf
FY2025 (31 March 2025): Basel III - Pillar 3 Disclosures, March 31, 2025, p.7-8 (UK KM1), its OWN reporting year — https://www.icicibank.co.uk/content/dam/icicibank/icici-assets/uk/basel-pillar-3-disclosures-FY2024-25.pdf
FY2024 (31 March 2024): Basel III - Pillar 3 Disclosures, March 31, 2024, p.7-8 (UK KM1), its OWN reporting year — https://www.icicibank.co.uk/content/dam/icicibank/india/managed-assets/docs/pdf/basel-pillar-3-disclosures-FY2023-24.pdf
FY2023 (31 March 2023): Basel III - Pillar 3 Disclosures, March 31, 2023, p.7-8 (UK KM1), its OWN reporting year — https://www.icicibank.co.uk/content/dam/icicibank/icici-assets/uk/icici-bank-uk-plc-pillar-3-disclosures-FY2022-23.pdf
FY2022 (31 March 2022): Basel III - Pillar 3 Disclosures, March 31, 2022, p.7-8 (UK KM1), its OWN reporting year — https://www.icicibank.co.uk/content/dam/icicibank/icici-assets/uk/ICICI-Bank-UK-Plc-Pillar3-disclosures-FY2021-22.pdf
FY2021 (31 March 2021): NOT from a FY2021 KM1 — the March 31, 2021 edition prints no KM1 template at all (see the sheet note). The FY2021 column here is the March 31, 2022 edition's own 'March 31, 2021' COMPARATIVE column, p.7 — https://www.icicibank.co.uk/content/dam/icicibank/icici-assets/uk/ICICI-Bank-UK-Plc-Pillar3-disclosures-FY2021-22.pdf. The FY2021 edition itself is at https://www.icicibank.co.uk/content/dam/icicibank/icici-assets/uk/ICICI-Bank-UK-Plc-Pillar3-disclosures-FY2020-21.pdf
The table breaks across two printed pages in every edition: rows 1 to 12 sit on folio 7 and rows 13 to 20 on folio 8, under a repeated column header. Page numbers above are the PRINTED folios.
FY2020 AND EARLIER ARE BLANK BECAUSE THE TEMPLATE DOES NOT EXIST IN THOSE EDITIONS. Every Pillar 3 edition the Bank has published from FY2008 to FY2026 is listed on its own Basel-disclosures page and all of them were downloaded and searched. The UK KM1 template first appears in the March 31, 2022 edition. The earlier editions are structured entirely differently — the FY2021 edition's contents page runs Overview / Capital adequacy / Capital resources / Minimum Capital Requirement / Risk Management / Credit Risk / Market Risk / Operational Risk / Liquidity risk / Leverage ratio / Asset encumbrance / Equities / Securitisation / Remuneration, with four annexures, and no key-metrics section anywhere. A search of it for 'KM1' returns nothing while the same document returns healthy counts on neighbouring prudential terms (own funds 16, leverage ratio 19, Common Equity Tier 1 15, countercyclical 11), so the zero is a fact about the document and not about the search. Its only embedded images are the 478x76 page-header logo repeated on every page, so there is no rasterised table hiding from text extraction either. The UK KM1 template arrived with the Disclosure (CRR) Part of the PRA Rulebook, effective 1 January 2022; these editions legitimately predate it. Those years' figures are on the eleven single-metric sheets instead, sourced from the transitional own-funds template and the capital-resources tables, as those sheets' own notes record.
FY2021 IS FILLED FROM A COMPARATIVE, AND ONLY DOWN TO ROW 12. Because the FY2021 edition prints no KM1 at all, there is no own-edition table for that year to displace, so the column is taken from the FY2022 edition's own March 31, 2021 comparative. That comparative column is populated for rows 1 to 12 only: the FY2022 edition leaves every cell from row 13 (leverage) through row 20 (NSFR) EMPTY in the 2021 column — not dashed, simply blank — so those cells are blank here. They are not zeros and they are not figures we failed to find.
DASHES ARE REPRODUCED AS DASHES. Rows UK 8a, UK 9a, 10 and UK 10a are printed as '-' by the Bank in every edition - re-read in the FY2026, FY2024-25, FY2023-24, FY2022-23 and FY2021-22 PDFs on 2026-09-18, and dashed in BOTH columns of every one of them - so all six year-columns above carry a literal '-'. That includes FY2021, which is the FY2022 edition's comparative column (its own edition prints no KM1 at all): that column dashes these four rows exactly as its current-year column does. A dash is the Bank stating the requirement does not apply to it, which is a different statement from a blank (never published) and from a zero (a measured nil). Contrast the Bank's genuine zeros elsewhere: it prints small but non-zero countercyclical buffers (0.02%, 0.03%) rather than dashing them, which is what makes the dashed rows legible as 'not applicable' rather than 'nil'.
PRECISION AND LABELS ARE THE BANK'S OWN. Ratios are printed to two decimal places throughout and are reproduced at that precision, including where a value would read more naturally rounded. Row 20's label is the Bank's own doubled form, 'Net Stable Funding Ratio (NSFR ratio) (%)'. Row 17 is the 12-month average LCR; the Bank ALSO publishes a point-in-time LCR at 31 March in its narrative, and the two differ materially (FY2023: 226.83% average against 346.1% point-in-time). Only the template's own average figure appears on this sheet; both measures are shown side by side on the LCR sheet.</t>
        </is>
      </c>
    </row>
    <row r="45" ht="360" customHeight="1">
      <c r="A45" s="8" t="inlineStr">
        <is>
          <t>(continued)
Row 13/14 carry the post-1 January 2022 leverage basis throughout ('excluding claims on central banks'); no edition on this sheet predates that change, so there is no leverage basis break within the KM1 series. The Leverage Ratio sheet does carry one, because it reaches back to the earlier CRR LRCom basis.</t>
        </is>
      </c>
    </row>
  </sheetData>
  <mergeCells count="2">
    <mergeCell ref="A43:G43"/>
    <mergeCell ref="A45:G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CET1 Capital</t>
        </is>
      </c>
    </row>
    <row r="2">
      <c r="A2" s="2" t="inlineStr">
        <is>
          <t>USD million</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Common Equity Tier 1 (CET1) capital (FY2014-FY2016: the source labels this 'Core Tier 1', pre-dating the CET1 term)</t>
        </is>
      </c>
      <c r="B4" s="6" t="n">
        <v>328.4</v>
      </c>
      <c r="C4" s="6" t="n">
        <v>322.9</v>
      </c>
      <c r="D4" s="6" t="n">
        <v>311.3</v>
      </c>
      <c r="E4" s="6" t="n">
        <v>295.4</v>
      </c>
      <c r="F4" s="6" t="n">
        <v>293</v>
      </c>
      <c r="G4" s="6" t="n">
        <v>493.9</v>
      </c>
      <c r="H4" s="6" t="n">
        <v>440.9</v>
      </c>
      <c r="I4" s="6" t="n">
        <v>442.8</v>
      </c>
      <c r="J4" s="6" t="n">
        <v>488.8</v>
      </c>
      <c r="K4" s="6" t="n">
        <v>521.3</v>
      </c>
      <c r="L4" s="6" t="n">
        <v>537.6</v>
      </c>
      <c r="M4" s="6" t="n">
        <v>538.8</v>
      </c>
      <c r="N4" s="6" t="n">
        <v>623.8</v>
      </c>
    </row>
    <row r="6" ht="364" customHeight="1">
      <c r="A6"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8" ht="409" customHeight="1">
      <c r="A8"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8:N8"/>
    <mergeCell ref="A6:N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CET1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Common Equity Tier 1 (CET1) ratio (FY2014-FY2016: the source labels this 'Core Tier 1', pre-dating the CET1 term)</t>
        </is>
      </c>
      <c r="B4" s="6" t="inlineStr">
        <is>
          <t>17.07%</t>
        </is>
      </c>
      <c r="C4" s="6" t="inlineStr">
        <is>
          <t>19.57%</t>
        </is>
      </c>
      <c r="D4" s="6" t="inlineStr">
        <is>
          <t>20.14%</t>
        </is>
      </c>
      <c r="E4" s="6" t="inlineStr">
        <is>
          <t>21.54%</t>
        </is>
      </c>
      <c r="F4" s="6" t="inlineStr">
        <is>
          <t>17.79%</t>
        </is>
      </c>
      <c r="G4" s="6" t="inlineStr">
        <is>
          <t>23.80%</t>
        </is>
      </c>
      <c r="H4" s="6" t="inlineStr">
        <is>
          <t>14.99%</t>
        </is>
      </c>
      <c r="I4" s="6" t="inlineStr">
        <is>
          <t>12.93%</t>
        </is>
      </c>
      <c r="J4" s="6" t="inlineStr">
        <is>
          <t>13.97%</t>
        </is>
      </c>
      <c r="K4" s="6" t="inlineStr">
        <is>
          <t>15.53%</t>
        </is>
      </c>
      <c r="L4" s="6" t="inlineStr">
        <is>
          <t>13.1%</t>
        </is>
      </c>
      <c r="M4" s="6" t="inlineStr">
        <is>
          <t>14.6%</t>
        </is>
      </c>
      <c r="N4" s="6" t="inlineStr">
        <is>
          <t>16.7%</t>
        </is>
      </c>
    </row>
    <row r="5" ht="30" customHeight="1">
      <c r="A5" s="7" t="inlineStr">
        <is>
          <t>Note: FY2017-2018's own '3.1 Capital ratios' summary table also prints a second, differently-labelled 'Tier 1' row (2.83%/2.57%) that is actually the Tier 2 contribution to the total ratio (94.8/94.8 and 89.8/89.8 divided by RWA respectively), not a second CET1/Tier1 figure - confirmed against those same documents' own COREP row 62 ('Tier 1 as a percentage of total risk exposure amount'), which repeats the Core Tier 1 value exactly. The CET1/Tier1 ratio transcribed here is that COREP figure, not the mislabelled summary-table row.</t>
        </is>
      </c>
    </row>
    <row r="7" ht="364" customHeight="1">
      <c r="A7"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9" ht="409" customHeight="1">
      <c r="A9"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3">
    <mergeCell ref="A5:N5"/>
    <mergeCell ref="A9:N9"/>
    <mergeCell ref="A7:N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Tier 1 Capital</t>
        </is>
      </c>
    </row>
    <row r="2">
      <c r="A2" s="2" t="inlineStr">
        <is>
          <t>USD million</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capital</t>
        </is>
      </c>
      <c r="B4" s="6" t="n">
        <v>328.4</v>
      </c>
      <c r="C4" s="6" t="n">
        <v>322.9</v>
      </c>
      <c r="D4" s="6" t="n">
        <v>311.3</v>
      </c>
      <c r="E4" s="6" t="n">
        <v>295.4</v>
      </c>
      <c r="F4" s="6" t="n">
        <v>293</v>
      </c>
      <c r="G4" s="6" t="n">
        <v>493.9</v>
      </c>
      <c r="H4" s="6" t="n">
        <v>440.9</v>
      </c>
      <c r="I4" s="6" t="n">
        <v>442.8</v>
      </c>
      <c r="J4" s="6" t="n">
        <v>488.8</v>
      </c>
      <c r="K4" s="6" t="n">
        <v>521.3</v>
      </c>
      <c r="L4" s="6" t="n">
        <v>537.6</v>
      </c>
      <c r="M4" s="6" t="n">
        <v>538.8</v>
      </c>
      <c r="N4" s="6" t="n">
        <v>623.8</v>
      </c>
    </row>
    <row r="6" ht="364" customHeight="1">
      <c r="A6"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8" ht="409" customHeight="1">
      <c r="A8"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8:N8"/>
    <mergeCell ref="A6:N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Tier 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ratio</t>
        </is>
      </c>
      <c r="B4" s="6" t="inlineStr">
        <is>
          <t>17.07%</t>
        </is>
      </c>
      <c r="C4" s="6" t="inlineStr">
        <is>
          <t>19.57%</t>
        </is>
      </c>
      <c r="D4" s="6" t="inlineStr">
        <is>
          <t>20.14%</t>
        </is>
      </c>
      <c r="E4" s="6" t="inlineStr">
        <is>
          <t>21.54%</t>
        </is>
      </c>
      <c r="F4" s="6" t="inlineStr">
        <is>
          <t>17.79%</t>
        </is>
      </c>
      <c r="G4" s="6" t="inlineStr">
        <is>
          <t>23.80%</t>
        </is>
      </c>
      <c r="H4" s="6" t="inlineStr">
        <is>
          <t>14.99%</t>
        </is>
      </c>
      <c r="I4" s="6" t="inlineStr">
        <is>
          <t>12.93%</t>
        </is>
      </c>
      <c r="J4" s="6" t="inlineStr">
        <is>
          <t>13.97%</t>
        </is>
      </c>
      <c r="K4" s="6" t="inlineStr">
        <is>
          <t>15.53%</t>
        </is>
      </c>
      <c r="L4" s="6" t="inlineStr">
        <is>
          <t>13.1%</t>
        </is>
      </c>
      <c r="M4" s="6" t="inlineStr">
        <is>
          <t>14.6%</t>
        </is>
      </c>
      <c r="N4" s="6" t="inlineStr">
        <is>
          <t>16.7%</t>
        </is>
      </c>
    </row>
    <row r="5" ht="30" customHeight="1">
      <c r="A5" s="7" t="inlineStr">
        <is>
          <t>Note: See the CET1 Ratio sheet's note on FY2017-2018's mislabelled summary-table row; no Additional Tier 1 capital is disclosed in any year, so Tier 1 = CET1 throughout.</t>
        </is>
      </c>
    </row>
    <row r="7" ht="364" customHeight="1">
      <c r="A7"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9" ht="409" customHeight="1">
      <c r="A9"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3">
    <mergeCell ref="A5:N5"/>
    <mergeCell ref="A9:N9"/>
    <mergeCell ref="A7:N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Total Capital</t>
        </is>
      </c>
    </row>
    <row r="2">
      <c r="A2" s="2" t="inlineStr">
        <is>
          <t>USD million</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t>
        </is>
      </c>
      <c r="B4" s="6" t="n">
        <v>378.4</v>
      </c>
      <c r="C4" s="6" t="n">
        <v>372.9</v>
      </c>
      <c r="D4" s="6" t="n">
        <v>361.3</v>
      </c>
      <c r="E4" s="6" t="n">
        <v>371.9</v>
      </c>
      <c r="F4" s="6" t="n">
        <v>378</v>
      </c>
      <c r="G4" s="6" t="n">
        <v>586.7</v>
      </c>
      <c r="H4" s="6" t="n">
        <v>547.2</v>
      </c>
      <c r="I4" s="6" t="n">
        <v>576.5</v>
      </c>
      <c r="J4" s="6" t="n">
        <v>578.6</v>
      </c>
      <c r="K4" s="6" t="n">
        <v>616.1</v>
      </c>
      <c r="L4" s="6" t="n">
        <v>684.3</v>
      </c>
      <c r="M4" s="6" t="n">
        <v>707</v>
      </c>
      <c r="N4" s="6" t="n">
        <v>814.4</v>
      </c>
    </row>
    <row r="6" ht="364" customHeight="1">
      <c r="A6"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8" ht="409" customHeight="1">
      <c r="A8"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8:N8"/>
    <mergeCell ref="A6:N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Total Capital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 ratio</t>
        </is>
      </c>
      <c r="B4" s="6" t="inlineStr">
        <is>
          <t>19.67%</t>
        </is>
      </c>
      <c r="C4" s="6" t="inlineStr">
        <is>
          <t>22.60%</t>
        </is>
      </c>
      <c r="D4" s="6" t="inlineStr">
        <is>
          <t>23.37%</t>
        </is>
      </c>
      <c r="E4" s="6" t="inlineStr">
        <is>
          <t>27.12%</t>
        </is>
      </c>
      <c r="F4" s="6" t="inlineStr">
        <is>
          <t>22.96%</t>
        </is>
      </c>
      <c r="G4" s="6" t="inlineStr">
        <is>
          <t>28.27%</t>
        </is>
      </c>
      <c r="H4" s="6" t="inlineStr">
        <is>
          <t>18.60%</t>
        </is>
      </c>
      <c r="I4" s="6" t="inlineStr">
        <is>
          <t>16.84%</t>
        </is>
      </c>
      <c r="J4" s="6" t="inlineStr">
        <is>
          <t>16.54%</t>
        </is>
      </c>
      <c r="K4" s="6" t="inlineStr">
        <is>
          <t>18.36%</t>
        </is>
      </c>
      <c r="L4" s="6" t="inlineStr">
        <is>
          <t>16.7%</t>
        </is>
      </c>
      <c r="M4" s="6" t="inlineStr">
        <is>
          <t>19.2%</t>
        </is>
      </c>
      <c r="N4" s="6" t="inlineStr">
        <is>
          <t>21.8%</t>
        </is>
      </c>
    </row>
    <row r="6" ht="364" customHeight="1">
      <c r="A6"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8" ht="409" customHeight="1">
      <c r="A8"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8:N8"/>
    <mergeCell ref="A6:N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ICICI Bank UK Plc — Total RWAs</t>
        </is>
      </c>
    </row>
    <row r="2">
      <c r="A2" s="2" t="inlineStr">
        <is>
          <t>USD million</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row>
    <row r="4">
      <c r="A4" s="6" t="inlineStr">
        <is>
          <t>Total risk-weighted exposure amount (FY2014-FY2016 blank - not disclosed in any edition, see note)</t>
        </is>
      </c>
      <c r="B4" s="6" t="n">
        <v>1923.3</v>
      </c>
      <c r="C4" s="6" t="n">
        <v>1649.7</v>
      </c>
      <c r="D4" s="6" t="n">
        <v>1546.2</v>
      </c>
      <c r="E4" s="6" t="n">
        <v>1371.5</v>
      </c>
      <c r="F4" s="6" t="n">
        <v>1646.7</v>
      </c>
      <c r="G4" s="6" t="n">
        <v>2075.1</v>
      </c>
      <c r="H4" s="6" t="n">
        <v>2941.4</v>
      </c>
      <c r="I4" s="6" t="n">
        <v>3424.3</v>
      </c>
      <c r="J4" s="6" t="n">
        <v>3498.9</v>
      </c>
      <c r="K4" s="6" t="n">
        <v>3356</v>
      </c>
    </row>
    <row r="5" ht="195" customHeight="1">
      <c r="A5" s="7" t="inlineStr">
        <is>
          <t>Note: FY2017-FY2026 are each year's own directly-printed total: UK KM1 row 4 'Total risk-weighted exposure amount' from FY2022 onward, and the transitional own funds template's row 60 'Total risk-weighted assets' for FY2017-FY2021. FY2021's figure was re-sourced on 2026-09-15 from the FY2021 edition's own row 60 and reproduces the value previously carried from the FY2022 comparative exactly. Each of those ten printed totals was cross-checked on 2026-09-16 and is a genuine TOTAL, not a credit-risk subtotal mislabelled as one: that year's own CET1 and total capital divided by it reproduce that year's own printed CET1 and total capital ratios in every case (the only departure anywhere is FY2024, 311.3 / 1,546.2 = 20.13% against a printed 20.14%, i.e. rounding in the one-decimal capital figure), and for FY2021-FY2026, where the UK OV1 template is used, the printed total equals the sum of its own printed credit / counterparty-credit / securitisation / market / operational risk components exactly.
FY2014-FY2016 ARE BLANK BECAUSE NO TOTAL RWA IS DISCLOSED - not because none was looked for. WITHDRAWN 2026-09-16: these three cells previously carried 3,737.5 / 3,685.0 / 4,093.8, which were DERIVED as that year's own printed 'Total Capital Resource requirement under Pillar 1' divided by the CRR Article 92 fixed 8% Pillar 1 minimum. This project transcribes figures from documents and does not compute them, so the derived values have been withdrawn rather than left standing. The FY2014, FY2015 and FY2016 editions (each cover-dated and read in full on 2026-09-16 - see research/RESUME_icici_p3_series.md) contain exactly four capital tables - section 3.1 'Capital ratios', 3.2 'Available capital', 3.3 'Composition of Tier 1 capital', 3.4 'Composition of Tier 2 capital' - plus section 4's 'Pillar 1 capital requirement for various risk types'. None of them is an RWA table, and a full-text search of all three for 'risk-weighted' / 'RWA' / 'risk weighted' / 'exposure amount' returns only narrative prose and the per-credit-quality-step 'Risk weight' columns of the credit-risk exposure tables. No total. The phrase 'Total risk exposure amount (RWAs)' first appears in this Bank's FY2017 edition (Annexure III countercyclical-buffer Table 2) and row 60 'Total risk-weighted assets' likewise first appears in FY2017; the FY2017 edition is single-column and carries no prior-year comparative, so no later edition supplies FY2014-FY2016 either. The Bank's separately-published 'Composition of Regulatory Capital as at March 31, 2014/2015/2016' web disclosures (linked from the same Basel Disclosures index, fetched and read 2026-09-16 - see the source note) were also checked and contain capital only, no RWA and no ratio.
WHAT THOSE EDITIONS DO PRINT, recorded here for traceability and deliberately NOT converted into an RWA figure on any sheet - section 4, 'The following table summarises the Bank's Pillar 1 capital requirement for various risk types', USD million: FY2014 - Credit Risk 282.3, Market Risk 2.9, Operational Risk 13.8, Total Capital Resource requirement under Pillar 1 299.0; FY2015 - Credit Risk 281.8, Market Risk 0.0, Operational Risk 13.0, Total Capital Resource requirement under Pillar 1 294.8; FY2016 - Credit Risk 313.5, Market Risk 0.0, Operational Risk 14.0, Total Capital Resource requirement under Pillar 1 327.5. For completeness: the withdrawn values were arithmetically correct for what they were - 299.0 / 8% = 3,737.5, 294.8 / 8% = 3,685.0, 327.5 / 8% = 4,093.75 - and they reproduce those years' own printed capital ratios to the rounding (FY2014 814.4 / 3,737.5 = 21.79% against a printed 21.8%; FY2015 707.0 / 3,685.0 = 19.19% against 19.2%; FY2016 684.3 / 4,093.8 = 16.72% against 16.7%). They are withdrawn because they were computed, not because they were wrong. An earlier note (corrected 2026-09-15) had additionally misdescribed the method as 'implied from Total capital / Total capital ratio' - a back-solve this workbook never performed; that description is gone along with the values.</t>
        </is>
      </c>
    </row>
    <row r="7" ht="377" customHeight="1">
      <c r="A7"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9" ht="351" customHeight="1">
      <c r="A9"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t>
        </is>
      </c>
    </row>
    <row r="11" ht="195" customHeight="1">
      <c r="A11" s="8" t="inlineStr">
        <is>
          <t>(continued)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4">
    <mergeCell ref="A11:K11"/>
    <mergeCell ref="A5:K5"/>
    <mergeCell ref="A7:K7"/>
    <mergeCell ref="A9:K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RWA Breakdown</t>
        </is>
      </c>
    </row>
    <row r="2">
      <c r="A2" s="2" t="inlineStr">
        <is>
          <t>Bank (standalone), USD million. UK OV1 template - source: official Basel III Pillar 3 Disclosures. FY2014-FY2020 predate this Bank's adoption of the UK OV1 template: those years' Pillar 3 disclosures only break Pillar 1 minimum capital requirement down by risk type (Credit risk / Market risk / Operational risk), not RWA directly - the Credit risk, Market risk and Operational risk rows for FY2014-FY2020 are therefore computed as (that year's own disclosed capital requirement for the risk type) / 8% (CRR Article 92's fixed Pillar 1 minimum ratio), a mechanical unit conversion rather than an estimate; Counterparty credit risk, Securitisation and Amounts-below-thresholds are not broken out at all in those years' disclosures (folded into Credit risk) and are left blank rather than guessed. For FY2017-FY2020 the Total RWA row uses that year's own directly-disclosed 'Total risk-weighted assets' COREP figure, which does not sum exactly to the derived Credit/Market/Operational rows above it (gaps of under 0.6 USD million, i.e. rounding in the underlying capital-requirement figures) - shown explicitly rather than force-reconciled. FY2014-FY2016 HAVE NO TOTAL RWA ROW AT ALL (blank), CHANGED 2026-09-16. Those three cells previously carried 3,737.5 / 3,685.0 / 4,093.8, derived as that year's own printed 'Total Capital Resource requirement under Pillar 1' (FY2014 299.0, FY2015 294.8, FY2016 327.5 USD million) divided by 8%. All three editions were re-read in full on 2026-09-16 and disclose no total RWA anywhere, and no later edition carries a FY2014-FY2016 comparative, so the derived values have been withdrawn rather than left standing - this project transcribes figures, it does not compute them. See the Total RWAs sheet's own note for the full evidence and for the printed capital-requirement figures those editions DO give, which are preserved there. Note that the FY2014-FY2016 Credit/Market/Operational rows above are retained: they are the same documented mechanical (capital requirement / 8%) unit conversion applied uniformly across FY2014-FY2020 on this sheet, each anchored to a specific printed per-risk-type figure, and are captioned as such - unlike the Total row, they are not presented as a headline disclosed metric anywhere else in the workbook. For FY2021-FY2026, where this Bank uses the UK OV1 template directly, the printed Total RWA was verified on 2026-09-16 to equal the sum of its own printed credit / counterparty-credit / securitisation / market / operational risk components exactly; the 'Amounts below thresholds for deduction' row is a memo line already included within Credit risk and is not added again. See source note at bottom.</t>
        </is>
      </c>
    </row>
    <row r="3">
      <c r="A3" s="4" t="inlineStr">
        <is>
          <t>Line item</t>
        </is>
      </c>
      <c r="B3" s="4" t="inlineStr">
        <is>
          <t>FY2026 (USD million)</t>
        </is>
      </c>
      <c r="C3" s="4" t="inlineStr">
        <is>
          <t>FY2025 (USD million)</t>
        </is>
      </c>
      <c r="D3" s="4" t="inlineStr">
        <is>
          <t>FY2024 (USD million)</t>
        </is>
      </c>
      <c r="E3" s="4" t="inlineStr">
        <is>
          <t>FY2023 (USD million)</t>
        </is>
      </c>
      <c r="F3" s="4" t="inlineStr">
        <is>
          <t>FY2022 (USD million)</t>
        </is>
      </c>
      <c r="G3" s="4" t="inlineStr">
        <is>
          <t>FY2021 (USD million)</t>
        </is>
      </c>
      <c r="H3" s="4" t="inlineStr">
        <is>
          <t>FY2020 (USD million)</t>
        </is>
      </c>
      <c r="I3" s="4" t="inlineStr">
        <is>
          <t>FY2019 (USD million)</t>
        </is>
      </c>
      <c r="J3" s="4" t="inlineStr">
        <is>
          <t>FY2018 (USD million)</t>
        </is>
      </c>
      <c r="K3" s="4" t="inlineStr">
        <is>
          <t>FY2017 (USD million)</t>
        </is>
      </c>
      <c r="L3" s="4" t="inlineStr">
        <is>
          <t>FY2016 (USD million)</t>
        </is>
      </c>
      <c r="M3" s="4" t="inlineStr">
        <is>
          <t>FY2015 (USD million)</t>
        </is>
      </c>
      <c r="N3" s="4" t="inlineStr">
        <is>
          <t>FY2014 (USD million)</t>
        </is>
      </c>
    </row>
    <row r="4">
      <c r="A4" s="5" t="inlineStr">
        <is>
          <t>UK OV1: Overview of risk weighted exposure amounts</t>
        </is>
      </c>
      <c r="B4" s="6" t="n"/>
      <c r="C4" s="6" t="n"/>
      <c r="D4" s="6" t="n"/>
      <c r="E4" s="6" t="n"/>
      <c r="F4" s="6" t="n"/>
      <c r="G4" s="6" t="n"/>
      <c r="H4" s="6" t="n"/>
      <c r="I4" s="6" t="n"/>
      <c r="J4" s="6" t="n"/>
      <c r="K4" s="6" t="n"/>
      <c r="L4" s="6" t="n"/>
      <c r="M4" s="6" t="n"/>
      <c r="N4" s="6" t="n"/>
    </row>
    <row r="5">
      <c r="A5" s="6" t="inlineStr">
        <is>
          <t>Credit risk (excluding CCR)</t>
        </is>
      </c>
      <c r="B5" s="6" t="n">
        <v>1747.4</v>
      </c>
      <c r="C5" s="6" t="n">
        <v>1487.3</v>
      </c>
      <c r="D5" s="6" t="n">
        <v>1397.2</v>
      </c>
      <c r="E5" s="6" t="n">
        <v>1221.6</v>
      </c>
      <c r="F5" s="6" t="n">
        <v>1491.1</v>
      </c>
      <c r="G5" s="6" t="n">
        <v>1865.8</v>
      </c>
      <c r="H5" s="6" t="n">
        <v>2788.8</v>
      </c>
      <c r="I5" s="6" t="n">
        <v>3271.3</v>
      </c>
      <c r="J5" s="6" t="n">
        <v>3345</v>
      </c>
      <c r="K5" s="6" t="n">
        <v>3186.3</v>
      </c>
      <c r="L5" s="6" t="n">
        <v>3918.8</v>
      </c>
      <c r="M5" s="6" t="n">
        <v>3522.5</v>
      </c>
      <c r="N5" s="6" t="n">
        <v>3528.8</v>
      </c>
    </row>
    <row r="6">
      <c r="A6" s="6" t="inlineStr">
        <is>
          <t>Counterparty credit risk (CCR)</t>
        </is>
      </c>
      <c r="B6" s="6" t="n">
        <v>15.9</v>
      </c>
      <c r="C6" s="6" t="n">
        <v>16</v>
      </c>
      <c r="D6" s="6" t="n">
        <v>21.5</v>
      </c>
      <c r="E6" s="6" t="n">
        <v>34</v>
      </c>
      <c r="F6" s="6" t="n">
        <v>32.1</v>
      </c>
      <c r="G6" s="6" t="n">
        <v>54.4</v>
      </c>
      <c r="H6" s="6" t="n"/>
      <c r="I6" s="6" t="n"/>
      <c r="J6" s="6" t="n"/>
      <c r="K6" s="6" t="n"/>
      <c r="L6" s="6" t="n"/>
      <c r="M6" s="6" t="n"/>
      <c r="N6" s="6" t="n"/>
    </row>
    <row r="7">
      <c r="A7" s="6" t="inlineStr">
        <is>
          <t>Securitisation exposures in the non-trading book</t>
        </is>
      </c>
      <c r="B7" s="6" t="n">
        <v>0</v>
      </c>
      <c r="C7" s="6" t="n">
        <v>0</v>
      </c>
      <c r="D7" s="6" t="n">
        <v>0</v>
      </c>
      <c r="E7" s="6" t="n">
        <v>0</v>
      </c>
      <c r="F7" s="6" t="n">
        <v>0</v>
      </c>
      <c r="G7" s="6" t="n">
        <v>12.5</v>
      </c>
      <c r="H7" s="6" t="n"/>
      <c r="I7" s="6" t="n"/>
      <c r="J7" s="6" t="n"/>
      <c r="K7" s="6" t="n"/>
      <c r="L7" s="6" t="n"/>
      <c r="M7" s="6" t="n"/>
      <c r="N7" s="6" t="n"/>
    </row>
    <row r="8">
      <c r="A8" s="6" t="inlineStr">
        <is>
          <t>Position, foreign exchange and commodities risk (Market risk)</t>
        </is>
      </c>
      <c r="B8" s="6" t="n">
        <v>0</v>
      </c>
      <c r="C8" s="6" t="n">
        <v>0</v>
      </c>
      <c r="D8" s="6" t="n">
        <v>0</v>
      </c>
      <c r="E8" s="6" t="n">
        <v>0</v>
      </c>
      <c r="F8" s="6" t="n">
        <v>0</v>
      </c>
      <c r="G8" s="6" t="n">
        <v>0</v>
      </c>
      <c r="H8" s="6" t="n">
        <v>0</v>
      </c>
      <c r="I8" s="6" t="n">
        <v>0</v>
      </c>
      <c r="J8" s="6" t="n">
        <v>0</v>
      </c>
      <c r="K8" s="6" t="n">
        <v>0</v>
      </c>
      <c r="L8" s="6" t="n">
        <v>0</v>
      </c>
      <c r="M8" s="6" t="n">
        <v>0</v>
      </c>
      <c r="N8" s="6" t="n">
        <v>36.3</v>
      </c>
    </row>
    <row r="9">
      <c r="A9" s="6" t="inlineStr">
        <is>
          <t>Operational risk</t>
        </is>
      </c>
      <c r="B9" s="6" t="n">
        <v>160</v>
      </c>
      <c r="C9" s="6" t="n">
        <v>146.4</v>
      </c>
      <c r="D9" s="6" t="n">
        <v>127.5</v>
      </c>
      <c r="E9" s="6" t="n">
        <v>115.9</v>
      </c>
      <c r="F9" s="6" t="n">
        <v>123.5</v>
      </c>
      <c r="G9" s="6" t="n">
        <v>142.4</v>
      </c>
      <c r="H9" s="6" t="n">
        <v>152.5</v>
      </c>
      <c r="I9" s="6" t="n">
        <v>152.5</v>
      </c>
      <c r="J9" s="6" t="n">
        <v>153.8</v>
      </c>
      <c r="K9" s="6" t="n">
        <v>170</v>
      </c>
      <c r="L9" s="6" t="n">
        <v>175</v>
      </c>
      <c r="M9" s="6" t="n">
        <v>162.5</v>
      </c>
      <c r="N9" s="6" t="n">
        <v>172.5</v>
      </c>
    </row>
    <row r="10">
      <c r="A10" s="6" t="inlineStr">
        <is>
          <t>Amounts below thresholds for deduction (subject to 250% risk weight)</t>
        </is>
      </c>
      <c r="B10" s="6" t="n">
        <v>5.7</v>
      </c>
      <c r="C10" s="6" t="n">
        <v>4.6</v>
      </c>
      <c r="D10" s="6" t="n">
        <v>15</v>
      </c>
      <c r="E10" s="6" t="n">
        <v>17.6</v>
      </c>
      <c r="F10" s="6" t="n">
        <v>22</v>
      </c>
      <c r="G10" s="6" t="n">
        <v>21.8</v>
      </c>
      <c r="H10" s="6" t="n"/>
      <c r="I10" s="6" t="n"/>
      <c r="J10" s="6" t="n"/>
      <c r="K10" s="6" t="n"/>
      <c r="L10" s="6" t="n"/>
      <c r="M10" s="6" t="n"/>
      <c r="N10" s="6" t="n"/>
    </row>
    <row r="11">
      <c r="A11" s="5" t="inlineStr">
        <is>
          <t>Total RWA (FY2014-FY2016 blank - no total RWA is disclosed in those editions, see subtitle)</t>
        </is>
      </c>
      <c r="B11" s="5" t="n">
        <v>1923.3</v>
      </c>
      <c r="C11" s="5" t="n">
        <v>1649.7</v>
      </c>
      <c r="D11" s="5" t="n">
        <v>1546.2</v>
      </c>
      <c r="E11" s="5" t="n">
        <v>1371.5</v>
      </c>
      <c r="F11" s="5" t="n">
        <v>1646.7</v>
      </c>
      <c r="G11" s="5" t="n">
        <v>2075.1</v>
      </c>
      <c r="H11" s="5" t="n">
        <v>2941.4</v>
      </c>
      <c r="I11" s="5" t="n">
        <v>3424.3</v>
      </c>
      <c r="J11" s="5" t="n">
        <v>3498.9</v>
      </c>
      <c r="K11" s="5" t="n">
        <v>3356</v>
      </c>
      <c r="L11" s="5" t="n"/>
      <c r="M11" s="5" t="n"/>
      <c r="N11" s="5" t="n"/>
    </row>
    <row r="13" ht="390" customHeight="1">
      <c r="A13"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t>
        </is>
      </c>
    </row>
    <row r="15" ht="325" customHeight="1">
      <c r="A15" s="8" t="inlineStr">
        <is>
          <t>(continued)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2">
    <mergeCell ref="A13:N13"/>
    <mergeCell ref="A15:N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ICICI Bank UK Plc — Leverage Ratio</t>
        </is>
      </c>
    </row>
    <row r="2">
      <c r="A2" s="2" t="inlineStr">
        <is>
          <t>USD million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row>
    <row r="4">
      <c r="A4" s="6" t="inlineStr">
        <is>
          <t>UK KM1 basis (FY2022 onward) - Total exposure measure EXCLUDING claims on central banks</t>
        </is>
      </c>
      <c r="B4" s="6" t="n">
        <v>2845.7</v>
      </c>
      <c r="C4" s="6" t="n">
        <v>2276.7</v>
      </c>
      <c r="D4" s="6" t="n">
        <v>2086.8</v>
      </c>
      <c r="E4" s="6" t="n">
        <v>1914.3</v>
      </c>
      <c r="F4" s="6" t="n">
        <v>2085.6</v>
      </c>
      <c r="G4" s="6" t="n"/>
      <c r="H4" s="6" t="n"/>
      <c r="I4" s="6" t="n"/>
      <c r="J4" s="6" t="n"/>
      <c r="K4" s="6" t="n"/>
    </row>
    <row r="5">
      <c r="A5" s="6" t="inlineStr">
        <is>
          <t>UK KM1 basis (FY2022 onward) - Leverage ratio excluding claims on central banks</t>
        </is>
      </c>
      <c r="B5" s="6" t="inlineStr">
        <is>
          <t>11.54%</t>
        </is>
      </c>
      <c r="C5" s="6" t="inlineStr">
        <is>
          <t>14.18%</t>
        </is>
      </c>
      <c r="D5" s="6" t="inlineStr">
        <is>
          <t>14.92%</t>
        </is>
      </c>
      <c r="E5" s="6" t="inlineStr">
        <is>
          <t>15.43%</t>
        </is>
      </c>
      <c r="F5" s="6" t="inlineStr">
        <is>
          <t>14.05%</t>
        </is>
      </c>
      <c r="G5" s="6" t="n"/>
      <c r="H5" s="6" t="n"/>
      <c r="I5" s="6" t="n"/>
      <c r="J5" s="6" t="n"/>
      <c r="K5" s="6" t="n"/>
    </row>
    <row r="6">
      <c r="A6" s="6" t="inlineStr">
        <is>
          <t>CRR LRCom basis (FY2017-FY2021) - Total leverage ratio exposure, INCLUDING claims on central banks</t>
        </is>
      </c>
      <c r="B6" s="6" t="n"/>
      <c r="C6" s="6" t="n"/>
      <c r="D6" s="6" t="n"/>
      <c r="E6" s="6" t="n"/>
      <c r="F6" s="6" t="n"/>
      <c r="G6" s="6" t="n">
        <v>3153.7</v>
      </c>
      <c r="H6" s="6" t="n">
        <v>3747.3</v>
      </c>
      <c r="I6" s="6" t="n">
        <v>4153.1</v>
      </c>
      <c r="J6" s="6" t="n">
        <v>4180.3</v>
      </c>
      <c r="K6" s="6" t="n">
        <v>3731.1</v>
      </c>
    </row>
    <row r="7">
      <c r="A7" s="6" t="inlineStr">
        <is>
          <t>CRR LRCom basis (FY2017-FY2021) - Leverage ratio on that full exposure measure</t>
        </is>
      </c>
      <c r="B7" s="6" t="n"/>
      <c r="C7" s="6" t="n"/>
      <c r="D7" s="6" t="n"/>
      <c r="E7" s="6" t="n"/>
      <c r="F7" s="6" t="n"/>
      <c r="G7" s="6" t="inlineStr">
        <is>
          <t>15.7%</t>
        </is>
      </c>
      <c r="H7" s="6" t="inlineStr">
        <is>
          <t>11.8%</t>
        </is>
      </c>
      <c r="I7" s="6" t="inlineStr">
        <is>
          <t>10.7%</t>
        </is>
      </c>
      <c r="J7" s="6" t="inlineStr">
        <is>
          <t>11.7%</t>
        </is>
      </c>
      <c r="K7" s="6" t="inlineStr">
        <is>
          <t>13.97%</t>
        </is>
      </c>
    </row>
    <row r="8" ht="117" customHeight="1">
      <c r="A8" s="7" t="inlineStr">
        <is>
          <t>Note: BASIS BREAK AT FY2022 - the two pairs of rows above are NOT one series and must not be charted or compared as one. FY2022 onward is the UK KM1 template, rows 13 and 14, which the template itself captions 'Total exposure measure EXCLUDING claims on central banks' and 'Leverage ratio excluding claims on central banks'. FY2017-FY2021 is the earlier CRR leverage disclosure template (Table LRSum line 8 / Table LRCom line 21 'Total leverage ratio exposure', ratio at LRCom line 22), which is the FULL exposure measure with no central-bank exclusion - a materially larger denominator, so the earlier ratios are structurally lower than they would be on the later basis. The Bank marks the break itself: the FY2022 edition leaves the 31 March 2021 comparative blank in KM1 rows 13/14 and explains in its own note (h) that 'At March 31, 2021, the Bank's leverage ratio was 15.66% in accordance with the regulation applicable as at that date' (the FY2021 edition itself prints 15.7% - the same figure to its own rounding). FY2021's figures here are taken from the FY2021 edition's own CRR LRSum/LRCom tables, added 2026-09-15 when that edition was located; they were previously blank because the FY2022 KM1 does not carry them. The leverage ratio disclosure requirement did not yet apply to this Bank for FY2014-FY2016 and no figure appears in those years' Pillar 3 disclosures, so they are left blank rather than estimated; FY2008-FY2013's Basel II disclosures predate the leverage ratio concept entirely. Note also that the Bank states it is not itself in scope of the PRA's 3.25% minimum UK leverage requirement (that applies to LREQ firms with retail deposits of GBP 50bn or more) but manages to that level as a PRA expectation.
FY2014-FY2016 RE-VERIFIED AS AN ENUMERATED ABSENCE (2026-09-16): the FY2014, FY2015 and FY2016 editions were re-read in full and full-text searched for 'leverage'. The word does not appear at all in the FY2014, FY2015 or FY2016 edition - there is no leverage section, no LRSum/LRCom table and no ratio. This Bank's first leverage disclosure is the FY2017 edition's section 10, which opens 'At March 31, 2017, the Bank's leverage ratio was 13.97%'. The three blanks are therefore a confirmed absence, not an unsearched gap, and should not be re-chased.</t>
        </is>
      </c>
    </row>
    <row r="10" ht="377" customHeight="1">
      <c r="A10"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12" ht="351" customHeight="1">
      <c r="A12"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t>
        </is>
      </c>
    </row>
    <row r="14" ht="195" customHeight="1">
      <c r="A14" s="8" t="inlineStr">
        <is>
          <t>(continued)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4">
    <mergeCell ref="A14:K14"/>
    <mergeCell ref="A10:K10"/>
    <mergeCell ref="A12:K12"/>
    <mergeCell ref="A8:K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ICICI Bank UK Plc — LCR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UK KM1 row 17 - 12-month average LCR (simple average of month-end observations over the 12 months preceding year end)</t>
        </is>
      </c>
      <c r="B4" s="6" t="inlineStr">
        <is>
          <t>169.42%</t>
        </is>
      </c>
      <c r="C4" s="6" t="inlineStr">
        <is>
          <t>190.08%</t>
        </is>
      </c>
      <c r="D4" s="6" t="inlineStr">
        <is>
          <t>240.20%</t>
        </is>
      </c>
      <c r="E4" s="6" t="inlineStr">
        <is>
          <t>226.83%</t>
        </is>
      </c>
      <c r="F4" s="6" t="inlineStr">
        <is>
          <t>226.90%</t>
        </is>
      </c>
      <c r="G4" s="6" t="n"/>
      <c r="H4" s="6" t="n"/>
      <c r="I4" s="6" t="n"/>
      <c r="J4" s="6" t="n"/>
    </row>
    <row r="5">
      <c r="A5" s="6" t="inlineStr">
        <is>
          <t>Point-in-time LCR at 31 March, as stated in each year's own disclosure narrative</t>
        </is>
      </c>
      <c r="B5" s="6" t="inlineStr">
        <is>
          <t>171.83%</t>
        </is>
      </c>
      <c r="C5" s="6" t="inlineStr">
        <is>
          <t>216.84%</t>
        </is>
      </c>
      <c r="D5" s="6" t="inlineStr">
        <is>
          <t>221.17%</t>
        </is>
      </c>
      <c r="E5" s="6" t="inlineStr">
        <is>
          <t>346.1%</t>
        </is>
      </c>
      <c r="F5" s="6" t="inlineStr">
        <is>
          <t>245.23%</t>
        </is>
      </c>
      <c r="G5" s="6" t="inlineStr">
        <is>
          <t>329.5%</t>
        </is>
      </c>
      <c r="H5" s="6" t="inlineStr">
        <is>
          <t>183.3%</t>
        </is>
      </c>
      <c r="I5" s="6" t="inlineStr">
        <is>
          <t>225.0%</t>
        </is>
      </c>
      <c r="J5" s="6" t="inlineStr">
        <is>
          <t>203.9%</t>
        </is>
      </c>
    </row>
    <row r="6" ht="117" customHeight="1">
      <c r="A6" s="7" t="inlineStr">
        <is>
          <t>Note: TWO DIFFERENT MEASURES, SHOWN SEPARATELY - do not merge. Every edition from FY2022 onward prints both, and they differ materially (FY2022: 226.90% average vs 245.23% point-in-time; FY2023: 226.83% vs 346.1%). The average row is UK KM1 row 17, which each edition's own footnote defines as 'computed using the liquidity balances which are calculated as the simple averages of month end observations over the 12 months preceding the end of the year'. The point-in-time row is the figure each edition states in prose - 'The LCR of the Bank as at March 31, XXXX was ...' (FY2018-FY2021 in the liquidity-risk section, FY2022 onward in the KM1 footnote). FY2018-FY2021 have no average figure at all because the UK KM1 template did not yet apply; they were previously sitting on a single undifferentiated 'Liquidity coverage ratio' row alongside FY2022+ averages, and were moved to the point-in-time row on 2026-09-15. FY2021's 329.5% comes from the FY2021 edition's own liquidity-risk section (the FY2022 edition's footnote independently confirms it as 329.48%); it was previously blank because the FY2022 KM1 leaves the 31 March 2021 comparative empty in rows 15-17. FY2023's 346.1% is that year's own edition's figure; the FY2024 edition restates the same date to 346.08% - each year's own edition is used, per this workbook's standing convention. The Bank has maintained an LCR since October 1, 2015 per its own disclosures, but published no numeric LCR before FY2018, so FY2014-FY2017 are blank rather than estimated; FY2008-FY2013's Basel II disclosures predate the LCR entirely.
FY2014-FY2017 RE-VERIFIED AS AN ENUMERATED ABSENCE (2026-09-16): all four editions were re-read in full and full-text searched for 'LCR' and 'liquidity coverage'. FY2014 and FY2015 contain neither term at all. FY2016 and FY2017 each contain exactly one mention, in identical prose in their liquidity-risk sections - 'Additionally, from October 1, 2015 the Bank maintains Liquidity Coverage Ratio (LCR) as stipulated by the PRA' - with NO number attached, in the narrative or anywhere else in either document. So the requirement demonstrably applied to this Bank from October 2015 while the ratio itself went unpublished until FY2018; the blanks are a confirmed absence of a figure, not an absence of the requirement, and not an unsearched gap.</t>
        </is>
      </c>
    </row>
    <row r="8" ht="377" customHeight="1">
      <c r="A8"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10" ht="364" customHeight="1">
      <c r="A10"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t>
        </is>
      </c>
    </row>
    <row r="12" ht="195" customHeight="1">
      <c r="A12" s="8" t="inlineStr">
        <is>
          <t>(continued)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4">
    <mergeCell ref="A6:J6"/>
    <mergeCell ref="A12:J12"/>
    <mergeCell ref="A10:J10"/>
    <mergeCell ref="A8:J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NSFR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UK KM1 row 20 - four-quarter average NSFR (simple average of the latest and three previous quarters)</t>
        </is>
      </c>
      <c r="B4" s="6" t="inlineStr">
        <is>
          <t>136.53%</t>
        </is>
      </c>
      <c r="C4" s="6" t="inlineStr">
        <is>
          <t>151.03%</t>
        </is>
      </c>
      <c r="D4" s="6" t="inlineStr">
        <is>
          <t>159.20%</t>
        </is>
      </c>
      <c r="E4" s="6" t="inlineStr">
        <is>
          <t>147.72%</t>
        </is>
      </c>
      <c r="F4" s="6" t="inlineStr">
        <is>
          <t>Not computed - first year of the requirement</t>
        </is>
      </c>
      <c r="G4" s="6" t="inlineStr">
        <is>
          <t>Not applicable – UK NSFR requirement began 1 Jan 2022 (FY2023 Pillar 3 note (h)); this year's Pillar 3 says NSFR is 'yet to be introduced as a regulatory requirement' and gives no figure</t>
        </is>
      </c>
      <c r="H4" s="6" t="inlineStr">
        <is>
          <t>Not applicable – UK NSFR requirement began 1 Jan 2022 (FY2023 Pillar 3 note (h)); this year's Pillar 3 says NSFR is 'yet to be introduced as a regulatory requirement' and gives no figure</t>
        </is>
      </c>
      <c r="I4" s="6" t="inlineStr">
        <is>
          <t>Not applicable – UK NSFR requirement began 1 Jan 2022 (FY2023 Pillar 3 note (h)); this year's Pillar 3 says NSFR is 'yet to be introduced as a regulatory requirement' and gives no figure</t>
        </is>
      </c>
      <c r="J4" s="6" t="inlineStr">
        <is>
          <t>Not applicable – UK NSFR requirement began 1 Jan 2022 (FY2023 Pillar 3 note (h)); this year's Pillar 3 says NSFR is 'yet to be introduced as a regulatory requirement' and gives no figure</t>
        </is>
      </c>
      <c r="K4" s="6" t="inlineStr">
        <is>
          <t>Not applicable – UK NSFR requirement began 1 Jan 2022 (FY2023 Pillar 3 note (h)); this year's Pillar 3 edition contains no NSFR (full-text search 2026-09-19)</t>
        </is>
      </c>
      <c r="L4" s="6" t="inlineStr">
        <is>
          <t>Not applicable – UK NSFR requirement began 1 Jan 2022 (FY2023 Pillar 3 note (h)); this year's Pillar 3 edition contains no NSFR (full-text search 2026-09-19)</t>
        </is>
      </c>
      <c r="M4" s="6" t="inlineStr">
        <is>
          <t>Not applicable – UK NSFR requirement began 1 Jan 2022 (FY2023 Pillar 3 note (h)); this year's Pillar 3 edition contains no NSFR (full-text search 2026-09-19)</t>
        </is>
      </c>
      <c r="N4" s="6" t="inlineStr">
        <is>
          <t>Not applicable – UK NSFR requirement began 1 Jan 2022 (FY2023 Pillar 3 note (h)); this year's Pillar 3 edition contains no NSFR (full-text search 2026-09-19)</t>
        </is>
      </c>
    </row>
    <row r="5">
      <c r="A5" s="6" t="inlineStr">
        <is>
          <t>Point-in-time NSFR at 31 March, as stated in each year's own disclosure</t>
        </is>
      </c>
      <c r="B5" s="6" t="inlineStr">
        <is>
          <t>132.18%</t>
        </is>
      </c>
      <c r="C5" s="6" t="inlineStr">
        <is>
          <t>147.50%</t>
        </is>
      </c>
      <c r="D5" s="6" t="inlineStr">
        <is>
          <t>152.71%</t>
        </is>
      </c>
      <c r="E5" s="6" t="inlineStr">
        <is>
          <t>169.72%</t>
        </is>
      </c>
      <c r="F5" s="6" t="inlineStr">
        <is>
          <t>141.69%</t>
        </is>
      </c>
      <c r="G5" s="6" t="inlineStr">
        <is>
          <t>Not applicable – UK NSFR requirement began 1 Jan 2022 (FY2023 Pillar 3 note (h)); this year's Pillar 3 says NSFR is 'yet to be introduced as a regulatory requirement' and gives no figure</t>
        </is>
      </c>
      <c r="H5" s="6" t="inlineStr">
        <is>
          <t>Not applicable – UK NSFR requirement began 1 Jan 2022 (FY2023 Pillar 3 note (h)); this year's Pillar 3 says NSFR is 'yet to be introduced as a regulatory requirement' and gives no figure</t>
        </is>
      </c>
      <c r="I5" s="6" t="inlineStr">
        <is>
          <t>Not applicable – UK NSFR requirement began 1 Jan 2022 (FY2023 Pillar 3 note (h)); this year's Pillar 3 says NSFR is 'yet to be introduced as a regulatory requirement' and gives no figure</t>
        </is>
      </c>
      <c r="J5" s="6" t="inlineStr">
        <is>
          <t>Not applicable – UK NSFR requirement began 1 Jan 2022 (FY2023 Pillar 3 note (h)); this year's Pillar 3 says NSFR is 'yet to be introduced as a regulatory requirement' and gives no figure</t>
        </is>
      </c>
      <c r="K5" s="6" t="inlineStr">
        <is>
          <t>Not applicable – UK NSFR requirement began 1 Jan 2022 (FY2023 Pillar 3 note (h)); this year's Pillar 3 edition contains no NSFR (full-text search 2026-09-19)</t>
        </is>
      </c>
      <c r="L5" s="6" t="inlineStr">
        <is>
          <t>Not applicable – UK NSFR requirement began 1 Jan 2022 (FY2023 Pillar 3 note (h)); this year's Pillar 3 edition contains no NSFR (full-text search 2026-09-19)</t>
        </is>
      </c>
      <c r="M5" s="6" t="inlineStr">
        <is>
          <t>Not applicable – UK NSFR requirement began 1 Jan 2022 (FY2023 Pillar 3 note (h)); this year's Pillar 3 edition contains no NSFR (full-text search 2026-09-19)</t>
        </is>
      </c>
      <c r="N5" s="6" t="inlineStr">
        <is>
          <t>Not applicable – UK NSFR requirement began 1 Jan 2022 (FY2023 Pillar 3 note (h)); this year's Pillar 3 edition contains no NSFR (full-text search 2026-09-19)</t>
        </is>
      </c>
    </row>
    <row r="6" ht="65" customHeight="1">
      <c r="A6" s="7" t="inlineStr">
        <is>
          <t>Note: FY2014-FY2021 ARE 'NOT APPLICABLE', NOT MISSING. The PRA introduced the NSFR framework in the UK with effect from 1 January 2022; before that there was no UK NSFR requirement and the Bank published no figure. Its own FY2018-FY2021 editions say it 'tracks its Net Stable Funding ratio (NSFR), though it is yet to be introduced as a regulatory requirement' in the UK. These years are marked explicitly so the gap is not re-chased. FY2008-FY2013's Basel II disclosures predate the concept entirely and are outside this sheet's year range.
BASIS BREAK AT FY2023, NOT AT FY2022. FY2022's KM1 figure of 141.69% is NOT an average: that edition's own note (g) says 'The NSFR ratio in the above table is computed as at March 31, 2022 in line with this regulation', and the FY2023 edition's note (h) confirms 'As the NSFR requirement became applicable from January 1, 2022, the average for the previous year (FY 2022) was not computed'. So 141.69% sits on the point-in-time row and the average row starts at FY2023. From FY2023 each edition's own note defines the KM1 figure as 'the simple averages of four data sets covering the latest and the three previous quarters during the year' and separately states the point-in-time figure ('The NSFR of the Bank as at March 31, XXXX was ...'). The two differ materially - FY2023 147.72% average vs 169.72% spot, FY2026 136.53% vs 132.18% - and must not be merged. The point-in-time row was added 2026-09-15.</t>
        </is>
      </c>
    </row>
    <row r="8" ht="364" customHeight="1">
      <c r="A8"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10" ht="409" customHeight="1">
      <c r="A10"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3">
    <mergeCell ref="A8:N8"/>
    <mergeCell ref="A6:N6"/>
    <mergeCell ref="A10:N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ICICI Bank UK Plc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MREL Ratio</t>
        </is>
      </c>
      <c r="B4" s="6" t="inlineStr">
        <is>
          <t>Not published – no MREL figure in any Pillar 3 edition FY2008-FY2026 (all 19 full-text searched 2026-09-16; FY2014-FY2026 re-searched 2026-09-19, zero 'MREL')</t>
        </is>
      </c>
      <c r="C4" s="6" t="inlineStr">
        <is>
          <t>Not published – no MREL figure in any Pillar 3 edition FY2008-FY2026 (all 19 full-text searched 2026-09-16; FY2014-FY2026 re-searched 2026-09-19, zero 'MREL')</t>
        </is>
      </c>
      <c r="D4" s="6" t="inlineStr">
        <is>
          <t>Not published – no MREL figure in any Pillar 3 edition FY2008-FY2026 (all 19 full-text searched 2026-09-16; FY2014-FY2026 re-searched 2026-09-19, zero 'MREL')</t>
        </is>
      </c>
      <c r="E4" s="6" t="inlineStr">
        <is>
          <t>Not published – no MREL figure in any Pillar 3 edition FY2008-FY2026 (all 19 full-text searched 2026-09-16; FY2014-FY2026 re-searched 2026-09-19, zero 'MREL')</t>
        </is>
      </c>
      <c r="F4" s="6" t="inlineStr">
        <is>
          <t>Not published – no MREL figure in any Pillar 3 edition FY2008-FY2026 (all 19 full-text searched 2026-09-16; FY2014-FY2026 re-searched 2026-09-19, zero 'MREL')</t>
        </is>
      </c>
      <c r="G4" s="6" t="inlineStr">
        <is>
          <t>Not published – no MREL figure in any Pillar 3 edition FY2008-FY2026 (all 19 full-text searched 2026-09-16; FY2014-FY2026 re-searched 2026-09-19, zero 'MREL')</t>
        </is>
      </c>
      <c r="H4" s="6" t="inlineStr">
        <is>
          <t>Not published – no MREL figure in any Pillar 3 edition FY2008-FY2026 (all 19 full-text searched 2026-09-16; FY2014-FY2026 re-searched 2026-09-19, zero 'MREL')</t>
        </is>
      </c>
      <c r="I4" s="6" t="inlineStr">
        <is>
          <t>Not published – no MREL figure in any Pillar 3 edition FY2008-FY2026 (all 19 full-text searched 2026-09-16; FY2014-FY2026 re-searched 2026-09-19, zero 'MREL')</t>
        </is>
      </c>
      <c r="J4" s="6" t="inlineStr">
        <is>
          <t>Not published – no MREL figure in any Pillar 3 edition FY2008-FY2026 (all 19 full-text searched 2026-09-16; FY2014-FY2026 re-searched 2026-09-19, zero 'MREL')</t>
        </is>
      </c>
      <c r="K4" s="6" t="inlineStr">
        <is>
          <t>Not published – no MREL figure in any Pillar 3 edition FY2008-FY2026 (all 19 full-text searched 2026-09-16; FY2014-FY2026 re-searched 2026-09-19, zero 'MREL')</t>
        </is>
      </c>
      <c r="L4" s="6" t="inlineStr">
        <is>
          <t>Not published – no MREL figure in any Pillar 3 edition FY2008-FY2026 (all 19 full-text searched 2026-09-16; FY2014-FY2026 re-searched 2026-09-19, zero 'MREL')</t>
        </is>
      </c>
      <c r="M4" s="6" t="inlineStr">
        <is>
          <t>Not published – no MREL figure in any Pillar 3 edition FY2008-FY2026 (all 19 full-text searched 2026-09-16; FY2014-FY2026 re-searched 2026-09-19, zero 'MREL')</t>
        </is>
      </c>
      <c r="N4" s="6" t="inlineStr">
        <is>
          <t>Not published – no MREL figure in any Pillar 3 edition FY2008-FY2026 (all 19 full-text searched 2026-09-16; FY2014-FY2026 re-searched 2026-09-19, zero 'MREL')</t>
        </is>
      </c>
    </row>
    <row r="5" ht="39" customHeight="1">
      <c r="A5" s="7" t="inlineStr">
        <is>
          <t>Note: No MREL ratio appears in the official ICICI Bank UK Basel disclosures; no figure has been inferred. ENUMERATED ABSENCE, NOT AN UNSEARCHED GAP (2026-09-16): all 19 Pillar 3 editions the Bank has ever published - FY2008 through FY2026, every one of them downloaded and full-text searched - were searched for 'MREL', 'minimum requirement for own funds and eligible liabilities' and 'loss-absorbing capacity'. There is exactly one hit across the entire 19-document series, and it is not an MREL disclosure: the FY2017 edition's leverage-risk narrative uses the phrase 'loss absorbing capacity in times of a stress' in describing why leverage risk is managed. No MREL requirement, ratio, or eligible-liabilities figure is disclosed in any year. This is consistent with the Bank's size and resolution strategy - the Bank states it is not in scope of the PRA's LREQ leverage regime either - but the point here is only that the documents contain no figure to transcribe.</t>
        </is>
      </c>
    </row>
    <row r="7" ht="377" customHeight="1">
      <c r="A7" s="8" t="inlineStr">
        <is>
          <t>Sources - ICICI Bank UK Plc's own Basel Pillar 3 disclosures (standalone Bank basis, USD million). Every year FY2008-FY2026 now cites that year's OWN edition, read directly; no year relies on a later edition's comparative column. Two different templates are in play and are labelled row by row where they differ - the UK KM1 Key Metrics template (FY2022 onward) and the pre-KM1 CRR/Basel III disclosure (FY2014-FY2021):
FY2026: official ICICI Bank UK Pillar 3 disclosure, UK KM1 Key Metrics template, pp.7-8 - https://www.icicibank.co.uk/content/dam/icicibank-revamp/uk/doc/basel-pillar-3-disclosures-FY2026.pdf
FY2025: official ICICI Bank UK Pillar 3 disclosure, UK KM1 Key Metrics template, pp.7-8 - https://www.icicibank.co.uk/content/dam/icicibank/icici-assets/uk/basel-pillar-3-disclosures-FY2024-25.pdf
FY2024: official ICICI Bank UK Pillar 3 disclosure, UK KM1 Key Metrics template, pp.7-8 - https://www.icicibank.co.uk/content/dam/icicibank/india/managed-assets/docs/pdf/basel-pillar-3-disclosures-FY2023-24.pdf
FY2023: official ICICI Bank UK Pillar 3 disclosure, UK KM1 Key Metrics template, pp.7-8 - https://www.icicibank.co.uk/content/dam/icicibank/icici-assets/uk/icici-bank-uk-plc-pillar-3-disclosures-FY2022-23.pdf
FY2022: official ICICI Bank UK Pillar 3 disclosure, UK KM1 Key Metrics template, pp.7-8 - https://www.icicibank.co.uk/content/dam/icicibank/icici-assets/uk/ICICI-Bank-UK-Plc-Pillar3-disclosures-FY2021-22.pdf
FY2021: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https://www.icicibank.co.uk/content/dam/icicibank/icici-assets/uk/ICICI-Bank-UK-Plc-Pillar3-disclosures-FY2020-21.pdf
FY2020: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https://www.icicibank.co.uk/content/dam/icicibank/icici-assets/uk/ICICI_Bank_UK_Pillar3_disclosures_FY2019-20.pdf
FY2019: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https://www.icicibank.co.uk/content/dam/icicibank/icici-assets/uk/ICICI_Bank_UK_Pillar3_disclosures_FY2018-19.pdf
FY2018: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https://www.icicibank.co.uk/content/dam/icicibank/icici-assets/uk/basel3-disclosures-FY17-18.pdf
FY2017: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https://www.icicibank.co.uk/content/dam/icicibank/icici-assets/uk/basel3-disclosures-FY16-17.pdf
FY2016: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https://www.icicibank.co.uk/content/dam/icicibank/icici-assets/uk/basel3-disclosures-FY15-16.pdf
FY2015: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https://www.icicibank.co.uk/content/dam/icicibank/icici-assets/uk/basel3-disclosures-FY14-15.pdf
FY2014: official ICICI Bank UK Pillar 3 disclosure (pre-KM1 CRR/Basel III format: section 3 'Capital resources' / Annexure I transitional own funds template, section 10 'Leverage ratio' CRR LRSum+LRCom tables, and the liquidity-risk section's LCR narrative) - https://www.icicibank.co.uk/content/dam/icicibank/icici-assets/uk/disclosures2013-14.pdf
FY2013: Basel II edition - published and read, but discloses no key metric. See the Basel II note below. https://www.icicibank.co.uk/content/dam/icicibank/icici-assets/uk/disclosures2012-13.pdf
FY2012: Basel II edition - published and read, but discloses no key metric. See the Basel II note below. https://www.icicibank.co.uk/content/dam/icicibank/icici-assets/uk/basel2_disclosures_March31_11.pdf
FY2011: Basel II edition - published and read, but discloses no key metric. See the Basel II note below. https://www.icicibank.co.uk/content/dam/icicibank/icici-assets/uk/basel2_disclosures_FY10_11.pdf
FY2010: Basel II edition - published and read, but discloses no key metric. See the Basel II note below. https://www.icicibank.co.uk/content/dam/icicibank/icici-assets/uk/basel2_disclosures_FY09_10.pdf
FY2009: Basel II edition - published and read, but discloses no key metric. See the Basel II note below. https://www.icicibank.co.uk/content/dam/icicibank/icici-assets/uk/Basel_II_p3_Disclosure_Statement.pdf
FY2008: Basel II edition - published and read, but discloses no key metric. See the Basel II note below. https://www.icicibank.co.uk/content/dam/icicibank/icici-assets/uk/basel2_disclosures_FY2008.pdf</t>
        </is>
      </c>
    </row>
    <row r="9" ht="403" customHeight="1">
      <c r="A9" s="8" t="inlineStr">
        <is>
          <t>(continued)
FY2021 SOURCE UPGRADE (2026-09-15): FY2021 previously relied on the 31 March 2021 comparative column of the FY2022 edition. Its own FY2021 edition has since been located and read, and it reproduces every figure already carried here exactly - CET1 493.9, Tier 1 493.9, Total capital 586.7, Total RWA 2,075.1, CET1/Tier 1 ratio 23.80%, total capital ratio 28.27% (Annexure I transitional own funds template rows 59-63 and LRCom row 20). The same document's 31 March 2020 comparatives (440.9 / 547.2 / 2,941.4 / 14.99% / 18.60%) likewise reproduce this workbook's FY2020 figures exactly. No restatement in either direction. The upgrade additionally supplies FY2021's leverage and LCR figures, which the FY2022 KM1 had left blank - see those sheets' own basis notes.
FULL-SERIES VERIFICATION (2026-09-16). The Bank's Basel Disclosures index (https://www.icicibank.co.uk/personal/basel-disclosures) was re-enumerated in full: it carries 27 PDF links, of which 19 are the Pillar 3 editions cited above (the other 8 are four Remuneration Policy Disclosures, plus REP020, a Climate Change statement, an Anti Money Laundering questionnaire and a LIBOR transition FAQ - none of which contains a key metric). All 27 were re-fetched and returned HTTP 200 with Content-Type application/pdf, %PDF magic bytes and a real pdfinfo page count - no 401/403/429/503 and no soft-404 - and the 19 Pillar 3 editions matched their previously-held copies byte-for-byte on size. Page counts, oldest to newest: 10, 10, 10, 10, 10, 10, 21, 22, 26, 44, 43, 46, 57, 59, 65, 69, 63, 64, 64. Every URL cited above is therefore a LIVE, verified link; no archive or fallback URL is needed for any of them, and none has been removed.
EVERY EDITION IS DATED FROM ITS OWN COVER PAGE, NOT FROM ITS FILENAME AND NOT FROM THE INDEX LABEL, because for this Bank the three disagree. Two confirmed disagreements: (1) `basel2_disclosures_March31_11.pdf` - the FILENAME IS WRONG. Its cover reads 'Basel II - Pillar 3 disclosures for the year ended March 31, 2012', and the index label agrees ('for 2011- 2012'); only the filename says 2011. The genuine FY2011 edition is the separate file `basel2_disclosures_FY10_11.pdf`, whose cover reads 'year ended 31 March 2011'. This workbook maps them accordingly. (2) `disclosures2013-14.pdf` - the INDEX LABEL IS WRONG ON REGIME. The index calls it 'Basel II Pillar 3 Disclosures for 2013-2014', but the document's own cover and every page's running head read 'Basel III - Pillar 3 Disclosures / 31 March 2014', and its section 2 describes implementing CRD IV from January 1, 2014. The period (year ended 31 March 2014) is right; the regime label is not. FY2014 is this Bank's FIRST CRD IV year and is treated as such throughout this workbook - it is NOT grouped with the Basel II years. Every other edition's filename, index label and cover agree with one another.
ENTITY RE-CONFIRMED ON ALL 19: each opens "ICICI Bank UK PLC ('the Bank') ... a wholly owned subsidiary of ICICI Bank Limited" and states the disclosures are prepared for ICICI Bank UK PLC, expressly distinguishing itself from the parent's own consolidated disclosures. No ICICI Bank Limited (parent) figure enters any sheet. One hosting-path artefact worth recording so it is not mistaken for a parent-entity document: the FY2024 edition is served from an `/content/dam/icicibank/india/managed-assets/...` path, but the document itself is the UK entity's, verified on its own cover and Overview section.
PRINTED-TOTAL SANITY CHECK ON EVERY DISCLOSED RWA. For each of FY2017-FY2026, that year's own CET1 and total capital divided by that year's own printed total RWA reproduce that year's own printed CET1 and total capital ratios, confirming the printed total is a genuine total and not a credit-risk subtotal mislabelled as one. The single departure is FY2024 (311.3 / 1,546.2 = 20.13% against a printed 20.14%), which is rounding in the one-decimal-place capital figure, not a basis difference. For FY2021-FY2026 the printed total additionally equals the exact sum of its own printed UK OV1 components.
SECOND, NON-PDF SOURCE CHECKED (2026-09-16) - 'Composition of Regulatory Capital' web disclosures. The same Basel Disclosures index also links ten HTML pages (not PDFs, so they are easily missed when enumerating the index's PDF links), each titled 'Disclosure: Composition of Regulatory Capital as at March 31, YYYY' and presented in USD'000. All ten were fetched on 2026-09-16 (HTTP 200, text/html) and read. They corroborate this workbook's capital figures from an independent source: FY2014 Total Tier one capital after deductions 495,095 + 89,759 + 50,000 - 11,061 = 623,794 (workbook 623.8) and Tier one plus tier two after deductions 814,419 (workbook 814.4); FY2015 538,819 (538.8) and 707,047 (707.0); FY2016 537,633 (537.6) and 684,316 (684.3). They contain NO risk-weighted assets, NO risk-weighted exposure amount and NO capital ratio of any kind, so they do not and cannot supply the FY2014-FY2016 total RWA. Note the difference in vintage terminology: these pages use the pre-CRD IV 'Core Tier one / Upper tier two / Lower tier two' captions even for FY2014-FY2016, whereas the corresponding Pillar 3 editions use CRD IV captions for the same amounts; no figure has been mapped across that caption difference beyond the totals above, which are identical either way. URLs: FY2019 - https://www.icicibank.co.uk/personal/basel-capital-resource-popup-march2019; FY2018 - https://www.icicibank.co.uk/personal/basel-capital-resource-popup-march2018; FY2017 - https://www.icicibank.co.uk/personal/basel-capital-resource-popup-march2017; FY2016 - https://www.icicibank.co.uk/personal/basel-capital-resource-popup-march2016; FY2015 - https://www.icicibank.co.uk/personal/basel_capital_resource_popup_march2015; FY2014 - https://www.icicibank.co.uk/personal/basel_capital_resource_popup_march2014; FY2013 - https://www.icicibank.co.uk/personal/basel_capital_resource_popup_march2013; FY2012 - https://www.icicibank.co.uk/personal/basel_capital_resource_popup_march2012; FY2011 - https://www.icicibank.co.uk/personal/basel_capital_resource_popup_march2011; FY2010 - https://www.icicibank.co.uk/personal/basel_capital_resource_popup.
FY2008-FY2013 - BASEL II ERA, KEY METRICS NOT DISCLOSED (enumerated, not merely unfound). The Bank published an annual Pillar 3 disclosure for every one of these years and all six were downloaded, cover-date-verified and read in full on 2026-09-15. They are short (10 pages each) BIPRU Chapter 11 / Basel II documents, a different regulatory regime from the CRR / Basel III disclosures used for FY2014 onward, and they contain NO capital resources table, NO Tier 1 / Tier 2 / total capital figure, NO capital ratio, NO total risk-weighted assets, NO leverage ratio, NO LCR and NO NSFR. Their only capital content is a table captioned 'the Bank's Pillar 1 capital requirement by each of the standardised credit risk exposure classes' - credit risk ONLY, with no operational-risk or market-risk capital requirement anywhere in the document. Those printed credit-risk Pillar 1 capital requirement totals are, in USD million: FY2013 241.69, FY2012 260.31, FY2011 402.24, FY2010 459.49, FY2009 426.62, FY2008 335.02. They are recorded here for traceability and are deliberately NOT converted to an RWA figure. Two independent reasons: this workbook does not compute figures at all (as of 2026-09-16 the FY2014-FY2016 Total RWAs, which had been derived that way, were withdrawn - see the Total RWAs sheet's note); and even if it did, these documents disclose no operational-risk and no market-risk capital requirement, so a credit-risk-only conversion would silently understate RWA by the two missing components. No key-metric cell is therefore filled for FY2008-FY2013, and none can be from Pillar 3. Documents (dated from each cover page, NOT from the filename - `basel2_disclosures_March31_11.pdf` is the year ended March 31, 2012, not 2011): FY2013 - https://www.icicibank.co.uk/content/dam/icicibank/icici-assets/uk/disclosures2012-13.pdf; FY2012 - https://www.icicibank.co.uk/content/dam/icicibank/icici-assets/uk/basel2_disclosures_March31_11.pdf; FY2011 - https://www.icicibank.co.uk/content/dam/icicibank/icici-assets/uk/basel2_disclosures_FY10_11.pdf; FY2010 - https://www.icicibank.co.uk/content/dam/icicibank/icici-assets/uk/basel2_disclosures_FY09_10.pdf; FY2009 - https://www.icicibank.co.uk/content/dam/icicibank/icici-assets/uk/Basel_II_p3_Disclosure_Statement.pdf; FY2008 - https://www.icicibank.co.uk/content/dam/icicibank/icici-assets/uk/basel2_disclosures_FY2008.pdf. Entity confirmed on each: every one opens "ICICI Bank UK PLC ('the Bank') ... a wholly owned subsidiary of ICICI Bank Limited", states "The disclosures have been prepared for ICICI Bank UK PLC", and expressly distinguishes itself from "the consolidated Basel II - Pillar 3 Disclosures made by ICICI Bank Limited ('the Parent Bank')" - no parent-group figure is present in any of them.</t>
        </is>
      </c>
    </row>
    <row r="11" ht="150" customHeight="1">
      <c r="A11" s="8" t="inlineStr">
        <is>
          <t>(continued)
ENTITY NOTE: ICICI Bank UK Plc (Companies House 04663024, FRN 223268, LEI 2138002XB6T14IGKGU43) is the UK-incorporated PRA-authorised bank entity. Companies House confirms it is an active public limited company, incorporated 11 February 2003, with accounts filed at Companies House through 31 March 2025; the FY2026 (year ended 31 March 2026) Annual Report and Pillar 3 disclosure are published on the Bank's own website and were used for FY2026, ahead of that year's Companies House filing. The official Basel disclosures identify the reporting entity as ICICI Bank UK PLC and present the UK KM1 data on a standalone Bank basis in USD millions. No parent-group figures have been substituted.</t>
        </is>
      </c>
    </row>
  </sheetData>
  <mergeCells count="4">
    <mergeCell ref="A5:N5"/>
    <mergeCell ref="A9:N9"/>
    <mergeCell ref="A11:N11"/>
    <mergeCell ref="A7:N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2026-10-10T15:08:31Z</dcterms:created>
  <dcterms:modified xmlns:dcterms="http://purl.org/dc/terms/" xmlns:xsi="http://www.w3.org/2001/XMLSchema-instance" xsi:type="dcterms:W3CDTF">2026-10-10T15:08:31Z</dcterms:modified>
</cp:coreProperties>
</file>