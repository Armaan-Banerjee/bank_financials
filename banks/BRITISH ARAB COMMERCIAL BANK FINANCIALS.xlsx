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E7C9E"/>
        <bgColor rgb="000E7C9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'Overview'!BI23</f>
            </strRef>
          </tx>
          <spPr>
            <a:ln xmlns:a="http://schemas.openxmlformats.org/drawingml/2006/main">
              <a:prstDash val="solid"/>
            </a:ln>
          </spPr>
          <cat>
            <numRef>
              <f>'Overview'!$BJ$22:$BU$22</f>
            </numRef>
          </cat>
          <val>
            <numRef>
              <f>'Overview'!$BJ$23:$BU$23</f>
            </numRef>
          </val>
        </ser>
        <ser>
          <idx val="1"/>
          <order val="1"/>
          <tx>
            <strRef>
              <f>'Overview'!BI24</f>
            </strRef>
          </tx>
          <spPr>
            <a:ln xmlns:a="http://schemas.openxmlformats.org/drawingml/2006/main">
              <a:prstDash val="solid"/>
            </a:ln>
          </spPr>
          <cat>
            <numRef>
              <f>'Overview'!$BJ$22:$BU$22</f>
            </numRef>
          </cat>
          <val>
            <numRef>
              <f>'Overview'!$BJ$24:$BU$24</f>
            </numRef>
          </val>
        </ser>
        <ser>
          <idx val="2"/>
          <order val="2"/>
          <tx>
            <strRef>
              <f>'Overview'!BI25</f>
            </strRef>
          </tx>
          <spPr>
            <a:ln xmlns:a="http://schemas.openxmlformats.org/drawingml/2006/main">
              <a:prstDash val="solid"/>
            </a:ln>
          </spPr>
          <cat>
            <numRef>
              <f>'Overview'!$BJ$22:$BU$22</f>
            </numRef>
          </cat>
          <val>
            <numRef>
              <f>'Overview'!$BJ$25:$BU$25</f>
            </numRef>
          </val>
        </ser>
        <ser>
          <idx val="3"/>
          <order val="3"/>
          <tx>
            <strRef>
              <f>'Overview'!BI26</f>
            </strRef>
          </tx>
          <spPr>
            <a:ln xmlns:a="http://schemas.openxmlformats.org/drawingml/2006/main">
              <a:prstDash val="solid"/>
            </a:ln>
          </spPr>
          <cat>
            <numRef>
              <f>'Overview'!$BJ$22:$BU$22</f>
            </numRef>
          </cat>
          <val>
            <numRef>
              <f>'Overview'!$BJ$26:$BU$26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British Arab Commercial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3318750</v>
      </c>
      <c r="C6" s="5" t="n">
        <v>3343466</v>
      </c>
      <c r="D6" s="5" t="n">
        <v>3001927</v>
      </c>
      <c r="E6" s="5" t="n">
        <v>3194745</v>
      </c>
      <c r="F6" s="5" t="n">
        <v>2782543</v>
      </c>
      <c r="G6" s="5" t="n">
        <v>2542898</v>
      </c>
      <c r="H6" s="5" t="n">
        <v>2779318</v>
      </c>
      <c r="I6" s="5" t="n">
        <v>3893852</v>
      </c>
      <c r="J6" s="5" t="n">
        <v>2952856</v>
      </c>
      <c r="K6" s="5" t="n">
        <v>2939264</v>
      </c>
      <c r="L6" s="5" t="n">
        <v>3021295</v>
      </c>
      <c r="M6" s="5" t="n">
        <v>2916417</v>
      </c>
      <c r="P6" t="inlineStr">
        <is>
          <t>Total assets</t>
        </is>
      </c>
      <c r="Q6" t="n">
        <v>2916417</v>
      </c>
      <c r="R6" t="n">
        <v>3021295</v>
      </c>
      <c r="S6" t="n">
        <v>2939264</v>
      </c>
      <c r="T6" t="n">
        <v>2952856</v>
      </c>
      <c r="U6" t="n">
        <v>3893852</v>
      </c>
      <c r="V6" t="n">
        <v>2779318</v>
      </c>
      <c r="W6" t="n">
        <v>2542898</v>
      </c>
      <c r="X6" t="n">
        <v>2782543</v>
      </c>
      <c r="Y6" t="n">
        <v>3194745</v>
      </c>
      <c r="Z6" t="n">
        <v>3001927</v>
      </c>
      <c r="AA6" t="n">
        <v>3343466</v>
      </c>
      <c r="AB6" t="n">
        <v>3318750</v>
      </c>
      <c r="BX6" t="inlineStr">
        <is>
          <t>CET1 Ratio</t>
        </is>
      </c>
      <c r="BY6" t="n">
        <v>18.2</v>
      </c>
      <c r="BZ6" t="n">
        <v>15.3</v>
      </c>
      <c r="CA6" t="n">
        <v>14.3</v>
      </c>
      <c r="CB6" t="n">
        <v>12.1</v>
      </c>
      <c r="CC6" t="n">
        <v>9.9</v>
      </c>
      <c r="CD6" t="n">
        <v>14.1</v>
      </c>
      <c r="CE6" t="n">
        <v>17.4</v>
      </c>
      <c r="CF6" t="n">
        <v>18.4</v>
      </c>
      <c r="CG6" t="n">
        <v>16</v>
      </c>
      <c r="CH6" t="n">
        <v>18</v>
      </c>
      <c r="CI6" t="n">
        <v>15.6</v>
      </c>
      <c r="CJ6" t="n">
        <v>13.8</v>
      </c>
    </row>
    <row r="7">
      <c r="A7" s="5" t="inlineStr">
        <is>
          <t>Loans and advances to customers</t>
        </is>
      </c>
      <c r="B7" s="5" t="n">
        <v>353562</v>
      </c>
      <c r="C7" s="5" t="n">
        <v>387260</v>
      </c>
      <c r="D7" s="5" t="n">
        <v>388567</v>
      </c>
      <c r="E7" s="5" t="n">
        <v>463780</v>
      </c>
      <c r="F7" s="5" t="n">
        <v>484536</v>
      </c>
      <c r="G7" s="5" t="n">
        <v>582529</v>
      </c>
      <c r="H7" s="5" t="n">
        <v>651514</v>
      </c>
      <c r="I7" s="5" t="n">
        <v>1081161</v>
      </c>
      <c r="J7" s="5" t="n">
        <v>1068589</v>
      </c>
      <c r="K7" s="5" t="n">
        <v>864311</v>
      </c>
      <c r="L7" s="5" t="n">
        <v>685680</v>
      </c>
      <c r="M7" s="5" t="n">
        <v>471375</v>
      </c>
      <c r="P7" t="inlineStr">
        <is>
          <t>Loans and advances to customers</t>
        </is>
      </c>
      <c r="Q7" t="n">
        <v>471375</v>
      </c>
      <c r="R7" t="n">
        <v>685680</v>
      </c>
      <c r="S7" t="n">
        <v>864311</v>
      </c>
      <c r="T7" t="n">
        <v>1068589</v>
      </c>
      <c r="U7" t="n">
        <v>1081161</v>
      </c>
      <c r="V7" t="n">
        <v>651514</v>
      </c>
      <c r="W7" t="n">
        <v>582529</v>
      </c>
      <c r="X7" t="n">
        <v>484536</v>
      </c>
      <c r="Y7" t="n">
        <v>463780</v>
      </c>
      <c r="Z7" t="n">
        <v>388567</v>
      </c>
      <c r="AA7" t="n">
        <v>387260</v>
      </c>
      <c r="AB7" t="n">
        <v>353562</v>
      </c>
      <c r="BX7" t="inlineStr">
        <is>
          <t>Total Capital Ratio</t>
        </is>
      </c>
      <c r="BY7" t="n">
        <v>23.9</v>
      </c>
      <c r="BZ7" t="n">
        <v>19.9</v>
      </c>
      <c r="CA7" t="n">
        <v>19.6</v>
      </c>
      <c r="CB7" t="n">
        <v>16.3</v>
      </c>
      <c r="CC7" t="n">
        <v>14.3</v>
      </c>
      <c r="CD7" t="n">
        <v>19.6</v>
      </c>
      <c r="CE7" t="n">
        <v>24</v>
      </c>
      <c r="CF7" t="n">
        <v>24.9</v>
      </c>
      <c r="CG7" t="n">
        <v>21.7</v>
      </c>
      <c r="CH7" t="n">
        <v>22.3</v>
      </c>
      <c r="CI7" t="n">
        <v>20.3</v>
      </c>
      <c r="CJ7" t="n">
        <v>17.4</v>
      </c>
    </row>
    <row r="8">
      <c r="A8" s="5" t="inlineStr">
        <is>
          <t>Deposits from banks + other deposits</t>
        </is>
      </c>
      <c r="B8" s="5" t="n">
        <v>2938773</v>
      </c>
      <c r="C8" s="5" t="n">
        <v>2977572</v>
      </c>
      <c r="D8" s="5" t="n">
        <v>2659678</v>
      </c>
      <c r="E8" s="5" t="n">
        <v>2882233</v>
      </c>
      <c r="F8" s="5" t="n">
        <v>2481506</v>
      </c>
      <c r="G8" s="5" t="n">
        <v>2241682</v>
      </c>
      <c r="H8" s="5" t="n">
        <v>2511552</v>
      </c>
      <c r="I8" s="5" t="n">
        <v>3632606</v>
      </c>
      <c r="J8" s="5" t="n">
        <v>2651194</v>
      </c>
      <c r="K8" s="5" t="n">
        <v>2641932</v>
      </c>
      <c r="L8" s="5" t="n">
        <v>2734886</v>
      </c>
      <c r="M8" s="5" t="n">
        <v>2624207</v>
      </c>
      <c r="P8" t="inlineStr">
        <is>
          <t>Deposits from banks + other deposits</t>
        </is>
      </c>
      <c r="Q8" t="n">
        <v>2624207</v>
      </c>
      <c r="R8" t="n">
        <v>2734886</v>
      </c>
      <c r="S8" t="n">
        <v>2641932</v>
      </c>
      <c r="T8" t="n">
        <v>2651194</v>
      </c>
      <c r="U8" t="n">
        <v>3632606</v>
      </c>
      <c r="V8" t="n">
        <v>2511552</v>
      </c>
      <c r="W8" t="n">
        <v>2241682</v>
      </c>
      <c r="X8" t="n">
        <v>2481506</v>
      </c>
      <c r="Y8" t="n">
        <v>2882233</v>
      </c>
      <c r="Z8" t="n">
        <v>2659678</v>
      </c>
      <c r="AA8" t="n">
        <v>2977572</v>
      </c>
      <c r="AB8" t="n">
        <v>2938773</v>
      </c>
      <c r="BX8" t="inlineStr">
        <is>
          <t>Leverage Ratio</t>
        </is>
      </c>
      <c r="BZ8" t="n">
        <v>6.55</v>
      </c>
      <c r="CA8" t="n">
        <v>6.56</v>
      </c>
      <c r="CB8" t="n">
        <v>6.53</v>
      </c>
      <c r="CC8" t="n">
        <v>3.83</v>
      </c>
      <c r="CD8" t="n">
        <v>5.69</v>
      </c>
      <c r="CE8" t="n">
        <v>7.09</v>
      </c>
      <c r="CF8" t="n">
        <v>6.7</v>
      </c>
      <c r="CG8" t="n">
        <v>5.7</v>
      </c>
      <c r="CH8" t="n">
        <v>6.8</v>
      </c>
      <c r="CI8" t="n">
        <v>6.6</v>
      </c>
      <c r="CJ8" t="n">
        <v>7.2</v>
      </c>
    </row>
    <row r="9">
      <c r="A9" s="5" t="inlineStr">
        <is>
          <t>Total equity</t>
        </is>
      </c>
      <c r="B9" s="5" t="n">
        <v>278340</v>
      </c>
      <c r="C9" s="5" t="n">
        <v>257612</v>
      </c>
      <c r="D9" s="5" t="n">
        <v>232578</v>
      </c>
      <c r="E9" s="5" t="n">
        <v>207266</v>
      </c>
      <c r="F9" s="5" t="n">
        <v>210286</v>
      </c>
      <c r="G9" s="5" t="n">
        <v>197207</v>
      </c>
      <c r="H9" s="5" t="n">
        <v>177894</v>
      </c>
      <c r="I9" s="5" t="n">
        <v>168178</v>
      </c>
      <c r="J9" s="5" t="n">
        <v>216833</v>
      </c>
      <c r="K9" s="5" t="n">
        <v>208393</v>
      </c>
      <c r="L9" s="5" t="n">
        <v>210170</v>
      </c>
      <c r="M9" s="5" t="n">
        <v>202169</v>
      </c>
      <c r="P9" t="inlineStr">
        <is>
          <t>Total equity</t>
        </is>
      </c>
      <c r="Q9" t="n">
        <v>202169</v>
      </c>
      <c r="R9" t="n">
        <v>210170</v>
      </c>
      <c r="S9" t="n">
        <v>208393</v>
      </c>
      <c r="T9" t="n">
        <v>216833</v>
      </c>
      <c r="U9" t="n">
        <v>168178</v>
      </c>
      <c r="V9" t="n">
        <v>177894</v>
      </c>
      <c r="W9" t="n">
        <v>197207</v>
      </c>
      <c r="X9" t="n">
        <v>210286</v>
      </c>
      <c r="Y9" t="n">
        <v>207266</v>
      </c>
      <c r="Z9" t="n">
        <v>232578</v>
      </c>
      <c r="AA9" t="n">
        <v>257612</v>
      </c>
      <c r="AB9" t="n">
        <v>278340</v>
      </c>
      <c r="BX9" t="inlineStr">
        <is>
          <t>LCR</t>
        </is>
      </c>
      <c r="CD9" t="n">
        <v>222</v>
      </c>
      <c r="CE9" t="n">
        <v>215</v>
      </c>
      <c r="CF9" t="n">
        <v>276</v>
      </c>
      <c r="CG9" t="n">
        <v>254</v>
      </c>
      <c r="CH9" t="n">
        <v>271</v>
      </c>
      <c r="CI9" t="n">
        <v>327</v>
      </c>
      <c r="CJ9" t="n">
        <v>234</v>
      </c>
    </row>
    <row r="10">
      <c r="BX10" t="inlineStr">
        <is>
          <t>NSFR</t>
        </is>
      </c>
      <c r="CG10" t="n">
        <v>130</v>
      </c>
      <c r="CH10" t="n">
        <v>151</v>
      </c>
      <c r="CI10" t="n">
        <v>160</v>
      </c>
      <c r="CJ10" t="n">
        <v>166</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Operating income before allowance for credit losses</t>
        </is>
      </c>
      <c r="B13" s="5" t="n">
        <v>92763</v>
      </c>
      <c r="C13" s="5" t="n">
        <v>98650</v>
      </c>
      <c r="D13" s="5" t="n">
        <v>87856</v>
      </c>
      <c r="E13" s="5" t="n">
        <v>57433</v>
      </c>
      <c r="F13" s="5" t="n">
        <v>41723</v>
      </c>
      <c r="G13" s="5" t="n">
        <v>44791</v>
      </c>
      <c r="H13" s="5" t="n">
        <v>64024</v>
      </c>
      <c r="I13" s="5" t="n">
        <v>64836</v>
      </c>
      <c r="J13" s="5" t="n">
        <v>53396</v>
      </c>
      <c r="K13" s="5" t="n">
        <v>42739</v>
      </c>
      <c r="L13" s="5" t="n">
        <v>38510</v>
      </c>
      <c r="M13" s="5" t="n">
        <v>48076</v>
      </c>
      <c r="AE13" t="inlineStr">
        <is>
          <t>Operating income before allowance for credit losses</t>
        </is>
      </c>
      <c r="AF13" t="n">
        <v>48076</v>
      </c>
      <c r="AG13" t="n">
        <v>38510</v>
      </c>
      <c r="AH13" t="n">
        <v>42739</v>
      </c>
      <c r="AI13" t="n">
        <v>53396</v>
      </c>
      <c r="AJ13" t="n">
        <v>64836</v>
      </c>
      <c r="AK13" t="n">
        <v>64024</v>
      </c>
      <c r="AL13" t="n">
        <v>44791</v>
      </c>
      <c r="AM13" t="n">
        <v>41723</v>
      </c>
      <c r="AN13" t="n">
        <v>57433</v>
      </c>
      <c r="AO13" t="n">
        <v>87856</v>
      </c>
      <c r="AP13" t="n">
        <v>98650</v>
      </c>
      <c r="AQ13" t="n">
        <v>92763</v>
      </c>
    </row>
    <row r="14">
      <c r="A14" s="5" t="inlineStr">
        <is>
          <t>Administrative expenses</t>
        </is>
      </c>
      <c r="B14" s="5" t="n">
        <v>-64363</v>
      </c>
      <c r="C14" s="5" t="n">
        <v>-62082</v>
      </c>
      <c r="D14" s="5" t="n">
        <v>-53594</v>
      </c>
      <c r="E14" s="5" t="n">
        <v>-42031</v>
      </c>
      <c r="F14" s="5" t="n">
        <v>-38763</v>
      </c>
      <c r="G14" s="5" t="n">
        <v>-37014</v>
      </c>
      <c r="H14" s="5" t="n">
        <v>-37388</v>
      </c>
      <c r="I14" s="5" t="n">
        <v>-38018</v>
      </c>
      <c r="J14" s="5" t="n">
        <v>-36000</v>
      </c>
      <c r="K14" s="5" t="n">
        <v>-33038</v>
      </c>
      <c r="L14" s="5" t="n">
        <v>-34777</v>
      </c>
      <c r="M14" s="5" t="n">
        <v>-37603</v>
      </c>
      <c r="AE14" t="inlineStr">
        <is>
          <t>Administrative expenses</t>
        </is>
      </c>
      <c r="AF14" t="n">
        <v>-37603</v>
      </c>
      <c r="AG14" t="n">
        <v>-34777</v>
      </c>
      <c r="AH14" t="n">
        <v>-33038</v>
      </c>
      <c r="AI14" t="n">
        <v>-36000</v>
      </c>
      <c r="AJ14" t="n">
        <v>-38018</v>
      </c>
      <c r="AK14" t="n">
        <v>-37388</v>
      </c>
      <c r="AL14" t="n">
        <v>-37014</v>
      </c>
      <c r="AM14" t="n">
        <v>-38763</v>
      </c>
      <c r="AN14" t="n">
        <v>-42031</v>
      </c>
      <c r="AO14" t="n">
        <v>-53594</v>
      </c>
      <c r="AP14" t="n">
        <v>-62082</v>
      </c>
      <c r="AQ14" t="n">
        <v>-64363</v>
      </c>
    </row>
    <row r="15">
      <c r="A15" s="5" t="inlineStr">
        <is>
          <t>Profit for the year</t>
        </is>
      </c>
      <c r="B15" s="5" t="n">
        <v>24127</v>
      </c>
      <c r="C15" s="5" t="n">
        <v>28755</v>
      </c>
      <c r="D15" s="5" t="n">
        <v>27875</v>
      </c>
      <c r="E15" s="5" t="n">
        <v>15100</v>
      </c>
      <c r="F15" s="5" t="n">
        <v>13035</v>
      </c>
      <c r="G15" s="5" t="n">
        <v>14428</v>
      </c>
      <c r="H15" s="5" t="n">
        <v>7628</v>
      </c>
      <c r="I15" s="5" t="n">
        <v>-35308</v>
      </c>
      <c r="J15" s="5" t="n">
        <v>6825</v>
      </c>
      <c r="K15" s="5" t="n">
        <v>2719</v>
      </c>
      <c r="L15" s="5" t="n">
        <v>-14505</v>
      </c>
      <c r="M15" s="5" t="n">
        <v>4729</v>
      </c>
      <c r="AE15" t="inlineStr">
        <is>
          <t>Profit for the year</t>
        </is>
      </c>
      <c r="AF15" t="n">
        <v>4729</v>
      </c>
      <c r="AG15" t="n">
        <v>-14505</v>
      </c>
      <c r="AH15" t="n">
        <v>2719</v>
      </c>
      <c r="AI15" t="n">
        <v>6825</v>
      </c>
      <c r="AJ15" t="n">
        <v>-35308</v>
      </c>
      <c r="AK15" t="n">
        <v>7628</v>
      </c>
      <c r="AL15" t="n">
        <v>14428</v>
      </c>
      <c r="AM15" t="n">
        <v>13035</v>
      </c>
      <c r="AN15" t="n">
        <v>15100</v>
      </c>
      <c r="AO15" t="n">
        <v>27875</v>
      </c>
      <c r="AP15" t="n">
        <v>28755</v>
      </c>
      <c r="AQ15" t="n">
        <v>24127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Total equity</t>
        </is>
      </c>
      <c r="B19" s="5" t="n">
        <v>278340</v>
      </c>
      <c r="C19" s="5" t="n">
        <v>257612</v>
      </c>
      <c r="D19" s="5" t="n">
        <v>232578</v>
      </c>
      <c r="E19" s="5" t="n">
        <v>207266</v>
      </c>
      <c r="F19" s="5" t="n">
        <v>210286</v>
      </c>
      <c r="G19" s="5" t="n">
        <v>197207</v>
      </c>
      <c r="H19" s="5" t="n">
        <v>177894</v>
      </c>
      <c r="I19" s="5" t="n">
        <v>168178</v>
      </c>
      <c r="J19" s="5" t="n">
        <v>216833</v>
      </c>
      <c r="K19" s="5" t="n">
        <v>208393</v>
      </c>
      <c r="L19" s="5" t="n">
        <v>210170</v>
      </c>
      <c r="M19" s="5" t="n">
        <v>202169</v>
      </c>
      <c r="AT19" t="inlineStr">
        <is>
          <t>Total equity</t>
        </is>
      </c>
      <c r="AU19" t="n">
        <v>202169</v>
      </c>
      <c r="AV19" t="n">
        <v>210170</v>
      </c>
      <c r="AW19" t="n">
        <v>208393</v>
      </c>
      <c r="AX19" t="n">
        <v>216833</v>
      </c>
      <c r="AY19" t="n">
        <v>168178</v>
      </c>
      <c r="AZ19" t="n">
        <v>177894</v>
      </c>
      <c r="BA19" t="n">
        <v>197207</v>
      </c>
      <c r="BB19" t="n">
        <v>210286</v>
      </c>
      <c r="BC19" t="n">
        <v>207266</v>
      </c>
      <c r="BD19" t="n">
        <v>232578</v>
      </c>
      <c r="BE19" t="n">
        <v>257612</v>
      </c>
      <c r="BF19" t="n">
        <v>278340</v>
      </c>
    </row>
    <row r="21">
      <c r="A21" s="3" t="inlineStr">
        <is>
          <t>Cash Flow Summary (£'000)</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K22" s="4" t="inlineStr">
        <is>
          <t>FY2016</t>
        </is>
      </c>
      <c r="L22" s="4" t="inlineStr">
        <is>
          <t>FY2015</t>
        </is>
      </c>
      <c r="M22" s="4" t="inlineStr">
        <is>
          <t>FY2014</t>
        </is>
      </c>
      <c r="BJ22" t="inlineStr">
        <is>
          <t>FY2014</t>
        </is>
      </c>
      <c r="BK22" t="inlineStr">
        <is>
          <t>FY2015</t>
        </is>
      </c>
      <c r="BL22" t="inlineStr">
        <is>
          <t>FY2016</t>
        </is>
      </c>
      <c r="BM22" t="inlineStr">
        <is>
          <t>FY2017</t>
        </is>
      </c>
      <c r="BN22" t="inlineStr">
        <is>
          <t>FY2018</t>
        </is>
      </c>
      <c r="BO22" t="inlineStr">
        <is>
          <t>FY2019</t>
        </is>
      </c>
      <c r="BP22" t="inlineStr">
        <is>
          <t>FY2020</t>
        </is>
      </c>
      <c r="BQ22" t="inlineStr">
        <is>
          <t>FY2021</t>
        </is>
      </c>
      <c r="BR22" t="inlineStr">
        <is>
          <t>FY2022</t>
        </is>
      </c>
      <c r="BS22" t="inlineStr">
        <is>
          <t>FY2023</t>
        </is>
      </c>
      <c r="BT22" t="inlineStr">
        <is>
          <t>FY2024</t>
        </is>
      </c>
      <c r="BU22" t="inlineStr">
        <is>
          <t>FY2025</t>
        </is>
      </c>
    </row>
    <row r="23">
      <c r="A23" s="5" t="inlineStr">
        <is>
          <t>Net cash generated from/(used in) operating activities</t>
        </is>
      </c>
      <c r="B23" s="5" t="n">
        <v>124138</v>
      </c>
      <c r="C23" s="5" t="n">
        <v>227828</v>
      </c>
      <c r="D23" s="5" t="n">
        <v>-286411</v>
      </c>
      <c r="E23" s="5" t="n">
        <v>-120744</v>
      </c>
      <c r="F23" s="5" t="n">
        <v>189594</v>
      </c>
      <c r="G23" s="5" t="n">
        <v>-321884</v>
      </c>
      <c r="H23" s="5" t="n">
        <v>-873872</v>
      </c>
      <c r="I23" s="5" t="n">
        <v>1179372</v>
      </c>
      <c r="J23" s="5" t="n">
        <v>-559510</v>
      </c>
      <c r="K23" s="5" t="n">
        <v>-603288</v>
      </c>
      <c r="L23" s="5" t="n">
        <v>65345</v>
      </c>
      <c r="M23" s="5" t="n">
        <v>439909</v>
      </c>
      <c r="BI23" t="inlineStr">
        <is>
          <t>Net cash generated from/(used in) operating activities</t>
        </is>
      </c>
      <c r="BJ23" t="n">
        <v>439909</v>
      </c>
      <c r="BK23" t="n">
        <v>65345</v>
      </c>
      <c r="BL23" t="n">
        <v>-603288</v>
      </c>
      <c r="BM23" t="n">
        <v>-559510</v>
      </c>
      <c r="BN23" t="n">
        <v>1179372</v>
      </c>
      <c r="BO23" t="n">
        <v>-873872</v>
      </c>
      <c r="BP23" t="n">
        <v>-321884</v>
      </c>
      <c r="BQ23" t="n">
        <v>189594</v>
      </c>
      <c r="BR23" t="n">
        <v>-120744</v>
      </c>
      <c r="BS23" t="n">
        <v>-286411</v>
      </c>
      <c r="BT23" t="n">
        <v>227828</v>
      </c>
      <c r="BU23" t="n">
        <v>124138</v>
      </c>
    </row>
    <row r="24">
      <c r="A24" s="5" t="inlineStr">
        <is>
          <t>Net cash used in investing activities</t>
        </is>
      </c>
      <c r="B24" s="5" t="n">
        <v>-1537</v>
      </c>
      <c r="C24" s="5" t="n">
        <v>-820</v>
      </c>
      <c r="D24" s="5" t="n">
        <v>-8524</v>
      </c>
      <c r="E24" s="5" t="n">
        <v>-1094</v>
      </c>
      <c r="F24" s="5" t="n">
        <v>-814</v>
      </c>
      <c r="G24" s="5" t="n">
        <v>-1452</v>
      </c>
      <c r="H24" s="5" t="n">
        <v>-5363</v>
      </c>
      <c r="I24" s="5" t="n">
        <v>-6388</v>
      </c>
      <c r="J24" s="5" t="n">
        <v>-3743</v>
      </c>
      <c r="K24" s="5" t="n">
        <v>551</v>
      </c>
      <c r="L24" s="5" t="n">
        <v>-446</v>
      </c>
      <c r="M24" s="5" t="n">
        <v>-2470</v>
      </c>
      <c r="BI24" t="inlineStr">
        <is>
          <t>Net cash used in investing activities</t>
        </is>
      </c>
      <c r="BJ24" t="n">
        <v>-2470</v>
      </c>
      <c r="BK24" t="n">
        <v>-446</v>
      </c>
      <c r="BL24" t="n">
        <v>551</v>
      </c>
      <c r="BM24" t="n">
        <v>-3743</v>
      </c>
      <c r="BN24" t="n">
        <v>-6388</v>
      </c>
      <c r="BO24" t="n">
        <v>-5363</v>
      </c>
      <c r="BP24" t="n">
        <v>-1452</v>
      </c>
      <c r="BQ24" t="n">
        <v>-814</v>
      </c>
      <c r="BR24" t="n">
        <v>-1094</v>
      </c>
      <c r="BS24" t="n">
        <v>-8524</v>
      </c>
      <c r="BT24" t="n">
        <v>-820</v>
      </c>
      <c r="BU24" t="n">
        <v>-1537</v>
      </c>
    </row>
    <row r="25">
      <c r="A25" s="5" t="inlineStr">
        <is>
          <t>Net cash used in financing activities</t>
        </is>
      </c>
      <c r="B25" s="5" t="n">
        <v>-6477</v>
      </c>
      <c r="C25" s="5" t="n">
        <v>-5055</v>
      </c>
      <c r="D25" s="5" t="n">
        <v>-5417</v>
      </c>
      <c r="E25" s="5" t="n">
        <v>-8771</v>
      </c>
      <c r="F25" s="5" t="n">
        <v>-191</v>
      </c>
      <c r="G25" s="5" t="n">
        <v>-156</v>
      </c>
      <c r="H25" s="5" t="n">
        <v>0</v>
      </c>
      <c r="I25" s="5" t="n">
        <v>-1498</v>
      </c>
      <c r="J25" s="5" t="n">
        <v>0</v>
      </c>
      <c r="K25" s="5" t="n">
        <v>0</v>
      </c>
      <c r="L25" s="5" t="n">
        <v>24289</v>
      </c>
      <c r="M25" s="5" t="n">
        <v>0</v>
      </c>
      <c r="BI25" t="inlineStr">
        <is>
          <t>Net cash used in financing activities</t>
        </is>
      </c>
      <c r="BJ25" t="n">
        <v>0</v>
      </c>
      <c r="BK25" t="n">
        <v>24289</v>
      </c>
      <c r="BL25" t="n">
        <v>0</v>
      </c>
      <c r="BM25" t="n">
        <v>0</v>
      </c>
      <c r="BN25" t="n">
        <v>-1498</v>
      </c>
      <c r="BO25" t="n">
        <v>0</v>
      </c>
      <c r="BP25" t="n">
        <v>-156</v>
      </c>
      <c r="BQ25" t="n">
        <v>-191</v>
      </c>
      <c r="BR25" t="n">
        <v>-8771</v>
      </c>
      <c r="BS25" t="n">
        <v>-5417</v>
      </c>
      <c r="BT25" t="n">
        <v>-5055</v>
      </c>
      <c r="BU25" t="n">
        <v>-6477</v>
      </c>
    </row>
    <row r="26">
      <c r="A26" s="5" t="inlineStr">
        <is>
          <t>Cash and cash equivalents at end of year</t>
        </is>
      </c>
      <c r="B26" s="5" t="n">
        <v>718577</v>
      </c>
      <c r="C26" s="5" t="n">
        <v>604467</v>
      </c>
      <c r="D26" s="5" t="n">
        <v>372940</v>
      </c>
      <c r="E26" s="5" t="n">
        <v>700795</v>
      </c>
      <c r="F26" s="5" t="n">
        <v>766720</v>
      </c>
      <c r="G26" s="5" t="n">
        <v>586617</v>
      </c>
      <c r="H26" s="5" t="n">
        <v>897237</v>
      </c>
      <c r="I26" s="5" t="n">
        <v>1821651</v>
      </c>
      <c r="J26" s="5" t="n">
        <v>625253</v>
      </c>
      <c r="K26" s="5" t="n">
        <v>1226225</v>
      </c>
      <c r="L26" s="5" t="n">
        <v>1623993</v>
      </c>
      <c r="M26" s="5" t="n">
        <v>1514842</v>
      </c>
      <c r="BI26" t="inlineStr">
        <is>
          <t>Cash and cash equivalents at end of year</t>
        </is>
      </c>
      <c r="BJ26" t="n">
        <v>1514842</v>
      </c>
      <c r="BK26" t="n">
        <v>1623993</v>
      </c>
      <c r="BL26" t="n">
        <v>1226225</v>
      </c>
      <c r="BM26" t="n">
        <v>625253</v>
      </c>
      <c r="BN26" t="n">
        <v>1821651</v>
      </c>
      <c r="BO26" t="n">
        <v>897237</v>
      </c>
      <c r="BP26" t="n">
        <v>586617</v>
      </c>
      <c r="BQ26" t="n">
        <v>766720</v>
      </c>
      <c r="BR26" t="n">
        <v>700795</v>
      </c>
      <c r="BS26" t="n">
        <v>372940</v>
      </c>
      <c r="BT26" t="n">
        <v>604467</v>
      </c>
      <c r="BU26" t="n">
        <v>718577</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c r="K29" s="4" t="inlineStr">
        <is>
          <t>FY2016</t>
        </is>
      </c>
      <c r="L29" s="4" t="inlineStr">
        <is>
          <t>FY2015</t>
        </is>
      </c>
      <c r="M29" s="4" t="inlineStr">
        <is>
          <t>FY2014</t>
        </is>
      </c>
    </row>
    <row r="30">
      <c r="A30" s="6" t="inlineStr">
        <is>
          <t>CET1 Ratio</t>
        </is>
      </c>
      <c r="B30" s="6" t="inlineStr">
        <is>
          <t>13.8%</t>
        </is>
      </c>
      <c r="C30" s="6" t="inlineStr">
        <is>
          <t>15.6%</t>
        </is>
      </c>
      <c r="D30" s="6" t="inlineStr">
        <is>
          <t>18.0%</t>
        </is>
      </c>
      <c r="E30" s="6" t="inlineStr">
        <is>
          <t>16.0%</t>
        </is>
      </c>
      <c r="F30" s="6" t="inlineStr">
        <is>
          <t>18.4%</t>
        </is>
      </c>
      <c r="G30" s="6" t="inlineStr">
        <is>
          <t>17.4%</t>
        </is>
      </c>
      <c r="H30" s="6" t="inlineStr">
        <is>
          <t>14.1%</t>
        </is>
      </c>
      <c r="I30" s="6" t="inlineStr">
        <is>
          <t>9.9%</t>
        </is>
      </c>
      <c r="J30" s="6" t="inlineStr">
        <is>
          <t>12.1%</t>
        </is>
      </c>
      <c r="K30" s="6" t="inlineStr">
        <is>
          <t>14.3%</t>
        </is>
      </c>
      <c r="L30" s="6" t="inlineStr">
        <is>
          <t>15.3%</t>
        </is>
      </c>
      <c r="M30" s="6" t="inlineStr">
        <is>
          <t>18.2%</t>
        </is>
      </c>
    </row>
    <row r="31">
      <c r="A31" s="6" t="inlineStr">
        <is>
          <t>Total Capital Ratio</t>
        </is>
      </c>
      <c r="B31" s="6" t="inlineStr">
        <is>
          <t>17.4%</t>
        </is>
      </c>
      <c r="C31" s="6" t="inlineStr">
        <is>
          <t>20.3%</t>
        </is>
      </c>
      <c r="D31" s="6" t="inlineStr">
        <is>
          <t>22.3%</t>
        </is>
      </c>
      <c r="E31" s="6" t="inlineStr">
        <is>
          <t>21.7%</t>
        </is>
      </c>
      <c r="F31" s="6" t="inlineStr">
        <is>
          <t>24.9%</t>
        </is>
      </c>
      <c r="G31" s="6" t="inlineStr">
        <is>
          <t>24.0%</t>
        </is>
      </c>
      <c r="H31" s="6" t="inlineStr">
        <is>
          <t>19.6%</t>
        </is>
      </c>
      <c r="I31" s="6" t="inlineStr">
        <is>
          <t>14.3%</t>
        </is>
      </c>
      <c r="J31" s="6" t="inlineStr">
        <is>
          <t>16.3%</t>
        </is>
      </c>
      <c r="K31" s="6" t="inlineStr">
        <is>
          <t>19.6%</t>
        </is>
      </c>
      <c r="L31" s="6" t="inlineStr">
        <is>
          <t>19.9%</t>
        </is>
      </c>
      <c r="M31" s="6" t="inlineStr">
        <is>
          <t>23.9%</t>
        </is>
      </c>
    </row>
    <row r="32">
      <c r="A32" s="6" t="inlineStr">
        <is>
          <t>Leverage Ratio</t>
        </is>
      </c>
      <c r="B32" s="6" t="inlineStr">
        <is>
          <t>7.2%</t>
        </is>
      </c>
      <c r="C32" s="6" t="inlineStr">
        <is>
          <t>6.6%</t>
        </is>
      </c>
      <c r="D32" s="6" t="inlineStr">
        <is>
          <t>6.8%</t>
        </is>
      </c>
      <c r="E32" s="6" t="inlineStr">
        <is>
          <t>5.7%</t>
        </is>
      </c>
      <c r="F32" s="6" t="inlineStr">
        <is>
          <t>6.7%</t>
        </is>
      </c>
      <c r="G32" s="6" t="inlineStr">
        <is>
          <t>7.09%</t>
        </is>
      </c>
      <c r="H32" s="6" t="inlineStr">
        <is>
          <t>5.69%</t>
        </is>
      </c>
      <c r="I32" s="6" t="inlineStr">
        <is>
          <t>3.83%</t>
        </is>
      </c>
      <c r="J32" s="6" t="inlineStr">
        <is>
          <t>6.53%</t>
        </is>
      </c>
      <c r="K32" s="6" t="inlineStr">
        <is>
          <t>6.56%</t>
        </is>
      </c>
      <c r="L32" s="6" t="inlineStr">
        <is>
          <t>6.55%</t>
        </is>
      </c>
      <c r="M32" s="6" t="n"/>
    </row>
    <row r="33">
      <c r="A33" s="6" t="inlineStr">
        <is>
          <t>LCR</t>
        </is>
      </c>
      <c r="B33" s="6" t="inlineStr">
        <is>
          <t>234%</t>
        </is>
      </c>
      <c r="C33" s="6" t="inlineStr">
        <is>
          <t>327%</t>
        </is>
      </c>
      <c r="D33" s="6" t="inlineStr">
        <is>
          <t>271%</t>
        </is>
      </c>
      <c r="E33" s="6" t="inlineStr">
        <is>
          <t>254%</t>
        </is>
      </c>
      <c r="F33" s="6" t="inlineStr">
        <is>
          <t>276%</t>
        </is>
      </c>
      <c r="G33" s="6" t="inlineStr">
        <is>
          <t>215%</t>
        </is>
      </c>
      <c r="H33" s="6" t="inlineStr">
        <is>
          <t>222%</t>
        </is>
      </c>
      <c r="I33" s="6" t="n"/>
      <c r="J33" s="6" t="n"/>
      <c r="K33" s="6" t="n"/>
      <c r="L33" s="6" t="n"/>
      <c r="M33" s="6" t="n"/>
    </row>
    <row r="34">
      <c r="A34" s="6" t="inlineStr">
        <is>
          <t>NSFR</t>
        </is>
      </c>
      <c r="B34" s="6" t="inlineStr">
        <is>
          <t>166%</t>
        </is>
      </c>
      <c r="C34" s="6" t="inlineStr">
        <is>
          <t>160%</t>
        </is>
      </c>
      <c r="D34" s="6" t="inlineStr">
        <is>
          <t>151%</t>
        </is>
      </c>
      <c r="E34" s="6" t="inlineStr">
        <is>
          <t>130%</t>
        </is>
      </c>
      <c r="F34" s="6" t="n"/>
      <c r="G34" s="6" t="n"/>
      <c r="H34" s="6" t="n"/>
      <c r="I34" s="6" t="n"/>
      <c r="J34" s="6" t="n"/>
      <c r="K34" s="6" t="n"/>
      <c r="L34" s="6" t="n"/>
      <c r="M34" s="6" t="n"/>
    </row>
    <row r="36" ht="45" customHeight="1">
      <c r="A36" s="7" t="inlineStr">
        <is>
          <t>Note: Figures are duplicated from the detail sheets for at-a-glance trend viewing; see each sheet's own source citation for the underlying document/page.</t>
        </is>
      </c>
    </row>
  </sheetData>
  <mergeCells count="1">
    <mergeCell ref="A36:M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British Arab Commercial Bank PLC — Statement of Financial Position</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Assets</t>
        </is>
      </c>
      <c r="B4" s="6" t="n"/>
      <c r="C4" s="6" t="n"/>
      <c r="D4" s="6" t="n"/>
      <c r="E4" s="6" t="n"/>
      <c r="F4" s="6" t="n"/>
      <c r="G4" s="6" t="n"/>
      <c r="H4" s="6" t="n"/>
      <c r="I4" s="6" t="n"/>
      <c r="J4" s="6" t="n"/>
      <c r="K4" s="6" t="n"/>
      <c r="L4" s="6" t="n"/>
      <c r="M4" s="6" t="n"/>
      <c r="N4" s="6" t="n"/>
    </row>
    <row r="5">
      <c r="A5" s="6" t="inlineStr">
        <is>
          <t>Cash, notes and coins</t>
        </is>
      </c>
      <c r="B5" s="6" t="n">
        <v>0</v>
      </c>
      <c r="C5" s="6" t="n">
        <v>1</v>
      </c>
      <c r="D5" s="6" t="n">
        <v>1</v>
      </c>
      <c r="E5" s="6" t="n">
        <v>0</v>
      </c>
      <c r="F5" s="6" t="n">
        <v>218</v>
      </c>
      <c r="G5" s="6" t="n">
        <v>219</v>
      </c>
      <c r="H5" s="6" t="n">
        <v>89</v>
      </c>
      <c r="I5" s="6" t="n">
        <v>110</v>
      </c>
      <c r="J5" s="6" t="n">
        <v>143</v>
      </c>
      <c r="K5" s="6" t="n">
        <v>87</v>
      </c>
      <c r="L5" s="6" t="n">
        <v>323</v>
      </c>
      <c r="M5" s="6" t="n">
        <v>633</v>
      </c>
      <c r="N5" s="6" t="n">
        <v>223</v>
      </c>
    </row>
    <row r="6">
      <c r="A6" s="6" t="inlineStr">
        <is>
          <t>Derivatives</t>
        </is>
      </c>
      <c r="B6" s="6" t="n">
        <v>2008</v>
      </c>
      <c r="C6" s="6" t="n">
        <v>1770</v>
      </c>
      <c r="D6" s="6" t="n">
        <v>661</v>
      </c>
      <c r="E6" s="6" t="n">
        <v>1344</v>
      </c>
      <c r="F6" s="6" t="n">
        <v>616</v>
      </c>
      <c r="G6" s="6" t="n">
        <v>1081</v>
      </c>
      <c r="H6" s="6" t="n">
        <v>751</v>
      </c>
      <c r="I6" s="6" t="n">
        <v>1249</v>
      </c>
      <c r="J6" s="6" t="n">
        <v>547</v>
      </c>
      <c r="K6" s="6" t="n">
        <v>769</v>
      </c>
      <c r="L6" s="6" t="n">
        <v>181</v>
      </c>
      <c r="M6" s="6" t="n">
        <v>567</v>
      </c>
      <c r="N6" s="6" t="n">
        <v>1271</v>
      </c>
    </row>
    <row r="7">
      <c r="A7" s="6" t="inlineStr">
        <is>
          <t>Reverse repurchase agreements</t>
        </is>
      </c>
      <c r="B7" s="6" t="n">
        <v>25147</v>
      </c>
      <c r="C7" s="6" t="n">
        <v>210601</v>
      </c>
      <c r="D7" s="6" t="n">
        <v>86937</v>
      </c>
      <c r="E7" s="6" t="n">
        <v>236927</v>
      </c>
      <c r="F7" s="6" t="n">
        <v>215824</v>
      </c>
      <c r="G7" s="6" t="n"/>
      <c r="H7" s="6" t="n"/>
      <c r="I7" s="6" t="n"/>
      <c r="J7" s="6" t="n"/>
      <c r="K7" s="6" t="n"/>
      <c r="L7" s="6" t="n"/>
      <c r="M7" s="6" t="n"/>
      <c r="N7" s="6" t="n"/>
    </row>
    <row r="8">
      <c r="A8" s="6" t="inlineStr">
        <is>
          <t>Loans and advances to banks</t>
        </is>
      </c>
      <c r="B8" s="6" t="n">
        <v>1570302</v>
      </c>
      <c r="C8" s="6" t="n">
        <v>1271347</v>
      </c>
      <c r="D8" s="6" t="n">
        <v>855620</v>
      </c>
      <c r="E8" s="6" t="n">
        <v>755184</v>
      </c>
      <c r="F8" s="6" t="n">
        <v>588843</v>
      </c>
      <c r="G8" s="6" t="n">
        <v>616563</v>
      </c>
      <c r="H8" s="6" t="n">
        <v>1189720</v>
      </c>
      <c r="I8" s="6" t="n">
        <v>997428</v>
      </c>
      <c r="J8" s="6" t="n">
        <v>1017510</v>
      </c>
      <c r="K8" s="6" t="n">
        <v>759716</v>
      </c>
      <c r="L8" s="6" t="n">
        <v>910561</v>
      </c>
      <c r="M8" s="6" t="n">
        <v>1293790</v>
      </c>
      <c r="N8" s="6" t="n">
        <v>1156909</v>
      </c>
    </row>
    <row r="9">
      <c r="A9" s="6" t="inlineStr">
        <is>
          <t>Loans and advances to customers</t>
        </is>
      </c>
      <c r="B9" s="6" t="n">
        <v>353562</v>
      </c>
      <c r="C9" s="6" t="n">
        <v>387260</v>
      </c>
      <c r="D9" s="6" t="n">
        <v>388567</v>
      </c>
      <c r="E9" s="6" t="n">
        <v>463780</v>
      </c>
      <c r="F9" s="6" t="n">
        <v>484536</v>
      </c>
      <c r="G9" s="6" t="n">
        <v>582529</v>
      </c>
      <c r="H9" s="6" t="n">
        <v>651514</v>
      </c>
      <c r="I9" s="6" t="n">
        <v>1081161</v>
      </c>
      <c r="J9" s="6" t="n">
        <v>1068589</v>
      </c>
      <c r="K9" s="6" t="n">
        <v>864311</v>
      </c>
      <c r="L9" s="6" t="n">
        <v>685680</v>
      </c>
      <c r="M9" s="6" t="n">
        <v>471375</v>
      </c>
      <c r="N9" s="6" t="n">
        <v>456896</v>
      </c>
    </row>
    <row r="10">
      <c r="A10" s="6" t="inlineStr">
        <is>
          <t>Financial investments</t>
        </is>
      </c>
      <c r="B10" s="6" t="n">
        <v>1317406</v>
      </c>
      <c r="C10" s="6" t="n">
        <v>1427440</v>
      </c>
      <c r="D10" s="6" t="n">
        <v>1621748</v>
      </c>
      <c r="E10" s="6" t="n">
        <v>1695000</v>
      </c>
      <c r="F10" s="6" t="n">
        <v>1456288</v>
      </c>
      <c r="G10" s="6" t="n">
        <v>1306280</v>
      </c>
      <c r="H10" s="6" t="n">
        <v>891682</v>
      </c>
      <c r="I10" s="6" t="n">
        <v>1774166</v>
      </c>
      <c r="J10" s="6" t="n">
        <v>788066</v>
      </c>
      <c r="K10" s="6" t="n">
        <v>1288442</v>
      </c>
      <c r="L10" s="6" t="n">
        <v>1399383</v>
      </c>
      <c r="M10" s="6" t="n">
        <v>1122262</v>
      </c>
      <c r="N10" s="6" t="n">
        <v>760316</v>
      </c>
    </row>
    <row r="11">
      <c r="A11" s="6" t="inlineStr">
        <is>
          <t>Prepayments, accrued income and other debtors</t>
        </is>
      </c>
      <c r="B11" s="6" t="n">
        <v>14721</v>
      </c>
      <c r="C11" s="6" t="n">
        <v>8497</v>
      </c>
      <c r="D11" s="6" t="n">
        <v>10424</v>
      </c>
      <c r="E11" s="6" t="n">
        <v>3014</v>
      </c>
      <c r="F11" s="6" t="n">
        <v>3437</v>
      </c>
      <c r="G11" s="6" t="n">
        <v>14370</v>
      </c>
      <c r="H11" s="6" t="n">
        <v>22181</v>
      </c>
      <c r="I11" s="6" t="n">
        <v>16815</v>
      </c>
      <c r="J11" s="6" t="n">
        <v>62573</v>
      </c>
      <c r="K11" s="6" t="n">
        <v>11016</v>
      </c>
      <c r="L11" s="6" t="n">
        <v>10562</v>
      </c>
      <c r="M11" s="6" t="n">
        <v>13877</v>
      </c>
      <c r="N11" s="6" t="n">
        <v>15627</v>
      </c>
    </row>
    <row r="12">
      <c r="A12" s="6" t="inlineStr">
        <is>
          <t>Corporation tax receivable</t>
        </is>
      </c>
      <c r="B12" s="6" t="n"/>
      <c r="C12" s="6" t="n"/>
      <c r="D12" s="6" t="n">
        <v>947</v>
      </c>
      <c r="E12" s="6" t="n">
        <v>223</v>
      </c>
      <c r="F12" s="6" t="n"/>
      <c r="G12" s="6" t="n"/>
      <c r="H12" s="6" t="n">
        <v>214</v>
      </c>
      <c r="I12" s="6" t="n">
        <v>677</v>
      </c>
      <c r="J12" s="6" t="n"/>
      <c r="K12" s="6" t="n">
        <v>1358</v>
      </c>
      <c r="L12" s="6" t="n">
        <v>4030</v>
      </c>
      <c r="M12" s="6" t="n">
        <v>2610</v>
      </c>
      <c r="N12" s="6" t="n"/>
    </row>
    <row r="13">
      <c r="A13" s="6" t="inlineStr">
        <is>
          <t>Deferred tax assets</t>
        </is>
      </c>
      <c r="B13" s="6" t="n"/>
      <c r="C13" s="6" t="n"/>
      <c r="D13" s="6" t="n">
        <v>0</v>
      </c>
      <c r="E13" s="6" t="n">
        <v>3561</v>
      </c>
      <c r="F13" s="6" t="n"/>
      <c r="G13" s="6" t="n"/>
      <c r="H13" s="6" t="n">
        <v>994</v>
      </c>
      <c r="I13" s="6" t="n">
        <v>2914</v>
      </c>
      <c r="J13" s="6" t="n"/>
      <c r="K13" s="6" t="n">
        <v>1069</v>
      </c>
      <c r="L13" s="6" t="n"/>
      <c r="M13" s="6" t="n"/>
      <c r="N13" s="6" t="n"/>
    </row>
    <row r="14">
      <c r="A14" s="6" t="inlineStr">
        <is>
          <t>Property, plant and equipment</t>
        </is>
      </c>
      <c r="B14" s="6" t="n">
        <v>30946</v>
      </c>
      <c r="C14" s="6" t="n">
        <v>31014</v>
      </c>
      <c r="D14" s="6" t="n">
        <v>29839</v>
      </c>
      <c r="E14" s="6" t="n">
        <v>27271</v>
      </c>
      <c r="F14" s="6" t="n">
        <v>19719</v>
      </c>
      <c r="G14" s="6" t="n">
        <v>12120</v>
      </c>
      <c r="H14" s="6" t="n">
        <v>11682</v>
      </c>
      <c r="I14" s="6" t="n">
        <v>8378</v>
      </c>
      <c r="J14" s="6" t="n">
        <v>8291</v>
      </c>
      <c r="K14" s="6" t="n">
        <v>8488</v>
      </c>
      <c r="L14" s="6" t="n">
        <v>8678</v>
      </c>
      <c r="M14" s="6" t="n">
        <v>8993</v>
      </c>
      <c r="N14" s="6" t="n">
        <v>8875</v>
      </c>
    </row>
    <row r="15">
      <c r="A15" s="6" t="inlineStr">
        <is>
          <t>Intangible assets</t>
        </is>
      </c>
      <c r="B15" s="6" t="n">
        <v>2305</v>
      </c>
      <c r="C15" s="6" t="n">
        <v>2937</v>
      </c>
      <c r="D15" s="6" t="n">
        <v>4566</v>
      </c>
      <c r="E15" s="6" t="n">
        <v>6222</v>
      </c>
      <c r="F15" s="6" t="n">
        <v>7582</v>
      </c>
      <c r="G15" s="6" t="n">
        <v>8980</v>
      </c>
      <c r="H15" s="6" t="n">
        <v>10491</v>
      </c>
      <c r="I15" s="6" t="n">
        <v>10954</v>
      </c>
      <c r="J15" s="6" t="n">
        <v>6796</v>
      </c>
      <c r="K15" s="6" t="n">
        <v>4008</v>
      </c>
      <c r="L15" s="6" t="n">
        <v>1897</v>
      </c>
      <c r="M15" s="6" t="n">
        <v>2310</v>
      </c>
      <c r="N15" s="6" t="n">
        <v>2031</v>
      </c>
    </row>
    <row r="16">
      <c r="A16" s="6" t="inlineStr">
        <is>
          <t>Net pension asset</t>
        </is>
      </c>
      <c r="B16" s="6" t="n">
        <v>2353</v>
      </c>
      <c r="C16" s="6" t="n">
        <v>2599</v>
      </c>
      <c r="D16" s="6" t="n">
        <v>2617</v>
      </c>
      <c r="E16" s="6" t="n">
        <v>2219</v>
      </c>
      <c r="F16" s="6" t="n">
        <v>5480</v>
      </c>
      <c r="G16" s="6" t="n">
        <v>756</v>
      </c>
      <c r="H16" s="6" t="n"/>
      <c r="I16" s="6" t="n"/>
      <c r="J16" s="6" t="n"/>
      <c r="K16" s="6" t="n"/>
      <c r="L16" s="6" t="n"/>
      <c r="M16" s="6" t="n"/>
      <c r="N16" s="6" t="n"/>
    </row>
    <row r="17">
      <c r="A17" s="5" t="inlineStr">
        <is>
          <t>Total assets</t>
        </is>
      </c>
      <c r="B17" s="5" t="n">
        <v>3318750</v>
      </c>
      <c r="C17" s="5" t="n">
        <v>3343466</v>
      </c>
      <c r="D17" s="5" t="n">
        <v>3001927</v>
      </c>
      <c r="E17" s="5" t="n">
        <v>3194745</v>
      </c>
      <c r="F17" s="5" t="n">
        <v>2782543</v>
      </c>
      <c r="G17" s="5" t="n">
        <v>2542898</v>
      </c>
      <c r="H17" s="5" t="n">
        <v>2779318</v>
      </c>
      <c r="I17" s="5" t="n">
        <v>3893852</v>
      </c>
      <c r="J17" s="5" t="n">
        <v>2952856</v>
      </c>
      <c r="K17" s="5" t="n">
        <v>2939264</v>
      </c>
      <c r="L17" s="5" t="n">
        <v>3021295</v>
      </c>
      <c r="M17" s="5" t="n">
        <v>2916417</v>
      </c>
      <c r="N17" s="5" t="n">
        <v>2402148</v>
      </c>
    </row>
    <row r="18">
      <c r="A18" s="5" t="inlineStr">
        <is>
          <t>Liabilities</t>
        </is>
      </c>
      <c r="B18" s="6" t="n"/>
      <c r="C18" s="6" t="n"/>
      <c r="D18" s="6" t="n"/>
      <c r="E18" s="6" t="n"/>
      <c r="F18" s="6" t="n"/>
      <c r="G18" s="6" t="n"/>
      <c r="H18" s="6" t="n"/>
      <c r="I18" s="6" t="n"/>
      <c r="J18" s="6" t="n"/>
      <c r="K18" s="6" t="n"/>
      <c r="L18" s="6" t="n"/>
      <c r="M18" s="6" t="n"/>
      <c r="N18" s="6" t="n"/>
    </row>
    <row r="19">
      <c r="A19" s="6" t="inlineStr">
        <is>
          <t>Derivatives</t>
        </is>
      </c>
      <c r="B19" s="6" t="n">
        <v>728</v>
      </c>
      <c r="C19" s="6" t="n">
        <v>1056</v>
      </c>
      <c r="D19" s="6" t="n">
        <v>46</v>
      </c>
      <c r="E19" s="6" t="n">
        <v>507</v>
      </c>
      <c r="F19" s="6" t="n">
        <v>1268</v>
      </c>
      <c r="G19" s="6" t="n">
        <v>5582</v>
      </c>
      <c r="H19" s="6" t="n">
        <v>3093</v>
      </c>
      <c r="I19" s="6" t="n">
        <v>1119</v>
      </c>
      <c r="J19" s="6" t="n">
        <v>1271</v>
      </c>
      <c r="K19" s="6" t="n">
        <v>1960</v>
      </c>
      <c r="L19" s="6" t="n">
        <v>806</v>
      </c>
      <c r="M19" s="6" t="n">
        <v>1342</v>
      </c>
      <c r="N19" s="6" t="n">
        <v>1014</v>
      </c>
    </row>
    <row r="20">
      <c r="A20" s="6" t="inlineStr">
        <is>
          <t>Deposits from banks</t>
        </is>
      </c>
      <c r="B20" s="6" t="n">
        <v>2110653</v>
      </c>
      <c r="C20" s="6" t="n">
        <v>2218623</v>
      </c>
      <c r="D20" s="6" t="n">
        <v>1960559</v>
      </c>
      <c r="E20" s="6" t="n">
        <v>2144470</v>
      </c>
      <c r="F20" s="6" t="n">
        <v>1876756</v>
      </c>
      <c r="G20" s="6" t="n">
        <v>1691853</v>
      </c>
      <c r="H20" s="6" t="n">
        <v>1836945</v>
      </c>
      <c r="I20" s="6" t="n">
        <v>3047548</v>
      </c>
      <c r="J20" s="6" t="n">
        <v>2095638</v>
      </c>
      <c r="K20" s="6" t="n">
        <v>2019036</v>
      </c>
      <c r="L20" s="6" t="n">
        <v>2107305</v>
      </c>
      <c r="M20" s="6" t="n">
        <v>1938136</v>
      </c>
      <c r="N20" s="6" t="n">
        <v>1452278</v>
      </c>
    </row>
    <row r="21">
      <c r="A21" s="6" t="inlineStr">
        <is>
          <t>Other deposits</t>
        </is>
      </c>
      <c r="B21" s="6" t="n">
        <v>828120</v>
      </c>
      <c r="C21" s="6" t="n">
        <v>758949</v>
      </c>
      <c r="D21" s="6" t="n">
        <v>699119</v>
      </c>
      <c r="E21" s="6" t="n">
        <v>737763</v>
      </c>
      <c r="F21" s="6" t="n">
        <v>604750</v>
      </c>
      <c r="G21" s="6" t="n">
        <v>549829</v>
      </c>
      <c r="H21" s="6" t="n">
        <v>674607</v>
      </c>
      <c r="I21" s="6" t="n">
        <v>585058</v>
      </c>
      <c r="J21" s="6" t="n">
        <v>555556</v>
      </c>
      <c r="K21" s="6" t="n">
        <v>622896</v>
      </c>
      <c r="L21" s="6" t="n">
        <v>627581</v>
      </c>
      <c r="M21" s="6" t="n">
        <v>686071</v>
      </c>
      <c r="N21" s="6" t="n">
        <v>674490</v>
      </c>
    </row>
    <row r="22">
      <c r="A22" s="6" t="inlineStr">
        <is>
          <t>Other liabilities, accruals and deferred income</t>
        </is>
      </c>
      <c r="B22" s="6" t="n">
        <v>29930</v>
      </c>
      <c r="C22" s="6" t="n">
        <v>29369</v>
      </c>
      <c r="D22" s="6" t="n">
        <v>33274</v>
      </c>
      <c r="E22" s="6" t="n">
        <v>27080</v>
      </c>
      <c r="F22" s="6" t="n">
        <v>17530</v>
      </c>
      <c r="G22" s="6" t="n">
        <v>25582</v>
      </c>
      <c r="H22" s="6" t="n">
        <v>14168</v>
      </c>
      <c r="I22" s="6" t="n">
        <v>16044</v>
      </c>
      <c r="J22" s="6" t="n">
        <v>10019</v>
      </c>
      <c r="K22" s="6" t="n">
        <v>7959</v>
      </c>
      <c r="L22" s="6" t="n">
        <v>10295</v>
      </c>
      <c r="M22" s="6" t="n">
        <v>24383</v>
      </c>
      <c r="N22" s="6" t="n">
        <v>16281</v>
      </c>
    </row>
    <row r="23">
      <c r="A23" s="6" t="inlineStr">
        <is>
          <t>Corporation tax payable</t>
        </is>
      </c>
      <c r="B23" s="6" t="n">
        <v>327</v>
      </c>
      <c r="C23" s="6" t="n">
        <v>810</v>
      </c>
      <c r="D23" s="6" t="n"/>
      <c r="E23" s="6" t="n"/>
      <c r="F23" s="6" t="n">
        <v>900</v>
      </c>
      <c r="G23" s="6" t="n">
        <v>794</v>
      </c>
      <c r="H23" s="6" t="n"/>
      <c r="I23" s="6" t="n"/>
      <c r="J23" s="6" t="n">
        <v>339</v>
      </c>
      <c r="K23" s="6" t="n"/>
      <c r="L23" s="6" t="n"/>
      <c r="M23" s="6" t="n"/>
      <c r="N23" s="6" t="n">
        <v>1264</v>
      </c>
    </row>
    <row r="24">
      <c r="A24" s="6" t="inlineStr">
        <is>
          <t>Deferred tax liabilities</t>
        </is>
      </c>
      <c r="B24" s="6" t="n">
        <v>1646</v>
      </c>
      <c r="C24" s="6" t="n">
        <v>2821</v>
      </c>
      <c r="D24" s="6" t="n">
        <v>1797</v>
      </c>
      <c r="E24" s="6" t="n"/>
      <c r="F24" s="6" t="n">
        <v>539</v>
      </c>
      <c r="G24" s="6" t="n">
        <v>15</v>
      </c>
      <c r="H24" s="6" t="n"/>
      <c r="I24" s="6" t="n"/>
      <c r="J24" s="6" t="n"/>
      <c r="K24" s="6" t="n"/>
      <c r="L24" s="6" t="n"/>
      <c r="M24" s="6" t="n">
        <v>1183</v>
      </c>
      <c r="N24" s="6" t="n">
        <v>179</v>
      </c>
    </row>
    <row r="25">
      <c r="A25" s="6" t="inlineStr">
        <is>
          <t>Net pension liability</t>
        </is>
      </c>
      <c r="B25" s="6" t="n"/>
      <c r="C25" s="6" t="n"/>
      <c r="D25" s="6" t="n"/>
      <c r="E25" s="6" t="n"/>
      <c r="F25" s="6" t="n"/>
      <c r="G25" s="6" t="n"/>
      <c r="H25" s="6" t="n">
        <v>741</v>
      </c>
      <c r="I25" s="6" t="n">
        <v>584</v>
      </c>
      <c r="J25" s="6" t="n">
        <v>898</v>
      </c>
      <c r="K25" s="6" t="n">
        <v>3607</v>
      </c>
      <c r="L25" s="6" t="n">
        <v>1831</v>
      </c>
      <c r="M25" s="6" t="n">
        <v>2614</v>
      </c>
      <c r="N25" s="6" t="n">
        <v>2673</v>
      </c>
    </row>
    <row r="26">
      <c r="A26" s="6" t="inlineStr">
        <is>
          <t>Subordinated liabilities</t>
        </is>
      </c>
      <c r="B26" s="6" t="n">
        <v>69006</v>
      </c>
      <c r="C26" s="6" t="n">
        <v>74226</v>
      </c>
      <c r="D26" s="6" t="n">
        <v>74554</v>
      </c>
      <c r="E26" s="6" t="n">
        <v>77659</v>
      </c>
      <c r="F26" s="6" t="n">
        <v>70514</v>
      </c>
      <c r="G26" s="6" t="n">
        <v>72036</v>
      </c>
      <c r="H26" s="6" t="n">
        <v>71870</v>
      </c>
      <c r="I26" s="6" t="n">
        <v>75321</v>
      </c>
      <c r="J26" s="6" t="n">
        <v>72302</v>
      </c>
      <c r="K26" s="6" t="n">
        <v>75413</v>
      </c>
      <c r="L26" s="6" t="n">
        <v>63307</v>
      </c>
      <c r="M26" s="6" t="n">
        <v>60519</v>
      </c>
      <c r="N26" s="6" t="n">
        <v>57141</v>
      </c>
    </row>
    <row r="27">
      <c r="A27" s="5" t="inlineStr">
        <is>
          <t>Total liabilities</t>
        </is>
      </c>
      <c r="B27" s="5" t="n">
        <v>3040410</v>
      </c>
      <c r="C27" s="5" t="n">
        <v>3085854</v>
      </c>
      <c r="D27" s="5" t="n">
        <v>2769349</v>
      </c>
      <c r="E27" s="5" t="n">
        <v>2987479</v>
      </c>
      <c r="F27" s="5" t="n">
        <v>2572257</v>
      </c>
      <c r="G27" s="5" t="n">
        <v>2345691</v>
      </c>
      <c r="H27" s="5" t="n">
        <v>2601424</v>
      </c>
      <c r="I27" s="5" t="n">
        <v>3725674</v>
      </c>
      <c r="J27" s="5" t="n">
        <v>2736023</v>
      </c>
      <c r="K27" s="5" t="n">
        <v>2730871</v>
      </c>
      <c r="L27" s="5" t="n">
        <v>2811125</v>
      </c>
      <c r="M27" s="5" t="n">
        <v>2714248</v>
      </c>
      <c r="N27" s="5" t="n">
        <v>2205320</v>
      </c>
    </row>
    <row r="28">
      <c r="A28" s="5" t="inlineStr">
        <is>
          <t>Equity</t>
        </is>
      </c>
      <c r="B28" s="6" t="n"/>
      <c r="C28" s="6" t="n"/>
      <c r="D28" s="6" t="n"/>
      <c r="E28" s="6" t="n"/>
      <c r="F28" s="6" t="n"/>
      <c r="G28" s="6" t="n"/>
      <c r="H28" s="6" t="n"/>
      <c r="I28" s="6" t="n"/>
      <c r="J28" s="6" t="n"/>
      <c r="K28" s="6" t="n"/>
      <c r="L28" s="6" t="n"/>
      <c r="M28" s="6" t="n"/>
      <c r="N28" s="6" t="n"/>
    </row>
    <row r="29">
      <c r="A29" s="6" t="inlineStr">
        <is>
          <t>Called up share capital</t>
        </is>
      </c>
      <c r="B29" s="6" t="n">
        <v>108069</v>
      </c>
      <c r="C29" s="6" t="n">
        <v>107097</v>
      </c>
      <c r="D29" s="6" t="n">
        <v>106377</v>
      </c>
      <c r="E29" s="6" t="n">
        <v>105592</v>
      </c>
      <c r="F29" s="6" t="n">
        <v>104357</v>
      </c>
      <c r="G29" s="6" t="n">
        <v>104357</v>
      </c>
      <c r="H29" s="6" t="n">
        <v>104357</v>
      </c>
      <c r="I29" s="6" t="n">
        <v>104357</v>
      </c>
      <c r="J29" s="6" t="n">
        <v>104149</v>
      </c>
      <c r="K29" s="6" t="n">
        <v>104149</v>
      </c>
      <c r="L29" s="6" t="n">
        <v>104149</v>
      </c>
      <c r="M29" s="6" t="n">
        <v>79453</v>
      </c>
      <c r="N29" s="6" t="n">
        <v>79453</v>
      </c>
    </row>
    <row r="30">
      <c r="A30" s="6" t="inlineStr">
        <is>
          <t>Capital redemption reserve</t>
        </is>
      </c>
      <c r="B30" s="6" t="n">
        <v>4104</v>
      </c>
      <c r="C30" s="6" t="n">
        <v>4104</v>
      </c>
      <c r="D30" s="6" t="n">
        <v>4104</v>
      </c>
      <c r="E30" s="6" t="n">
        <v>4104</v>
      </c>
      <c r="F30" s="6" t="n">
        <v>4104</v>
      </c>
      <c r="G30" s="6" t="n">
        <v>4104</v>
      </c>
      <c r="H30" s="6" t="n">
        <v>4104</v>
      </c>
      <c r="I30" s="6" t="n">
        <v>4104</v>
      </c>
      <c r="J30" s="6" t="n">
        <v>4104</v>
      </c>
      <c r="K30" s="6" t="n">
        <v>4104</v>
      </c>
      <c r="L30" s="6" t="n">
        <v>4104</v>
      </c>
      <c r="M30" s="6" t="n">
        <v>4104</v>
      </c>
      <c r="N30" s="6" t="n">
        <v>4104</v>
      </c>
    </row>
    <row r="31">
      <c r="A31" s="6" t="inlineStr">
        <is>
          <t>Other reserves</t>
        </is>
      </c>
      <c r="B31" s="6" t="n">
        <v>166167</v>
      </c>
      <c r="C31" s="6" t="n">
        <v>146411</v>
      </c>
      <c r="D31" s="6" t="n">
        <v>122097</v>
      </c>
      <c r="E31" s="6" t="n">
        <v>97570</v>
      </c>
      <c r="F31" s="6" t="n">
        <v>101825</v>
      </c>
      <c r="G31" s="6" t="n">
        <v>88746</v>
      </c>
      <c r="H31" s="6" t="n">
        <v>69433</v>
      </c>
      <c r="I31" s="6" t="n">
        <v>59717</v>
      </c>
      <c r="J31" s="6" t="n">
        <v>108580</v>
      </c>
      <c r="K31" s="6" t="n">
        <v>100140</v>
      </c>
      <c r="L31" s="6" t="n">
        <v>101917</v>
      </c>
      <c r="M31" s="6" t="n">
        <v>118612</v>
      </c>
      <c r="N31" s="6" t="n">
        <v>113271</v>
      </c>
    </row>
    <row r="32">
      <c r="A32" s="5" t="inlineStr">
        <is>
          <t>Total equity</t>
        </is>
      </c>
      <c r="B32" s="5" t="n">
        <v>278340</v>
      </c>
      <c r="C32" s="5" t="n">
        <v>257612</v>
      </c>
      <c r="D32" s="5" t="n">
        <v>232578</v>
      </c>
      <c r="E32" s="5" t="n">
        <v>207266</v>
      </c>
      <c r="F32" s="5" t="n">
        <v>210286</v>
      </c>
      <c r="G32" s="5" t="n">
        <v>197207</v>
      </c>
      <c r="H32" s="5" t="n">
        <v>177894</v>
      </c>
      <c r="I32" s="5" t="n">
        <v>168178</v>
      </c>
      <c r="J32" s="5" t="n">
        <v>216833</v>
      </c>
      <c r="K32" s="5" t="n">
        <v>208393</v>
      </c>
      <c r="L32" s="5" t="n">
        <v>210170</v>
      </c>
      <c r="M32" s="5" t="n">
        <v>202169</v>
      </c>
      <c r="N32" s="5" t="n">
        <v>196828</v>
      </c>
    </row>
    <row r="33">
      <c r="A33" s="5" t="inlineStr">
        <is>
          <t>Total liabilities and equity</t>
        </is>
      </c>
      <c r="B33" s="5" t="n">
        <v>3318750</v>
      </c>
      <c r="C33" s="5" t="n">
        <v>3343466</v>
      </c>
      <c r="D33" s="5" t="n">
        <v>3001927</v>
      </c>
      <c r="E33" s="5" t="n">
        <v>3194745</v>
      </c>
      <c r="F33" s="5" t="n">
        <v>2782543</v>
      </c>
      <c r="G33" s="5" t="n">
        <v>2542898</v>
      </c>
      <c r="H33" s="5" t="n">
        <v>2779318</v>
      </c>
      <c r="I33" s="5" t="n">
        <v>3893852</v>
      </c>
      <c r="J33" s="5" t="n">
        <v>2952856</v>
      </c>
      <c r="K33" s="5" t="n">
        <v>2939264</v>
      </c>
      <c r="L33" s="5" t="n">
        <v>3021295</v>
      </c>
      <c r="M33" s="5" t="n">
        <v>2916417</v>
      </c>
      <c r="N33" s="5" t="n">
        <v>2402148</v>
      </c>
    </row>
    <row r="35" ht="460" customHeight="1">
      <c r="A35"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FY2020: Annual Report YE2020, pp.2.2-2.3 - https://files.bacb.co.uk/production/files/BACB-Annual-Report-2020.pdf
FY2019: Annual Report YE2019, pp.2.2-2.3 - https://files.bacb.co.uk/production/files/BACB_AnnualReportYE2019-print-3-opt.pdf
FY2018: Annual Report YE2018, pp.2.2-2.3 - https://files.bacb.co.uk/production/files/BACB_AnnualReportYE2018-complete-6.pdf
FY2017: Annual Report (filename says 2018, cover/profit figures confirm FY2017), pp.28-30 - https://files.bacb.co.uk/production/files/BACB_AnnualReport_online-2018-v4.pdf
FY2016: Annual Report (filename says 2017, cover confirms FY2016), pp.27-29 - https://files.bacb.co.uk/production/files/BACB_AnnualReport_online-2017.pdf
FY2015: Annual Report YE2015, pp.28-30 - https://files.bacb.co.uk/production/files/Report-Financials-2015-FINAL-18032016.pdf
FY2014: Annual Report YE2014, pp.27-29 - https://files.bacb.co.uk/production/files/Annual-Report-2014-Final.pdf
FY2013: Full accounts made up to 31 December 2013, filed with Companies House 18 Mar 2014, pp.22-24 (Statement of Comprehensive Income / Statement of Financial Position / Statement of Changes in Equity) - https://find-and-update.company-information.service.gov.uk/company/01047302/filing-history/MzA5NjQ2MjMzMmFkaXF6a2N4/document?format=pdf&amp;download=0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t>
        </is>
      </c>
    </row>
  </sheetData>
  <mergeCells count="1">
    <mergeCell ref="A35:N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British Arab Commercial Bank PLC — Statement of Comprehensive Income</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Income</t>
        </is>
      </c>
      <c r="B4" s="6" t="n"/>
      <c r="C4" s="6" t="n"/>
      <c r="D4" s="6" t="n"/>
      <c r="E4" s="6" t="n"/>
      <c r="F4" s="6" t="n"/>
      <c r="G4" s="6" t="n"/>
      <c r="H4" s="6" t="n"/>
      <c r="I4" s="6" t="n"/>
      <c r="J4" s="6" t="n"/>
      <c r="K4" s="6" t="n"/>
      <c r="L4" s="6" t="n"/>
      <c r="M4" s="6" t="n"/>
      <c r="N4" s="6" t="n"/>
    </row>
    <row r="5">
      <c r="A5" s="6" t="inlineStr">
        <is>
          <t>Interest and similar income (or: calculated under effective interest method)</t>
        </is>
      </c>
      <c r="B5" s="6" t="n">
        <v>130031</v>
      </c>
      <c r="C5" s="6" t="n">
        <v>144622</v>
      </c>
      <c r="D5" s="6" t="n">
        <v>168035</v>
      </c>
      <c r="E5" s="6" t="n">
        <v>71950</v>
      </c>
      <c r="F5" s="6" t="n">
        <v>33156</v>
      </c>
      <c r="G5" s="6" t="n">
        <v>47746</v>
      </c>
      <c r="H5" s="6" t="n">
        <v>77416</v>
      </c>
      <c r="I5" s="6" t="n">
        <v>81564</v>
      </c>
      <c r="J5" s="6" t="n">
        <v>61614</v>
      </c>
      <c r="K5" s="6" t="n">
        <v>47872</v>
      </c>
      <c r="L5" s="6" t="n">
        <v>36234</v>
      </c>
      <c r="M5" s="6" t="n">
        <v>35464</v>
      </c>
      <c r="N5" s="6" t="n">
        <v>32643</v>
      </c>
    </row>
    <row r="6">
      <c r="A6" s="6" t="inlineStr">
        <is>
          <t>Interest income calculated using other method</t>
        </is>
      </c>
      <c r="B6" s="6" t="n">
        <v>34805</v>
      </c>
      <c r="C6" s="6" t="n">
        <v>38274</v>
      </c>
      <c r="D6" s="6" t="n"/>
      <c r="E6" s="6" t="n"/>
      <c r="F6" s="6" t="n"/>
      <c r="G6" s="6" t="n"/>
      <c r="H6" s="6" t="n"/>
      <c r="I6" s="6" t="n"/>
      <c r="J6" s="6" t="n"/>
      <c r="K6" s="6" t="n"/>
      <c r="L6" s="6" t="n"/>
      <c r="M6" s="6" t="n"/>
      <c r="N6" s="6" t="n"/>
    </row>
    <row r="7">
      <c r="A7" s="6" t="inlineStr">
        <is>
          <t>Interest expense and similar charges (or: calculated under effective interest method)</t>
        </is>
      </c>
      <c r="B7" s="6" t="n">
        <v>-101087</v>
      </c>
      <c r="C7" s="6" t="n">
        <v>-112061</v>
      </c>
      <c r="D7" s="6" t="n">
        <v>-103747</v>
      </c>
      <c r="E7" s="6" t="n">
        <v>-38301</v>
      </c>
      <c r="F7" s="6" t="n">
        <v>-12248</v>
      </c>
      <c r="G7" s="6" t="n">
        <v>-24196</v>
      </c>
      <c r="H7" s="6" t="n">
        <v>-47067</v>
      </c>
      <c r="I7" s="6" t="n">
        <v>-44358</v>
      </c>
      <c r="J7" s="6" t="n">
        <v>-33196</v>
      </c>
      <c r="K7" s="6" t="n">
        <v>-25397</v>
      </c>
      <c r="L7" s="6" t="n">
        <v>-18362</v>
      </c>
      <c r="M7" s="6" t="n">
        <v>-14195</v>
      </c>
      <c r="N7" s="6" t="n">
        <v>-17379</v>
      </c>
    </row>
    <row r="8">
      <c r="A8" s="6" t="inlineStr">
        <is>
          <t>Interest expense calculated using other method</t>
        </is>
      </c>
      <c r="B8" s="6" t="n">
        <v>-325</v>
      </c>
      <c r="C8" s="6" t="n">
        <v>-192</v>
      </c>
      <c r="D8" s="6" t="n"/>
      <c r="E8" s="6" t="n"/>
      <c r="F8" s="6" t="n"/>
      <c r="G8" s="6" t="n"/>
      <c r="H8" s="6" t="n"/>
      <c r="I8" s="6" t="n"/>
      <c r="J8" s="6" t="n"/>
      <c r="K8" s="6" t="n"/>
      <c r="L8" s="6" t="n"/>
      <c r="M8" s="6" t="n"/>
      <c r="N8" s="6" t="n"/>
    </row>
    <row r="9">
      <c r="A9" s="5" t="inlineStr">
        <is>
          <t>Net interest income</t>
        </is>
      </c>
      <c r="B9" s="5" t="n">
        <v>63424</v>
      </c>
      <c r="C9" s="5" t="n">
        <v>70643</v>
      </c>
      <c r="D9" s="5" t="n">
        <v>64288</v>
      </c>
      <c r="E9" s="5" t="n">
        <v>33649</v>
      </c>
      <c r="F9" s="5" t="n">
        <v>20908</v>
      </c>
      <c r="G9" s="5" t="n">
        <v>23550</v>
      </c>
      <c r="H9" s="5" t="n">
        <v>30349</v>
      </c>
      <c r="I9" s="5" t="n">
        <v>37206</v>
      </c>
      <c r="J9" s="5" t="n">
        <v>28418</v>
      </c>
      <c r="K9" s="5" t="n">
        <v>22475</v>
      </c>
      <c r="L9" s="5" t="n">
        <v>17872</v>
      </c>
      <c r="M9" s="5" t="n">
        <v>21269</v>
      </c>
      <c r="N9" s="5" t="n">
        <v>15264</v>
      </c>
    </row>
    <row r="10">
      <c r="A10" s="6" t="inlineStr">
        <is>
          <t>Fee and commission income</t>
        </is>
      </c>
      <c r="B10" s="6" t="n">
        <v>25974</v>
      </c>
      <c r="C10" s="6" t="n">
        <v>26821</v>
      </c>
      <c r="D10" s="6" t="n">
        <v>24098</v>
      </c>
      <c r="E10" s="6" t="n">
        <v>21653</v>
      </c>
      <c r="F10" s="6" t="n">
        <v>17502</v>
      </c>
      <c r="G10" s="6" t="n">
        <v>16971</v>
      </c>
      <c r="H10" s="6" t="n">
        <v>19488</v>
      </c>
      <c r="I10" s="6" t="n">
        <v>22667</v>
      </c>
      <c r="J10" s="6" t="n">
        <v>15609</v>
      </c>
      <c r="K10" s="6" t="n">
        <v>12335</v>
      </c>
      <c r="L10" s="6" t="n">
        <v>13658</v>
      </c>
      <c r="M10" s="6" t="n">
        <v>18880</v>
      </c>
      <c r="N10" s="6" t="n">
        <v>21084</v>
      </c>
    </row>
    <row r="11">
      <c r="A11" s="6" t="inlineStr">
        <is>
          <t>Fee and commission expense</t>
        </is>
      </c>
      <c r="B11" s="6" t="n">
        <v>-7360</v>
      </c>
      <c r="C11" s="6" t="n">
        <v>-6431</v>
      </c>
      <c r="D11" s="6" t="n">
        <v>-6977</v>
      </c>
      <c r="E11" s="6" t="n">
        <v>-4035</v>
      </c>
      <c r="F11" s="6" t="n">
        <v>-1599</v>
      </c>
      <c r="G11" s="6" t="n">
        <v>-1269</v>
      </c>
      <c r="H11" s="6" t="n">
        <v>-1098</v>
      </c>
      <c r="I11" s="6" t="n">
        <v>-372</v>
      </c>
      <c r="J11" s="6" t="n">
        <v>-325</v>
      </c>
      <c r="K11" s="6" t="n">
        <v>-357</v>
      </c>
      <c r="L11" s="6" t="n">
        <v>-443</v>
      </c>
      <c r="M11" s="6" t="n">
        <v>-643</v>
      </c>
      <c r="N11" s="6" t="n">
        <v>-652</v>
      </c>
    </row>
    <row r="12">
      <c r="A12" s="5" t="inlineStr">
        <is>
          <t>Net fee and commission income</t>
        </is>
      </c>
      <c r="B12" s="5" t="n">
        <v>18614</v>
      </c>
      <c r="C12" s="5" t="n">
        <v>20390</v>
      </c>
      <c r="D12" s="5" t="n">
        <v>17121</v>
      </c>
      <c r="E12" s="5" t="n">
        <v>17618</v>
      </c>
      <c r="F12" s="5" t="n">
        <v>15903</v>
      </c>
      <c r="G12" s="5" t="n">
        <v>15702</v>
      </c>
      <c r="H12" s="5" t="n">
        <v>18390</v>
      </c>
      <c r="I12" s="5" t="n">
        <v>22295</v>
      </c>
      <c r="J12" s="5" t="n">
        <v>15284</v>
      </c>
      <c r="K12" s="5" t="n">
        <v>11978</v>
      </c>
      <c r="L12" s="5" t="n">
        <v>13215</v>
      </c>
      <c r="M12" s="5" t="n">
        <v>18237</v>
      </c>
      <c r="N12" s="5" t="n">
        <v>20432</v>
      </c>
    </row>
    <row r="13">
      <c r="A13" s="6" t="inlineStr">
        <is>
          <t>Net trading (and other) income</t>
        </is>
      </c>
      <c r="B13" s="6" t="n">
        <v>9424</v>
      </c>
      <c r="C13" s="6" t="n">
        <v>6549</v>
      </c>
      <c r="D13" s="6" t="n">
        <v>5546</v>
      </c>
      <c r="E13" s="6" t="n">
        <v>6522</v>
      </c>
      <c r="F13" s="6" t="n">
        <v>3393</v>
      </c>
      <c r="G13" s="6" t="n">
        <v>2797</v>
      </c>
      <c r="H13" s="6" t="n">
        <v>13870</v>
      </c>
      <c r="I13" s="6" t="n">
        <v>5358</v>
      </c>
      <c r="J13" s="6" t="n">
        <v>4730</v>
      </c>
      <c r="K13" s="6" t="n">
        <v>6157</v>
      </c>
      <c r="L13" s="6" t="n">
        <v>6226</v>
      </c>
      <c r="M13" s="6" t="n">
        <v>6958</v>
      </c>
      <c r="N13" s="6" t="n">
        <v>7875</v>
      </c>
    </row>
    <row r="14">
      <c r="A14" s="6" t="inlineStr">
        <is>
          <t>Other operating income/(expense)</t>
        </is>
      </c>
      <c r="B14" s="6" t="n">
        <v>1301</v>
      </c>
      <c r="C14" s="6" t="n">
        <v>1068</v>
      </c>
      <c r="D14" s="6" t="n">
        <v>901</v>
      </c>
      <c r="E14" s="6" t="n">
        <v>-356</v>
      </c>
      <c r="F14" s="6" t="n">
        <v>1519</v>
      </c>
      <c r="G14" s="6" t="n">
        <v>2742</v>
      </c>
      <c r="H14" s="6" t="n">
        <v>1415</v>
      </c>
      <c r="I14" s="6" t="n">
        <v>-23</v>
      </c>
      <c r="J14" s="6" t="n">
        <v>4964</v>
      </c>
      <c r="K14" s="6" t="n">
        <v>2129</v>
      </c>
      <c r="L14" s="6" t="n">
        <v>1197</v>
      </c>
      <c r="M14" s="6" t="n">
        <v>1612</v>
      </c>
      <c r="N14" s="6" t="n">
        <v>596</v>
      </c>
    </row>
    <row r="15">
      <c r="A15" s="5" t="inlineStr">
        <is>
          <t>Operating income before allowance for credit losses</t>
        </is>
      </c>
      <c r="B15" s="5" t="n">
        <v>92763</v>
      </c>
      <c r="C15" s="5" t="n">
        <v>98650</v>
      </c>
      <c r="D15" s="5" t="n">
        <v>87856</v>
      </c>
      <c r="E15" s="5" t="n">
        <v>57433</v>
      </c>
      <c r="F15" s="5" t="n">
        <v>41723</v>
      </c>
      <c r="G15" s="5" t="n">
        <v>44791</v>
      </c>
      <c r="H15" s="5" t="n">
        <v>64024</v>
      </c>
      <c r="I15" s="5" t="n">
        <v>64836</v>
      </c>
      <c r="J15" s="5" t="n">
        <v>53396</v>
      </c>
      <c r="K15" s="5" t="n">
        <v>42739</v>
      </c>
      <c r="L15" s="5" t="n">
        <v>38510</v>
      </c>
      <c r="M15" s="5" t="n">
        <v>48076</v>
      </c>
      <c r="N15" s="5" t="n">
        <v>44167</v>
      </c>
    </row>
    <row r="16">
      <c r="A16" s="6" t="inlineStr">
        <is>
          <t>Allowance for credit losses (pre-2018: 'Loan impairments', single net figure)</t>
        </is>
      </c>
      <c r="B16" s="6" t="n">
        <v>-2313</v>
      </c>
      <c r="C16" s="6" t="n">
        <v>-3992</v>
      </c>
      <c r="D16" s="6" t="n">
        <v>-479</v>
      </c>
      <c r="E16" s="6" t="n">
        <v>-3306</v>
      </c>
      <c r="F16" s="6" t="n">
        <v>-1245</v>
      </c>
      <c r="G16" s="6" t="n">
        <v>-6902</v>
      </c>
      <c r="H16" s="6" t="n">
        <v>-18558</v>
      </c>
      <c r="I16" s="6" t="n">
        <v>-59043</v>
      </c>
      <c r="J16" s="6" t="n">
        <v>-10131</v>
      </c>
      <c r="K16" s="6" t="n">
        <v>-7122</v>
      </c>
      <c r="L16" s="6" t="n">
        <v>-18804</v>
      </c>
      <c r="M16" s="6" t="n">
        <v>-4962</v>
      </c>
      <c r="N16" s="6" t="n">
        <v>-2482</v>
      </c>
    </row>
    <row r="17">
      <c r="A17" s="6" t="inlineStr">
        <is>
          <t>Reversal of allowances booked in previous periods</t>
        </is>
      </c>
      <c r="B17" s="6" t="n">
        <v>5554</v>
      </c>
      <c r="C17" s="6" t="n">
        <v>5633</v>
      </c>
      <c r="D17" s="6" t="n">
        <v>2623</v>
      </c>
      <c r="E17" s="6" t="n">
        <v>1825</v>
      </c>
      <c r="F17" s="6" t="n">
        <v>12441</v>
      </c>
      <c r="G17" s="6" t="n">
        <v>13754</v>
      </c>
      <c r="H17" s="6" t="n"/>
      <c r="I17" s="6" t="n"/>
      <c r="J17" s="6" t="n"/>
      <c r="K17" s="6" t="n"/>
      <c r="L17" s="6" t="n"/>
      <c r="M17" s="6" t="n"/>
      <c r="N17" s="6" t="n"/>
    </row>
    <row r="18">
      <c r="A18" s="6" t="inlineStr">
        <is>
          <t>Recoveries of amounts written off in previous periods</t>
        </is>
      </c>
      <c r="B18" s="6" t="n"/>
      <c r="C18" s="6" t="n">
        <v>0</v>
      </c>
      <c r="D18" s="6" t="n">
        <v>1</v>
      </c>
      <c r="E18" s="6" t="n">
        <v>4</v>
      </c>
      <c r="F18" s="6" t="n">
        <v>547</v>
      </c>
      <c r="G18" s="6" t="n">
        <v>1293</v>
      </c>
      <c r="H18" s="6" t="n"/>
      <c r="I18" s="6" t="n"/>
      <c r="J18" s="6" t="n"/>
      <c r="K18" s="6" t="n"/>
      <c r="L18" s="6" t="n"/>
      <c r="M18" s="6" t="n"/>
      <c r="N18" s="6" t="n"/>
    </row>
    <row r="19">
      <c r="A19" s="5" t="inlineStr">
        <is>
          <t>Net reversals/(allowances) for credit losses</t>
        </is>
      </c>
      <c r="B19" s="5" t="n">
        <v>3241</v>
      </c>
      <c r="C19" s="5" t="n">
        <v>1641</v>
      </c>
      <c r="D19" s="5" t="n">
        <v>2145</v>
      </c>
      <c r="E19" s="5" t="n">
        <v>-1477</v>
      </c>
      <c r="F19" s="5" t="n">
        <v>11743</v>
      </c>
      <c r="G19" s="5" t="n">
        <v>8145</v>
      </c>
      <c r="H19" s="5" t="n">
        <v>-18558</v>
      </c>
      <c r="I19" s="5" t="n">
        <v>-59043</v>
      </c>
      <c r="J19" s="5" t="n">
        <v>-10131</v>
      </c>
      <c r="K19" s="5" t="n">
        <v>-7122</v>
      </c>
      <c r="L19" s="5" t="n">
        <v>-18804</v>
      </c>
      <c r="M19" s="5" t="n">
        <v>-4962</v>
      </c>
      <c r="N19" s="5" t="n">
        <v>-2482</v>
      </c>
    </row>
    <row r="20">
      <c r="A20" s="5" t="inlineStr">
        <is>
          <t>Net operating income</t>
        </is>
      </c>
      <c r="B20" s="5" t="n">
        <v>96004</v>
      </c>
      <c r="C20" s="5" t="n">
        <v>100291</v>
      </c>
      <c r="D20" s="5" t="n">
        <v>90001</v>
      </c>
      <c r="E20" s="5" t="n">
        <v>55956</v>
      </c>
      <c r="F20" s="5" t="n">
        <v>53466</v>
      </c>
      <c r="G20" s="5" t="n">
        <v>52936</v>
      </c>
      <c r="H20" s="5" t="n">
        <v>45466</v>
      </c>
      <c r="I20" s="5" t="n">
        <v>5793</v>
      </c>
      <c r="J20" s="5" t="n">
        <v>43265</v>
      </c>
      <c r="K20" s="5" t="n">
        <v>35617</v>
      </c>
      <c r="L20" s="5" t="n">
        <v>19706</v>
      </c>
      <c r="M20" s="5" t="n">
        <v>43114</v>
      </c>
      <c r="N20" s="5" t="n">
        <v>41685</v>
      </c>
    </row>
    <row r="21">
      <c r="A21" s="6" t="inlineStr">
        <is>
          <t>Administrative expenses</t>
        </is>
      </c>
      <c r="B21" s="6" t="n">
        <v>-64363</v>
      </c>
      <c r="C21" s="6" t="n">
        <v>-62082</v>
      </c>
      <c r="D21" s="6" t="n">
        <v>-53594</v>
      </c>
      <c r="E21" s="6" t="n">
        <v>-42031</v>
      </c>
      <c r="F21" s="6" t="n">
        <v>-38763</v>
      </c>
      <c r="G21" s="6" t="n">
        <v>-37014</v>
      </c>
      <c r="H21" s="6" t="n">
        <v>-37388</v>
      </c>
      <c r="I21" s="6" t="n">
        <v>-38018</v>
      </c>
      <c r="J21" s="6" t="n">
        <v>-36000</v>
      </c>
      <c r="K21" s="6" t="n">
        <v>-33038</v>
      </c>
      <c r="L21" s="6" t="n">
        <v>-34777</v>
      </c>
      <c r="M21" s="6" t="n">
        <v>-37603</v>
      </c>
      <c r="N21" s="6" t="n">
        <v>-23837</v>
      </c>
    </row>
    <row r="22">
      <c r="A22" s="6" t="inlineStr">
        <is>
          <t>Regulatory charge</t>
        </is>
      </c>
      <c r="B22" s="6" t="n"/>
      <c r="C22" s="6" t="n"/>
      <c r="D22" s="6" t="n"/>
      <c r="E22" s="6" t="n"/>
      <c r="F22" s="6" t="n"/>
      <c r="G22" s="6" t="n"/>
      <c r="H22" s="6" t="n"/>
      <c r="I22" s="6" t="n">
        <v>-3141</v>
      </c>
      <c r="J22" s="6" t="n"/>
      <c r="K22" s="6" t="n"/>
      <c r="L22" s="6" t="n"/>
      <c r="M22" s="6" t="n"/>
      <c r="N22" s="6" t="n"/>
    </row>
    <row r="23">
      <c r="A23" s="5" t="inlineStr">
        <is>
          <t>Profit before income tax</t>
        </is>
      </c>
      <c r="B23" s="5" t="n">
        <v>31641</v>
      </c>
      <c r="C23" s="5" t="n">
        <v>38209</v>
      </c>
      <c r="D23" s="5" t="n">
        <v>36407</v>
      </c>
      <c r="E23" s="5" t="n">
        <v>13925</v>
      </c>
      <c r="F23" s="5" t="n">
        <v>14703</v>
      </c>
      <c r="G23" s="5" t="n">
        <v>15922</v>
      </c>
      <c r="H23" s="5" t="n">
        <v>8078</v>
      </c>
      <c r="I23" s="5" t="n">
        <v>-35366</v>
      </c>
      <c r="J23" s="5" t="n">
        <v>7265</v>
      </c>
      <c r="K23" s="5" t="n">
        <v>2579</v>
      </c>
      <c r="L23" s="5" t="n">
        <v>-15071</v>
      </c>
      <c r="M23" s="5" t="n">
        <v>5511</v>
      </c>
      <c r="N23" s="5" t="n">
        <v>17848</v>
      </c>
    </row>
    <row r="24">
      <c r="A24" s="6" t="inlineStr">
        <is>
          <t>Income tax credit/(charge)</t>
        </is>
      </c>
      <c r="B24" s="6" t="n">
        <v>-7514</v>
      </c>
      <c r="C24" s="6" t="n">
        <v>-9454</v>
      </c>
      <c r="D24" s="6" t="n">
        <v>-8532</v>
      </c>
      <c r="E24" s="6" t="n">
        <v>1175</v>
      </c>
      <c r="F24" s="6" t="n">
        <v>-1668</v>
      </c>
      <c r="G24" s="6" t="n">
        <v>-1494</v>
      </c>
      <c r="H24" s="6" t="n">
        <v>-450</v>
      </c>
      <c r="I24" s="6" t="n">
        <v>58</v>
      </c>
      <c r="J24" s="6" t="n">
        <v>-440</v>
      </c>
      <c r="K24" s="6" t="n">
        <v>140</v>
      </c>
      <c r="L24" s="6" t="n">
        <v>566</v>
      </c>
      <c r="M24" s="6" t="n">
        <v>-782</v>
      </c>
      <c r="N24" s="6" t="n">
        <v>-4081</v>
      </c>
    </row>
    <row r="25">
      <c r="A25" s="5" t="inlineStr">
        <is>
          <t>Profit for the year</t>
        </is>
      </c>
      <c r="B25" s="5" t="n">
        <v>24127</v>
      </c>
      <c r="C25" s="5" t="n">
        <v>28755</v>
      </c>
      <c r="D25" s="5" t="n">
        <v>27875</v>
      </c>
      <c r="E25" s="5" t="n">
        <v>15100</v>
      </c>
      <c r="F25" s="5" t="n">
        <v>13035</v>
      </c>
      <c r="G25" s="5" t="n">
        <v>14428</v>
      </c>
      <c r="H25" s="5" t="n">
        <v>7628</v>
      </c>
      <c r="I25" s="5" t="n">
        <v>-35308</v>
      </c>
      <c r="J25" s="5" t="n">
        <v>6825</v>
      </c>
      <c r="K25" s="5" t="n">
        <v>2719</v>
      </c>
      <c r="L25" s="5" t="n">
        <v>-14505</v>
      </c>
      <c r="M25" s="5" t="n">
        <v>4729</v>
      </c>
      <c r="N25" s="5" t="n">
        <v>13767</v>
      </c>
    </row>
    <row r="26">
      <c r="A26" s="5" t="inlineStr">
        <is>
          <t>Other comprehensive income/(expense), net of tax</t>
        </is>
      </c>
      <c r="B26" s="6" t="n"/>
      <c r="C26" s="6" t="n"/>
      <c r="D26" s="6" t="n"/>
      <c r="E26" s="6" t="n"/>
      <c r="F26" s="6" t="n"/>
      <c r="G26" s="6" t="n"/>
      <c r="H26" s="6" t="n"/>
      <c r="I26" s="6" t="n"/>
      <c r="J26" s="6" t="n"/>
      <c r="K26" s="6" t="n"/>
      <c r="L26" s="6" t="n"/>
      <c r="M26" s="6" t="n"/>
      <c r="N26" s="6" t="n"/>
    </row>
    <row r="27">
      <c r="A27" s="6" t="inlineStr">
        <is>
          <t>Remeasurement of defined benefit liability</t>
        </is>
      </c>
      <c r="B27" s="6" t="n">
        <v>-219</v>
      </c>
      <c r="C27" s="6" t="n">
        <v>-1558</v>
      </c>
      <c r="D27" s="6" t="n">
        <v>-1257</v>
      </c>
      <c r="E27" s="6" t="n">
        <v>-4161</v>
      </c>
      <c r="F27" s="6" t="n">
        <v>3231</v>
      </c>
      <c r="G27" s="6" t="n">
        <v>298</v>
      </c>
      <c r="H27" s="6" t="n">
        <v>-1633</v>
      </c>
      <c r="I27" s="6" t="n">
        <v>-1075</v>
      </c>
      <c r="J27" s="6" t="n">
        <v>1277</v>
      </c>
      <c r="K27" s="6" t="n">
        <v>-3250</v>
      </c>
      <c r="L27" s="6" t="n">
        <v>141</v>
      </c>
      <c r="M27" s="6" t="n">
        <v>-1060</v>
      </c>
      <c r="N27" s="6" t="n">
        <v>299</v>
      </c>
    </row>
    <row r="28">
      <c r="A28" s="6" t="inlineStr">
        <is>
          <t>Revaluation gain/(loss) on equity investments designated at FVOCI</t>
        </is>
      </c>
      <c r="B28" s="6" t="n">
        <v>-244</v>
      </c>
      <c r="C28" s="6" t="n">
        <v>61</v>
      </c>
      <c r="D28" s="6" t="n">
        <v>-1048</v>
      </c>
      <c r="E28" s="6" t="n">
        <v>-376</v>
      </c>
      <c r="F28" s="6" t="n">
        <v>-138</v>
      </c>
      <c r="G28" s="6" t="n">
        <v>-48</v>
      </c>
      <c r="H28" s="6" t="n">
        <v>-139</v>
      </c>
      <c r="I28" s="6" t="n">
        <v>-928</v>
      </c>
      <c r="J28" s="6" t="n"/>
      <c r="K28" s="6" t="n"/>
      <c r="L28" s="6" t="n"/>
      <c r="M28" s="6" t="n"/>
      <c r="N28" s="6" t="n"/>
    </row>
    <row r="29">
      <c r="A29" s="6" t="inlineStr">
        <is>
          <t>Disposal of equity investment designated at FVOCI</t>
        </is>
      </c>
      <c r="B29" s="6" t="n"/>
      <c r="C29" s="6" t="n">
        <v>-161</v>
      </c>
      <c r="D29" s="6" t="n"/>
      <c r="E29" s="6" t="n"/>
      <c r="F29" s="6" t="n"/>
      <c r="G29" s="6" t="n"/>
      <c r="H29" s="6" t="n"/>
      <c r="I29" s="6" t="n"/>
      <c r="J29" s="6" t="n"/>
      <c r="K29" s="6" t="n"/>
      <c r="L29" s="6" t="n"/>
      <c r="M29" s="6" t="n"/>
      <c r="N29" s="6" t="n"/>
    </row>
    <row r="30">
      <c r="A30" s="6" t="inlineStr">
        <is>
          <t>Revaluation gain/(loss) on property, plant &amp; equipment</t>
        </is>
      </c>
      <c r="B30" s="6" t="n">
        <v>871</v>
      </c>
      <c r="C30" s="6" t="n">
        <v>778</v>
      </c>
      <c r="D30" s="6" t="n">
        <v>-3359</v>
      </c>
      <c r="E30" s="6" t="n">
        <v>7851</v>
      </c>
      <c r="F30" s="6" t="n"/>
      <c r="G30" s="6" t="n"/>
      <c r="H30" s="6" t="n"/>
      <c r="I30" s="6" t="n"/>
      <c r="J30" s="6" t="n"/>
      <c r="K30" s="6" t="n"/>
      <c r="L30" s="6" t="n"/>
      <c r="M30" s="6" t="n"/>
      <c r="N30" s="6" t="n"/>
    </row>
    <row r="31">
      <c r="A31" s="6" t="inlineStr">
        <is>
          <t>Related tax (items not reclassified to P&amp;L)</t>
        </is>
      </c>
      <c r="B31" s="6" t="n">
        <v>1379</v>
      </c>
      <c r="C31" s="6" t="n">
        <v>-420</v>
      </c>
      <c r="D31" s="6" t="n">
        <v>1109</v>
      </c>
      <c r="E31" s="6" t="n">
        <v>-1153</v>
      </c>
      <c r="F31" s="6" t="n">
        <v>-588</v>
      </c>
      <c r="G31" s="6" t="n">
        <v>-34</v>
      </c>
      <c r="H31" s="6" t="n">
        <v>303</v>
      </c>
      <c r="I31" s="6" t="n">
        <v>360</v>
      </c>
      <c r="J31" s="6" t="n">
        <v>-217</v>
      </c>
      <c r="K31" s="6" t="n">
        <v>494</v>
      </c>
      <c r="L31" s="6" t="n">
        <v>-28</v>
      </c>
      <c r="M31" s="6" t="n">
        <v>-14</v>
      </c>
      <c r="N31" s="6" t="n">
        <v>-166</v>
      </c>
    </row>
    <row r="32">
      <c r="A32" s="6" t="inlineStr">
        <is>
          <t>Change in fair value for debt securities designated at FVOCI</t>
        </is>
      </c>
      <c r="B32" s="6" t="n">
        <v>786</v>
      </c>
      <c r="C32" s="6" t="n">
        <v>2662</v>
      </c>
      <c r="D32" s="6" t="n">
        <v>9036</v>
      </c>
      <c r="E32" s="6" t="n">
        <v>-14178</v>
      </c>
      <c r="F32" s="6" t="n">
        <v>-3924</v>
      </c>
      <c r="G32" s="6" t="n">
        <v>2575</v>
      </c>
      <c r="H32" s="6" t="n">
        <v>4094</v>
      </c>
      <c r="I32" s="6" t="n">
        <v>-5950</v>
      </c>
      <c r="J32" s="6" t="n"/>
      <c r="K32" s="6" t="n"/>
      <c r="L32" s="6" t="n"/>
      <c r="M32" s="6" t="n"/>
      <c r="N32" s="6" t="n"/>
    </row>
    <row r="33">
      <c r="A33" s="6" t="inlineStr">
        <is>
          <t>Other Fair value adjustments</t>
        </is>
      </c>
      <c r="B33" s="6" t="n"/>
      <c r="C33" s="6" t="n"/>
      <c r="D33" s="6" t="n">
        <v>16</v>
      </c>
      <c r="E33" s="6" t="n"/>
      <c r="F33" s="6" t="n"/>
      <c r="G33" s="6" t="n"/>
      <c r="H33" s="6" t="n"/>
      <c r="I33" s="6" t="n"/>
      <c r="J33" s="6" t="n"/>
      <c r="K33" s="6" t="n"/>
      <c r="L33" s="6" t="n"/>
      <c r="M33" s="6" t="n"/>
      <c r="N33" s="6" t="n"/>
    </row>
    <row r="34">
      <c r="A34" s="6" t="inlineStr">
        <is>
          <t>Credit loss on debt securities at FVOCI transferred to P&amp;L</t>
        </is>
      </c>
      <c r="B34" s="6" t="n">
        <v>-128</v>
      </c>
      <c r="C34" s="6" t="n">
        <v>-18</v>
      </c>
      <c r="D34" s="6" t="n">
        <v>-79</v>
      </c>
      <c r="E34" s="6" t="n">
        <v>-57</v>
      </c>
      <c r="F34" s="6" t="n">
        <v>-218</v>
      </c>
      <c r="G34" s="6" t="n">
        <v>251</v>
      </c>
      <c r="H34" s="6" t="n">
        <v>-177</v>
      </c>
      <c r="I34" s="6" t="n">
        <v>445</v>
      </c>
      <c r="J34" s="6" t="n"/>
      <c r="K34" s="6" t="n"/>
      <c r="L34" s="6" t="n"/>
      <c r="M34" s="6" t="n"/>
      <c r="N34" s="6" t="n"/>
    </row>
    <row r="35">
      <c r="A35" s="6" t="inlineStr">
        <is>
          <t>FV gains on debt securities at FVOCI transferred to income upon derecognition</t>
        </is>
      </c>
      <c r="B35" s="6" t="n">
        <v>775</v>
      </c>
      <c r="C35" s="6" t="n">
        <v>508</v>
      </c>
      <c r="D35" s="6" t="n">
        <v>397</v>
      </c>
      <c r="E35" s="6" t="n">
        <v>-646</v>
      </c>
      <c r="F35" s="6" t="n">
        <v>1130</v>
      </c>
      <c r="G35" s="6" t="n">
        <v>2117</v>
      </c>
      <c r="H35" s="6" t="n">
        <v>1156</v>
      </c>
      <c r="I35" s="6" t="n">
        <v>373</v>
      </c>
      <c r="J35" s="6" t="n"/>
      <c r="K35" s="6" t="n"/>
      <c r="L35" s="6" t="n"/>
      <c r="M35" s="6" t="n"/>
      <c r="N35" s="6" t="n"/>
    </row>
    <row r="36">
      <c r="A36" s="6" t="inlineStr">
        <is>
          <t>Related tax (items that may be reclassified to P&amp;L)</t>
        </is>
      </c>
      <c r="B36" s="6" t="n">
        <v>-391</v>
      </c>
      <c r="C36" s="6" t="n">
        <v>-793</v>
      </c>
      <c r="D36" s="6" t="n">
        <v>-2163</v>
      </c>
      <c r="E36" s="6" t="n">
        <v>3349</v>
      </c>
      <c r="F36" s="6" t="n">
        <v>551</v>
      </c>
      <c r="G36" s="6" t="n">
        <v>-274</v>
      </c>
      <c r="H36" s="6" t="n">
        <v>-1516</v>
      </c>
      <c r="I36" s="6" t="n">
        <v>1085</v>
      </c>
      <c r="J36" s="6" t="n"/>
      <c r="K36" s="6" t="n"/>
      <c r="L36" s="6" t="n"/>
      <c r="M36" s="6" t="n"/>
      <c r="N36" s="6" t="n"/>
    </row>
    <row r="37">
      <c r="A37" s="6" t="inlineStr">
        <is>
          <t>Change in fair value of available for sale financial assets (pre-2018, AFS reserve)</t>
        </is>
      </c>
      <c r="B37" s="6" t="n"/>
      <c r="C37" s="6" t="n"/>
      <c r="D37" s="6" t="n"/>
      <c r="E37" s="6" t="n"/>
      <c r="F37" s="6" t="n"/>
      <c r="G37" s="6" t="n"/>
      <c r="H37" s="6" t="n"/>
      <c r="I37" s="6" t="n"/>
      <c r="J37" s="6" t="n">
        <v>5137</v>
      </c>
      <c r="K37" s="6" t="n">
        <v>3522</v>
      </c>
      <c r="L37" s="6" t="n">
        <v>-3571</v>
      </c>
      <c r="M37" s="6" t="n">
        <v>-358</v>
      </c>
      <c r="N37" s="6" t="n">
        <v>976</v>
      </c>
    </row>
    <row r="38">
      <c r="A38" s="6" t="inlineStr">
        <is>
          <t>Fair value (losses)/gains on AFS assets transferred to income (pre-2018, AFS reserve)</t>
        </is>
      </c>
      <c r="B38" s="6" t="n"/>
      <c r="C38" s="6" t="n"/>
      <c r="D38" s="6" t="n"/>
      <c r="E38" s="6" t="n"/>
      <c r="F38" s="6" t="n"/>
      <c r="G38" s="6" t="n"/>
      <c r="H38" s="6" t="n"/>
      <c r="I38" s="6" t="n"/>
      <c r="J38" s="6" t="n">
        <v>-4587</v>
      </c>
      <c r="K38" s="6" t="n">
        <v>-5279</v>
      </c>
      <c r="L38" s="6" t="n">
        <v>690</v>
      </c>
      <c r="M38" s="6" t="n">
        <v>2461</v>
      </c>
      <c r="N38" s="6" t="n">
        <v>-588</v>
      </c>
    </row>
    <row r="39">
      <c r="A39" s="6" t="inlineStr">
        <is>
          <t>Related tax (pre-2018, AFS reserve items)</t>
        </is>
      </c>
      <c r="B39" s="6" t="n"/>
      <c r="C39" s="6" t="n"/>
      <c r="D39" s="6" t="n"/>
      <c r="E39" s="6" t="n"/>
      <c r="F39" s="6" t="n"/>
      <c r="G39" s="6" t="n"/>
      <c r="H39" s="6" t="n"/>
      <c r="I39" s="6" t="n"/>
      <c r="J39" s="6" t="n">
        <v>5</v>
      </c>
      <c r="K39" s="6" t="n">
        <v>17</v>
      </c>
      <c r="L39" s="6" t="n">
        <v>578</v>
      </c>
      <c r="M39" s="6" t="n">
        <v>-417</v>
      </c>
      <c r="N39" s="6" t="n">
        <v>-30</v>
      </c>
    </row>
    <row r="40">
      <c r="A40" s="5" t="inlineStr">
        <is>
          <t>Other comprehensive income/(expense) for the year, net of tax</t>
        </is>
      </c>
      <c r="B40" s="5" t="n">
        <v>2829</v>
      </c>
      <c r="C40" s="5" t="n">
        <v>1059</v>
      </c>
      <c r="D40" s="5" t="n">
        <v>2636</v>
      </c>
      <c r="E40" s="5" t="n">
        <v>-9371</v>
      </c>
      <c r="F40" s="5" t="n">
        <v>44</v>
      </c>
      <c r="G40" s="5" t="n">
        <v>4885</v>
      </c>
      <c r="H40" s="5" t="n">
        <v>2088</v>
      </c>
      <c r="I40" s="5" t="n">
        <v>-5690</v>
      </c>
      <c r="J40" s="5" t="n">
        <v>1615</v>
      </c>
      <c r="K40" s="5" t="n">
        <v>-4496</v>
      </c>
      <c r="L40" s="5" t="n">
        <v>-2190</v>
      </c>
      <c r="M40" s="5" t="n">
        <v>612</v>
      </c>
      <c r="N40" s="5" t="n">
        <v>491</v>
      </c>
    </row>
    <row r="41">
      <c r="A41" s="5" t="inlineStr">
        <is>
          <t>Total comprehensive income for the year</t>
        </is>
      </c>
      <c r="B41" s="5" t="n">
        <v>26956</v>
      </c>
      <c r="C41" s="5" t="n">
        <v>29814</v>
      </c>
      <c r="D41" s="5" t="n">
        <v>30511</v>
      </c>
      <c r="E41" s="5" t="n">
        <v>5729</v>
      </c>
      <c r="F41" s="5" t="n">
        <v>13079</v>
      </c>
      <c r="G41" s="5" t="n">
        <v>19313</v>
      </c>
      <c r="H41" s="5" t="n">
        <v>9716</v>
      </c>
      <c r="I41" s="5" t="n">
        <v>-40998</v>
      </c>
      <c r="J41" s="5" t="n">
        <v>8440</v>
      </c>
      <c r="K41" s="5" t="n">
        <v>-1777</v>
      </c>
      <c r="L41" s="5" t="n">
        <v>-16695</v>
      </c>
      <c r="M41" s="5" t="n">
        <v>5341</v>
      </c>
      <c r="N41" s="5" t="n">
        <v>14258</v>
      </c>
    </row>
    <row r="43" ht="460" customHeight="1">
      <c r="A43"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FY2020: Annual Report YE2020, pp.2.2-2.3 - https://files.bacb.co.uk/production/files/BACB-Annual-Report-2020.pdf
FY2019: Annual Report YE2019, pp.2.2-2.3 - https://files.bacb.co.uk/production/files/BACB_AnnualReportYE2019-print-3-opt.pdf
FY2018: Annual Report YE2018, pp.2.2-2.3 - https://files.bacb.co.uk/production/files/BACB_AnnualReportYE2018-complete-6.pdf
FY2017: Annual Report (filename says 2018, cover/profit figures confirm FY2017), pp.28-30 - https://files.bacb.co.uk/production/files/BACB_AnnualReport_online-2018-v4.pdf
FY2016: Annual Report (filename says 2017, cover confirms FY2016), pp.27-29 - https://files.bacb.co.uk/production/files/BACB_AnnualReport_online-2017.pdf
FY2015: Annual Report YE2015, pp.28-30 - https://files.bacb.co.uk/production/files/Report-Financials-2015-FINAL-18032016.pdf
FY2014: Annual Report YE2014, pp.27-29 - https://files.bacb.co.uk/production/files/Annual-Report-2014-Final.pdf
FY2013: Full accounts made up to 31 December 2013, filed with Companies House 18 Mar 2014, pp.22-24 (Statement of Comprehensive Income / Statement of Financial Position / Statement of Changes in Equity) - https://find-and-update.company-information.service.gov.uk/company/01047302/filing-history/MzA5NjQ2MjMzMmFkaXF6a2N4/document?format=pdf&amp;download=0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t>
        </is>
      </c>
    </row>
  </sheetData>
  <mergeCells count="1">
    <mergeCell ref="A43:N4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British Arab Commercial Bank PLC — Statement of Changes in Equity</t>
        </is>
      </c>
    </row>
    <row r="2">
      <c r="A2" s="2" t="inlineStr">
        <is>
          <t>Bank entity basis, £'000. Chronological roll-forward, oldest to newest. GBP throughout, no FX conversion.</t>
        </is>
      </c>
    </row>
    <row r="3">
      <c r="A3" s="4" t="inlineStr">
        <is>
          <t>Movement</t>
        </is>
      </c>
      <c r="B3" s="4" t="inlineStr">
        <is>
          <t>Share capital</t>
        </is>
      </c>
      <c r="C3" s="4" t="inlineStr">
        <is>
          <t>Capital redemption reserve</t>
        </is>
      </c>
      <c r="D3" s="4" t="inlineStr">
        <is>
          <t>Retained earnings</t>
        </is>
      </c>
      <c r="E3" s="4" t="inlineStr">
        <is>
          <t>Revaluation reserve</t>
        </is>
      </c>
      <c r="F3" s="4" t="inlineStr">
        <is>
          <t>Fair Value reserve</t>
        </is>
      </c>
      <c r="G3" s="4" t="inlineStr">
        <is>
          <t>Total equity</t>
        </is>
      </c>
    </row>
    <row r="4">
      <c r="A4" s="5" t="inlineStr">
        <is>
          <t>Balance at 31 December 2012 (per FY2013's own report)</t>
        </is>
      </c>
      <c r="B4" s="5" t="n">
        <v>79453</v>
      </c>
      <c r="C4" s="5" t="n">
        <v>4104</v>
      </c>
      <c r="D4" s="5" t="n">
        <v>103050</v>
      </c>
      <c r="E4" s="5" t="n"/>
      <c r="F4" s="5" t="n">
        <v>3163</v>
      </c>
      <c r="G4" s="5" t="n">
        <v>189770</v>
      </c>
    </row>
    <row r="5">
      <c r="A5" s="6" t="inlineStr">
        <is>
          <t>Profit for the year (FY2013)</t>
        </is>
      </c>
      <c r="B5" s="6" t="n"/>
      <c r="C5" s="6" t="n"/>
      <c r="D5" s="6" t="n">
        <v>13767</v>
      </c>
      <c r="E5" s="6" t="n"/>
      <c r="F5" s="6" t="n"/>
      <c r="G5" s="6" t="n">
        <v>13767</v>
      </c>
    </row>
    <row r="6">
      <c r="A6" s="6" t="inlineStr">
        <is>
          <t>Other comprehensive income (FY2013)</t>
        </is>
      </c>
      <c r="B6" s="6" t="n"/>
      <c r="C6" s="6" t="n"/>
      <c r="D6" s="6" t="n">
        <v>133</v>
      </c>
      <c r="E6" s="6" t="n"/>
      <c r="F6" s="6" t="n">
        <v>358</v>
      </c>
      <c r="G6" s="6" t="n">
        <v>491</v>
      </c>
    </row>
    <row r="7">
      <c r="A7" s="6" t="inlineStr">
        <is>
          <t>Dividend relating to 2012, paid in FY2013</t>
        </is>
      </c>
      <c r="B7" s="6" t="n"/>
      <c r="C7" s="6" t="n"/>
      <c r="D7" s="6" t="n">
        <v>-7200</v>
      </c>
      <c r="E7" s="6" t="n"/>
      <c r="F7" s="6" t="n"/>
      <c r="G7" s="6" t="n">
        <v>-7200</v>
      </c>
    </row>
    <row r="8">
      <c r="A8" s="5" t="inlineStr">
        <is>
          <t>Balance at 1 January 2014 (= 31 December 2013, per FY2014's own report)</t>
        </is>
      </c>
      <c r="B8" s="5" t="n">
        <v>79453</v>
      </c>
      <c r="C8" s="5" t="n">
        <v>4104</v>
      </c>
      <c r="D8" s="5" t="n">
        <v>109750</v>
      </c>
      <c r="E8" s="5" t="n"/>
      <c r="F8" s="5" t="n">
        <v>3521</v>
      </c>
      <c r="G8" s="5" t="n">
        <v>196828</v>
      </c>
    </row>
    <row r="9">
      <c r="A9" s="6" t="inlineStr">
        <is>
          <t>Profit for the year (FY2014)</t>
        </is>
      </c>
      <c r="B9" s="6" t="n"/>
      <c r="C9" s="6" t="n"/>
      <c r="D9" s="6" t="n">
        <v>4729</v>
      </c>
      <c r="E9" s="6" t="n"/>
      <c r="F9" s="6" t="n"/>
      <c r="G9" s="6" t="n">
        <v>4729</v>
      </c>
    </row>
    <row r="10">
      <c r="A10" s="6" t="inlineStr">
        <is>
          <t>Other comprehensive income/(expense) (FY2014)</t>
        </is>
      </c>
      <c r="B10" s="6" t="n"/>
      <c r="C10" s="6" t="n"/>
      <c r="D10" s="6" t="n">
        <v>-1074</v>
      </c>
      <c r="E10" s="6" t="n"/>
      <c r="F10" s="6" t="n">
        <v>1686</v>
      </c>
      <c r="G10" s="6" t="n">
        <v>612</v>
      </c>
    </row>
    <row r="11">
      <c r="A11" s="5" t="inlineStr">
        <is>
          <t>Balance at 31 December 2014</t>
        </is>
      </c>
      <c r="B11" s="5" t="n">
        <v>79453</v>
      </c>
      <c r="C11" s="5" t="n">
        <v>4104</v>
      </c>
      <c r="D11" s="5" t="n">
        <v>113405</v>
      </c>
      <c r="E11" s="5" t="n"/>
      <c r="F11" s="5" t="n">
        <v>5207</v>
      </c>
      <c r="G11" s="5" t="n">
        <v>202169</v>
      </c>
    </row>
    <row r="12">
      <c r="A12" s="6" t="inlineStr">
        <is>
          <t>Loss for the year (FY2015)</t>
        </is>
      </c>
      <c r="B12" s="6" t="n"/>
      <c r="C12" s="6" t="n"/>
      <c r="D12" s="6" t="n">
        <v>-14505</v>
      </c>
      <c r="E12" s="6" t="n"/>
      <c r="F12" s="6" t="n"/>
      <c r="G12" s="6" t="n">
        <v>-14505</v>
      </c>
    </row>
    <row r="13">
      <c r="A13" s="6" t="inlineStr">
        <is>
          <t>Other comprehensive income/(expense) (FY2015)</t>
        </is>
      </c>
      <c r="B13" s="6" t="n"/>
      <c r="C13" s="6" t="n"/>
      <c r="D13" s="6" t="n">
        <v>113</v>
      </c>
      <c r="E13" s="6" t="n"/>
      <c r="F13" s="6" t="n">
        <v>-2303</v>
      </c>
      <c r="G13" s="6" t="n">
        <v>-2190</v>
      </c>
    </row>
    <row r="14">
      <c r="A14" s="6" t="inlineStr">
        <is>
          <t>Issue of ordinary shares (FY2015)</t>
        </is>
      </c>
      <c r="B14" s="6" t="n">
        <v>24696</v>
      </c>
      <c r="C14" s="6" t="n"/>
      <c r="D14" s="6" t="n"/>
      <c r="E14" s="6" t="n"/>
      <c r="F14" s="6" t="n"/>
      <c r="G14" s="6" t="n">
        <v>24696</v>
      </c>
    </row>
    <row r="15">
      <c r="A15" s="5" t="inlineStr">
        <is>
          <t>Balance at 31 December 2015</t>
        </is>
      </c>
      <c r="B15" s="5" t="n">
        <v>104149</v>
      </c>
      <c r="C15" s="5" t="n">
        <v>4104</v>
      </c>
      <c r="D15" s="5" t="n">
        <v>99013</v>
      </c>
      <c r="E15" s="5" t="n"/>
      <c r="F15" s="5" t="n">
        <v>2904</v>
      </c>
      <c r="G15" s="5" t="n">
        <v>210170</v>
      </c>
    </row>
    <row r="16">
      <c r="A16" s="6" t="inlineStr">
        <is>
          <t>Profit for the year (FY2016)</t>
        </is>
      </c>
      <c r="B16" s="6" t="n"/>
      <c r="C16" s="6" t="n"/>
      <c r="D16" s="6" t="n">
        <v>2719</v>
      </c>
      <c r="E16" s="6" t="n"/>
      <c r="F16" s="6" t="n"/>
      <c r="G16" s="6" t="n">
        <v>2719</v>
      </c>
    </row>
    <row r="17">
      <c r="A17" s="6" t="inlineStr">
        <is>
          <t>Other comprehensive (loss) (FY2016)</t>
        </is>
      </c>
      <c r="B17" s="6" t="n"/>
      <c r="C17" s="6" t="n"/>
      <c r="D17" s="6" t="n">
        <v>-2756</v>
      </c>
      <c r="E17" s="6" t="n"/>
      <c r="F17" s="6" t="n">
        <v>-1740</v>
      </c>
      <c r="G17" s="6" t="n">
        <v>-4496</v>
      </c>
    </row>
    <row r="18">
      <c r="A18" s="5" t="inlineStr">
        <is>
          <t>Balance at 31 December 2016</t>
        </is>
      </c>
      <c r="B18" s="5" t="n">
        <v>104149</v>
      </c>
      <c r="C18" s="5" t="n">
        <v>4104</v>
      </c>
      <c r="D18" s="5" t="n">
        <v>98976</v>
      </c>
      <c r="E18" s="5" t="n"/>
      <c r="F18" s="5" t="n">
        <v>1164</v>
      </c>
      <c r="G18" s="5" t="n">
        <v>208393</v>
      </c>
    </row>
    <row r="19">
      <c r="A19" s="6" t="inlineStr">
        <is>
          <t>Profit for the year (FY2017)</t>
        </is>
      </c>
      <c r="B19" s="6" t="n"/>
      <c r="C19" s="6" t="n"/>
      <c r="D19" s="6" t="n">
        <v>6825</v>
      </c>
      <c r="E19" s="6" t="n"/>
      <c r="F19" s="6" t="n"/>
      <c r="G19" s="6" t="n">
        <v>6825</v>
      </c>
    </row>
    <row r="20">
      <c r="A20" s="6" t="inlineStr">
        <is>
          <t>Other comprehensive income (FY2017)</t>
        </is>
      </c>
      <c r="B20" s="6" t="n"/>
      <c r="C20" s="6" t="n"/>
      <c r="D20" s="6" t="n">
        <v>1060</v>
      </c>
      <c r="E20" s="6" t="n"/>
      <c r="F20" s="6" t="n">
        <v>555</v>
      </c>
      <c r="G20" s="6" t="n">
        <v>1615</v>
      </c>
    </row>
    <row r="21">
      <c r="A21" s="5" t="inlineStr">
        <is>
          <t>Balance at 31 December 2017</t>
        </is>
      </c>
      <c r="B21" s="5" t="n">
        <v>104149</v>
      </c>
      <c r="C21" s="5" t="n">
        <v>4104</v>
      </c>
      <c r="D21" s="5" t="n">
        <v>106861</v>
      </c>
      <c r="E21" s="5" t="n"/>
      <c r="F21" s="5" t="n">
        <v>1719</v>
      </c>
      <c r="G21" s="5" t="n">
        <v>216833</v>
      </c>
    </row>
    <row r="22">
      <c r="A22" s="6" t="inlineStr">
        <is>
          <t>IFRS 9 initial application - impairment adjustment (1 Jan 2018)</t>
        </is>
      </c>
      <c r="B22" s="6" t="n"/>
      <c r="C22" s="6" t="n"/>
      <c r="D22" s="6" t="n">
        <v>-7447</v>
      </c>
      <c r="E22" s="6" t="n"/>
      <c r="F22" s="6" t="n"/>
      <c r="G22" s="6" t="n">
        <v>-7447</v>
      </c>
    </row>
    <row r="23">
      <c r="A23" s="6" t="inlineStr">
        <is>
          <t>IFRS 9 initial application - DTA impact (1 Jan 2018)</t>
        </is>
      </c>
      <c r="B23" s="6" t="n"/>
      <c r="C23" s="6" t="n"/>
      <c r="D23" s="6" t="n">
        <v>1288</v>
      </c>
      <c r="E23" s="6" t="n"/>
      <c r="F23" s="6" t="n"/>
      <c r="G23" s="6" t="n">
        <v>1288</v>
      </c>
    </row>
    <row r="24">
      <c r="A24" s="5" t="inlineStr">
        <is>
          <t>Restated balance at 1 January 2018</t>
        </is>
      </c>
      <c r="B24" s="5" t="n">
        <v>104149</v>
      </c>
      <c r="C24" s="5" t="n">
        <v>4104</v>
      </c>
      <c r="D24" s="5" t="n">
        <v>100702</v>
      </c>
      <c r="E24" s="5" t="n"/>
      <c r="F24" s="5" t="n">
        <v>1719</v>
      </c>
      <c r="G24" s="5" t="n">
        <v>210674</v>
      </c>
    </row>
    <row r="25">
      <c r="A25" s="6" t="inlineStr">
        <is>
          <t>Loss for the year (FY2018)</t>
        </is>
      </c>
      <c r="B25" s="6" t="n"/>
      <c r="C25" s="6" t="n"/>
      <c r="D25" s="6" t="n">
        <v>-35308</v>
      </c>
      <c r="E25" s="6" t="n"/>
      <c r="F25" s="6" t="n"/>
      <c r="G25" s="6" t="n">
        <v>-35308</v>
      </c>
    </row>
    <row r="26">
      <c r="A26" s="6" t="inlineStr">
        <is>
          <t>Other comprehensive income/(expense) (FY2018)</t>
        </is>
      </c>
      <c r="B26" s="6" t="n"/>
      <c r="C26" s="6" t="n"/>
      <c r="D26" s="6" t="n">
        <v>-892</v>
      </c>
      <c r="E26" s="6" t="n"/>
      <c r="F26" s="6" t="n">
        <v>-4798</v>
      </c>
      <c r="G26" s="6" t="n">
        <v>-5690</v>
      </c>
    </row>
    <row r="27">
      <c r="A27" s="6" t="inlineStr">
        <is>
          <t>Issue of ordinary shares (FY2018)</t>
        </is>
      </c>
      <c r="B27" s="6" t="n">
        <v>208</v>
      </c>
      <c r="C27" s="6" t="n"/>
      <c r="D27" s="6" t="n">
        <v>-208</v>
      </c>
      <c r="E27" s="6" t="n"/>
      <c r="F27" s="6" t="n"/>
      <c r="G27" s="6" t="n">
        <v>0</v>
      </c>
    </row>
    <row r="28">
      <c r="A28" s="6" t="inlineStr">
        <is>
          <t>Dividends (FY2018)</t>
        </is>
      </c>
      <c r="B28" s="6" t="n"/>
      <c r="C28" s="6" t="n"/>
      <c r="D28" s="6" t="n">
        <v>-1498</v>
      </c>
      <c r="E28" s="6" t="n"/>
      <c r="F28" s="6" t="n"/>
      <c r="G28" s="6" t="n">
        <v>-1498</v>
      </c>
    </row>
    <row r="29">
      <c r="A29" s="5" t="inlineStr">
        <is>
          <t>Balance at 31 December 2018</t>
        </is>
      </c>
      <c r="B29" s="5" t="n">
        <v>104357</v>
      </c>
      <c r="C29" s="5" t="n">
        <v>4104</v>
      </c>
      <c r="D29" s="5" t="n">
        <v>62796</v>
      </c>
      <c r="E29" s="5" t="n"/>
      <c r="F29" s="5" t="n">
        <v>-3079</v>
      </c>
      <c r="G29" s="5" t="n">
        <v>168178</v>
      </c>
    </row>
    <row r="30">
      <c r="A30" s="6" t="inlineStr">
        <is>
          <t>Profit for the year (FY2019)</t>
        </is>
      </c>
      <c r="B30" s="6" t="n"/>
      <c r="C30" s="6" t="n"/>
      <c r="D30" s="6" t="n">
        <v>7628</v>
      </c>
      <c r="E30" s="6" t="n"/>
      <c r="F30" s="6" t="n"/>
      <c r="G30" s="6" t="n">
        <v>7628</v>
      </c>
    </row>
    <row r="31">
      <c r="A31" s="6" t="inlineStr">
        <is>
          <t>Other comprehensive (loss)/income (FY2019)</t>
        </is>
      </c>
      <c r="B31" s="6" t="n"/>
      <c r="C31" s="6" t="n"/>
      <c r="D31" s="6" t="n">
        <v>-1355</v>
      </c>
      <c r="E31" s="6" t="n"/>
      <c r="F31" s="6" t="n">
        <v>3443</v>
      </c>
      <c r="G31" s="6" t="n">
        <v>2088</v>
      </c>
    </row>
    <row r="32">
      <c r="A32" s="5" t="inlineStr">
        <is>
          <t>Balance at 31 December 2019</t>
        </is>
      </c>
      <c r="B32" s="5" t="n">
        <v>104357</v>
      </c>
      <c r="C32" s="5" t="n">
        <v>4104</v>
      </c>
      <c r="D32" s="5" t="n">
        <v>69069</v>
      </c>
      <c r="E32" s="5" t="n"/>
      <c r="F32" s="5" t="n">
        <v>364</v>
      </c>
      <c r="G32" s="5" t="n">
        <v>177894</v>
      </c>
    </row>
    <row r="33">
      <c r="A33" s="6" t="inlineStr">
        <is>
          <t>Profit for the year (FY2020)</t>
        </is>
      </c>
      <c r="B33" s="6" t="n"/>
      <c r="C33" s="6" t="n"/>
      <c r="D33" s="6" t="n">
        <v>14428</v>
      </c>
      <c r="E33" s="6" t="n"/>
      <c r="F33" s="6" t="n"/>
      <c r="G33" s="6" t="n">
        <v>14428</v>
      </c>
    </row>
    <row r="34">
      <c r="A34" s="6" t="inlineStr">
        <is>
          <t>Other comprehensive income (FY2020)</t>
        </is>
      </c>
      <c r="B34" s="6" t="n"/>
      <c r="C34" s="6" t="n"/>
      <c r="D34" s="6" t="n">
        <v>254</v>
      </c>
      <c r="E34" s="6" t="n"/>
      <c r="F34" s="6" t="n">
        <v>4631</v>
      </c>
      <c r="G34" s="6" t="n">
        <v>4885</v>
      </c>
    </row>
    <row r="35">
      <c r="A35" s="5" t="inlineStr">
        <is>
          <t>Balance at 31 December 2020</t>
        </is>
      </c>
      <c r="B35" s="5" t="n">
        <v>104357</v>
      </c>
      <c r="C35" s="5" t="n">
        <v>4104</v>
      </c>
      <c r="D35" s="5" t="n">
        <v>83751</v>
      </c>
      <c r="E35" s="5" t="n"/>
      <c r="F35" s="5" t="n">
        <v>4995</v>
      </c>
      <c r="G35" s="5" t="n">
        <v>197207</v>
      </c>
    </row>
    <row r="36">
      <c r="A36" s="6" t="inlineStr">
        <is>
          <t>Reclassification between reserves (per FY2021 report's own opening balance)</t>
        </is>
      </c>
      <c r="B36" s="6" t="n"/>
      <c r="C36" s="6" t="n"/>
      <c r="D36" s="6" t="n">
        <v>-38</v>
      </c>
      <c r="E36" s="6" t="n"/>
      <c r="F36" s="6" t="n">
        <v>38</v>
      </c>
      <c r="G36" s="6" t="n">
        <v>0</v>
      </c>
    </row>
    <row r="37">
      <c r="A37" s="5" t="inlineStr">
        <is>
          <t>Balance at 1 January 2021</t>
        </is>
      </c>
      <c r="B37" s="5" t="n">
        <v>104357</v>
      </c>
      <c r="C37" s="5" t="n">
        <v>4104</v>
      </c>
      <c r="D37" s="5" t="n">
        <v>83713</v>
      </c>
      <c r="E37" s="5" t="n">
        <v>0</v>
      </c>
      <c r="F37" s="5" t="n">
        <v>5033</v>
      </c>
      <c r="G37" s="5" t="n">
        <v>197207</v>
      </c>
    </row>
    <row r="38">
      <c r="A38" s="6" t="inlineStr">
        <is>
          <t>Profit for the year (FY2021)</t>
        </is>
      </c>
      <c r="B38" s="6" t="n"/>
      <c r="C38" s="6" t="n"/>
      <c r="D38" s="6" t="n">
        <v>13035</v>
      </c>
      <c r="E38" s="6" t="n"/>
      <c r="F38" s="6" t="n"/>
      <c r="G38" s="6" t="n">
        <v>13035</v>
      </c>
    </row>
    <row r="39">
      <c r="A39" s="6" t="inlineStr">
        <is>
          <t>Other comprehensive income (FY2021)</t>
        </is>
      </c>
      <c r="B39" s="6" t="n"/>
      <c r="C39" s="6" t="n"/>
      <c r="D39" s="6" t="n">
        <v>2505</v>
      </c>
      <c r="E39" s="6" t="n"/>
      <c r="F39" s="6" t="n">
        <v>-2461</v>
      </c>
      <c r="G39" s="6" t="n">
        <v>44</v>
      </c>
    </row>
    <row r="40">
      <c r="A40" s="5" t="inlineStr">
        <is>
          <t>Balance at 31 December 2021 (per FY2021's own report)</t>
        </is>
      </c>
      <c r="B40" s="5" t="n">
        <v>104357</v>
      </c>
      <c r="C40" s="5" t="n">
        <v>4104</v>
      </c>
      <c r="D40" s="5" t="n">
        <v>99253</v>
      </c>
      <c r="E40" s="5" t="n">
        <v>0</v>
      </c>
      <c r="F40" s="5" t="n">
        <v>2572</v>
      </c>
      <c r="G40" s="5" t="n">
        <v>210286</v>
      </c>
    </row>
    <row r="41">
      <c r="A41" s="6" t="inlineStr">
        <is>
          <t>Reclassification between reserves (per FY2022 report's own opening balance)</t>
        </is>
      </c>
      <c r="B41" s="6" t="n"/>
      <c r="C41" s="6" t="n"/>
      <c r="D41" s="6" t="n">
        <v>42</v>
      </c>
      <c r="E41" s="6" t="n"/>
      <c r="F41" s="6" t="n">
        <v>-42</v>
      </c>
      <c r="G41" s="6" t="n">
        <v>0</v>
      </c>
    </row>
    <row r="42">
      <c r="A42" s="5" t="inlineStr">
        <is>
          <t>Balance at 1 January 2022 (per FY2022's own report)</t>
        </is>
      </c>
      <c r="B42" s="5" t="n">
        <v>104357</v>
      </c>
      <c r="C42" s="5" t="n">
        <v>4104</v>
      </c>
      <c r="D42" s="5" t="n">
        <v>99295</v>
      </c>
      <c r="E42" s="5" t="n">
        <v>0</v>
      </c>
      <c r="F42" s="5" t="n">
        <v>2530</v>
      </c>
      <c r="G42" s="5" t="n">
        <v>210286</v>
      </c>
    </row>
    <row r="43">
      <c r="A43" s="6" t="inlineStr">
        <is>
          <t>Profit for the year (FY2022)</t>
        </is>
      </c>
      <c r="B43" s="6" t="n"/>
      <c r="C43" s="6" t="n"/>
      <c r="D43" s="6" t="n">
        <v>15100</v>
      </c>
      <c r="E43" s="6" t="n"/>
      <c r="F43" s="6" t="n"/>
      <c r="G43" s="6" t="n">
        <v>15100</v>
      </c>
    </row>
    <row r="44">
      <c r="A44" s="6" t="inlineStr">
        <is>
          <t>Reclassification between FV reserve and retained earnings</t>
        </is>
      </c>
      <c r="B44" s="6" t="n"/>
      <c r="C44" s="6" t="n"/>
      <c r="D44" s="6" t="n">
        <v>126</v>
      </c>
      <c r="E44" s="6" t="n"/>
      <c r="F44" s="6" t="n">
        <v>-110</v>
      </c>
      <c r="G44" s="6" t="n">
        <v>16</v>
      </c>
    </row>
    <row r="45">
      <c r="A45" s="6" t="inlineStr">
        <is>
          <t>Other comprehensive (expense)/income (FY2022)</t>
        </is>
      </c>
      <c r="B45" s="6" t="n"/>
      <c r="C45" s="6" t="n"/>
      <c r="D45" s="6" t="n">
        <v>-3727</v>
      </c>
      <c r="E45" s="6" t="n">
        <v>5888</v>
      </c>
      <c r="F45" s="6" t="n">
        <v>-11532</v>
      </c>
      <c r="G45" s="6" t="n">
        <v>-9371</v>
      </c>
    </row>
    <row r="46">
      <c r="A46" s="6" t="inlineStr">
        <is>
          <t>Issue of share capital (FY2022)</t>
        </is>
      </c>
      <c r="B46" s="6" t="n">
        <v>1235</v>
      </c>
      <c r="C46" s="6" t="n"/>
      <c r="D46" s="6" t="n"/>
      <c r="E46" s="6" t="n"/>
      <c r="F46" s="6" t="n"/>
      <c r="G46" s="6" t="n">
        <v>1235</v>
      </c>
    </row>
    <row r="47">
      <c r="A47" s="6" t="inlineStr">
        <is>
          <t>Dividend paid (FY2022)</t>
        </is>
      </c>
      <c r="B47" s="6" t="n"/>
      <c r="C47" s="6" t="n"/>
      <c r="D47" s="6" t="n">
        <v>-10000</v>
      </c>
      <c r="E47" s="6" t="n"/>
      <c r="F47" s="6" t="n"/>
      <c r="G47" s="6" t="n">
        <v>-10000</v>
      </c>
    </row>
    <row r="48">
      <c r="A48" s="5" t="inlineStr">
        <is>
          <t>Balance at 31 December 2022</t>
        </is>
      </c>
      <c r="B48" s="5" t="n">
        <v>105592</v>
      </c>
      <c r="C48" s="5" t="n">
        <v>4104</v>
      </c>
      <c r="D48" s="5" t="n">
        <v>100794</v>
      </c>
      <c r="E48" s="5" t="n">
        <v>5888</v>
      </c>
      <c r="F48" s="5" t="n">
        <v>-9112</v>
      </c>
      <c r="G48" s="5" t="n">
        <v>207266</v>
      </c>
    </row>
    <row r="49">
      <c r="A49" s="6" t="inlineStr">
        <is>
          <t>Profit for the year (FY2023)</t>
        </is>
      </c>
      <c r="B49" s="6" t="n"/>
      <c r="C49" s="6" t="n"/>
      <c r="D49" s="6" t="n">
        <v>27875</v>
      </c>
      <c r="E49" s="6" t="n"/>
      <c r="F49" s="6" t="n"/>
      <c r="G49" s="6" t="n">
        <v>27875</v>
      </c>
    </row>
    <row r="50">
      <c r="A50" s="6" t="inlineStr">
        <is>
          <t>Other Fair Value adjustments (FY2023)</t>
        </is>
      </c>
      <c r="B50" s="6" t="n"/>
      <c r="C50" s="6" t="n"/>
      <c r="D50" s="6" t="n">
        <v>16</v>
      </c>
      <c r="E50" s="6" t="n"/>
      <c r="F50" s="6" t="n"/>
      <c r="G50" s="6" t="n">
        <v>16</v>
      </c>
    </row>
    <row r="51">
      <c r="A51" s="6" t="inlineStr">
        <is>
          <t>Other comprehensive (expense)/income (FY2023)</t>
        </is>
      </c>
      <c r="B51" s="6" t="n"/>
      <c r="C51" s="6" t="n"/>
      <c r="D51" s="6" t="n">
        <v>-2035</v>
      </c>
      <c r="E51" s="6" t="n">
        <v>-2520</v>
      </c>
      <c r="F51" s="6" t="n">
        <v>7191</v>
      </c>
      <c r="G51" s="6" t="n">
        <v>2636</v>
      </c>
    </row>
    <row r="52">
      <c r="A52" s="6" t="inlineStr">
        <is>
          <t>Issue of share capital (FY2023)</t>
        </is>
      </c>
      <c r="B52" s="6" t="n">
        <v>785</v>
      </c>
      <c r="C52" s="6" t="n"/>
      <c r="D52" s="6" t="n"/>
      <c r="E52" s="6" t="n"/>
      <c r="F52" s="6" t="n"/>
      <c r="G52" s="6" t="n">
        <v>785</v>
      </c>
    </row>
    <row r="53">
      <c r="A53" s="6" t="inlineStr">
        <is>
          <t>Dividend paid (FY2023)</t>
        </is>
      </c>
      <c r="B53" s="6" t="n"/>
      <c r="C53" s="6" t="n"/>
      <c r="D53" s="6" t="n">
        <v>-6000</v>
      </c>
      <c r="E53" s="6" t="n"/>
      <c r="F53" s="6" t="n"/>
      <c r="G53" s="6" t="n">
        <v>-6000</v>
      </c>
    </row>
    <row r="54">
      <c r="A54" s="5" t="inlineStr">
        <is>
          <t>Balance at 31 December 2023 (per FY2023's own report)</t>
        </is>
      </c>
      <c r="B54" s="5" t="n">
        <v>106377</v>
      </c>
      <c r="C54" s="5" t="n">
        <v>4104</v>
      </c>
      <c r="D54" s="5" t="n">
        <v>120650</v>
      </c>
      <c r="E54" s="5" t="n">
        <v>3368</v>
      </c>
      <c r="F54" s="5" t="n">
        <v>-1921</v>
      </c>
      <c r="G54" s="5" t="n">
        <v>232578</v>
      </c>
    </row>
    <row r="55">
      <c r="A55" s="6" t="inlineStr">
        <is>
          <t>Reclassification between reserves (per FY2024 report's own opening balance)</t>
        </is>
      </c>
      <c r="B55" s="6" t="n"/>
      <c r="C55" s="6" t="n"/>
      <c r="D55" s="6" t="n">
        <v>1169</v>
      </c>
      <c r="E55" s="6" t="n"/>
      <c r="F55" s="6" t="n">
        <v>-1169</v>
      </c>
      <c r="G55" s="6" t="n">
        <v>0</v>
      </c>
    </row>
    <row r="56">
      <c r="A56" s="5" t="inlineStr">
        <is>
          <t>Balance at 1 January 2024 (per FY2024's own report)</t>
        </is>
      </c>
      <c r="B56" s="5" t="n">
        <v>106377</v>
      </c>
      <c r="C56" s="5" t="n">
        <v>4104</v>
      </c>
      <c r="D56" s="5" t="n">
        <v>121819</v>
      </c>
      <c r="E56" s="5" t="n">
        <v>3368</v>
      </c>
      <c r="F56" s="5" t="n">
        <v>-3090</v>
      </c>
      <c r="G56" s="5" t="n">
        <v>232578</v>
      </c>
    </row>
    <row r="57">
      <c r="A57" s="6" t="inlineStr">
        <is>
          <t>Profit for the year (FY2024)</t>
        </is>
      </c>
      <c r="B57" s="6" t="n"/>
      <c r="C57" s="6" t="n"/>
      <c r="D57" s="6" t="n">
        <v>28755</v>
      </c>
      <c r="E57" s="6" t="n"/>
      <c r="F57" s="6" t="n"/>
      <c r="G57" s="6" t="n">
        <v>28755</v>
      </c>
    </row>
    <row r="58">
      <c r="A58" s="6" t="inlineStr">
        <is>
          <t>Other comprehensive (expense)/income (FY2024)</t>
        </is>
      </c>
      <c r="B58" s="6" t="n"/>
      <c r="C58" s="6" t="n"/>
      <c r="D58" s="6" t="n">
        <v>-1883</v>
      </c>
      <c r="E58" s="6" t="n">
        <v>583</v>
      </c>
      <c r="F58" s="6" t="n">
        <v>2359</v>
      </c>
      <c r="G58" s="6" t="n">
        <v>1059</v>
      </c>
    </row>
    <row r="59">
      <c r="A59" s="6" t="inlineStr">
        <is>
          <t>Issue of share capital (FY2024)</t>
        </is>
      </c>
      <c r="B59" s="6" t="n">
        <v>720</v>
      </c>
      <c r="C59" s="6" t="n"/>
      <c r="D59" s="6" t="n"/>
      <c r="E59" s="6" t="n"/>
      <c r="F59" s="6" t="n"/>
      <c r="G59" s="6" t="n">
        <v>720</v>
      </c>
    </row>
    <row r="60">
      <c r="A60" s="6" t="inlineStr">
        <is>
          <t>Dividend paid (FY2024)</t>
        </is>
      </c>
      <c r="B60" s="6" t="n"/>
      <c r="C60" s="6" t="n"/>
      <c r="D60" s="6" t="n">
        <v>-5500</v>
      </c>
      <c r="E60" s="6" t="n"/>
      <c r="F60" s="6" t="n"/>
      <c r="G60" s="6" t="n">
        <v>-5500</v>
      </c>
    </row>
    <row r="61">
      <c r="A61" s="5" t="inlineStr">
        <is>
          <t>Balance at 31 December 2024</t>
        </is>
      </c>
      <c r="B61" s="5" t="n">
        <v>107097</v>
      </c>
      <c r="C61" s="5" t="n">
        <v>4104</v>
      </c>
      <c r="D61" s="5" t="n">
        <v>143191</v>
      </c>
      <c r="E61" s="5" t="n">
        <v>3951</v>
      </c>
      <c r="F61" s="5" t="n">
        <v>-731</v>
      </c>
      <c r="G61" s="5" t="n">
        <v>257612</v>
      </c>
    </row>
    <row r="62">
      <c r="A62" s="6" t="inlineStr">
        <is>
          <t>Profit for the year (FY2025)</t>
        </is>
      </c>
      <c r="B62" s="6" t="n"/>
      <c r="C62" s="6" t="n"/>
      <c r="D62" s="6" t="n">
        <v>24127</v>
      </c>
      <c r="E62" s="6" t="n"/>
      <c r="F62" s="6" t="n"/>
      <c r="G62" s="6" t="n">
        <v>24127</v>
      </c>
    </row>
    <row r="63">
      <c r="A63" s="6" t="inlineStr">
        <is>
          <t>Other comprehensive (expense)/income (FY2025)</t>
        </is>
      </c>
      <c r="B63" s="6" t="n"/>
      <c r="C63" s="6" t="n"/>
      <c r="D63" s="6" t="n">
        <v>-402</v>
      </c>
      <c r="E63" s="6" t="n">
        <v>2189</v>
      </c>
      <c r="F63" s="6" t="n">
        <v>1042</v>
      </c>
      <c r="G63" s="6" t="n">
        <v>2829</v>
      </c>
    </row>
    <row r="64">
      <c r="A64" s="6" t="inlineStr">
        <is>
          <t>Issue of share capital (FY2025)</t>
        </is>
      </c>
      <c r="B64" s="6" t="n">
        <v>972</v>
      </c>
      <c r="C64" s="6" t="n"/>
      <c r="D64" s="6" t="n"/>
      <c r="E64" s="6" t="n"/>
      <c r="F64" s="6" t="n"/>
      <c r="G64" s="6" t="n">
        <v>972</v>
      </c>
    </row>
    <row r="65">
      <c r="A65" s="6" t="inlineStr">
        <is>
          <t>Dividend paid (FY2025)</t>
        </is>
      </c>
      <c r="B65" s="6" t="n"/>
      <c r="C65" s="6" t="n"/>
      <c r="D65" s="6" t="n">
        <v>-7200</v>
      </c>
      <c r="E65" s="6" t="n"/>
      <c r="F65" s="6" t="n"/>
      <c r="G65" s="6" t="n">
        <v>-7200</v>
      </c>
    </row>
    <row r="66">
      <c r="A66" s="5" t="inlineStr">
        <is>
          <t>Balance at 31 December 2025</t>
        </is>
      </c>
      <c r="B66" s="5" t="n">
        <v>108069</v>
      </c>
      <c r="C66" s="5" t="n">
        <v>4104</v>
      </c>
      <c r="D66" s="5" t="n">
        <v>159716</v>
      </c>
      <c r="E66" s="5" t="n">
        <v>6140</v>
      </c>
      <c r="F66" s="5" t="n">
        <v>311</v>
      </c>
      <c r="G66" s="5" t="n">
        <v>278340</v>
      </c>
    </row>
    <row r="68" ht="460" customHeight="1">
      <c r="A68"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FY2020: Annual Report YE2020, pp.2.2-2.3 - https://files.bacb.co.uk/production/files/BACB-Annual-Report-2020.pdf
FY2019: Annual Report YE2019, pp.2.2-2.3 - https://files.bacb.co.uk/production/files/BACB_AnnualReportYE2019-print-3-opt.pdf
FY2018: Annual Report YE2018, pp.2.2-2.3 - https://files.bacb.co.uk/production/files/BACB_AnnualReportYE2018-complete-6.pdf
FY2017: Annual Report (filename says 2018, cover/profit figures confirm FY2017), pp.28-30 - https://files.bacb.co.uk/production/files/BACB_AnnualReport_online-2018-v4.pdf
FY2016: Annual Report (filename says 2017, cover confirms FY2016), pp.27-29 - https://files.bacb.co.uk/production/files/BACB_AnnualReport_online-2017.pdf
FY2015: Annual Report YE2015, pp.28-30 - https://files.bacb.co.uk/production/files/Report-Financials-2015-FINAL-18032016.pdf
FY2014: Annual Report YE2014, pp.27-29 - https://files.bacb.co.uk/production/files/Annual-Report-2014-Final.pdf
FY2013: Full accounts made up to 31 December 2013, filed with Companies House 18 Mar 2014, pp.22-24 (Statement of Comprehensive Income / Statement of Financial Position / Statement of Changes in Equity) - https://find-and-update.company-information.service.gov.uk/company/01047302/filing-history/MzA5NjQ2MjMzMmFkaXF6a2N4/document?format=pdf&amp;download=0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t>
        </is>
      </c>
    </row>
  </sheetData>
  <mergeCells count="1">
    <mergeCell ref="A68:G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British Arab Commercial Bank PLC — Statement of Cash Flow</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Cash flows from operating activities</t>
        </is>
      </c>
      <c r="B4" s="6" t="n"/>
      <c r="C4" s="6" t="n"/>
      <c r="D4" s="6" t="n"/>
      <c r="E4" s="6" t="n"/>
      <c r="F4" s="6" t="n"/>
      <c r="G4" s="6" t="n"/>
      <c r="H4" s="6" t="n"/>
      <c r="I4" s="6" t="n"/>
      <c r="J4" s="6" t="n"/>
      <c r="K4" s="6" t="n"/>
      <c r="L4" s="6" t="n"/>
      <c r="M4" s="6" t="n"/>
      <c r="N4" s="6" t="n"/>
    </row>
    <row r="5">
      <c r="A5" s="6" t="inlineStr">
        <is>
          <t>Profit before taxation</t>
        </is>
      </c>
      <c r="B5" s="6" t="n">
        <v>31641</v>
      </c>
      <c r="C5" s="6" t="n">
        <v>38209</v>
      </c>
      <c r="D5" s="6" t="n">
        <v>36407</v>
      </c>
      <c r="E5" s="6" t="n">
        <v>13925</v>
      </c>
      <c r="F5" s="6" t="n">
        <v>14703</v>
      </c>
      <c r="G5" s="6" t="n">
        <v>15922</v>
      </c>
      <c r="H5" s="6" t="n">
        <v>8078</v>
      </c>
      <c r="I5" s="6" t="n">
        <v>-35366</v>
      </c>
      <c r="J5" s="6" t="n">
        <v>7265</v>
      </c>
      <c r="K5" s="6" t="n">
        <v>2579</v>
      </c>
      <c r="L5" s="6" t="n">
        <v>-15071</v>
      </c>
      <c r="M5" s="6" t="n">
        <v>5511</v>
      </c>
      <c r="N5" s="6" t="n">
        <v>17848</v>
      </c>
    </row>
    <row r="6">
      <c r="A6" s="6" t="inlineStr">
        <is>
          <t>Allowance for credit losses</t>
        </is>
      </c>
      <c r="B6" s="6" t="n">
        <v>2313</v>
      </c>
      <c r="C6" s="6" t="n">
        <v>3992</v>
      </c>
      <c r="D6" s="6" t="n">
        <v>479</v>
      </c>
      <c r="E6" s="6" t="n">
        <v>3306</v>
      </c>
      <c r="F6" s="6" t="n">
        <v>1245</v>
      </c>
      <c r="G6" s="6" t="n">
        <v>6902</v>
      </c>
      <c r="H6" s="6" t="n">
        <v>18558</v>
      </c>
      <c r="I6" s="6" t="n">
        <v>59043</v>
      </c>
      <c r="J6" s="6" t="n">
        <v>10131</v>
      </c>
      <c r="K6" s="6" t="n">
        <v>7122</v>
      </c>
      <c r="L6" s="6" t="n">
        <v>18804</v>
      </c>
      <c r="M6" s="6" t="n">
        <v>4962</v>
      </c>
      <c r="N6" s="6" t="n">
        <v>2482</v>
      </c>
    </row>
    <row r="7">
      <c r="A7" s="6" t="inlineStr">
        <is>
          <t>Recoveries of allowance for credit losses</t>
        </is>
      </c>
      <c r="B7" s="6" t="n">
        <v>-5554</v>
      </c>
      <c r="C7" s="6" t="n">
        <v>-5633</v>
      </c>
      <c r="D7" s="6" t="n">
        <v>-2623</v>
      </c>
      <c r="E7" s="6" t="n">
        <v>-1825</v>
      </c>
      <c r="F7" s="6" t="n">
        <v>-12441</v>
      </c>
      <c r="G7" s="6" t="n">
        <v>-13754</v>
      </c>
      <c r="H7" s="6" t="n"/>
      <c r="I7" s="6" t="n"/>
      <c r="J7" s="6" t="n"/>
      <c r="K7" s="6" t="n"/>
      <c r="L7" s="6" t="n"/>
      <c r="M7" s="6" t="n"/>
      <c r="N7" s="6" t="n"/>
    </row>
    <row r="8">
      <c r="A8" s="6" t="inlineStr">
        <is>
          <t>Profit on realisation of equity shares and investments</t>
        </is>
      </c>
      <c r="B8" s="6" t="n"/>
      <c r="C8" s="6" t="n"/>
      <c r="D8" s="6" t="n"/>
      <c r="E8" s="6" t="n"/>
      <c r="F8" s="6" t="n"/>
      <c r="G8" s="6" t="n"/>
      <c r="H8" s="6" t="n"/>
      <c r="I8" s="6" t="n"/>
      <c r="J8" s="6" t="n"/>
      <c r="K8" s="6" t="n">
        <v>-3822</v>
      </c>
      <c r="L8" s="6" t="n"/>
      <c r="M8" s="6" t="n"/>
      <c r="N8" s="6" t="n">
        <v>-309</v>
      </c>
    </row>
    <row r="9">
      <c r="A9" s="6" t="inlineStr">
        <is>
          <t>Depreciation and amortisation</t>
        </is>
      </c>
      <c r="B9" s="6" t="n">
        <v>3229</v>
      </c>
      <c r="C9" s="6" t="n">
        <v>3214</v>
      </c>
      <c r="D9" s="6" t="n">
        <v>2904</v>
      </c>
      <c r="E9" s="6" t="n">
        <v>2753</v>
      </c>
      <c r="F9" s="6" t="n">
        <v>2544</v>
      </c>
      <c r="G9" s="6" t="n">
        <v>2444</v>
      </c>
      <c r="H9" s="6" t="n">
        <v>2519</v>
      </c>
      <c r="I9" s="6" t="n">
        <v>1024</v>
      </c>
      <c r="J9" s="6" t="n">
        <v>1401</v>
      </c>
      <c r="K9" s="6" t="n">
        <v>1694</v>
      </c>
      <c r="L9" s="6" t="n">
        <v>1477</v>
      </c>
      <c r="M9" s="6" t="n">
        <v>1355</v>
      </c>
      <c r="N9" s="6" t="n">
        <v>1128</v>
      </c>
    </row>
    <row r="10">
      <c r="A10" s="6" t="inlineStr">
        <is>
          <t>(Loss)/gain on sale or impairment of property, plant and equipment</t>
        </is>
      </c>
      <c r="B10" s="6" t="n">
        <v>-6</v>
      </c>
      <c r="C10" s="6" t="n">
        <v>3</v>
      </c>
      <c r="D10" s="6" t="n">
        <v>518</v>
      </c>
      <c r="E10" s="6" t="n">
        <v>28</v>
      </c>
      <c r="F10" s="6" t="n">
        <v>9</v>
      </c>
      <c r="G10" s="6" t="n">
        <v>81</v>
      </c>
      <c r="H10" s="6" t="n"/>
      <c r="I10" s="6" t="n">
        <v>1101</v>
      </c>
      <c r="J10" s="6" t="n">
        <v>665</v>
      </c>
      <c r="K10" s="6" t="n">
        <v>-50</v>
      </c>
      <c r="L10" s="6" t="n">
        <v>95</v>
      </c>
      <c r="M10" s="6" t="n">
        <v>676</v>
      </c>
      <c r="N10" s="6" t="n">
        <v>141</v>
      </c>
    </row>
    <row r="11">
      <c r="A11" s="6" t="inlineStr">
        <is>
          <t>Other non-cash items included in net profit</t>
        </is>
      </c>
      <c r="B11" s="6" t="n">
        <v>-1275</v>
      </c>
      <c r="C11" s="6" t="n">
        <v>-34</v>
      </c>
      <c r="D11" s="6" t="n">
        <v>115</v>
      </c>
      <c r="E11" s="6" t="n">
        <v>366</v>
      </c>
      <c r="F11" s="6" t="n">
        <v>-3</v>
      </c>
      <c r="G11" s="6" t="n">
        <v>-151</v>
      </c>
      <c r="H11" s="6" t="n">
        <v>-1035</v>
      </c>
      <c r="I11" s="6" t="n">
        <v>1731</v>
      </c>
      <c r="J11" s="6" t="n">
        <v>-748</v>
      </c>
      <c r="K11" s="6" t="n">
        <v>-332</v>
      </c>
      <c r="L11" s="6" t="n"/>
      <c r="M11" s="6" t="n"/>
      <c r="N11" s="6" t="n"/>
    </row>
    <row r="12">
      <c r="A12" s="5" t="inlineStr">
        <is>
          <t>Non-cash items included in net profit</t>
        </is>
      </c>
      <c r="B12" s="5" t="n">
        <v>-1293</v>
      </c>
      <c r="C12" s="5" t="n">
        <v>1542</v>
      </c>
      <c r="D12" s="5" t="n">
        <v>1393</v>
      </c>
      <c r="E12" s="5" t="n">
        <v>4628</v>
      </c>
      <c r="F12" s="5" t="n">
        <v>-8646</v>
      </c>
      <c r="G12" s="5" t="n">
        <v>-4478</v>
      </c>
      <c r="H12" s="5" t="n">
        <v>20042</v>
      </c>
      <c r="I12" s="5" t="n">
        <v>62899</v>
      </c>
      <c r="J12" s="5" t="n">
        <v>11449</v>
      </c>
      <c r="K12" s="5" t="n">
        <v>4612</v>
      </c>
      <c r="L12" s="5" t="n">
        <v>20376</v>
      </c>
      <c r="M12" s="5" t="n">
        <v>6993</v>
      </c>
      <c r="N12" s="5" t="n">
        <v>3442</v>
      </c>
    </row>
    <row r="13">
      <c r="A13" s="6" t="inlineStr">
        <is>
          <t>Reverse repurchase agreements</t>
        </is>
      </c>
      <c r="B13" s="6" t="n"/>
      <c r="C13" s="6" t="n">
        <v>0</v>
      </c>
      <c r="D13" s="6" t="n">
        <v>149990</v>
      </c>
      <c r="E13" s="6" t="n">
        <v>-21103</v>
      </c>
      <c r="F13" s="6" t="n">
        <v>-36757</v>
      </c>
      <c r="G13" s="6" t="n"/>
      <c r="H13" s="6" t="n"/>
      <c r="I13" s="6" t="n"/>
      <c r="J13" s="6" t="n"/>
      <c r="K13" s="6" t="n"/>
      <c r="L13" s="6" t="n"/>
      <c r="M13" s="6" t="n"/>
      <c r="N13" s="6" t="n"/>
    </row>
    <row r="14">
      <c r="A14" s="6" t="inlineStr">
        <is>
          <t>Loans, advances other than cash or cash equivalents</t>
        </is>
      </c>
      <c r="B14" s="6" t="n">
        <v>-221607</v>
      </c>
      <c r="C14" s="6" t="n">
        <v>-243014</v>
      </c>
      <c r="D14" s="6" t="n">
        <v>-268285</v>
      </c>
      <c r="E14" s="6" t="n">
        <v>-68881</v>
      </c>
      <c r="F14" s="6" t="n">
        <v>-13840</v>
      </c>
      <c r="G14" s="6" t="n">
        <v>234049</v>
      </c>
      <c r="H14" s="6" t="n"/>
      <c r="I14" s="6" t="n"/>
      <c r="J14" s="6" t="n">
        <v>-672228</v>
      </c>
      <c r="K14" s="6" t="n">
        <v>-129256</v>
      </c>
      <c r="L14" s="6" t="n">
        <v>9045</v>
      </c>
      <c r="M14" s="6" t="n">
        <v>2673</v>
      </c>
      <c r="N14" s="6" t="n"/>
    </row>
    <row r="15">
      <c r="A15" s="6" t="inlineStr">
        <is>
          <t>Debt securities other than cash equivalents</t>
        </is>
      </c>
      <c r="B15" s="6" t="n">
        <v>250302</v>
      </c>
      <c r="C15" s="6" t="n">
        <v>164699</v>
      </c>
      <c r="D15" s="6" t="n">
        <v>-108164</v>
      </c>
      <c r="E15" s="6" t="n">
        <v>-221117</v>
      </c>
      <c r="F15" s="6" t="n">
        <v>7009</v>
      </c>
      <c r="G15" s="6" t="n">
        <v>-329589</v>
      </c>
      <c r="H15" s="6" t="n"/>
      <c r="I15" s="6" t="n"/>
      <c r="J15" s="6" t="n"/>
      <c r="K15" s="6" t="n"/>
      <c r="L15" s="6" t="n"/>
      <c r="M15" s="6" t="n"/>
      <c r="N15" s="6" t="n"/>
    </row>
    <row r="16">
      <c r="A16" s="6" t="inlineStr">
        <is>
          <t>Loans, advances and debt securities other than cash equivalents (combined - see note)</t>
        </is>
      </c>
      <c r="B16" s="6" t="n"/>
      <c r="C16" s="6" t="n"/>
      <c r="D16" s="6" t="n"/>
      <c r="E16" s="6" t="n"/>
      <c r="F16" s="6" t="n"/>
      <c r="G16" s="6" t="n"/>
      <c r="H16" s="6" t="n">
        <v>125407</v>
      </c>
      <c r="I16" s="6" t="n">
        <v>263435</v>
      </c>
      <c r="J16" s="6" t="n"/>
      <c r="K16" s="6" t="n"/>
      <c r="L16" s="6" t="n"/>
      <c r="M16" s="6" t="n"/>
      <c r="N16" s="6" t="n">
        <v>-200768</v>
      </c>
    </row>
    <row r="17">
      <c r="A17" s="6" t="inlineStr">
        <is>
          <t>Derivatives</t>
        </is>
      </c>
      <c r="B17" s="6" t="n">
        <v>-571</v>
      </c>
      <c r="C17" s="6" t="n">
        <v>-1109</v>
      </c>
      <c r="D17" s="6" t="n">
        <v>683</v>
      </c>
      <c r="E17" s="6" t="n">
        <v>-728</v>
      </c>
      <c r="F17" s="6" t="n">
        <v>465</v>
      </c>
      <c r="G17" s="6" t="n"/>
      <c r="H17" s="6" t="n"/>
      <c r="I17" s="6" t="n"/>
      <c r="J17" s="6" t="n"/>
      <c r="K17" s="6" t="n"/>
      <c r="L17" s="6" t="n"/>
      <c r="M17" s="6" t="n"/>
      <c r="N17" s="6" t="n"/>
    </row>
    <row r="18">
      <c r="A18" s="6" t="inlineStr">
        <is>
          <t>Other debtors and prepayments</t>
        </is>
      </c>
      <c r="B18" s="6" t="n">
        <v>-7064</v>
      </c>
      <c r="C18" s="6" t="n">
        <v>387</v>
      </c>
      <c r="D18" s="6" t="n">
        <v>-9064</v>
      </c>
      <c r="E18" s="6" t="n">
        <v>-1161</v>
      </c>
      <c r="F18" s="6" t="n">
        <v>1497</v>
      </c>
      <c r="G18" s="6" t="n">
        <v>6427</v>
      </c>
      <c r="H18" s="6" t="n">
        <v>-2485</v>
      </c>
      <c r="I18" s="6" t="n">
        <v>41805</v>
      </c>
      <c r="J18" s="6" t="n">
        <v>-51334</v>
      </c>
      <c r="K18" s="6" t="n">
        <v>-1042</v>
      </c>
      <c r="L18" s="6" t="n">
        <v>3701</v>
      </c>
      <c r="M18" s="6" t="n">
        <v>4335</v>
      </c>
      <c r="N18" s="6" t="n">
        <v>-606</v>
      </c>
    </row>
    <row r="19">
      <c r="A19" s="5" t="inlineStr">
        <is>
          <t>Change in operating assets</t>
        </is>
      </c>
      <c r="B19" s="5" t="n">
        <v>21060</v>
      </c>
      <c r="C19" s="5" t="n">
        <v>-79037</v>
      </c>
      <c r="D19" s="5" t="n">
        <v>-234840</v>
      </c>
      <c r="E19" s="5" t="n">
        <v>-312990</v>
      </c>
      <c r="F19" s="5" t="n">
        <v>-41626</v>
      </c>
      <c r="G19" s="5" t="n">
        <v>-89113</v>
      </c>
      <c r="H19" s="5" t="n">
        <v>122922</v>
      </c>
      <c r="I19" s="5" t="n">
        <v>305240</v>
      </c>
      <c r="J19" s="5" t="n">
        <v>-723562</v>
      </c>
      <c r="K19" s="5" t="n">
        <v>-130298</v>
      </c>
      <c r="L19" s="5" t="n">
        <v>12746</v>
      </c>
      <c r="M19" s="5" t="n">
        <v>7008</v>
      </c>
      <c r="N19" s="5" t="n">
        <v>-201374</v>
      </c>
    </row>
    <row r="20">
      <c r="A20" s="6" t="inlineStr">
        <is>
          <t>Customer accounts and deposits by banks</t>
        </is>
      </c>
      <c r="B20" s="6" t="n">
        <v>78001</v>
      </c>
      <c r="C20" s="6" t="n">
        <v>277676</v>
      </c>
      <c r="D20" s="6" t="n">
        <v>-94670</v>
      </c>
      <c r="E20" s="6" t="n">
        <v>165574</v>
      </c>
      <c r="F20" s="6" t="n">
        <v>238429</v>
      </c>
      <c r="G20" s="6" t="n">
        <v>-254610</v>
      </c>
      <c r="H20" s="6" t="n">
        <v>-1022442</v>
      </c>
      <c r="I20" s="6" t="n">
        <v>839143</v>
      </c>
      <c r="J20" s="6" t="n">
        <v>144902</v>
      </c>
      <c r="K20" s="6" t="n">
        <v>-483032</v>
      </c>
      <c r="L20" s="6" t="n">
        <v>64151</v>
      </c>
      <c r="M20" s="6" t="n">
        <v>418975</v>
      </c>
      <c r="N20" s="6" t="n">
        <v>225768</v>
      </c>
    </row>
    <row r="21">
      <c r="A21" s="6" t="inlineStr">
        <is>
          <t>Other liabilities</t>
        </is>
      </c>
      <c r="B21" s="6" t="n">
        <v>2884</v>
      </c>
      <c r="C21" s="6" t="n">
        <v>-2695</v>
      </c>
      <c r="D21" s="6" t="n">
        <v>10519</v>
      </c>
      <c r="E21" s="6" t="n">
        <v>9288</v>
      </c>
      <c r="F21" s="6" t="n">
        <v>-12192</v>
      </c>
      <c r="G21" s="6" t="n">
        <v>10181</v>
      </c>
      <c r="H21" s="6" t="n">
        <v>-3196</v>
      </c>
      <c r="I21" s="6" t="n">
        <v>8238</v>
      </c>
      <c r="J21" s="6" t="n">
        <v>-1338</v>
      </c>
      <c r="K21" s="6" t="n">
        <v>595</v>
      </c>
      <c r="L21" s="6" t="n">
        <v>-16061</v>
      </c>
      <c r="M21" s="6" t="n">
        <v>5487</v>
      </c>
      <c r="N21" s="6" t="n">
        <v>-1491</v>
      </c>
    </row>
    <row r="22">
      <c r="A22" s="5" t="inlineStr">
        <is>
          <t>Change in operating liabilities</t>
        </is>
      </c>
      <c r="B22" s="5" t="n">
        <v>80885</v>
      </c>
      <c r="C22" s="5" t="n">
        <v>274981</v>
      </c>
      <c r="D22" s="5" t="n">
        <v>-84151</v>
      </c>
      <c r="E22" s="5" t="n">
        <v>174862</v>
      </c>
      <c r="F22" s="5" t="n">
        <v>226237</v>
      </c>
      <c r="G22" s="5" t="n">
        <v>-244429</v>
      </c>
      <c r="H22" s="5" t="n">
        <v>-1025638</v>
      </c>
      <c r="I22" s="5" t="n">
        <v>847381</v>
      </c>
      <c r="J22" s="5" t="n">
        <v>143564</v>
      </c>
      <c r="K22" s="5" t="n">
        <v>-482437</v>
      </c>
      <c r="L22" s="5" t="n">
        <v>48090</v>
      </c>
      <c r="M22" s="5" t="n">
        <v>424462</v>
      </c>
      <c r="N22" s="5" t="n">
        <v>224277</v>
      </c>
    </row>
    <row r="23">
      <c r="A23" s="6" t="inlineStr">
        <is>
          <t>Income tax paid</t>
        </is>
      </c>
      <c r="B23" s="6" t="n">
        <v>-8155</v>
      </c>
      <c r="C23" s="6" t="n">
        <v>-7867</v>
      </c>
      <c r="D23" s="6" t="n">
        <v>-5220</v>
      </c>
      <c r="E23" s="6" t="n">
        <v>-1169</v>
      </c>
      <c r="F23" s="6" t="n">
        <v>-1074</v>
      </c>
      <c r="G23" s="6" t="n">
        <v>214</v>
      </c>
      <c r="H23" s="6" t="n">
        <v>724</v>
      </c>
      <c r="I23" s="6" t="n">
        <v>-782</v>
      </c>
      <c r="J23" s="6" t="n">
        <v>1774</v>
      </c>
      <c r="K23" s="6" t="n">
        <v>2256</v>
      </c>
      <c r="L23" s="6" t="n">
        <v>-796</v>
      </c>
      <c r="M23" s="6" t="n">
        <v>-4065</v>
      </c>
      <c r="N23" s="6" t="n">
        <v>-2515</v>
      </c>
    </row>
    <row r="24">
      <c r="A24" s="5" t="inlineStr">
        <is>
          <t>Net cash generated from/(used in) operating activities</t>
        </is>
      </c>
      <c r="B24" s="5" t="n">
        <v>124138</v>
      </c>
      <c r="C24" s="5" t="n">
        <v>227828</v>
      </c>
      <c r="D24" s="5" t="n">
        <v>-286411</v>
      </c>
      <c r="E24" s="5" t="n">
        <v>-120744</v>
      </c>
      <c r="F24" s="5" t="n">
        <v>189594</v>
      </c>
      <c r="G24" s="5" t="n">
        <v>-321884</v>
      </c>
      <c r="H24" s="5" t="n">
        <v>-873872</v>
      </c>
      <c r="I24" s="5" t="n">
        <v>1179372</v>
      </c>
      <c r="J24" s="5" t="n">
        <v>-559510</v>
      </c>
      <c r="K24" s="5" t="n">
        <v>-603288</v>
      </c>
      <c r="L24" s="5" t="n">
        <v>65345</v>
      </c>
      <c r="M24" s="5" t="n">
        <v>439909</v>
      </c>
      <c r="N24" s="5" t="n">
        <v>41678</v>
      </c>
    </row>
    <row r="25">
      <c r="A25" s="5" t="inlineStr">
        <is>
          <t>Cash flows from investing activities</t>
        </is>
      </c>
      <c r="B25" s="6" t="n"/>
      <c r="C25" s="6" t="n"/>
      <c r="D25" s="6" t="n"/>
      <c r="E25" s="6" t="n"/>
      <c r="F25" s="6" t="n"/>
      <c r="G25" s="6" t="n"/>
      <c r="H25" s="6" t="n"/>
      <c r="I25" s="6" t="n"/>
      <c r="J25" s="6" t="n"/>
      <c r="K25" s="6" t="n"/>
      <c r="L25" s="6" t="n"/>
      <c r="M25" s="6" t="n"/>
      <c r="N25" s="6" t="n"/>
    </row>
    <row r="26">
      <c r="A26" s="6" t="inlineStr">
        <is>
          <t>Purchase of property, plant and equipment</t>
        </is>
      </c>
      <c r="B26" s="6" t="n">
        <v>-409</v>
      </c>
      <c r="C26" s="6" t="n">
        <v>-1590</v>
      </c>
      <c r="D26" s="6" t="n">
        <v>-7683</v>
      </c>
      <c r="E26" s="6" t="n">
        <v>-552</v>
      </c>
      <c r="F26" s="6" t="n">
        <v>-274</v>
      </c>
      <c r="G26" s="6" t="n">
        <v>-1096</v>
      </c>
      <c r="H26" s="6" t="n">
        <v>-3994</v>
      </c>
      <c r="I26" s="6" t="n">
        <v>-644</v>
      </c>
      <c r="J26" s="6" t="n">
        <v>-472</v>
      </c>
      <c r="K26" s="6" t="n">
        <v>-493</v>
      </c>
      <c r="L26" s="6" t="n">
        <v>-451</v>
      </c>
      <c r="M26" s="6" t="n">
        <v>-691</v>
      </c>
      <c r="N26" s="6" t="n">
        <v>-491</v>
      </c>
    </row>
    <row r="27">
      <c r="A27" s="6" t="inlineStr">
        <is>
          <t>Proceeds from sale of property, plant and equipment</t>
        </is>
      </c>
      <c r="B27" s="6" t="n"/>
      <c r="C27" s="6" t="n"/>
      <c r="D27" s="6" t="n"/>
      <c r="E27" s="6" t="n">
        <v>42</v>
      </c>
      <c r="F27" s="6" t="n"/>
      <c r="G27" s="6" t="n"/>
      <c r="H27" s="6" t="n"/>
      <c r="I27" s="6" t="n"/>
      <c r="J27" s="6" t="n"/>
      <c r="K27" s="6" t="n"/>
      <c r="L27" s="6" t="n"/>
      <c r="M27" s="6" t="n"/>
      <c r="N27" s="6" t="n">
        <v>18</v>
      </c>
    </row>
    <row r="28">
      <c r="A28" s="6" t="inlineStr">
        <is>
          <t>Purchases of equity shares and investments (pre-2018)</t>
        </is>
      </c>
      <c r="B28" s="6" t="n"/>
      <c r="C28" s="6" t="n"/>
      <c r="D28" s="6" t="n"/>
      <c r="E28" s="6" t="n"/>
      <c r="F28" s="6" t="n"/>
      <c r="G28" s="6" t="n"/>
      <c r="H28" s="6" t="n"/>
      <c r="I28" s="6" t="n"/>
      <c r="J28" s="6" t="n"/>
      <c r="K28" s="6" t="n"/>
      <c r="L28" s="6" t="n"/>
      <c r="M28" s="6" t="n">
        <v>-555</v>
      </c>
      <c r="N28" s="6" t="n">
        <v>-1691</v>
      </c>
    </row>
    <row r="29">
      <c r="A29" s="6" t="inlineStr">
        <is>
          <t>Proceeds on sale of equity investments</t>
        </is>
      </c>
      <c r="B29" s="6" t="n"/>
      <c r="C29" s="6" t="n">
        <v>1162</v>
      </c>
      <c r="D29" s="6" t="n"/>
      <c r="E29" s="6" t="n"/>
      <c r="F29" s="6" t="n"/>
      <c r="G29" s="6" t="n"/>
      <c r="H29" s="6" t="n"/>
      <c r="I29" s="6" t="n"/>
      <c r="J29" s="6" t="n">
        <v>206</v>
      </c>
      <c r="K29" s="6" t="n">
        <v>4058</v>
      </c>
      <c r="L29" s="6" t="n">
        <v>515</v>
      </c>
      <c r="M29" s="6" t="n">
        <v>513</v>
      </c>
      <c r="N29" s="6" t="n">
        <v>629</v>
      </c>
    </row>
    <row r="30">
      <c r="A30" s="6" t="inlineStr">
        <is>
          <t>Purchase of intangible assets</t>
        </is>
      </c>
      <c r="B30" s="6" t="n">
        <v>-1128</v>
      </c>
      <c r="C30" s="6" t="n">
        <v>-392</v>
      </c>
      <c r="D30" s="6" t="n">
        <v>-841</v>
      </c>
      <c r="E30" s="6" t="n">
        <v>-853</v>
      </c>
      <c r="F30" s="6" t="n">
        <v>-540</v>
      </c>
      <c r="G30" s="6" t="n">
        <v>-356</v>
      </c>
      <c r="H30" s="6" t="n">
        <v>-1369</v>
      </c>
      <c r="I30" s="6" t="n">
        <v>-5744</v>
      </c>
      <c r="J30" s="6" t="n">
        <v>-3477</v>
      </c>
      <c r="K30" s="6" t="n">
        <v>-3014</v>
      </c>
      <c r="L30" s="6" t="n">
        <v>-510</v>
      </c>
      <c r="M30" s="6" t="n">
        <v>-1737</v>
      </c>
      <c r="N30" s="6" t="n">
        <v>-894</v>
      </c>
    </row>
    <row r="31">
      <c r="A31" s="6" t="inlineStr">
        <is>
          <t>Proceeds from sale of intangible assets</t>
        </is>
      </c>
      <c r="B31" s="6" t="n"/>
      <c r="C31" s="6" t="n"/>
      <c r="D31" s="6" t="n"/>
      <c r="E31" s="6" t="n">
        <v>269</v>
      </c>
      <c r="F31" s="6" t="n"/>
      <c r="G31" s="6" t="n"/>
      <c r="H31" s="6" t="n"/>
      <c r="I31" s="6" t="n"/>
      <c r="J31" s="6" t="n"/>
      <c r="K31" s="6" t="n"/>
      <c r="L31" s="6" t="n"/>
      <c r="M31" s="6" t="n"/>
      <c r="N31" s="6" t="n"/>
    </row>
    <row r="32">
      <c r="A32" s="5" t="inlineStr">
        <is>
          <t>Net cash used in investing activities</t>
        </is>
      </c>
      <c r="B32" s="5" t="n">
        <v>-1537</v>
      </c>
      <c r="C32" s="5" t="n">
        <v>-820</v>
      </c>
      <c r="D32" s="5" t="n">
        <v>-8524</v>
      </c>
      <c r="E32" s="5" t="n">
        <v>-1094</v>
      </c>
      <c r="F32" s="5" t="n">
        <v>-814</v>
      </c>
      <c r="G32" s="5" t="n">
        <v>-1452</v>
      </c>
      <c r="H32" s="5" t="n">
        <v>-5363</v>
      </c>
      <c r="I32" s="5" t="n">
        <v>-6388</v>
      </c>
      <c r="J32" s="5" t="n">
        <v>-3743</v>
      </c>
      <c r="K32" s="5" t="n">
        <v>551</v>
      </c>
      <c r="L32" s="5" t="n">
        <v>-446</v>
      </c>
      <c r="M32" s="5" t="n">
        <v>-2470</v>
      </c>
      <c r="N32" s="5" t="n">
        <v>-2429</v>
      </c>
    </row>
    <row r="33">
      <c r="A33" s="5" t="inlineStr">
        <is>
          <t>Cash flows from financing activities</t>
        </is>
      </c>
      <c r="B33" s="6" t="n"/>
      <c r="C33" s="6" t="n"/>
      <c r="D33" s="6" t="n"/>
      <c r="E33" s="6" t="n"/>
      <c r="F33" s="6" t="n"/>
      <c r="G33" s="6" t="n"/>
      <c r="H33" s="6" t="n"/>
      <c r="I33" s="6" t="n"/>
      <c r="J33" s="6" t="n"/>
      <c r="K33" s="6" t="n"/>
      <c r="L33" s="6" t="n"/>
      <c r="M33" s="6" t="n"/>
      <c r="N33" s="6" t="n"/>
    </row>
    <row r="34">
      <c r="A34" s="6" t="inlineStr">
        <is>
          <t>Dividend paid</t>
        </is>
      </c>
      <c r="B34" s="6" t="n">
        <v>-6228</v>
      </c>
      <c r="C34" s="6" t="n">
        <v>-4780</v>
      </c>
      <c r="D34" s="6" t="n">
        <v>-5215</v>
      </c>
      <c r="E34" s="6" t="n">
        <v>-8765</v>
      </c>
      <c r="F34" s="6" t="n"/>
      <c r="G34" s="6" t="n"/>
      <c r="H34" s="6" t="n"/>
      <c r="I34" s="6" t="n">
        <v>-1498</v>
      </c>
      <c r="J34" s="6" t="n"/>
      <c r="K34" s="6" t="n"/>
      <c r="L34" s="6" t="n"/>
      <c r="M34" s="6" t="n"/>
      <c r="N34" s="6" t="n">
        <v>-7200</v>
      </c>
    </row>
    <row r="35">
      <c r="A35" s="6" t="inlineStr">
        <is>
          <t>Lease payments for Right of Use assets (principal)</t>
        </is>
      </c>
      <c r="B35" s="6" t="n">
        <v>-249</v>
      </c>
      <c r="C35" s="6" t="n">
        <v>-83</v>
      </c>
      <c r="D35" s="6" t="n">
        <v>-202</v>
      </c>
      <c r="E35" s="6" t="n">
        <v>-6</v>
      </c>
      <c r="F35" s="6" t="n">
        <v>-191</v>
      </c>
      <c r="G35" s="6" t="n">
        <v>-156</v>
      </c>
      <c r="H35" s="6" t="n"/>
      <c r="I35" s="6" t="n"/>
      <c r="J35" s="6" t="n"/>
      <c r="K35" s="6" t="n"/>
      <c r="L35" s="6" t="n"/>
      <c r="M35" s="6" t="n"/>
      <c r="N35" s="6" t="n"/>
    </row>
    <row r="36">
      <c r="A36" s="6" t="inlineStr">
        <is>
          <t>Interest on lease payments</t>
        </is>
      </c>
      <c r="B36" s="6" t="n"/>
      <c r="C36" s="6" t="n">
        <v>-192</v>
      </c>
      <c r="D36" s="6" t="n"/>
      <c r="E36" s="6" t="n"/>
      <c r="F36" s="6" t="n"/>
      <c r="G36" s="6" t="n"/>
      <c r="H36" s="6" t="n"/>
      <c r="I36" s="6" t="n"/>
      <c r="J36" s="6" t="n"/>
      <c r="K36" s="6" t="n"/>
      <c r="L36" s="6" t="n"/>
      <c r="M36" s="6" t="n"/>
      <c r="N36" s="6" t="n"/>
    </row>
    <row r="37">
      <c r="A37" s="6" t="inlineStr">
        <is>
          <t>Subordinated debt issued</t>
        </is>
      </c>
      <c r="B37" s="6" t="n"/>
      <c r="C37" s="6" t="n">
        <v>28185</v>
      </c>
      <c r="D37" s="6" t="n"/>
      <c r="E37" s="6" t="n"/>
      <c r="F37" s="6" t="n"/>
      <c r="G37" s="6" t="n"/>
      <c r="H37" s="6" t="n"/>
      <c r="I37" s="6" t="n"/>
      <c r="J37" s="6" t="n"/>
      <c r="K37" s="6" t="n"/>
      <c r="L37" s="6" t="n"/>
      <c r="M37" s="6" t="n"/>
      <c r="N37" s="6" t="n"/>
    </row>
    <row r="38">
      <c r="A38" s="6" t="inlineStr">
        <is>
          <t>Subordinated debt redeemed</t>
        </is>
      </c>
      <c r="B38" s="6" t="n"/>
      <c r="C38" s="6" t="n">
        <v>-28185</v>
      </c>
      <c r="D38" s="6" t="n"/>
      <c r="E38" s="6" t="n"/>
      <c r="F38" s="6" t="n"/>
      <c r="G38" s="6" t="n"/>
      <c r="H38" s="6" t="n"/>
      <c r="I38" s="6" t="n"/>
      <c r="J38" s="6" t="n"/>
      <c r="K38" s="6" t="n"/>
      <c r="L38" s="6" t="n"/>
      <c r="M38" s="6" t="n"/>
      <c r="N38" s="6" t="n"/>
    </row>
    <row r="39">
      <c r="A39" s="6" t="inlineStr">
        <is>
          <t>Non-cash effect of share capital issuance (FY2015)</t>
        </is>
      </c>
      <c r="B39" s="6" t="n"/>
      <c r="C39" s="6" t="n"/>
      <c r="D39" s="6" t="n"/>
      <c r="E39" s="6" t="n"/>
      <c r="F39" s="6" t="n"/>
      <c r="G39" s="6" t="n"/>
      <c r="H39" s="6" t="n"/>
      <c r="I39" s="6" t="n"/>
      <c r="J39" s="6" t="n"/>
      <c r="K39" s="6" t="n"/>
      <c r="L39" s="6" t="n">
        <v>24697</v>
      </c>
      <c r="M39" s="6" t="n"/>
      <c r="N39" s="6" t="n"/>
    </row>
    <row r="40">
      <c r="A40" s="6" t="inlineStr">
        <is>
          <t>Net subordinated debt issued/(redeemed) (FY2015)</t>
        </is>
      </c>
      <c r="B40" s="6" t="n"/>
      <c r="C40" s="6" t="n"/>
      <c r="D40" s="6" t="n"/>
      <c r="E40" s="6" t="n"/>
      <c r="F40" s="6" t="n"/>
      <c r="G40" s="6" t="n"/>
      <c r="H40" s="6" t="n"/>
      <c r="I40" s="6" t="n"/>
      <c r="J40" s="6" t="n"/>
      <c r="K40" s="6" t="n"/>
      <c r="L40" s="6" t="n">
        <v>-408</v>
      </c>
      <c r="M40" s="6" t="n"/>
      <c r="N40" s="6" t="n"/>
    </row>
    <row r="41">
      <c r="A41" s="5" t="inlineStr">
        <is>
          <t>Net cash used in financing activities</t>
        </is>
      </c>
      <c r="B41" s="5" t="n">
        <v>-6477</v>
      </c>
      <c r="C41" s="5" t="n">
        <v>-5055</v>
      </c>
      <c r="D41" s="5" t="n">
        <v>-5417</v>
      </c>
      <c r="E41" s="5" t="n">
        <v>-8771</v>
      </c>
      <c r="F41" s="5" t="n">
        <v>-191</v>
      </c>
      <c r="G41" s="5" t="n">
        <v>-156</v>
      </c>
      <c r="H41" s="5" t="n">
        <v>0</v>
      </c>
      <c r="I41" s="5" t="n">
        <v>-1498</v>
      </c>
      <c r="J41" s="5" t="n">
        <v>0</v>
      </c>
      <c r="K41" s="5" t="n">
        <v>0</v>
      </c>
      <c r="L41" s="5" t="n">
        <v>24289</v>
      </c>
      <c r="M41" s="5" t="n">
        <v>0</v>
      </c>
      <c r="N41" s="5" t="n">
        <v>-7200</v>
      </c>
    </row>
    <row r="42">
      <c r="A42" s="5" t="inlineStr">
        <is>
          <t>Net increase/(decrease) in cash and cash equivalents</t>
        </is>
      </c>
      <c r="B42" s="5" t="n">
        <v>116124</v>
      </c>
      <c r="C42" s="5" t="n">
        <v>221953</v>
      </c>
      <c r="D42" s="5" t="n">
        <v>-300352</v>
      </c>
      <c r="E42" s="5" t="n">
        <v>-130609</v>
      </c>
      <c r="F42" s="5" t="n">
        <v>188589</v>
      </c>
      <c r="G42" s="5" t="n">
        <v>-323492</v>
      </c>
      <c r="H42" s="5" t="n">
        <v>-879235</v>
      </c>
      <c r="I42" s="5" t="n">
        <v>1171486</v>
      </c>
      <c r="J42" s="5" t="n">
        <v>-563253</v>
      </c>
      <c r="K42" s="5" t="n">
        <v>-602737</v>
      </c>
      <c r="L42" s="5" t="n">
        <v>89188</v>
      </c>
      <c r="M42" s="5" t="n">
        <v>437439</v>
      </c>
      <c r="N42" s="5" t="n">
        <v>32049</v>
      </c>
    </row>
    <row r="43">
      <c r="A43" s="6" t="inlineStr">
        <is>
          <t>Cash and cash equivalents at the beginning of the year</t>
        </is>
      </c>
      <c r="B43" s="6" t="n">
        <v>604467</v>
      </c>
      <c r="C43" s="6" t="n">
        <v>372940</v>
      </c>
      <c r="D43" s="6" t="n">
        <v>700795</v>
      </c>
      <c r="E43" s="6" t="n">
        <v>766720</v>
      </c>
      <c r="F43" s="6" t="n">
        <v>586617</v>
      </c>
      <c r="G43" s="6" t="n">
        <v>897237</v>
      </c>
      <c r="H43" s="6" t="n">
        <v>1821651</v>
      </c>
      <c r="I43" s="6" t="n">
        <v>625253</v>
      </c>
      <c r="J43" s="6" t="n">
        <v>1226225</v>
      </c>
      <c r="K43" s="6" t="n">
        <v>1623993</v>
      </c>
      <c r="L43" s="6" t="n">
        <v>1514842</v>
      </c>
      <c r="M43" s="6" t="n">
        <v>1041466</v>
      </c>
      <c r="N43" s="6" t="n">
        <v>1014858</v>
      </c>
    </row>
    <row r="44">
      <c r="A44" s="6" t="inlineStr">
        <is>
          <t>Effect of exchange rate change on cash and cash equivalents</t>
        </is>
      </c>
      <c r="B44" s="6" t="n">
        <v>-2014</v>
      </c>
      <c r="C44" s="6" t="n">
        <v>9574</v>
      </c>
      <c r="D44" s="6" t="n">
        <v>-27503</v>
      </c>
      <c r="E44" s="6" t="n">
        <v>64684</v>
      </c>
      <c r="F44" s="6" t="n">
        <v>-8486</v>
      </c>
      <c r="G44" s="6" t="n">
        <v>12872</v>
      </c>
      <c r="H44" s="6" t="n">
        <v>-45179</v>
      </c>
      <c r="I44" s="6" t="n">
        <v>24912</v>
      </c>
      <c r="J44" s="6" t="n">
        <v>-37719</v>
      </c>
      <c r="K44" s="6" t="n">
        <v>204969</v>
      </c>
      <c r="L44" s="6" t="n">
        <v>19963</v>
      </c>
      <c r="M44" s="6" t="n">
        <v>35937</v>
      </c>
      <c r="N44" s="6" t="n">
        <v>-5441</v>
      </c>
    </row>
    <row r="45">
      <c r="A45" s="5" t="inlineStr">
        <is>
          <t>Cash and cash equivalents at the end of the year</t>
        </is>
      </c>
      <c r="B45" s="5" t="n">
        <v>718577</v>
      </c>
      <c r="C45" s="5" t="n">
        <v>604467</v>
      </c>
      <c r="D45" s="5" t="n">
        <v>372940</v>
      </c>
      <c r="E45" s="5" t="n">
        <v>700795</v>
      </c>
      <c r="F45" s="5" t="n">
        <v>766720</v>
      </c>
      <c r="G45" s="5" t="n">
        <v>586617</v>
      </c>
      <c r="H45" s="5" t="n">
        <v>897237</v>
      </c>
      <c r="I45" s="5" t="n">
        <v>1821651</v>
      </c>
      <c r="J45" s="5" t="n">
        <v>625253</v>
      </c>
      <c r="K45" s="5" t="n">
        <v>1226225</v>
      </c>
      <c r="L45" s="5" t="n">
        <v>1623993</v>
      </c>
      <c r="M45" s="5" t="n">
        <v>1514842</v>
      </c>
      <c r="N45" s="5" t="n">
        <v>1041466</v>
      </c>
    </row>
    <row r="46">
      <c r="A46" s="5" t="inlineStr">
        <is>
          <t>Cash and cash equivalents comprise</t>
        </is>
      </c>
      <c r="B46" s="6" t="n"/>
      <c r="C46" s="6" t="n"/>
      <c r="D46" s="6" t="n"/>
      <c r="E46" s="6" t="n"/>
      <c r="F46" s="6" t="n"/>
      <c r="G46" s="6" t="n"/>
      <c r="H46" s="6" t="n"/>
      <c r="I46" s="6" t="n"/>
      <c r="J46" s="6" t="n"/>
      <c r="K46" s="6" t="n"/>
      <c r="L46" s="6" t="n"/>
      <c r="M46" s="6" t="n"/>
      <c r="N46" s="6" t="n"/>
    </row>
    <row r="47">
      <c r="A47" s="6" t="inlineStr">
        <is>
          <t>Cash, notes and coin</t>
        </is>
      </c>
      <c r="B47" s="6" t="n">
        <v>0</v>
      </c>
      <c r="C47" s="6" t="n">
        <v>1</v>
      </c>
      <c r="D47" s="6" t="n">
        <v>1</v>
      </c>
      <c r="E47" s="6" t="n">
        <v>0</v>
      </c>
      <c r="F47" s="6" t="n">
        <v>218</v>
      </c>
      <c r="G47" s="6" t="n">
        <v>219</v>
      </c>
      <c r="H47" s="6" t="n">
        <v>89</v>
      </c>
      <c r="I47" s="6" t="n">
        <v>110</v>
      </c>
      <c r="J47" s="6" t="n">
        <v>143</v>
      </c>
      <c r="K47" s="6" t="n">
        <v>87</v>
      </c>
      <c r="L47" s="6" t="n">
        <v>323</v>
      </c>
      <c r="M47" s="6" t="n">
        <v>633</v>
      </c>
      <c r="N47" s="6" t="n">
        <v>223</v>
      </c>
    </row>
    <row r="48">
      <c r="A48" s="6" t="inlineStr">
        <is>
          <t>Loans and advances to banks of original maturity three months or less</t>
        </is>
      </c>
      <c r="B48" s="6" t="n">
        <v>409309</v>
      </c>
      <c r="C48" s="6" t="n">
        <v>488558</v>
      </c>
      <c r="D48" s="6" t="n">
        <v>216705</v>
      </c>
      <c r="E48" s="6" t="n">
        <v>391580</v>
      </c>
      <c r="F48" s="6" t="n">
        <v>376162</v>
      </c>
      <c r="G48" s="6" t="n">
        <v>350549</v>
      </c>
      <c r="H48" s="6" t="n">
        <v>768892</v>
      </c>
      <c r="I48" s="6" t="n">
        <v>627016</v>
      </c>
      <c r="J48" s="6" t="n">
        <v>588102</v>
      </c>
      <c r="K48" s="6" t="n">
        <v>427449</v>
      </c>
      <c r="L48" s="6" t="n">
        <v>767850</v>
      </c>
      <c r="M48" s="6" t="n">
        <v>1058934</v>
      </c>
      <c r="N48" s="6" t="n">
        <v>1031243</v>
      </c>
    </row>
    <row r="49">
      <c r="A49" s="6" t="inlineStr">
        <is>
          <t>Loans and advances to non-banks of original maturity three months or less (from FY2019 onwards)</t>
        </is>
      </c>
      <c r="B49" s="6" t="n"/>
      <c r="C49" s="6" t="n"/>
      <c r="D49" s="6" t="n"/>
      <c r="E49" s="6" t="n"/>
      <c r="F49" s="6" t="n"/>
      <c r="G49" s="6" t="n">
        <v>0</v>
      </c>
      <c r="H49" s="6" t="n">
        <v>3786</v>
      </c>
      <c r="I49" s="6" t="n">
        <v>191951</v>
      </c>
      <c r="J49" s="6" t="n"/>
      <c r="K49" s="6" t="n"/>
      <c r="L49" s="6" t="n"/>
      <c r="M49" s="6" t="n"/>
      <c r="N49" s="6" t="n"/>
    </row>
    <row r="50">
      <c r="A50" s="6" t="inlineStr">
        <is>
          <t>Debt securities/certificates of deposit of three months original maturity or less</t>
        </is>
      </c>
      <c r="B50" s="6" t="n">
        <v>309268</v>
      </c>
      <c r="C50" s="6" t="n">
        <v>115908</v>
      </c>
      <c r="D50" s="6" t="n">
        <v>156234</v>
      </c>
      <c r="E50" s="6" t="n">
        <v>309215</v>
      </c>
      <c r="F50" s="6" t="n">
        <v>390340</v>
      </c>
      <c r="G50" s="6" t="n">
        <v>235849</v>
      </c>
      <c r="H50" s="6" t="n">
        <v>124470</v>
      </c>
      <c r="I50" s="6" t="n">
        <v>1002574</v>
      </c>
      <c r="J50" s="6" t="n">
        <v>37008</v>
      </c>
      <c r="K50" s="6" t="n">
        <v>798689</v>
      </c>
      <c r="L50" s="6" t="n">
        <v>855820</v>
      </c>
      <c r="M50" s="6" t="n">
        <v>455275</v>
      </c>
      <c r="N50" s="6" t="n">
        <v>10000</v>
      </c>
    </row>
    <row r="51">
      <c r="A51" s="5" t="inlineStr">
        <is>
          <t>Cash and cash equivalents</t>
        </is>
      </c>
      <c r="B51" s="5" t="n">
        <v>718577</v>
      </c>
      <c r="C51" s="5" t="n">
        <v>604467</v>
      </c>
      <c r="D51" s="5" t="n">
        <v>372940</v>
      </c>
      <c r="E51" s="5" t="n">
        <v>700795</v>
      </c>
      <c r="F51" s="5" t="n">
        <v>766720</v>
      </c>
      <c r="G51" s="5" t="n">
        <v>586617</v>
      </c>
      <c r="H51" s="5" t="n">
        <v>897237</v>
      </c>
      <c r="I51" s="5" t="n">
        <v>1821651</v>
      </c>
      <c r="J51" s="5" t="n">
        <v>625253</v>
      </c>
      <c r="K51" s="5" t="n">
        <v>1226225</v>
      </c>
      <c r="L51" s="5" t="n">
        <v>1623993</v>
      </c>
      <c r="M51" s="5" t="n">
        <v>1514842</v>
      </c>
      <c r="N51" s="5" t="n">
        <v>1041466</v>
      </c>
    </row>
    <row r="53" ht="210" customHeight="1">
      <c r="A53" s="8" t="inlineStr">
        <is>
          <t>Sources - British Arab Commercial Bank PLC's own Statement of Cash Flow, each year from that year's own Annual Report (not a later report's restated comparative):
FY2025: Annual Report YE2025, pp.65-66 - https://files.bacb.co.uk/production/files/BACB_AnnualReportYE2025_WEB-Final.pdf
FY2024: Annual Report YE2024, pp.59-60 - https://files.bacb.co.uk/production/files/BACB_AnnualReportYE2024_WEB-Final.pdf
FY2023: Annual Report YE2023, p.60 - https://files.bacb.co.uk/production/files/BACB_AnnualReportYE2023_WEB-06.pdf
FY2022: Annual Report YE2022, p.56 - https://files.bacb.co.uk/production/files/BACB_AnnualReportYE2022_WEB-1proof-10.pdf
FY2021: Annual Report YE2021, p.48 - https://files.bacb.co.uk/production/files/BACB_AnnualReportYE2021-1.pdf
FY2020: Annual Report YE2020, p.2.4 - https://files.bacb.co.uk/production/files/BACB-Annual-Report-2020.pdf
FY2019: Annual Report YE2019, p.2.4 - https://files.bacb.co.uk/production/files/BACB_AnnualReportYE2019-print-3-opt.pdf
FY2018: Annual Report YE2018, p.2.4 - https://files.bacb.co.uk/production/files/BACB_AnnualReportYE2018-complete-6.pdf
FY2017: Annual Report (filename says 2018, cover confirms FY2017), p.31 - https://files.bacb.co.uk/production/files/BACB_AnnualReport_online-2018-v4.pdf
FY2016: Annual Report (filename says 2017, cover confirms FY2016), p.30 - https://files.bacb.co.uk/production/files/BACB_AnnualReport_online-2017.pdf
FY2015: Annual Report YE2015, p.31 - https://files.bacb.co.uk/production/files/Report-Financials-2015-FINAL-18032016.pdf
FY2014: Annual Report YE2014, p.30 - https://files.bacb.co.uk/production/files/Annual-Report-2014-Final.pdf
FY2013: Full accounts made up to 31 December 2013, filed with Companies House 18 Mar 2014, p.25 (Statement of Cash Flow) - https://find-and-update.company-information.service.gov.uk/company/01047302/filing-history/MzA5NjQ2MjMzMmFkaXF6a2N4/document?format=pdf&amp;download=0
British Arab Commercial Bank PLC ("BACB"), company 01047302 (incorporated 1972 as UBAF Limited, renamed British Arab Commercial Bank Limited 1996, re-registered as a public company 2009), FRN 204564. Owned by a consortium: Libyan Foreign Bank 85.95% (wholly owned by the Central Bank of Libya), Banque Exterieure d'Algerie 7.025%, Banque Centrale Populaire (Morocco) 7.025%. Single UK entity, no subsidiaries/associates, no prudential consolidation. Does NOT take the FRS 101/102 cash-flow exemption - full Statement of Cash Flow every year. GBP throughout, no FX conversion needed. Companies House status: Active, no going-concern issues found in any of the 5 Annual Reports (unqualified audits throughout).
RESTATEMENTS: this bank's own cash flow comparatives shift modestly between report vintages (e.g. FY2021's "Net cash gained from operating activities" is 189,594 in the 2021 report's own figures vs 189,407 in 2022's comparative; FY2024's is 227,828 in 2024's own report vs 227,636 in 2025's comparative) - each year's column here uses that year's own originally-published report, per project convention, not a later report's restated comparative.
HISTORICAL DEPTH (FY2014-FY2020, added under HD-051, capped at FY2014 project-wide by 2026-09-05 user decision - the Bank's own archive goes back further but pre-CRD IV/Basel III Pillar 3 data isn't comparable and 2008-2012 crisis-era data is out of scope): FY2014's own report states Net pension liability GBP2,614k; FY2015's own report's FY2014 comparative restates this to GBP3,268k, with an exactly offsetting GBP654k reduction in FY2014's 'Deferred taxation' comparative (GBP1,183k in FY2014's own report vs GBP529k in FY2015's FY2014 comparative) - Total liabilities/equity unaffected either way, a reclass between two liability lines, not a genuine balance change - FY2014's own figures for both lines are used here, per this same convention. A similar small GBP38k reclass between Retained earnings and the Fair Value reserve exists between FY2020's own closing equity balance and FY2021's own opening balance (Total equity unaffected), shown as an explicit reclassification row at that transition, same as the other such reclasses already noted below. IFRS 9 replaced IAS 39 from 1 January 2018: FY2014-FY2017's own Balance Sheets have no 'Fair Value reserve' line (an 'AFS reserve' instead, renamed at IFRS 9 transition); FY2018's own report shows the transition adjustment (GBP7,447k impairment reclass + GBP1,288k DTA impact) as an explicit restated-opening-balance line between the FY2017 closing and FY2018 opening equity balances, shown as such below. FY2018 was a large loss year (GBP35,308k loss) driven by the IFRS 9 day-1 impairment build and a GBP59,043k allowance for credit losses charge - a genuine result, not a data error.
HISTORICAL DEPTH FY2013 (added under HD-072, statutory statements only - Pillar 3/Asset Quality/RWA Breakdown untouched, per that ticket's scope): sourced from Companies House, not bacb.co.uk (no FY2013 Annual Report PDF found on the Bank's own file server - only FY2014 onward). FY2013's own filed accounts state Loans and advances to customers GBP456,896k and a combined Debt securities/Equity shares/Shares in bank undertakings total of GBP760,316k (GBP746,475k + GBP13,841k + GBP0k, shown here as 'Financial investments' to match later years' single-line presentation); FY2014's own report's FY2013 comparative column restates these to GBP450,839k and GBP766,373k respectively - an exact GBP6,057k reclass between the two lines, Total assets unaffected (GBP2,402,148k either way). FY2013's own originally-filed figures are used here, per this same convention.</t>
        </is>
      </c>
    </row>
  </sheetData>
  <mergeCells count="1">
    <mergeCell ref="A53:N5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Asset Quality / Credit Risk Disclosures</t>
        </is>
      </c>
    </row>
    <row r="2">
      <c r="A2" s="2" t="inlineStr">
        <is>
          <t>Loans and advances to customers by IFRS 9 stage, £'000. Bank entity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IFRS 9 stage (gross exposure)</t>
        </is>
      </c>
      <c r="B4" s="6" t="n"/>
      <c r="C4" s="6" t="n"/>
      <c r="D4" s="6" t="n"/>
      <c r="E4" s="6" t="n"/>
      <c r="F4" s="6" t="n"/>
      <c r="G4" s="6" t="n"/>
      <c r="H4" s="6" t="n"/>
      <c r="I4" s="6" t="n"/>
      <c r="J4" s="6" t="n"/>
      <c r="K4" s="6" t="n"/>
      <c r="L4" s="6" t="n"/>
      <c r="M4" s="6" t="n"/>
    </row>
    <row r="5">
      <c r="A5" s="6" t="inlineStr">
        <is>
          <t>Stage 1 (12-month ECL)</t>
        </is>
      </c>
      <c r="B5" s="6" t="n">
        <v>270253</v>
      </c>
      <c r="C5" s="6" t="n"/>
      <c r="D5" s="6" t="n">
        <v>254360</v>
      </c>
      <c r="E5" s="6" t="n"/>
      <c r="F5" s="6" t="n">
        <v>417375</v>
      </c>
      <c r="G5" s="6" t="n">
        <v>360471</v>
      </c>
      <c r="H5" s="6" t="n">
        <v>480522</v>
      </c>
      <c r="I5" s="6" t="n">
        <v>826480</v>
      </c>
      <c r="J5" s="6" t="n"/>
      <c r="K5" s="6" t="n"/>
      <c r="L5" s="6" t="n"/>
      <c r="M5" s="6" t="n"/>
    </row>
    <row r="6">
      <c r="A6" s="6" t="inlineStr">
        <is>
          <t>Stage 2 (lifetime ECL, not credit-impaired)</t>
        </is>
      </c>
      <c r="B6" s="6" t="n">
        <v>36036</v>
      </c>
      <c r="C6" s="6" t="n"/>
      <c r="D6" s="6" t="n">
        <v>102165</v>
      </c>
      <c r="E6" s="6" t="n"/>
      <c r="F6" s="6" t="n">
        <v>69314</v>
      </c>
      <c r="G6" s="6" t="n">
        <v>222279</v>
      </c>
      <c r="H6" s="6" t="n">
        <v>151173</v>
      </c>
      <c r="I6" s="6" t="n">
        <v>130467</v>
      </c>
      <c r="J6" s="6" t="n"/>
      <c r="K6" s="6" t="n"/>
      <c r="L6" s="6" t="n"/>
      <c r="M6" s="6" t="n"/>
    </row>
    <row r="7">
      <c r="A7" s="6" t="inlineStr">
        <is>
          <t>Stage 3 (lifetime ECL, credit-impaired / default)</t>
        </is>
      </c>
      <c r="B7" s="6" t="n">
        <v>49098</v>
      </c>
      <c r="C7" s="6" t="n"/>
      <c r="D7" s="6" t="n">
        <v>43879</v>
      </c>
      <c r="E7" s="6" t="n"/>
      <c r="F7" s="6" t="n">
        <v>11038</v>
      </c>
      <c r="G7" s="6" t="n">
        <v>58099</v>
      </c>
      <c r="H7" s="6" t="n">
        <v>84760</v>
      </c>
      <c r="I7" s="6" t="n">
        <v>211138</v>
      </c>
      <c r="J7" s="6" t="n"/>
      <c r="K7" s="6" t="n"/>
      <c r="L7" s="6" t="n"/>
      <c r="M7" s="6" t="n"/>
    </row>
    <row r="8">
      <c r="A8" s="5" t="inlineStr">
        <is>
          <t>Total gross exposure</t>
        </is>
      </c>
      <c r="B8" s="5" t="n">
        <v>355387</v>
      </c>
      <c r="C8" s="5" t="n"/>
      <c r="D8" s="5" t="n">
        <v>400404</v>
      </c>
      <c r="E8" s="5" t="n"/>
      <c r="F8" s="5" t="n">
        <v>497727</v>
      </c>
      <c r="G8" s="5" t="n">
        <v>640849</v>
      </c>
      <c r="H8" s="5" t="n">
        <v>716455</v>
      </c>
      <c r="I8" s="5" t="n">
        <v>1168085</v>
      </c>
      <c r="J8" s="5" t="n"/>
      <c r="K8" s="5" t="n"/>
      <c r="L8" s="5" t="n"/>
      <c r="M8" s="5" t="n"/>
    </row>
    <row r="9">
      <c r="A9" s="5" t="inlineStr">
        <is>
          <t>Loss allowance, by stage</t>
        </is>
      </c>
      <c r="B9" s="6" t="n"/>
      <c r="C9" s="6" t="n"/>
      <c r="D9" s="6" t="n"/>
      <c r="E9" s="6" t="n"/>
      <c r="F9" s="6" t="n"/>
      <c r="G9" s="6" t="n"/>
      <c r="H9" s="6" t="n"/>
      <c r="I9" s="6" t="n"/>
      <c r="J9" s="6" t="n"/>
      <c r="K9" s="6" t="n"/>
      <c r="L9" s="6" t="n"/>
      <c r="M9" s="6" t="n"/>
    </row>
    <row r="10">
      <c r="A10" s="6" t="inlineStr">
        <is>
          <t>Stage 1 allowance</t>
        </is>
      </c>
      <c r="B10" s="6" t="n">
        <v>-266</v>
      </c>
      <c r="C10" s="6" t="n"/>
      <c r="D10" s="6" t="n">
        <v>-229</v>
      </c>
      <c r="E10" s="6" t="n"/>
      <c r="F10" s="6" t="n">
        <v>-632</v>
      </c>
      <c r="G10" s="6" t="n">
        <v>-1342</v>
      </c>
      <c r="H10" s="6" t="n">
        <v>-1063</v>
      </c>
      <c r="I10" s="6" t="n">
        <v>-1840</v>
      </c>
      <c r="J10" s="6" t="n"/>
      <c r="K10" s="6" t="n"/>
      <c r="L10" s="6" t="n"/>
      <c r="M10" s="6" t="n"/>
    </row>
    <row r="11">
      <c r="A11" s="6" t="inlineStr">
        <is>
          <t>Stage 2 allowance</t>
        </is>
      </c>
      <c r="B11" s="6" t="n">
        <v>-628</v>
      </c>
      <c r="C11" s="6" t="n"/>
      <c r="D11" s="6" t="n">
        <v>-2442</v>
      </c>
      <c r="E11" s="6" t="n"/>
      <c r="F11" s="6" t="n">
        <v>-4388</v>
      </c>
      <c r="G11" s="6" t="n">
        <v>-5764</v>
      </c>
      <c r="H11" s="6" t="n">
        <v>-3700</v>
      </c>
      <c r="I11" s="6" t="n">
        <v>-3371</v>
      </c>
      <c r="J11" s="6" t="n"/>
      <c r="K11" s="6" t="n"/>
      <c r="L11" s="6" t="n"/>
      <c r="M11" s="6" t="n"/>
    </row>
    <row r="12">
      <c r="A12" s="6" t="inlineStr">
        <is>
          <t>Stage 3 allowance</t>
        </is>
      </c>
      <c r="B12" s="6" t="n">
        <v>-931</v>
      </c>
      <c r="C12" s="6" t="n"/>
      <c r="D12" s="6" t="n">
        <v>-9166</v>
      </c>
      <c r="E12" s="6" t="n"/>
      <c r="F12" s="6" t="n">
        <v>-8171</v>
      </c>
      <c r="G12" s="6" t="n">
        <v>-51214</v>
      </c>
      <c r="H12" s="6" t="n">
        <v>-60178</v>
      </c>
      <c r="I12" s="6" t="n">
        <v>-81713</v>
      </c>
      <c r="J12" s="6" t="n"/>
      <c r="K12" s="6" t="n"/>
      <c r="L12" s="6" t="n"/>
      <c r="M12" s="6" t="n"/>
    </row>
    <row r="13">
      <c r="A13" s="5" t="inlineStr">
        <is>
          <t>Total loss allowance</t>
        </is>
      </c>
      <c r="B13" s="5" t="n">
        <v>-1825</v>
      </c>
      <c r="C13" s="5" t="n"/>
      <c r="D13" s="5" t="n">
        <v>-11837</v>
      </c>
      <c r="E13" s="5" t="n"/>
      <c r="F13" s="5" t="n">
        <v>-13191</v>
      </c>
      <c r="G13" s="5" t="n">
        <v>-58320</v>
      </c>
      <c r="H13" s="5" t="n">
        <v>-64941</v>
      </c>
      <c r="I13" s="5" t="n">
        <v>-86924</v>
      </c>
      <c r="J13" s="5" t="n"/>
      <c r="K13" s="5" t="n"/>
      <c r="L13" s="5" t="n"/>
      <c r="M13" s="5" t="n"/>
    </row>
    <row r="14">
      <c r="A14" s="5" t="inlineStr">
        <is>
          <t>Carrying amount (= Balance Sheet's Loans and advances to customers)</t>
        </is>
      </c>
      <c r="B14" s="5" t="n">
        <v>353562</v>
      </c>
      <c r="C14" s="5" t="n">
        <v>387260</v>
      </c>
      <c r="D14" s="5" t="n">
        <v>388567</v>
      </c>
      <c r="E14" s="5" t="n">
        <v>463780</v>
      </c>
      <c r="F14" s="5" t="n">
        <v>484536</v>
      </c>
      <c r="G14" s="5" t="n">
        <v>582529</v>
      </c>
      <c r="H14" s="5" t="n">
        <v>651514</v>
      </c>
      <c r="I14" s="5" t="n">
        <v>1081161</v>
      </c>
      <c r="J14" s="5" t="n"/>
      <c r="K14" s="5" t="n"/>
      <c r="L14" s="5" t="n"/>
      <c r="M14" s="5" t="n"/>
    </row>
    <row r="15">
      <c r="A15" s="5" t="inlineStr">
        <is>
          <t>Ratios (FY2024/FY2022 not computable - see note)</t>
        </is>
      </c>
      <c r="B15" s="6" t="n"/>
      <c r="C15" s="6" t="n"/>
      <c r="D15" s="6" t="n"/>
      <c r="E15" s="6" t="n"/>
      <c r="F15" s="6" t="n"/>
      <c r="G15" s="6" t="n"/>
      <c r="H15" s="6" t="n"/>
      <c r="I15" s="6" t="n"/>
      <c r="J15" s="6" t="n"/>
      <c r="K15" s="6" t="n"/>
      <c r="L15" s="6" t="n"/>
      <c r="M15" s="6" t="n"/>
    </row>
    <row r="16">
      <c r="A16" s="6" t="inlineStr">
        <is>
          <t>Stage 3 exposure ratio (Stage 3 / total gross exposure)</t>
        </is>
      </c>
      <c r="B16" s="6" t="inlineStr">
        <is>
          <t>13.82%</t>
        </is>
      </c>
      <c r="C16" s="6" t="n"/>
      <c r="D16" s="6" t="inlineStr">
        <is>
          <t>10.96%</t>
        </is>
      </c>
      <c r="E16" s="6" t="n"/>
      <c r="F16" s="6" t="inlineStr">
        <is>
          <t>2.22%</t>
        </is>
      </c>
      <c r="G16" s="6" t="inlineStr">
        <is>
          <t>9.07%</t>
        </is>
      </c>
      <c r="H16" s="6" t="inlineStr">
        <is>
          <t>11.83%</t>
        </is>
      </c>
      <c r="I16" s="6" t="inlineStr">
        <is>
          <t>18.08%</t>
        </is>
      </c>
      <c r="J16" s="6" t="n"/>
      <c r="K16" s="6" t="n"/>
      <c r="L16" s="6" t="n"/>
      <c r="M16" s="6" t="n"/>
    </row>
    <row r="17">
      <c r="A17" s="6" t="inlineStr">
        <is>
          <t>Stage 3 coverage ratio (Stage 3 allowance / Stage 3 exposure)</t>
        </is>
      </c>
      <c r="B17" s="6" t="inlineStr">
        <is>
          <t>1.90%</t>
        </is>
      </c>
      <c r="C17" s="6" t="n"/>
      <c r="D17" s="6" t="inlineStr">
        <is>
          <t>20.89%</t>
        </is>
      </c>
      <c r="E17" s="6" t="n"/>
      <c r="F17" s="6" t="inlineStr">
        <is>
          <t>74.03%</t>
        </is>
      </c>
      <c r="G17" s="6" t="inlineStr">
        <is>
          <t>88.15%</t>
        </is>
      </c>
      <c r="H17" s="6" t="inlineStr">
        <is>
          <t>71.00%</t>
        </is>
      </c>
      <c r="I17" s="6" t="inlineStr">
        <is>
          <t>38.70%</t>
        </is>
      </c>
      <c r="J17" s="6" t="n"/>
      <c r="K17" s="6" t="n"/>
      <c r="L17" s="6" t="n"/>
      <c r="M17" s="6" t="n"/>
    </row>
    <row r="18">
      <c r="A18" s="6" t="inlineStr">
        <is>
          <t>Overall coverage ratio (total allowance / total gross exposure)</t>
        </is>
      </c>
      <c r="B18" s="6" t="inlineStr">
        <is>
          <t>0.51%</t>
        </is>
      </c>
      <c r="C18" s="6" t="n"/>
      <c r="D18" s="6" t="inlineStr">
        <is>
          <t>2.96%</t>
        </is>
      </c>
      <c r="E18" s="6" t="n"/>
      <c r="F18" s="6" t="inlineStr">
        <is>
          <t>2.65%</t>
        </is>
      </c>
      <c r="G18" s="6" t="inlineStr">
        <is>
          <t>9.10%</t>
        </is>
      </c>
      <c r="H18" s="6" t="inlineStr">
        <is>
          <t>9.06%</t>
        </is>
      </c>
      <c r="I18" s="6" t="inlineStr">
        <is>
          <t>7.44%</t>
        </is>
      </c>
      <c r="J18" s="6" t="n"/>
      <c r="K18" s="6" t="n"/>
      <c r="L18" s="6" t="n"/>
      <c r="M18" s="6" t="n"/>
    </row>
    <row r="19">
      <c r="A19" s="5" t="inlineStr">
        <is>
          <t>Pre-IFRS 9 (FY2014-FY2017): impairment provision against Loans and advances to customers (IAS 39 individual/collective model - not a Stage 1/2/3 equivalent, see note)</t>
        </is>
      </c>
      <c r="B19" s="6" t="n"/>
      <c r="C19" s="6" t="n"/>
      <c r="D19" s="6" t="n"/>
      <c r="E19" s="6" t="n"/>
      <c r="F19" s="6" t="n"/>
      <c r="G19" s="6" t="n"/>
      <c r="H19" s="6" t="n"/>
      <c r="I19" s="6" t="n"/>
      <c r="J19" s="6" t="n"/>
      <c r="K19" s="6" t="n"/>
      <c r="L19" s="6" t="n"/>
      <c r="M19" s="6" t="n"/>
    </row>
    <row r="20">
      <c r="A20" s="6" t="inlineStr">
        <is>
          <t>Individual impairment provision</t>
        </is>
      </c>
      <c r="B20" s="6" t="n"/>
      <c r="C20" s="6" t="n"/>
      <c r="D20" s="6" t="n"/>
      <c r="E20" s="6" t="n"/>
      <c r="F20" s="6" t="n"/>
      <c r="G20" s="6" t="n"/>
      <c r="H20" s="6" t="n"/>
      <c r="I20" s="6" t="n"/>
      <c r="J20" s="6" t="n">
        <v>-47994</v>
      </c>
      <c r="K20" s="6" t="n">
        <v>-40719</v>
      </c>
      <c r="L20" s="6" t="n">
        <v>-26360</v>
      </c>
      <c r="M20" s="6" t="n">
        <v>-23331</v>
      </c>
    </row>
    <row r="21">
      <c r="A21" s="6" t="inlineStr">
        <is>
          <t>Collective impairment provision</t>
        </is>
      </c>
      <c r="B21" s="6" t="n"/>
      <c r="C21" s="6" t="n"/>
      <c r="D21" s="6" t="n"/>
      <c r="E21" s="6" t="n"/>
      <c r="F21" s="6" t="n"/>
      <c r="G21" s="6" t="n"/>
      <c r="H21" s="6" t="n"/>
      <c r="I21" s="6" t="n"/>
      <c r="J21" s="6" t="n">
        <v>-809</v>
      </c>
      <c r="K21" s="6" t="n">
        <v>-250</v>
      </c>
      <c r="L21" s="6" t="n">
        <v>-1431</v>
      </c>
      <c r="M21" s="6" t="n">
        <v>-784</v>
      </c>
    </row>
    <row r="22">
      <c r="A22" s="5" t="inlineStr">
        <is>
          <t>Total impairment provision</t>
        </is>
      </c>
      <c r="B22" s="5" t="n"/>
      <c r="C22" s="5" t="n"/>
      <c r="D22" s="5" t="n"/>
      <c r="E22" s="5" t="n"/>
      <c r="F22" s="5" t="n"/>
      <c r="G22" s="5" t="n"/>
      <c r="H22" s="5" t="n"/>
      <c r="I22" s="5" t="n"/>
      <c r="J22" s="5" t="n">
        <v>-48803</v>
      </c>
      <c r="K22" s="5" t="n">
        <v>-40969</v>
      </c>
      <c r="L22" s="5" t="n">
        <v>-27791</v>
      </c>
      <c r="M22" s="5" t="n">
        <v>-24115</v>
      </c>
    </row>
    <row r="23">
      <c r="A23" s="6" t="inlineStr">
        <is>
          <t>Estimated gross Loans and advances to customers (carrying amount + impairment provision)</t>
        </is>
      </c>
      <c r="B23" s="6" t="n"/>
      <c r="C23" s="6" t="n"/>
      <c r="D23" s="6" t="n"/>
      <c r="E23" s="6" t="n"/>
      <c r="F23" s="6" t="n"/>
      <c r="G23" s="6" t="n"/>
      <c r="H23" s="6" t="n"/>
      <c r="I23" s="6" t="n"/>
      <c r="J23" s="6" t="n">
        <v>1117392</v>
      </c>
      <c r="K23" s="6" t="n">
        <v>905280</v>
      </c>
      <c r="L23" s="6" t="n">
        <v>713471</v>
      </c>
      <c r="M23" s="6" t="n">
        <v>495490</v>
      </c>
    </row>
    <row r="24">
      <c r="A24" s="6" t="inlineStr">
        <is>
          <t>Overall coverage ratio (total provision / estimated gross loans)</t>
        </is>
      </c>
      <c r="B24" s="6" t="n"/>
      <c r="C24" s="6" t="n"/>
      <c r="D24" s="6" t="n"/>
      <c r="E24" s="6" t="n"/>
      <c r="F24" s="6" t="n"/>
      <c r="G24" s="6" t="n"/>
      <c r="H24" s="6" t="n"/>
      <c r="I24" s="6" t="n"/>
      <c r="J24" s="6" t="inlineStr">
        <is>
          <t>4.37%</t>
        </is>
      </c>
      <c r="K24" s="6" t="inlineStr">
        <is>
          <t>4.53%</t>
        </is>
      </c>
      <c r="L24" s="6" t="inlineStr">
        <is>
          <t>3.90%</t>
        </is>
      </c>
      <c r="M24" s="6" t="inlineStr">
        <is>
          <t>4.87%</t>
        </is>
      </c>
    </row>
    <row r="26" ht="280" customHeight="1">
      <c r="A26" s="8" t="inlineStr">
        <is>
          <t>Sources - British Arab Commercial Bank PLC's own 'Credit quality analysis' note (Loans and advances to customers only, £'000), each year from that year's own Annual Report:
FY2025: Annual Report YE2025, p.95 - https://files.bacb.co.uk/production/files/BACB_AnnualReportYE2025_WEB-Final.pdf
FY2023: Annual Report YE2023, p.83 - https://files.bacb.co.uk/production/files/BACB_AnnualReportYE2023_WEB-06.pdf
FY2021: Annual Report YE2021, p.72 - https://files.bacb.co.uk/production/files/BACB_AnnualReportYE2021-1.pdf
FY2020: Annual Report YE2020, p.2.34 - https://files.bacb.co.uk/production/files/BACB-Annual-Report-2020.pdf
FY2019: Annual Report YE2019, p.2.35 - https://files.bacb.co.uk/production/files/BACB_AnnualReportYE2019-print-3-opt.pdf
FY2018: Annual Report YE2018, p.2.29 - https://files.bacb.co.uk/production/files/BACB_AnnualReportYE2018-complete-6.pdf
FY2024 and FY2022's own Annual Reports (checked in full) present credit quality only via a single grade-based table spanning all financial assets combined (cash, loans, debt securities, derivatives) - no customer-loan-specific Stage 1/2/3 split that year, unlike FY2025/FY2023/FY2021's own reports. Genuine finding: the Stage 3 exposure ratio rose sharply (2.22% FY2021 -&gt; 13.82% FY2025) while the Stage 3 coverage ratio fell sharply (74.03% FY2021 -&gt; 1.90% FY2025) - consistent with the Bank's own disclosed credit-grade migration and write-off activity, not a data error.
Pre-IFRS 9 (FY2014-FY2017) impairment provision figures - British Arab Commercial Bank PLC's own 'Net charge for impairment losses on loans and advances' note, each year from that year's own Annual Report:
FY2017: Annual Report (filename says 2018, confirmed FY2017), p.55 - https://files.bacb.co.uk/production/files/BACB_AnnualReport_online-2018-v4.pdf
FY2016: Annual Report (filename says 2017, confirmed FY2016), p.53 - https://files.bacb.co.uk/production/files/BACB_AnnualReport_online-2017.pdf
FY2015: Annual Report YE2015, p.48 - https://files.bacb.co.uk/production/files/Report-Financials-2015-FINAL-18032016.pdf
FY2014: Annual Report YE2014, p.59 - https://files.bacb.co.uk/production/files/Annual-Report-2014-Final.pdf
IFRS 9 (adopted 1 January 2018) replaced IAS 39's individual/collective impairment model with the forward-looking Stage 1/2/3 ECL model used from FY2018 onwards - these two blocks are not directly comparable and are shown as separate sections rather than forced into a single set of columns. Genuine restatement: FY2014's own report states its impairment provision split as Individual GBP23,331k / Collective GBP784k; FY2015's own report's FY2014 comparative restates this split to GBP22,755k / GBP1,360k (the total, GBP24,115k, is identical either way) - FY2014's own split is used here, per project convention.</t>
        </is>
      </c>
    </row>
  </sheetData>
  <mergeCells count="1">
    <mergeCell ref="A26:M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266352</v>
      </c>
      <c r="C4" s="6" t="n">
        <v>245034</v>
      </c>
      <c r="D4" s="6" t="n">
        <v>223772</v>
      </c>
      <c r="E4" s="6" t="n">
        <v>197516</v>
      </c>
      <c r="F4" s="6" t="n">
        <v>199873</v>
      </c>
      <c r="G4" s="6" t="n">
        <v>192041</v>
      </c>
      <c r="H4" s="6" t="n">
        <v>170824</v>
      </c>
      <c r="I4" s="6" t="n">
        <v>161218</v>
      </c>
      <c r="J4" s="6" t="n">
        <v>209247</v>
      </c>
      <c r="K4" s="6" t="n">
        <v>203089</v>
      </c>
      <c r="L4" s="6" t="n">
        <v>208273</v>
      </c>
      <c r="M4" s="6" t="n">
        <v>194652</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13.8%</t>
        </is>
      </c>
      <c r="C4" s="6" t="inlineStr">
        <is>
          <t>15.6%</t>
        </is>
      </c>
      <c r="D4" s="6" t="inlineStr">
        <is>
          <t>18.0%</t>
        </is>
      </c>
      <c r="E4" s="6" t="inlineStr">
        <is>
          <t>16.0%</t>
        </is>
      </c>
      <c r="F4" s="6" t="inlineStr">
        <is>
          <t>18.4%</t>
        </is>
      </c>
      <c r="G4" s="6" t="inlineStr">
        <is>
          <t>17.4%</t>
        </is>
      </c>
      <c r="H4" s="6" t="inlineStr">
        <is>
          <t>14.1%</t>
        </is>
      </c>
      <c r="I4" s="6" t="inlineStr">
        <is>
          <t>9.9%</t>
        </is>
      </c>
      <c r="J4" s="6" t="inlineStr">
        <is>
          <t>12.1%</t>
        </is>
      </c>
      <c r="K4" s="6" t="inlineStr">
        <is>
          <t>14.3%</t>
        </is>
      </c>
      <c r="L4" s="6" t="inlineStr">
        <is>
          <t>15.3%</t>
        </is>
      </c>
      <c r="M4" s="6" t="inlineStr">
        <is>
          <t>18.2%</t>
        </is>
      </c>
    </row>
    <row r="5" ht="60" customHeight="1">
      <c r="A5" s="7" t="inlineStr">
        <is>
          <t>Note: FY2022's Total RWA/CET1/Tier1/Total Capital ratios shown here are as originally published in the 2022 Pillar 3 Disclosures (RWA 1,231,445). The 2023 Pillar 3 Disclosures' own FY2022 comparative column restates this to 1,224,488 (footnoted 'amended for consistency of presentation') with correspondingly adjusted ratios (16.1% CET1/Tier1, 21.9% Total Capital) - the originally-published figure is used here, per project convention.</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Tier 1 Capital</t>
        </is>
      </c>
    </row>
    <row r="2">
      <c r="A2" s="2" t="inlineStr">
        <is>
          <t>£'000 (= CET1 capital; no AT1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266352</v>
      </c>
      <c r="C4" s="6" t="n">
        <v>245034</v>
      </c>
      <c r="D4" s="6" t="n">
        <v>223772</v>
      </c>
      <c r="E4" s="6" t="n">
        <v>197516</v>
      </c>
      <c r="F4" s="6" t="n">
        <v>199873</v>
      </c>
      <c r="G4" s="6" t="n">
        <v>192041</v>
      </c>
      <c r="H4" s="6" t="n">
        <v>170824</v>
      </c>
      <c r="I4" s="6" t="n">
        <v>161218</v>
      </c>
      <c r="J4" s="6" t="n">
        <v>209247</v>
      </c>
      <c r="K4" s="6" t="n">
        <v>203089</v>
      </c>
      <c r="L4" s="6" t="n">
        <v>208273</v>
      </c>
      <c r="M4" s="6" t="n">
        <v>194652</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13.8%</t>
        </is>
      </c>
      <c r="C4" s="6" t="inlineStr">
        <is>
          <t>15.6%</t>
        </is>
      </c>
      <c r="D4" s="6" t="inlineStr">
        <is>
          <t>18.0%</t>
        </is>
      </c>
      <c r="E4" s="6" t="inlineStr">
        <is>
          <t>16.0%</t>
        </is>
      </c>
      <c r="F4" s="6" t="inlineStr">
        <is>
          <t>18.4%</t>
        </is>
      </c>
      <c r="G4" s="6" t="inlineStr">
        <is>
          <t>17.4%</t>
        </is>
      </c>
      <c r="H4" s="6" t="inlineStr">
        <is>
          <t>14.1%</t>
        </is>
      </c>
      <c r="I4" s="6" t="inlineStr">
        <is>
          <t>9.9%</t>
        </is>
      </c>
      <c r="J4" s="6" t="inlineStr">
        <is>
          <t>12.1%</t>
        </is>
      </c>
      <c r="K4" s="6" t="inlineStr">
        <is>
          <t>14.3%</t>
        </is>
      </c>
      <c r="L4" s="6" t="inlineStr">
        <is>
          <t>15.3%</t>
        </is>
      </c>
      <c r="M4" s="6" t="inlineStr">
        <is>
          <t>18.2%</t>
        </is>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334756</v>
      </c>
      <c r="C4" s="6" t="n">
        <v>318553</v>
      </c>
      <c r="D4" s="6" t="n">
        <v>276133</v>
      </c>
      <c r="E4" s="6" t="n">
        <v>267579</v>
      </c>
      <c r="F4" s="6" t="n">
        <v>270130</v>
      </c>
      <c r="G4" s="6" t="n">
        <v>263826</v>
      </c>
      <c r="H4" s="6" t="n">
        <v>236050</v>
      </c>
      <c r="I4" s="6" t="n">
        <v>233482</v>
      </c>
      <c r="J4" s="6" t="n">
        <v>281209</v>
      </c>
      <c r="K4" s="6" t="n">
        <v>278176</v>
      </c>
      <c r="L4" s="6" t="n">
        <v>271337</v>
      </c>
      <c r="M4" s="6" t="n">
        <v>255171</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17.4%</t>
        </is>
      </c>
      <c r="C4" s="6" t="inlineStr">
        <is>
          <t>20.3%</t>
        </is>
      </c>
      <c r="D4" s="6" t="inlineStr">
        <is>
          <t>22.3%</t>
        </is>
      </c>
      <c r="E4" s="6" t="inlineStr">
        <is>
          <t>21.7%</t>
        </is>
      </c>
      <c r="F4" s="6" t="inlineStr">
        <is>
          <t>24.9%</t>
        </is>
      </c>
      <c r="G4" s="6" t="inlineStr">
        <is>
          <t>24.0%</t>
        </is>
      </c>
      <c r="H4" s="6" t="inlineStr">
        <is>
          <t>19.6%</t>
        </is>
      </c>
      <c r="I4" s="6" t="inlineStr">
        <is>
          <t>14.3%</t>
        </is>
      </c>
      <c r="J4" s="6" t="inlineStr">
        <is>
          <t>16.3%</t>
        </is>
      </c>
      <c r="K4" s="6" t="inlineStr">
        <is>
          <t>19.6%</t>
        </is>
      </c>
      <c r="L4" s="6" t="inlineStr">
        <is>
          <t>19.9%</t>
        </is>
      </c>
      <c r="M4" s="6" t="inlineStr">
        <is>
          <t>23.9%</t>
        </is>
      </c>
    </row>
    <row r="5" ht="60" customHeight="1">
      <c r="A5" s="7" t="inlineStr">
        <is>
          <t>Note: FY2022's Total RWA/CET1/Tier1/Total Capital ratios shown here are as originally published in the 2022 Pillar 3 Disclosures (RWA 1,231,445). The 2023 Pillar 3 Disclosures' own FY2022 comparative column restates this to 1,224,488 (footnoted 'amended for consistency of presentation') with correspondingly adjusted ratios (16.1% CET1/Tier1, 21.9% Total Capital) - the originally-published figure is used here, per project convention.</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1924184</v>
      </c>
      <c r="C4" s="6" t="n">
        <v>1571106</v>
      </c>
      <c r="D4" s="6" t="n">
        <v>1240666</v>
      </c>
      <c r="E4" s="6" t="n">
        <v>1231445</v>
      </c>
      <c r="F4" s="6" t="n">
        <v>1085219</v>
      </c>
      <c r="G4" s="6" t="n">
        <v>1101165</v>
      </c>
      <c r="H4" s="6" t="n">
        <v>1207405</v>
      </c>
      <c r="I4" s="6" t="n">
        <v>1635966</v>
      </c>
      <c r="J4" s="6" t="n">
        <v>1723409</v>
      </c>
      <c r="K4" s="6" t="n">
        <v>1418241</v>
      </c>
      <c r="L4" s="6" t="n">
        <v>1361260</v>
      </c>
      <c r="M4" s="6" t="n">
        <v>1067344</v>
      </c>
    </row>
    <row r="5" ht="60" customHeight="1">
      <c r="A5" s="7" t="inlineStr">
        <is>
          <t>Note: See CET1 Ratio sheet for the FY2022 restatement note.</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RWA Breakdown</t>
        </is>
      </c>
    </row>
    <row r="2">
      <c r="A2" s="2" t="inlineStr">
        <is>
          <t>Pillar 1 RWA by risk category, £'000. FY2021-FY2023 UK OV1 aggregates are shown separately from the legacy exposure-class rows; FY2024-FY2025 are not disclosed at this granularity (see note); FY2020 not disclosed (no standalone document); FY2019-FY2014 populated from each year's own Table 12.</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Modern UK OV1 aggregate risk types (not additive to legacy rows)</t>
        </is>
      </c>
      <c r="B4" s="6" t="n"/>
      <c r="C4" s="6" t="n"/>
      <c r="D4" s="6" t="n"/>
      <c r="E4" s="6" t="n"/>
      <c r="F4" s="6" t="n"/>
      <c r="G4" s="6" t="n"/>
      <c r="H4" s="6" t="n"/>
      <c r="I4" s="6" t="n"/>
      <c r="J4" s="6" t="n"/>
      <c r="K4" s="6" t="n"/>
      <c r="L4" s="6" t="n"/>
      <c r="M4" s="6" t="n"/>
    </row>
    <row r="5">
      <c r="A5" s="6" t="inlineStr">
        <is>
          <t>Credit risk (excluding counterparty credit risk) — UK OV1 aggregate</t>
        </is>
      </c>
      <c r="B5" s="6" t="n"/>
      <c r="C5" s="6" t="n"/>
      <c r="D5" s="6" t="n">
        <v>1128031</v>
      </c>
      <c r="E5" s="6" t="n">
        <v>1147518</v>
      </c>
      <c r="F5" s="6" t="n">
        <v>976627</v>
      </c>
      <c r="G5" s="6" t="n"/>
      <c r="H5" s="6" t="n"/>
      <c r="I5" s="6" t="n"/>
      <c r="J5" s="6" t="n"/>
      <c r="K5" s="6" t="n"/>
      <c r="L5" s="6" t="n"/>
      <c r="M5" s="6" t="n"/>
    </row>
    <row r="6">
      <c r="A6" s="6" t="inlineStr">
        <is>
          <t>Counterparty credit risk — UK OV1 aggregate</t>
        </is>
      </c>
      <c r="B6" s="6" t="n"/>
      <c r="C6" s="6" t="n"/>
      <c r="D6" s="6" t="n">
        <v>318</v>
      </c>
      <c r="E6" s="6" t="n">
        <v>2127</v>
      </c>
      <c r="F6" s="6" t="n">
        <v>1986</v>
      </c>
      <c r="G6" s="6" t="n"/>
      <c r="H6" s="6" t="n"/>
      <c r="I6" s="6" t="n"/>
      <c r="J6" s="6" t="n"/>
      <c r="K6" s="6" t="n"/>
      <c r="L6" s="6" t="n"/>
      <c r="M6" s="6" t="n"/>
    </row>
    <row r="7">
      <c r="A7" s="6" t="inlineStr">
        <is>
          <t>Market risk — UK OV1 aggregate</t>
        </is>
      </c>
      <c r="B7" s="6" t="n"/>
      <c r="C7" s="6" t="n"/>
      <c r="D7" s="6" t="n">
        <v>1651</v>
      </c>
      <c r="E7" s="6" t="n">
        <v>3163</v>
      </c>
      <c r="F7" s="6" t="n">
        <v>13550</v>
      </c>
      <c r="G7" s="6" t="n"/>
      <c r="H7" s="6" t="n"/>
      <c r="I7" s="6" t="n"/>
      <c r="J7" s="6" t="n"/>
      <c r="K7" s="6" t="n"/>
      <c r="L7" s="6" t="n"/>
      <c r="M7" s="6" t="n"/>
    </row>
    <row r="8">
      <c r="A8" s="6" t="inlineStr">
        <is>
          <t>Operational risk — UK OV1 aggregate</t>
        </is>
      </c>
      <c r="B8" s="6" t="n"/>
      <c r="C8" s="6" t="n"/>
      <c r="D8" s="6" t="n">
        <v>110666</v>
      </c>
      <c r="E8" s="6" t="n">
        <v>78637</v>
      </c>
      <c r="F8" s="6" t="n">
        <v>93056</v>
      </c>
      <c r="G8" s="6" t="n"/>
      <c r="H8" s="6" t="n"/>
      <c r="I8" s="6" t="n"/>
      <c r="J8" s="6" t="n"/>
      <c r="K8" s="6" t="n"/>
      <c r="L8" s="6" t="n"/>
      <c r="M8" s="6" t="n"/>
    </row>
    <row r="9">
      <c r="A9" s="6" t="inlineStr">
        <is>
          <t>Amounts below deduction thresholds — UK OV1 memo</t>
        </is>
      </c>
      <c r="B9" s="6" t="n"/>
      <c r="C9" s="6" t="n"/>
      <c r="D9" s="6" t="n">
        <v>0</v>
      </c>
      <c r="E9" s="6" t="n">
        <v>2681</v>
      </c>
      <c r="F9" s="6" t="n">
        <v>0</v>
      </c>
      <c r="G9" s="6" t="n"/>
      <c r="H9" s="6" t="n"/>
      <c r="I9" s="6" t="n"/>
      <c r="J9" s="6" t="n"/>
      <c r="K9" s="6" t="n"/>
      <c r="L9" s="6" t="n"/>
      <c r="M9" s="6" t="n"/>
    </row>
    <row r="10">
      <c r="A10" s="5" t="inlineStr">
        <is>
          <t>Total risk-weighted exposure amount — UK OV1</t>
        </is>
      </c>
      <c r="B10" s="5" t="n"/>
      <c r="C10" s="5" t="n"/>
      <c r="D10" s="5" t="n">
        <v>1240666</v>
      </c>
      <c r="E10" s="5" t="n">
        <v>1231445</v>
      </c>
      <c r="F10" s="5" t="n">
        <v>1085220</v>
      </c>
      <c r="G10" s="5" t="n"/>
      <c r="H10" s="5" t="n"/>
      <c r="I10" s="5" t="n"/>
      <c r="J10" s="5" t="n"/>
      <c r="K10" s="5" t="n"/>
      <c r="L10" s="5" t="n"/>
      <c r="M10" s="5" t="n"/>
    </row>
    <row r="11">
      <c r="A11" s="5" t="inlineStr">
        <is>
          <t>Legacy Table 12 risk categories</t>
        </is>
      </c>
      <c r="B11" s="6" t="n"/>
      <c r="C11" s="6" t="n"/>
      <c r="D11" s="6" t="n"/>
      <c r="E11" s="6" t="n"/>
      <c r="F11" s="6" t="n"/>
      <c r="G11" s="6" t="n"/>
      <c r="H11" s="6" t="n"/>
      <c r="I11" s="6" t="n"/>
      <c r="J11" s="6" t="n"/>
      <c r="K11" s="6" t="n"/>
      <c r="L11" s="6" t="n"/>
      <c r="M11" s="6" t="n"/>
    </row>
    <row r="12">
      <c r="A12" s="5" t="inlineStr">
        <is>
          <t>Credit and Counterparty Credit Risk</t>
        </is>
      </c>
      <c r="B12" s="6" t="n"/>
      <c r="C12" s="6" t="n"/>
      <c r="D12" s="6" t="n"/>
      <c r="E12" s="6" t="n"/>
      <c r="F12" s="6" t="n"/>
      <c r="G12" s="6" t="n"/>
      <c r="H12" s="6" t="n"/>
      <c r="I12" s="6" t="n"/>
      <c r="J12" s="6" t="n"/>
      <c r="K12" s="6" t="n"/>
      <c r="L12" s="6" t="n"/>
      <c r="M12" s="6" t="n"/>
    </row>
    <row r="13">
      <c r="A13" s="6" t="inlineStr">
        <is>
          <t>Central governments/central banks</t>
        </is>
      </c>
      <c r="B13" s="6" t="n"/>
      <c r="C13" s="6" t="n"/>
      <c r="D13" s="6" t="n"/>
      <c r="E13" s="6" t="n"/>
      <c r="F13" s="6" t="n"/>
      <c r="G13" s="6" t="n"/>
      <c r="H13" s="6" t="n">
        <v>38728</v>
      </c>
      <c r="I13" s="6" t="n">
        <v>64505</v>
      </c>
      <c r="J13" s="6" t="n">
        <v>69107</v>
      </c>
      <c r="K13" s="6" t="n">
        <v>11443</v>
      </c>
      <c r="L13" s="6" t="n">
        <v>3643</v>
      </c>
      <c r="M13" s="6" t="n">
        <v>9041</v>
      </c>
    </row>
    <row r="14">
      <c r="A14" s="6" t="inlineStr">
        <is>
          <t>Multilateral development banks</t>
        </is>
      </c>
      <c r="B14" s="6" t="n"/>
      <c r="C14" s="6" t="n"/>
      <c r="D14" s="6" t="n"/>
      <c r="E14" s="6" t="n"/>
      <c r="F14" s="6" t="n"/>
      <c r="G14" s="6" t="n"/>
      <c r="H14" s="6" t="n"/>
      <c r="I14" s="6" t="n"/>
      <c r="J14" s="6" t="n"/>
      <c r="K14" s="6" t="n"/>
      <c r="L14" s="6" t="n">
        <v>0</v>
      </c>
      <c r="M14" s="6" t="n">
        <v>11944</v>
      </c>
    </row>
    <row r="15">
      <c r="A15" s="6" t="inlineStr">
        <is>
          <t>Institutions</t>
        </is>
      </c>
      <c r="B15" s="6" t="n"/>
      <c r="C15" s="6" t="n"/>
      <c r="D15" s="6" t="n"/>
      <c r="E15" s="6" t="n"/>
      <c r="F15" s="6" t="n"/>
      <c r="G15" s="6" t="n"/>
      <c r="H15" s="6" t="n">
        <v>125785</v>
      </c>
      <c r="I15" s="6" t="n">
        <v>185570</v>
      </c>
      <c r="J15" s="6" t="n">
        <v>200843</v>
      </c>
      <c r="K15" s="6" t="n">
        <v>92288</v>
      </c>
      <c r="L15" s="6" t="n">
        <v>254240</v>
      </c>
      <c r="M15" s="6" t="n">
        <v>507871</v>
      </c>
    </row>
    <row r="16">
      <c r="A16" s="6" t="inlineStr">
        <is>
          <t>Corporates</t>
        </is>
      </c>
      <c r="B16" s="6" t="n"/>
      <c r="C16" s="6" t="n"/>
      <c r="D16" s="6" t="n"/>
      <c r="E16" s="6" t="n"/>
      <c r="F16" s="6" t="n"/>
      <c r="G16" s="6" t="n"/>
      <c r="H16" s="6" t="n">
        <v>509680</v>
      </c>
      <c r="I16" s="6" t="n">
        <v>714874</v>
      </c>
      <c r="J16" s="6" t="n">
        <v>978424</v>
      </c>
      <c r="K16" s="6" t="n">
        <v>987560</v>
      </c>
      <c r="L16" s="6" t="n">
        <v>824756</v>
      </c>
      <c r="M16" s="6" t="n">
        <v>379442</v>
      </c>
    </row>
    <row r="17">
      <c r="A17" s="6" t="inlineStr">
        <is>
          <t>Covered bonds</t>
        </is>
      </c>
      <c r="B17" s="6" t="n"/>
      <c r="C17" s="6" t="n"/>
      <c r="D17" s="6" t="n"/>
      <c r="E17" s="6" t="n"/>
      <c r="F17" s="6" t="n"/>
      <c r="G17" s="6" t="n"/>
      <c r="H17" s="6" t="n">
        <v>8435</v>
      </c>
      <c r="I17" s="6" t="n">
        <v>10594</v>
      </c>
      <c r="J17" s="6" t="n">
        <v>2717</v>
      </c>
      <c r="K17" s="6" t="n"/>
      <c r="L17" s="6" t="n"/>
      <c r="M17" s="6" t="n"/>
    </row>
    <row r="18">
      <c r="A18" s="6" t="inlineStr">
        <is>
          <t>Secured by mortgages on immovable property</t>
        </is>
      </c>
      <c r="B18" s="6" t="n"/>
      <c r="C18" s="6" t="n"/>
      <c r="D18" s="6" t="n"/>
      <c r="E18" s="6" t="n"/>
      <c r="F18" s="6" t="n"/>
      <c r="G18" s="6" t="n"/>
      <c r="H18" s="6" t="n">
        <v>290316</v>
      </c>
      <c r="I18" s="6" t="n">
        <v>316818</v>
      </c>
      <c r="J18" s="6" t="n">
        <v>276665</v>
      </c>
      <c r="K18" s="6" t="n">
        <v>178008</v>
      </c>
      <c r="L18" s="6" t="n">
        <v>86488</v>
      </c>
      <c r="M18" s="6" t="n">
        <v>17519</v>
      </c>
    </row>
    <row r="19">
      <c r="A19" s="6" t="inlineStr">
        <is>
          <t>Exposures in default</t>
        </is>
      </c>
      <c r="B19" s="6" t="n"/>
      <c r="C19" s="6" t="n"/>
      <c r="D19" s="6" t="n"/>
      <c r="E19" s="6" t="n"/>
      <c r="F19" s="6" t="n"/>
      <c r="G19" s="6" t="n"/>
      <c r="H19" s="6" t="n">
        <v>38647</v>
      </c>
      <c r="I19" s="6" t="n">
        <v>130368</v>
      </c>
      <c r="J19" s="6" t="n">
        <v>69839</v>
      </c>
      <c r="K19" s="6" t="n">
        <v>27128</v>
      </c>
      <c r="L19" s="6" t="n">
        <v>39084</v>
      </c>
      <c r="M19" s="6" t="n">
        <v>23153</v>
      </c>
    </row>
    <row r="20">
      <c r="A20" s="6" t="inlineStr">
        <is>
          <t>Equity exposures</t>
        </is>
      </c>
      <c r="B20" s="6" t="n"/>
      <c r="C20" s="6" t="n"/>
      <c r="D20" s="6" t="n"/>
      <c r="E20" s="6" t="n"/>
      <c r="F20" s="6" t="n"/>
      <c r="G20" s="6" t="n"/>
      <c r="H20" s="6" t="n">
        <v>2374</v>
      </c>
      <c r="I20" s="6" t="n">
        <v>1964</v>
      </c>
      <c r="J20" s="6" t="n">
        <v>1868</v>
      </c>
      <c r="K20" s="6" t="n">
        <v>1807</v>
      </c>
      <c r="L20" s="6" t="n">
        <v>8248</v>
      </c>
      <c r="M20" s="6" t="n">
        <v>8080</v>
      </c>
    </row>
    <row r="21">
      <c r="A21" s="6" t="inlineStr">
        <is>
          <t>Items associated with particularly high risk</t>
        </is>
      </c>
      <c r="B21" s="6" t="n"/>
      <c r="C21" s="6" t="n"/>
      <c r="D21" s="6" t="n"/>
      <c r="E21" s="6" t="n"/>
      <c r="F21" s="6" t="n"/>
      <c r="G21" s="6" t="n"/>
      <c r="H21" s="6" t="n">
        <v>38964</v>
      </c>
      <c r="I21" s="6" t="n">
        <v>29829</v>
      </c>
      <c r="J21" s="6" t="n">
        <v>16203</v>
      </c>
      <c r="K21" s="6" t="n">
        <v>10325</v>
      </c>
      <c r="L21" s="6" t="n">
        <v>20291</v>
      </c>
      <c r="M21" s="6" t="n"/>
    </row>
    <row r="22">
      <c r="A22" s="6" t="inlineStr">
        <is>
          <t>Other items</t>
        </is>
      </c>
      <c r="B22" s="6" t="n"/>
      <c r="C22" s="6" t="n"/>
      <c r="D22" s="6" t="n"/>
      <c r="E22" s="6" t="n"/>
      <c r="F22" s="6" t="n"/>
      <c r="G22" s="6" t="n"/>
      <c r="H22" s="6" t="n">
        <v>28371</v>
      </c>
      <c r="I22" s="6" t="n">
        <v>32391</v>
      </c>
      <c r="J22" s="6" t="n">
        <v>19991</v>
      </c>
      <c r="K22" s="6" t="n">
        <v>25248</v>
      </c>
      <c r="L22" s="6" t="n">
        <v>20954</v>
      </c>
      <c r="M22" s="6" t="n">
        <v>19331</v>
      </c>
    </row>
    <row r="23">
      <c r="A23" s="5" t="inlineStr">
        <is>
          <t>Total Credit and Counterparty Credit Risk</t>
        </is>
      </c>
      <c r="B23" s="5" t="n"/>
      <c r="C23" s="5" t="n"/>
      <c r="D23" s="5" t="n"/>
      <c r="E23" s="5" t="n"/>
      <c r="F23" s="5" t="n"/>
      <c r="G23" s="5" t="n"/>
      <c r="H23" s="5" t="n">
        <v>1081300</v>
      </c>
      <c r="I23" s="5" t="n">
        <v>1486913</v>
      </c>
      <c r="J23" s="5" t="n">
        <v>1635656</v>
      </c>
      <c r="K23" s="5" t="n">
        <v>1333807</v>
      </c>
      <c r="L23" s="5" t="n">
        <v>1257703</v>
      </c>
      <c r="M23" s="5" t="n">
        <v>976383</v>
      </c>
    </row>
    <row r="24">
      <c r="A24" s="5" t="inlineStr">
        <is>
          <t>Market Risk</t>
        </is>
      </c>
      <c r="B24" s="6" t="n"/>
      <c r="C24" s="6" t="n"/>
      <c r="D24" s="6" t="n"/>
      <c r="E24" s="6" t="n"/>
      <c r="F24" s="6" t="n"/>
      <c r="G24" s="6" t="n"/>
      <c r="H24" s="6" t="n"/>
      <c r="I24" s="6" t="n"/>
      <c r="J24" s="6" t="n"/>
      <c r="K24" s="6" t="n"/>
      <c r="L24" s="6" t="n"/>
      <c r="M24" s="6" t="n"/>
    </row>
    <row r="25">
      <c r="A25" s="6" t="inlineStr">
        <is>
          <t>Interest Rate PRR</t>
        </is>
      </c>
      <c r="B25" s="6" t="n"/>
      <c r="C25" s="6" t="n"/>
      <c r="D25" s="6" t="n"/>
      <c r="E25" s="6" t="n"/>
      <c r="F25" s="6" t="n"/>
      <c r="G25" s="6" t="n"/>
      <c r="H25" s="6" t="n">
        <v>20283</v>
      </c>
      <c r="I25" s="6" t="n">
        <v>8129</v>
      </c>
      <c r="J25" s="6" t="n">
        <v>5451</v>
      </c>
      <c r="K25" s="6" t="n"/>
      <c r="L25" s="6" t="n">
        <v>16259</v>
      </c>
      <c r="M25" s="6" t="n">
        <v>12516</v>
      </c>
    </row>
    <row r="26">
      <c r="A26" s="6" t="inlineStr">
        <is>
          <t>Foreign Exchange PRR</t>
        </is>
      </c>
      <c r="B26" s="6" t="n"/>
      <c r="C26" s="6" t="n"/>
      <c r="D26" s="6" t="n"/>
      <c r="E26" s="6" t="n"/>
      <c r="F26" s="6" t="n"/>
      <c r="G26" s="6" t="n"/>
      <c r="H26" s="6" t="n">
        <v>8500</v>
      </c>
      <c r="I26" s="6" t="n">
        <v>54567</v>
      </c>
      <c r="J26" s="6" t="n">
        <v>2692</v>
      </c>
      <c r="K26" s="6" t="n">
        <v>2425</v>
      </c>
      <c r="L26" s="6" t="n">
        <v>1537</v>
      </c>
      <c r="M26" s="6" t="n">
        <v>1146</v>
      </c>
    </row>
    <row r="27">
      <c r="A27" s="6" t="inlineStr">
        <is>
          <t>Operational Risk (Basic Indicator Approach)</t>
        </is>
      </c>
      <c r="B27" s="6" t="n"/>
      <c r="C27" s="6" t="n"/>
      <c r="D27" s="6" t="n"/>
      <c r="E27" s="6" t="n"/>
      <c r="F27" s="6" t="n"/>
      <c r="G27" s="6" t="n"/>
      <c r="H27" s="6" t="n">
        <v>96637</v>
      </c>
      <c r="I27" s="6" t="n">
        <v>85268</v>
      </c>
      <c r="J27" s="6" t="n">
        <v>79242</v>
      </c>
      <c r="K27" s="6" t="n">
        <v>81480</v>
      </c>
      <c r="L27" s="6" t="n">
        <v>85615</v>
      </c>
      <c r="M27" s="6" t="n">
        <v>76686</v>
      </c>
    </row>
    <row r="28">
      <c r="A28" s="6" t="inlineStr">
        <is>
          <t>Credit Valuation Adjustment</t>
        </is>
      </c>
      <c r="B28" s="6" t="n"/>
      <c r="C28" s="6" t="n"/>
      <c r="D28" s="6" t="n"/>
      <c r="E28" s="6" t="n"/>
      <c r="F28" s="6" t="n"/>
      <c r="G28" s="6" t="n"/>
      <c r="H28" s="6" t="n">
        <v>684</v>
      </c>
      <c r="I28" s="6" t="n">
        <v>1090</v>
      </c>
      <c r="J28" s="6" t="n">
        <v>369</v>
      </c>
      <c r="K28" s="6" t="n">
        <v>529</v>
      </c>
      <c r="L28" s="6" t="n">
        <v>146</v>
      </c>
      <c r="M28" s="6" t="n">
        <v>613</v>
      </c>
    </row>
    <row r="29">
      <c r="A29" s="5" t="inlineStr">
        <is>
          <t>Total Pillar 1 RWA (= Total RWAs sheet)</t>
        </is>
      </c>
      <c r="B29" s="5" t="n"/>
      <c r="C29" s="5" t="n"/>
      <c r="D29" s="5" t="n"/>
      <c r="E29" s="5" t="n"/>
      <c r="F29" s="5" t="n"/>
      <c r="G29" s="5" t="n"/>
      <c r="H29" s="5" t="n">
        <v>1207405</v>
      </c>
      <c r="I29" s="5" t="n">
        <v>1635966</v>
      </c>
      <c r="J29" s="5" t="n">
        <v>1723409</v>
      </c>
      <c r="K29" s="5" t="n">
        <v>1418241</v>
      </c>
      <c r="L29" s="5" t="n">
        <v>1361260</v>
      </c>
      <c r="M29" s="5" t="n">
        <v>1067344</v>
      </c>
    </row>
    <row r="31" ht="340" customHeight="1">
      <c r="A31"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FY2024-FY2025: no exposure-class breakdown was found in the own-year Pillar 3 documents. FY2021-FY2023 do contain UK OV1 aggregate risk-type rows, reproduced above; these are not the older exposure-class rows and are not additive to them. GENUINE FINDING (2026-09-05, HD-051): this appears to be incorrect - BACB_Pillar3-2021_v3.pdf (cited above for FY2021) itself contains 'Table 12: Overview of RWAs and the Bank's minimum capital requirement...under Pillar 1', with the same table present in every one of FY2014-FY2019's own Pillar 3 Disclosures (see below) - flagged here for a follow-up fix by whoever next touches this bank; out of scope to correct under HD-051 (years FY2014-FY2020 only).
FY2019: 2019 Pillar 3 Disclosures, Table 12 (own year) - https://files.bacb.co.uk/production/files/2019-Pillar-3.pdf
FY2018: 2018 Pillar 3 Disclosures, Table 12 (own year) - https://files.bacb.co.uk/production/files/Pillar-3-2018_Final-secured.pdf
FY2017: 2017 Pillar 3 Disclosures, Table 12 (own year) - https://files.bacb.co.uk/production/files/Pillar-3-2017-FINAL-24-May-2018.pdf
FY2016: 2016 Pillar 3 Disclosures, Table 7 (own year) - https://files.bacb.co.uk/production/files/Pillar-3-2016-FINAL-June17.pdf
FY2015: 2015 Pillar 3 Disclosures, Table 9 (own year) - https://files.bacb.co.uk/production/files/2015-Pillar-3-secured.pdf
FY2014: 2014 Pillar 3 Disclosures, Table 9 (own year) - https://files.bacb.co.uk/production/files/2014-Pillar-3-secured.pdf
FY2020: no standalone Pillar 3 document exists (see main sources above) and the FY2021 document's FY2020 comparative only discloses capital-requirement figures (not RWA) at category level; back-deriving RWA via /8% would introduce ~GBP250k of rounding error against the independently-known FY2020 Total RWA of 1,101,165 - left 'Not publicly disclosed' rather than estimated.
</t>
        </is>
      </c>
    </row>
  </sheetData>
  <mergeCells count="1">
    <mergeCell ref="A31:M3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7.2%</t>
        </is>
      </c>
      <c r="C4" s="6" t="inlineStr">
        <is>
          <t>6.6%</t>
        </is>
      </c>
      <c r="D4" s="6" t="inlineStr">
        <is>
          <t>6.8%</t>
        </is>
      </c>
      <c r="E4" s="6" t="inlineStr">
        <is>
          <t>5.7%</t>
        </is>
      </c>
      <c r="F4" s="6" t="inlineStr">
        <is>
          <t>6.7%</t>
        </is>
      </c>
      <c r="G4" s="6" t="inlineStr">
        <is>
          <t>7.09%</t>
        </is>
      </c>
      <c r="H4" s="6" t="inlineStr">
        <is>
          <t>5.69%</t>
        </is>
      </c>
      <c r="I4" s="6" t="inlineStr">
        <is>
          <t>3.83%</t>
        </is>
      </c>
      <c r="J4" s="6" t="inlineStr">
        <is>
          <t>6.53%</t>
        </is>
      </c>
      <c r="K4" s="6" t="inlineStr">
        <is>
          <t>6.56%</t>
        </is>
      </c>
      <c r="L4" s="6" t="inlineStr">
        <is>
          <t>6.55%</t>
        </is>
      </c>
      <c r="M4" s="6" t="n"/>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Leverage ratio not disclosed for FY2014 - the leverage ratio disclosure first appears in BACB's own Pillar 3 Disclosures from FY2015 onwards.
</t>
        </is>
      </c>
    </row>
  </sheetData>
  <mergeCells count="1">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(12-month average)</t>
        </is>
      </c>
      <c r="B4" s="6" t="inlineStr">
        <is>
          <t>234%</t>
        </is>
      </c>
      <c r="C4" s="6" t="inlineStr">
        <is>
          <t>327%</t>
        </is>
      </c>
      <c r="D4" s="6" t="inlineStr">
        <is>
          <t>271%</t>
        </is>
      </c>
      <c r="E4" s="6" t="inlineStr">
        <is>
          <t>254%</t>
        </is>
      </c>
      <c r="F4" s="6" t="inlineStr">
        <is>
          <t>276%</t>
        </is>
      </c>
      <c r="G4" s="6" t="inlineStr">
        <is>
          <t>215%</t>
        </is>
      </c>
      <c r="H4" s="6" t="inlineStr">
        <is>
          <t>222%</t>
        </is>
      </c>
      <c r="I4" s="6" t="n"/>
      <c r="J4" s="6" t="n"/>
      <c r="K4" s="6" t="n"/>
      <c r="L4" s="6" t="n"/>
      <c r="M4" s="6" t="n"/>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LCR % not disclosed for FY2014-FY2018 - each of those years' own Pillar 3 Disclosures shows an LCR chart but no extractable numeric table; the first extractable LCR % is FY2019's own report.
</t>
        </is>
      </c>
    </row>
  </sheetData>
  <mergeCells count="1">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NSFR ratio (4-quarter average)</t>
        </is>
      </c>
      <c r="B4" s="6" t="inlineStr">
        <is>
          <t>166%</t>
        </is>
      </c>
      <c r="C4" s="6" t="inlineStr">
        <is>
          <t>160%</t>
        </is>
      </c>
      <c r="D4" s="6" t="inlineStr">
        <is>
          <t>151%</t>
        </is>
      </c>
      <c r="E4" s="6" t="inlineStr">
        <is>
          <t>130%</t>
        </is>
      </c>
      <c r="F4" s="6" t="n"/>
      <c r="G4" s="6" t="n"/>
      <c r="H4" s="6" t="n"/>
      <c r="I4" s="6" t="n"/>
      <c r="J4" s="6" t="n"/>
      <c r="K4" s="6" t="n"/>
      <c r="L4" s="6" t="n"/>
      <c r="M4" s="6" t="n"/>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NSFR not applicable/disclosed for FY2021 - the NSFR reporting requirement and KM1 template line were new from FY2022; the FY2021 comparative column in the 2022 Pillar 3 Disclosures itself states 'N/A'. Not disclosed for FY2014-FY2020 either - the requirement did not exist yet.
</t>
        </is>
      </c>
    </row>
  </sheetData>
  <mergeCells count="1">
    <mergeCell ref="A6:M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found in any of the 5 Annual Reports or Pillar 3 Disclosures checked - not asserted as an explicit exemption, just absent from every source.</t>
        </is>
      </c>
    </row>
    <row r="7" ht="15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2026-09-06T20:44:04Z</dcterms:created>
  <dcterms:modified xmlns:dcterms="http://purl.org/dc/terms/" xmlns:xsi="http://www.w3.org/2001/XMLSchema-instance" xsi:type="dcterms:W3CDTF">2026-09-06T20:44:05Z</dcterms:modified>
</cp:coreProperties>
</file>