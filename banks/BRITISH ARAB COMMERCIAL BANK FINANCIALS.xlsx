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E7C9E"/>
        <bgColor rgb="000E7C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British Arab Commercial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British Arab Commercial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21</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43</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British Arab Commercial Bank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generated from/(used in) operating activities</t>
        </is>
      </c>
      <c r="B6" s="5" t="n">
        <v>124138</v>
      </c>
      <c r="C6" s="5" t="n">
        <v>227828</v>
      </c>
      <c r="D6" s="5" t="n">
        <v>-286411</v>
      </c>
      <c r="E6" s="5" t="n">
        <v>-120744</v>
      </c>
      <c r="F6" s="5" t="n">
        <v>189594</v>
      </c>
      <c r="I6" t="inlineStr">
        <is>
          <t>Net cash generated from/(used in) operating activities</t>
        </is>
      </c>
      <c r="J6" t="n">
        <v>189594</v>
      </c>
      <c r="K6" t="n">
        <v>-120744</v>
      </c>
      <c r="L6" t="n">
        <v>-286411</v>
      </c>
      <c r="M6" t="n">
        <v>227828</v>
      </c>
      <c r="N6" t="n">
        <v>124138</v>
      </c>
      <c r="Q6" t="inlineStr">
        <is>
          <t>CET1 Ratio</t>
        </is>
      </c>
      <c r="R6" t="n">
        <v>18.4</v>
      </c>
      <c r="S6" t="n">
        <v>16</v>
      </c>
      <c r="T6" t="n">
        <v>18</v>
      </c>
      <c r="U6" t="n">
        <v>15.6</v>
      </c>
      <c r="V6" t="n">
        <v>13.8</v>
      </c>
    </row>
    <row r="7">
      <c r="A7" s="5" t="inlineStr">
        <is>
          <t>Net cash used in investing activities</t>
        </is>
      </c>
      <c r="B7" s="5" t="n">
        <v>-1537</v>
      </c>
      <c r="C7" s="5" t="n">
        <v>-820</v>
      </c>
      <c r="D7" s="5" t="n">
        <v>-8524</v>
      </c>
      <c r="E7" s="5" t="n">
        <v>-1094</v>
      </c>
      <c r="F7" s="5" t="n">
        <v>-814</v>
      </c>
      <c r="I7" t="inlineStr">
        <is>
          <t>Net cash used in investing activities</t>
        </is>
      </c>
      <c r="J7" t="n">
        <v>-814</v>
      </c>
      <c r="K7" t="n">
        <v>-1094</v>
      </c>
      <c r="L7" t="n">
        <v>-8524</v>
      </c>
      <c r="M7" t="n">
        <v>-820</v>
      </c>
      <c r="N7" t="n">
        <v>-1537</v>
      </c>
      <c r="Q7" t="inlineStr">
        <is>
          <t>Total Capital Ratio</t>
        </is>
      </c>
      <c r="R7" t="n">
        <v>24.9</v>
      </c>
      <c r="S7" t="n">
        <v>21.7</v>
      </c>
      <c r="T7" t="n">
        <v>22.3</v>
      </c>
      <c r="U7" t="n">
        <v>20.3</v>
      </c>
      <c r="V7" t="n">
        <v>17.4</v>
      </c>
    </row>
    <row r="8">
      <c r="A8" s="5" t="inlineStr">
        <is>
          <t>Net cash used in financing activities</t>
        </is>
      </c>
      <c r="B8" s="5" t="n">
        <v>-6477</v>
      </c>
      <c r="C8" s="5" t="n">
        <v>-5055</v>
      </c>
      <c r="D8" s="5" t="n">
        <v>-5417</v>
      </c>
      <c r="E8" s="5" t="n">
        <v>-8771</v>
      </c>
      <c r="F8" s="5" t="n">
        <v>-191</v>
      </c>
      <c r="I8" t="inlineStr">
        <is>
          <t>Net cash used in financing activities</t>
        </is>
      </c>
      <c r="J8" t="n">
        <v>-191</v>
      </c>
      <c r="K8" t="n">
        <v>-8771</v>
      </c>
      <c r="L8" t="n">
        <v>-5417</v>
      </c>
      <c r="M8" t="n">
        <v>-5055</v>
      </c>
      <c r="N8" t="n">
        <v>-6477</v>
      </c>
      <c r="Q8" t="inlineStr">
        <is>
          <t>Leverage Ratio</t>
        </is>
      </c>
      <c r="R8" t="n">
        <v>6.7</v>
      </c>
      <c r="S8" t="n">
        <v>5.7</v>
      </c>
      <c r="T8" t="n">
        <v>6.8</v>
      </c>
      <c r="U8" t="n">
        <v>6.6</v>
      </c>
      <c r="V8" t="n">
        <v>7.2</v>
      </c>
    </row>
    <row r="9">
      <c r="A9" s="5" t="inlineStr">
        <is>
          <t>Cash and cash equivalents at end of year</t>
        </is>
      </c>
      <c r="B9" s="5" t="n">
        <v>718577</v>
      </c>
      <c r="C9" s="5" t="n">
        <v>604467</v>
      </c>
      <c r="D9" s="5" t="n">
        <v>372940</v>
      </c>
      <c r="E9" s="5" t="n">
        <v>700795</v>
      </c>
      <c r="F9" s="5" t="n">
        <v>766720</v>
      </c>
      <c r="I9" t="inlineStr">
        <is>
          <t>Cash and cash equivalents at end of year</t>
        </is>
      </c>
      <c r="J9" t="n">
        <v>766720</v>
      </c>
      <c r="K9" t="n">
        <v>700795</v>
      </c>
      <c r="L9" t="n">
        <v>372940</v>
      </c>
      <c r="M9" t="n">
        <v>604467</v>
      </c>
      <c r="N9" t="n">
        <v>718577</v>
      </c>
      <c r="Q9" t="inlineStr">
        <is>
          <t>LCR</t>
        </is>
      </c>
      <c r="R9" t="n">
        <v>276</v>
      </c>
      <c r="S9" t="n">
        <v>254</v>
      </c>
      <c r="T9" t="n">
        <v>271</v>
      </c>
      <c r="U9" t="n">
        <v>327</v>
      </c>
      <c r="V9" t="n">
        <v>234</v>
      </c>
    </row>
    <row r="10">
      <c r="Q10" t="inlineStr">
        <is>
          <t>NSFR</t>
        </is>
      </c>
      <c r="S10" t="n">
        <v>130</v>
      </c>
      <c r="T10" t="n">
        <v>151</v>
      </c>
      <c r="U10" t="n">
        <v>160</v>
      </c>
      <c r="V10" t="n">
        <v>166</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13.8%</t>
        </is>
      </c>
      <c r="C13" s="6" t="inlineStr">
        <is>
          <t>15.6%</t>
        </is>
      </c>
      <c r="D13" s="6" t="inlineStr">
        <is>
          <t>18.0%</t>
        </is>
      </c>
      <c r="E13" s="6" t="inlineStr">
        <is>
          <t>16.0%</t>
        </is>
      </c>
      <c r="F13" s="6" t="inlineStr">
        <is>
          <t>18.4%</t>
        </is>
      </c>
    </row>
    <row r="14">
      <c r="A14" s="6" t="inlineStr">
        <is>
          <t>Total Capital Ratio</t>
        </is>
      </c>
      <c r="B14" s="6" t="inlineStr">
        <is>
          <t>17.4%</t>
        </is>
      </c>
      <c r="C14" s="6" t="inlineStr">
        <is>
          <t>20.3%</t>
        </is>
      </c>
      <c r="D14" s="6" t="inlineStr">
        <is>
          <t>22.3%</t>
        </is>
      </c>
      <c r="E14" s="6" t="inlineStr">
        <is>
          <t>21.7%</t>
        </is>
      </c>
      <c r="F14" s="6" t="inlineStr">
        <is>
          <t>24.9%</t>
        </is>
      </c>
    </row>
    <row r="15">
      <c r="A15" s="6" t="inlineStr">
        <is>
          <t>Leverage Ratio</t>
        </is>
      </c>
      <c r="B15" s="6" t="inlineStr">
        <is>
          <t>7.2%</t>
        </is>
      </c>
      <c r="C15" s="6" t="inlineStr">
        <is>
          <t>6.6%</t>
        </is>
      </c>
      <c r="D15" s="6" t="inlineStr">
        <is>
          <t>6.8%</t>
        </is>
      </c>
      <c r="E15" s="6" t="inlineStr">
        <is>
          <t>5.7%</t>
        </is>
      </c>
      <c r="F15" s="6" t="inlineStr">
        <is>
          <t>6.7%</t>
        </is>
      </c>
    </row>
    <row r="16">
      <c r="A16" s="6" t="inlineStr">
        <is>
          <t>LCR</t>
        </is>
      </c>
      <c r="B16" s="6" t="inlineStr">
        <is>
          <t>234%</t>
        </is>
      </c>
      <c r="C16" s="6" t="inlineStr">
        <is>
          <t>327%</t>
        </is>
      </c>
      <c r="D16" s="6" t="inlineStr">
        <is>
          <t>271%</t>
        </is>
      </c>
      <c r="E16" s="6" t="inlineStr">
        <is>
          <t>254%</t>
        </is>
      </c>
      <c r="F16" s="6" t="inlineStr">
        <is>
          <t>276%</t>
        </is>
      </c>
    </row>
    <row r="17">
      <c r="A17" s="6" t="inlineStr">
        <is>
          <t>NSFR</t>
        </is>
      </c>
      <c r="B17" s="6" t="inlineStr">
        <is>
          <t>166%</t>
        </is>
      </c>
      <c r="C17" s="6" t="inlineStr">
        <is>
          <t>160%</t>
        </is>
      </c>
      <c r="D17" s="6" t="inlineStr">
        <is>
          <t>151%</t>
        </is>
      </c>
      <c r="E17" s="6" t="inlineStr">
        <is>
          <t>130%</t>
        </is>
      </c>
      <c r="F17" s="6" t="n"/>
    </row>
    <row r="19" ht="45" customHeight="1">
      <c r="A19" s="7" t="inlineStr">
        <is>
          <t>Note: Figures are duplicated from the detail sheets for at-a-glance trend viewing; see each sheet's own source citation for the underlying document/page.</t>
        </is>
      </c>
    </row>
  </sheetData>
  <mergeCells count="1">
    <mergeCell ref="A19:F1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British Arab Commercial Bank PLC — Statement of Cash Flow</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before taxation</t>
        </is>
      </c>
      <c r="B5" s="6" t="n">
        <v>31641</v>
      </c>
      <c r="C5" s="6" t="n">
        <v>38209</v>
      </c>
      <c r="D5" s="6" t="n">
        <v>36407</v>
      </c>
      <c r="E5" s="6" t="n">
        <v>13925</v>
      </c>
      <c r="F5" s="6" t="n">
        <v>14703</v>
      </c>
    </row>
    <row r="6">
      <c r="A6" s="6" t="inlineStr">
        <is>
          <t>Allowance for credit losses</t>
        </is>
      </c>
      <c r="B6" s="6" t="n">
        <v>2313</v>
      </c>
      <c r="C6" s="6" t="n">
        <v>3992</v>
      </c>
      <c r="D6" s="6" t="n">
        <v>479</v>
      </c>
      <c r="E6" s="6" t="n">
        <v>3306</v>
      </c>
      <c r="F6" s="6" t="n">
        <v>1245</v>
      </c>
    </row>
    <row r="7">
      <c r="A7" s="6" t="inlineStr">
        <is>
          <t>Recoveries of allowance for credit losses</t>
        </is>
      </c>
      <c r="B7" s="6" t="n">
        <v>-5554</v>
      </c>
      <c r="C7" s="6" t="n">
        <v>-5633</v>
      </c>
      <c r="D7" s="6" t="n">
        <v>-2623</v>
      </c>
      <c r="E7" s="6" t="n">
        <v>-1825</v>
      </c>
      <c r="F7" s="6" t="n">
        <v>-12441</v>
      </c>
    </row>
    <row r="8">
      <c r="A8" s="6" t="inlineStr">
        <is>
          <t>Depreciation and amortisation</t>
        </is>
      </c>
      <c r="B8" s="6" t="n">
        <v>3229</v>
      </c>
      <c r="C8" s="6" t="n">
        <v>3214</v>
      </c>
      <c r="D8" s="6" t="n">
        <v>2904</v>
      </c>
      <c r="E8" s="6" t="n">
        <v>2753</v>
      </c>
      <c r="F8" s="6" t="n">
        <v>2544</v>
      </c>
    </row>
    <row r="9">
      <c r="A9" s="6" t="inlineStr">
        <is>
          <t>(Loss)/gain on sale or impairment of property, plant and equipment</t>
        </is>
      </c>
      <c r="B9" s="6" t="n">
        <v>-6</v>
      </c>
      <c r="C9" s="6" t="n">
        <v>3</v>
      </c>
      <c r="D9" s="6" t="n">
        <v>518</v>
      </c>
      <c r="E9" s="6" t="n">
        <v>28</v>
      </c>
      <c r="F9" s="6" t="n">
        <v>9</v>
      </c>
    </row>
    <row r="10">
      <c r="A10" s="6" t="inlineStr">
        <is>
          <t>Other non-cash items included in net profit</t>
        </is>
      </c>
      <c r="B10" s="6" t="n">
        <v>-1275</v>
      </c>
      <c r="C10" s="6" t="n">
        <v>-34</v>
      </c>
      <c r="D10" s="6" t="n">
        <v>115</v>
      </c>
      <c r="E10" s="6" t="n">
        <v>366</v>
      </c>
      <c r="F10" s="6" t="n">
        <v>-3</v>
      </c>
    </row>
    <row r="11">
      <c r="A11" s="5" t="inlineStr">
        <is>
          <t>Non-cash items included in net profit</t>
        </is>
      </c>
      <c r="B11" s="5" t="n">
        <v>-1293</v>
      </c>
      <c r="C11" s="5" t="n">
        <v>1542</v>
      </c>
      <c r="D11" s="5" t="n">
        <v>1393</v>
      </c>
      <c r="E11" s="5" t="n">
        <v>4628</v>
      </c>
      <c r="F11" s="5" t="n">
        <v>-8646</v>
      </c>
    </row>
    <row r="12">
      <c r="A12" s="6" t="inlineStr">
        <is>
          <t>Reverse repurchase agreements</t>
        </is>
      </c>
      <c r="B12" s="6" t="n"/>
      <c r="C12" s="6" t="n">
        <v>0</v>
      </c>
      <c r="D12" s="6" t="n">
        <v>149990</v>
      </c>
      <c r="E12" s="6" t="n">
        <v>-21103</v>
      </c>
      <c r="F12" s="6" t="n">
        <v>-36757</v>
      </c>
    </row>
    <row r="13">
      <c r="A13" s="6" t="inlineStr">
        <is>
          <t>Loans, advances other than cash or cash equivalents</t>
        </is>
      </c>
      <c r="B13" s="6" t="n">
        <v>-221607</v>
      </c>
      <c r="C13" s="6" t="n">
        <v>-243014</v>
      </c>
      <c r="D13" s="6" t="n">
        <v>-268285</v>
      </c>
      <c r="E13" s="6" t="n">
        <v>-68881</v>
      </c>
      <c r="F13" s="6" t="n">
        <v>-13840</v>
      </c>
    </row>
    <row r="14">
      <c r="A14" s="6" t="inlineStr">
        <is>
          <t>Debt securities other than cash equivalents</t>
        </is>
      </c>
      <c r="B14" s="6" t="n">
        <v>250302</v>
      </c>
      <c r="C14" s="6" t="n">
        <v>164699</v>
      </c>
      <c r="D14" s="6" t="n">
        <v>-108164</v>
      </c>
      <c r="E14" s="6" t="n">
        <v>-221117</v>
      </c>
      <c r="F14" s="6" t="n">
        <v>7009</v>
      </c>
    </row>
    <row r="15">
      <c r="A15" s="6" t="inlineStr">
        <is>
          <t>Derivatives</t>
        </is>
      </c>
      <c r="B15" s="6" t="n">
        <v>-571</v>
      </c>
      <c r="C15" s="6" t="n">
        <v>-1109</v>
      </c>
      <c r="D15" s="6" t="n">
        <v>683</v>
      </c>
      <c r="E15" s="6" t="n">
        <v>-728</v>
      </c>
      <c r="F15" s="6" t="n">
        <v>465</v>
      </c>
    </row>
    <row r="16">
      <c r="A16" s="6" t="inlineStr">
        <is>
          <t>Other debtors and prepayments</t>
        </is>
      </c>
      <c r="B16" s="6" t="n">
        <v>-7064</v>
      </c>
      <c r="C16" s="6" t="n">
        <v>387</v>
      </c>
      <c r="D16" s="6" t="n">
        <v>-9064</v>
      </c>
      <c r="E16" s="6" t="n">
        <v>-1161</v>
      </c>
      <c r="F16" s="6" t="n">
        <v>1497</v>
      </c>
    </row>
    <row r="17">
      <c r="A17" s="5" t="inlineStr">
        <is>
          <t>Change in operating assets</t>
        </is>
      </c>
      <c r="B17" s="5" t="n">
        <v>21060</v>
      </c>
      <c r="C17" s="5" t="n">
        <v>-79037</v>
      </c>
      <c r="D17" s="5" t="n">
        <v>-234840</v>
      </c>
      <c r="E17" s="5" t="n">
        <v>-312990</v>
      </c>
      <c r="F17" s="5" t="n">
        <v>-41626</v>
      </c>
    </row>
    <row r="18">
      <c r="A18" s="6" t="inlineStr">
        <is>
          <t>Customer accounts and deposits by banks</t>
        </is>
      </c>
      <c r="B18" s="6" t="n">
        <v>78001</v>
      </c>
      <c r="C18" s="6" t="n">
        <v>277676</v>
      </c>
      <c r="D18" s="6" t="n">
        <v>-94670</v>
      </c>
      <c r="E18" s="6" t="n">
        <v>165574</v>
      </c>
      <c r="F18" s="6" t="n">
        <v>238429</v>
      </c>
    </row>
    <row r="19">
      <c r="A19" s="6" t="inlineStr">
        <is>
          <t>Other liabilities</t>
        </is>
      </c>
      <c r="B19" s="6" t="n">
        <v>2884</v>
      </c>
      <c r="C19" s="6" t="n">
        <v>-2695</v>
      </c>
      <c r="D19" s="6" t="n">
        <v>10519</v>
      </c>
      <c r="E19" s="6" t="n">
        <v>9288</v>
      </c>
      <c r="F19" s="6" t="n">
        <v>-12192</v>
      </c>
    </row>
    <row r="20">
      <c r="A20" s="5" t="inlineStr">
        <is>
          <t>Change in operating liabilities</t>
        </is>
      </c>
      <c r="B20" s="5" t="n">
        <v>80885</v>
      </c>
      <c r="C20" s="5" t="n">
        <v>274981</v>
      </c>
      <c r="D20" s="5" t="n">
        <v>-84151</v>
      </c>
      <c r="E20" s="5" t="n">
        <v>174862</v>
      </c>
      <c r="F20" s="5" t="n">
        <v>226237</v>
      </c>
    </row>
    <row r="21">
      <c r="A21" s="6" t="inlineStr">
        <is>
          <t>Income tax paid</t>
        </is>
      </c>
      <c r="B21" s="6" t="n">
        <v>-8155</v>
      </c>
      <c r="C21" s="6" t="n">
        <v>-7867</v>
      </c>
      <c r="D21" s="6" t="n">
        <v>-5220</v>
      </c>
      <c r="E21" s="6" t="n">
        <v>-1169</v>
      </c>
      <c r="F21" s="6" t="n">
        <v>-1074</v>
      </c>
    </row>
    <row r="22">
      <c r="A22" s="5" t="inlineStr">
        <is>
          <t>Net cash generated from/(used in) operating activities</t>
        </is>
      </c>
      <c r="B22" s="5" t="n">
        <v>124138</v>
      </c>
      <c r="C22" s="5" t="n">
        <v>227828</v>
      </c>
      <c r="D22" s="5" t="n">
        <v>-286411</v>
      </c>
      <c r="E22" s="5" t="n">
        <v>-120744</v>
      </c>
      <c r="F22" s="5" t="n">
        <v>189594</v>
      </c>
    </row>
    <row r="23">
      <c r="A23" s="5" t="inlineStr">
        <is>
          <t>Cash flows from investing activities</t>
        </is>
      </c>
      <c r="B23" s="6" t="n"/>
      <c r="C23" s="6" t="n"/>
      <c r="D23" s="6" t="n"/>
      <c r="E23" s="6" t="n"/>
      <c r="F23" s="6" t="n"/>
    </row>
    <row r="24">
      <c r="A24" s="6" t="inlineStr">
        <is>
          <t>Purchase of property, plant and equipment</t>
        </is>
      </c>
      <c r="B24" s="6" t="n">
        <v>-409</v>
      </c>
      <c r="C24" s="6" t="n">
        <v>-1590</v>
      </c>
      <c r="D24" s="6" t="n">
        <v>-7683</v>
      </c>
      <c r="E24" s="6" t="n">
        <v>-552</v>
      </c>
      <c r="F24" s="6" t="n">
        <v>-274</v>
      </c>
    </row>
    <row r="25">
      <c r="A25" s="6" t="inlineStr">
        <is>
          <t>Proceeds from sale of property, plant and equipment</t>
        </is>
      </c>
      <c r="B25" s="6" t="n"/>
      <c r="C25" s="6" t="n"/>
      <c r="D25" s="6" t="n"/>
      <c r="E25" s="6" t="n">
        <v>42</v>
      </c>
      <c r="F25" s="6" t="n"/>
    </row>
    <row r="26">
      <c r="A26" s="6" t="inlineStr">
        <is>
          <t>Proceeds on sale of equity investments</t>
        </is>
      </c>
      <c r="B26" s="6" t="n"/>
      <c r="C26" s="6" t="n">
        <v>1162</v>
      </c>
      <c r="D26" s="6" t="n"/>
      <c r="E26" s="6" t="n"/>
      <c r="F26" s="6" t="n"/>
    </row>
    <row r="27">
      <c r="A27" s="6" t="inlineStr">
        <is>
          <t>Purchase of intangible assets</t>
        </is>
      </c>
      <c r="B27" s="6" t="n">
        <v>-1128</v>
      </c>
      <c r="C27" s="6" t="n">
        <v>-392</v>
      </c>
      <c r="D27" s="6" t="n">
        <v>-841</v>
      </c>
      <c r="E27" s="6" t="n">
        <v>-853</v>
      </c>
      <c r="F27" s="6" t="n">
        <v>-540</v>
      </c>
    </row>
    <row r="28">
      <c r="A28" s="6" t="inlineStr">
        <is>
          <t>Proceeds from sale of intangible assets</t>
        </is>
      </c>
      <c r="B28" s="6" t="n"/>
      <c r="C28" s="6" t="n"/>
      <c r="D28" s="6" t="n"/>
      <c r="E28" s="6" t="n">
        <v>269</v>
      </c>
      <c r="F28" s="6" t="n"/>
    </row>
    <row r="29">
      <c r="A29" s="5" t="inlineStr">
        <is>
          <t>Net cash used in investing activities</t>
        </is>
      </c>
      <c r="B29" s="5" t="n">
        <v>-1537</v>
      </c>
      <c r="C29" s="5" t="n">
        <v>-820</v>
      </c>
      <c r="D29" s="5" t="n">
        <v>-8524</v>
      </c>
      <c r="E29" s="5" t="n">
        <v>-1094</v>
      </c>
      <c r="F29" s="5" t="n">
        <v>-814</v>
      </c>
    </row>
    <row r="30">
      <c r="A30" s="5" t="inlineStr">
        <is>
          <t>Cash flows from financing activities</t>
        </is>
      </c>
      <c r="B30" s="6" t="n"/>
      <c r="C30" s="6" t="n"/>
      <c r="D30" s="6" t="n"/>
      <c r="E30" s="6" t="n"/>
      <c r="F30" s="6" t="n"/>
    </row>
    <row r="31">
      <c r="A31" s="6" t="inlineStr">
        <is>
          <t>Dividend paid</t>
        </is>
      </c>
      <c r="B31" s="6" t="n">
        <v>-6228</v>
      </c>
      <c r="C31" s="6" t="n">
        <v>-4780</v>
      </c>
      <c r="D31" s="6" t="n">
        <v>-5215</v>
      </c>
      <c r="E31" s="6" t="n">
        <v>-8765</v>
      </c>
      <c r="F31" s="6" t="n"/>
    </row>
    <row r="32">
      <c r="A32" s="6" t="inlineStr">
        <is>
          <t>Lease payments for Right of Use assets (principal)</t>
        </is>
      </c>
      <c r="B32" s="6" t="n">
        <v>-249</v>
      </c>
      <c r="C32" s="6" t="n">
        <v>-83</v>
      </c>
      <c r="D32" s="6" t="n">
        <v>-202</v>
      </c>
      <c r="E32" s="6" t="n">
        <v>-6</v>
      </c>
      <c r="F32" s="6" t="n">
        <v>-191</v>
      </c>
    </row>
    <row r="33">
      <c r="A33" s="6" t="inlineStr">
        <is>
          <t>Interest on lease payments</t>
        </is>
      </c>
      <c r="B33" s="6" t="n"/>
      <c r="C33" s="6" t="n">
        <v>-192</v>
      </c>
      <c r="D33" s="6" t="n"/>
      <c r="E33" s="6" t="n"/>
      <c r="F33" s="6" t="n"/>
    </row>
    <row r="34">
      <c r="A34" s="6" t="inlineStr">
        <is>
          <t>Subordinated debt issued</t>
        </is>
      </c>
      <c r="B34" s="6" t="n"/>
      <c r="C34" s="6" t="n">
        <v>28185</v>
      </c>
      <c r="D34" s="6" t="n"/>
      <c r="E34" s="6" t="n"/>
      <c r="F34" s="6" t="n"/>
    </row>
    <row r="35">
      <c r="A35" s="6" t="inlineStr">
        <is>
          <t>Subordinated debt redeemed</t>
        </is>
      </c>
      <c r="B35" s="6" t="n"/>
      <c r="C35" s="6" t="n">
        <v>-28185</v>
      </c>
      <c r="D35" s="6" t="n"/>
      <c r="E35" s="6" t="n"/>
      <c r="F35" s="6" t="n"/>
    </row>
    <row r="36">
      <c r="A36" s="5" t="inlineStr">
        <is>
          <t>Net cash used in financing activities</t>
        </is>
      </c>
      <c r="B36" s="5" t="n">
        <v>-6477</v>
      </c>
      <c r="C36" s="5" t="n">
        <v>-5055</v>
      </c>
      <c r="D36" s="5" t="n">
        <v>-5417</v>
      </c>
      <c r="E36" s="5" t="n">
        <v>-8771</v>
      </c>
      <c r="F36" s="5" t="n">
        <v>-191</v>
      </c>
    </row>
    <row r="37">
      <c r="A37" s="5" t="inlineStr">
        <is>
          <t>Net increase/(decrease) in cash and cash equivalents</t>
        </is>
      </c>
      <c r="B37" s="5" t="n">
        <v>116124</v>
      </c>
      <c r="C37" s="5" t="n">
        <v>221953</v>
      </c>
      <c r="D37" s="5" t="n">
        <v>-300352</v>
      </c>
      <c r="E37" s="5" t="n">
        <v>-130609</v>
      </c>
      <c r="F37" s="5" t="n">
        <v>188589</v>
      </c>
    </row>
    <row r="38">
      <c r="A38" s="6" t="inlineStr">
        <is>
          <t>Cash and cash equivalents at the beginning of the year</t>
        </is>
      </c>
      <c r="B38" s="6" t="n">
        <v>604467</v>
      </c>
      <c r="C38" s="6" t="n">
        <v>372940</v>
      </c>
      <c r="D38" s="6" t="n">
        <v>700795</v>
      </c>
      <c r="E38" s="6" t="n">
        <v>766720</v>
      </c>
      <c r="F38" s="6" t="n">
        <v>586617</v>
      </c>
    </row>
    <row r="39">
      <c r="A39" s="6" t="inlineStr">
        <is>
          <t>Effect of exchange rate change on cash and cash equivalents</t>
        </is>
      </c>
      <c r="B39" s="6" t="n">
        <v>-2014</v>
      </c>
      <c r="C39" s="6" t="n">
        <v>9574</v>
      </c>
      <c r="D39" s="6" t="n">
        <v>-27503</v>
      </c>
      <c r="E39" s="6" t="n">
        <v>64684</v>
      </c>
      <c r="F39" s="6" t="n">
        <v>-8486</v>
      </c>
    </row>
    <row r="40">
      <c r="A40" s="5" t="inlineStr">
        <is>
          <t>Cash and cash equivalents at the end of the year</t>
        </is>
      </c>
      <c r="B40" s="5" t="n">
        <v>718577</v>
      </c>
      <c r="C40" s="5" t="n">
        <v>604467</v>
      </c>
      <c r="D40" s="5" t="n">
        <v>372940</v>
      </c>
      <c r="E40" s="5" t="n">
        <v>700795</v>
      </c>
      <c r="F40" s="5" t="n">
        <v>766720</v>
      </c>
    </row>
    <row r="41">
      <c r="A41" s="5" t="inlineStr">
        <is>
          <t>Cash and cash equivalents comprise</t>
        </is>
      </c>
      <c r="B41" s="6" t="n"/>
      <c r="C41" s="6" t="n"/>
      <c r="D41" s="6" t="n"/>
      <c r="E41" s="6" t="n"/>
      <c r="F41" s="6" t="n"/>
    </row>
    <row r="42">
      <c r="A42" s="6" t="inlineStr">
        <is>
          <t>Cash, notes and coin</t>
        </is>
      </c>
      <c r="B42" s="6" t="n">
        <v>0</v>
      </c>
      <c r="C42" s="6" t="n">
        <v>1</v>
      </c>
      <c r="D42" s="6" t="n">
        <v>1</v>
      </c>
      <c r="E42" s="6" t="n">
        <v>0</v>
      </c>
      <c r="F42" s="6" t="n">
        <v>218</v>
      </c>
    </row>
    <row r="43">
      <c r="A43" s="6" t="inlineStr">
        <is>
          <t>Loans and advances to banks of original maturity three months or less</t>
        </is>
      </c>
      <c r="B43" s="6" t="n">
        <v>409309</v>
      </c>
      <c r="C43" s="6" t="n">
        <v>488558</v>
      </c>
      <c r="D43" s="6" t="n">
        <v>216705</v>
      </c>
      <c r="E43" s="6" t="n">
        <v>391580</v>
      </c>
      <c r="F43" s="6" t="n">
        <v>376162</v>
      </c>
    </row>
    <row r="44">
      <c r="A44" s="6" t="inlineStr">
        <is>
          <t>Debt securities/certificates of deposit of three months original maturity or less</t>
        </is>
      </c>
      <c r="B44" s="6" t="n">
        <v>309268</v>
      </c>
      <c r="C44" s="6" t="n">
        <v>115908</v>
      </c>
      <c r="D44" s="6" t="n">
        <v>156234</v>
      </c>
      <c r="E44" s="6" t="n">
        <v>309215</v>
      </c>
      <c r="F44" s="6" t="n">
        <v>390340</v>
      </c>
    </row>
    <row r="45">
      <c r="A45" s="5" t="inlineStr">
        <is>
          <t>Cash and cash equivalents</t>
        </is>
      </c>
      <c r="B45" s="5" t="n">
        <v>718577</v>
      </c>
      <c r="C45" s="5" t="n">
        <v>604467</v>
      </c>
      <c r="D45" s="5" t="n">
        <v>372940</v>
      </c>
      <c r="E45" s="5" t="n">
        <v>700795</v>
      </c>
      <c r="F45" s="5" t="n">
        <v>766720</v>
      </c>
    </row>
    <row r="47" ht="210" customHeight="1">
      <c r="A47" s="8" t="inlineStr">
        <is>
          <t>Sources - British Arab Commercial Bank PLC's own Statement of Cash Flow, each year from that year's own Annual Report (not a later report's restated comparative):
FY2025: Annual Report YE2025, pp.65-66 - https://files.bacb.co.uk/production/files/BACB_AnnualReportYE2025_WEB-Final.pdf
FY2024: Annual Report YE2024, pp.59-60 - https://files.bacb.co.uk/production/files/BACB_AnnualReportYE2024_WEB-Final.pdf
FY2023: Annual Report YE2023, p.60 - https://files.bacb.co.uk/production/files/BACB_AnnualReportYE2023_WEB-06.pdf
FY2022: Annual Report YE2022, p.56 - https://files.bacb.co.uk/production/files/BACB_AnnualReportYE2022_WEB-1proof-10.pdf
FY2021: Annual Report YE2021, p.48 - https://files.bacb.co.uk/production/files/BACB_AnnualReportYE2021-1.pdf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t>
        </is>
      </c>
    </row>
  </sheetData>
  <mergeCells count="1">
    <mergeCell ref="A47:F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266352</v>
      </c>
      <c r="C4" s="6" t="n">
        <v>245034</v>
      </c>
      <c r="D4" s="6" t="n">
        <v>223772</v>
      </c>
      <c r="E4" s="6" t="n">
        <v>197516</v>
      </c>
      <c r="F4" s="6" t="n">
        <v>199873</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13.8%</t>
        </is>
      </c>
      <c r="C4" s="6" t="inlineStr">
        <is>
          <t>15.6%</t>
        </is>
      </c>
      <c r="D4" s="6" t="inlineStr">
        <is>
          <t>18.0%</t>
        </is>
      </c>
      <c r="E4" s="6" t="inlineStr">
        <is>
          <t>16.0%</t>
        </is>
      </c>
      <c r="F4" s="6" t="inlineStr">
        <is>
          <t>18.4%</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266352</v>
      </c>
      <c r="C4" s="6" t="n">
        <v>245034</v>
      </c>
      <c r="D4" s="6" t="n">
        <v>223772</v>
      </c>
      <c r="E4" s="6" t="n">
        <v>197516</v>
      </c>
      <c r="F4" s="6" t="n">
        <v>199873</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13.8%</t>
        </is>
      </c>
      <c r="C4" s="6" t="inlineStr">
        <is>
          <t>15.6%</t>
        </is>
      </c>
      <c r="D4" s="6" t="inlineStr">
        <is>
          <t>18.0%</t>
        </is>
      </c>
      <c r="E4" s="6" t="inlineStr">
        <is>
          <t>16.0%</t>
        </is>
      </c>
      <c r="F4" s="6" t="inlineStr">
        <is>
          <t>18.4%</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334756</v>
      </c>
      <c r="C4" s="6" t="n">
        <v>318553</v>
      </c>
      <c r="D4" s="6" t="n">
        <v>276133</v>
      </c>
      <c r="E4" s="6" t="n">
        <v>267579</v>
      </c>
      <c r="F4" s="6" t="n">
        <v>270130</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17.4%</t>
        </is>
      </c>
      <c r="C4" s="6" t="inlineStr">
        <is>
          <t>20.3%</t>
        </is>
      </c>
      <c r="D4" s="6" t="inlineStr">
        <is>
          <t>22.3%</t>
        </is>
      </c>
      <c r="E4" s="6" t="inlineStr">
        <is>
          <t>21.7%</t>
        </is>
      </c>
      <c r="F4" s="6" t="inlineStr">
        <is>
          <t>24.9%</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1924184</v>
      </c>
      <c r="C4" s="6" t="n">
        <v>1571106</v>
      </c>
      <c r="D4" s="6" t="n">
        <v>1240666</v>
      </c>
      <c r="E4" s="6" t="n">
        <v>1231445</v>
      </c>
      <c r="F4" s="6" t="n">
        <v>1085219</v>
      </c>
    </row>
    <row r="5" ht="60" customHeight="1">
      <c r="A5" s="7" t="inlineStr">
        <is>
          <t>Note: See CET1 Ratio sheet for the FY2022 restatement note.</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7.2%</t>
        </is>
      </c>
      <c r="C4" s="6" t="inlineStr">
        <is>
          <t>6.6%</t>
        </is>
      </c>
      <c r="D4" s="6" t="inlineStr">
        <is>
          <t>6.8%</t>
        </is>
      </c>
      <c r="E4" s="6" t="inlineStr">
        <is>
          <t>5.7%</t>
        </is>
      </c>
      <c r="F4" s="6" t="inlineStr">
        <is>
          <t>6.7%</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average)</t>
        </is>
      </c>
      <c r="B4" s="6" t="inlineStr">
        <is>
          <t>234%</t>
        </is>
      </c>
      <c r="C4" s="6" t="inlineStr">
        <is>
          <t>327%</t>
        </is>
      </c>
      <c r="D4" s="6" t="inlineStr">
        <is>
          <t>271%</t>
        </is>
      </c>
      <c r="E4" s="6" t="inlineStr">
        <is>
          <t>254%</t>
        </is>
      </c>
      <c r="F4" s="6" t="inlineStr">
        <is>
          <t>276%</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British Arab Commercial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 (4-quarter average)</t>
        </is>
      </c>
      <c r="B4" s="6" t="inlineStr">
        <is>
          <t>166%</t>
        </is>
      </c>
      <c r="C4" s="6" t="inlineStr">
        <is>
          <t>160%</t>
        </is>
      </c>
      <c r="D4" s="6" t="inlineStr">
        <is>
          <t>151%</t>
        </is>
      </c>
      <c r="E4" s="6" t="inlineStr">
        <is>
          <t>130%</t>
        </is>
      </c>
      <c r="F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NSFR not applicable/disclosed for FY2021 - the NSFR reporting requirement and KM1 template line were new from FY2022; the FY2021 comparative column in the 2022 Pillar 3 Disclosures itself states 'N/A'.
</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British Arab Commercial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any of the 5 Annual Reports or Pillar 3 Disclosures checked - not asserted as an explicit exemption, just absent from every source.</t>
        </is>
      </c>
    </row>
    <row r="7" ht="15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2026-08-27T18:33:34Z</dcterms:created>
  <dcterms:modified xsi:type="dcterms:W3CDTF">2026-08-27T18:33:34Z</dcterms:modified>
</cp:coreProperties>
</file>