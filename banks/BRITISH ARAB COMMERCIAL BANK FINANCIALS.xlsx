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E7C9E"/>
        <bgColor rgb="000E7C9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British Arab Commercial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British Arab Commercial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British Arab Commercial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British Arab Commercial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'Overview'!BI23</f>
            </strRef>
          </tx>
          <spPr>
            <a:ln xmlns:a="http://schemas.openxmlformats.org/drawingml/2006/main">
              <a:prstDash val="solid"/>
            </a:ln>
          </spPr>
          <cat>
            <numRef>
              <f>'Overview'!$BJ$22:$BU$22</f>
            </numRef>
          </cat>
          <val>
            <numRef>
              <f>'Overview'!$BJ$23:$BU$23</f>
            </numRef>
          </val>
        </ser>
        <ser>
          <idx val="1"/>
          <order val="1"/>
          <tx>
            <strRef>
              <f>'Overview'!BI24</f>
            </strRef>
          </tx>
          <spPr>
            <a:ln xmlns:a="http://schemas.openxmlformats.org/drawingml/2006/main">
              <a:prstDash val="solid"/>
            </a:ln>
          </spPr>
          <cat>
            <numRef>
              <f>'Overview'!$BJ$22:$BU$22</f>
            </numRef>
          </cat>
          <val>
            <numRef>
              <f>'Overview'!$BJ$24:$BU$24</f>
            </numRef>
          </val>
        </ser>
        <ser>
          <idx val="2"/>
          <order val="2"/>
          <tx>
            <strRef>
              <f>'Overview'!BI25</f>
            </strRef>
          </tx>
          <spPr>
            <a:ln xmlns:a="http://schemas.openxmlformats.org/drawingml/2006/main">
              <a:prstDash val="solid"/>
            </a:ln>
          </spPr>
          <cat>
            <numRef>
              <f>'Overview'!$BJ$22:$BU$22</f>
            </numRef>
          </cat>
          <val>
            <numRef>
              <f>'Overview'!$BJ$25:$BU$25</f>
            </numRef>
          </val>
        </ser>
        <ser>
          <idx val="3"/>
          <order val="3"/>
          <tx>
            <strRef>
              <f>'Overview'!BI26</f>
            </strRef>
          </tx>
          <spPr>
            <a:ln xmlns:a="http://schemas.openxmlformats.org/drawingml/2006/main">
              <a:prstDash val="solid"/>
            </a:ln>
          </spPr>
          <cat>
            <numRef>
              <f>'Overview'!$BJ$22:$BU$22</f>
            </numRef>
          </cat>
          <val>
            <numRef>
              <f>'Overview'!$BJ$26:$BU$26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British Arab Commercial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British Arab Commercial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3318750</v>
      </c>
      <c r="C6" s="5" t="n">
        <v>3343466</v>
      </c>
      <c r="D6" s="5" t="n">
        <v>3001927</v>
      </c>
      <c r="E6" s="5" t="n">
        <v>3194745</v>
      </c>
      <c r="F6" s="5" t="n">
        <v>2782543</v>
      </c>
      <c r="G6" s="5" t="n">
        <v>2542898</v>
      </c>
      <c r="H6" s="5" t="n">
        <v>2779318</v>
      </c>
      <c r="I6" s="5" t="n">
        <v>3893852</v>
      </c>
      <c r="J6" s="5" t="n">
        <v>2952856</v>
      </c>
      <c r="K6" s="5" t="n">
        <v>2939264</v>
      </c>
      <c r="L6" s="5" t="n">
        <v>3021295</v>
      </c>
      <c r="M6" s="5" t="n">
        <v>2916417</v>
      </c>
      <c r="P6" t="inlineStr">
        <is>
          <t>Total assets</t>
        </is>
      </c>
      <c r="Q6" t="n">
        <v>2916417</v>
      </c>
      <c r="R6" t="n">
        <v>3021295</v>
      </c>
      <c r="S6" t="n">
        <v>2939264</v>
      </c>
      <c r="T6" t="n">
        <v>2952856</v>
      </c>
      <c r="U6" t="n">
        <v>3893852</v>
      </c>
      <c r="V6" t="n">
        <v>2779318</v>
      </c>
      <c r="W6" t="n">
        <v>2542898</v>
      </c>
      <c r="X6" t="n">
        <v>2782543</v>
      </c>
      <c r="Y6" t="n">
        <v>3194745</v>
      </c>
      <c r="Z6" t="n">
        <v>3001927</v>
      </c>
      <c r="AA6" t="n">
        <v>3343466</v>
      </c>
      <c r="AB6" t="n">
        <v>3318750</v>
      </c>
      <c r="BX6" t="inlineStr">
        <is>
          <t>CET1 Ratio</t>
        </is>
      </c>
      <c r="BY6" t="n">
        <v>18.2</v>
      </c>
      <c r="BZ6" t="n">
        <v>15.3</v>
      </c>
      <c r="CA6" t="n">
        <v>14.3</v>
      </c>
      <c r="CB6" t="n">
        <v>12.1</v>
      </c>
      <c r="CC6" t="n">
        <v>9.9</v>
      </c>
      <c r="CD6" t="n">
        <v>14.1</v>
      </c>
      <c r="CE6" t="n">
        <v>17.4</v>
      </c>
      <c r="CF6" t="n">
        <v>18.4</v>
      </c>
      <c r="CG6" t="n">
        <v>16</v>
      </c>
      <c r="CH6" t="n">
        <v>18</v>
      </c>
      <c r="CI6" t="n">
        <v>15.6</v>
      </c>
      <c r="CJ6" t="n">
        <v>13.8</v>
      </c>
    </row>
    <row r="7">
      <c r="A7" s="5" t="inlineStr">
        <is>
          <t>Loans and advances to customers</t>
        </is>
      </c>
      <c r="B7" s="5" t="n">
        <v>353562</v>
      </c>
      <c r="C7" s="5" t="n">
        <v>387260</v>
      </c>
      <c r="D7" s="5" t="n">
        <v>388567</v>
      </c>
      <c r="E7" s="5" t="n">
        <v>463780</v>
      </c>
      <c r="F7" s="5" t="n">
        <v>484536</v>
      </c>
      <c r="G7" s="5" t="n">
        <v>582529</v>
      </c>
      <c r="H7" s="5" t="n">
        <v>651514</v>
      </c>
      <c r="I7" s="5" t="n">
        <v>1081161</v>
      </c>
      <c r="J7" s="5" t="n">
        <v>1068589</v>
      </c>
      <c r="K7" s="5" t="n">
        <v>864311</v>
      </c>
      <c r="L7" s="5" t="n">
        <v>685680</v>
      </c>
      <c r="M7" s="5" t="n">
        <v>471375</v>
      </c>
      <c r="P7" t="inlineStr">
        <is>
          <t>Loans and advances to customers</t>
        </is>
      </c>
      <c r="Q7" t="n">
        <v>471375</v>
      </c>
      <c r="R7" t="n">
        <v>685680</v>
      </c>
      <c r="S7" t="n">
        <v>864311</v>
      </c>
      <c r="T7" t="n">
        <v>1068589</v>
      </c>
      <c r="U7" t="n">
        <v>1081161</v>
      </c>
      <c r="V7" t="n">
        <v>651514</v>
      </c>
      <c r="W7" t="n">
        <v>582529</v>
      </c>
      <c r="X7" t="n">
        <v>484536</v>
      </c>
      <c r="Y7" t="n">
        <v>463780</v>
      </c>
      <c r="Z7" t="n">
        <v>388567</v>
      </c>
      <c r="AA7" t="n">
        <v>387260</v>
      </c>
      <c r="AB7" t="n">
        <v>353562</v>
      </c>
      <c r="BX7" t="inlineStr">
        <is>
          <t>Total Capital Ratio</t>
        </is>
      </c>
      <c r="BY7" t="n">
        <v>23.9</v>
      </c>
      <c r="BZ7" t="n">
        <v>19.9</v>
      </c>
      <c r="CA7" t="n">
        <v>19.6</v>
      </c>
      <c r="CB7" t="n">
        <v>16.3</v>
      </c>
      <c r="CC7" t="n">
        <v>14.3</v>
      </c>
      <c r="CD7" t="n">
        <v>19.6</v>
      </c>
      <c r="CE7" t="n">
        <v>24</v>
      </c>
      <c r="CF7" t="n">
        <v>24.9</v>
      </c>
      <c r="CG7" t="n">
        <v>21.7</v>
      </c>
      <c r="CH7" t="n">
        <v>22.3</v>
      </c>
      <c r="CI7" t="n">
        <v>20.3</v>
      </c>
      <c r="CJ7" t="n">
        <v>17.4</v>
      </c>
    </row>
    <row r="8">
      <c r="A8" s="5" t="inlineStr">
        <is>
          <t>Deposits from banks + other deposits</t>
        </is>
      </c>
      <c r="B8" s="5" t="n">
        <v>2938773</v>
      </c>
      <c r="C8" s="5" t="n">
        <v>2977572</v>
      </c>
      <c r="D8" s="5" t="n">
        <v>2659678</v>
      </c>
      <c r="E8" s="5" t="n">
        <v>2882233</v>
      </c>
      <c r="F8" s="5" t="n">
        <v>2481506</v>
      </c>
      <c r="G8" s="5" t="n">
        <v>2241682</v>
      </c>
      <c r="H8" s="5" t="n">
        <v>2511552</v>
      </c>
      <c r="I8" s="5" t="n">
        <v>3632606</v>
      </c>
      <c r="J8" s="5" t="n">
        <v>2651194</v>
      </c>
      <c r="K8" s="5" t="n">
        <v>2641932</v>
      </c>
      <c r="L8" s="5" t="n">
        <v>2734886</v>
      </c>
      <c r="M8" s="5" t="n">
        <v>2624207</v>
      </c>
      <c r="P8" t="inlineStr">
        <is>
          <t>Deposits from banks + other deposits</t>
        </is>
      </c>
      <c r="Q8" t="n">
        <v>2624207</v>
      </c>
      <c r="R8" t="n">
        <v>2734886</v>
      </c>
      <c r="S8" t="n">
        <v>2641932</v>
      </c>
      <c r="T8" t="n">
        <v>2651194</v>
      </c>
      <c r="U8" t="n">
        <v>3632606</v>
      </c>
      <c r="V8" t="n">
        <v>2511552</v>
      </c>
      <c r="W8" t="n">
        <v>2241682</v>
      </c>
      <c r="X8" t="n">
        <v>2481506</v>
      </c>
      <c r="Y8" t="n">
        <v>2882233</v>
      </c>
      <c r="Z8" t="n">
        <v>2659678</v>
      </c>
      <c r="AA8" t="n">
        <v>2977572</v>
      </c>
      <c r="AB8" t="n">
        <v>2938773</v>
      </c>
      <c r="BX8" t="inlineStr">
        <is>
          <t>Leverage Ratio</t>
        </is>
      </c>
      <c r="BZ8" t="n">
        <v>6.55</v>
      </c>
      <c r="CA8" t="n">
        <v>6.56</v>
      </c>
      <c r="CB8" t="n">
        <v>6.53</v>
      </c>
      <c r="CC8" t="n">
        <v>3.83</v>
      </c>
      <c r="CD8" t="n">
        <v>5.69</v>
      </c>
      <c r="CE8" t="n">
        <v>7.09</v>
      </c>
      <c r="CF8" t="n">
        <v>6.7</v>
      </c>
      <c r="CG8" t="n">
        <v>5.7</v>
      </c>
      <c r="CH8" t="n">
        <v>6.8</v>
      </c>
      <c r="CI8" t="n">
        <v>6.6</v>
      </c>
      <c r="CJ8" t="n">
        <v>7.2</v>
      </c>
    </row>
    <row r="9">
      <c r="A9" s="5" t="inlineStr">
        <is>
          <t>Total equity</t>
        </is>
      </c>
      <c r="B9" s="5" t="n">
        <v>278340</v>
      </c>
      <c r="C9" s="5" t="n">
        <v>257612</v>
      </c>
      <c r="D9" s="5" t="n">
        <v>232578</v>
      </c>
      <c r="E9" s="5" t="n">
        <v>207266</v>
      </c>
      <c r="F9" s="5" t="n">
        <v>210286</v>
      </c>
      <c r="G9" s="5" t="n">
        <v>197207</v>
      </c>
      <c r="H9" s="5" t="n">
        <v>177894</v>
      </c>
      <c r="I9" s="5" t="n">
        <v>168178</v>
      </c>
      <c r="J9" s="5" t="n">
        <v>216833</v>
      </c>
      <c r="K9" s="5" t="n">
        <v>208393</v>
      </c>
      <c r="L9" s="5" t="n">
        <v>210170</v>
      </c>
      <c r="M9" s="5" t="n">
        <v>202169</v>
      </c>
      <c r="P9" t="inlineStr">
        <is>
          <t>Total equity</t>
        </is>
      </c>
      <c r="Q9" t="n">
        <v>202169</v>
      </c>
      <c r="R9" t="n">
        <v>210170</v>
      </c>
      <c r="S9" t="n">
        <v>208393</v>
      </c>
      <c r="T9" t="n">
        <v>216833</v>
      </c>
      <c r="U9" t="n">
        <v>168178</v>
      </c>
      <c r="V9" t="n">
        <v>177894</v>
      </c>
      <c r="W9" t="n">
        <v>197207</v>
      </c>
      <c r="X9" t="n">
        <v>210286</v>
      </c>
      <c r="Y9" t="n">
        <v>207266</v>
      </c>
      <c r="Z9" t="n">
        <v>232578</v>
      </c>
      <c r="AA9" t="n">
        <v>257612</v>
      </c>
      <c r="AB9" t="n">
        <v>278340</v>
      </c>
      <c r="BX9" t="inlineStr">
        <is>
          <t>LCR</t>
        </is>
      </c>
      <c r="CD9" t="n">
        <v>222</v>
      </c>
      <c r="CE9" t="n">
        <v>215</v>
      </c>
      <c r="CF9" t="n">
        <v>276</v>
      </c>
      <c r="CG9" t="n">
        <v>254</v>
      </c>
      <c r="CH9" t="n">
        <v>271</v>
      </c>
      <c r="CI9" t="n">
        <v>327</v>
      </c>
      <c r="CJ9" t="n">
        <v>234</v>
      </c>
    </row>
    <row r="10">
      <c r="BX10" t="inlineStr">
        <is>
          <t>NSFR</t>
        </is>
      </c>
      <c r="CG10" t="n">
        <v>130</v>
      </c>
      <c r="CH10" t="n">
        <v>151</v>
      </c>
      <c r="CI10" t="n">
        <v>160</v>
      </c>
      <c r="CJ10" t="n">
        <v>166</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Operating income before allowance for credit losses</t>
        </is>
      </c>
      <c r="B13" s="5" t="n">
        <v>92763</v>
      </c>
      <c r="C13" s="5" t="n">
        <v>98650</v>
      </c>
      <c r="D13" s="5" t="n">
        <v>87856</v>
      </c>
      <c r="E13" s="5" t="n">
        <v>57433</v>
      </c>
      <c r="F13" s="5" t="n">
        <v>41723</v>
      </c>
      <c r="G13" s="5" t="n">
        <v>44791</v>
      </c>
      <c r="H13" s="5" t="n">
        <v>64024</v>
      </c>
      <c r="I13" s="5" t="n">
        <v>64836</v>
      </c>
      <c r="J13" s="5" t="n">
        <v>53396</v>
      </c>
      <c r="K13" s="5" t="n">
        <v>42739</v>
      </c>
      <c r="L13" s="5" t="n">
        <v>38510</v>
      </c>
      <c r="M13" s="5" t="n">
        <v>48076</v>
      </c>
      <c r="AE13" t="inlineStr">
        <is>
          <t>Operating income before allowance for credit losses</t>
        </is>
      </c>
      <c r="AF13" t="n">
        <v>48076</v>
      </c>
      <c r="AG13" t="n">
        <v>38510</v>
      </c>
      <c r="AH13" t="n">
        <v>42739</v>
      </c>
      <c r="AI13" t="n">
        <v>53396</v>
      </c>
      <c r="AJ13" t="n">
        <v>64836</v>
      </c>
      <c r="AK13" t="n">
        <v>64024</v>
      </c>
      <c r="AL13" t="n">
        <v>44791</v>
      </c>
      <c r="AM13" t="n">
        <v>41723</v>
      </c>
      <c r="AN13" t="n">
        <v>57433</v>
      </c>
      <c r="AO13" t="n">
        <v>87856</v>
      </c>
      <c r="AP13" t="n">
        <v>98650</v>
      </c>
      <c r="AQ13" t="n">
        <v>92763</v>
      </c>
    </row>
    <row r="14">
      <c r="A14" s="5" t="inlineStr">
        <is>
          <t>Administrative expenses</t>
        </is>
      </c>
      <c r="B14" s="5" t="n">
        <v>-64363</v>
      </c>
      <c r="C14" s="5" t="n">
        <v>-62082</v>
      </c>
      <c r="D14" s="5" t="n">
        <v>-53594</v>
      </c>
      <c r="E14" s="5" t="n">
        <v>-42031</v>
      </c>
      <c r="F14" s="5" t="n">
        <v>-38763</v>
      </c>
      <c r="G14" s="5" t="n">
        <v>-37014</v>
      </c>
      <c r="H14" s="5" t="n">
        <v>-37388</v>
      </c>
      <c r="I14" s="5" t="n">
        <v>-38018</v>
      </c>
      <c r="J14" s="5" t="n">
        <v>-36000</v>
      </c>
      <c r="K14" s="5" t="n">
        <v>-33038</v>
      </c>
      <c r="L14" s="5" t="n">
        <v>-34777</v>
      </c>
      <c r="M14" s="5" t="n">
        <v>-37603</v>
      </c>
      <c r="AE14" t="inlineStr">
        <is>
          <t>Administrative expenses</t>
        </is>
      </c>
      <c r="AF14" t="n">
        <v>-37603</v>
      </c>
      <c r="AG14" t="n">
        <v>-34777</v>
      </c>
      <c r="AH14" t="n">
        <v>-33038</v>
      </c>
      <c r="AI14" t="n">
        <v>-36000</v>
      </c>
      <c r="AJ14" t="n">
        <v>-38018</v>
      </c>
      <c r="AK14" t="n">
        <v>-37388</v>
      </c>
      <c r="AL14" t="n">
        <v>-37014</v>
      </c>
      <c r="AM14" t="n">
        <v>-38763</v>
      </c>
      <c r="AN14" t="n">
        <v>-42031</v>
      </c>
      <c r="AO14" t="n">
        <v>-53594</v>
      </c>
      <c r="AP14" t="n">
        <v>-62082</v>
      </c>
      <c r="AQ14" t="n">
        <v>-64363</v>
      </c>
    </row>
    <row r="15">
      <c r="A15" s="5" t="inlineStr">
        <is>
          <t>Profit for the year</t>
        </is>
      </c>
      <c r="B15" s="5" t="n">
        <v>24127</v>
      </c>
      <c r="C15" s="5" t="n">
        <v>28755</v>
      </c>
      <c r="D15" s="5" t="n">
        <v>27875</v>
      </c>
      <c r="E15" s="5" t="n">
        <v>15100</v>
      </c>
      <c r="F15" s="5" t="n">
        <v>13035</v>
      </c>
      <c r="G15" s="5" t="n">
        <v>14428</v>
      </c>
      <c r="H15" s="5" t="n">
        <v>7628</v>
      </c>
      <c r="I15" s="5" t="n">
        <v>-35308</v>
      </c>
      <c r="J15" s="5" t="n">
        <v>6825</v>
      </c>
      <c r="K15" s="5" t="n">
        <v>2719</v>
      </c>
      <c r="L15" s="5" t="n">
        <v>-14505</v>
      </c>
      <c r="M15" s="5" t="n">
        <v>4729</v>
      </c>
      <c r="AE15" t="inlineStr">
        <is>
          <t>Profit for the year</t>
        </is>
      </c>
      <c r="AF15" t="n">
        <v>4729</v>
      </c>
      <c r="AG15" t="n">
        <v>-14505</v>
      </c>
      <c r="AH15" t="n">
        <v>2719</v>
      </c>
      <c r="AI15" t="n">
        <v>6825</v>
      </c>
      <c r="AJ15" t="n">
        <v>-35308</v>
      </c>
      <c r="AK15" t="n">
        <v>7628</v>
      </c>
      <c r="AL15" t="n">
        <v>14428</v>
      </c>
      <c r="AM15" t="n">
        <v>13035</v>
      </c>
      <c r="AN15" t="n">
        <v>15100</v>
      </c>
      <c r="AO15" t="n">
        <v>27875</v>
      </c>
      <c r="AP15" t="n">
        <v>28755</v>
      </c>
      <c r="AQ15" t="n">
        <v>24127</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Total equity</t>
        </is>
      </c>
      <c r="B19" s="5" t="n">
        <v>278340</v>
      </c>
      <c r="C19" s="5" t="n">
        <v>257612</v>
      </c>
      <c r="D19" s="5" t="n">
        <v>232578</v>
      </c>
      <c r="E19" s="5" t="n">
        <v>207266</v>
      </c>
      <c r="F19" s="5" t="n">
        <v>210286</v>
      </c>
      <c r="G19" s="5" t="n">
        <v>197207</v>
      </c>
      <c r="H19" s="5" t="n">
        <v>177894</v>
      </c>
      <c r="I19" s="5" t="n">
        <v>168178</v>
      </c>
      <c r="J19" s="5" t="n">
        <v>216833</v>
      </c>
      <c r="K19" s="5" t="n">
        <v>208393</v>
      </c>
      <c r="L19" s="5" t="n">
        <v>210170</v>
      </c>
      <c r="M19" s="5" t="n">
        <v>202169</v>
      </c>
      <c r="AT19" t="inlineStr">
        <is>
          <t>Total equity</t>
        </is>
      </c>
      <c r="AU19" t="n">
        <v>202169</v>
      </c>
      <c r="AV19" t="n">
        <v>210170</v>
      </c>
      <c r="AW19" t="n">
        <v>208393</v>
      </c>
      <c r="AX19" t="n">
        <v>216833</v>
      </c>
      <c r="AY19" t="n">
        <v>168178</v>
      </c>
      <c r="AZ19" t="n">
        <v>177894</v>
      </c>
      <c r="BA19" t="n">
        <v>197207</v>
      </c>
      <c r="BB19" t="n">
        <v>210286</v>
      </c>
      <c r="BC19" t="n">
        <v>207266</v>
      </c>
      <c r="BD19" t="n">
        <v>232578</v>
      </c>
      <c r="BE19" t="n">
        <v>257612</v>
      </c>
      <c r="BF19" t="n">
        <v>278340</v>
      </c>
    </row>
    <row r="21">
      <c r="A21" s="3" t="inlineStr">
        <is>
          <t>Cash Flow Summary (£'000)</t>
        </is>
      </c>
    </row>
    <row r="22">
      <c r="A22" s="4" t="inlineStr">
        <is>
          <t>Line item</t>
        </is>
      </c>
      <c r="B22" s="4" t="inlineStr">
        <is>
          <t>FY2025</t>
        </is>
      </c>
      <c r="C22" s="4" t="inlineStr">
        <is>
          <t>FY2024</t>
        </is>
      </c>
      <c r="D22" s="4" t="inlineStr">
        <is>
          <t>FY2023</t>
        </is>
      </c>
      <c r="E22" s="4" t="inlineStr">
        <is>
          <t>FY2022</t>
        </is>
      </c>
      <c r="F22" s="4" t="inlineStr">
        <is>
          <t>FY2021</t>
        </is>
      </c>
      <c r="G22" s="4" t="inlineStr">
        <is>
          <t>FY2020</t>
        </is>
      </c>
      <c r="H22" s="4" t="inlineStr">
        <is>
          <t>FY2019</t>
        </is>
      </c>
      <c r="I22" s="4" t="inlineStr">
        <is>
          <t>FY2018</t>
        </is>
      </c>
      <c r="J22" s="4" t="inlineStr">
        <is>
          <t>FY2017</t>
        </is>
      </c>
      <c r="K22" s="4" t="inlineStr">
        <is>
          <t>FY2016</t>
        </is>
      </c>
      <c r="L22" s="4" t="inlineStr">
        <is>
          <t>FY2015</t>
        </is>
      </c>
      <c r="M22" s="4" t="inlineStr">
        <is>
          <t>FY2014</t>
        </is>
      </c>
      <c r="BJ22" t="inlineStr">
        <is>
          <t>FY2014</t>
        </is>
      </c>
      <c r="BK22" t="inlineStr">
        <is>
          <t>FY2015</t>
        </is>
      </c>
      <c r="BL22" t="inlineStr">
        <is>
          <t>FY2016</t>
        </is>
      </c>
      <c r="BM22" t="inlineStr">
        <is>
          <t>FY2017</t>
        </is>
      </c>
      <c r="BN22" t="inlineStr">
        <is>
          <t>FY2018</t>
        </is>
      </c>
      <c r="BO22" t="inlineStr">
        <is>
          <t>FY2019</t>
        </is>
      </c>
      <c r="BP22" t="inlineStr">
        <is>
          <t>FY2020</t>
        </is>
      </c>
      <c r="BQ22" t="inlineStr">
        <is>
          <t>FY2021</t>
        </is>
      </c>
      <c r="BR22" t="inlineStr">
        <is>
          <t>FY2022</t>
        </is>
      </c>
      <c r="BS22" t="inlineStr">
        <is>
          <t>FY2023</t>
        </is>
      </c>
      <c r="BT22" t="inlineStr">
        <is>
          <t>FY2024</t>
        </is>
      </c>
      <c r="BU22" t="inlineStr">
        <is>
          <t>FY2025</t>
        </is>
      </c>
    </row>
    <row r="23">
      <c r="A23" s="5" t="inlineStr">
        <is>
          <t>Net cash generated from/(used in) operating activities</t>
        </is>
      </c>
      <c r="B23" s="5" t="n">
        <v>124138</v>
      </c>
      <c r="C23" s="5" t="n">
        <v>227828</v>
      </c>
      <c r="D23" s="5" t="n">
        <v>-286411</v>
      </c>
      <c r="E23" s="5" t="n">
        <v>-120744</v>
      </c>
      <c r="F23" s="5" t="n">
        <v>189594</v>
      </c>
      <c r="G23" s="5" t="n">
        <v>-321884</v>
      </c>
      <c r="H23" s="5" t="n">
        <v>-873872</v>
      </c>
      <c r="I23" s="5" t="n">
        <v>1179372</v>
      </c>
      <c r="J23" s="5" t="n">
        <v>-559510</v>
      </c>
      <c r="K23" s="5" t="n">
        <v>-603288</v>
      </c>
      <c r="L23" s="5" t="n">
        <v>65345</v>
      </c>
      <c r="M23" s="5" t="n">
        <v>439909</v>
      </c>
      <c r="BI23" t="inlineStr">
        <is>
          <t>Net cash generated from/(used in) operating activities</t>
        </is>
      </c>
      <c r="BJ23" t="n">
        <v>439909</v>
      </c>
      <c r="BK23" t="n">
        <v>65345</v>
      </c>
      <c r="BL23" t="n">
        <v>-603288</v>
      </c>
      <c r="BM23" t="n">
        <v>-559510</v>
      </c>
      <c r="BN23" t="n">
        <v>1179372</v>
      </c>
      <c r="BO23" t="n">
        <v>-873872</v>
      </c>
      <c r="BP23" t="n">
        <v>-321884</v>
      </c>
      <c r="BQ23" t="n">
        <v>189594</v>
      </c>
      <c r="BR23" t="n">
        <v>-120744</v>
      </c>
      <c r="BS23" t="n">
        <v>-286411</v>
      </c>
      <c r="BT23" t="n">
        <v>227828</v>
      </c>
      <c r="BU23" t="n">
        <v>124138</v>
      </c>
    </row>
    <row r="24">
      <c r="A24" s="5" t="inlineStr">
        <is>
          <t>Net cash used in investing activities</t>
        </is>
      </c>
      <c r="B24" s="5" t="n">
        <v>-1537</v>
      </c>
      <c r="C24" s="5" t="n">
        <v>-820</v>
      </c>
      <c r="D24" s="5" t="n">
        <v>-8524</v>
      </c>
      <c r="E24" s="5" t="n">
        <v>-1094</v>
      </c>
      <c r="F24" s="5" t="n">
        <v>-814</v>
      </c>
      <c r="G24" s="5" t="n">
        <v>-1452</v>
      </c>
      <c r="H24" s="5" t="n">
        <v>-5363</v>
      </c>
      <c r="I24" s="5" t="n">
        <v>-6388</v>
      </c>
      <c r="J24" s="5" t="n">
        <v>-3743</v>
      </c>
      <c r="K24" s="5" t="n">
        <v>551</v>
      </c>
      <c r="L24" s="5" t="n">
        <v>-446</v>
      </c>
      <c r="M24" s="5" t="n">
        <v>-2470</v>
      </c>
      <c r="BI24" t="inlineStr">
        <is>
          <t>Net cash used in investing activities</t>
        </is>
      </c>
      <c r="BJ24" t="n">
        <v>-2470</v>
      </c>
      <c r="BK24" t="n">
        <v>-446</v>
      </c>
      <c r="BL24" t="n">
        <v>551</v>
      </c>
      <c r="BM24" t="n">
        <v>-3743</v>
      </c>
      <c r="BN24" t="n">
        <v>-6388</v>
      </c>
      <c r="BO24" t="n">
        <v>-5363</v>
      </c>
      <c r="BP24" t="n">
        <v>-1452</v>
      </c>
      <c r="BQ24" t="n">
        <v>-814</v>
      </c>
      <c r="BR24" t="n">
        <v>-1094</v>
      </c>
      <c r="BS24" t="n">
        <v>-8524</v>
      </c>
      <c r="BT24" t="n">
        <v>-820</v>
      </c>
      <c r="BU24" t="n">
        <v>-1537</v>
      </c>
    </row>
    <row r="25">
      <c r="A25" s="5" t="inlineStr">
        <is>
          <t>Net cash used in financing activities</t>
        </is>
      </c>
      <c r="B25" s="5" t="n">
        <v>-6477</v>
      </c>
      <c r="C25" s="5" t="n">
        <v>-5055</v>
      </c>
      <c r="D25" s="5" t="n">
        <v>-5417</v>
      </c>
      <c r="E25" s="5" t="n">
        <v>-8771</v>
      </c>
      <c r="F25" s="5" t="n">
        <v>-191</v>
      </c>
      <c r="G25" s="5" t="n">
        <v>-156</v>
      </c>
      <c r="H25" s="5" t="n">
        <v>0</v>
      </c>
      <c r="I25" s="5" t="n">
        <v>-1498</v>
      </c>
      <c r="J25" s="5" t="n">
        <v>0</v>
      </c>
      <c r="K25" s="5" t="n">
        <v>0</v>
      </c>
      <c r="L25" s="5" t="n">
        <v>24289</v>
      </c>
      <c r="M25" s="5" t="n">
        <v>0</v>
      </c>
      <c r="BI25" t="inlineStr">
        <is>
          <t>Net cash used in financing activities</t>
        </is>
      </c>
      <c r="BJ25" t="n">
        <v>0</v>
      </c>
      <c r="BK25" t="n">
        <v>24289</v>
      </c>
      <c r="BL25" t="n">
        <v>0</v>
      </c>
      <c r="BM25" t="n">
        <v>0</v>
      </c>
      <c r="BN25" t="n">
        <v>-1498</v>
      </c>
      <c r="BO25" t="n">
        <v>0</v>
      </c>
      <c r="BP25" t="n">
        <v>-156</v>
      </c>
      <c r="BQ25" t="n">
        <v>-191</v>
      </c>
      <c r="BR25" t="n">
        <v>-8771</v>
      </c>
      <c r="BS25" t="n">
        <v>-5417</v>
      </c>
      <c r="BT25" t="n">
        <v>-5055</v>
      </c>
      <c r="BU25" t="n">
        <v>-6477</v>
      </c>
    </row>
    <row r="26">
      <c r="A26" s="5" t="inlineStr">
        <is>
          <t>Cash and cash equivalents at end of year</t>
        </is>
      </c>
      <c r="B26" s="5" t="n">
        <v>718577</v>
      </c>
      <c r="C26" s="5" t="n">
        <v>604467</v>
      </c>
      <c r="D26" s="5" t="n">
        <v>372940</v>
      </c>
      <c r="E26" s="5" t="n">
        <v>700795</v>
      </c>
      <c r="F26" s="5" t="n">
        <v>766720</v>
      </c>
      <c r="G26" s="5" t="n">
        <v>586617</v>
      </c>
      <c r="H26" s="5" t="n">
        <v>897237</v>
      </c>
      <c r="I26" s="5" t="n">
        <v>1821651</v>
      </c>
      <c r="J26" s="5" t="n">
        <v>625253</v>
      </c>
      <c r="K26" s="5" t="n">
        <v>1226225</v>
      </c>
      <c r="L26" s="5" t="n">
        <v>1623993</v>
      </c>
      <c r="M26" s="5" t="n">
        <v>1514842</v>
      </c>
      <c r="BI26" t="inlineStr">
        <is>
          <t>Cash and cash equivalents at end of year</t>
        </is>
      </c>
      <c r="BJ26" t="n">
        <v>1514842</v>
      </c>
      <c r="BK26" t="n">
        <v>1623993</v>
      </c>
      <c r="BL26" t="n">
        <v>1226225</v>
      </c>
      <c r="BM26" t="n">
        <v>625253</v>
      </c>
      <c r="BN26" t="n">
        <v>1821651</v>
      </c>
      <c r="BO26" t="n">
        <v>897237</v>
      </c>
      <c r="BP26" t="n">
        <v>586617</v>
      </c>
      <c r="BQ26" t="n">
        <v>766720</v>
      </c>
      <c r="BR26" t="n">
        <v>700795</v>
      </c>
      <c r="BS26" t="n">
        <v>372940</v>
      </c>
      <c r="BT26" t="n">
        <v>604467</v>
      </c>
      <c r="BU26" t="n">
        <v>718577</v>
      </c>
    </row>
    <row r="28">
      <c r="A28" s="3" t="inlineStr">
        <is>
          <t>Pillar 3 Key Metrics</t>
        </is>
      </c>
    </row>
    <row r="29">
      <c r="A29" s="4" t="inlineStr">
        <is>
          <t>Line item</t>
        </is>
      </c>
      <c r="B29" s="4" t="inlineStr">
        <is>
          <t>FY2025</t>
        </is>
      </c>
      <c r="C29" s="4" t="inlineStr">
        <is>
          <t>FY2024</t>
        </is>
      </c>
      <c r="D29" s="4" t="inlineStr">
        <is>
          <t>FY2023</t>
        </is>
      </c>
      <c r="E29" s="4" t="inlineStr">
        <is>
          <t>FY2022</t>
        </is>
      </c>
      <c r="F29" s="4" t="inlineStr">
        <is>
          <t>FY2021</t>
        </is>
      </c>
      <c r="G29" s="4" t="inlineStr">
        <is>
          <t>FY2020</t>
        </is>
      </c>
      <c r="H29" s="4" t="inlineStr">
        <is>
          <t>FY2019</t>
        </is>
      </c>
      <c r="I29" s="4" t="inlineStr">
        <is>
          <t>FY2018</t>
        </is>
      </c>
      <c r="J29" s="4" t="inlineStr">
        <is>
          <t>FY2017</t>
        </is>
      </c>
      <c r="K29" s="4" t="inlineStr">
        <is>
          <t>FY2016</t>
        </is>
      </c>
      <c r="L29" s="4" t="inlineStr">
        <is>
          <t>FY2015</t>
        </is>
      </c>
      <c r="M29" s="4" t="inlineStr">
        <is>
          <t>FY2014</t>
        </is>
      </c>
    </row>
    <row r="30">
      <c r="A30" s="6" t="inlineStr">
        <is>
          <t>CET1 Ratio</t>
        </is>
      </c>
      <c r="B30" s="6" t="inlineStr">
        <is>
          <t>13.8%</t>
        </is>
      </c>
      <c r="C30" s="6" t="inlineStr">
        <is>
          <t>15.6%</t>
        </is>
      </c>
      <c r="D30" s="6" t="inlineStr">
        <is>
          <t>18.0%</t>
        </is>
      </c>
      <c r="E30" s="6" t="inlineStr">
        <is>
          <t>16.0%</t>
        </is>
      </c>
      <c r="F30" s="6" t="inlineStr">
        <is>
          <t>18.4%</t>
        </is>
      </c>
      <c r="G30" s="6" t="inlineStr">
        <is>
          <t>17.4%</t>
        </is>
      </c>
      <c r="H30" s="6" t="inlineStr">
        <is>
          <t>14.1%</t>
        </is>
      </c>
      <c r="I30" s="6" t="inlineStr">
        <is>
          <t>9.9%</t>
        </is>
      </c>
      <c r="J30" s="6" t="inlineStr">
        <is>
          <t>12.1%</t>
        </is>
      </c>
      <c r="K30" s="6" t="inlineStr">
        <is>
          <t>14.3%</t>
        </is>
      </c>
      <c r="L30" s="6" t="inlineStr">
        <is>
          <t>15.3%</t>
        </is>
      </c>
      <c r="M30" s="6" t="inlineStr">
        <is>
          <t>18.2%</t>
        </is>
      </c>
    </row>
    <row r="31">
      <c r="A31" s="6" t="inlineStr">
        <is>
          <t>Total Capital Ratio</t>
        </is>
      </c>
      <c r="B31" s="6" t="inlineStr">
        <is>
          <t>17.4%</t>
        </is>
      </c>
      <c r="C31" s="6" t="inlineStr">
        <is>
          <t>20.3%</t>
        </is>
      </c>
      <c r="D31" s="6" t="inlineStr">
        <is>
          <t>22.3%</t>
        </is>
      </c>
      <c r="E31" s="6" t="inlineStr">
        <is>
          <t>21.7%</t>
        </is>
      </c>
      <c r="F31" s="6" t="inlineStr">
        <is>
          <t>24.9%</t>
        </is>
      </c>
      <c r="G31" s="6" t="inlineStr">
        <is>
          <t>24.0%</t>
        </is>
      </c>
      <c r="H31" s="6" t="inlineStr">
        <is>
          <t>19.6%</t>
        </is>
      </c>
      <c r="I31" s="6" t="inlineStr">
        <is>
          <t>14.3%</t>
        </is>
      </c>
      <c r="J31" s="6" t="inlineStr">
        <is>
          <t>16.3%</t>
        </is>
      </c>
      <c r="K31" s="6" t="inlineStr">
        <is>
          <t>19.6%</t>
        </is>
      </c>
      <c r="L31" s="6" t="inlineStr">
        <is>
          <t>19.9%</t>
        </is>
      </c>
      <c r="M31" s="6" t="inlineStr">
        <is>
          <t>23.9%</t>
        </is>
      </c>
    </row>
    <row r="32">
      <c r="A32" s="6" t="inlineStr">
        <is>
          <t>Leverage Ratio</t>
        </is>
      </c>
      <c r="B32" s="6" t="inlineStr">
        <is>
          <t>7.2%</t>
        </is>
      </c>
      <c r="C32" s="6" t="inlineStr">
        <is>
          <t>6.6%</t>
        </is>
      </c>
      <c r="D32" s="6" t="inlineStr">
        <is>
          <t>6.8%</t>
        </is>
      </c>
      <c r="E32" s="6" t="inlineStr">
        <is>
          <t>5.7%</t>
        </is>
      </c>
      <c r="F32" s="6" t="inlineStr">
        <is>
          <t>6.7%</t>
        </is>
      </c>
      <c r="G32" s="6" t="inlineStr">
        <is>
          <t>7.09%</t>
        </is>
      </c>
      <c r="H32" s="6" t="inlineStr">
        <is>
          <t>5.69%</t>
        </is>
      </c>
      <c r="I32" s="6" t="inlineStr">
        <is>
          <t>3.83%</t>
        </is>
      </c>
      <c r="J32" s="6" t="inlineStr">
        <is>
          <t>6.53%</t>
        </is>
      </c>
      <c r="K32" s="6" t="inlineStr">
        <is>
          <t>6.56%</t>
        </is>
      </c>
      <c r="L32" s="6" t="inlineStr">
        <is>
          <t>6.55%</t>
        </is>
      </c>
      <c r="M32" s="6" t="n"/>
    </row>
    <row r="33">
      <c r="A33" s="6" t="inlineStr">
        <is>
          <t>LCR</t>
        </is>
      </c>
      <c r="B33" s="6" t="inlineStr">
        <is>
          <t>234%</t>
        </is>
      </c>
      <c r="C33" s="6" t="inlineStr">
        <is>
          <t>327%</t>
        </is>
      </c>
      <c r="D33" s="6" t="inlineStr">
        <is>
          <t>271%</t>
        </is>
      </c>
      <c r="E33" s="6" t="inlineStr">
        <is>
          <t>254%</t>
        </is>
      </c>
      <c r="F33" s="6" t="inlineStr">
        <is>
          <t>276%</t>
        </is>
      </c>
      <c r="G33" s="6" t="inlineStr">
        <is>
          <t>215%</t>
        </is>
      </c>
      <c r="H33" s="6" t="inlineStr">
        <is>
          <t>222%</t>
        </is>
      </c>
      <c r="I33" s="6" t="n"/>
      <c r="J33" s="6" t="n"/>
      <c r="K33" s="6" t="n"/>
      <c r="L33" s="6" t="n"/>
      <c r="M33" s="6" t="n"/>
    </row>
    <row r="34">
      <c r="A34" s="6" t="inlineStr">
        <is>
          <t>NSFR</t>
        </is>
      </c>
      <c r="B34" s="6" t="inlineStr">
        <is>
          <t>166%</t>
        </is>
      </c>
      <c r="C34" s="6" t="inlineStr">
        <is>
          <t>160%</t>
        </is>
      </c>
      <c r="D34" s="6" t="inlineStr">
        <is>
          <t>151%</t>
        </is>
      </c>
      <c r="E34" s="6" t="inlineStr">
        <is>
          <t>130%</t>
        </is>
      </c>
      <c r="F34" s="6" t="n"/>
      <c r="G34" s="6" t="n"/>
      <c r="H34" s="6" t="n"/>
      <c r="I34" s="6" t="n"/>
      <c r="J34" s="6" t="n"/>
      <c r="K34" s="6" t="n"/>
      <c r="L34" s="6" t="n"/>
      <c r="M34" s="6" t="n"/>
    </row>
    <row r="36" ht="30" customHeight="1">
      <c r="A36" s="7" t="inlineStr">
        <is>
          <t>Note: Figures are duplicated from the detail sheets for at-a-glance trend viewing; see each sheet's own source citation for the underlying document/page.</t>
        </is>
      </c>
    </row>
  </sheetData>
  <mergeCells count="1">
    <mergeCell ref="A36:M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British Arab Commercial Bank PLC — Statement of Financial Position</t>
        </is>
      </c>
    </row>
    <row r="2">
      <c r="A2" s="2" t="inlineStr">
        <is>
          <t>Bank entity basis (single UK entity, no subsidiaries/associates). GBP throughout, no FX conversion.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Assets</t>
        </is>
      </c>
      <c r="B4" s="6" t="n"/>
      <c r="C4" s="6" t="n"/>
      <c r="D4" s="6" t="n"/>
      <c r="E4" s="6" t="n"/>
      <c r="F4" s="6" t="n"/>
      <c r="G4" s="6" t="n"/>
      <c r="H4" s="6" t="n"/>
      <c r="I4" s="6" t="n"/>
      <c r="J4" s="6" t="n"/>
      <c r="K4" s="6" t="n"/>
      <c r="L4" s="6" t="n"/>
      <c r="M4" s="6" t="n"/>
      <c r="N4" s="6" t="n"/>
    </row>
    <row r="5">
      <c r="A5" s="6" t="inlineStr">
        <is>
          <t>Cash, notes and coins</t>
        </is>
      </c>
      <c r="B5" s="6" t="n">
        <v>0</v>
      </c>
      <c r="C5" s="6" t="n">
        <v>1</v>
      </c>
      <c r="D5" s="6" t="n">
        <v>1</v>
      </c>
      <c r="E5" s="6" t="n">
        <v>0</v>
      </c>
      <c r="F5" s="6" t="n">
        <v>218</v>
      </c>
      <c r="G5" s="6" t="n">
        <v>219</v>
      </c>
      <c r="H5" s="6" t="n">
        <v>89</v>
      </c>
      <c r="I5" s="6" t="n">
        <v>110</v>
      </c>
      <c r="J5" s="6" t="n">
        <v>143</v>
      </c>
      <c r="K5" s="6" t="n">
        <v>87</v>
      </c>
      <c r="L5" s="6" t="n">
        <v>323</v>
      </c>
      <c r="M5" s="6" t="n">
        <v>633</v>
      </c>
      <c r="N5" s="6" t="n">
        <v>223</v>
      </c>
    </row>
    <row r="6">
      <c r="A6" s="6" t="inlineStr">
        <is>
          <t>Derivatives</t>
        </is>
      </c>
      <c r="B6" s="6" t="n">
        <v>2008</v>
      </c>
      <c r="C6" s="6" t="n">
        <v>1770</v>
      </c>
      <c r="D6" s="6" t="n">
        <v>661</v>
      </c>
      <c r="E6" s="6" t="n">
        <v>1344</v>
      </c>
      <c r="F6" s="6" t="n">
        <v>616</v>
      </c>
      <c r="G6" s="6" t="n">
        <v>1081</v>
      </c>
      <c r="H6" s="6" t="n">
        <v>751</v>
      </c>
      <c r="I6" s="6" t="n">
        <v>1249</v>
      </c>
      <c r="J6" s="6" t="n">
        <v>547</v>
      </c>
      <c r="K6" s="6" t="n">
        <v>769</v>
      </c>
      <c r="L6" s="6" t="n">
        <v>181</v>
      </c>
      <c r="M6" s="6" t="n">
        <v>567</v>
      </c>
      <c r="N6" s="6" t="n">
        <v>1271</v>
      </c>
    </row>
    <row r="7">
      <c r="A7" s="6" t="inlineStr">
        <is>
          <t>Reverse repurchase agreements</t>
        </is>
      </c>
      <c r="B7" s="6" t="n">
        <v>25147</v>
      </c>
      <c r="C7" s="6" t="n">
        <v>210601</v>
      </c>
      <c r="D7" s="6" t="n">
        <v>86937</v>
      </c>
      <c r="E7" s="6" t="n">
        <v>236927</v>
      </c>
      <c r="F7" s="6" t="n">
        <v>215824</v>
      </c>
      <c r="G7" s="6" t="n"/>
      <c r="H7" s="6" t="n"/>
      <c r="I7" s="6" t="n"/>
      <c r="J7" s="6" t="n"/>
      <c r="K7" s="6" t="n"/>
      <c r="L7" s="6" t="n"/>
      <c r="M7" s="6" t="n"/>
      <c r="N7" s="6" t="n"/>
    </row>
    <row r="8">
      <c r="A8" s="6" t="inlineStr">
        <is>
          <t>Loans and advances to banks</t>
        </is>
      </c>
      <c r="B8" s="6" t="n">
        <v>1570302</v>
      </c>
      <c r="C8" s="6" t="n">
        <v>1271347</v>
      </c>
      <c r="D8" s="6" t="n">
        <v>855620</v>
      </c>
      <c r="E8" s="6" t="n">
        <v>755184</v>
      </c>
      <c r="F8" s="6" t="n">
        <v>588843</v>
      </c>
      <c r="G8" s="6" t="n">
        <v>616563</v>
      </c>
      <c r="H8" s="6" t="n">
        <v>1189720</v>
      </c>
      <c r="I8" s="6" t="n">
        <v>997428</v>
      </c>
      <c r="J8" s="6" t="n">
        <v>1017510</v>
      </c>
      <c r="K8" s="6" t="n">
        <v>759716</v>
      </c>
      <c r="L8" s="6" t="n">
        <v>910561</v>
      </c>
      <c r="M8" s="6" t="n">
        <v>1293790</v>
      </c>
      <c r="N8" s="6" t="n">
        <v>1156909</v>
      </c>
    </row>
    <row r="9">
      <c r="A9" s="6" t="inlineStr">
        <is>
          <t>Loans and advances to customers</t>
        </is>
      </c>
      <c r="B9" s="6" t="n">
        <v>353562</v>
      </c>
      <c r="C9" s="6" t="n">
        <v>387260</v>
      </c>
      <c r="D9" s="6" t="n">
        <v>388567</v>
      </c>
      <c r="E9" s="6" t="n">
        <v>463780</v>
      </c>
      <c r="F9" s="6" t="n">
        <v>484536</v>
      </c>
      <c r="G9" s="6" t="n">
        <v>582529</v>
      </c>
      <c r="H9" s="6" t="n">
        <v>651514</v>
      </c>
      <c r="I9" s="6" t="n">
        <v>1081161</v>
      </c>
      <c r="J9" s="6" t="n">
        <v>1068589</v>
      </c>
      <c r="K9" s="6" t="n">
        <v>864311</v>
      </c>
      <c r="L9" s="6" t="n">
        <v>685680</v>
      </c>
      <c r="M9" s="6" t="n">
        <v>471375</v>
      </c>
      <c r="N9" s="6" t="n">
        <v>456896</v>
      </c>
    </row>
    <row r="10">
      <c r="A10" s="6" t="inlineStr">
        <is>
          <t>Total financial investments</t>
        </is>
      </c>
      <c r="B10" s="6" t="n">
        <v>1317406</v>
      </c>
      <c r="C10" s="6" t="n">
        <v>1427440</v>
      </c>
      <c r="D10" s="6" t="n">
        <v>1621748</v>
      </c>
      <c r="E10" s="6" t="n">
        <v>1695000</v>
      </c>
      <c r="F10" s="6" t="n">
        <v>1456288</v>
      </c>
      <c r="G10" s="6" t="n">
        <v>1306280</v>
      </c>
      <c r="H10" s="6" t="n">
        <v>891682</v>
      </c>
      <c r="I10" s="6" t="n">
        <v>1774166</v>
      </c>
      <c r="J10" s="6" t="n">
        <v>788066</v>
      </c>
      <c r="K10" s="6" t="n">
        <v>1288442</v>
      </c>
      <c r="L10" s="6" t="n">
        <v>1399383</v>
      </c>
      <c r="M10" s="6" t="n">
        <v>1122262</v>
      </c>
      <c r="N10" s="6" t="n">
        <v>760316</v>
      </c>
    </row>
    <row r="11">
      <c r="A11" s="6" t="inlineStr">
        <is>
          <t>Financial investments - Government and multilateral development bank debt securities (FVOCI)</t>
        </is>
      </c>
      <c r="B11" s="6" t="n">
        <v>1145125</v>
      </c>
      <c r="C11" s="6" t="n">
        <v>1270722</v>
      </c>
      <c r="D11" s="6" t="n">
        <v>1371471</v>
      </c>
      <c r="E11" s="6" t="n">
        <v>1383707</v>
      </c>
      <c r="F11" s="6" t="n">
        <v>1036703</v>
      </c>
      <c r="G11" s="6" t="n">
        <v>909297</v>
      </c>
      <c r="H11" s="6" t="n">
        <v>617809</v>
      </c>
      <c r="I11" s="6" t="n">
        <v>1456160</v>
      </c>
      <c r="J11" s="6" t="n">
        <v>652731</v>
      </c>
      <c r="K11" s="6" t="n">
        <v>1081179</v>
      </c>
      <c r="L11" s="6" t="n">
        <v>966567</v>
      </c>
      <c r="M11" s="6" t="n">
        <v>793001</v>
      </c>
      <c r="N11" s="6" t="n">
        <v>359091</v>
      </c>
    </row>
    <row r="12">
      <c r="A12" s="6" t="inlineStr">
        <is>
          <t>Financial investments - Debt securities issued by banks (FVOCI)</t>
        </is>
      </c>
      <c r="B12" s="6" t="n">
        <v>166713</v>
      </c>
      <c r="C12" s="6" t="n">
        <v>150004</v>
      </c>
      <c r="D12" s="6" t="n">
        <v>242430</v>
      </c>
      <c r="E12" s="6" t="n">
        <v>278007</v>
      </c>
      <c r="F12" s="6" t="n">
        <v>401151</v>
      </c>
      <c r="G12" s="6" t="n">
        <v>372533</v>
      </c>
      <c r="H12" s="6" t="n">
        <v>248169</v>
      </c>
      <c r="I12" s="6" t="n">
        <v>297132</v>
      </c>
      <c r="J12" s="6" t="n">
        <v>112681</v>
      </c>
      <c r="K12" s="6" t="n">
        <v>178667</v>
      </c>
      <c r="L12" s="6" t="n">
        <v>393260</v>
      </c>
      <c r="M12" s="6" t="n">
        <v>291308</v>
      </c>
      <c r="N12" s="6" t="n">
        <v>327882</v>
      </c>
    </row>
    <row r="13">
      <c r="A13" s="6" t="inlineStr">
        <is>
          <t>Financial investments - Debt securities issued by non-banks (FVOCI)</t>
        </is>
      </c>
      <c r="B13" s="6" t="n">
        <v>2213</v>
      </c>
      <c r="C13" s="6" t="n">
        <v>3115</v>
      </c>
      <c r="D13" s="6" t="n">
        <v>2986</v>
      </c>
      <c r="E13" s="6" t="n">
        <v>23340</v>
      </c>
      <c r="F13" s="6" t="n">
        <v>3595</v>
      </c>
      <c r="G13" s="6" t="n">
        <v>3063</v>
      </c>
      <c r="H13" s="6" t="n">
        <v>4657</v>
      </c>
      <c r="I13" s="6" t="n">
        <v>9342</v>
      </c>
      <c r="J13" s="6" t="n">
        <v>11426</v>
      </c>
      <c r="K13" s="6" t="n">
        <v>19806</v>
      </c>
      <c r="L13" s="6" t="n">
        <v>10032</v>
      </c>
      <c r="M13" s="6" t="n">
        <v>3779</v>
      </c>
      <c r="N13" s="6" t="n">
        <v>30461</v>
      </c>
    </row>
    <row r="14">
      <c r="A14" s="6" t="inlineStr">
        <is>
          <t>Financial investments - Debt securities designated as FVTPL / held for trading</t>
        </is>
      </c>
      <c r="B14" s="6" t="n">
        <v>0</v>
      </c>
      <c r="C14" s="6" t="n">
        <v>0</v>
      </c>
      <c r="D14" s="6" t="n">
        <v>0</v>
      </c>
      <c r="E14" s="6" t="n">
        <v>4037</v>
      </c>
      <c r="F14" s="6" t="n">
        <v>8554</v>
      </c>
      <c r="G14" s="6" t="n">
        <v>14964</v>
      </c>
      <c r="H14" s="6" t="n">
        <v>14576</v>
      </c>
      <c r="I14" s="6" t="n">
        <v>4922</v>
      </c>
      <c r="J14" s="6" t="n">
        <v>3690</v>
      </c>
      <c r="K14" s="6" t="n">
        <v>0</v>
      </c>
      <c r="L14" s="6" t="n">
        <v>13994</v>
      </c>
      <c r="M14" s="6" t="n">
        <v>18493</v>
      </c>
      <c r="N14" s="6" t="n">
        <v>29041</v>
      </c>
    </row>
    <row r="15">
      <c r="A15" s="6" t="inlineStr">
        <is>
          <t>Financial investments - Equity shares and investment funds (FVOCI)</t>
        </is>
      </c>
      <c r="B15" s="6" t="n">
        <v>3355</v>
      </c>
      <c r="C15" s="6" t="n">
        <v>3599</v>
      </c>
      <c r="D15" s="6" t="n">
        <v>4861</v>
      </c>
      <c r="E15" s="6" t="n">
        <v>5909</v>
      </c>
      <c r="F15" s="6" t="n">
        <v>6285</v>
      </c>
      <c r="G15" s="6" t="n">
        <v>6423</v>
      </c>
      <c r="H15" s="6" t="n">
        <v>6471</v>
      </c>
      <c r="I15" s="6" t="n">
        <v>6610</v>
      </c>
      <c r="J15" s="6" t="n">
        <v>7538</v>
      </c>
      <c r="K15" s="6" t="n">
        <v>8790</v>
      </c>
      <c r="L15" s="6" t="n">
        <v>15530</v>
      </c>
      <c r="M15" s="6" t="n">
        <v>15681</v>
      </c>
      <c r="N15" s="6" t="n">
        <v>13841</v>
      </c>
    </row>
    <row r="16">
      <c r="A16" s="6" t="inlineStr">
        <is>
          <t>Prepayments, accrued income and other debtors</t>
        </is>
      </c>
      <c r="B16" s="6" t="n">
        <v>14721</v>
      </c>
      <c r="C16" s="6" t="n">
        <v>8497</v>
      </c>
      <c r="D16" s="6" t="n">
        <v>10424</v>
      </c>
      <c r="E16" s="6" t="n">
        <v>3014</v>
      </c>
      <c r="F16" s="6" t="n">
        <v>3437</v>
      </c>
      <c r="G16" s="6" t="n">
        <v>14370</v>
      </c>
      <c r="H16" s="6" t="n">
        <v>22181</v>
      </c>
      <c r="I16" s="6" t="n">
        <v>16815</v>
      </c>
      <c r="J16" s="6" t="n">
        <v>62573</v>
      </c>
      <c r="K16" s="6" t="n">
        <v>11016</v>
      </c>
      <c r="L16" s="6" t="n">
        <v>10562</v>
      </c>
      <c r="M16" s="6" t="n">
        <v>13877</v>
      </c>
      <c r="N16" s="6" t="n">
        <v>15627</v>
      </c>
    </row>
    <row r="17">
      <c r="A17" s="6" t="inlineStr">
        <is>
          <t>Corporation tax receivable</t>
        </is>
      </c>
      <c r="B17" s="6" t="n"/>
      <c r="C17" s="6" t="n"/>
      <c r="D17" s="6" t="n">
        <v>947</v>
      </c>
      <c r="E17" s="6" t="n">
        <v>223</v>
      </c>
      <c r="F17" s="6" t="n"/>
      <c r="G17" s="6" t="n"/>
      <c r="H17" s="6" t="n">
        <v>214</v>
      </c>
      <c r="I17" s="6" t="n">
        <v>677</v>
      </c>
      <c r="J17" s="6" t="n"/>
      <c r="K17" s="6" t="n">
        <v>1358</v>
      </c>
      <c r="L17" s="6" t="n">
        <v>4030</v>
      </c>
      <c r="M17" s="6" t="n">
        <v>2610</v>
      </c>
      <c r="N17" s="6" t="n"/>
    </row>
    <row r="18">
      <c r="A18" s="6" t="inlineStr">
        <is>
          <t>Deferred tax assets</t>
        </is>
      </c>
      <c r="B18" s="6" t="n"/>
      <c r="C18" s="6" t="n"/>
      <c r="D18" s="6" t="n">
        <v>0</v>
      </c>
      <c r="E18" s="6" t="n">
        <v>3561</v>
      </c>
      <c r="F18" s="6" t="n"/>
      <c r="G18" s="6" t="n"/>
      <c r="H18" s="6" t="n">
        <v>994</v>
      </c>
      <c r="I18" s="6" t="n">
        <v>2914</v>
      </c>
      <c r="J18" s="6" t="n"/>
      <c r="K18" s="6" t="n">
        <v>1069</v>
      </c>
      <c r="L18" s="6" t="n"/>
      <c r="M18" s="6" t="n"/>
      <c r="N18" s="6" t="n"/>
    </row>
    <row r="19">
      <c r="A19" s="6" t="inlineStr">
        <is>
          <t>Property, plant and equipment</t>
        </is>
      </c>
      <c r="B19" s="6" t="n">
        <v>30946</v>
      </c>
      <c r="C19" s="6" t="n">
        <v>31014</v>
      </c>
      <c r="D19" s="6" t="n">
        <v>29839</v>
      </c>
      <c r="E19" s="6" t="n">
        <v>27271</v>
      </c>
      <c r="F19" s="6" t="n">
        <v>19719</v>
      </c>
      <c r="G19" s="6" t="n">
        <v>12120</v>
      </c>
      <c r="H19" s="6" t="n">
        <v>11682</v>
      </c>
      <c r="I19" s="6" t="n">
        <v>8378</v>
      </c>
      <c r="J19" s="6" t="n">
        <v>8291</v>
      </c>
      <c r="K19" s="6" t="n">
        <v>8488</v>
      </c>
      <c r="L19" s="6" t="n">
        <v>8678</v>
      </c>
      <c r="M19" s="6" t="n">
        <v>8993</v>
      </c>
      <c r="N19" s="6" t="n">
        <v>8875</v>
      </c>
    </row>
    <row r="20">
      <c r="A20" s="6" t="inlineStr">
        <is>
          <t>Intangible assets</t>
        </is>
      </c>
      <c r="B20" s="6" t="n">
        <v>2305</v>
      </c>
      <c r="C20" s="6" t="n">
        <v>2937</v>
      </c>
      <c r="D20" s="6" t="n">
        <v>4566</v>
      </c>
      <c r="E20" s="6" t="n">
        <v>6222</v>
      </c>
      <c r="F20" s="6" t="n">
        <v>7582</v>
      </c>
      <c r="G20" s="6" t="n">
        <v>8980</v>
      </c>
      <c r="H20" s="6" t="n">
        <v>10491</v>
      </c>
      <c r="I20" s="6" t="n">
        <v>10954</v>
      </c>
      <c r="J20" s="6" t="n">
        <v>6796</v>
      </c>
      <c r="K20" s="6" t="n">
        <v>4008</v>
      </c>
      <c r="L20" s="6" t="n">
        <v>1897</v>
      </c>
      <c r="M20" s="6" t="n">
        <v>2310</v>
      </c>
      <c r="N20" s="6" t="n">
        <v>2031</v>
      </c>
    </row>
    <row r="21">
      <c r="A21" s="6" t="inlineStr">
        <is>
          <t>Net pension asset</t>
        </is>
      </c>
      <c r="B21" s="6" t="n">
        <v>2353</v>
      </c>
      <c r="C21" s="6" t="n">
        <v>2599</v>
      </c>
      <c r="D21" s="6" t="n">
        <v>2617</v>
      </c>
      <c r="E21" s="6" t="n">
        <v>2219</v>
      </c>
      <c r="F21" s="6" t="n">
        <v>5480</v>
      </c>
      <c r="G21" s="6" t="n">
        <v>756</v>
      </c>
      <c r="H21" s="6" t="n"/>
      <c r="I21" s="6" t="n"/>
      <c r="J21" s="6" t="n"/>
      <c r="K21" s="6" t="n"/>
      <c r="L21" s="6" t="n"/>
      <c r="M21" s="6" t="n"/>
      <c r="N21" s="6" t="n"/>
    </row>
    <row r="22">
      <c r="A22" s="5" t="inlineStr">
        <is>
          <t>Total assets</t>
        </is>
      </c>
      <c r="B22" s="5" t="n">
        <v>3318750</v>
      </c>
      <c r="C22" s="5" t="n">
        <v>3343466</v>
      </c>
      <c r="D22" s="5" t="n">
        <v>3001927</v>
      </c>
      <c r="E22" s="5" t="n">
        <v>3194745</v>
      </c>
      <c r="F22" s="5" t="n">
        <v>2782543</v>
      </c>
      <c r="G22" s="5" t="n">
        <v>2542898</v>
      </c>
      <c r="H22" s="5" t="n">
        <v>2779318</v>
      </c>
      <c r="I22" s="5" t="n">
        <v>3893852</v>
      </c>
      <c r="J22" s="5" t="n">
        <v>2952856</v>
      </c>
      <c r="K22" s="5" t="n">
        <v>2939264</v>
      </c>
      <c r="L22" s="5" t="n">
        <v>3021295</v>
      </c>
      <c r="M22" s="5" t="n">
        <v>2916417</v>
      </c>
      <c r="N22" s="5" t="n">
        <v>2402148</v>
      </c>
    </row>
    <row r="23">
      <c r="A23" s="5" t="inlineStr">
        <is>
          <t>Liabilities</t>
        </is>
      </c>
      <c r="B23" s="6" t="n"/>
      <c r="C23" s="6" t="n"/>
      <c r="D23" s="6" t="n"/>
      <c r="E23" s="6" t="n"/>
      <c r="F23" s="6" t="n"/>
      <c r="G23" s="6" t="n"/>
      <c r="H23" s="6" t="n"/>
      <c r="I23" s="6" t="n"/>
      <c r="J23" s="6" t="n"/>
      <c r="K23" s="6" t="n"/>
      <c r="L23" s="6" t="n"/>
      <c r="M23" s="6" t="n"/>
      <c r="N23" s="6" t="n"/>
    </row>
    <row r="24">
      <c r="A24" s="6" t="inlineStr">
        <is>
          <t>Derivatives</t>
        </is>
      </c>
      <c r="B24" s="6" t="n">
        <v>728</v>
      </c>
      <c r="C24" s="6" t="n">
        <v>1056</v>
      </c>
      <c r="D24" s="6" t="n">
        <v>46</v>
      </c>
      <c r="E24" s="6" t="n">
        <v>507</v>
      </c>
      <c r="F24" s="6" t="n">
        <v>1268</v>
      </c>
      <c r="G24" s="6" t="n">
        <v>5582</v>
      </c>
      <c r="H24" s="6" t="n">
        <v>3093</v>
      </c>
      <c r="I24" s="6" t="n">
        <v>1119</v>
      </c>
      <c r="J24" s="6" t="n">
        <v>1271</v>
      </c>
      <c r="K24" s="6" t="n">
        <v>1960</v>
      </c>
      <c r="L24" s="6" t="n">
        <v>806</v>
      </c>
      <c r="M24" s="6" t="n">
        <v>1342</v>
      </c>
      <c r="N24" s="6" t="n">
        <v>1014</v>
      </c>
    </row>
    <row r="25">
      <c r="A25" s="6" t="inlineStr">
        <is>
          <t>Deposits from banks</t>
        </is>
      </c>
      <c r="B25" s="6" t="n">
        <v>2110653</v>
      </c>
      <c r="C25" s="6" t="n">
        <v>2218623</v>
      </c>
      <c r="D25" s="6" t="n">
        <v>1960559</v>
      </c>
      <c r="E25" s="6" t="n">
        <v>2144470</v>
      </c>
      <c r="F25" s="6" t="n">
        <v>1876756</v>
      </c>
      <c r="G25" s="6" t="n">
        <v>1691853</v>
      </c>
      <c r="H25" s="6" t="n">
        <v>1836945</v>
      </c>
      <c r="I25" s="6" t="n">
        <v>3047548</v>
      </c>
      <c r="J25" s="6" t="n">
        <v>2095638</v>
      </c>
      <c r="K25" s="6" t="n">
        <v>2019036</v>
      </c>
      <c r="L25" s="6" t="n">
        <v>2107305</v>
      </c>
      <c r="M25" s="6" t="n">
        <v>1938136</v>
      </c>
      <c r="N25" s="6" t="n">
        <v>1452278</v>
      </c>
    </row>
    <row r="26">
      <c r="A26" s="6" t="inlineStr">
        <is>
          <t>Other deposits</t>
        </is>
      </c>
      <c r="B26" s="6" t="n">
        <v>828120</v>
      </c>
      <c r="C26" s="6" t="n">
        <v>758949</v>
      </c>
      <c r="D26" s="6" t="n">
        <v>699119</v>
      </c>
      <c r="E26" s="6" t="n">
        <v>737763</v>
      </c>
      <c r="F26" s="6" t="n">
        <v>604750</v>
      </c>
      <c r="G26" s="6" t="n">
        <v>549829</v>
      </c>
      <c r="H26" s="6" t="n">
        <v>674607</v>
      </c>
      <c r="I26" s="6" t="n">
        <v>585058</v>
      </c>
      <c r="J26" s="6" t="n">
        <v>555556</v>
      </c>
      <c r="K26" s="6" t="n">
        <v>622896</v>
      </c>
      <c r="L26" s="6" t="n">
        <v>627581</v>
      </c>
      <c r="M26" s="6" t="n">
        <v>686071</v>
      </c>
      <c r="N26" s="6" t="n">
        <v>674490</v>
      </c>
    </row>
    <row r="27">
      <c r="A27" s="6" t="inlineStr">
        <is>
          <t>Other liabilities, accruals and deferred income</t>
        </is>
      </c>
      <c r="B27" s="6" t="n">
        <v>29930</v>
      </c>
      <c r="C27" s="6" t="n">
        <v>29369</v>
      </c>
      <c r="D27" s="6" t="n">
        <v>33274</v>
      </c>
      <c r="E27" s="6" t="n">
        <v>27080</v>
      </c>
      <c r="F27" s="6" t="n">
        <v>17530</v>
      </c>
      <c r="G27" s="6" t="n">
        <v>25582</v>
      </c>
      <c r="H27" s="6" t="n">
        <v>14168</v>
      </c>
      <c r="I27" s="6" t="n">
        <v>16044</v>
      </c>
      <c r="J27" s="6" t="n">
        <v>10019</v>
      </c>
      <c r="K27" s="6" t="n">
        <v>7959</v>
      </c>
      <c r="L27" s="6" t="n">
        <v>10295</v>
      </c>
      <c r="M27" s="6" t="n">
        <v>24383</v>
      </c>
      <c r="N27" s="6" t="n">
        <v>16281</v>
      </c>
    </row>
    <row r="28">
      <c r="A28" s="6" t="inlineStr">
        <is>
          <t>Corporation tax payable</t>
        </is>
      </c>
      <c r="B28" s="6" t="n">
        <v>327</v>
      </c>
      <c r="C28" s="6" t="n">
        <v>810</v>
      </c>
      <c r="D28" s="6" t="n"/>
      <c r="E28" s="6" t="n"/>
      <c r="F28" s="6" t="n">
        <v>900</v>
      </c>
      <c r="G28" s="6" t="n">
        <v>794</v>
      </c>
      <c r="H28" s="6" t="n"/>
      <c r="I28" s="6" t="n"/>
      <c r="J28" s="6" t="n">
        <v>339</v>
      </c>
      <c r="K28" s="6" t="n"/>
      <c r="L28" s="6" t="n"/>
      <c r="M28" s="6" t="n"/>
      <c r="N28" s="6" t="n">
        <v>1264</v>
      </c>
    </row>
    <row r="29">
      <c r="A29" s="6" t="inlineStr">
        <is>
          <t>Deferred tax liabilities</t>
        </is>
      </c>
      <c r="B29" s="6" t="n">
        <v>1646</v>
      </c>
      <c r="C29" s="6" t="n">
        <v>2821</v>
      </c>
      <c r="D29" s="6" t="n">
        <v>1797</v>
      </c>
      <c r="E29" s="6" t="n"/>
      <c r="F29" s="6" t="n">
        <v>539</v>
      </c>
      <c r="G29" s="6" t="n">
        <v>15</v>
      </c>
      <c r="H29" s="6" t="n"/>
      <c r="I29" s="6" t="n"/>
      <c r="J29" s="6" t="n"/>
      <c r="K29" s="6" t="n"/>
      <c r="L29" s="6" t="n"/>
      <c r="M29" s="6" t="n">
        <v>1183</v>
      </c>
      <c r="N29" s="6" t="n">
        <v>179</v>
      </c>
    </row>
    <row r="30">
      <c r="A30" s="6" t="inlineStr">
        <is>
          <t>Net pension liability</t>
        </is>
      </c>
      <c r="B30" s="6" t="n"/>
      <c r="C30" s="6" t="n"/>
      <c r="D30" s="6" t="n"/>
      <c r="E30" s="6" t="n"/>
      <c r="F30" s="6" t="n"/>
      <c r="G30" s="6" t="n"/>
      <c r="H30" s="6" t="n">
        <v>741</v>
      </c>
      <c r="I30" s="6" t="n">
        <v>584</v>
      </c>
      <c r="J30" s="6" t="n">
        <v>898</v>
      </c>
      <c r="K30" s="6" t="n">
        <v>3607</v>
      </c>
      <c r="L30" s="6" t="n">
        <v>1831</v>
      </c>
      <c r="M30" s="6" t="n">
        <v>2614</v>
      </c>
      <c r="N30" s="6" t="n">
        <v>2673</v>
      </c>
    </row>
    <row r="31">
      <c r="A31" s="6" t="inlineStr">
        <is>
          <t>Subordinated liabilities</t>
        </is>
      </c>
      <c r="B31" s="6" t="n">
        <v>69006</v>
      </c>
      <c r="C31" s="6" t="n">
        <v>74226</v>
      </c>
      <c r="D31" s="6" t="n">
        <v>74554</v>
      </c>
      <c r="E31" s="6" t="n">
        <v>77659</v>
      </c>
      <c r="F31" s="6" t="n">
        <v>70514</v>
      </c>
      <c r="G31" s="6" t="n">
        <v>72036</v>
      </c>
      <c r="H31" s="6" t="n">
        <v>71870</v>
      </c>
      <c r="I31" s="6" t="n">
        <v>75321</v>
      </c>
      <c r="J31" s="6" t="n">
        <v>72302</v>
      </c>
      <c r="K31" s="6" t="n">
        <v>75413</v>
      </c>
      <c r="L31" s="6" t="n">
        <v>63307</v>
      </c>
      <c r="M31" s="6" t="n">
        <v>60519</v>
      </c>
      <c r="N31" s="6" t="n">
        <v>57141</v>
      </c>
    </row>
    <row r="32">
      <c r="A32" s="5" t="inlineStr">
        <is>
          <t>Total liabilities</t>
        </is>
      </c>
      <c r="B32" s="5" t="n">
        <v>3040410</v>
      </c>
      <c r="C32" s="5" t="n">
        <v>3085854</v>
      </c>
      <c r="D32" s="5" t="n">
        <v>2769349</v>
      </c>
      <c r="E32" s="5" t="n">
        <v>2987479</v>
      </c>
      <c r="F32" s="5" t="n">
        <v>2572257</v>
      </c>
      <c r="G32" s="5" t="n">
        <v>2345691</v>
      </c>
      <c r="H32" s="5" t="n">
        <v>2601424</v>
      </c>
      <c r="I32" s="5" t="n">
        <v>3725674</v>
      </c>
      <c r="J32" s="5" t="n">
        <v>2736023</v>
      </c>
      <c r="K32" s="5" t="n">
        <v>2730871</v>
      </c>
      <c r="L32" s="5" t="n">
        <v>2811125</v>
      </c>
      <c r="M32" s="5" t="n">
        <v>2714248</v>
      </c>
      <c r="N32" s="5" t="n">
        <v>2205320</v>
      </c>
    </row>
    <row r="33">
      <c r="A33" s="5" t="inlineStr">
        <is>
          <t>Equity</t>
        </is>
      </c>
      <c r="B33" s="6" t="n"/>
      <c r="C33" s="6" t="n"/>
      <c r="D33" s="6" t="n"/>
      <c r="E33" s="6" t="n"/>
      <c r="F33" s="6" t="n"/>
      <c r="G33" s="6" t="n"/>
      <c r="H33" s="6" t="n"/>
      <c r="I33" s="6" t="n"/>
      <c r="J33" s="6" t="n"/>
      <c r="K33" s="6" t="n"/>
      <c r="L33" s="6" t="n"/>
      <c r="M33" s="6" t="n"/>
      <c r="N33" s="6" t="n"/>
    </row>
    <row r="34">
      <c r="A34" s="6" t="inlineStr">
        <is>
          <t>Called up share capital</t>
        </is>
      </c>
      <c r="B34" s="6" t="n">
        <v>108069</v>
      </c>
      <c r="C34" s="6" t="n">
        <v>107097</v>
      </c>
      <c r="D34" s="6" t="n">
        <v>106377</v>
      </c>
      <c r="E34" s="6" t="n">
        <v>105592</v>
      </c>
      <c r="F34" s="6" t="n">
        <v>104357</v>
      </c>
      <c r="G34" s="6" t="n">
        <v>104357</v>
      </c>
      <c r="H34" s="6" t="n">
        <v>104357</v>
      </c>
      <c r="I34" s="6" t="n">
        <v>104357</v>
      </c>
      <c r="J34" s="6" t="n">
        <v>104149</v>
      </c>
      <c r="K34" s="6" t="n">
        <v>104149</v>
      </c>
      <c r="L34" s="6" t="n">
        <v>104149</v>
      </c>
      <c r="M34" s="6" t="n">
        <v>79453</v>
      </c>
      <c r="N34" s="6" t="n">
        <v>79453</v>
      </c>
    </row>
    <row r="35">
      <c r="A35" s="6" t="inlineStr">
        <is>
          <t>Capital redemption reserve</t>
        </is>
      </c>
      <c r="B35" s="6" t="n">
        <v>4104</v>
      </c>
      <c r="C35" s="6" t="n">
        <v>4104</v>
      </c>
      <c r="D35" s="6" t="n">
        <v>4104</v>
      </c>
      <c r="E35" s="6" t="n">
        <v>4104</v>
      </c>
      <c r="F35" s="6" t="n">
        <v>4104</v>
      </c>
      <c r="G35" s="6" t="n">
        <v>4104</v>
      </c>
      <c r="H35" s="6" t="n">
        <v>4104</v>
      </c>
      <c r="I35" s="6" t="n">
        <v>4104</v>
      </c>
      <c r="J35" s="6" t="n">
        <v>4104</v>
      </c>
      <c r="K35" s="6" t="n">
        <v>4104</v>
      </c>
      <c r="L35" s="6" t="n">
        <v>4104</v>
      </c>
      <c r="M35" s="6" t="n">
        <v>4104</v>
      </c>
      <c r="N35" s="6" t="n">
        <v>4104</v>
      </c>
    </row>
    <row r="36">
      <c r="A36" s="6" t="inlineStr">
        <is>
          <t>Other reserves</t>
        </is>
      </c>
      <c r="B36" s="6" t="n">
        <v>166167</v>
      </c>
      <c r="C36" s="6" t="n">
        <v>146411</v>
      </c>
      <c r="D36" s="6" t="n">
        <v>122097</v>
      </c>
      <c r="E36" s="6" t="n">
        <v>97570</v>
      </c>
      <c r="F36" s="6" t="n">
        <v>101825</v>
      </c>
      <c r="G36" s="6" t="n">
        <v>88746</v>
      </c>
      <c r="H36" s="6" t="n">
        <v>69433</v>
      </c>
      <c r="I36" s="6" t="n">
        <v>59717</v>
      </c>
      <c r="J36" s="6" t="n">
        <v>108580</v>
      </c>
      <c r="K36" s="6" t="n">
        <v>100140</v>
      </c>
      <c r="L36" s="6" t="n">
        <v>101917</v>
      </c>
      <c r="M36" s="6" t="n">
        <v>118612</v>
      </c>
      <c r="N36" s="6" t="n">
        <v>113271</v>
      </c>
    </row>
    <row r="37">
      <c r="A37" s="5" t="inlineStr">
        <is>
          <t>Total equity</t>
        </is>
      </c>
      <c r="B37" s="5" t="n">
        <v>278340</v>
      </c>
      <c r="C37" s="5" t="n">
        <v>257612</v>
      </c>
      <c r="D37" s="5" t="n">
        <v>232578</v>
      </c>
      <c r="E37" s="5" t="n">
        <v>207266</v>
      </c>
      <c r="F37" s="5" t="n">
        <v>210286</v>
      </c>
      <c r="G37" s="5" t="n">
        <v>197207</v>
      </c>
      <c r="H37" s="5" t="n">
        <v>177894</v>
      </c>
      <c r="I37" s="5" t="n">
        <v>168178</v>
      </c>
      <c r="J37" s="5" t="n">
        <v>216833</v>
      </c>
      <c r="K37" s="5" t="n">
        <v>208393</v>
      </c>
      <c r="L37" s="5" t="n">
        <v>210170</v>
      </c>
      <c r="M37" s="5" t="n">
        <v>202169</v>
      </c>
      <c r="N37" s="5" t="n">
        <v>196828</v>
      </c>
    </row>
    <row r="38">
      <c r="A38" s="5" t="inlineStr">
        <is>
          <t>Total liabilities and equity</t>
        </is>
      </c>
      <c r="B38" s="5" t="n">
        <v>3318750</v>
      </c>
      <c r="C38" s="5" t="n">
        <v>3343466</v>
      </c>
      <c r="D38" s="5" t="n">
        <v>3001927</v>
      </c>
      <c r="E38" s="5" t="n">
        <v>3194745</v>
      </c>
      <c r="F38" s="5" t="n">
        <v>2782543</v>
      </c>
      <c r="G38" s="5" t="n">
        <v>2542898</v>
      </c>
      <c r="H38" s="5" t="n">
        <v>2779318</v>
      </c>
      <c r="I38" s="5" t="n">
        <v>3893852</v>
      </c>
      <c r="J38" s="5" t="n">
        <v>2952856</v>
      </c>
      <c r="K38" s="5" t="n">
        <v>2939264</v>
      </c>
      <c r="L38" s="5" t="n">
        <v>3021295</v>
      </c>
      <c r="M38" s="5" t="n">
        <v>2916417</v>
      </c>
      <c r="N38" s="5" t="n">
        <v>2402148</v>
      </c>
    </row>
    <row r="40" ht="409" customHeight="1">
      <c r="A40" s="8" t="inlineStr">
        <is>
          <t>Sources - British Arab Commercial Bank PLC's own Statement of Comprehensive Income / Statement of Financial Position / Statement of Changes in Equity, each year from that year's own Annual Report:
FY2025: Annual Report YE2025, pp.62-64 - https://files.bacb.co.uk/production/files/BACB_AnnualReportYE2025_WEB-Final.pdf
FY2024: Annual Report YE2024, pp.56-58 - https://files.bacb.co.uk/production/files/BACB_AnnualReportYE2024_WEB-Final.pdf
FY2023: Annual Report YE2023, pp.57-59 - https://files.bacb.co.uk/production/files/BACB_AnnualReportYE2023_WEB-06.pdf
FY2022: Annual Report YE2022, pp.2.2-2.4 - https://files.bacb.co.uk/production/files/BACB_AnnualReportYE2022_WEB-1proof-10.pdf
FY2021: Annual Report YE2021, pp.2.2-2.4 - https://files.bacb.co.uk/production/files/BACB_AnnualReportYE2021-1.pdf
FY2020: Annual Report YE2020, pp.2.2-2.3 - https://files.bacb.co.uk/production/files/BACB-Annual-Report-2020.pdf
FY2019: Annual Report YE2019, pp.2.2-2.3 - https://files.bacb.co.uk/production/files/BACB_AnnualReportYE2019-print-3-opt.pdf
FY2018: Annual Report YE2018, pp.2.2-2.3 - https://files.bacb.co.uk/production/files/BACB_AnnualReportYE2018-complete-6.pdf
FY2017: Annual Report (filename says 2018, cover/profit figures confirm FY2017), pp.28-30 - https://files.bacb.co.uk/production/files/BACB_AnnualReport_online-2018-v4.pdf
FY2016: Annual Report (filename says 2017, cover confirms FY2016), pp.27-29 - https://files.bacb.co.uk/production/files/BACB_AnnualReport_online-2017.pdf
FY2015: Annual Report YE2015, pp.28-30 - https://files.bacb.co.uk/production/files/Report-Financials-2015-FINAL-18032016.pdf
FY2014: Annual Report YE2014, pp.27-29 - https://files.bacb.co.uk/production/files/Annual-Report-2014-Final.pdf
FY2013: Full accounts made up to 31 December 2013, filed with Companies House 18 Mar 2014, pp.22-24 (Statement of Comprehensive Income / Statement of Financial Position / Statement of Changes in Equity) - https://find-and-update.company-information.service.gov.uk/company/01047302/filing-history/MzA5NjQ2MjMzMmFkaXF6a2N4/document?format=pdf&amp;download=0
Each year's Balance Sheet/P&amp;L/Equity column uses that year's own originally-published Annual Report, not a later report's restated comparative (same convention as the Cash Flow Statement - see its own note). This surfaces several genuine, small restatements between vintages, all left as originally reported and flagged here rather than silently blended:
- FY2023's own report (AR2023) states Profit for the year GBP27,875k / Total comprehensive income GBP30,511k; the FY2024 report's FY2023 comparative restates these to GBP29,044k / GBP30,527k (AR2024 Note 2 states this reclassification affected both the 2023 SOCI and SOFP - not detailed further in that report).
- FY2023's own report's closing equity is Retained earnings GBP120,650k / Fair value reserve -GBP1,921k; the FY2024 report's own 1 January 2024 opening balance is GBP121,819k / -GBP3,090k for the same two lines (Total equity and Other reserves total unaffected - a GBP1,169k reclass between the two reserve lines only). Shown here as an explicit 'Reclassification between reserves (per FY2024 report)' row at FY2024's opening.
- A smaller, similar GBP42k reclass between Retained earnings and Fair value reserve exists between FY2021's own closing balance and FY2022's own opening balance (Total equity unaffected); shown the same way.
- FY2021's own report's Net operating income (GBP53,466k) and Other operating income (GBP1,519k) differ immaterially (GBP21k) from the FY2022 report's own FY2021 comparative (GBP53,487k / GBP1,540k); FY2021's own figures are used here.
- FY2021's own report's Total assets (GBP2,782,543k, incl. Net pension asset GBP5,480k and Deferred tax liabilities GBP539k) differs from the FY2022 report's own FY2021 comparative (GBP2,782,004k) by the same amount - FY2021's own figures are used here.
- Within FY2023's own equity statement, an 'Other Fair Value adjustments' GBP16k line pushes the equity statement's own Total comprehensive income for FY2023 (GBP30,527k) GBP16k above the P&amp;L's own Total comprehensive income for FY2023 (GBP30,511k) - a small internal inconsistency present in the Bank's own audited report, not introduced here.
Presentation changes: FY2025/FY2024's P&amp;L splits interest income/expense into 'calculated under the effective interest method' vs 'other method'; FY2023/FY2022/FY2021 report single combined interest income/expense lines. FY2021's P&amp;L has no 'Revaluation of property, plant &amp; equipment' OCI line (adopted from FY2022). Balance sheet: 'Deferred tax assets' appears as its own line only FY2023 (nil) and FY2022 (GBP3,561k); 'Corporation tax receivable/payable' and 'Deferred tax liabilities' lines appear inconsistently across years depending on the sign of that year's balance - left blank where a report has no equivalent line that year, not assumed zero.
FINANCIAL INVESTMENTS BREAKDOWN: the 'Financial investments - ...' sub-rows below the renamed 'Total financial investments' line are transcribed from each year's own 'Financial investments'/'Debt securities' note, which splits the balance by issuer type (government and multilateral development banks; other listed debt securities issued by banks; other listed debt securities issued by non-banks; equity shares and investment funds) and, within debt securities, by measurement basis (FVOCI/available-for-sale vs a small FVTPL/held-for-trading portion disclosed as its own line in most years):
FY2025: Annual Report YE2025, Note 17 'Financial investments', p.122 - https://files.bacb.co.uk/production/files/BACB_AnnualReportYE2025_WEB-Final.pdf</t>
        </is>
      </c>
    </row>
    <row r="42" ht="409" customHeight="1">
      <c r="A42" s="8" t="inlineStr">
        <is>
          <t>(continued)
FY2024: Annual Report YE2024, Note 17 'Financial Investments', p.115 - https://files.bacb.co.uk/production/files/BACB_AnnualReportYE2024_WEB-Final.pdf
FY2023: Annual Report YE2023, Note 17 'Financial Investments' - https://files.bacb.co.uk/production/files/BACB_AnnualReportYE2023_WEB-06.pdf
FY2022: Annual Report YE2022, Note 19 'Financial investments' - https://files.bacb.co.uk/production/files/BACB_AnnualReportYE2022_WEB-1proof-10.pdf
FY2021: Annual Report YE2021, Note 19 'Financial investments' - https://files.bacb.co.uk/production/files/BACB_AnnualReportYE2021-1.pdf
FY2020: Annual Report YE2020, Note 19 'Financial investments' - https://files.bacb.co.uk/production/files/BACB-Annual-Report-2020.pdf
FY2019: Annual Report YE2019, Note 19 'Financial investments', p.2.59 - https://files.bacb.co.uk/production/files/BACB_AnnualReportYE2019-print-3-opt.pdf
FY2018: Annual Report YE2018, Note 15 'Financial investments' - https://files.bacb.co.uk/production/files/BACB_AnnualReportYE2018-complete-6.pdf
FY2017: Annual Report (filename says 2018, cover/profit figures confirm FY2017), Note 15 'Financial investments' - https://files.bacb.co.uk/production/files/BACB_AnnualReport_online-2018-v4.pdf
FY2016: Annual Report (filename says 2017, cover confirms FY2016), Note 14 'Financial investments', p.65 - https://files.bacb.co.uk/production/files/BACB_AnnualReport_online-2017.pdf
FY2015: Annual Report YE2015, Note 14 'Financial investments', p.60 - https://files.bacb.co.uk/production/files/Report-Financials-2015-FINAL-18032016.pdf
FY2014: Annual Report YE2014, Note 14 'Financial investments', p.63 - https://files.bacb.co.uk/production/files/Annual-Report-2014-Final.pdf
FY2013: Full accounts made up to 31 December 2013, filed with Companies House 18 Mar 2014, Note 13 'Debt securities' (issuer-type split: OECD government securities/banks/non-banks/held for trading) + Note 16 'Equity shares and investments' (equity shares + investment funds) + Note 17 'Shares in Bank undertakings' (GBP0, no subsidiaries held at FY2013 year-end) - https://find-and-update.company-information.service.gov.uk/company/01047302/filing-history/MzA5NjQ2MjMzMmFkaXF6a2N4/document?format=pdf&amp;download=0
Each year's 5 sub-rows sum exactly to that year's 'Total financial investments' line (verified for every year FY2013-FY2025). No 'amortised cost' bucket exists in any year - accounting policy notes confirm the whole book is classified FVOCI/available-for-sale (IAS 39-era) or FVOCI (IFRS 9-era from FY2018), aside from the small FVTPL/held-for-trading line shown as its own sub-row. 'Debt securities designated as FVTPL / held for trading' is genuinely nil (not a gap) in FY2025/FY2024/FY2023/FY2016 - the note itself either omits the line entirely (FY2025/FY2024) or states an explicit nil (FY2023). FY2013's 'banks' sub-row is the note's 'Other listed debt securities issued by banks' figure only - a separate 'Unlisted certificates of deposit (CDs)' line in that same note is GBP0 at FY2013 year-end, so nothing is folded in or lost.</t>
        </is>
      </c>
    </row>
  </sheetData>
  <mergeCells count="2">
    <mergeCell ref="A40:N40"/>
    <mergeCell ref="A42:N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British Arab Commercial Bank PLC — Statement of Comprehensive Income</t>
        </is>
      </c>
    </row>
    <row r="2">
      <c r="A2" s="2" t="inlineStr">
        <is>
          <t>Bank entity basis (single UK entity, no subsidiaries/associates). GBP throughout, no FX conversion.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Income</t>
        </is>
      </c>
      <c r="B4" s="6" t="n"/>
      <c r="C4" s="6" t="n"/>
      <c r="D4" s="6" t="n"/>
      <c r="E4" s="6" t="n"/>
      <c r="F4" s="6" t="n"/>
      <c r="G4" s="6" t="n"/>
      <c r="H4" s="6" t="n"/>
      <c r="I4" s="6" t="n"/>
      <c r="J4" s="6" t="n"/>
      <c r="K4" s="6" t="n"/>
      <c r="L4" s="6" t="n"/>
      <c r="M4" s="6" t="n"/>
      <c r="N4" s="6" t="n"/>
    </row>
    <row r="5">
      <c r="A5" s="6" t="inlineStr">
        <is>
          <t>Interest and similar income (or: calculated under effective interest method)</t>
        </is>
      </c>
      <c r="B5" s="6" t="n">
        <v>130031</v>
      </c>
      <c r="C5" s="6" t="n">
        <v>144622</v>
      </c>
      <c r="D5" s="6" t="n">
        <v>168035</v>
      </c>
      <c r="E5" s="6" t="n">
        <v>71950</v>
      </c>
      <c r="F5" s="6" t="n">
        <v>33156</v>
      </c>
      <c r="G5" s="6" t="n">
        <v>47746</v>
      </c>
      <c r="H5" s="6" t="n">
        <v>77416</v>
      </c>
      <c r="I5" s="6" t="n">
        <v>81564</v>
      </c>
      <c r="J5" s="6" t="n">
        <v>61614</v>
      </c>
      <c r="K5" s="6" t="n">
        <v>47872</v>
      </c>
      <c r="L5" s="6" t="n">
        <v>36234</v>
      </c>
      <c r="M5" s="6" t="n">
        <v>35464</v>
      </c>
      <c r="N5" s="6" t="n">
        <v>32643</v>
      </c>
    </row>
    <row r="6">
      <c r="A6" s="6" t="inlineStr">
        <is>
          <t>Interest income calculated using other method</t>
        </is>
      </c>
      <c r="B6" s="6" t="n">
        <v>34805</v>
      </c>
      <c r="C6" s="6" t="n">
        <v>38274</v>
      </c>
      <c r="D6" s="6" t="n"/>
      <c r="E6" s="6" t="n"/>
      <c r="F6" s="6" t="n"/>
      <c r="G6" s="6" t="n"/>
      <c r="H6" s="6" t="n"/>
      <c r="I6" s="6" t="n"/>
      <c r="J6" s="6" t="n"/>
      <c r="K6" s="6" t="n"/>
      <c r="L6" s="6" t="n"/>
      <c r="M6" s="6" t="n"/>
      <c r="N6" s="6" t="n"/>
    </row>
    <row r="7">
      <c r="A7" s="6" t="inlineStr">
        <is>
          <t>Interest expense and similar charges (or: calculated under effective interest method)</t>
        </is>
      </c>
      <c r="B7" s="6" t="n">
        <v>-101087</v>
      </c>
      <c r="C7" s="6" t="n">
        <v>-112061</v>
      </c>
      <c r="D7" s="6" t="n">
        <v>-103747</v>
      </c>
      <c r="E7" s="6" t="n">
        <v>-38301</v>
      </c>
      <c r="F7" s="6" t="n">
        <v>-12248</v>
      </c>
      <c r="G7" s="6" t="n">
        <v>-24196</v>
      </c>
      <c r="H7" s="6" t="n">
        <v>-47067</v>
      </c>
      <c r="I7" s="6" t="n">
        <v>-44358</v>
      </c>
      <c r="J7" s="6" t="n">
        <v>-33196</v>
      </c>
      <c r="K7" s="6" t="n">
        <v>-25397</v>
      </c>
      <c r="L7" s="6" t="n">
        <v>-18362</v>
      </c>
      <c r="M7" s="6" t="n">
        <v>-14195</v>
      </c>
      <c r="N7" s="6" t="n">
        <v>-17379</v>
      </c>
    </row>
    <row r="8">
      <c r="A8" s="6" t="inlineStr">
        <is>
          <t>Interest expense calculated using other method</t>
        </is>
      </c>
      <c r="B8" s="6" t="n">
        <v>-325</v>
      </c>
      <c r="C8" s="6" t="n">
        <v>-192</v>
      </c>
      <c r="D8" s="6" t="n"/>
      <c r="E8" s="6" t="n"/>
      <c r="F8" s="6" t="n"/>
      <c r="G8" s="6" t="n"/>
      <c r="H8" s="6" t="n"/>
      <c r="I8" s="6" t="n"/>
      <c r="J8" s="6" t="n"/>
      <c r="K8" s="6" t="n"/>
      <c r="L8" s="6" t="n"/>
      <c r="M8" s="6" t="n"/>
      <c r="N8" s="6" t="n"/>
    </row>
    <row r="9">
      <c r="A9" s="5" t="inlineStr">
        <is>
          <t>Net interest income</t>
        </is>
      </c>
      <c r="B9" s="5" t="n">
        <v>63424</v>
      </c>
      <c r="C9" s="5" t="n">
        <v>70643</v>
      </c>
      <c r="D9" s="5" t="n">
        <v>64288</v>
      </c>
      <c r="E9" s="5" t="n">
        <v>33649</v>
      </c>
      <c r="F9" s="5" t="n">
        <v>20908</v>
      </c>
      <c r="G9" s="5" t="n">
        <v>23550</v>
      </c>
      <c r="H9" s="5" t="n">
        <v>30349</v>
      </c>
      <c r="I9" s="5" t="n">
        <v>37206</v>
      </c>
      <c r="J9" s="5" t="n">
        <v>28418</v>
      </c>
      <c r="K9" s="5" t="n">
        <v>22475</v>
      </c>
      <c r="L9" s="5" t="n">
        <v>17872</v>
      </c>
      <c r="M9" s="5" t="n">
        <v>21269</v>
      </c>
      <c r="N9" s="5" t="n">
        <v>15264</v>
      </c>
    </row>
    <row r="10">
      <c r="A10" s="6" t="inlineStr">
        <is>
          <t>Fee and commission income</t>
        </is>
      </c>
      <c r="B10" s="6" t="n">
        <v>25974</v>
      </c>
      <c r="C10" s="6" t="n">
        <v>26821</v>
      </c>
      <c r="D10" s="6" t="n">
        <v>24098</v>
      </c>
      <c r="E10" s="6" t="n">
        <v>21653</v>
      </c>
      <c r="F10" s="6" t="n">
        <v>17502</v>
      </c>
      <c r="G10" s="6" t="n">
        <v>16971</v>
      </c>
      <c r="H10" s="6" t="n">
        <v>19488</v>
      </c>
      <c r="I10" s="6" t="n">
        <v>22667</v>
      </c>
      <c r="J10" s="6" t="n">
        <v>15609</v>
      </c>
      <c r="K10" s="6" t="n">
        <v>12335</v>
      </c>
      <c r="L10" s="6" t="n">
        <v>13658</v>
      </c>
      <c r="M10" s="6" t="n">
        <v>18880</v>
      </c>
      <c r="N10" s="6" t="n">
        <v>21084</v>
      </c>
    </row>
    <row r="11">
      <c r="A11" s="6" t="inlineStr">
        <is>
          <t>Fee and commission expense</t>
        </is>
      </c>
      <c r="B11" s="6" t="n">
        <v>-7360</v>
      </c>
      <c r="C11" s="6" t="n">
        <v>-6431</v>
      </c>
      <c r="D11" s="6" t="n">
        <v>-6977</v>
      </c>
      <c r="E11" s="6" t="n">
        <v>-4035</v>
      </c>
      <c r="F11" s="6" t="n">
        <v>-1599</v>
      </c>
      <c r="G11" s="6" t="n">
        <v>-1269</v>
      </c>
      <c r="H11" s="6" t="n">
        <v>-1098</v>
      </c>
      <c r="I11" s="6" t="n">
        <v>-372</v>
      </c>
      <c r="J11" s="6" t="n">
        <v>-325</v>
      </c>
      <c r="K11" s="6" t="n">
        <v>-357</v>
      </c>
      <c r="L11" s="6" t="n">
        <v>-443</v>
      </c>
      <c r="M11" s="6" t="n">
        <v>-643</v>
      </c>
      <c r="N11" s="6" t="n">
        <v>-652</v>
      </c>
    </row>
    <row r="12">
      <c r="A12" s="5" t="inlineStr">
        <is>
          <t>Net fee and commission income</t>
        </is>
      </c>
      <c r="B12" s="5" t="n">
        <v>18614</v>
      </c>
      <c r="C12" s="5" t="n">
        <v>20390</v>
      </c>
      <c r="D12" s="5" t="n">
        <v>17121</v>
      </c>
      <c r="E12" s="5" t="n">
        <v>17618</v>
      </c>
      <c r="F12" s="5" t="n">
        <v>15903</v>
      </c>
      <c r="G12" s="5" t="n">
        <v>15702</v>
      </c>
      <c r="H12" s="5" t="n">
        <v>18390</v>
      </c>
      <c r="I12" s="5" t="n">
        <v>22295</v>
      </c>
      <c r="J12" s="5" t="n">
        <v>15284</v>
      </c>
      <c r="K12" s="5" t="n">
        <v>11978</v>
      </c>
      <c r="L12" s="5" t="n">
        <v>13215</v>
      </c>
      <c r="M12" s="5" t="n">
        <v>18237</v>
      </c>
      <c r="N12" s="5" t="n">
        <v>20432</v>
      </c>
    </row>
    <row r="13">
      <c r="A13" s="6" t="inlineStr">
        <is>
          <t>Net trading (and other) income</t>
        </is>
      </c>
      <c r="B13" s="6" t="n">
        <v>9424</v>
      </c>
      <c r="C13" s="6" t="n">
        <v>6549</v>
      </c>
      <c r="D13" s="6" t="n">
        <v>5546</v>
      </c>
      <c r="E13" s="6" t="n">
        <v>6522</v>
      </c>
      <c r="F13" s="6" t="n">
        <v>3393</v>
      </c>
      <c r="G13" s="6" t="n">
        <v>2797</v>
      </c>
      <c r="H13" s="6" t="n">
        <v>13870</v>
      </c>
      <c r="I13" s="6" t="n">
        <v>5358</v>
      </c>
      <c r="J13" s="6" t="n">
        <v>4730</v>
      </c>
      <c r="K13" s="6" t="n">
        <v>6157</v>
      </c>
      <c r="L13" s="6" t="n">
        <v>6226</v>
      </c>
      <c r="M13" s="6" t="n">
        <v>6958</v>
      </c>
      <c r="N13" s="6" t="n">
        <v>7875</v>
      </c>
    </row>
    <row r="14">
      <c r="A14" s="6" t="inlineStr">
        <is>
          <t>Other operating income/(expense)</t>
        </is>
      </c>
      <c r="B14" s="6" t="n">
        <v>1301</v>
      </c>
      <c r="C14" s="6" t="n">
        <v>1068</v>
      </c>
      <c r="D14" s="6" t="n">
        <v>901</v>
      </c>
      <c r="E14" s="6" t="n">
        <v>-356</v>
      </c>
      <c r="F14" s="6" t="n">
        <v>1519</v>
      </c>
      <c r="G14" s="6" t="n">
        <v>2742</v>
      </c>
      <c r="H14" s="6" t="n">
        <v>1415</v>
      </c>
      <c r="I14" s="6" t="n">
        <v>-23</v>
      </c>
      <c r="J14" s="6" t="n">
        <v>4964</v>
      </c>
      <c r="K14" s="6" t="n">
        <v>2129</v>
      </c>
      <c r="L14" s="6" t="n">
        <v>1197</v>
      </c>
      <c r="M14" s="6" t="n">
        <v>1612</v>
      </c>
      <c r="N14" s="6" t="n">
        <v>596</v>
      </c>
    </row>
    <row r="15">
      <c r="A15" s="5" t="inlineStr">
        <is>
          <t>Operating income before allowance for credit losses</t>
        </is>
      </c>
      <c r="B15" s="5" t="n">
        <v>92763</v>
      </c>
      <c r="C15" s="5" t="n">
        <v>98650</v>
      </c>
      <c r="D15" s="5" t="n">
        <v>87856</v>
      </c>
      <c r="E15" s="5" t="n">
        <v>57433</v>
      </c>
      <c r="F15" s="5" t="n">
        <v>41723</v>
      </c>
      <c r="G15" s="5" t="n">
        <v>44791</v>
      </c>
      <c r="H15" s="5" t="n">
        <v>64024</v>
      </c>
      <c r="I15" s="5" t="n">
        <v>64836</v>
      </c>
      <c r="J15" s="5" t="n">
        <v>53396</v>
      </c>
      <c r="K15" s="5" t="n">
        <v>42739</v>
      </c>
      <c r="L15" s="5" t="n">
        <v>38510</v>
      </c>
      <c r="M15" s="5" t="n">
        <v>48076</v>
      </c>
      <c r="N15" s="5" t="n">
        <v>44167</v>
      </c>
    </row>
    <row r="16">
      <c r="A16" s="6" t="inlineStr">
        <is>
          <t>Allowance for credit losses (pre-2018: 'Loan impairments', single net figure)</t>
        </is>
      </c>
      <c r="B16" s="6" t="n">
        <v>-2313</v>
      </c>
      <c r="C16" s="6" t="n">
        <v>-3992</v>
      </c>
      <c r="D16" s="6" t="n">
        <v>-479</v>
      </c>
      <c r="E16" s="6" t="n">
        <v>-3306</v>
      </c>
      <c r="F16" s="6" t="n">
        <v>-1245</v>
      </c>
      <c r="G16" s="6" t="n">
        <v>-6902</v>
      </c>
      <c r="H16" s="6" t="n">
        <v>-18558</v>
      </c>
      <c r="I16" s="6" t="n">
        <v>-59043</v>
      </c>
      <c r="J16" s="6" t="n">
        <v>-10131</v>
      </c>
      <c r="K16" s="6" t="n">
        <v>-7122</v>
      </c>
      <c r="L16" s="6" t="n">
        <v>-18804</v>
      </c>
      <c r="M16" s="6" t="n">
        <v>-4962</v>
      </c>
      <c r="N16" s="6" t="n">
        <v>-2482</v>
      </c>
    </row>
    <row r="17">
      <c r="A17" s="6" t="inlineStr">
        <is>
          <t>Reversal of allowances booked in previous periods</t>
        </is>
      </c>
      <c r="B17" s="6" t="n">
        <v>5554</v>
      </c>
      <c r="C17" s="6" t="n">
        <v>5633</v>
      </c>
      <c r="D17" s="6" t="n">
        <v>2623</v>
      </c>
      <c r="E17" s="6" t="n">
        <v>1825</v>
      </c>
      <c r="F17" s="6" t="n">
        <v>12441</v>
      </c>
      <c r="G17" s="6" t="n">
        <v>13754</v>
      </c>
      <c r="H17" s="6" t="n"/>
      <c r="I17" s="6" t="n"/>
      <c r="J17" s="6" t="n"/>
      <c r="K17" s="6" t="n"/>
      <c r="L17" s="6" t="n"/>
      <c r="M17" s="6" t="n"/>
      <c r="N17" s="6" t="n"/>
    </row>
    <row r="18">
      <c r="A18" s="6" t="inlineStr">
        <is>
          <t>Recoveries of amounts written off in previous periods</t>
        </is>
      </c>
      <c r="B18" s="6" t="n"/>
      <c r="C18" s="6" t="n">
        <v>0</v>
      </c>
      <c r="D18" s="6" t="n">
        <v>1</v>
      </c>
      <c r="E18" s="6" t="n">
        <v>4</v>
      </c>
      <c r="F18" s="6" t="n">
        <v>547</v>
      </c>
      <c r="G18" s="6" t="n">
        <v>1293</v>
      </c>
      <c r="H18" s="6" t="n"/>
      <c r="I18" s="6" t="n"/>
      <c r="J18" s="6" t="n"/>
      <c r="K18" s="6" t="n"/>
      <c r="L18" s="6" t="n"/>
      <c r="M18" s="6" t="n"/>
      <c r="N18" s="6" t="n"/>
    </row>
    <row r="19">
      <c r="A19" s="5" t="inlineStr">
        <is>
          <t>Net reversals/(allowances) for credit losses</t>
        </is>
      </c>
      <c r="B19" s="5" t="n">
        <v>3241</v>
      </c>
      <c r="C19" s="5" t="n">
        <v>1641</v>
      </c>
      <c r="D19" s="5" t="n">
        <v>2145</v>
      </c>
      <c r="E19" s="5" t="n">
        <v>-1477</v>
      </c>
      <c r="F19" s="5" t="n">
        <v>11743</v>
      </c>
      <c r="G19" s="5" t="n">
        <v>8145</v>
      </c>
      <c r="H19" s="5" t="n">
        <v>-18558</v>
      </c>
      <c r="I19" s="5" t="n">
        <v>-59043</v>
      </c>
      <c r="J19" s="5" t="n">
        <v>-10131</v>
      </c>
      <c r="K19" s="5" t="n">
        <v>-7122</v>
      </c>
      <c r="L19" s="5" t="n">
        <v>-18804</v>
      </c>
      <c r="M19" s="5" t="n">
        <v>-4962</v>
      </c>
      <c r="N19" s="5" t="n">
        <v>-2482</v>
      </c>
    </row>
    <row r="20">
      <c r="A20" s="5" t="inlineStr">
        <is>
          <t>Net operating income</t>
        </is>
      </c>
      <c r="B20" s="5" t="n">
        <v>96004</v>
      </c>
      <c r="C20" s="5" t="n">
        <v>100291</v>
      </c>
      <c r="D20" s="5" t="n">
        <v>90001</v>
      </c>
      <c r="E20" s="5" t="n">
        <v>55956</v>
      </c>
      <c r="F20" s="5" t="n">
        <v>53466</v>
      </c>
      <c r="G20" s="5" t="n">
        <v>52936</v>
      </c>
      <c r="H20" s="5" t="n">
        <v>45466</v>
      </c>
      <c r="I20" s="5" t="n">
        <v>5793</v>
      </c>
      <c r="J20" s="5" t="n">
        <v>43265</v>
      </c>
      <c r="K20" s="5" t="n">
        <v>35617</v>
      </c>
      <c r="L20" s="5" t="n">
        <v>19706</v>
      </c>
      <c r="M20" s="5" t="n">
        <v>43114</v>
      </c>
      <c r="N20" s="5" t="n">
        <v>41685</v>
      </c>
    </row>
    <row r="21">
      <c r="A21" s="5" t="inlineStr">
        <is>
          <t>Administrative expenses</t>
        </is>
      </c>
      <c r="B21" s="5" t="n">
        <v>-64363</v>
      </c>
      <c r="C21" s="5" t="n">
        <v>-62082</v>
      </c>
      <c r="D21" s="5" t="n">
        <v>-53594</v>
      </c>
      <c r="E21" s="5" t="n">
        <v>-42031</v>
      </c>
      <c r="F21" s="5" t="n">
        <v>-38763</v>
      </c>
      <c r="G21" s="5" t="n">
        <v>-37014</v>
      </c>
      <c r="H21" s="5" t="n">
        <v>-37388</v>
      </c>
      <c r="I21" s="5" t="n">
        <v>-38018</v>
      </c>
      <c r="J21" s="5" t="n">
        <v>-36000</v>
      </c>
      <c r="K21" s="5" t="n">
        <v>-33038</v>
      </c>
      <c r="L21" s="5" t="n">
        <v>-34777</v>
      </c>
      <c r="M21" s="5" t="n">
        <v>-37603</v>
      </c>
      <c r="N21" s="5" t="n">
        <v>-23837</v>
      </c>
    </row>
    <row r="22">
      <c r="A22" s="6" t="inlineStr">
        <is>
          <t>Regulatory charge</t>
        </is>
      </c>
      <c r="B22" s="6" t="n"/>
      <c r="C22" s="6" t="n"/>
      <c r="D22" s="6" t="n"/>
      <c r="E22" s="6" t="n"/>
      <c r="F22" s="6" t="n"/>
      <c r="G22" s="6" t="n"/>
      <c r="H22" s="6" t="n"/>
      <c r="I22" s="6" t="n">
        <v>-3141</v>
      </c>
      <c r="J22" s="6" t="n"/>
      <c r="K22" s="6" t="n"/>
      <c r="L22" s="6" t="n"/>
      <c r="M22" s="6" t="n"/>
      <c r="N22" s="6" t="n"/>
    </row>
    <row r="23">
      <c r="A23" s="5" t="inlineStr">
        <is>
          <t>Profit before income tax</t>
        </is>
      </c>
      <c r="B23" s="5" t="n">
        <v>31641</v>
      </c>
      <c r="C23" s="5" t="n">
        <v>38209</v>
      </c>
      <c r="D23" s="5" t="n">
        <v>36407</v>
      </c>
      <c r="E23" s="5" t="n">
        <v>13925</v>
      </c>
      <c r="F23" s="5" t="n">
        <v>14703</v>
      </c>
      <c r="G23" s="5" t="n">
        <v>15922</v>
      </c>
      <c r="H23" s="5" t="n">
        <v>8078</v>
      </c>
      <c r="I23" s="5" t="n">
        <v>-35366</v>
      </c>
      <c r="J23" s="5" t="n">
        <v>7265</v>
      </c>
      <c r="K23" s="5" t="n">
        <v>2579</v>
      </c>
      <c r="L23" s="5" t="n">
        <v>-15071</v>
      </c>
      <c r="M23" s="5" t="n">
        <v>5511</v>
      </c>
      <c r="N23" s="5" t="n">
        <v>17848</v>
      </c>
    </row>
    <row r="24">
      <c r="A24" s="6" t="inlineStr">
        <is>
          <t>Income tax credit/(charge)</t>
        </is>
      </c>
      <c r="B24" s="6" t="n">
        <v>-7514</v>
      </c>
      <c r="C24" s="6" t="n">
        <v>-9454</v>
      </c>
      <c r="D24" s="6" t="n">
        <v>-8532</v>
      </c>
      <c r="E24" s="6" t="n">
        <v>1175</v>
      </c>
      <c r="F24" s="6" t="n">
        <v>-1668</v>
      </c>
      <c r="G24" s="6" t="n">
        <v>-1494</v>
      </c>
      <c r="H24" s="6" t="n">
        <v>-450</v>
      </c>
      <c r="I24" s="6" t="n">
        <v>58</v>
      </c>
      <c r="J24" s="6" t="n">
        <v>-440</v>
      </c>
      <c r="K24" s="6" t="n">
        <v>140</v>
      </c>
      <c r="L24" s="6" t="n">
        <v>566</v>
      </c>
      <c r="M24" s="6" t="n">
        <v>-782</v>
      </c>
      <c r="N24" s="6" t="n">
        <v>-4081</v>
      </c>
    </row>
    <row r="25">
      <c r="A25" s="5" t="inlineStr">
        <is>
          <t>Profit for the year</t>
        </is>
      </c>
      <c r="B25" s="5" t="n">
        <v>24127</v>
      </c>
      <c r="C25" s="5" t="n">
        <v>28755</v>
      </c>
      <c r="D25" s="5" t="n">
        <v>27875</v>
      </c>
      <c r="E25" s="5" t="n">
        <v>15100</v>
      </c>
      <c r="F25" s="5" t="n">
        <v>13035</v>
      </c>
      <c r="G25" s="5" t="n">
        <v>14428</v>
      </c>
      <c r="H25" s="5" t="n">
        <v>7628</v>
      </c>
      <c r="I25" s="5" t="n">
        <v>-35308</v>
      </c>
      <c r="J25" s="5" t="n">
        <v>6825</v>
      </c>
      <c r="K25" s="5" t="n">
        <v>2719</v>
      </c>
      <c r="L25" s="5" t="n">
        <v>-14505</v>
      </c>
      <c r="M25" s="5" t="n">
        <v>4729</v>
      </c>
      <c r="N25" s="5" t="n">
        <v>13767</v>
      </c>
    </row>
    <row r="26">
      <c r="A26" s="5" t="inlineStr">
        <is>
          <t>Other comprehensive income/(expense), net of tax</t>
        </is>
      </c>
      <c r="B26" s="6" t="n"/>
      <c r="C26" s="6" t="n"/>
      <c r="D26" s="6" t="n"/>
      <c r="E26" s="6" t="n"/>
      <c r="F26" s="6" t="n"/>
      <c r="G26" s="6" t="n"/>
      <c r="H26" s="6" t="n"/>
      <c r="I26" s="6" t="n"/>
      <c r="J26" s="6" t="n"/>
      <c r="K26" s="6" t="n"/>
      <c r="L26" s="6" t="n"/>
      <c r="M26" s="6" t="n"/>
      <c r="N26" s="6" t="n"/>
    </row>
    <row r="27">
      <c r="A27" s="6" t="inlineStr">
        <is>
          <t>Remeasurement of defined benefit liability</t>
        </is>
      </c>
      <c r="B27" s="6" t="n">
        <v>-219</v>
      </c>
      <c r="C27" s="6" t="n">
        <v>-1558</v>
      </c>
      <c r="D27" s="6" t="n">
        <v>-1257</v>
      </c>
      <c r="E27" s="6" t="n">
        <v>-4161</v>
      </c>
      <c r="F27" s="6" t="n">
        <v>3231</v>
      </c>
      <c r="G27" s="6" t="n">
        <v>298</v>
      </c>
      <c r="H27" s="6" t="n">
        <v>-1633</v>
      </c>
      <c r="I27" s="6" t="n">
        <v>-1075</v>
      </c>
      <c r="J27" s="6" t="n">
        <v>1277</v>
      </c>
      <c r="K27" s="6" t="n">
        <v>-3250</v>
      </c>
      <c r="L27" s="6" t="n">
        <v>141</v>
      </c>
      <c r="M27" s="6" t="n">
        <v>-1060</v>
      </c>
      <c r="N27" s="6" t="n">
        <v>299</v>
      </c>
    </row>
    <row r="28">
      <c r="A28" s="6" t="inlineStr">
        <is>
          <t>Revaluation gain/(loss) on equity investments designated at FVOCI</t>
        </is>
      </c>
      <c r="B28" s="6" t="n">
        <v>-244</v>
      </c>
      <c r="C28" s="6" t="n">
        <v>61</v>
      </c>
      <c r="D28" s="6" t="n">
        <v>-1048</v>
      </c>
      <c r="E28" s="6" t="n">
        <v>-376</v>
      </c>
      <c r="F28" s="6" t="n">
        <v>-138</v>
      </c>
      <c r="G28" s="6" t="n">
        <v>-48</v>
      </c>
      <c r="H28" s="6" t="n">
        <v>-139</v>
      </c>
      <c r="I28" s="6" t="n">
        <v>-928</v>
      </c>
      <c r="J28" s="6" t="n"/>
      <c r="K28" s="6" t="n"/>
      <c r="L28" s="6" t="n"/>
      <c r="M28" s="6" t="n"/>
      <c r="N28" s="6" t="n"/>
    </row>
    <row r="29">
      <c r="A29" s="6" t="inlineStr">
        <is>
          <t>Disposal of equity investment designated at FVOCI</t>
        </is>
      </c>
      <c r="B29" s="6" t="n"/>
      <c r="C29" s="6" t="n">
        <v>-161</v>
      </c>
      <c r="D29" s="6" t="n"/>
      <c r="E29" s="6" t="n"/>
      <c r="F29" s="6" t="n"/>
      <c r="G29" s="6" t="n"/>
      <c r="H29" s="6" t="n"/>
      <c r="I29" s="6" t="n"/>
      <c r="J29" s="6" t="n"/>
      <c r="K29" s="6" t="n"/>
      <c r="L29" s="6" t="n"/>
      <c r="M29" s="6" t="n"/>
      <c r="N29" s="6" t="n"/>
    </row>
    <row r="30">
      <c r="A30" s="6" t="inlineStr">
        <is>
          <t>Revaluation gain/(loss) on property, plant &amp; equipment</t>
        </is>
      </c>
      <c r="B30" s="6" t="n">
        <v>871</v>
      </c>
      <c r="C30" s="6" t="n">
        <v>778</v>
      </c>
      <c r="D30" s="6" t="n">
        <v>-3359</v>
      </c>
      <c r="E30" s="6" t="n">
        <v>7851</v>
      </c>
      <c r="F30" s="6" t="n"/>
      <c r="G30" s="6" t="n"/>
      <c r="H30" s="6" t="n"/>
      <c r="I30" s="6" t="n"/>
      <c r="J30" s="6" t="n"/>
      <c r="K30" s="6" t="n"/>
      <c r="L30" s="6" t="n"/>
      <c r="M30" s="6" t="n"/>
      <c r="N30" s="6" t="n"/>
    </row>
    <row r="31">
      <c r="A31" s="6" t="inlineStr">
        <is>
          <t>Related tax (items not reclassified to P&amp;L)</t>
        </is>
      </c>
      <c r="B31" s="6" t="n">
        <v>1379</v>
      </c>
      <c r="C31" s="6" t="n">
        <v>-420</v>
      </c>
      <c r="D31" s="6" t="n">
        <v>1109</v>
      </c>
      <c r="E31" s="6" t="n">
        <v>-1153</v>
      </c>
      <c r="F31" s="6" t="n">
        <v>-588</v>
      </c>
      <c r="G31" s="6" t="n">
        <v>-34</v>
      </c>
      <c r="H31" s="6" t="n">
        <v>303</v>
      </c>
      <c r="I31" s="6" t="n">
        <v>360</v>
      </c>
      <c r="J31" s="6" t="n">
        <v>-217</v>
      </c>
      <c r="K31" s="6" t="n">
        <v>494</v>
      </c>
      <c r="L31" s="6" t="n">
        <v>-28</v>
      </c>
      <c r="M31" s="6" t="n">
        <v>-14</v>
      </c>
      <c r="N31" s="6" t="n">
        <v>-166</v>
      </c>
    </row>
    <row r="32">
      <c r="A32" s="6" t="inlineStr">
        <is>
          <t>Change in fair value for debt securities designated at FVOCI</t>
        </is>
      </c>
      <c r="B32" s="6" t="n">
        <v>786</v>
      </c>
      <c r="C32" s="6" t="n">
        <v>2662</v>
      </c>
      <c r="D32" s="6" t="n">
        <v>9036</v>
      </c>
      <c r="E32" s="6" t="n">
        <v>-14178</v>
      </c>
      <c r="F32" s="6" t="n">
        <v>-3924</v>
      </c>
      <c r="G32" s="6" t="n">
        <v>2575</v>
      </c>
      <c r="H32" s="6" t="n">
        <v>4094</v>
      </c>
      <c r="I32" s="6" t="n">
        <v>-5950</v>
      </c>
      <c r="J32" s="6" t="n"/>
      <c r="K32" s="6" t="n"/>
      <c r="L32" s="6" t="n"/>
      <c r="M32" s="6" t="n"/>
      <c r="N32" s="6" t="n"/>
    </row>
    <row r="33">
      <c r="A33" s="6" t="inlineStr">
        <is>
          <t>Other Fair value adjustments</t>
        </is>
      </c>
      <c r="B33" s="6" t="n"/>
      <c r="C33" s="6" t="n"/>
      <c r="D33" s="6" t="n">
        <v>16</v>
      </c>
      <c r="E33" s="6" t="n"/>
      <c r="F33" s="6" t="n"/>
      <c r="G33" s="6" t="n"/>
      <c r="H33" s="6" t="n"/>
      <c r="I33" s="6" t="n"/>
      <c r="J33" s="6" t="n"/>
      <c r="K33" s="6" t="n"/>
      <c r="L33" s="6" t="n"/>
      <c r="M33" s="6" t="n"/>
      <c r="N33" s="6" t="n"/>
    </row>
    <row r="34">
      <c r="A34" s="6" t="inlineStr">
        <is>
          <t>Credit loss on debt securities at FVOCI transferred to P&amp;L</t>
        </is>
      </c>
      <c r="B34" s="6" t="n">
        <v>-128</v>
      </c>
      <c r="C34" s="6" t="n">
        <v>-18</v>
      </c>
      <c r="D34" s="6" t="n">
        <v>-79</v>
      </c>
      <c r="E34" s="6" t="n">
        <v>-57</v>
      </c>
      <c r="F34" s="6" t="n">
        <v>-218</v>
      </c>
      <c r="G34" s="6" t="n">
        <v>251</v>
      </c>
      <c r="H34" s="6" t="n">
        <v>-177</v>
      </c>
      <c r="I34" s="6" t="n">
        <v>445</v>
      </c>
      <c r="J34" s="6" t="n"/>
      <c r="K34" s="6" t="n"/>
      <c r="L34" s="6" t="n"/>
      <c r="M34" s="6" t="n"/>
      <c r="N34" s="6" t="n"/>
    </row>
    <row r="35">
      <c r="A35" s="6" t="inlineStr">
        <is>
          <t>FV gains on debt securities at FVOCI transferred to income upon derecognition</t>
        </is>
      </c>
      <c r="B35" s="6" t="n">
        <v>775</v>
      </c>
      <c r="C35" s="6" t="n">
        <v>508</v>
      </c>
      <c r="D35" s="6" t="n">
        <v>397</v>
      </c>
      <c r="E35" s="6" t="n">
        <v>-646</v>
      </c>
      <c r="F35" s="6" t="n">
        <v>1130</v>
      </c>
      <c r="G35" s="6" t="n">
        <v>2117</v>
      </c>
      <c r="H35" s="6" t="n">
        <v>1156</v>
      </c>
      <c r="I35" s="6" t="n">
        <v>373</v>
      </c>
      <c r="J35" s="6" t="n"/>
      <c r="K35" s="6" t="n"/>
      <c r="L35" s="6" t="n"/>
      <c r="M35" s="6" t="n"/>
      <c r="N35" s="6" t="n"/>
    </row>
    <row r="36">
      <c r="A36" s="6" t="inlineStr">
        <is>
          <t>Related tax (items that may be reclassified to P&amp;L)</t>
        </is>
      </c>
      <c r="B36" s="6" t="n">
        <v>-391</v>
      </c>
      <c r="C36" s="6" t="n">
        <v>-793</v>
      </c>
      <c r="D36" s="6" t="n">
        <v>-2163</v>
      </c>
      <c r="E36" s="6" t="n">
        <v>3349</v>
      </c>
      <c r="F36" s="6" t="n">
        <v>551</v>
      </c>
      <c r="G36" s="6" t="n">
        <v>-274</v>
      </c>
      <c r="H36" s="6" t="n">
        <v>-1516</v>
      </c>
      <c r="I36" s="6" t="n">
        <v>1085</v>
      </c>
      <c r="J36" s="6" t="n"/>
      <c r="K36" s="6" t="n"/>
      <c r="L36" s="6" t="n"/>
      <c r="M36" s="6" t="n"/>
      <c r="N36" s="6" t="n"/>
    </row>
    <row r="37">
      <c r="A37" s="6" t="inlineStr">
        <is>
          <t>Change in fair value of available for sale financial assets (pre-2018, AFS reserve)</t>
        </is>
      </c>
      <c r="B37" s="6" t="n"/>
      <c r="C37" s="6" t="n"/>
      <c r="D37" s="6" t="n"/>
      <c r="E37" s="6" t="n"/>
      <c r="F37" s="6" t="n"/>
      <c r="G37" s="6" t="n"/>
      <c r="H37" s="6" t="n"/>
      <c r="I37" s="6" t="n"/>
      <c r="J37" s="6" t="n">
        <v>5137</v>
      </c>
      <c r="K37" s="6" t="n">
        <v>3522</v>
      </c>
      <c r="L37" s="6" t="n">
        <v>-3571</v>
      </c>
      <c r="M37" s="6" t="n">
        <v>-358</v>
      </c>
      <c r="N37" s="6" t="n">
        <v>976</v>
      </c>
    </row>
    <row r="38">
      <c r="A38" s="6" t="inlineStr">
        <is>
          <t>Fair value (losses)/gains on AFS assets transferred to income (pre-2018, AFS reserve)</t>
        </is>
      </c>
      <c r="B38" s="6" t="n"/>
      <c r="C38" s="6" t="n"/>
      <c r="D38" s="6" t="n"/>
      <c r="E38" s="6" t="n"/>
      <c r="F38" s="6" t="n"/>
      <c r="G38" s="6" t="n"/>
      <c r="H38" s="6" t="n"/>
      <c r="I38" s="6" t="n"/>
      <c r="J38" s="6" t="n">
        <v>-4587</v>
      </c>
      <c r="K38" s="6" t="n">
        <v>-5279</v>
      </c>
      <c r="L38" s="6" t="n">
        <v>690</v>
      </c>
      <c r="M38" s="6" t="n">
        <v>2461</v>
      </c>
      <c r="N38" s="6" t="n">
        <v>-588</v>
      </c>
    </row>
    <row r="39">
      <c r="A39" s="6" t="inlineStr">
        <is>
          <t>Related tax (pre-2018, AFS reserve items)</t>
        </is>
      </c>
      <c r="B39" s="6" t="n"/>
      <c r="C39" s="6" t="n"/>
      <c r="D39" s="6" t="n"/>
      <c r="E39" s="6" t="n"/>
      <c r="F39" s="6" t="n"/>
      <c r="G39" s="6" t="n"/>
      <c r="H39" s="6" t="n"/>
      <c r="I39" s="6" t="n"/>
      <c r="J39" s="6" t="n">
        <v>5</v>
      </c>
      <c r="K39" s="6" t="n">
        <v>17</v>
      </c>
      <c r="L39" s="6" t="n">
        <v>578</v>
      </c>
      <c r="M39" s="6" t="n">
        <v>-417</v>
      </c>
      <c r="N39" s="6" t="n">
        <v>-30</v>
      </c>
    </row>
    <row r="40">
      <c r="A40" s="5" t="inlineStr">
        <is>
          <t>Other comprehensive income/(expense) for the year, net of tax</t>
        </is>
      </c>
      <c r="B40" s="5" t="n">
        <v>2829</v>
      </c>
      <c r="C40" s="5" t="n">
        <v>1059</v>
      </c>
      <c r="D40" s="5" t="n">
        <v>2636</v>
      </c>
      <c r="E40" s="5" t="n">
        <v>-9371</v>
      </c>
      <c r="F40" s="5" t="n">
        <v>44</v>
      </c>
      <c r="G40" s="5" t="n">
        <v>4885</v>
      </c>
      <c r="H40" s="5" t="n">
        <v>2088</v>
      </c>
      <c r="I40" s="5" t="n">
        <v>-5690</v>
      </c>
      <c r="J40" s="5" t="n">
        <v>1615</v>
      </c>
      <c r="K40" s="5" t="n">
        <v>-4496</v>
      </c>
      <c r="L40" s="5" t="n">
        <v>-2190</v>
      </c>
      <c r="M40" s="5" t="n">
        <v>612</v>
      </c>
      <c r="N40" s="5" t="n">
        <v>491</v>
      </c>
    </row>
    <row r="41">
      <c r="A41" s="5" t="inlineStr">
        <is>
          <t>Total comprehensive income for the year</t>
        </is>
      </c>
      <c r="B41" s="5" t="n">
        <v>26956</v>
      </c>
      <c r="C41" s="5" t="n">
        <v>29814</v>
      </c>
      <c r="D41" s="5" t="n">
        <v>30511</v>
      </c>
      <c r="E41" s="5" t="n">
        <v>5729</v>
      </c>
      <c r="F41" s="5" t="n">
        <v>13079</v>
      </c>
      <c r="G41" s="5" t="n">
        <v>19313</v>
      </c>
      <c r="H41" s="5" t="n">
        <v>9716</v>
      </c>
      <c r="I41" s="5" t="n">
        <v>-40998</v>
      </c>
      <c r="J41" s="5" t="n">
        <v>8440</v>
      </c>
      <c r="K41" s="5" t="n">
        <v>-1777</v>
      </c>
      <c r="L41" s="5" t="n">
        <v>-16695</v>
      </c>
      <c r="M41" s="5" t="n">
        <v>5341</v>
      </c>
      <c r="N41" s="5" t="n">
        <v>14258</v>
      </c>
    </row>
    <row r="43" ht="409" customHeight="1">
      <c r="A43" s="8" t="inlineStr">
        <is>
          <t>Sources - British Arab Commercial Bank PLC's own Statement of Comprehensive Income / Statement of Financial Position / Statement of Changes in Equity, each year from that year's own Annual Report:
FY2025: Annual Report YE2025, pp.62-64 - https://files.bacb.co.uk/production/files/BACB_AnnualReportYE2025_WEB-Final.pdf
FY2024: Annual Report YE2024, pp.56-58 - https://files.bacb.co.uk/production/files/BACB_AnnualReportYE2024_WEB-Final.pdf
FY2023: Annual Report YE2023, pp.57-59 - https://files.bacb.co.uk/production/files/BACB_AnnualReportYE2023_WEB-06.pdf
FY2022: Annual Report YE2022, pp.2.2-2.4 - https://files.bacb.co.uk/production/files/BACB_AnnualReportYE2022_WEB-1proof-10.pdf
FY2021: Annual Report YE2021, pp.2.2-2.4 - https://files.bacb.co.uk/production/files/BACB_AnnualReportYE2021-1.pdf
FY2020: Annual Report YE2020, pp.2.2-2.3 - https://files.bacb.co.uk/production/files/BACB-Annual-Report-2020.pdf
FY2019: Annual Report YE2019, pp.2.2-2.3 - https://files.bacb.co.uk/production/files/BACB_AnnualReportYE2019-print-3-opt.pdf
FY2018: Annual Report YE2018, pp.2.2-2.3 - https://files.bacb.co.uk/production/files/BACB_AnnualReportYE2018-complete-6.pdf
FY2017: Annual Report (filename says 2018, cover/profit figures confirm FY2017), pp.28-30 - https://files.bacb.co.uk/production/files/BACB_AnnualReport_online-2018-v4.pdf
FY2016: Annual Report (filename says 2017, cover confirms FY2016), pp.27-29 - https://files.bacb.co.uk/production/files/BACB_AnnualReport_online-2017.pdf
FY2015: Annual Report YE2015, pp.28-30 - https://files.bacb.co.uk/production/files/Report-Financials-2015-FINAL-18032016.pdf
FY2014: Annual Report YE2014, pp.27-29 - https://files.bacb.co.uk/production/files/Annual-Report-2014-Final.pdf
FY2013: Full accounts made up to 31 December 2013, filed with Companies House 18 Mar 2014, pp.22-24 (Statement of Comprehensive Income / Statement of Financial Position / Statement of Changes in Equity) - https://find-and-update.company-information.service.gov.uk/company/01047302/filing-history/MzA5NjQ2MjMzMmFkaXF6a2N4/document?format=pdf&amp;download=0
Each year's Balance Sheet/P&amp;L/Equity column uses that year's own originally-published Annual Report, not a later report's restated comparative (same convention as the Cash Flow Statement - see its own note). This surfaces several genuine, small restatements between vintages, all left as originally reported and flagged here rather than silently blended:
- FY2023's own report (AR2023) states Profit for the year GBP27,875k / Total comprehensive income GBP30,511k; the FY2024 report's FY2023 comparative restates these to GBP29,044k / GBP30,527k (AR2024 Note 2 states this reclassification affected both the 2023 SOCI and SOFP - not detailed further in that report).
- FY2023's own report's closing equity is Retained earnings GBP120,650k / Fair value reserve -GBP1,921k; the FY2024 report's own 1 January 2024 opening balance is GBP121,819k / -GBP3,090k for the same two lines (Total equity and Other reserves total unaffected - a GBP1,169k reclass between the two reserve lines only). Shown here as an explicit 'Reclassification between reserves (per FY2024 report)' row at FY2024's opening.
- A smaller, similar GBP42k reclass between Retained earnings and Fair value reserve exists between FY2021's own closing balance and FY2022's own opening balance (Total equity unaffected); shown the same way.
- FY2021's own report's Net operating income (GBP53,466k) and Other operating income (GBP1,519k) differ immaterially (GBP21k) from the FY2022 report's own FY2021 comparative (GBP53,487k / GBP1,540k); FY2021's own figures are used here.
- FY2021's own report's Total assets (GBP2,782,543k, incl. Net pension asset GBP5,480k and Deferred tax liabilities GBP539k) differs from the FY2022 report's own FY2021 comparative (GBP2,782,004k) by the same amount - FY2021's own figures are used here.
- Within FY2023's own equity statement, an 'Other Fair Value adjustments' GBP16k line pushes the equity statement's own Total comprehensive income for FY2023 (GBP30,527k) GBP16k above the P&amp;L's own Total comprehensive income for FY2023 (GBP30,511k) - a small internal inconsistency present in the Bank's own audited report, not introduced here.
Presentation changes: FY2025/FY2024's P&amp;L splits interest income/expense into 'calculated under the effective interest method' vs 'other method'; FY2023/FY2022/FY2021 report single combined interest income/expense lines. FY2021's P&amp;L has no 'Revaluation of property, plant &amp; equipment' OCI line (adopted from FY2022). Balance sheet: 'Deferred tax assets' appears as its own line only FY2023 (nil) and FY2022 (GBP3,561k); 'Corporation tax receivable/payable' and 'Deferred tax liabilities' lines appear inconsistently across years depending on the sign of that year's balance - left blank where a report has no equivalent line that year, not assumed zero.
FINANCIAL INVESTMENTS BREAKDOWN: the 'Financial investments - ...' sub-rows below the renamed 'Total financial investments' line are transcribed from each year's own 'Financial investments'/'Debt securities' note, which splits the balance by issuer type (government and multilateral development banks; other listed debt securities issued by banks; other listed debt securities issued by non-banks; equity shares and investment funds) and, within debt securities, by measurement basis (FVOCI/available-for-sale vs a small FVTPL/held-for-trading portion disclosed as its own line in most years):
FY2025: Annual Report YE2025, Note 17 'Financial investments', p.122 - https://files.bacb.co.uk/production/files/BACB_AnnualReportYE2025_WEB-Final.pdf</t>
        </is>
      </c>
    </row>
    <row r="45" ht="409" customHeight="1">
      <c r="A45" s="8" t="inlineStr">
        <is>
          <t>(continued)
FY2024: Annual Report YE2024, Note 17 'Financial Investments', p.115 - https://files.bacb.co.uk/production/files/BACB_AnnualReportYE2024_WEB-Final.pdf
FY2023: Annual Report YE2023, Note 17 'Financial Investments' - https://files.bacb.co.uk/production/files/BACB_AnnualReportYE2023_WEB-06.pdf
FY2022: Annual Report YE2022, Note 19 'Financial investments' - https://files.bacb.co.uk/production/files/BACB_AnnualReportYE2022_WEB-1proof-10.pdf
FY2021: Annual Report YE2021, Note 19 'Financial investments' - https://files.bacb.co.uk/production/files/BACB_AnnualReportYE2021-1.pdf
FY2020: Annual Report YE2020, Note 19 'Financial investments' - https://files.bacb.co.uk/production/files/BACB-Annual-Report-2020.pdf
FY2019: Annual Report YE2019, Note 19 'Financial investments', p.2.59 - https://files.bacb.co.uk/production/files/BACB_AnnualReportYE2019-print-3-opt.pdf
FY2018: Annual Report YE2018, Note 15 'Financial investments' - https://files.bacb.co.uk/production/files/BACB_AnnualReportYE2018-complete-6.pdf
FY2017: Annual Report (filename says 2018, cover/profit figures confirm FY2017), Note 15 'Financial investments' - https://files.bacb.co.uk/production/files/BACB_AnnualReport_online-2018-v4.pdf
FY2016: Annual Report (filename says 2017, cover confirms FY2016), Note 14 'Financial investments', p.65 - https://files.bacb.co.uk/production/files/BACB_AnnualReport_online-2017.pdf
FY2015: Annual Report YE2015, Note 14 'Financial investments', p.60 - https://files.bacb.co.uk/production/files/Report-Financials-2015-FINAL-18032016.pdf
FY2014: Annual Report YE2014, Note 14 'Financial investments', p.63 - https://files.bacb.co.uk/production/files/Annual-Report-2014-Final.pdf
FY2013: Full accounts made up to 31 December 2013, filed with Companies House 18 Mar 2014, Note 13 'Debt securities' (issuer-type split: OECD government securities/banks/non-banks/held for trading) + Note 16 'Equity shares and investments' (equity shares + investment funds) + Note 17 'Shares in Bank undertakings' (GBP0, no subsidiaries held at FY2013 year-end) - https://find-and-update.company-information.service.gov.uk/company/01047302/filing-history/MzA5NjQ2MjMzMmFkaXF6a2N4/document?format=pdf&amp;download=0
Each year's 5 sub-rows sum exactly to that year's 'Total financial investments' line (verified for every year FY2013-FY2025). No 'amortised cost' bucket exists in any year - accounting policy notes confirm the whole book is classified FVOCI/available-for-sale (IAS 39-era) or FVOCI (IFRS 9-era from FY2018), aside from the small FVTPL/held-for-trading line shown as its own sub-row. 'Debt securities designated as FVTPL / held for trading' is genuinely nil (not a gap) in FY2025/FY2024/FY2023/FY2016 - the note itself either omits the line entirely (FY2025/FY2024) or states an explicit nil (FY2023). FY2013's 'banks' sub-row is the note's 'Other listed debt securities issued by banks' figure only - a separate 'Unlisted certificates of deposit (CDs)' line in that same note is GBP0 at FY2013 year-end, so nothing is folded in or lost.</t>
        </is>
      </c>
    </row>
  </sheetData>
  <mergeCells count="2">
    <mergeCell ref="A45:N45"/>
    <mergeCell ref="A43:N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British Arab Commercial Bank PLC — Statement of Changes in Equity</t>
        </is>
      </c>
    </row>
    <row r="2">
      <c r="A2" s="2" t="inlineStr">
        <is>
          <t>Bank entity basis, £'000. Chronological roll-forward, oldest to newest. GBP throughout, no FX conversion.</t>
        </is>
      </c>
    </row>
    <row r="3">
      <c r="A3" s="4" t="inlineStr">
        <is>
          <t>Movement</t>
        </is>
      </c>
      <c r="B3" s="4" t="inlineStr">
        <is>
          <t>Share capital</t>
        </is>
      </c>
      <c r="C3" s="4" t="inlineStr">
        <is>
          <t>Capital redemption reserve</t>
        </is>
      </c>
      <c r="D3" s="4" t="inlineStr">
        <is>
          <t>Retained earnings</t>
        </is>
      </c>
      <c r="E3" s="4" t="inlineStr">
        <is>
          <t>Revaluation reserve</t>
        </is>
      </c>
      <c r="F3" s="4" t="inlineStr">
        <is>
          <t>Fair Value reserve</t>
        </is>
      </c>
      <c r="G3" s="4" t="inlineStr">
        <is>
          <t>Total equity</t>
        </is>
      </c>
    </row>
    <row r="4">
      <c r="A4" s="5" t="inlineStr">
        <is>
          <t>Balance at 31 December 2012 (per FY2013's own report)</t>
        </is>
      </c>
      <c r="B4" s="5" t="n">
        <v>79453</v>
      </c>
      <c r="C4" s="5" t="n">
        <v>4104</v>
      </c>
      <c r="D4" s="5" t="n">
        <v>103050</v>
      </c>
      <c r="E4" s="5" t="n"/>
      <c r="F4" s="5" t="n">
        <v>3163</v>
      </c>
      <c r="G4" s="5" t="n">
        <v>189770</v>
      </c>
    </row>
    <row r="5">
      <c r="A5" s="6" t="inlineStr">
        <is>
          <t>Profit for the year (FY2013)</t>
        </is>
      </c>
      <c r="B5" s="6" t="n"/>
      <c r="C5" s="6" t="n"/>
      <c r="D5" s="6" t="n">
        <v>13767</v>
      </c>
      <c r="E5" s="6" t="n"/>
      <c r="F5" s="6" t="n"/>
      <c r="G5" s="6" t="n">
        <v>13767</v>
      </c>
    </row>
    <row r="6">
      <c r="A6" s="6" t="inlineStr">
        <is>
          <t>Other comprehensive income (FY2013)</t>
        </is>
      </c>
      <c r="B6" s="6" t="n"/>
      <c r="C6" s="6" t="n"/>
      <c r="D6" s="6" t="n">
        <v>133</v>
      </c>
      <c r="E6" s="6" t="n"/>
      <c r="F6" s="6" t="n">
        <v>358</v>
      </c>
      <c r="G6" s="6" t="n">
        <v>491</v>
      </c>
    </row>
    <row r="7">
      <c r="A7" s="6" t="inlineStr">
        <is>
          <t>Dividend relating to 2012, paid in FY2013</t>
        </is>
      </c>
      <c r="B7" s="6" t="n"/>
      <c r="C7" s="6" t="n"/>
      <c r="D7" s="6" t="n">
        <v>-7200</v>
      </c>
      <c r="E7" s="6" t="n"/>
      <c r="F7" s="6" t="n"/>
      <c r="G7" s="6" t="n">
        <v>-7200</v>
      </c>
    </row>
    <row r="8">
      <c r="A8" s="5" t="inlineStr">
        <is>
          <t>Balance at 1 January 2014 (= 31 December 2013, per FY2014's own report)</t>
        </is>
      </c>
      <c r="B8" s="5" t="n">
        <v>79453</v>
      </c>
      <c r="C8" s="5" t="n">
        <v>4104</v>
      </c>
      <c r="D8" s="5" t="n">
        <v>109750</v>
      </c>
      <c r="E8" s="5" t="n"/>
      <c r="F8" s="5" t="n">
        <v>3521</v>
      </c>
      <c r="G8" s="5" t="n">
        <v>196828</v>
      </c>
    </row>
    <row r="9">
      <c r="A9" s="6" t="inlineStr">
        <is>
          <t>Profit for the year (FY2014)</t>
        </is>
      </c>
      <c r="B9" s="6" t="n"/>
      <c r="C9" s="6" t="n"/>
      <c r="D9" s="6" t="n">
        <v>4729</v>
      </c>
      <c r="E9" s="6" t="n"/>
      <c r="F9" s="6" t="n"/>
      <c r="G9" s="6" t="n">
        <v>4729</v>
      </c>
    </row>
    <row r="10">
      <c r="A10" s="6" t="inlineStr">
        <is>
          <t>Other comprehensive income/(expense) (FY2014)</t>
        </is>
      </c>
      <c r="B10" s="6" t="n"/>
      <c r="C10" s="6" t="n"/>
      <c r="D10" s="6" t="n">
        <v>-1074</v>
      </c>
      <c r="E10" s="6" t="n"/>
      <c r="F10" s="6" t="n">
        <v>1686</v>
      </c>
      <c r="G10" s="6" t="n">
        <v>612</v>
      </c>
    </row>
    <row r="11">
      <c r="A11" s="5" t="inlineStr">
        <is>
          <t>Balance at 31 December 2014</t>
        </is>
      </c>
      <c r="B11" s="5" t="n">
        <v>79453</v>
      </c>
      <c r="C11" s="5" t="n">
        <v>4104</v>
      </c>
      <c r="D11" s="5" t="n">
        <v>113405</v>
      </c>
      <c r="E11" s="5" t="n"/>
      <c r="F11" s="5" t="n">
        <v>5207</v>
      </c>
      <c r="G11" s="5" t="n">
        <v>202169</v>
      </c>
    </row>
    <row r="12">
      <c r="A12" s="6" t="inlineStr">
        <is>
          <t>Loss for the year (FY2015)</t>
        </is>
      </c>
      <c r="B12" s="6" t="n"/>
      <c r="C12" s="6" t="n"/>
      <c r="D12" s="6" t="n">
        <v>-14505</v>
      </c>
      <c r="E12" s="6" t="n"/>
      <c r="F12" s="6" t="n"/>
      <c r="G12" s="6" t="n">
        <v>-14505</v>
      </c>
    </row>
    <row r="13">
      <c r="A13" s="6" t="inlineStr">
        <is>
          <t>Other comprehensive income/(expense) (FY2015)</t>
        </is>
      </c>
      <c r="B13" s="6" t="n"/>
      <c r="C13" s="6" t="n"/>
      <c r="D13" s="6" t="n">
        <v>113</v>
      </c>
      <c r="E13" s="6" t="n"/>
      <c r="F13" s="6" t="n">
        <v>-2303</v>
      </c>
      <c r="G13" s="6" t="n">
        <v>-2190</v>
      </c>
    </row>
    <row r="14">
      <c r="A14" s="6" t="inlineStr">
        <is>
          <t>Issue of ordinary shares (FY2015)</t>
        </is>
      </c>
      <c r="B14" s="6" t="n">
        <v>24696</v>
      </c>
      <c r="C14" s="6" t="n"/>
      <c r="D14" s="6" t="n"/>
      <c r="E14" s="6" t="n"/>
      <c r="F14" s="6" t="n"/>
      <c r="G14" s="6" t="n">
        <v>24696</v>
      </c>
    </row>
    <row r="15">
      <c r="A15" s="5" t="inlineStr">
        <is>
          <t>Balance at 31 December 2015</t>
        </is>
      </c>
      <c r="B15" s="5" t="n">
        <v>104149</v>
      </c>
      <c r="C15" s="5" t="n">
        <v>4104</v>
      </c>
      <c r="D15" s="5" t="n">
        <v>99013</v>
      </c>
      <c r="E15" s="5" t="n"/>
      <c r="F15" s="5" t="n">
        <v>2904</v>
      </c>
      <c r="G15" s="5" t="n">
        <v>210170</v>
      </c>
    </row>
    <row r="16">
      <c r="A16" s="6" t="inlineStr">
        <is>
          <t>Profit for the year (FY2016)</t>
        </is>
      </c>
      <c r="B16" s="6" t="n"/>
      <c r="C16" s="6" t="n"/>
      <c r="D16" s="6" t="n">
        <v>2719</v>
      </c>
      <c r="E16" s="6" t="n"/>
      <c r="F16" s="6" t="n"/>
      <c r="G16" s="6" t="n">
        <v>2719</v>
      </c>
    </row>
    <row r="17">
      <c r="A17" s="6" t="inlineStr">
        <is>
          <t>Other comprehensive (loss) (FY2016)</t>
        </is>
      </c>
      <c r="B17" s="6" t="n"/>
      <c r="C17" s="6" t="n"/>
      <c r="D17" s="6" t="n">
        <v>-2756</v>
      </c>
      <c r="E17" s="6" t="n"/>
      <c r="F17" s="6" t="n">
        <v>-1740</v>
      </c>
      <c r="G17" s="6" t="n">
        <v>-4496</v>
      </c>
    </row>
    <row r="18">
      <c r="A18" s="5" t="inlineStr">
        <is>
          <t>Balance at 31 December 2016</t>
        </is>
      </c>
      <c r="B18" s="5" t="n">
        <v>104149</v>
      </c>
      <c r="C18" s="5" t="n">
        <v>4104</v>
      </c>
      <c r="D18" s="5" t="n">
        <v>98976</v>
      </c>
      <c r="E18" s="5" t="n"/>
      <c r="F18" s="5" t="n">
        <v>1164</v>
      </c>
      <c r="G18" s="5" t="n">
        <v>208393</v>
      </c>
    </row>
    <row r="19">
      <c r="A19" s="6" t="inlineStr">
        <is>
          <t>Profit for the year (FY2017)</t>
        </is>
      </c>
      <c r="B19" s="6" t="n"/>
      <c r="C19" s="6" t="n"/>
      <c r="D19" s="6" t="n">
        <v>6825</v>
      </c>
      <c r="E19" s="6" t="n"/>
      <c r="F19" s="6" t="n"/>
      <c r="G19" s="6" t="n">
        <v>6825</v>
      </c>
    </row>
    <row r="20">
      <c r="A20" s="6" t="inlineStr">
        <is>
          <t>Other comprehensive income (FY2017)</t>
        </is>
      </c>
      <c r="B20" s="6" t="n"/>
      <c r="C20" s="6" t="n"/>
      <c r="D20" s="6" t="n">
        <v>1060</v>
      </c>
      <c r="E20" s="6" t="n"/>
      <c r="F20" s="6" t="n">
        <v>555</v>
      </c>
      <c r="G20" s="6" t="n">
        <v>1615</v>
      </c>
    </row>
    <row r="21">
      <c r="A21" s="5" t="inlineStr">
        <is>
          <t>Balance at 31 December 2017</t>
        </is>
      </c>
      <c r="B21" s="5" t="n">
        <v>104149</v>
      </c>
      <c r="C21" s="5" t="n">
        <v>4104</v>
      </c>
      <c r="D21" s="5" t="n">
        <v>106861</v>
      </c>
      <c r="E21" s="5" t="n"/>
      <c r="F21" s="5" t="n">
        <v>1719</v>
      </c>
      <c r="G21" s="5" t="n">
        <v>216833</v>
      </c>
    </row>
    <row r="22">
      <c r="A22" s="6" t="inlineStr">
        <is>
          <t>IFRS 9 initial application - impairment adjustment (1 Jan 2018)</t>
        </is>
      </c>
      <c r="B22" s="6" t="n"/>
      <c r="C22" s="6" t="n"/>
      <c r="D22" s="6" t="n">
        <v>-7447</v>
      </c>
      <c r="E22" s="6" t="n"/>
      <c r="F22" s="6" t="n"/>
      <c r="G22" s="6" t="n">
        <v>-7447</v>
      </c>
    </row>
    <row r="23">
      <c r="A23" s="6" t="inlineStr">
        <is>
          <t>IFRS 9 initial application - DTA impact (1 Jan 2018)</t>
        </is>
      </c>
      <c r="B23" s="6" t="n"/>
      <c r="C23" s="6" t="n"/>
      <c r="D23" s="6" t="n">
        <v>1288</v>
      </c>
      <c r="E23" s="6" t="n"/>
      <c r="F23" s="6" t="n"/>
      <c r="G23" s="6" t="n">
        <v>1288</v>
      </c>
    </row>
    <row r="24">
      <c r="A24" s="5" t="inlineStr">
        <is>
          <t>Restated balance at 1 January 2018</t>
        </is>
      </c>
      <c r="B24" s="5" t="n">
        <v>104149</v>
      </c>
      <c r="C24" s="5" t="n">
        <v>4104</v>
      </c>
      <c r="D24" s="5" t="n">
        <v>100702</v>
      </c>
      <c r="E24" s="5" t="n"/>
      <c r="F24" s="5" t="n">
        <v>1719</v>
      </c>
      <c r="G24" s="5" t="n">
        <v>210674</v>
      </c>
    </row>
    <row r="25">
      <c r="A25" s="6" t="inlineStr">
        <is>
          <t>Loss for the year (FY2018)</t>
        </is>
      </c>
      <c r="B25" s="6" t="n"/>
      <c r="C25" s="6" t="n"/>
      <c r="D25" s="6" t="n">
        <v>-35308</v>
      </c>
      <c r="E25" s="6" t="n"/>
      <c r="F25" s="6" t="n"/>
      <c r="G25" s="6" t="n">
        <v>-35308</v>
      </c>
    </row>
    <row r="26">
      <c r="A26" s="6" t="inlineStr">
        <is>
          <t>Other comprehensive income/(expense) (FY2018)</t>
        </is>
      </c>
      <c r="B26" s="6" t="n"/>
      <c r="C26" s="6" t="n"/>
      <c r="D26" s="6" t="n">
        <v>-892</v>
      </c>
      <c r="E26" s="6" t="n"/>
      <c r="F26" s="6" t="n">
        <v>-4798</v>
      </c>
      <c r="G26" s="6" t="n">
        <v>-5690</v>
      </c>
    </row>
    <row r="27">
      <c r="A27" s="6" t="inlineStr">
        <is>
          <t>Issue of ordinary shares (FY2018)</t>
        </is>
      </c>
      <c r="B27" s="6" t="n">
        <v>208</v>
      </c>
      <c r="C27" s="6" t="n"/>
      <c r="D27" s="6" t="n">
        <v>-208</v>
      </c>
      <c r="E27" s="6" t="n"/>
      <c r="F27" s="6" t="n"/>
      <c r="G27" s="6" t="n">
        <v>0</v>
      </c>
    </row>
    <row r="28">
      <c r="A28" s="6" t="inlineStr">
        <is>
          <t>Dividends (FY2018)</t>
        </is>
      </c>
      <c r="B28" s="6" t="n"/>
      <c r="C28" s="6" t="n"/>
      <c r="D28" s="6" t="n">
        <v>-1498</v>
      </c>
      <c r="E28" s="6" t="n"/>
      <c r="F28" s="6" t="n"/>
      <c r="G28" s="6" t="n">
        <v>-1498</v>
      </c>
    </row>
    <row r="29">
      <c r="A29" s="5" t="inlineStr">
        <is>
          <t>Balance at 31 December 2018</t>
        </is>
      </c>
      <c r="B29" s="5" t="n">
        <v>104357</v>
      </c>
      <c r="C29" s="5" t="n">
        <v>4104</v>
      </c>
      <c r="D29" s="5" t="n">
        <v>62796</v>
      </c>
      <c r="E29" s="5" t="n"/>
      <c r="F29" s="5" t="n">
        <v>-3079</v>
      </c>
      <c r="G29" s="5" t="n">
        <v>168178</v>
      </c>
    </row>
    <row r="30">
      <c r="A30" s="6" t="inlineStr">
        <is>
          <t>Profit for the year (FY2019)</t>
        </is>
      </c>
      <c r="B30" s="6" t="n"/>
      <c r="C30" s="6" t="n"/>
      <c r="D30" s="6" t="n">
        <v>7628</v>
      </c>
      <c r="E30" s="6" t="n"/>
      <c r="F30" s="6" t="n"/>
      <c r="G30" s="6" t="n">
        <v>7628</v>
      </c>
    </row>
    <row r="31">
      <c r="A31" s="6" t="inlineStr">
        <is>
          <t>Other comprehensive (loss)/income (FY2019)</t>
        </is>
      </c>
      <c r="B31" s="6" t="n"/>
      <c r="C31" s="6" t="n"/>
      <c r="D31" s="6" t="n">
        <v>-1355</v>
      </c>
      <c r="E31" s="6" t="n"/>
      <c r="F31" s="6" t="n">
        <v>3443</v>
      </c>
      <c r="G31" s="6" t="n">
        <v>2088</v>
      </c>
    </row>
    <row r="32">
      <c r="A32" s="5" t="inlineStr">
        <is>
          <t>Balance at 31 December 2019</t>
        </is>
      </c>
      <c r="B32" s="5" t="n">
        <v>104357</v>
      </c>
      <c r="C32" s="5" t="n">
        <v>4104</v>
      </c>
      <c r="D32" s="5" t="n">
        <v>69069</v>
      </c>
      <c r="E32" s="5" t="n"/>
      <c r="F32" s="5" t="n">
        <v>364</v>
      </c>
      <c r="G32" s="5" t="n">
        <v>177894</v>
      </c>
    </row>
    <row r="33">
      <c r="A33" s="6" t="inlineStr">
        <is>
          <t>Profit for the year (FY2020)</t>
        </is>
      </c>
      <c r="B33" s="6" t="n"/>
      <c r="C33" s="6" t="n"/>
      <c r="D33" s="6" t="n">
        <v>14428</v>
      </c>
      <c r="E33" s="6" t="n"/>
      <c r="F33" s="6" t="n"/>
      <c r="G33" s="6" t="n">
        <v>14428</v>
      </c>
    </row>
    <row r="34">
      <c r="A34" s="6" t="inlineStr">
        <is>
          <t>Other comprehensive income (FY2020)</t>
        </is>
      </c>
      <c r="B34" s="6" t="n"/>
      <c r="C34" s="6" t="n"/>
      <c r="D34" s="6" t="n">
        <v>254</v>
      </c>
      <c r="E34" s="6" t="n"/>
      <c r="F34" s="6" t="n">
        <v>4631</v>
      </c>
      <c r="G34" s="6" t="n">
        <v>4885</v>
      </c>
    </row>
    <row r="35">
      <c r="A35" s="5" t="inlineStr">
        <is>
          <t>Balance at 31 December 2020</t>
        </is>
      </c>
      <c r="B35" s="5" t="n">
        <v>104357</v>
      </c>
      <c r="C35" s="5" t="n">
        <v>4104</v>
      </c>
      <c r="D35" s="5" t="n">
        <v>83751</v>
      </c>
      <c r="E35" s="5" t="n"/>
      <c r="F35" s="5" t="n">
        <v>4995</v>
      </c>
      <c r="G35" s="5" t="n">
        <v>197207</v>
      </c>
    </row>
    <row r="36">
      <c r="A36" s="6" t="inlineStr">
        <is>
          <t>Reclassification between reserves (per FY2021 report's own opening balance)</t>
        </is>
      </c>
      <c r="B36" s="6" t="n"/>
      <c r="C36" s="6" t="n"/>
      <c r="D36" s="6" t="n">
        <v>-38</v>
      </c>
      <c r="E36" s="6" t="n"/>
      <c r="F36" s="6" t="n">
        <v>38</v>
      </c>
      <c r="G36" s="6" t="n">
        <v>0</v>
      </c>
    </row>
    <row r="37">
      <c r="A37" s="5" t="inlineStr">
        <is>
          <t>Balance at 1 January 2021</t>
        </is>
      </c>
      <c r="B37" s="5" t="n">
        <v>104357</v>
      </c>
      <c r="C37" s="5" t="n">
        <v>4104</v>
      </c>
      <c r="D37" s="5" t="n">
        <v>83713</v>
      </c>
      <c r="E37" s="5" t="n">
        <v>0</v>
      </c>
      <c r="F37" s="5" t="n">
        <v>5033</v>
      </c>
      <c r="G37" s="5" t="n">
        <v>197207</v>
      </c>
    </row>
    <row r="38">
      <c r="A38" s="6" t="inlineStr">
        <is>
          <t>Profit for the year (FY2021)</t>
        </is>
      </c>
      <c r="B38" s="6" t="n"/>
      <c r="C38" s="6" t="n"/>
      <c r="D38" s="6" t="n">
        <v>13035</v>
      </c>
      <c r="E38" s="6" t="n"/>
      <c r="F38" s="6" t="n"/>
      <c r="G38" s="6" t="n">
        <v>13035</v>
      </c>
    </row>
    <row r="39">
      <c r="A39" s="6" t="inlineStr">
        <is>
          <t>Other comprehensive income (FY2021)</t>
        </is>
      </c>
      <c r="B39" s="6" t="n"/>
      <c r="C39" s="6" t="n"/>
      <c r="D39" s="6" t="n">
        <v>2505</v>
      </c>
      <c r="E39" s="6" t="n"/>
      <c r="F39" s="6" t="n">
        <v>-2461</v>
      </c>
      <c r="G39" s="6" t="n">
        <v>44</v>
      </c>
    </row>
    <row r="40">
      <c r="A40" s="5" t="inlineStr">
        <is>
          <t>Balance at 31 December 2021 (per FY2021's own report)</t>
        </is>
      </c>
      <c r="B40" s="5" t="n">
        <v>104357</v>
      </c>
      <c r="C40" s="5" t="n">
        <v>4104</v>
      </c>
      <c r="D40" s="5" t="n">
        <v>99253</v>
      </c>
      <c r="E40" s="5" t="n">
        <v>0</v>
      </c>
      <c r="F40" s="5" t="n">
        <v>2572</v>
      </c>
      <c r="G40" s="5" t="n">
        <v>210286</v>
      </c>
    </row>
    <row r="41">
      <c r="A41" s="6" t="inlineStr">
        <is>
          <t>Reclassification between reserves (per FY2022 report's own opening balance)</t>
        </is>
      </c>
      <c r="B41" s="6" t="n"/>
      <c r="C41" s="6" t="n"/>
      <c r="D41" s="6" t="n">
        <v>42</v>
      </c>
      <c r="E41" s="6" t="n"/>
      <c r="F41" s="6" t="n">
        <v>-42</v>
      </c>
      <c r="G41" s="6" t="n">
        <v>0</v>
      </c>
    </row>
    <row r="42">
      <c r="A42" s="5" t="inlineStr">
        <is>
          <t>Balance at 1 January 2022 (per FY2022's own report)</t>
        </is>
      </c>
      <c r="B42" s="5" t="n">
        <v>104357</v>
      </c>
      <c r="C42" s="5" t="n">
        <v>4104</v>
      </c>
      <c r="D42" s="5" t="n">
        <v>99295</v>
      </c>
      <c r="E42" s="5" t="n">
        <v>0</v>
      </c>
      <c r="F42" s="5" t="n">
        <v>2530</v>
      </c>
      <c r="G42" s="5" t="n">
        <v>210286</v>
      </c>
    </row>
    <row r="43">
      <c r="A43" s="6" t="inlineStr">
        <is>
          <t>Profit for the year (FY2022)</t>
        </is>
      </c>
      <c r="B43" s="6" t="n"/>
      <c r="C43" s="6" t="n"/>
      <c r="D43" s="6" t="n">
        <v>15100</v>
      </c>
      <c r="E43" s="6" t="n"/>
      <c r="F43" s="6" t="n"/>
      <c r="G43" s="6" t="n">
        <v>15100</v>
      </c>
    </row>
    <row r="44">
      <c r="A44" s="6" t="inlineStr">
        <is>
          <t>Reclassification between FV reserve and retained earnings</t>
        </is>
      </c>
      <c r="B44" s="6" t="n"/>
      <c r="C44" s="6" t="n"/>
      <c r="D44" s="6" t="n">
        <v>126</v>
      </c>
      <c r="E44" s="6" t="n"/>
      <c r="F44" s="6" t="n">
        <v>-110</v>
      </c>
      <c r="G44" s="6" t="n">
        <v>16</v>
      </c>
    </row>
    <row r="45">
      <c r="A45" s="6" t="inlineStr">
        <is>
          <t>Other comprehensive (expense)/income (FY2022)</t>
        </is>
      </c>
      <c r="B45" s="6" t="n"/>
      <c r="C45" s="6" t="n"/>
      <c r="D45" s="6" t="n">
        <v>-3727</v>
      </c>
      <c r="E45" s="6" t="n">
        <v>5888</v>
      </c>
      <c r="F45" s="6" t="n">
        <v>-11532</v>
      </c>
      <c r="G45" s="6" t="n">
        <v>-9371</v>
      </c>
    </row>
    <row r="46">
      <c r="A46" s="6" t="inlineStr">
        <is>
          <t>Issue of share capital (FY2022)</t>
        </is>
      </c>
      <c r="B46" s="6" t="n">
        <v>1235</v>
      </c>
      <c r="C46" s="6" t="n"/>
      <c r="D46" s="6" t="n"/>
      <c r="E46" s="6" t="n"/>
      <c r="F46" s="6" t="n"/>
      <c r="G46" s="6" t="n">
        <v>1235</v>
      </c>
    </row>
    <row r="47">
      <c r="A47" s="6" t="inlineStr">
        <is>
          <t>Dividend paid (FY2022)</t>
        </is>
      </c>
      <c r="B47" s="6" t="n"/>
      <c r="C47" s="6" t="n"/>
      <c r="D47" s="6" t="n">
        <v>-10000</v>
      </c>
      <c r="E47" s="6" t="n"/>
      <c r="F47" s="6" t="n"/>
      <c r="G47" s="6" t="n">
        <v>-10000</v>
      </c>
    </row>
    <row r="48">
      <c r="A48" s="5" t="inlineStr">
        <is>
          <t>Balance at 31 December 2022</t>
        </is>
      </c>
      <c r="B48" s="5" t="n">
        <v>105592</v>
      </c>
      <c r="C48" s="5" t="n">
        <v>4104</v>
      </c>
      <c r="D48" s="5" t="n">
        <v>100794</v>
      </c>
      <c r="E48" s="5" t="n">
        <v>5888</v>
      </c>
      <c r="F48" s="5" t="n">
        <v>-9112</v>
      </c>
      <c r="G48" s="5" t="n">
        <v>207266</v>
      </c>
    </row>
    <row r="49">
      <c r="A49" s="6" t="inlineStr">
        <is>
          <t>Profit for the year (FY2023)</t>
        </is>
      </c>
      <c r="B49" s="6" t="n"/>
      <c r="C49" s="6" t="n"/>
      <c r="D49" s="6" t="n">
        <v>27875</v>
      </c>
      <c r="E49" s="6" t="n"/>
      <c r="F49" s="6" t="n"/>
      <c r="G49" s="6" t="n">
        <v>27875</v>
      </c>
    </row>
    <row r="50">
      <c r="A50" s="6" t="inlineStr">
        <is>
          <t>Other Fair Value adjustments (FY2023)</t>
        </is>
      </c>
      <c r="B50" s="6" t="n"/>
      <c r="C50" s="6" t="n"/>
      <c r="D50" s="6" t="n">
        <v>16</v>
      </c>
      <c r="E50" s="6" t="n"/>
      <c r="F50" s="6" t="n"/>
      <c r="G50" s="6" t="n">
        <v>16</v>
      </c>
    </row>
    <row r="51">
      <c r="A51" s="6" t="inlineStr">
        <is>
          <t>Other comprehensive (expense)/income (FY2023)</t>
        </is>
      </c>
      <c r="B51" s="6" t="n"/>
      <c r="C51" s="6" t="n"/>
      <c r="D51" s="6" t="n">
        <v>-2035</v>
      </c>
      <c r="E51" s="6" t="n">
        <v>-2520</v>
      </c>
      <c r="F51" s="6" t="n">
        <v>7191</v>
      </c>
      <c r="G51" s="6" t="n">
        <v>2636</v>
      </c>
    </row>
    <row r="52">
      <c r="A52" s="6" t="inlineStr">
        <is>
          <t>Issue of share capital (FY2023)</t>
        </is>
      </c>
      <c r="B52" s="6" t="n">
        <v>785</v>
      </c>
      <c r="C52" s="6" t="n"/>
      <c r="D52" s="6" t="n"/>
      <c r="E52" s="6" t="n"/>
      <c r="F52" s="6" t="n"/>
      <c r="G52" s="6" t="n">
        <v>785</v>
      </c>
    </row>
    <row r="53">
      <c r="A53" s="6" t="inlineStr">
        <is>
          <t>Dividend paid (FY2023)</t>
        </is>
      </c>
      <c r="B53" s="6" t="n"/>
      <c r="C53" s="6" t="n"/>
      <c r="D53" s="6" t="n">
        <v>-6000</v>
      </c>
      <c r="E53" s="6" t="n"/>
      <c r="F53" s="6" t="n"/>
      <c r="G53" s="6" t="n">
        <v>-6000</v>
      </c>
    </row>
    <row r="54">
      <c r="A54" s="5" t="inlineStr">
        <is>
          <t>Balance at 31 December 2023 (per FY2023's own report)</t>
        </is>
      </c>
      <c r="B54" s="5" t="n">
        <v>106377</v>
      </c>
      <c r="C54" s="5" t="n">
        <v>4104</v>
      </c>
      <c r="D54" s="5" t="n">
        <v>120650</v>
      </c>
      <c r="E54" s="5" t="n">
        <v>3368</v>
      </c>
      <c r="F54" s="5" t="n">
        <v>-1921</v>
      </c>
      <c r="G54" s="5" t="n">
        <v>232578</v>
      </c>
    </row>
    <row r="55">
      <c r="A55" s="6" t="inlineStr">
        <is>
          <t>Reclassification between reserves (per FY2024 report's own opening balance)</t>
        </is>
      </c>
      <c r="B55" s="6" t="n"/>
      <c r="C55" s="6" t="n"/>
      <c r="D55" s="6" t="n">
        <v>1169</v>
      </c>
      <c r="E55" s="6" t="n"/>
      <c r="F55" s="6" t="n">
        <v>-1169</v>
      </c>
      <c r="G55" s="6" t="n">
        <v>0</v>
      </c>
    </row>
    <row r="56">
      <c r="A56" s="5" t="inlineStr">
        <is>
          <t>Balance at 1 January 2024 (per FY2024's own report)</t>
        </is>
      </c>
      <c r="B56" s="5" t="n">
        <v>106377</v>
      </c>
      <c r="C56" s="5" t="n">
        <v>4104</v>
      </c>
      <c r="D56" s="5" t="n">
        <v>121819</v>
      </c>
      <c r="E56" s="5" t="n">
        <v>3368</v>
      </c>
      <c r="F56" s="5" t="n">
        <v>-3090</v>
      </c>
      <c r="G56" s="5" t="n">
        <v>232578</v>
      </c>
    </row>
    <row r="57">
      <c r="A57" s="6" t="inlineStr">
        <is>
          <t>Profit for the year (FY2024)</t>
        </is>
      </c>
      <c r="B57" s="6" t="n"/>
      <c r="C57" s="6" t="n"/>
      <c r="D57" s="6" t="n">
        <v>28755</v>
      </c>
      <c r="E57" s="6" t="n"/>
      <c r="F57" s="6" t="n"/>
      <c r="G57" s="6" t="n">
        <v>28755</v>
      </c>
    </row>
    <row r="58">
      <c r="A58" s="6" t="inlineStr">
        <is>
          <t>Other comprehensive (expense)/income (FY2024)</t>
        </is>
      </c>
      <c r="B58" s="6" t="n"/>
      <c r="C58" s="6" t="n"/>
      <c r="D58" s="6" t="n">
        <v>-1883</v>
      </c>
      <c r="E58" s="6" t="n">
        <v>583</v>
      </c>
      <c r="F58" s="6" t="n">
        <v>2359</v>
      </c>
      <c r="G58" s="6" t="n">
        <v>1059</v>
      </c>
    </row>
    <row r="59">
      <c r="A59" s="6" t="inlineStr">
        <is>
          <t>Issue of share capital (FY2024)</t>
        </is>
      </c>
      <c r="B59" s="6" t="n">
        <v>720</v>
      </c>
      <c r="C59" s="6" t="n"/>
      <c r="D59" s="6" t="n"/>
      <c r="E59" s="6" t="n"/>
      <c r="F59" s="6" t="n"/>
      <c r="G59" s="6" t="n">
        <v>720</v>
      </c>
    </row>
    <row r="60">
      <c r="A60" s="6" t="inlineStr">
        <is>
          <t>Dividend paid (FY2024)</t>
        </is>
      </c>
      <c r="B60" s="6" t="n"/>
      <c r="C60" s="6" t="n"/>
      <c r="D60" s="6" t="n">
        <v>-5500</v>
      </c>
      <c r="E60" s="6" t="n"/>
      <c r="F60" s="6" t="n"/>
      <c r="G60" s="6" t="n">
        <v>-5500</v>
      </c>
    </row>
    <row r="61">
      <c r="A61" s="5" t="inlineStr">
        <is>
          <t>Balance at 31 December 2024</t>
        </is>
      </c>
      <c r="B61" s="5" t="n">
        <v>107097</v>
      </c>
      <c r="C61" s="5" t="n">
        <v>4104</v>
      </c>
      <c r="D61" s="5" t="n">
        <v>143191</v>
      </c>
      <c r="E61" s="5" t="n">
        <v>3951</v>
      </c>
      <c r="F61" s="5" t="n">
        <v>-731</v>
      </c>
      <c r="G61" s="5" t="n">
        <v>257612</v>
      </c>
    </row>
    <row r="62">
      <c r="A62" s="6" t="inlineStr">
        <is>
          <t>Profit for the year (FY2025)</t>
        </is>
      </c>
      <c r="B62" s="6" t="n"/>
      <c r="C62" s="6" t="n"/>
      <c r="D62" s="6" t="n">
        <v>24127</v>
      </c>
      <c r="E62" s="6" t="n"/>
      <c r="F62" s="6" t="n"/>
      <c r="G62" s="6" t="n">
        <v>24127</v>
      </c>
    </row>
    <row r="63">
      <c r="A63" s="6" t="inlineStr">
        <is>
          <t>Other comprehensive (expense)/income (FY2025)</t>
        </is>
      </c>
      <c r="B63" s="6" t="n"/>
      <c r="C63" s="6" t="n"/>
      <c r="D63" s="6" t="n">
        <v>-402</v>
      </c>
      <c r="E63" s="6" t="n">
        <v>2189</v>
      </c>
      <c r="F63" s="6" t="n">
        <v>1042</v>
      </c>
      <c r="G63" s="6" t="n">
        <v>2829</v>
      </c>
    </row>
    <row r="64">
      <c r="A64" s="6" t="inlineStr">
        <is>
          <t>Issue of share capital (FY2025)</t>
        </is>
      </c>
      <c r="B64" s="6" t="n">
        <v>972</v>
      </c>
      <c r="C64" s="6" t="n"/>
      <c r="D64" s="6" t="n"/>
      <c r="E64" s="6" t="n"/>
      <c r="F64" s="6" t="n"/>
      <c r="G64" s="6" t="n">
        <v>972</v>
      </c>
    </row>
    <row r="65">
      <c r="A65" s="6" t="inlineStr">
        <is>
          <t>Dividend paid (FY2025)</t>
        </is>
      </c>
      <c r="B65" s="6" t="n"/>
      <c r="C65" s="6" t="n"/>
      <c r="D65" s="6" t="n">
        <v>-7200</v>
      </c>
      <c r="E65" s="6" t="n"/>
      <c r="F65" s="6" t="n"/>
      <c r="G65" s="6" t="n">
        <v>-7200</v>
      </c>
    </row>
    <row r="66">
      <c r="A66" s="5" t="inlineStr">
        <is>
          <t>Balance at 31 December 2025</t>
        </is>
      </c>
      <c r="B66" s="5" t="n">
        <v>108069</v>
      </c>
      <c r="C66" s="5" t="n">
        <v>4104</v>
      </c>
      <c r="D66" s="5" t="n">
        <v>159716</v>
      </c>
      <c r="E66" s="5" t="n">
        <v>6140</v>
      </c>
      <c r="F66" s="5" t="n">
        <v>311</v>
      </c>
      <c r="G66" s="5" t="n">
        <v>278340</v>
      </c>
    </row>
    <row r="68" ht="409" customHeight="1">
      <c r="A68" s="8" t="inlineStr">
        <is>
          <t>Sources - British Arab Commercial Bank PLC's own Statement of Comprehensive Income / Statement of Financial Position / Statement of Changes in Equity, each year from that year's own Annual Report:
FY2025: Annual Report YE2025, pp.62-64 - https://files.bacb.co.uk/production/files/BACB_AnnualReportYE2025_WEB-Final.pdf
FY2024: Annual Report YE2024, pp.56-58 - https://files.bacb.co.uk/production/files/BACB_AnnualReportYE2024_WEB-Final.pdf
FY2023: Annual Report YE2023, pp.57-59 - https://files.bacb.co.uk/production/files/BACB_AnnualReportYE2023_WEB-06.pdf
FY2022: Annual Report YE2022, pp.2.2-2.4 - https://files.bacb.co.uk/production/files/BACB_AnnualReportYE2022_WEB-1proof-10.pdf
FY2021: Annual Report YE2021, pp.2.2-2.4 - https://files.bacb.co.uk/production/files/BACB_AnnualReportYE2021-1.pdf
FY2020: Annual Report YE2020, pp.2.2-2.3 - https://files.bacb.co.uk/production/files/BACB-Annual-Report-2020.pdf
FY2019: Annual Report YE2019, pp.2.2-2.3 - https://files.bacb.co.uk/production/files/BACB_AnnualReportYE2019-print-3-opt.pdf
FY2018: Annual Report YE2018, pp.2.2-2.3 - https://files.bacb.co.uk/production/files/BACB_AnnualReportYE2018-complete-6.pdf
FY2017: Annual Report (filename says 2018, cover/profit figures confirm FY2017), pp.28-30 - https://files.bacb.co.uk/production/files/BACB_AnnualReport_online-2018-v4.pdf
FY2016: Annual Report (filename says 2017, cover confirms FY2016), pp.27-29 - https://files.bacb.co.uk/production/files/BACB_AnnualReport_online-2017.pdf
FY2015: Annual Report YE2015, pp.28-30 - https://files.bacb.co.uk/production/files/Report-Financials-2015-FINAL-18032016.pdf
FY2014: Annual Report YE2014, pp.27-29 - https://files.bacb.co.uk/production/files/Annual-Report-2014-Final.pdf
FY2013: Full accounts made up to 31 December 2013, filed with Companies House 18 Mar 2014, pp.22-24 (Statement of Comprehensive Income / Statement of Financial Position / Statement of Changes in Equity) - https://find-and-update.company-information.service.gov.uk/company/01047302/filing-history/MzA5NjQ2MjMzMmFkaXF6a2N4/document?format=pdf&amp;download=0
Each year's Balance Sheet/P&amp;L/Equity column uses that year's own originally-published Annual Report, not a later report's restated comparative (same convention as the Cash Flow Statement - see its own note). This surfaces several genuine, small restatements between vintages, all left as originally reported and flagged here rather than silently blended:
- FY2023's own report (AR2023) states Profit for the year GBP27,875k / Total comprehensive income GBP30,511k; the FY2024 report's FY2023 comparative restates these to GBP29,044k / GBP30,527k (AR2024 Note 2 states this reclassification affected both the 2023 SOCI and SOFP - not detailed further in that report).
- FY2023's own report's closing equity is Retained earnings GBP120,650k / Fair value reserve -GBP1,921k; the FY2024 report's own 1 January 2024 opening balance is GBP121,819k / -GBP3,090k for the same two lines (Total equity and Other reserves total unaffected - a GBP1,169k reclass between the two reserve lines only). Shown here as an explicit 'Reclassification between reserves (per FY2024 report)' row at FY2024's opening.
- A smaller, similar GBP42k reclass between Retained earnings and Fair value reserve exists between FY2021's own closing balance and FY2022's own opening balance (Total equity unaffected); shown the same way.
- FY2021's own report's Net operating income (GBP53,466k) and Other operating income (GBP1,519k) differ immaterially (GBP21k) from the FY2022 report's own FY2021 comparative (GBP53,487k / GBP1,540k); FY2021's own figures are used here.
- FY2021's own report's Total assets (GBP2,782,543k, incl. Net pension asset GBP5,480k and Deferred tax liabilities GBP539k) differs from the FY2022 report's own FY2021 comparative (GBP2,782,004k) by the same amount - FY2021's own figures are used here.
- Within FY2023's own equity statement, an 'Other Fair Value adjustments' GBP16k line pushes the equity statement's own Total comprehensive income for FY2023 (GBP30,527k) GBP16k above the P&amp;L's own Total comprehensive income for FY2023 (GBP30,511k) - a small internal inconsistency present in the Bank's own audited report, not introduced here.</t>
        </is>
      </c>
    </row>
    <row r="70" ht="409" customHeight="1">
      <c r="A70" s="8" t="inlineStr">
        <is>
          <t>(continued)
Presentation changes: FY2025/FY2024's P&amp;L splits interest income/expense into 'calculated under the effective interest method' vs 'other method'; FY2023/FY2022/FY2021 report single combined interest income/expense lines. FY2021's P&amp;L has no 'Revaluation of property, plant &amp; equipment' OCI line (adopted from FY2022). Balance sheet: 'Deferred tax assets' appears as its own line only FY2023 (nil) and FY2022 (GBP3,561k); 'Corporation tax receivable/payable' and 'Deferred tax liabilities' lines appear inconsistently across years depending on the sign of that year's balance - left blank where a report has no equivalent line that year, not assumed zero.
FINANCIAL INVESTMENTS BREAKDOWN: the 'Financial investments - ...' sub-rows below the renamed 'Total financial investments' line are transcribed from each year's own 'Financial investments'/'Debt securities' note, which splits the balance by issuer type (government and multilateral development banks; other listed debt securities issued by banks; other listed debt securities issued by non-banks; equity shares and investment funds) and, within debt securities, by measurement basis (FVOCI/available-for-sale vs a small FVTPL/held-for-trading portion disclosed as its own line in most years):
FY2025: Annual Report YE2025, Note 17 'Financial investments', p.122 - https://files.bacb.co.uk/production/files/BACB_AnnualReportYE2025_WEB-Final.pdf
FY2024: Annual Report YE2024, Note 17 'Financial Investments', p.115 - https://files.bacb.co.uk/production/files/BACB_AnnualReportYE2024_WEB-Final.pdf
FY2023: Annual Report YE2023, Note 17 'Financial Investments' - https://files.bacb.co.uk/production/files/BACB_AnnualReportYE2023_WEB-06.pdf
FY2022: Annual Report YE2022, Note 19 'Financial investments' - https://files.bacb.co.uk/production/files/BACB_AnnualReportYE2022_WEB-1proof-10.pdf
FY2021: Annual Report YE2021, Note 19 'Financial investments' - https://files.bacb.co.uk/production/files/BACB_AnnualReportYE2021-1.pdf
FY2020: Annual Report YE2020, Note 19 'Financial investments' - https://files.bacb.co.uk/production/files/BACB-Annual-Report-2020.pdf
FY2019: Annual Report YE2019, Note 19 'Financial investments', p.2.59 - https://files.bacb.co.uk/production/files/BACB_AnnualReportYE2019-print-3-opt.pdf
FY2018: Annual Report YE2018, Note 15 'Financial investments' - https://files.bacb.co.uk/production/files/BACB_AnnualReportYE2018-complete-6.pdf
FY2017: Annual Report (filename says 2018, cover/profit figures confirm FY2017), Note 15 'Financial investments' - https://files.bacb.co.uk/production/files/BACB_AnnualReport_online-2018-v4.pdf
FY2016: Annual Report (filename says 2017, cover confirms FY2016), Note 14 'Financial investments', p.65 - https://files.bacb.co.uk/production/files/BACB_AnnualReport_online-2017.pdf
FY2015: Annual Report YE2015, Note 14 'Financial investments', p.60 - https://files.bacb.co.uk/production/files/Report-Financials-2015-FINAL-18032016.pdf
FY2014: Annual Report YE2014, Note 14 'Financial investments', p.63 - https://files.bacb.co.uk/production/files/Annual-Report-2014-Final.pdf
FY2013: Full accounts made up to 31 December 2013, filed with Companies House 18 Mar 2014, Note 13 'Debt securities' (issuer-type split: OECD government securities/banks/non-banks/held for trading) + Note 16 'Equity shares and investments' (equity shares + investment funds) + Note 17 'Shares in Bank undertakings' (GBP0, no subsidiaries held at FY2013 year-end) - https://find-and-update.company-information.service.gov.uk/company/01047302/filing-history/MzA5NjQ2MjMzMmFkaXF6a2N4/document?format=pdf&amp;download=0
Each year's 5 sub-rows sum exactly to that year's 'Total financial investments' line (verified for every year FY2013-FY2025). No 'amortised cost' bucket exists in any year - accounting policy notes confirm the whole book is classified FVOCI/available-for-sale (IAS 39-era) or FVOCI (IFRS 9-era from FY2018), aside from the small FVTPL/held-for-trading line shown as its own sub-row. 'Debt securities designated as FVTPL / held for trading' is genuinely nil (not a gap) in FY2025/FY2024/FY2023/FY2016 - the note itself either omits the line entirely (FY2025/FY2024) or states an explicit nil (FY2023). FY2013's 'banks' sub-row is the note's 'Other listed debt securities issued by banks' figure only - a separate 'Unlisted certificates of deposit (CDs)' line in that same note is GBP0 at FY2013 year-end, so nothing is folded in or lost.</t>
        </is>
      </c>
    </row>
  </sheetData>
  <mergeCells count="2">
    <mergeCell ref="A68:G68"/>
    <mergeCell ref="A70:G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British Arab Commercial Bank PLC — Statement of Cash Flow</t>
        </is>
      </c>
    </row>
    <row r="2">
      <c r="A2" s="2" t="inlineStr">
        <is>
          <t>Bank entity basis (single UK entity, no subsidiaries/associates). GBP throughout, no FX conversion.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c r="N3" s="4" t="inlineStr">
        <is>
          <t>FY2013 (£'000)</t>
        </is>
      </c>
    </row>
    <row r="4">
      <c r="A4" s="5" t="inlineStr">
        <is>
          <t>Cash flows from operating activities</t>
        </is>
      </c>
      <c r="B4" s="6" t="n"/>
      <c r="C4" s="6" t="n"/>
      <c r="D4" s="6" t="n"/>
      <c r="E4" s="6" t="n"/>
      <c r="F4" s="6" t="n"/>
      <c r="G4" s="6" t="n"/>
      <c r="H4" s="6" t="n"/>
      <c r="I4" s="6" t="n"/>
      <c r="J4" s="6" t="n"/>
      <c r="K4" s="6" t="n"/>
      <c r="L4" s="6" t="n"/>
      <c r="M4" s="6" t="n"/>
      <c r="N4" s="6" t="n"/>
    </row>
    <row r="5">
      <c r="A5" s="6" t="inlineStr">
        <is>
          <t>Profit before taxation</t>
        </is>
      </c>
      <c r="B5" s="6" t="n">
        <v>31641</v>
      </c>
      <c r="C5" s="6" t="n">
        <v>38209</v>
      </c>
      <c r="D5" s="6" t="n">
        <v>36407</v>
      </c>
      <c r="E5" s="6" t="n">
        <v>13925</v>
      </c>
      <c r="F5" s="6" t="n">
        <v>14703</v>
      </c>
      <c r="G5" s="6" t="n">
        <v>15922</v>
      </c>
      <c r="H5" s="6" t="n">
        <v>8078</v>
      </c>
      <c r="I5" s="6" t="n">
        <v>-35366</v>
      </c>
      <c r="J5" s="6" t="n">
        <v>7265</v>
      </c>
      <c r="K5" s="6" t="n">
        <v>2579</v>
      </c>
      <c r="L5" s="6" t="n">
        <v>-15071</v>
      </c>
      <c r="M5" s="6" t="n">
        <v>5511</v>
      </c>
      <c r="N5" s="6" t="n">
        <v>17848</v>
      </c>
    </row>
    <row r="6">
      <c r="A6" s="6" t="inlineStr">
        <is>
          <t>Allowance for credit losses</t>
        </is>
      </c>
      <c r="B6" s="6" t="n">
        <v>2313</v>
      </c>
      <c r="C6" s="6" t="n">
        <v>3992</v>
      </c>
      <c r="D6" s="6" t="n">
        <v>479</v>
      </c>
      <c r="E6" s="6" t="n">
        <v>3306</v>
      </c>
      <c r="F6" s="6" t="n">
        <v>1245</v>
      </c>
      <c r="G6" s="6" t="n">
        <v>6902</v>
      </c>
      <c r="H6" s="6" t="n">
        <v>18558</v>
      </c>
      <c r="I6" s="6" t="n">
        <v>59043</v>
      </c>
      <c r="J6" s="6" t="n">
        <v>10131</v>
      </c>
      <c r="K6" s="6" t="n">
        <v>7122</v>
      </c>
      <c r="L6" s="6" t="n">
        <v>18804</v>
      </c>
      <c r="M6" s="6" t="n">
        <v>4962</v>
      </c>
      <c r="N6" s="6" t="n">
        <v>2482</v>
      </c>
    </row>
    <row r="7">
      <c r="A7" s="6" t="inlineStr">
        <is>
          <t>Recoveries of allowance for credit losses</t>
        </is>
      </c>
      <c r="B7" s="6" t="n">
        <v>-5554</v>
      </c>
      <c r="C7" s="6" t="n">
        <v>-5633</v>
      </c>
      <c r="D7" s="6" t="n">
        <v>-2623</v>
      </c>
      <c r="E7" s="6" t="n">
        <v>-1825</v>
      </c>
      <c r="F7" s="6" t="n">
        <v>-12441</v>
      </c>
      <c r="G7" s="6" t="n">
        <v>-13754</v>
      </c>
      <c r="H7" s="6" t="n"/>
      <c r="I7" s="6" t="n"/>
      <c r="J7" s="6" t="n"/>
      <c r="K7" s="6" t="n"/>
      <c r="L7" s="6" t="n"/>
      <c r="M7" s="6" t="n"/>
      <c r="N7" s="6" t="n"/>
    </row>
    <row r="8">
      <c r="A8" s="6" t="inlineStr">
        <is>
          <t>Profit on realisation of equity shares and investments</t>
        </is>
      </c>
      <c r="B8" s="6" t="n"/>
      <c r="C8" s="6" t="n"/>
      <c r="D8" s="6" t="n"/>
      <c r="E8" s="6" t="n"/>
      <c r="F8" s="6" t="n"/>
      <c r="G8" s="6" t="n"/>
      <c r="H8" s="6" t="n"/>
      <c r="I8" s="6" t="n"/>
      <c r="J8" s="6" t="n"/>
      <c r="K8" s="6" t="n">
        <v>-3822</v>
      </c>
      <c r="L8" s="6" t="n"/>
      <c r="M8" s="6" t="n"/>
      <c r="N8" s="6" t="n">
        <v>-309</v>
      </c>
    </row>
    <row r="9">
      <c r="A9" s="6" t="inlineStr">
        <is>
          <t>Depreciation and amortisation</t>
        </is>
      </c>
      <c r="B9" s="6" t="n">
        <v>3229</v>
      </c>
      <c r="C9" s="6" t="n">
        <v>3214</v>
      </c>
      <c r="D9" s="6" t="n">
        <v>2904</v>
      </c>
      <c r="E9" s="6" t="n">
        <v>2753</v>
      </c>
      <c r="F9" s="6" t="n">
        <v>2544</v>
      </c>
      <c r="G9" s="6" t="n">
        <v>2444</v>
      </c>
      <c r="H9" s="6" t="n">
        <v>2519</v>
      </c>
      <c r="I9" s="6" t="n">
        <v>1024</v>
      </c>
      <c r="J9" s="6" t="n">
        <v>1401</v>
      </c>
      <c r="K9" s="6" t="n">
        <v>1694</v>
      </c>
      <c r="L9" s="6" t="n">
        <v>1477</v>
      </c>
      <c r="M9" s="6" t="n">
        <v>1355</v>
      </c>
      <c r="N9" s="6" t="n">
        <v>1128</v>
      </c>
    </row>
    <row r="10">
      <c r="A10" s="6" t="inlineStr">
        <is>
          <t>(Loss)/gain on sale or impairment of property, plant and equipment</t>
        </is>
      </c>
      <c r="B10" s="6" t="n">
        <v>-6</v>
      </c>
      <c r="C10" s="6" t="n">
        <v>3</v>
      </c>
      <c r="D10" s="6" t="n">
        <v>518</v>
      </c>
      <c r="E10" s="6" t="n">
        <v>28</v>
      </c>
      <c r="F10" s="6" t="n">
        <v>9</v>
      </c>
      <c r="G10" s="6" t="n">
        <v>81</v>
      </c>
      <c r="H10" s="6" t="n"/>
      <c r="I10" s="6" t="n">
        <v>1101</v>
      </c>
      <c r="J10" s="6" t="n">
        <v>665</v>
      </c>
      <c r="K10" s="6" t="n">
        <v>-50</v>
      </c>
      <c r="L10" s="6" t="n">
        <v>95</v>
      </c>
      <c r="M10" s="6" t="n">
        <v>676</v>
      </c>
      <c r="N10" s="6" t="n">
        <v>141</v>
      </c>
    </row>
    <row r="11">
      <c r="A11" s="6" t="inlineStr">
        <is>
          <t>Other non-cash items included in net profit</t>
        </is>
      </c>
      <c r="B11" s="6" t="n">
        <v>-1275</v>
      </c>
      <c r="C11" s="6" t="n">
        <v>-34</v>
      </c>
      <c r="D11" s="6" t="n">
        <v>115</v>
      </c>
      <c r="E11" s="6" t="n">
        <v>366</v>
      </c>
      <c r="F11" s="6" t="n">
        <v>-3</v>
      </c>
      <c r="G11" s="6" t="n">
        <v>-151</v>
      </c>
      <c r="H11" s="6" t="n">
        <v>-1035</v>
      </c>
      <c r="I11" s="6" t="n">
        <v>1731</v>
      </c>
      <c r="J11" s="6" t="n">
        <v>-748</v>
      </c>
      <c r="K11" s="6" t="n">
        <v>-332</v>
      </c>
      <c r="L11" s="6" t="n"/>
      <c r="M11" s="6" t="n"/>
      <c r="N11" s="6" t="n"/>
    </row>
    <row r="12">
      <c r="A12" s="5" t="inlineStr">
        <is>
          <t>Non-cash items included in net profit</t>
        </is>
      </c>
      <c r="B12" s="5" t="n">
        <v>-1293</v>
      </c>
      <c r="C12" s="5" t="n">
        <v>1542</v>
      </c>
      <c r="D12" s="5" t="n">
        <v>1393</v>
      </c>
      <c r="E12" s="5" t="n">
        <v>4628</v>
      </c>
      <c r="F12" s="5" t="n">
        <v>-8646</v>
      </c>
      <c r="G12" s="5" t="n">
        <v>-4478</v>
      </c>
      <c r="H12" s="5" t="n">
        <v>20042</v>
      </c>
      <c r="I12" s="5" t="n">
        <v>62899</v>
      </c>
      <c r="J12" s="5" t="n">
        <v>11449</v>
      </c>
      <c r="K12" s="5" t="n">
        <v>4612</v>
      </c>
      <c r="L12" s="5" t="n">
        <v>20376</v>
      </c>
      <c r="M12" s="5" t="n">
        <v>6993</v>
      </c>
      <c r="N12" s="5" t="n">
        <v>3442</v>
      </c>
    </row>
    <row r="13">
      <c r="A13" s="6" t="inlineStr">
        <is>
          <t>Reverse repurchase agreements</t>
        </is>
      </c>
      <c r="B13" s="6" t="n"/>
      <c r="C13" s="6" t="n">
        <v>0</v>
      </c>
      <c r="D13" s="6" t="n">
        <v>149990</v>
      </c>
      <c r="E13" s="6" t="n">
        <v>-21103</v>
      </c>
      <c r="F13" s="6" t="n">
        <v>-36757</v>
      </c>
      <c r="G13" s="6" t="n"/>
      <c r="H13" s="6" t="n"/>
      <c r="I13" s="6" t="n"/>
      <c r="J13" s="6" t="n"/>
      <c r="K13" s="6" t="n"/>
      <c r="L13" s="6" t="n"/>
      <c r="M13" s="6" t="n"/>
      <c r="N13" s="6" t="n"/>
    </row>
    <row r="14">
      <c r="A14" s="6" t="inlineStr">
        <is>
          <t>Loans, advances other than cash or cash equivalents</t>
        </is>
      </c>
      <c r="B14" s="6" t="n">
        <v>-221607</v>
      </c>
      <c r="C14" s="6" t="n">
        <v>-243014</v>
      </c>
      <c r="D14" s="6" t="n">
        <v>-268285</v>
      </c>
      <c r="E14" s="6" t="n">
        <v>-68881</v>
      </c>
      <c r="F14" s="6" t="n">
        <v>-13840</v>
      </c>
      <c r="G14" s="6" t="n">
        <v>234049</v>
      </c>
      <c r="H14" s="6" t="n"/>
      <c r="I14" s="6" t="n"/>
      <c r="J14" s="6" t="n">
        <v>-672228</v>
      </c>
      <c r="K14" s="6" t="n">
        <v>-129256</v>
      </c>
      <c r="L14" s="6" t="n">
        <v>9045</v>
      </c>
      <c r="M14" s="6" t="n">
        <v>2673</v>
      </c>
      <c r="N14" s="6" t="n"/>
    </row>
    <row r="15">
      <c r="A15" s="6" t="inlineStr">
        <is>
          <t>Debt securities other than cash equivalents</t>
        </is>
      </c>
      <c r="B15" s="6" t="n">
        <v>250302</v>
      </c>
      <c r="C15" s="6" t="n">
        <v>164699</v>
      </c>
      <c r="D15" s="6" t="n">
        <v>-108164</v>
      </c>
      <c r="E15" s="6" t="n">
        <v>-221117</v>
      </c>
      <c r="F15" s="6" t="n">
        <v>7009</v>
      </c>
      <c r="G15" s="6" t="n">
        <v>-329589</v>
      </c>
      <c r="H15" s="6" t="n"/>
      <c r="I15" s="6" t="n"/>
      <c r="J15" s="6" t="n"/>
      <c r="K15" s="6" t="n"/>
      <c r="L15" s="6" t="n"/>
      <c r="M15" s="6" t="n"/>
      <c r="N15" s="6" t="n"/>
    </row>
    <row r="16">
      <c r="A16" s="6" t="inlineStr">
        <is>
          <t>Loans, advances and debt securities other than cash equivalents (combined - see note)</t>
        </is>
      </c>
      <c r="B16" s="6" t="n"/>
      <c r="C16" s="6" t="n"/>
      <c r="D16" s="6" t="n"/>
      <c r="E16" s="6" t="n"/>
      <c r="F16" s="6" t="n"/>
      <c r="G16" s="6" t="n"/>
      <c r="H16" s="6" t="n">
        <v>125407</v>
      </c>
      <c r="I16" s="6" t="n">
        <v>263435</v>
      </c>
      <c r="J16" s="6" t="n"/>
      <c r="K16" s="6" t="n"/>
      <c r="L16" s="6" t="n"/>
      <c r="M16" s="6" t="n"/>
      <c r="N16" s="6" t="n">
        <v>-200768</v>
      </c>
    </row>
    <row r="17">
      <c r="A17" s="6" t="inlineStr">
        <is>
          <t>Derivatives</t>
        </is>
      </c>
      <c r="B17" s="6" t="n">
        <v>-571</v>
      </c>
      <c r="C17" s="6" t="n">
        <v>-1109</v>
      </c>
      <c r="D17" s="6" t="n">
        <v>683</v>
      </c>
      <c r="E17" s="6" t="n">
        <v>-728</v>
      </c>
      <c r="F17" s="6" t="n">
        <v>465</v>
      </c>
      <c r="G17" s="6" t="n"/>
      <c r="H17" s="6" t="n"/>
      <c r="I17" s="6" t="n"/>
      <c r="J17" s="6" t="n"/>
      <c r="K17" s="6" t="n"/>
      <c r="L17" s="6" t="n"/>
      <c r="M17" s="6" t="n"/>
      <c r="N17" s="6" t="n"/>
    </row>
    <row r="18">
      <c r="A18" s="6" t="inlineStr">
        <is>
          <t>Other debtors and prepayments</t>
        </is>
      </c>
      <c r="B18" s="6" t="n">
        <v>-7064</v>
      </c>
      <c r="C18" s="6" t="n">
        <v>387</v>
      </c>
      <c r="D18" s="6" t="n">
        <v>-9064</v>
      </c>
      <c r="E18" s="6" t="n">
        <v>-1161</v>
      </c>
      <c r="F18" s="6" t="n">
        <v>1497</v>
      </c>
      <c r="G18" s="6" t="n">
        <v>6427</v>
      </c>
      <c r="H18" s="6" t="n">
        <v>-2485</v>
      </c>
      <c r="I18" s="6" t="n">
        <v>41805</v>
      </c>
      <c r="J18" s="6" t="n">
        <v>-51334</v>
      </c>
      <c r="K18" s="6" t="n">
        <v>-1042</v>
      </c>
      <c r="L18" s="6" t="n">
        <v>3701</v>
      </c>
      <c r="M18" s="6" t="n">
        <v>4335</v>
      </c>
      <c r="N18" s="6" t="n">
        <v>-606</v>
      </c>
    </row>
    <row r="19">
      <c r="A19" s="5" t="inlineStr">
        <is>
          <t>Change in operating assets</t>
        </is>
      </c>
      <c r="B19" s="5" t="n">
        <v>21060</v>
      </c>
      <c r="C19" s="5" t="n">
        <v>-79037</v>
      </c>
      <c r="D19" s="5" t="n">
        <v>-234840</v>
      </c>
      <c r="E19" s="5" t="n">
        <v>-312990</v>
      </c>
      <c r="F19" s="5" t="n">
        <v>-41626</v>
      </c>
      <c r="G19" s="5" t="n">
        <v>-89113</v>
      </c>
      <c r="H19" s="5" t="n">
        <v>122922</v>
      </c>
      <c r="I19" s="5" t="n">
        <v>305240</v>
      </c>
      <c r="J19" s="5" t="n">
        <v>-723562</v>
      </c>
      <c r="K19" s="5" t="n">
        <v>-130298</v>
      </c>
      <c r="L19" s="5" t="n">
        <v>12746</v>
      </c>
      <c r="M19" s="5" t="n">
        <v>7008</v>
      </c>
      <c r="N19" s="5" t="n">
        <v>-201374</v>
      </c>
    </row>
    <row r="20">
      <c r="A20" s="6" t="inlineStr">
        <is>
          <t>Customer accounts and deposits by banks</t>
        </is>
      </c>
      <c r="B20" s="6" t="n">
        <v>78001</v>
      </c>
      <c r="C20" s="6" t="n">
        <v>277676</v>
      </c>
      <c r="D20" s="6" t="n">
        <v>-94670</v>
      </c>
      <c r="E20" s="6" t="n">
        <v>165574</v>
      </c>
      <c r="F20" s="6" t="n">
        <v>238429</v>
      </c>
      <c r="G20" s="6" t="n">
        <v>-254610</v>
      </c>
      <c r="H20" s="6" t="n">
        <v>-1022442</v>
      </c>
      <c r="I20" s="6" t="n">
        <v>839143</v>
      </c>
      <c r="J20" s="6" t="n">
        <v>144902</v>
      </c>
      <c r="K20" s="6" t="n">
        <v>-483032</v>
      </c>
      <c r="L20" s="6" t="n">
        <v>64151</v>
      </c>
      <c r="M20" s="6" t="n">
        <v>418975</v>
      </c>
      <c r="N20" s="6" t="n">
        <v>225768</v>
      </c>
    </row>
    <row r="21">
      <c r="A21" s="6" t="inlineStr">
        <is>
          <t>Other liabilities</t>
        </is>
      </c>
      <c r="B21" s="6" t="n">
        <v>2884</v>
      </c>
      <c r="C21" s="6" t="n">
        <v>-2695</v>
      </c>
      <c r="D21" s="6" t="n">
        <v>10519</v>
      </c>
      <c r="E21" s="6" t="n">
        <v>9288</v>
      </c>
      <c r="F21" s="6" t="n">
        <v>-12192</v>
      </c>
      <c r="G21" s="6" t="n">
        <v>10181</v>
      </c>
      <c r="H21" s="6" t="n">
        <v>-3196</v>
      </c>
      <c r="I21" s="6" t="n">
        <v>8238</v>
      </c>
      <c r="J21" s="6" t="n">
        <v>-1338</v>
      </c>
      <c r="K21" s="6" t="n">
        <v>595</v>
      </c>
      <c r="L21" s="6" t="n">
        <v>-16061</v>
      </c>
      <c r="M21" s="6" t="n">
        <v>5487</v>
      </c>
      <c r="N21" s="6" t="n">
        <v>-1491</v>
      </c>
    </row>
    <row r="22">
      <c r="A22" s="5" t="inlineStr">
        <is>
          <t>Change in operating liabilities</t>
        </is>
      </c>
      <c r="B22" s="5" t="n">
        <v>80885</v>
      </c>
      <c r="C22" s="5" t="n">
        <v>274981</v>
      </c>
      <c r="D22" s="5" t="n">
        <v>-84151</v>
      </c>
      <c r="E22" s="5" t="n">
        <v>174862</v>
      </c>
      <c r="F22" s="5" t="n">
        <v>226237</v>
      </c>
      <c r="G22" s="5" t="n">
        <v>-244429</v>
      </c>
      <c r="H22" s="5" t="n">
        <v>-1025638</v>
      </c>
      <c r="I22" s="5" t="n">
        <v>847381</v>
      </c>
      <c r="J22" s="5" t="n">
        <v>143564</v>
      </c>
      <c r="K22" s="5" t="n">
        <v>-482437</v>
      </c>
      <c r="L22" s="5" t="n">
        <v>48090</v>
      </c>
      <c r="M22" s="5" t="n">
        <v>424462</v>
      </c>
      <c r="N22" s="5" t="n">
        <v>224277</v>
      </c>
    </row>
    <row r="23">
      <c r="A23" s="6" t="inlineStr">
        <is>
          <t>Income tax paid</t>
        </is>
      </c>
      <c r="B23" s="6" t="n">
        <v>-8155</v>
      </c>
      <c r="C23" s="6" t="n">
        <v>-7867</v>
      </c>
      <c r="D23" s="6" t="n">
        <v>-5220</v>
      </c>
      <c r="E23" s="6" t="n">
        <v>-1169</v>
      </c>
      <c r="F23" s="6" t="n">
        <v>-1074</v>
      </c>
      <c r="G23" s="6" t="n">
        <v>214</v>
      </c>
      <c r="H23" s="6" t="n">
        <v>724</v>
      </c>
      <c r="I23" s="6" t="n">
        <v>-782</v>
      </c>
      <c r="J23" s="6" t="n">
        <v>1774</v>
      </c>
      <c r="K23" s="6" t="n">
        <v>2256</v>
      </c>
      <c r="L23" s="6" t="n">
        <v>-796</v>
      </c>
      <c r="M23" s="6" t="n">
        <v>-4065</v>
      </c>
      <c r="N23" s="6" t="n">
        <v>-2515</v>
      </c>
    </row>
    <row r="24">
      <c r="A24" s="5" t="inlineStr">
        <is>
          <t>Net cash generated from/(used in) operating activities</t>
        </is>
      </c>
      <c r="B24" s="5" t="n">
        <v>124138</v>
      </c>
      <c r="C24" s="5" t="n">
        <v>227828</v>
      </c>
      <c r="D24" s="5" t="n">
        <v>-286411</v>
      </c>
      <c r="E24" s="5" t="n">
        <v>-120744</v>
      </c>
      <c r="F24" s="5" t="n">
        <v>189594</v>
      </c>
      <c r="G24" s="5" t="n">
        <v>-321884</v>
      </c>
      <c r="H24" s="5" t="n">
        <v>-873872</v>
      </c>
      <c r="I24" s="5" t="n">
        <v>1179372</v>
      </c>
      <c r="J24" s="5" t="n">
        <v>-559510</v>
      </c>
      <c r="K24" s="5" t="n">
        <v>-603288</v>
      </c>
      <c r="L24" s="5" t="n">
        <v>65345</v>
      </c>
      <c r="M24" s="5" t="n">
        <v>439909</v>
      </c>
      <c r="N24" s="5" t="n">
        <v>41678</v>
      </c>
    </row>
    <row r="25">
      <c r="A25" s="5" t="inlineStr">
        <is>
          <t>Cash flows from investing activities</t>
        </is>
      </c>
      <c r="B25" s="6" t="n"/>
      <c r="C25" s="6" t="n"/>
      <c r="D25" s="6" t="n"/>
      <c r="E25" s="6" t="n"/>
      <c r="F25" s="6" t="n"/>
      <c r="G25" s="6" t="n"/>
      <c r="H25" s="6" t="n"/>
      <c r="I25" s="6" t="n"/>
      <c r="J25" s="6" t="n"/>
      <c r="K25" s="6" t="n"/>
      <c r="L25" s="6" t="n"/>
      <c r="M25" s="6" t="n"/>
      <c r="N25" s="6" t="n"/>
    </row>
    <row r="26">
      <c r="A26" s="6" t="inlineStr">
        <is>
          <t>Purchase of property, plant and equipment</t>
        </is>
      </c>
      <c r="B26" s="6" t="n">
        <v>-409</v>
      </c>
      <c r="C26" s="6" t="n">
        <v>-1590</v>
      </c>
      <c r="D26" s="6" t="n">
        <v>-7683</v>
      </c>
      <c r="E26" s="6" t="n">
        <v>-552</v>
      </c>
      <c r="F26" s="6" t="n">
        <v>-274</v>
      </c>
      <c r="G26" s="6" t="n">
        <v>-1096</v>
      </c>
      <c r="H26" s="6" t="n">
        <v>-3994</v>
      </c>
      <c r="I26" s="6" t="n">
        <v>-644</v>
      </c>
      <c r="J26" s="6" t="n">
        <v>-472</v>
      </c>
      <c r="K26" s="6" t="n">
        <v>-493</v>
      </c>
      <c r="L26" s="6" t="n">
        <v>-451</v>
      </c>
      <c r="M26" s="6" t="n">
        <v>-691</v>
      </c>
      <c r="N26" s="6" t="n">
        <v>-491</v>
      </c>
    </row>
    <row r="27">
      <c r="A27" s="6" t="inlineStr">
        <is>
          <t>Proceeds from sale of property, plant and equipment</t>
        </is>
      </c>
      <c r="B27" s="6" t="n"/>
      <c r="C27" s="6" t="n"/>
      <c r="D27" s="6" t="n"/>
      <c r="E27" s="6" t="n">
        <v>42</v>
      </c>
      <c r="F27" s="6" t="n"/>
      <c r="G27" s="6" t="n"/>
      <c r="H27" s="6" t="n"/>
      <c r="I27" s="6" t="n"/>
      <c r="J27" s="6" t="n"/>
      <c r="K27" s="6" t="n"/>
      <c r="L27" s="6" t="n"/>
      <c r="M27" s="6" t="n"/>
      <c r="N27" s="6" t="n">
        <v>18</v>
      </c>
    </row>
    <row r="28">
      <c r="A28" s="6" t="inlineStr">
        <is>
          <t>Purchases of equity shares and investments (pre-2018)</t>
        </is>
      </c>
      <c r="B28" s="6" t="n"/>
      <c r="C28" s="6" t="n"/>
      <c r="D28" s="6" t="n"/>
      <c r="E28" s="6" t="n"/>
      <c r="F28" s="6" t="n"/>
      <c r="G28" s="6" t="n"/>
      <c r="H28" s="6" t="n"/>
      <c r="I28" s="6" t="n"/>
      <c r="J28" s="6" t="n"/>
      <c r="K28" s="6" t="n"/>
      <c r="L28" s="6" t="n"/>
      <c r="M28" s="6" t="n">
        <v>-555</v>
      </c>
      <c r="N28" s="6" t="n">
        <v>-1691</v>
      </c>
    </row>
    <row r="29">
      <c r="A29" s="6" t="inlineStr">
        <is>
          <t>Proceeds on sale of equity investments</t>
        </is>
      </c>
      <c r="B29" s="6" t="n"/>
      <c r="C29" s="6" t="n">
        <v>1162</v>
      </c>
      <c r="D29" s="6" t="n"/>
      <c r="E29" s="6" t="n"/>
      <c r="F29" s="6" t="n"/>
      <c r="G29" s="6" t="n"/>
      <c r="H29" s="6" t="n"/>
      <c r="I29" s="6" t="n"/>
      <c r="J29" s="6" t="n">
        <v>206</v>
      </c>
      <c r="K29" s="6" t="n">
        <v>4058</v>
      </c>
      <c r="L29" s="6" t="n">
        <v>515</v>
      </c>
      <c r="M29" s="6" t="n">
        <v>513</v>
      </c>
      <c r="N29" s="6" t="n">
        <v>629</v>
      </c>
    </row>
    <row r="30">
      <c r="A30" s="6" t="inlineStr">
        <is>
          <t>Purchase of intangible assets</t>
        </is>
      </c>
      <c r="B30" s="6" t="n">
        <v>-1128</v>
      </c>
      <c r="C30" s="6" t="n">
        <v>-392</v>
      </c>
      <c r="D30" s="6" t="n">
        <v>-841</v>
      </c>
      <c r="E30" s="6" t="n">
        <v>-853</v>
      </c>
      <c r="F30" s="6" t="n">
        <v>-540</v>
      </c>
      <c r="G30" s="6" t="n">
        <v>-356</v>
      </c>
      <c r="H30" s="6" t="n">
        <v>-1369</v>
      </c>
      <c r="I30" s="6" t="n">
        <v>-5744</v>
      </c>
      <c r="J30" s="6" t="n">
        <v>-3477</v>
      </c>
      <c r="K30" s="6" t="n">
        <v>-3014</v>
      </c>
      <c r="L30" s="6" t="n">
        <v>-510</v>
      </c>
      <c r="M30" s="6" t="n">
        <v>-1737</v>
      </c>
      <c r="N30" s="6" t="n">
        <v>-894</v>
      </c>
    </row>
    <row r="31">
      <c r="A31" s="6" t="inlineStr">
        <is>
          <t>Proceeds from sale of intangible assets</t>
        </is>
      </c>
      <c r="B31" s="6" t="n"/>
      <c r="C31" s="6" t="n"/>
      <c r="D31" s="6" t="n"/>
      <c r="E31" s="6" t="n">
        <v>269</v>
      </c>
      <c r="F31" s="6" t="n"/>
      <c r="G31" s="6" t="n"/>
      <c r="H31" s="6" t="n"/>
      <c r="I31" s="6" t="n"/>
      <c r="J31" s="6" t="n"/>
      <c r="K31" s="6" t="n"/>
      <c r="L31" s="6" t="n"/>
      <c r="M31" s="6" t="n"/>
      <c r="N31" s="6" t="n"/>
    </row>
    <row r="32">
      <c r="A32" s="5" t="inlineStr">
        <is>
          <t>Net cash used in investing activities</t>
        </is>
      </c>
      <c r="B32" s="5" t="n">
        <v>-1537</v>
      </c>
      <c r="C32" s="5" t="n">
        <v>-820</v>
      </c>
      <c r="D32" s="5" t="n">
        <v>-8524</v>
      </c>
      <c r="E32" s="5" t="n">
        <v>-1094</v>
      </c>
      <c r="F32" s="5" t="n">
        <v>-814</v>
      </c>
      <c r="G32" s="5" t="n">
        <v>-1452</v>
      </c>
      <c r="H32" s="5" t="n">
        <v>-5363</v>
      </c>
      <c r="I32" s="5" t="n">
        <v>-6388</v>
      </c>
      <c r="J32" s="5" t="n">
        <v>-3743</v>
      </c>
      <c r="K32" s="5" t="n">
        <v>551</v>
      </c>
      <c r="L32" s="5" t="n">
        <v>-446</v>
      </c>
      <c r="M32" s="5" t="n">
        <v>-2470</v>
      </c>
      <c r="N32" s="5" t="n">
        <v>-2429</v>
      </c>
    </row>
    <row r="33">
      <c r="A33" s="5" t="inlineStr">
        <is>
          <t>Cash flows from financing activities</t>
        </is>
      </c>
      <c r="B33" s="6" t="n"/>
      <c r="C33" s="6" t="n"/>
      <c r="D33" s="6" t="n"/>
      <c r="E33" s="6" t="n"/>
      <c r="F33" s="6" t="n"/>
      <c r="G33" s="6" t="n"/>
      <c r="H33" s="6" t="n"/>
      <c r="I33" s="6" t="n"/>
      <c r="J33" s="6" t="n"/>
      <c r="K33" s="6" t="n"/>
      <c r="L33" s="6" t="n"/>
      <c r="M33" s="6" t="n"/>
      <c r="N33" s="6" t="n"/>
    </row>
    <row r="34">
      <c r="A34" s="6" t="inlineStr">
        <is>
          <t>Dividend paid</t>
        </is>
      </c>
      <c r="B34" s="6" t="n">
        <v>-6228</v>
      </c>
      <c r="C34" s="6" t="n">
        <v>-4780</v>
      </c>
      <c r="D34" s="6" t="n">
        <v>-5215</v>
      </c>
      <c r="E34" s="6" t="n">
        <v>-8765</v>
      </c>
      <c r="F34" s="6" t="n"/>
      <c r="G34" s="6" t="n"/>
      <c r="H34" s="6" t="n"/>
      <c r="I34" s="6" t="n">
        <v>-1498</v>
      </c>
      <c r="J34" s="6" t="n"/>
      <c r="K34" s="6" t="n"/>
      <c r="L34" s="6" t="n"/>
      <c r="M34" s="6" t="n"/>
      <c r="N34" s="6" t="n">
        <v>-7200</v>
      </c>
    </row>
    <row r="35">
      <c r="A35" s="6" t="inlineStr">
        <is>
          <t>Lease payments for Right of Use assets (principal)</t>
        </is>
      </c>
      <c r="B35" s="6" t="n">
        <v>-249</v>
      </c>
      <c r="C35" s="6" t="n">
        <v>-83</v>
      </c>
      <c r="D35" s="6" t="n">
        <v>-202</v>
      </c>
      <c r="E35" s="6" t="n">
        <v>-6</v>
      </c>
      <c r="F35" s="6" t="n">
        <v>-191</v>
      </c>
      <c r="G35" s="6" t="n">
        <v>-156</v>
      </c>
      <c r="H35" s="6" t="n"/>
      <c r="I35" s="6" t="n"/>
      <c r="J35" s="6" t="n"/>
      <c r="K35" s="6" t="n"/>
      <c r="L35" s="6" t="n"/>
      <c r="M35" s="6" t="n"/>
      <c r="N35" s="6" t="n"/>
    </row>
    <row r="36">
      <c r="A36" s="6" t="inlineStr">
        <is>
          <t>Interest on lease payments</t>
        </is>
      </c>
      <c r="B36" s="6" t="n"/>
      <c r="C36" s="6" t="n">
        <v>-192</v>
      </c>
      <c r="D36" s="6" t="n"/>
      <c r="E36" s="6" t="n"/>
      <c r="F36" s="6" t="n"/>
      <c r="G36" s="6" t="n"/>
      <c r="H36" s="6" t="n"/>
      <c r="I36" s="6" t="n"/>
      <c r="J36" s="6" t="n"/>
      <c r="K36" s="6" t="n"/>
      <c r="L36" s="6" t="n"/>
      <c r="M36" s="6" t="n"/>
      <c r="N36" s="6" t="n"/>
    </row>
    <row r="37">
      <c r="A37" s="6" t="inlineStr">
        <is>
          <t>Subordinated debt issued</t>
        </is>
      </c>
      <c r="B37" s="6" t="n"/>
      <c r="C37" s="6" t="n">
        <v>28185</v>
      </c>
      <c r="D37" s="6" t="n"/>
      <c r="E37" s="6" t="n"/>
      <c r="F37" s="6" t="n"/>
      <c r="G37" s="6" t="n"/>
      <c r="H37" s="6" t="n"/>
      <c r="I37" s="6" t="n"/>
      <c r="J37" s="6" t="n"/>
      <c r="K37" s="6" t="n"/>
      <c r="L37" s="6" t="n"/>
      <c r="M37" s="6" t="n"/>
      <c r="N37" s="6" t="n"/>
    </row>
    <row r="38">
      <c r="A38" s="6" t="inlineStr">
        <is>
          <t>Subordinated debt redeemed</t>
        </is>
      </c>
      <c r="B38" s="6" t="n"/>
      <c r="C38" s="6" t="n">
        <v>-28185</v>
      </c>
      <c r="D38" s="6" t="n"/>
      <c r="E38" s="6" t="n"/>
      <c r="F38" s="6" t="n"/>
      <c r="G38" s="6" t="n"/>
      <c r="H38" s="6" t="n"/>
      <c r="I38" s="6" t="n"/>
      <c r="J38" s="6" t="n"/>
      <c r="K38" s="6" t="n"/>
      <c r="L38" s="6" t="n"/>
      <c r="M38" s="6" t="n"/>
      <c r="N38" s="6" t="n"/>
    </row>
    <row r="39">
      <c r="A39" s="6" t="inlineStr">
        <is>
          <t>Non-cash effect of share capital issuance (FY2015)</t>
        </is>
      </c>
      <c r="B39" s="6" t="n"/>
      <c r="C39" s="6" t="n"/>
      <c r="D39" s="6" t="n"/>
      <c r="E39" s="6" t="n"/>
      <c r="F39" s="6" t="n"/>
      <c r="G39" s="6" t="n"/>
      <c r="H39" s="6" t="n"/>
      <c r="I39" s="6" t="n"/>
      <c r="J39" s="6" t="n"/>
      <c r="K39" s="6" t="n"/>
      <c r="L39" s="6" t="n">
        <v>24697</v>
      </c>
      <c r="M39" s="6" t="n"/>
      <c r="N39" s="6" t="n"/>
    </row>
    <row r="40">
      <c r="A40" s="6" t="inlineStr">
        <is>
          <t>Net subordinated debt issued/(redeemed) (FY2015)</t>
        </is>
      </c>
      <c r="B40" s="6" t="n"/>
      <c r="C40" s="6" t="n"/>
      <c r="D40" s="6" t="n"/>
      <c r="E40" s="6" t="n"/>
      <c r="F40" s="6" t="n"/>
      <c r="G40" s="6" t="n"/>
      <c r="H40" s="6" t="n"/>
      <c r="I40" s="6" t="n"/>
      <c r="J40" s="6" t="n"/>
      <c r="K40" s="6" t="n"/>
      <c r="L40" s="6" t="n">
        <v>-408</v>
      </c>
      <c r="M40" s="6" t="n"/>
      <c r="N40" s="6" t="n"/>
    </row>
    <row r="41">
      <c r="A41" s="5" t="inlineStr">
        <is>
          <t>Net cash used in financing activities</t>
        </is>
      </c>
      <c r="B41" s="5" t="n">
        <v>-6477</v>
      </c>
      <c r="C41" s="5" t="n">
        <v>-5055</v>
      </c>
      <c r="D41" s="5" t="n">
        <v>-5417</v>
      </c>
      <c r="E41" s="5" t="n">
        <v>-8771</v>
      </c>
      <c r="F41" s="5" t="n">
        <v>-191</v>
      </c>
      <c r="G41" s="5" t="n">
        <v>-156</v>
      </c>
      <c r="H41" s="5" t="n">
        <v>0</v>
      </c>
      <c r="I41" s="5" t="n">
        <v>-1498</v>
      </c>
      <c r="J41" s="5" t="n">
        <v>0</v>
      </c>
      <c r="K41" s="5" t="n">
        <v>0</v>
      </c>
      <c r="L41" s="5" t="n">
        <v>24289</v>
      </c>
      <c r="M41" s="5" t="n">
        <v>0</v>
      </c>
      <c r="N41" s="5" t="n">
        <v>-7200</v>
      </c>
    </row>
    <row r="42">
      <c r="A42" s="5" t="inlineStr">
        <is>
          <t>Net increase/(decrease) in cash and cash equivalents</t>
        </is>
      </c>
      <c r="B42" s="5" t="n">
        <v>116124</v>
      </c>
      <c r="C42" s="5" t="n">
        <v>221953</v>
      </c>
      <c r="D42" s="5" t="n">
        <v>-300352</v>
      </c>
      <c r="E42" s="5" t="n">
        <v>-130609</v>
      </c>
      <c r="F42" s="5" t="n">
        <v>188589</v>
      </c>
      <c r="G42" s="5" t="n">
        <v>-323492</v>
      </c>
      <c r="H42" s="5" t="n">
        <v>-879235</v>
      </c>
      <c r="I42" s="5" t="n">
        <v>1171486</v>
      </c>
      <c r="J42" s="5" t="n">
        <v>-563253</v>
      </c>
      <c r="K42" s="5" t="n">
        <v>-602737</v>
      </c>
      <c r="L42" s="5" t="n">
        <v>89188</v>
      </c>
      <c r="M42" s="5" t="n">
        <v>437439</v>
      </c>
      <c r="N42" s="5" t="n">
        <v>32049</v>
      </c>
    </row>
    <row r="43">
      <c r="A43" s="6" t="inlineStr">
        <is>
          <t>Cash and cash equivalents at the beginning of the year</t>
        </is>
      </c>
      <c r="B43" s="6" t="n">
        <v>604467</v>
      </c>
      <c r="C43" s="6" t="n">
        <v>372940</v>
      </c>
      <c r="D43" s="6" t="n">
        <v>700795</v>
      </c>
      <c r="E43" s="6" t="n">
        <v>766720</v>
      </c>
      <c r="F43" s="6" t="n">
        <v>586617</v>
      </c>
      <c r="G43" s="6" t="n">
        <v>897237</v>
      </c>
      <c r="H43" s="6" t="n">
        <v>1821651</v>
      </c>
      <c r="I43" s="6" t="n">
        <v>625253</v>
      </c>
      <c r="J43" s="6" t="n">
        <v>1226225</v>
      </c>
      <c r="K43" s="6" t="n">
        <v>1623993</v>
      </c>
      <c r="L43" s="6" t="n">
        <v>1514842</v>
      </c>
      <c r="M43" s="6" t="n">
        <v>1041466</v>
      </c>
      <c r="N43" s="6" t="n">
        <v>1014858</v>
      </c>
    </row>
    <row r="44">
      <c r="A44" s="6" t="inlineStr">
        <is>
          <t>Effect of exchange rate change on cash and cash equivalents</t>
        </is>
      </c>
      <c r="B44" s="6" t="n">
        <v>-2014</v>
      </c>
      <c r="C44" s="6" t="n">
        <v>9574</v>
      </c>
      <c r="D44" s="6" t="n">
        <v>-27503</v>
      </c>
      <c r="E44" s="6" t="n">
        <v>64684</v>
      </c>
      <c r="F44" s="6" t="n">
        <v>-8486</v>
      </c>
      <c r="G44" s="6" t="n">
        <v>12872</v>
      </c>
      <c r="H44" s="6" t="n">
        <v>-45179</v>
      </c>
      <c r="I44" s="6" t="n">
        <v>24912</v>
      </c>
      <c r="J44" s="6" t="n">
        <v>-37719</v>
      </c>
      <c r="K44" s="6" t="n">
        <v>204969</v>
      </c>
      <c r="L44" s="6" t="n">
        <v>19963</v>
      </c>
      <c r="M44" s="6" t="n">
        <v>35937</v>
      </c>
      <c r="N44" s="6" t="n">
        <v>-5441</v>
      </c>
    </row>
    <row r="45">
      <c r="A45" s="5" t="inlineStr">
        <is>
          <t>Cash and cash equivalents at the end of the year</t>
        </is>
      </c>
      <c r="B45" s="5" t="n">
        <v>718577</v>
      </c>
      <c r="C45" s="5" t="n">
        <v>604467</v>
      </c>
      <c r="D45" s="5" t="n">
        <v>372940</v>
      </c>
      <c r="E45" s="5" t="n">
        <v>700795</v>
      </c>
      <c r="F45" s="5" t="n">
        <v>766720</v>
      </c>
      <c r="G45" s="5" t="n">
        <v>586617</v>
      </c>
      <c r="H45" s="5" t="n">
        <v>897237</v>
      </c>
      <c r="I45" s="5" t="n">
        <v>1821651</v>
      </c>
      <c r="J45" s="5" t="n">
        <v>625253</v>
      </c>
      <c r="K45" s="5" t="n">
        <v>1226225</v>
      </c>
      <c r="L45" s="5" t="n">
        <v>1623993</v>
      </c>
      <c r="M45" s="5" t="n">
        <v>1514842</v>
      </c>
      <c r="N45" s="5" t="n">
        <v>1041466</v>
      </c>
    </row>
    <row r="46">
      <c r="A46" s="5" t="inlineStr">
        <is>
          <t>Cash and cash equivalents comprise</t>
        </is>
      </c>
      <c r="B46" s="6" t="n"/>
      <c r="C46" s="6" t="n"/>
      <c r="D46" s="6" t="n"/>
      <c r="E46" s="6" t="n"/>
      <c r="F46" s="6" t="n"/>
      <c r="G46" s="6" t="n"/>
      <c r="H46" s="6" t="n"/>
      <c r="I46" s="6" t="n"/>
      <c r="J46" s="6" t="n"/>
      <c r="K46" s="6" t="n"/>
      <c r="L46" s="6" t="n"/>
      <c r="M46" s="6" t="n"/>
      <c r="N46" s="6" t="n"/>
    </row>
    <row r="47">
      <c r="A47" s="6" t="inlineStr">
        <is>
          <t>Cash, notes and coin</t>
        </is>
      </c>
      <c r="B47" s="6" t="n">
        <v>0</v>
      </c>
      <c r="C47" s="6" t="n">
        <v>1</v>
      </c>
      <c r="D47" s="6" t="n">
        <v>1</v>
      </c>
      <c r="E47" s="6" t="n">
        <v>0</v>
      </c>
      <c r="F47" s="6" t="n">
        <v>218</v>
      </c>
      <c r="G47" s="6" t="n">
        <v>219</v>
      </c>
      <c r="H47" s="6" t="n">
        <v>89</v>
      </c>
      <c r="I47" s="6" t="n">
        <v>110</v>
      </c>
      <c r="J47" s="6" t="n">
        <v>143</v>
      </c>
      <c r="K47" s="6" t="n">
        <v>87</v>
      </c>
      <c r="L47" s="6" t="n">
        <v>323</v>
      </c>
      <c r="M47" s="6" t="n">
        <v>633</v>
      </c>
      <c r="N47" s="6" t="n">
        <v>223</v>
      </c>
    </row>
    <row r="48">
      <c r="A48" s="6" t="inlineStr">
        <is>
          <t>Loans and advances to banks of original maturity three months or less</t>
        </is>
      </c>
      <c r="B48" s="6" t="n">
        <v>409309</v>
      </c>
      <c r="C48" s="6" t="n">
        <v>488558</v>
      </c>
      <c r="D48" s="6" t="n">
        <v>216705</v>
      </c>
      <c r="E48" s="6" t="n">
        <v>391580</v>
      </c>
      <c r="F48" s="6" t="n">
        <v>376162</v>
      </c>
      <c r="G48" s="6" t="n">
        <v>350549</v>
      </c>
      <c r="H48" s="6" t="n">
        <v>768892</v>
      </c>
      <c r="I48" s="6" t="n">
        <v>627016</v>
      </c>
      <c r="J48" s="6" t="n">
        <v>588102</v>
      </c>
      <c r="K48" s="6" t="n">
        <v>427449</v>
      </c>
      <c r="L48" s="6" t="n">
        <v>767850</v>
      </c>
      <c r="M48" s="6" t="n">
        <v>1058934</v>
      </c>
      <c r="N48" s="6" t="n">
        <v>1031243</v>
      </c>
    </row>
    <row r="49">
      <c r="A49" s="6" t="inlineStr">
        <is>
          <t>Loans and advances to non-banks of original maturity three months or less (from FY2019 onwards)</t>
        </is>
      </c>
      <c r="B49" s="6" t="n"/>
      <c r="C49" s="6" t="n"/>
      <c r="D49" s="6" t="n"/>
      <c r="E49" s="6" t="n"/>
      <c r="F49" s="6" t="n"/>
      <c r="G49" s="6" t="n">
        <v>0</v>
      </c>
      <c r="H49" s="6" t="n">
        <v>3786</v>
      </c>
      <c r="I49" s="6" t="n">
        <v>191951</v>
      </c>
      <c r="J49" s="6" t="n"/>
      <c r="K49" s="6" t="n"/>
      <c r="L49" s="6" t="n"/>
      <c r="M49" s="6" t="n"/>
      <c r="N49" s="6" t="n"/>
    </row>
    <row r="50">
      <c r="A50" s="6" t="inlineStr">
        <is>
          <t>Debt securities/certificates of deposit of three months original maturity or less</t>
        </is>
      </c>
      <c r="B50" s="6" t="n">
        <v>309268</v>
      </c>
      <c r="C50" s="6" t="n">
        <v>115908</v>
      </c>
      <c r="D50" s="6" t="n">
        <v>156234</v>
      </c>
      <c r="E50" s="6" t="n">
        <v>309215</v>
      </c>
      <c r="F50" s="6" t="n">
        <v>390340</v>
      </c>
      <c r="G50" s="6" t="n">
        <v>235849</v>
      </c>
      <c r="H50" s="6" t="n">
        <v>124470</v>
      </c>
      <c r="I50" s="6" t="n">
        <v>1002574</v>
      </c>
      <c r="J50" s="6" t="n">
        <v>37008</v>
      </c>
      <c r="K50" s="6" t="n">
        <v>798689</v>
      </c>
      <c r="L50" s="6" t="n">
        <v>855820</v>
      </c>
      <c r="M50" s="6" t="n">
        <v>455275</v>
      </c>
      <c r="N50" s="6" t="n">
        <v>10000</v>
      </c>
    </row>
    <row r="51">
      <c r="A51" s="5" t="inlineStr">
        <is>
          <t>Cash and cash equivalents</t>
        </is>
      </c>
      <c r="B51" s="5" t="n">
        <v>718577</v>
      </c>
      <c r="C51" s="5" t="n">
        <v>604467</v>
      </c>
      <c r="D51" s="5" t="n">
        <v>372940</v>
      </c>
      <c r="E51" s="5" t="n">
        <v>700795</v>
      </c>
      <c r="F51" s="5" t="n">
        <v>766720</v>
      </c>
      <c r="G51" s="5" t="n">
        <v>586617</v>
      </c>
      <c r="H51" s="5" t="n">
        <v>897237</v>
      </c>
      <c r="I51" s="5" t="n">
        <v>1821651</v>
      </c>
      <c r="J51" s="5" t="n">
        <v>625253</v>
      </c>
      <c r="K51" s="5" t="n">
        <v>1226225</v>
      </c>
      <c r="L51" s="5" t="n">
        <v>1623993</v>
      </c>
      <c r="M51" s="5" t="n">
        <v>1514842</v>
      </c>
      <c r="N51" s="5" t="n">
        <v>1041466</v>
      </c>
    </row>
    <row r="53" ht="390" customHeight="1">
      <c r="A53" s="8" t="inlineStr">
        <is>
          <t>Sources - British Arab Commercial Bank PLC's own Statement of Cash Flow, each year from that year's own Annual Report (not a later report's restated comparative):
FY2025: Annual Report YE2025, pp.65-66 - https://files.bacb.co.uk/production/files/BACB_AnnualReportYE2025_WEB-Final.pdf
FY2024: Annual Report YE2024, pp.59-60 - https://files.bacb.co.uk/production/files/BACB_AnnualReportYE2024_WEB-Final.pdf
FY2023: Annual Report YE2023, p.60 - https://files.bacb.co.uk/production/files/BACB_AnnualReportYE2023_WEB-06.pdf
FY2022: Annual Report YE2022, p.56 - https://files.bacb.co.uk/production/files/BACB_AnnualReportYE2022_WEB-1proof-10.pdf
FY2021: Annual Report YE2021, p.48 - https://files.bacb.co.uk/production/files/BACB_AnnualReportYE2021-1.pdf
FY2020: Annual Report YE2020, p.2.4 - https://files.bacb.co.uk/production/files/BACB-Annual-Report-2020.pdf
FY2019: Annual Report YE2019, p.2.4 - https://files.bacb.co.uk/production/files/BACB_AnnualReportYE2019-print-3-opt.pdf
FY2018: Annual Report YE2018, p.2.4 - https://files.bacb.co.uk/production/files/BACB_AnnualReportYE2018-complete-6.pdf
FY2017: Annual Report (filename says 2018, cover confirms FY2017), p.31 - https://files.bacb.co.uk/production/files/BACB_AnnualReport_online-2018-v4.pdf
FY2016: Annual Report (filename says 2017, cover confirms FY2016), p.30 - https://files.bacb.co.uk/production/files/BACB_AnnualReport_online-2017.pdf
FY2015: Annual Report YE2015, p.31 - https://files.bacb.co.uk/production/files/Report-Financials-2015-FINAL-18032016.pdf
FY2014: Annual Report YE2014, p.30 - https://files.bacb.co.uk/production/files/Annual-Report-2014-Final.pdf
FY2013: Full accounts made up to 31 December 2013, filed with Companies House 18 Mar 2014, p.25 (Statement of Cash Flow) - https://find-and-update.company-information.service.gov.uk/company/01047302/filing-history/MzA5NjQ2MjMzMmFkaXF6a2N4/document?format=pdf&amp;download=0
British Arab Commercial Bank PLC ("BACB"), company 01047302 (incorporated 1972 as UBAF Limited, renamed British Arab Commercial Bank Limited 1996, re-registered as a public company 2009), FRN 204564. Owned by a consortium: Libyan Foreign Bank 85.95% (wholly owned by the Central Bank of Libya), Banque Exterieure d'Algerie 7.025%, Banque Centrale Populaire (Morocco) 7.025%. Single UK entity, no subsidiaries/associates, no prudential consolidation. Does NOT take the FRS 101/102 cash-flow exemption - full Statement of Cash Flow every year. GBP throughout, no FX conversion needed. Companies House status: Active, no going-concern issues found in any of the 5 Annual Reports (unqualified audits throughout).
RESTATEMENTS: this bank's own cash flow comparatives shift modestly between report vintages (e.g. FY2021's "Net cash gained from operating activities" is 189,594 in the 2021 report's own figures vs 189,407 in 2022's comparative; FY2024's is 227,828 in 2024's own report vs 227,636 in 2025's comparative) - each year's column here uses that year's own originally-published report, per project convention, not a later report's restated comparative.
HISTORICAL DEPTH (FY2014-FY2020, added under HD-051, capped at FY2014 project-wide by 2026-09-05 user decision - the Bank's own archive goes back further but pre-CRD IV/Basel III Pillar 3 data isn't comparable and 2008-2012 crisis-era data is out of scope): FY2014's own report states Net pension liability GBP2,614k; FY2015's own report's FY2014 comparative restates this to GBP3,268k, with an exactly offsetting GBP654k reduction in FY2014's 'Deferred taxation' comparative (GBP1,183k in FY2014's own report vs GBP529k in FY2015's FY2014 comparative) - Total liabilities/equity unaffected either way, a reclass between two liability lines, not a genuine balance change - FY2014's own figures for both lines are used here, per this same convention. A similar small GBP38k reclass between Retained earnings and the Fair Value reserve exists between FY2020's own closing equity balance and FY2021's own opening balance (Total equity unaffected), shown as an explicit reclassification row at that transition, same as the other such reclasses already noted below. IFRS 9 replaced IAS 39 from 1 January 2018: FY2014-FY2017's own Balance Sheets have no 'Fair Value reserve' line (an 'AFS reserve' instead, renamed at IFRS 9 transition); FY2018's own report shows the transition adjustment (GBP7,447k impairment reclass + GBP1,288k DTA impact) as an explicit restated-opening-balance line between the FY2017 closing and FY2018 opening equity balances, shown as such below. FY2018 was a large loss year (GBP35,308k loss) driven by the IFRS 9 day-1 impairment build and a GBP59,043k allowance for credit losses charge - a genuine result, not a data error.
HISTORICAL DEPTH FY2013 (added under HD-072, statutory statements only - Pillar 3/Asset Quality/RWA Breakdown untouched, per that ticket's scope): sourced from Companies House, not bacb.co.uk (no FY2013 Annual Report PDF found on the Bank's own file server - only FY2014 onward). FY2013's own filed accounts state Loans and advances to customers GBP456,896k and a combined Debt securities/Equity shares/Shares in bank undertakings total of GBP760,316k (GBP746,475k + GBP13,841k + GBP0k, shown here as 'Financial investments' to match later years' single-line presentation); FY2014's own report's FY2013 comparative column restates these to GBP450,839k and GBP766,373k respectively - an exact GBP6,057k reclass between the two lines, Total assets unaffected (GBP2,402,148k either way). FY2013's own originally-filed figures are used here, per this same convention.</t>
        </is>
      </c>
    </row>
  </sheetData>
  <mergeCells count="1">
    <mergeCell ref="A53:N5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Asset Quality / Credit Risk Disclosures</t>
        </is>
      </c>
    </row>
    <row r="2">
      <c r="A2" s="2" t="inlineStr">
        <is>
          <t>Loans and advances to customers by IFRS 9 stage, £'000. Bank entity basis.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by IFRS 9 stage (gross exposure)</t>
        </is>
      </c>
      <c r="B4" s="6" t="n"/>
      <c r="C4" s="6" t="n"/>
      <c r="D4" s="6" t="n"/>
      <c r="E4" s="6" t="n"/>
      <c r="F4" s="6" t="n"/>
      <c r="G4" s="6" t="n"/>
      <c r="H4" s="6" t="n"/>
      <c r="I4" s="6" t="n"/>
      <c r="J4" s="6" t="n"/>
      <c r="K4" s="6" t="n"/>
      <c r="L4" s="6" t="n"/>
      <c r="M4" s="6" t="n"/>
    </row>
    <row r="5">
      <c r="A5" s="6" t="inlineStr">
        <is>
          <t>Stage 1 (12-month ECL)</t>
        </is>
      </c>
      <c r="B5" s="6" t="n">
        <v>270253</v>
      </c>
      <c r="C5" s="6" t="n"/>
      <c r="D5" s="6" t="n">
        <v>254360</v>
      </c>
      <c r="E5" s="6" t="n"/>
      <c r="F5" s="6" t="n">
        <v>417375</v>
      </c>
      <c r="G5" s="6" t="n">
        <v>360471</v>
      </c>
      <c r="H5" s="6" t="n">
        <v>480522</v>
      </c>
      <c r="I5" s="6" t="n">
        <v>826480</v>
      </c>
      <c r="J5" s="6" t="n"/>
      <c r="K5" s="6" t="n"/>
      <c r="L5" s="6" t="n"/>
      <c r="M5" s="6" t="n"/>
    </row>
    <row r="6">
      <c r="A6" s="6" t="inlineStr">
        <is>
          <t>Stage 2 (lifetime ECL, not credit-impaired)</t>
        </is>
      </c>
      <c r="B6" s="6" t="n">
        <v>36036</v>
      </c>
      <c r="C6" s="6" t="n"/>
      <c r="D6" s="6" t="n">
        <v>102165</v>
      </c>
      <c r="E6" s="6" t="n"/>
      <c r="F6" s="6" t="n">
        <v>69314</v>
      </c>
      <c r="G6" s="6" t="n">
        <v>222279</v>
      </c>
      <c r="H6" s="6" t="n">
        <v>151173</v>
      </c>
      <c r="I6" s="6" t="n">
        <v>130467</v>
      </c>
      <c r="J6" s="6" t="n"/>
      <c r="K6" s="6" t="n"/>
      <c r="L6" s="6" t="n"/>
      <c r="M6" s="6" t="n"/>
    </row>
    <row r="7">
      <c r="A7" s="6" t="inlineStr">
        <is>
          <t>Stage 3 (lifetime ECL, credit-impaired / default)</t>
        </is>
      </c>
      <c r="B7" s="6" t="n">
        <v>49098</v>
      </c>
      <c r="C7" s="6" t="n"/>
      <c r="D7" s="6" t="n">
        <v>43879</v>
      </c>
      <c r="E7" s="6" t="n"/>
      <c r="F7" s="6" t="n">
        <v>11038</v>
      </c>
      <c r="G7" s="6" t="n">
        <v>58099</v>
      </c>
      <c r="H7" s="6" t="n">
        <v>84760</v>
      </c>
      <c r="I7" s="6" t="n">
        <v>211138</v>
      </c>
      <c r="J7" s="6" t="n"/>
      <c r="K7" s="6" t="n"/>
      <c r="L7" s="6" t="n"/>
      <c r="M7" s="6" t="n"/>
    </row>
    <row r="8">
      <c r="A8" s="5" t="inlineStr">
        <is>
          <t>Total gross exposure</t>
        </is>
      </c>
      <c r="B8" s="5" t="n">
        <v>355387</v>
      </c>
      <c r="C8" s="5" t="n"/>
      <c r="D8" s="5" t="n">
        <v>400404</v>
      </c>
      <c r="E8" s="5" t="n"/>
      <c r="F8" s="5" t="n">
        <v>497727</v>
      </c>
      <c r="G8" s="5" t="n">
        <v>640849</v>
      </c>
      <c r="H8" s="5" t="n">
        <v>716455</v>
      </c>
      <c r="I8" s="5" t="n">
        <v>1168085</v>
      </c>
      <c r="J8" s="5" t="n"/>
      <c r="K8" s="5" t="n"/>
      <c r="L8" s="5" t="n"/>
      <c r="M8" s="5" t="n"/>
    </row>
    <row r="9">
      <c r="A9" s="5" t="inlineStr">
        <is>
          <t>Loss allowance, by stage</t>
        </is>
      </c>
      <c r="B9" s="6" t="n"/>
      <c r="C9" s="6" t="n"/>
      <c r="D9" s="6" t="n"/>
      <c r="E9" s="6" t="n"/>
      <c r="F9" s="6" t="n"/>
      <c r="G9" s="6" t="n"/>
      <c r="H9" s="6" t="n"/>
      <c r="I9" s="6" t="n"/>
      <c r="J9" s="6" t="n"/>
      <c r="K9" s="6" t="n"/>
      <c r="L9" s="6" t="n"/>
      <c r="M9" s="6" t="n"/>
    </row>
    <row r="10">
      <c r="A10" s="6" t="inlineStr">
        <is>
          <t>Stage 1 allowance</t>
        </is>
      </c>
      <c r="B10" s="6" t="n">
        <v>-266</v>
      </c>
      <c r="C10" s="6" t="n"/>
      <c r="D10" s="6" t="n">
        <v>-229</v>
      </c>
      <c r="E10" s="6" t="n"/>
      <c r="F10" s="6" t="n">
        <v>-632</v>
      </c>
      <c r="G10" s="6" t="n">
        <v>-1342</v>
      </c>
      <c r="H10" s="6" t="n">
        <v>-1063</v>
      </c>
      <c r="I10" s="6" t="n">
        <v>-1840</v>
      </c>
      <c r="J10" s="6" t="n"/>
      <c r="K10" s="6" t="n"/>
      <c r="L10" s="6" t="n"/>
      <c r="M10" s="6" t="n"/>
    </row>
    <row r="11">
      <c r="A11" s="6" t="inlineStr">
        <is>
          <t>Stage 2 allowance</t>
        </is>
      </c>
      <c r="B11" s="6" t="n">
        <v>-628</v>
      </c>
      <c r="C11" s="6" t="n"/>
      <c r="D11" s="6" t="n">
        <v>-2442</v>
      </c>
      <c r="E11" s="6" t="n"/>
      <c r="F11" s="6" t="n">
        <v>-4388</v>
      </c>
      <c r="G11" s="6" t="n">
        <v>-5764</v>
      </c>
      <c r="H11" s="6" t="n">
        <v>-3700</v>
      </c>
      <c r="I11" s="6" t="n">
        <v>-3371</v>
      </c>
      <c r="J11" s="6" t="n"/>
      <c r="K11" s="6" t="n"/>
      <c r="L11" s="6" t="n"/>
      <c r="M11" s="6" t="n"/>
    </row>
    <row r="12">
      <c r="A12" s="6" t="inlineStr">
        <is>
          <t>Stage 3 allowance</t>
        </is>
      </c>
      <c r="B12" s="6" t="n">
        <v>-931</v>
      </c>
      <c r="C12" s="6" t="n"/>
      <c r="D12" s="6" t="n">
        <v>-9166</v>
      </c>
      <c r="E12" s="6" t="n"/>
      <c r="F12" s="6" t="n">
        <v>-8171</v>
      </c>
      <c r="G12" s="6" t="n">
        <v>-51214</v>
      </c>
      <c r="H12" s="6" t="n">
        <v>-60178</v>
      </c>
      <c r="I12" s="6" t="n">
        <v>-81713</v>
      </c>
      <c r="J12" s="6" t="n"/>
      <c r="K12" s="6" t="n"/>
      <c r="L12" s="6" t="n"/>
      <c r="M12" s="6" t="n"/>
    </row>
    <row r="13">
      <c r="A13" s="5" t="inlineStr">
        <is>
          <t>Total loss allowance</t>
        </is>
      </c>
      <c r="B13" s="5" t="n">
        <v>-1825</v>
      </c>
      <c r="C13" s="5" t="n"/>
      <c r="D13" s="5" t="n">
        <v>-11837</v>
      </c>
      <c r="E13" s="5" t="n"/>
      <c r="F13" s="5" t="n">
        <v>-13191</v>
      </c>
      <c r="G13" s="5" t="n">
        <v>-58320</v>
      </c>
      <c r="H13" s="5" t="n">
        <v>-64941</v>
      </c>
      <c r="I13" s="5" t="n">
        <v>-86924</v>
      </c>
      <c r="J13" s="5" t="n"/>
      <c r="K13" s="5" t="n"/>
      <c r="L13" s="5" t="n"/>
      <c r="M13" s="5" t="n"/>
    </row>
    <row r="14">
      <c r="A14" s="5" t="inlineStr">
        <is>
          <t>Carrying amount (= Balance Sheet's Loans and advances to customers)</t>
        </is>
      </c>
      <c r="B14" s="5" t="n">
        <v>353562</v>
      </c>
      <c r="C14" s="5" t="n">
        <v>387260</v>
      </c>
      <c r="D14" s="5" t="n">
        <v>388567</v>
      </c>
      <c r="E14" s="5" t="n">
        <v>463780</v>
      </c>
      <c r="F14" s="5" t="n">
        <v>484536</v>
      </c>
      <c r="G14" s="5" t="n">
        <v>582529</v>
      </c>
      <c r="H14" s="5" t="n">
        <v>651514</v>
      </c>
      <c r="I14" s="5" t="n">
        <v>1081161</v>
      </c>
      <c r="J14" s="5" t="n"/>
      <c r="K14" s="5" t="n"/>
      <c r="L14" s="5" t="n"/>
      <c r="M14" s="5" t="n"/>
    </row>
    <row r="15">
      <c r="A15" s="5" t="inlineStr">
        <is>
          <t>Ratios (FY2024/FY2022 not computable - see note)</t>
        </is>
      </c>
      <c r="B15" s="6" t="n"/>
      <c r="C15" s="6" t="n"/>
      <c r="D15" s="6" t="n"/>
      <c r="E15" s="6" t="n"/>
      <c r="F15" s="6" t="n"/>
      <c r="G15" s="6" t="n"/>
      <c r="H15" s="6" t="n"/>
      <c r="I15" s="6" t="n"/>
      <c r="J15" s="6" t="n"/>
      <c r="K15" s="6" t="n"/>
      <c r="L15" s="6" t="n"/>
      <c r="M15" s="6" t="n"/>
    </row>
    <row r="16">
      <c r="A16" s="6" t="inlineStr">
        <is>
          <t>Stage 3 exposure ratio (Stage 3 / total gross exposure)</t>
        </is>
      </c>
      <c r="B16" s="6" t="inlineStr">
        <is>
          <t>13.82%</t>
        </is>
      </c>
      <c r="C16" s="6" t="n"/>
      <c r="D16" s="6" t="inlineStr">
        <is>
          <t>10.96%</t>
        </is>
      </c>
      <c r="E16" s="6" t="n"/>
      <c r="F16" s="6" t="inlineStr">
        <is>
          <t>2.22%</t>
        </is>
      </c>
      <c r="G16" s="6" t="inlineStr">
        <is>
          <t>9.07%</t>
        </is>
      </c>
      <c r="H16" s="6" t="inlineStr">
        <is>
          <t>11.83%</t>
        </is>
      </c>
      <c r="I16" s="6" t="inlineStr">
        <is>
          <t>18.08%</t>
        </is>
      </c>
      <c r="J16" s="6" t="n"/>
      <c r="K16" s="6" t="n"/>
      <c r="L16" s="6" t="n"/>
      <c r="M16" s="6" t="n"/>
    </row>
    <row r="17">
      <c r="A17" s="6" t="inlineStr">
        <is>
          <t>Stage 3 coverage ratio (Stage 3 allowance / Stage 3 exposure)</t>
        </is>
      </c>
      <c r="B17" s="6" t="inlineStr">
        <is>
          <t>1.90%</t>
        </is>
      </c>
      <c r="C17" s="6" t="n"/>
      <c r="D17" s="6" t="inlineStr">
        <is>
          <t>20.89%</t>
        </is>
      </c>
      <c r="E17" s="6" t="n"/>
      <c r="F17" s="6" t="inlineStr">
        <is>
          <t>74.03%</t>
        </is>
      </c>
      <c r="G17" s="6" t="inlineStr">
        <is>
          <t>88.15%</t>
        </is>
      </c>
      <c r="H17" s="6" t="inlineStr">
        <is>
          <t>71.00%</t>
        </is>
      </c>
      <c r="I17" s="6" t="inlineStr">
        <is>
          <t>38.70%</t>
        </is>
      </c>
      <c r="J17" s="6" t="n"/>
      <c r="K17" s="6" t="n"/>
      <c r="L17" s="6" t="n"/>
      <c r="M17" s="6" t="n"/>
    </row>
    <row r="18">
      <c r="A18" s="6" t="inlineStr">
        <is>
          <t>Overall coverage ratio (total allowance / total gross exposure)</t>
        </is>
      </c>
      <c r="B18" s="6" t="inlineStr">
        <is>
          <t>0.51%</t>
        </is>
      </c>
      <c r="C18" s="6" t="n"/>
      <c r="D18" s="6" t="inlineStr">
        <is>
          <t>2.96%</t>
        </is>
      </c>
      <c r="E18" s="6" t="n"/>
      <c r="F18" s="6" t="inlineStr">
        <is>
          <t>2.65%</t>
        </is>
      </c>
      <c r="G18" s="6" t="inlineStr">
        <is>
          <t>9.10%</t>
        </is>
      </c>
      <c r="H18" s="6" t="inlineStr">
        <is>
          <t>9.06%</t>
        </is>
      </c>
      <c r="I18" s="6" t="inlineStr">
        <is>
          <t>7.44%</t>
        </is>
      </c>
      <c r="J18" s="6" t="n"/>
      <c r="K18" s="6" t="n"/>
      <c r="L18" s="6" t="n"/>
      <c r="M18" s="6" t="n"/>
    </row>
    <row r="19">
      <c r="A19" s="5" t="inlineStr">
        <is>
          <t>Pre-IFRS 9 (FY2014-FY2017): impairment provision against Loans and advances to customers (IAS 39 individual/collective model - not a Stage 1/2/3 equivalent, see note)</t>
        </is>
      </c>
      <c r="B19" s="6" t="n"/>
      <c r="C19" s="6" t="n"/>
      <c r="D19" s="6" t="n"/>
      <c r="E19" s="6" t="n"/>
      <c r="F19" s="6" t="n"/>
      <c r="G19" s="6" t="n"/>
      <c r="H19" s="6" t="n"/>
      <c r="I19" s="6" t="n"/>
      <c r="J19" s="6" t="n"/>
      <c r="K19" s="6" t="n"/>
      <c r="L19" s="6" t="n"/>
      <c r="M19" s="6" t="n"/>
    </row>
    <row r="20">
      <c r="A20" s="6" t="inlineStr">
        <is>
          <t>Individual impairment provision</t>
        </is>
      </c>
      <c r="B20" s="6" t="n"/>
      <c r="C20" s="6" t="n"/>
      <c r="D20" s="6" t="n"/>
      <c r="E20" s="6" t="n"/>
      <c r="F20" s="6" t="n"/>
      <c r="G20" s="6" t="n"/>
      <c r="H20" s="6" t="n"/>
      <c r="I20" s="6" t="n"/>
      <c r="J20" s="6" t="n">
        <v>-47994</v>
      </c>
      <c r="K20" s="6" t="n">
        <v>-40719</v>
      </c>
      <c r="L20" s="6" t="n">
        <v>-26360</v>
      </c>
      <c r="M20" s="6" t="n">
        <v>-23331</v>
      </c>
    </row>
    <row r="21">
      <c r="A21" s="6" t="inlineStr">
        <is>
          <t>Collective impairment provision</t>
        </is>
      </c>
      <c r="B21" s="6" t="n"/>
      <c r="C21" s="6" t="n"/>
      <c r="D21" s="6" t="n"/>
      <c r="E21" s="6" t="n"/>
      <c r="F21" s="6" t="n"/>
      <c r="G21" s="6" t="n"/>
      <c r="H21" s="6" t="n"/>
      <c r="I21" s="6" t="n"/>
      <c r="J21" s="6" t="n">
        <v>-809</v>
      </c>
      <c r="K21" s="6" t="n">
        <v>-250</v>
      </c>
      <c r="L21" s="6" t="n">
        <v>-1431</v>
      </c>
      <c r="M21" s="6" t="n">
        <v>-784</v>
      </c>
    </row>
    <row r="22">
      <c r="A22" s="5" t="inlineStr">
        <is>
          <t>Total impairment provision</t>
        </is>
      </c>
      <c r="B22" s="5" t="n"/>
      <c r="C22" s="5" t="n"/>
      <c r="D22" s="5" t="n"/>
      <c r="E22" s="5" t="n"/>
      <c r="F22" s="5" t="n"/>
      <c r="G22" s="5" t="n"/>
      <c r="H22" s="5" t="n"/>
      <c r="I22" s="5" t="n"/>
      <c r="J22" s="5" t="n">
        <v>-48803</v>
      </c>
      <c r="K22" s="5" t="n">
        <v>-40969</v>
      </c>
      <c r="L22" s="5" t="n">
        <v>-27791</v>
      </c>
      <c r="M22" s="5" t="n">
        <v>-24115</v>
      </c>
    </row>
    <row r="23">
      <c r="A23" s="6" t="inlineStr">
        <is>
          <t>Estimated gross Loans and advances to customers (carrying amount + impairment provision)</t>
        </is>
      </c>
      <c r="B23" s="6" t="n"/>
      <c r="C23" s="6" t="n"/>
      <c r="D23" s="6" t="n"/>
      <c r="E23" s="6" t="n"/>
      <c r="F23" s="6" t="n"/>
      <c r="G23" s="6" t="n"/>
      <c r="H23" s="6" t="n"/>
      <c r="I23" s="6" t="n"/>
      <c r="J23" s="6" t="n">
        <v>1117392</v>
      </c>
      <c r="K23" s="6" t="n">
        <v>905280</v>
      </c>
      <c r="L23" s="6" t="n">
        <v>713471</v>
      </c>
      <c r="M23" s="6" t="n">
        <v>495490</v>
      </c>
    </row>
    <row r="24">
      <c r="A24" s="6" t="inlineStr">
        <is>
          <t>Overall coverage ratio (total provision / estimated gross loans)</t>
        </is>
      </c>
      <c r="B24" s="6" t="n"/>
      <c r="C24" s="6" t="n"/>
      <c r="D24" s="6" t="n"/>
      <c r="E24" s="6" t="n"/>
      <c r="F24" s="6" t="n"/>
      <c r="G24" s="6" t="n"/>
      <c r="H24" s="6" t="n"/>
      <c r="I24" s="6" t="n"/>
      <c r="J24" s="6" t="inlineStr">
        <is>
          <t>4.37%</t>
        </is>
      </c>
      <c r="K24" s="6" t="inlineStr">
        <is>
          <t>4.53%</t>
        </is>
      </c>
      <c r="L24" s="6" t="inlineStr">
        <is>
          <t>3.90%</t>
        </is>
      </c>
      <c r="M24" s="6" t="inlineStr">
        <is>
          <t>4.87%</t>
        </is>
      </c>
    </row>
    <row r="26" ht="280" customHeight="1">
      <c r="A26" s="8" t="inlineStr">
        <is>
          <t>Sources - British Arab Commercial Bank PLC's own 'Credit quality analysis' note (Loans and advances to customers only, £'000), each year from that year's own Annual Report:
FY2025: Annual Report YE2025, p.95 - https://files.bacb.co.uk/production/files/BACB_AnnualReportYE2025_WEB-Final.pdf
FY2023: Annual Report YE2023, p.83 - https://files.bacb.co.uk/production/files/BACB_AnnualReportYE2023_WEB-06.pdf
FY2021: Annual Report YE2021, p.72 - https://files.bacb.co.uk/production/files/BACB_AnnualReportYE2021-1.pdf
FY2020: Annual Report YE2020, p.2.34 - https://files.bacb.co.uk/production/files/BACB-Annual-Report-2020.pdf
FY2019: Annual Report YE2019, p.2.35 - https://files.bacb.co.uk/production/files/BACB_AnnualReportYE2019-print-3-opt.pdf
FY2018: Annual Report YE2018, p.2.29 - https://files.bacb.co.uk/production/files/BACB_AnnualReportYE2018-complete-6.pdf
FY2024 and FY2022's own Annual Reports (checked in full) present credit quality only via a single grade-based table spanning all financial assets combined (cash, loans, debt securities, derivatives) - no customer-loan-specific Stage 1/2/3 split that year, unlike FY2025/FY2023/FY2021's own reports. Genuine finding: the Stage 3 exposure ratio rose sharply (2.22% FY2021 -&gt; 13.82% FY2025) while the Stage 3 coverage ratio fell sharply (74.03% FY2021 -&gt; 1.90% FY2025) - consistent with the Bank's own disclosed credit-grade migration and write-off activity, not a data error.
Pre-IFRS 9 (FY2014-FY2017) impairment provision figures - British Arab Commercial Bank PLC's own 'Net charge for impairment losses on loans and advances' note, each year from that year's own Annual Report:
FY2017: Annual Report (filename says 2018, confirmed FY2017), p.55 - https://files.bacb.co.uk/production/files/BACB_AnnualReport_online-2018-v4.pdf
FY2016: Annual Report (filename says 2017, confirmed FY2016), p.53 - https://files.bacb.co.uk/production/files/BACB_AnnualReport_online-2017.pdf
FY2015: Annual Report YE2015, p.48 - https://files.bacb.co.uk/production/files/Report-Financials-2015-FINAL-18032016.pdf
FY2014: Annual Report YE2014, p.59 - https://files.bacb.co.uk/production/files/Annual-Report-2014-Final.pdf
IFRS 9 (adopted 1 January 2018) replaced IAS 39's individual/collective impairment model with the forward-looking Stage 1/2/3 ECL model used from FY2018 onwards - these two blocks are not directly comparable and are shown as separate sections rather than forced into a single set of columns. Genuine restatement: FY2014's own report states its impairment provision split as Individual GBP23,331k / Collective GBP784k; FY2015's own report's FY2014 comparative restates this split to GBP22,755k / GBP1,360k (the total, GBP24,115k, is identical either way) - FY2014's own split is used here, per project convention.</t>
        </is>
      </c>
    </row>
  </sheetData>
  <mergeCells count="1">
    <mergeCell ref="A26:M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1"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9.00%</t>
        </is>
      </c>
      <c r="C4" s="6" t="inlineStr">
        <is>
          <t>11.73%</t>
        </is>
      </c>
      <c r="D4" s="6" t="inlineStr">
        <is>
          <t>12.67%</t>
        </is>
      </c>
      <c r="E4" s="6" t="inlineStr">
        <is>
          <t>7.23%</t>
        </is>
      </c>
      <c r="F4" s="6" t="inlineStr">
        <is>
          <t>6.40%</t>
        </is>
      </c>
      <c r="G4" s="6" t="inlineStr">
        <is>
          <t>7.69%</t>
        </is>
      </c>
      <c r="H4" s="6" t="inlineStr">
        <is>
          <t>4.41%</t>
        </is>
      </c>
      <c r="I4" s="6" t="inlineStr">
        <is>
          <t>-18.34%</t>
        </is>
      </c>
      <c r="J4" s="6" t="inlineStr">
        <is>
          <t>3.21%</t>
        </is>
      </c>
      <c r="K4" s="6" t="inlineStr">
        <is>
          <t>1.30%</t>
        </is>
      </c>
      <c r="L4" s="6" t="inlineStr">
        <is>
          <t>-7.04%</t>
        </is>
      </c>
      <c r="M4" s="6" t="n"/>
    </row>
    <row r="5">
      <c r="A5" s="6" t="inlineStr">
        <is>
          <t>Return on equity - year-end equity basis</t>
        </is>
      </c>
      <c r="B5" s="6" t="inlineStr">
        <is>
          <t>8.67%</t>
        </is>
      </c>
      <c r="C5" s="6" t="inlineStr">
        <is>
          <t>11.16%</t>
        </is>
      </c>
      <c r="D5" s="6" t="inlineStr">
        <is>
          <t>11.99%</t>
        </is>
      </c>
      <c r="E5" s="6" t="inlineStr">
        <is>
          <t>7.29%</t>
        </is>
      </c>
      <c r="F5" s="6" t="inlineStr">
        <is>
          <t>6.20%</t>
        </is>
      </c>
      <c r="G5" s="6" t="inlineStr">
        <is>
          <t>7.32%</t>
        </is>
      </c>
      <c r="H5" s="6" t="inlineStr">
        <is>
          <t>4.29%</t>
        </is>
      </c>
      <c r="I5" s="6" t="inlineStr">
        <is>
          <t>-20.99%</t>
        </is>
      </c>
      <c r="J5" s="6" t="inlineStr">
        <is>
          <t>3.15%</t>
        </is>
      </c>
      <c r="K5" s="6" t="inlineStr">
        <is>
          <t>1.30%</t>
        </is>
      </c>
      <c r="L5" s="6" t="inlineStr">
        <is>
          <t>-6.90%</t>
        </is>
      </c>
      <c r="M5" s="6" t="inlineStr">
        <is>
          <t>2.34%</t>
        </is>
      </c>
    </row>
    <row r="6">
      <c r="A6" s="6" t="inlineStr">
        <is>
          <t>Return on assets - average assets basis</t>
        </is>
      </c>
      <c r="B6" s="6" t="inlineStr">
        <is>
          <t>0.72%</t>
        </is>
      </c>
      <c r="C6" s="6" t="inlineStr">
        <is>
          <t>0.91%</t>
        </is>
      </c>
      <c r="D6" s="6" t="inlineStr">
        <is>
          <t>0.90%</t>
        </is>
      </c>
      <c r="E6" s="6" t="inlineStr">
        <is>
          <t>0.51%</t>
        </is>
      </c>
      <c r="F6" s="6" t="inlineStr">
        <is>
          <t>0.49%</t>
        </is>
      </c>
      <c r="G6" s="6" t="inlineStr">
        <is>
          <t>0.54%</t>
        </is>
      </c>
      <c r="H6" s="6" t="inlineStr">
        <is>
          <t>0.23%</t>
        </is>
      </c>
      <c r="I6" s="6" t="inlineStr">
        <is>
          <t>-1.03%</t>
        </is>
      </c>
      <c r="J6" s="6" t="inlineStr">
        <is>
          <t>0.23%</t>
        </is>
      </c>
      <c r="K6" s="6" t="inlineStr">
        <is>
          <t>0.09%</t>
        </is>
      </c>
      <c r="L6" s="6" t="inlineStr">
        <is>
          <t>-0.49%</t>
        </is>
      </c>
      <c r="M6" s="6" t="n"/>
    </row>
    <row r="7">
      <c r="A7" s="6" t="inlineStr">
        <is>
          <t>Return on assets - year-end assets basis</t>
        </is>
      </c>
      <c r="B7" s="6" t="inlineStr">
        <is>
          <t>0.73%</t>
        </is>
      </c>
      <c r="C7" s="6" t="inlineStr">
        <is>
          <t>0.86%</t>
        </is>
      </c>
      <c r="D7" s="6" t="inlineStr">
        <is>
          <t>0.93%</t>
        </is>
      </c>
      <c r="E7" s="6" t="inlineStr">
        <is>
          <t>0.47%</t>
        </is>
      </c>
      <c r="F7" s="6" t="inlineStr">
        <is>
          <t>0.47%</t>
        </is>
      </c>
      <c r="G7" s="6" t="inlineStr">
        <is>
          <t>0.57%</t>
        </is>
      </c>
      <c r="H7" s="6" t="inlineStr">
        <is>
          <t>0.27%</t>
        </is>
      </c>
      <c r="I7" s="6" t="inlineStr">
        <is>
          <t>-0.91%</t>
        </is>
      </c>
      <c r="J7" s="6" t="inlineStr">
        <is>
          <t>0.23%</t>
        </is>
      </c>
      <c r="K7" s="6" t="inlineStr">
        <is>
          <t>0.09%</t>
        </is>
      </c>
      <c r="L7" s="6" t="inlineStr">
        <is>
          <t>-0.48%</t>
        </is>
      </c>
      <c r="M7" s="6" t="inlineStr">
        <is>
          <t>0.16%</t>
        </is>
      </c>
    </row>
    <row r="8">
      <c r="A8" s="6" t="inlineStr">
        <is>
          <t>Return on initial invested capital (as published)</t>
        </is>
      </c>
      <c r="B8" s="6" t="inlineStr">
        <is>
          <t>21.5%</t>
        </is>
      </c>
      <c r="C8" s="6" t="inlineStr">
        <is>
          <t>Not published</t>
        </is>
      </c>
      <c r="D8" s="6" t="inlineStr">
        <is>
          <t>Not published</t>
        </is>
      </c>
      <c r="E8" s="6" t="inlineStr">
        <is>
          <t>Not published</t>
        </is>
      </c>
      <c r="F8" s="6" t="inlineStr">
        <is>
          <t>Not published</t>
        </is>
      </c>
      <c r="G8" s="6" t="n"/>
      <c r="H8" s="6" t="n"/>
      <c r="I8" s="6" t="n"/>
      <c r="J8" s="6" t="n"/>
      <c r="K8" s="6" t="n"/>
      <c r="L8" s="6" t="n"/>
      <c r="M8" s="6" t="n"/>
    </row>
    <row r="9" ht="182"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initial invested capital: “Based on Profit After Tax for the year divided by Shareholder's funds (Called up share capital and Capital redemption reserve).”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FY2018, where return on equity is -18.34% on an average basis and -20.99% on a year-end basis.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FY2024 Return on initial invested capital 25.9%; FY2023 Return on initial invested capital 26.3%; FY2022 Return on initial invested capital 13.8%; FY2021 Return on initial invested capital 12.0%.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British Arab Commercial Bank PLC's Annual Report and Accounts for each year; see the source cells on the Balance Sheet and Profit &amp; Loss sheets for the exact document, page and table behind every input to every percentage above.
The '(as published)' rows are quoted verbatim from British Arab Commercial Bank PLC's own disclosures and are recorded, with the exact document, page and verification state for each, in research/profitability/published_returns.jsonl under ‘BRITISH ARAB COMMERCIAL BANK’.</t>
        </is>
      </c>
    </row>
  </sheetData>
  <mergeCells count="2">
    <mergeCell ref="A11:M11"/>
    <mergeCell ref="A9:M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British Arab Commercial Bank PLC — KM1 Key Metrics</t>
        </is>
      </c>
    </row>
    <row r="2">
      <c r="A2" s="2" t="inlineStr">
        <is>
          <t>The bank's own published UK KM1 key-metrics template, reproduced in BACB's row order with its own template row numbers and printed precision. Amounts in £000s, ratios as printed, single-entity basis (no prudential consolidation). FY2025-FY2022 from each year's own Pillar 3 Disclosures; FY2021 is the 2022 edition's comparative column. FY2020 and earlier are intentionally blank - the UK KM1 template first appears in BACB's FY2022 disclosure.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£000s)</t>
        </is>
      </c>
      <c r="B4" s="6" t="n"/>
      <c r="C4" s="6" t="n"/>
      <c r="D4" s="6" t="n"/>
      <c r="E4" s="6" t="n"/>
      <c r="F4" s="6" t="n"/>
    </row>
    <row r="5">
      <c r="A5" s="6" t="inlineStr">
        <is>
          <t>1    Common Equity Tier 1 (CET1) capital</t>
        </is>
      </c>
      <c r="B5" s="6" t="n">
        <v>266352</v>
      </c>
      <c r="C5" s="6" t="n">
        <v>245034</v>
      </c>
      <c r="D5" s="6" t="n">
        <v>223772</v>
      </c>
      <c r="E5" s="6" t="n">
        <v>197516</v>
      </c>
      <c r="F5" s="6" t="n">
        <v>199873</v>
      </c>
    </row>
    <row r="6">
      <c r="A6" s="6" t="inlineStr">
        <is>
          <t>2    Tier 1 capital</t>
        </is>
      </c>
      <c r="B6" s="6" t="n">
        <v>266352</v>
      </c>
      <c r="C6" s="6" t="n">
        <v>245034</v>
      </c>
      <c r="D6" s="6" t="n">
        <v>223772</v>
      </c>
      <c r="E6" s="6" t="n">
        <v>197516</v>
      </c>
      <c r="F6" s="6" t="n">
        <v>199873</v>
      </c>
    </row>
    <row r="7">
      <c r="A7" s="6" t="inlineStr">
        <is>
          <t>3    Total capital</t>
        </is>
      </c>
      <c r="B7" s="6" t="n">
        <v>334756</v>
      </c>
      <c r="C7" s="6" t="n">
        <v>318553</v>
      </c>
      <c r="D7" s="6" t="n">
        <v>276133</v>
      </c>
      <c r="E7" s="6" t="n">
        <v>267579</v>
      </c>
      <c r="F7" s="6" t="n">
        <v>270130</v>
      </c>
    </row>
    <row r="8">
      <c r="A8" s="5" t="inlineStr">
        <is>
          <t>Risk-weighted exposure amounts (£000s)</t>
        </is>
      </c>
      <c r="B8" s="6" t="n"/>
      <c r="C8" s="6" t="n"/>
      <c r="D8" s="6" t="n"/>
      <c r="E8" s="6" t="n"/>
      <c r="F8" s="6" t="n"/>
    </row>
    <row r="9">
      <c r="A9" s="6" t="inlineStr">
        <is>
          <t>4    Total risk-weighted exposure amount</t>
        </is>
      </c>
      <c r="B9" s="6" t="n">
        <v>1924184</v>
      </c>
      <c r="C9" s="6" t="n">
        <v>1571106</v>
      </c>
      <c r="D9" s="6" t="n">
        <v>1240666</v>
      </c>
      <c r="E9" s="6" t="n">
        <v>1231445</v>
      </c>
      <c r="F9" s="6" t="n">
        <v>1085219</v>
      </c>
    </row>
    <row r="10">
      <c r="A10" s="5" t="inlineStr">
        <is>
          <t>Capital ratios (as a percentage of risk-weighted exposure amount)</t>
        </is>
      </c>
      <c r="B10" s="6" t="n"/>
      <c r="C10" s="6" t="n"/>
      <c r="D10" s="6" t="n"/>
      <c r="E10" s="6" t="n"/>
      <c r="F10" s="6" t="n"/>
    </row>
    <row r="11">
      <c r="A11" s="6" t="inlineStr">
        <is>
          <t>5    Common Equity Tier 1 ratio (%)</t>
        </is>
      </c>
      <c r="B11" s="6" t="inlineStr">
        <is>
          <t>13.8%</t>
        </is>
      </c>
      <c r="C11" s="6" t="inlineStr">
        <is>
          <t>15.6%</t>
        </is>
      </c>
      <c r="D11" s="6" t="inlineStr">
        <is>
          <t>18.0%</t>
        </is>
      </c>
      <c r="E11" s="6" t="inlineStr">
        <is>
          <t>16.0%</t>
        </is>
      </c>
      <c r="F11" s="6" t="inlineStr">
        <is>
          <t>18.4%</t>
        </is>
      </c>
    </row>
    <row r="12">
      <c r="A12" s="6" t="inlineStr">
        <is>
          <t>6    Tier 1 ratio (%)</t>
        </is>
      </c>
      <c r="B12" s="6" t="inlineStr">
        <is>
          <t>13.8%</t>
        </is>
      </c>
      <c r="C12" s="6" t="inlineStr">
        <is>
          <t>15.6%</t>
        </is>
      </c>
      <c r="D12" s="6" t="inlineStr">
        <is>
          <t>18.0%</t>
        </is>
      </c>
      <c r="E12" s="6" t="inlineStr">
        <is>
          <t>16.0%</t>
        </is>
      </c>
      <c r="F12" s="6" t="inlineStr">
        <is>
          <t>18.4%</t>
        </is>
      </c>
    </row>
    <row r="13">
      <c r="A13" s="6" t="inlineStr">
        <is>
          <t>7    Total capital ratio (%)</t>
        </is>
      </c>
      <c r="B13" s="6" t="inlineStr">
        <is>
          <t>17.4%</t>
        </is>
      </c>
      <c r="C13" s="6" t="inlineStr">
        <is>
          <t>20.3%</t>
        </is>
      </c>
      <c r="D13" s="6" t="inlineStr">
        <is>
          <t>22.3%</t>
        </is>
      </c>
      <c r="E13" s="6" t="inlineStr">
        <is>
          <t>21.7%</t>
        </is>
      </c>
      <c r="F13" s="6" t="inlineStr">
        <is>
          <t>24.9%</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1.7%</t>
        </is>
      </c>
      <c r="C15" s="6" t="inlineStr">
        <is>
          <t>2.6%</t>
        </is>
      </c>
      <c r="D15" s="6" t="inlineStr">
        <is>
          <t>2.6%</t>
        </is>
      </c>
      <c r="E15" s="6" t="inlineStr">
        <is>
          <t>1.9%</t>
        </is>
      </c>
      <c r="F15" s="6" t="inlineStr">
        <is>
          <t>1.9%</t>
        </is>
      </c>
    </row>
    <row r="16">
      <c r="A16" s="6" t="inlineStr">
        <is>
          <t>UK 7b    Additional AT1 SREP requirements (%)</t>
        </is>
      </c>
      <c r="B16" s="6" t="inlineStr">
        <is>
          <t>0.6%</t>
        </is>
      </c>
      <c r="C16" s="6" t="inlineStr">
        <is>
          <t>0.9%</t>
        </is>
      </c>
      <c r="D16" s="6" t="inlineStr">
        <is>
          <t>0.9%</t>
        </is>
      </c>
      <c r="E16" s="6" t="inlineStr">
        <is>
          <t>0.6%</t>
        </is>
      </c>
      <c r="F16" s="6" t="inlineStr">
        <is>
          <t>0.6%</t>
        </is>
      </c>
    </row>
    <row r="17">
      <c r="A17" s="6" t="inlineStr">
        <is>
          <t>UK 7c    Additional T2 SREP requirements (%)</t>
        </is>
      </c>
      <c r="B17" s="6" t="inlineStr">
        <is>
          <t>0.8%</t>
        </is>
      </c>
      <c r="C17" s="6" t="inlineStr">
        <is>
          <t>1.1%</t>
        </is>
      </c>
      <c r="D17" s="6" t="inlineStr">
        <is>
          <t>1.1%</t>
        </is>
      </c>
      <c r="E17" s="6" t="inlineStr">
        <is>
          <t>0.8%</t>
        </is>
      </c>
      <c r="F17" s="6" t="inlineStr">
        <is>
          <t>0.8%</t>
        </is>
      </c>
    </row>
    <row r="18">
      <c r="A18" s="6" t="inlineStr">
        <is>
          <t>UK 7d    Total SREP own funds requirements (%)</t>
        </is>
      </c>
      <c r="B18" s="6" t="inlineStr">
        <is>
          <t>11.0%</t>
        </is>
      </c>
      <c r="C18" s="6" t="inlineStr">
        <is>
          <t>12.6%</t>
        </is>
      </c>
      <c r="D18" s="6" t="inlineStr">
        <is>
          <t>12.6%</t>
        </is>
      </c>
      <c r="E18" s="6" t="inlineStr">
        <is>
          <t>11.4%</t>
        </is>
      </c>
      <c r="F18" s="6" t="inlineStr">
        <is>
          <t>11.4%</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UK 8a    Conservation buffer due to macro-prudential or systemic risk identified at the level of a Member State (%)</t>
        </is>
      </c>
      <c r="B21" s="6" t="n"/>
      <c r="C21" s="6" t="n"/>
      <c r="D21" s="6" t="n"/>
      <c r="E21" s="6" t="n"/>
      <c r="F21" s="6" t="n"/>
    </row>
    <row r="22">
      <c r="A22" s="6" t="inlineStr">
        <is>
          <t>9    Institution specific countercyclical capital buffer (%)</t>
        </is>
      </c>
      <c r="B22" s="6" t="inlineStr">
        <is>
          <t>0.4%</t>
        </is>
      </c>
      <c r="C22" s="6" t="inlineStr">
        <is>
          <t>0.5%</t>
        </is>
      </c>
      <c r="D22" s="6" t="inlineStr">
        <is>
          <t>0.6%</t>
        </is>
      </c>
      <c r="E22" s="6" t="inlineStr">
        <is>
          <t>0.3%</t>
        </is>
      </c>
      <c r="F22" s="6" t="inlineStr">
        <is>
          <t>0.0%</t>
        </is>
      </c>
    </row>
    <row r="23">
      <c r="A23" s="6" t="inlineStr">
        <is>
          <t>UK 9a    Systemic risk buffer (%)</t>
        </is>
      </c>
      <c r="B23" s="6" t="n"/>
      <c r="C23" s="6" t="n"/>
      <c r="D23" s="6" t="n"/>
      <c r="E23" s="6" t="n"/>
      <c r="F23" s="6" t="n"/>
    </row>
    <row r="24">
      <c r="A24" s="6" t="inlineStr">
        <is>
          <t>10    Global Systemically Important Institution buffer (%)</t>
        </is>
      </c>
      <c r="B24" s="6" t="n"/>
      <c r="C24" s="6" t="n"/>
      <c r="D24" s="6" t="n"/>
      <c r="E24" s="6" t="n"/>
      <c r="F24" s="6" t="n"/>
    </row>
    <row r="25">
      <c r="A25" s="6" t="inlineStr">
        <is>
          <t>UK 10a    Other Systemically Important Institution buffer</t>
        </is>
      </c>
      <c r="B25" s="6" t="n"/>
      <c r="C25" s="6" t="n"/>
      <c r="D25" s="6" t="n"/>
      <c r="E25" s="6" t="n"/>
      <c r="F25" s="6" t="n"/>
    </row>
    <row r="26">
      <c r="A26" s="6" t="inlineStr">
        <is>
          <t>11    Combined buffer requirement (%)</t>
        </is>
      </c>
      <c r="B26" s="6" t="inlineStr">
        <is>
          <t>2.9%</t>
        </is>
      </c>
      <c r="C26" s="6" t="inlineStr">
        <is>
          <t>3.0%</t>
        </is>
      </c>
      <c r="D26" s="6" t="inlineStr">
        <is>
          <t>3.1%</t>
        </is>
      </c>
      <c r="E26" s="6" t="inlineStr">
        <is>
          <t>2.8%</t>
        </is>
      </c>
      <c r="F26" s="6" t="inlineStr">
        <is>
          <t>2.5%</t>
        </is>
      </c>
    </row>
    <row r="27">
      <c r="A27" s="6" t="inlineStr">
        <is>
          <t>UK 11a    Overall capital requirements (%)</t>
        </is>
      </c>
      <c r="B27" s="6" t="inlineStr">
        <is>
          <t>14.0%</t>
        </is>
      </c>
      <c r="C27" s="6" t="inlineStr">
        <is>
          <t>15.6%</t>
        </is>
      </c>
      <c r="D27" s="6" t="inlineStr">
        <is>
          <t>15.6%</t>
        </is>
      </c>
      <c r="E27" s="6" t="inlineStr">
        <is>
          <t>14.2%</t>
        </is>
      </c>
      <c r="F27" s="6" t="inlineStr">
        <is>
          <t>13.9%</t>
        </is>
      </c>
    </row>
    <row r="28">
      <c r="A28" s="6" t="inlineStr">
        <is>
          <t>12    CET1 available after meeting the total SREP own funds requirements (%)</t>
        </is>
      </c>
      <c r="B28" s="6" t="inlineStr">
        <is>
          <t>7.6%</t>
        </is>
      </c>
      <c r="C28" s="6" t="inlineStr">
        <is>
          <t>8.5%</t>
        </is>
      </c>
      <c r="D28" s="6" t="inlineStr">
        <is>
          <t>11.0%</t>
        </is>
      </c>
      <c r="E28" s="6" t="inlineStr">
        <is>
          <t>9.6%</t>
        </is>
      </c>
      <c r="F28" s="6" t="inlineStr">
        <is>
          <t>12.0%</t>
        </is>
      </c>
    </row>
    <row r="29">
      <c r="A29" s="5" t="inlineStr">
        <is>
          <t>Leverage ratio (£000s / %)</t>
        </is>
      </c>
      <c r="B29" s="6" t="n"/>
      <c r="C29" s="6" t="n"/>
      <c r="D29" s="6" t="n"/>
      <c r="E29" s="6" t="n"/>
      <c r="F29" s="6" t="n"/>
    </row>
    <row r="30">
      <c r="A30" s="6" t="inlineStr">
        <is>
          <t>13    Leverage ratio total exposure measure</t>
        </is>
      </c>
      <c r="B30" s="6" t="n">
        <v>3721160</v>
      </c>
      <c r="C30" s="6" t="n">
        <v>3704792</v>
      </c>
      <c r="D30" s="6" t="n">
        <v>3296264</v>
      </c>
      <c r="E30" s="6" t="n">
        <v>3450485</v>
      </c>
      <c r="F30" s="6" t="n">
        <v>2981975</v>
      </c>
    </row>
    <row r="31">
      <c r="A31" s="6" t="inlineStr">
        <is>
          <t>14    Leverage ratio</t>
        </is>
      </c>
      <c r="B31" s="6" t="inlineStr">
        <is>
          <t>7.2%</t>
        </is>
      </c>
      <c r="C31" s="6" t="inlineStr">
        <is>
          <t>6.6%</t>
        </is>
      </c>
      <c r="D31" s="6" t="inlineStr">
        <is>
          <t>6.8%</t>
        </is>
      </c>
      <c r="E31" s="6" t="inlineStr">
        <is>
          <t>5.7%</t>
        </is>
      </c>
      <c r="F31" s="6" t="inlineStr">
        <is>
          <t>6.7%</t>
        </is>
      </c>
    </row>
    <row r="32">
      <c r="A32" s="5" t="inlineStr">
        <is>
          <t>Additional own funds requirements to address risks of excessive leverage (as a percentage of leverage ratio total exposure amount)</t>
        </is>
      </c>
      <c r="B32" s="6" t="n"/>
      <c r="C32" s="6" t="n"/>
      <c r="D32" s="6" t="n"/>
      <c r="E32" s="6" t="n"/>
      <c r="F32" s="6" t="n"/>
    </row>
    <row r="33">
      <c r="A33" s="6" t="inlineStr">
        <is>
          <t>UK 14a    Additional CET1 leverage ratio requirements (%)</t>
        </is>
      </c>
      <c r="B33" s="6" t="n"/>
      <c r="C33" s="6" t="n"/>
      <c r="D33" s="6" t="inlineStr">
        <is>
          <t>-</t>
        </is>
      </c>
      <c r="E33" s="6" t="n"/>
      <c r="F33" s="6" t="n"/>
    </row>
    <row r="34">
      <c r="A34" s="6" t="inlineStr">
        <is>
          <t>UK 14b    Additional AT1 leverage ratio requirements (%)</t>
        </is>
      </c>
      <c r="B34" s="6" t="n"/>
      <c r="C34" s="6" t="n"/>
      <c r="D34" s="6" t="inlineStr">
        <is>
          <t>-</t>
        </is>
      </c>
      <c r="E34" s="6" t="n"/>
      <c r="F34" s="6" t="n"/>
    </row>
    <row r="35">
      <c r="A35" s="6" t="inlineStr">
        <is>
          <t>UK 14c    Additional T2 leverage ratio requirements (%)</t>
        </is>
      </c>
      <c r="B35" s="6" t="n"/>
      <c r="C35" s="6" t="n"/>
      <c r="D35" s="6" t="inlineStr">
        <is>
          <t>-</t>
        </is>
      </c>
      <c r="E35" s="6" t="n"/>
      <c r="F35" s="6" t="n"/>
    </row>
    <row r="36">
      <c r="A36" s="6" t="inlineStr">
        <is>
          <t>UK 14d    Total SREP leverage ratio requirements (%)</t>
        </is>
      </c>
      <c r="B36" s="6" t="n"/>
      <c r="C36" s="6" t="n"/>
      <c r="D36" s="6" t="inlineStr">
        <is>
          <t>-</t>
        </is>
      </c>
      <c r="E36" s="6" t="n"/>
      <c r="F36" s="6" t="n"/>
    </row>
    <row r="37">
      <c r="A37" s="6" t="inlineStr">
        <is>
          <t>UK 14e    Applicable leverage buffer</t>
        </is>
      </c>
      <c r="B37" s="6" t="n"/>
      <c r="C37" s="6" t="n"/>
      <c r="D37" s="6" t="inlineStr">
        <is>
          <t>-</t>
        </is>
      </c>
      <c r="E37" s="6" t="n"/>
      <c r="F37" s="6" t="n"/>
    </row>
    <row r="38">
      <c r="A38" s="6" t="inlineStr">
        <is>
          <t>UK 14f    Overall leverage ratio requirements (%)</t>
        </is>
      </c>
      <c r="B38" s="6" t="n"/>
      <c r="C38" s="6" t="n"/>
      <c r="D38" s="6" t="inlineStr">
        <is>
          <t>-</t>
        </is>
      </c>
      <c r="E38" s="6" t="n"/>
      <c r="F38" s="6" t="n"/>
    </row>
    <row r="39">
      <c r="A39" s="5" t="inlineStr">
        <is>
          <t>Liquidity Coverage Ratio (£000s / %)</t>
        </is>
      </c>
      <c r="B39" s="6" t="n"/>
      <c r="C39" s="6" t="n"/>
      <c r="D39" s="6" t="n"/>
      <c r="E39" s="6" t="n"/>
      <c r="F39" s="6" t="n"/>
    </row>
    <row r="40">
      <c r="A40" s="6" t="inlineStr">
        <is>
          <t>15    Total high-quality liquid assets (HQLA) (Weighted value -average)</t>
        </is>
      </c>
      <c r="B40" s="6" t="n">
        <v>1317356</v>
      </c>
      <c r="C40" s="6" t="n">
        <v>1444002</v>
      </c>
      <c r="D40" s="6" t="n">
        <v>1423835</v>
      </c>
      <c r="E40" s="6" t="n">
        <v>1301435</v>
      </c>
      <c r="F40" s="6" t="n">
        <v>1012861</v>
      </c>
    </row>
    <row r="41">
      <c r="A41" s="6" t="inlineStr">
        <is>
          <t>UK 16a    Cash outflows - Total weighted value</t>
        </is>
      </c>
      <c r="B41" s="6" t="n">
        <v>1218359</v>
      </c>
      <c r="C41" s="6" t="n">
        <v>1011061</v>
      </c>
      <c r="D41" s="6" t="n">
        <v>999496</v>
      </c>
      <c r="E41" s="6" t="n">
        <v>918619</v>
      </c>
      <c r="F41" s="6" t="n">
        <v>904235</v>
      </c>
    </row>
    <row r="42">
      <c r="A42" s="6" t="inlineStr">
        <is>
          <t>UK 16b    Cash inflows - Total weighted value</t>
        </is>
      </c>
      <c r="B42" s="6" t="n">
        <v>642449</v>
      </c>
      <c r="C42" s="6" t="n">
        <v>532017</v>
      </c>
      <c r="D42" s="6" t="n">
        <v>463575</v>
      </c>
      <c r="E42" s="6" t="n">
        <v>379546</v>
      </c>
      <c r="F42" s="6" t="n">
        <v>478805</v>
      </c>
    </row>
    <row r="43">
      <c r="A43" s="6" t="inlineStr">
        <is>
          <t>16    Total net cash outflows (adjusted value)</t>
        </is>
      </c>
      <c r="B43" s="6" t="n">
        <v>575910</v>
      </c>
      <c r="C43" s="6" t="n">
        <v>479044</v>
      </c>
      <c r="D43" s="6" t="n">
        <v>535921</v>
      </c>
      <c r="E43" s="6" t="n">
        <v>539073</v>
      </c>
      <c r="F43" s="6" t="n">
        <v>425620</v>
      </c>
    </row>
    <row r="44">
      <c r="A44" s="6" t="inlineStr">
        <is>
          <t>17    Liquidity coverage ratio (%)</t>
        </is>
      </c>
      <c r="B44" s="6" t="inlineStr">
        <is>
          <t>234%</t>
        </is>
      </c>
      <c r="C44" s="6" t="inlineStr">
        <is>
          <t>327%</t>
        </is>
      </c>
      <c r="D44" s="6" t="inlineStr">
        <is>
          <t>271%</t>
        </is>
      </c>
      <c r="E44" s="6" t="inlineStr">
        <is>
          <t>254%</t>
        </is>
      </c>
      <c r="F44" s="6" t="inlineStr">
        <is>
          <t>276%</t>
        </is>
      </c>
    </row>
    <row r="45">
      <c r="A45" s="5" t="inlineStr">
        <is>
          <t>Net Stable Funding Ratio (£000s / %)</t>
        </is>
      </c>
      <c r="B45" s="6" t="n"/>
      <c r="C45" s="6" t="n"/>
      <c r="D45" s="6" t="n"/>
      <c r="E45" s="6" t="n"/>
      <c r="F45" s="6" t="n"/>
    </row>
    <row r="46">
      <c r="A46" s="6" t="inlineStr">
        <is>
          <t>18    Total available stable funding</t>
        </is>
      </c>
      <c r="B46" s="6" t="n">
        <v>1128295</v>
      </c>
      <c r="C46" s="6" t="n">
        <v>1037035</v>
      </c>
      <c r="D46" s="6" t="n">
        <v>967179</v>
      </c>
      <c r="E46" s="6" t="n">
        <v>933833</v>
      </c>
      <c r="F46" s="6" t="inlineStr">
        <is>
          <t>-</t>
        </is>
      </c>
    </row>
    <row r="47">
      <c r="A47" s="6" t="inlineStr">
        <is>
          <t>19    Total required stable funding</t>
        </is>
      </c>
      <c r="B47" s="6" t="n">
        <v>680515</v>
      </c>
      <c r="C47" s="6" t="n">
        <v>649132</v>
      </c>
      <c r="D47" s="6" t="n">
        <v>640365</v>
      </c>
      <c r="E47" s="6" t="n">
        <v>723950</v>
      </c>
      <c r="F47" s="6" t="inlineStr">
        <is>
          <t>-</t>
        </is>
      </c>
    </row>
    <row r="48">
      <c r="A48" s="6" t="inlineStr">
        <is>
          <t>20    NSFR ratio (%)</t>
        </is>
      </c>
      <c r="B48" s="6" t="inlineStr">
        <is>
          <t>166%</t>
        </is>
      </c>
      <c r="C48" s="6" t="inlineStr">
        <is>
          <t>160%</t>
        </is>
      </c>
      <c r="D48" s="6" t="inlineStr">
        <is>
          <t>151%</t>
        </is>
      </c>
      <c r="E48" s="6" t="inlineStr">
        <is>
          <t>130%</t>
        </is>
      </c>
      <c r="F48" s="6" t="inlineStr">
        <is>
          <t>-</t>
        </is>
      </c>
    </row>
    <row r="50" ht="409" customHeight="1">
      <c r="A50" s="8" t="inlineStr">
        <is>
          <t>Sources - British Arab Commercial Bank PLC, "UK KM1 - Key metrics template", £000s, reproduced as printed. BACB is a single entity with no subsidiaries or associates and performs no prudential consolidation, so there is one basis and one column per date:
FY2025: 2025 Pillar 3 Disclosures, section 1.5 KEY METRICS, p.6 (own year) - https://files.bacb.co.uk/production/files/BACB_Pillar3_YE2025web-03.pdf
FY2024: 2024 Pillar 3 Disclosures, section 1.5 KEY METRICS, p.6 (own year) - https://files.bacb.co.uk/production/files/BACB_Pillar3_YE2024web-05.pdf
FY2023: 2023 Pillar 3 Disclosures, section 1.5 KEY METRICS, p.6 (own year) - https://files.bacb.co.uk/production/files/BACB_Pillar3YE2023-03-002.pdf
FY2022: 2022 Pillar 3 Disclosures, section 1.6 KEY METRICS, p.7 (own year) - https://files.bacb.co.uk/production/files/BACB_Pillar3YE2022-1.pdf
FY2021: the 31/12/2021 COMPARATIVE column of the 2022 Pillar 3 Disclosures' same table, p.7 - https://files.bacb.co.uk/production/files/BACB_Pillar3YE2022-1.pdf
FY2020 and earlier: blank. The UK KM1 template first appears in BACB's FY2022 disclosure.
KM1 presentation notes:
• THE FY2024 AND FY2025 TABLES CARRY NO TEXT LAYER, and that is a defect in the source worth recording. Text extraction from those two PDFs returns the "1.5 KEY METRICS" heading and the footnotes below the table but not a single table cell, in both raw and layout modes - so an automated text search reports "no KM1" for the two most recent years of a bank that plainly publishes one. (BACB's own Pillar 3 inventory entry in this project did exactly that before this pass.) The two editions fail in different ways: the FY2024 table is a single 695x602 embedded bitmap at 106 ppi (`pdfimages -list` shows it), while the FY2025 page carries NO embedded image at all - its table is drawn as vector graphics with the text as outlines, invisible to extraction and invisible to any image-presence test too.
• HOW THESE TWO COLUMNS WERE READ. Each figure was transcribed TWICE, from two independent renderings, and the two readings agree digit for digit: FY2024 from a 220 dpi full-page render (`pdftoppm -r 220 -f 6 -l 6`) and, separately, from the embedded bitmap extracted at its native resolution (`pdfimages -png`) and upscaled; FY2025 from a 220 dpi full-page render and, separately, from a 330 dpi render cropped in two halves. Both years were then cross-checked against this workbook's Pillar 3 metric sheets, transcribed independently at an earlier pass from the same documents, which agree.
• WHY FY2021 IS A COMPARATIVE COLUMN: the 2021 Pillar 3 and Remuneration Code Disclosures contain no KM1 template. Their "Key Metrics 2021" (p.4) is an infographic of seven circles - CET1 capital £199.9m (2020: £192m), total regulatory capital £270m (2020: £264m), CET1 ratio 18.4% (2020: 17.4%), total capital ratio 24.9% (2020: 24.0%), total RWAs £1,085m (2020: £1,101m), leverage ratio 6.7% (2020: 7.1%), average LCR 276% (2020: 215%) - not a table and not the template. The 2022 edition's own comparative column is the only 31/12/2021 column BACB has printed on the UK template, and it agrees with the infographic to the rounding the infographic uses.
• ROWS 18-20 FOR FY2021 CARRY '-' FOR A PRINTED "N/A" (KM1 map rule 2; GA-020, 2026-09-19): the glyph the 2022 edition prints is "N/A", the bank's own word, not a blank and not a zero. The 2022 edition's footnote 3 reads: "These disclosures are based on the PRA's disclosure templates and instructions which came into force on 1 January 2022. 'N/A' in prior periods indicate that the disclosure is new or changed and no comparatives are available." It is reproduced verbatim rather than back-filled from an older basis.
• FY2022 IS SHOWN AS ORIGINALLY PUBLISHED, NOT RESTATED. The 2023 edition asterisks its 31/12/2022 comparative rows and footnotes "To ensure consistency of presentation 2022 comparative numbers for Key Metrics denoted with an asterisk have been amended". Its restated FY2022 values differ in eight rows: row 4 RWA 1,224,488 (as published 1,231,445); rows 5/6 16.1% (16.0%); row 7 21.9% (21.7%); row 12 9.7% (9.6%); row 13 3,450,902 (3,450,485); row 18 available stable funding 944,798 (933,833); row 19 required stable funding 734,667 (723,950); row 20 NSFR 129% (130%). The as-published figures are used above, matching the CET1 Ratio, Total Capital Ratio and Total RWAs sheets, which carry the same note.
• ONE FURTHER CROSS-EDITION INCONSISTENCY, recorded and not reconciled: the 2023 edition prints FY2023 total capital as 276,133 (and its own UK CC1 template agrees, row 59); the 2024 edition's 31/12/2023 comparative prints 276,130. The figure above is the one from the edition in which FY2023 is the reporting year.</t>
        </is>
      </c>
    </row>
    <row r="52" ht="409" customHeight="1">
      <c r="A52" s="8" t="inlineStr">
        <is>
          <t>(continued)
• ROW SET DRIFT: only the 2023 edition prints rows UK 8a, UK 9a, 10 and UK 10a (all with empty value cells) and the UK 14a-14f excessive-leverage block (every cell printed "NA" - carried above as '-' per KM1 map rule 2 - with footnote 2 "Leverage ratio requirements are not applicable to BACB"). The 2022, 2024 and 2025 editions omit all ten rows. The union is shown above in the template's canonical order, so the sheet matches the table a reader of the 2023 report would recognise; no disclosed figure is lost either way.
• LABEL DRIFT WITHIN ONE BANK, reproduced as the bank prints it in the edition each year comes from: the 2025 edition shortens row 5 to "CET1 ratio (%)" (2022-2024: "Common Equity Tier 1 ratio (%)"), row 20 to "NSFR (%)" (2022-2024: "NSFR ratio (%)") and row 15 to "(weighted value-average)" (2022-2024: "(Weighted value -average)"). The canonical longer forms are used for the row captions above, since a caption has to serve all five columns; the variants are recorded here.
• ROWS 13/14 CARRY NO CENTRAL-BANK-CLAIMS QUALIFIER IN ANY EDITION. BACB captions them simply "Leverage ratio total exposure measure" and "Leverage ratio" from FY2022 through FY2025, never adopting the "excluding claims on central banks" wording other banks switched to on 1 January 2022. The captions above are the bank's own, and no basis break is asserted here that the bank did not print.
• BASIS: all capital figures and ratios are under the Article 473a UK CRR IFRS 9 transitional arrangements (footnote 1 in every edition). Rows 15-17 are a 12-month average and rows 18-20 a four-quarter average (footnote 2/3 in every edition). The 2025 edition adds footnote 3 to row 4: from 31 December 2025 BACB moved counterparty credit risk from the Original Exposure Method to SA-CCR as part of implementing Moody's Banking Cloud, which reduced RWAs by about £3m.
LATEST-EDITION CHECK 2026-09-16: read BACB's own index at https://www.bacb.co.uk/financial/pillar-iii-disclosures (and /financial/annual-report). The newest documents listed are BACB_Pillar3_YE2025web-03.pdf and BACB_AnnualReportYE2025_WEB-Final.pdf, both of which this workbook already cites. BACB's year-end is 31 December, so no FY2026 disclosure can yet exist. The index also confirms, independently of the Wayback evidence already recorded on the metric sheets, that no 2020-labelled Pillar 3 document is published. Checked, none newer. (Note the index page returns HTTP 403 to a default user-agent and 200 to a browser one - a block, never an absence.)
British Arab Commercial Bank PLC ("BACB"), company 01047302 (incorporated 1972 as UBAF Limited, renamed British Arab Commercial Bank Limited 1996, re-registered as a public company 2009), FRN 204564. Owned by a consortium: Libyan Foreign Bank 85.95% (wholly owned by the Central Bank of Libya), Banque Exterieure d'Algerie 7.025%, Banque Centrale Populaire (Morocco) 7.025%. Single UK entity, no subsidiaries/associates, no prudential consolidation. Does NOT take the FRS 101/102 cash-flow exemption - full Statement of Cash Flow every year. GBP throughout, no FX conversion needed. Companies House status: Active, no going-concern issues found in any of the 5 Annual Reports (unqualified audits throughout).
RESTATEMENTS: this bank's own cash flow comparatives shift modestly between report vintages (e.g. FY2021's "Net cash gained from operating activities" is 189,594 in the 2021 report's own figures vs 189,407 in 2022's comparative; FY2024's is 227,828 in 2024's own report vs 227,636 in 2025's comparative) - each year's column here uses that year's own originally-published report, per project convention, not a later report's restated comparative.</t>
        </is>
      </c>
    </row>
    <row r="54" ht="409" customHeight="1">
      <c r="A54" s="8" t="inlineStr">
        <is>
          <t>(continued)
HISTORICAL DEPTH (FY2014-FY2020, added under HD-051, capped at FY2014 project-wide by 2026-09-05 user decision - the Bank's own archive goes back further but pre-CRD IV/Basel III Pillar 3 data isn't comparable and 2008-2012 crisis-era data is out of scope): FY2014's own report states Net pension liability GBP2,614k; FY2015's own report's FY2014 comparative restates this to GBP3,268k, with an exactly offsetting GBP654k reduction in FY2014's 'Deferred taxation' comparative (GBP1,183k in FY2014's own report vs GBP529k in FY2015's FY2014 comparative) - Total liabilities/equity unaffected either way, a reclass between two liability lines, not a genuine balance change - FY2014's own figures for both lines are used here, per this same convention. A similar small GBP38k reclass between Retained earnings and the Fair Value reserve exists between FY2020's own closing equity balance and FY2021's own opening balance (Total equity unaffected), shown as an explicit reclassification row at that transition, same as the other such reclasses already noted below. IFRS 9 replaced IAS 39 from 1 January 2018: FY2014-FY2017's own Balance Sheets have no 'Fair Value reserve' line (an 'AFS reserve' instead, renamed at IFRS 9 transition); FY2018's own report shows the transition adjustment (GBP7,447k impairment reclass + GBP1,288k DTA impact) as an explicit restated-opening-balance line between the FY2017 closing and FY2018 opening equity balances, shown as such below. FY2018 was a large loss year (GBP35,308k loss) driven by the IFRS 9 day-1 impairment build and a GBP59,043k allowance for credit losses charge - a genuine result, not a data error.
HISTORICAL DEPTH FY2013 (added under HD-072, statutory statements only - Pillar 3/Asset Quality/RWA Breakdown untouched, per that ticket's scope): sourced from Companies House, not bacb.co.uk (no FY2013 Annual Report PDF found on the Bank's own file server - only FY2014 onward). FY2013's own filed accounts state Loans and advances to customers GBP456,896k and a combined Debt securities/Equity shares/Shares in bank undertakings total of GBP760,316k (GBP746,475k + GBP13,841k + GBP0k, shown here as 'Financial investments' to match later years' single-line presentation); FY2014's own report's FY2013 comparative column restates these to GBP450,839k and GBP766,373k respectively - an exact GBP6,057k reclass between the two lines, Total assets unaffected (GBP2,402,148k either way). FY2013's own originally-filed figures are used here, per this same convention.</t>
        </is>
      </c>
    </row>
  </sheetData>
  <mergeCells count="3">
    <mergeCell ref="A54:F54"/>
    <mergeCell ref="A52:F52"/>
    <mergeCell ref="A50:F5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266352</v>
      </c>
      <c r="C4" s="6" t="n">
        <v>245034</v>
      </c>
      <c r="D4" s="6" t="n">
        <v>223772</v>
      </c>
      <c r="E4" s="6" t="n">
        <v>197516</v>
      </c>
      <c r="F4" s="6" t="n">
        <v>199873</v>
      </c>
      <c r="G4" s="6" t="n">
        <v>192041</v>
      </c>
      <c r="H4" s="6" t="n">
        <v>170824</v>
      </c>
      <c r="I4" s="6" t="n">
        <v>161218</v>
      </c>
      <c r="J4" s="6" t="n">
        <v>209247</v>
      </c>
      <c r="K4" s="6" t="n">
        <v>203089</v>
      </c>
      <c r="L4" s="6" t="n">
        <v>208273</v>
      </c>
      <c r="M4" s="6" t="n">
        <v>194652</v>
      </c>
    </row>
    <row r="6" ht="221"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t>
        </is>
      </c>
      <c r="B4" s="6" t="inlineStr">
        <is>
          <t>13.8%</t>
        </is>
      </c>
      <c r="C4" s="6" t="inlineStr">
        <is>
          <t>15.6%</t>
        </is>
      </c>
      <c r="D4" s="6" t="inlineStr">
        <is>
          <t>18.0%</t>
        </is>
      </c>
      <c r="E4" s="6" t="inlineStr">
        <is>
          <t>16.0%</t>
        </is>
      </c>
      <c r="F4" s="6" t="inlineStr">
        <is>
          <t>18.4%</t>
        </is>
      </c>
      <c r="G4" s="6" t="inlineStr">
        <is>
          <t>17.4%</t>
        </is>
      </c>
      <c r="H4" s="6" t="inlineStr">
        <is>
          <t>14.1%</t>
        </is>
      </c>
      <c r="I4" s="6" t="inlineStr">
        <is>
          <t>9.9%</t>
        </is>
      </c>
      <c r="J4" s="6" t="inlineStr">
        <is>
          <t>12.1%</t>
        </is>
      </c>
      <c r="K4" s="6" t="inlineStr">
        <is>
          <t>14.3%</t>
        </is>
      </c>
      <c r="L4" s="6" t="inlineStr">
        <is>
          <t>15.3%</t>
        </is>
      </c>
      <c r="M4" s="6" t="inlineStr">
        <is>
          <t>18.2%</t>
        </is>
      </c>
    </row>
    <row r="5" ht="30" customHeight="1">
      <c r="A5" s="7" t="inlineStr">
        <is>
          <t>Note: FY2022's Total RWA/CET1/Tier1/Total Capital ratios shown here are as originally published in the 2022 Pillar 3 Disclosures (RWA 1,231,445). The 2023 Pillar 3 Disclosures' own FY2022 comparative column restates this to 1,224,488 (footnoted 'amended for consistency of presentation') with correspondingly adjusted ratios (16.1% CET1/Tier1, 21.9% Total Capital) - the originally-published figure is used here, per project convention.</t>
        </is>
      </c>
    </row>
    <row r="7" ht="221" customHeight="1">
      <c r="A7"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Tier 1 Capital</t>
        </is>
      </c>
    </row>
    <row r="2">
      <c r="A2" s="2" t="inlineStr">
        <is>
          <t>£'000 (= CET1 capital; no AT1 instruments)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266352</v>
      </c>
      <c r="C4" s="6" t="n">
        <v>245034</v>
      </c>
      <c r="D4" s="6" t="n">
        <v>223772</v>
      </c>
      <c r="E4" s="6" t="n">
        <v>197516</v>
      </c>
      <c r="F4" s="6" t="n">
        <v>199873</v>
      </c>
      <c r="G4" s="6" t="n">
        <v>192041</v>
      </c>
      <c r="H4" s="6" t="n">
        <v>170824</v>
      </c>
      <c r="I4" s="6" t="n">
        <v>161218</v>
      </c>
      <c r="J4" s="6" t="n">
        <v>209247</v>
      </c>
      <c r="K4" s="6" t="n">
        <v>203089</v>
      </c>
      <c r="L4" s="6" t="n">
        <v>208273</v>
      </c>
      <c r="M4" s="6" t="n">
        <v>194652</v>
      </c>
    </row>
    <row r="6" ht="221"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1">
    <mergeCell ref="A6:M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13.8%</t>
        </is>
      </c>
      <c r="C4" s="6" t="inlineStr">
        <is>
          <t>15.6%</t>
        </is>
      </c>
      <c r="D4" s="6" t="inlineStr">
        <is>
          <t>18.0%</t>
        </is>
      </c>
      <c r="E4" s="6" t="inlineStr">
        <is>
          <t>16.0%</t>
        </is>
      </c>
      <c r="F4" s="6" t="inlineStr">
        <is>
          <t>18.4%</t>
        </is>
      </c>
      <c r="G4" s="6" t="inlineStr">
        <is>
          <t>17.4%</t>
        </is>
      </c>
      <c r="H4" s="6" t="inlineStr">
        <is>
          <t>14.1%</t>
        </is>
      </c>
      <c r="I4" s="6" t="inlineStr">
        <is>
          <t>9.9%</t>
        </is>
      </c>
      <c r="J4" s="6" t="inlineStr">
        <is>
          <t>12.1%</t>
        </is>
      </c>
      <c r="K4" s="6" t="inlineStr">
        <is>
          <t>14.3%</t>
        </is>
      </c>
      <c r="L4" s="6" t="inlineStr">
        <is>
          <t>15.3%</t>
        </is>
      </c>
      <c r="M4" s="6" t="inlineStr">
        <is>
          <t>18.2%</t>
        </is>
      </c>
    </row>
    <row r="6" ht="221"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1">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334756</v>
      </c>
      <c r="C4" s="6" t="n">
        <v>318553</v>
      </c>
      <c r="D4" s="6" t="n">
        <v>276133</v>
      </c>
      <c r="E4" s="6" t="n">
        <v>267579</v>
      </c>
      <c r="F4" s="6" t="n">
        <v>270130</v>
      </c>
      <c r="G4" s="6" t="n">
        <v>263826</v>
      </c>
      <c r="H4" s="6" t="n">
        <v>236050</v>
      </c>
      <c r="I4" s="6" t="n">
        <v>233482</v>
      </c>
      <c r="J4" s="6" t="n">
        <v>281209</v>
      </c>
      <c r="K4" s="6" t="n">
        <v>278176</v>
      </c>
      <c r="L4" s="6" t="n">
        <v>271337</v>
      </c>
      <c r="M4" s="6" t="n">
        <v>255171</v>
      </c>
    </row>
    <row r="6" ht="221"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1">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17.4%</t>
        </is>
      </c>
      <c r="C4" s="6" t="inlineStr">
        <is>
          <t>20.3%</t>
        </is>
      </c>
      <c r="D4" s="6" t="inlineStr">
        <is>
          <t>22.3%</t>
        </is>
      </c>
      <c r="E4" s="6" t="inlineStr">
        <is>
          <t>21.7%</t>
        </is>
      </c>
      <c r="F4" s="6" t="inlineStr">
        <is>
          <t>24.9%</t>
        </is>
      </c>
      <c r="G4" s="6" t="inlineStr">
        <is>
          <t>24.0%</t>
        </is>
      </c>
      <c r="H4" s="6" t="inlineStr">
        <is>
          <t>19.6%</t>
        </is>
      </c>
      <c r="I4" s="6" t="inlineStr">
        <is>
          <t>14.3%</t>
        </is>
      </c>
      <c r="J4" s="6" t="inlineStr">
        <is>
          <t>16.3%</t>
        </is>
      </c>
      <c r="K4" s="6" t="inlineStr">
        <is>
          <t>19.6%</t>
        </is>
      </c>
      <c r="L4" s="6" t="inlineStr">
        <is>
          <t>19.9%</t>
        </is>
      </c>
      <c r="M4" s="6" t="inlineStr">
        <is>
          <t>23.9%</t>
        </is>
      </c>
    </row>
    <row r="5" ht="30" customHeight="1">
      <c r="A5" s="7" t="inlineStr">
        <is>
          <t>Note: FY2022's Total RWA/CET1/Tier1/Total Capital ratios shown here are as originally published in the 2022 Pillar 3 Disclosures (RWA 1,231,445). The 2023 Pillar 3 Disclosures' own FY2022 comparative column restates this to 1,224,488 (footnoted 'amended for consistency of presentation') with correspondingly adjusted ratios (16.1% CET1/Tier1, 21.9% Total Capital) - the originally-published figure is used here, per project convention.</t>
        </is>
      </c>
    </row>
    <row r="7" ht="221" customHeight="1">
      <c r="A7"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1924184</v>
      </c>
      <c r="C4" s="6" t="n">
        <v>1571106</v>
      </c>
      <c r="D4" s="6" t="n">
        <v>1240666</v>
      </c>
      <c r="E4" s="6" t="n">
        <v>1231445</v>
      </c>
      <c r="F4" s="6" t="n">
        <v>1085219</v>
      </c>
      <c r="G4" s="6" t="n">
        <v>1101165</v>
      </c>
      <c r="H4" s="6" t="n">
        <v>1207405</v>
      </c>
      <c r="I4" s="6" t="n">
        <v>1635966</v>
      </c>
      <c r="J4" s="6" t="n">
        <v>1723409</v>
      </c>
      <c r="K4" s="6" t="n">
        <v>1418241</v>
      </c>
      <c r="L4" s="6" t="n">
        <v>1361260</v>
      </c>
      <c r="M4" s="6" t="n">
        <v>1067344</v>
      </c>
    </row>
    <row r="5" ht="30" customHeight="1">
      <c r="A5" s="7" t="inlineStr">
        <is>
          <t>Note: See CET1 Ratio sheet for the FY2022 restatement note.</t>
        </is>
      </c>
    </row>
    <row r="7" ht="221" customHeight="1">
      <c r="A7"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2">
    <mergeCell ref="A5:M5"/>
    <mergeCell ref="A7:M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RWA Breakdown</t>
        </is>
      </c>
    </row>
    <row r="2">
      <c r="A2" s="2" t="inlineStr">
        <is>
          <t>Pillar 1 RWA by risk category, £'000. FY2021-FY2025 UK OV1 aggregates are shown separately from the legacy exposure-class rows; FY2020 is derived from that year's own capital-requirement figures x 12.5 (own separate section, see note); FY2019-FY2014 populated from each year's own Table 12.</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Modern UK OV1 aggregate risk types (not additive to legacy rows)</t>
        </is>
      </c>
      <c r="B4" s="6" t="n"/>
      <c r="C4" s="6" t="n"/>
      <c r="D4" s="6" t="n"/>
      <c r="E4" s="6" t="n"/>
      <c r="F4" s="6" t="n"/>
      <c r="G4" s="6" t="n"/>
      <c r="H4" s="6" t="n"/>
      <c r="I4" s="6" t="n"/>
      <c r="J4" s="6" t="n"/>
      <c r="K4" s="6" t="n"/>
      <c r="L4" s="6" t="n"/>
      <c r="M4" s="6" t="n"/>
    </row>
    <row r="5">
      <c r="A5" s="6" t="inlineStr">
        <is>
          <t>Credit risk (excluding counterparty credit risk) — UK OV1 aggregate</t>
        </is>
      </c>
      <c r="B5" s="6" t="n">
        <v>1716881</v>
      </c>
      <c r="C5" s="6" t="n">
        <v>1407753</v>
      </c>
      <c r="D5" s="6" t="n">
        <v>1128031</v>
      </c>
      <c r="E5" s="6" t="n">
        <v>1147518</v>
      </c>
      <c r="F5" s="6" t="n">
        <v>976627</v>
      </c>
      <c r="G5" s="6" t="n"/>
      <c r="H5" s="6" t="n"/>
      <c r="I5" s="6" t="n"/>
      <c r="J5" s="6" t="n"/>
      <c r="K5" s="6" t="n"/>
      <c r="L5" s="6" t="n"/>
      <c r="M5" s="6" t="n"/>
    </row>
    <row r="6">
      <c r="A6" s="6" t="inlineStr">
        <is>
          <t>Counterparty credit risk — UK OV1 aggregate</t>
        </is>
      </c>
      <c r="B6" s="6" t="n">
        <v>3564</v>
      </c>
      <c r="C6" s="6" t="n">
        <v>3051</v>
      </c>
      <c r="D6" s="6" t="n">
        <v>318</v>
      </c>
      <c r="E6" s="6" t="n">
        <v>2127</v>
      </c>
      <c r="F6" s="6" t="n">
        <v>1986</v>
      </c>
      <c r="G6" s="6" t="n"/>
      <c r="H6" s="6" t="n"/>
      <c r="I6" s="6" t="n"/>
      <c r="J6" s="6" t="n"/>
      <c r="K6" s="6" t="n"/>
      <c r="L6" s="6" t="n"/>
      <c r="M6" s="6" t="n"/>
    </row>
    <row r="7">
      <c r="A7" s="6" t="inlineStr">
        <is>
          <t>Market risk — UK OV1 aggregate</t>
        </is>
      </c>
      <c r="B7" s="6" t="n">
        <v>22443</v>
      </c>
      <c r="C7" s="6" t="n">
        <v>9432</v>
      </c>
      <c r="D7" s="6" t="n">
        <v>1651</v>
      </c>
      <c r="E7" s="6" t="n">
        <v>3163</v>
      </c>
      <c r="F7" s="6" t="n">
        <v>13550</v>
      </c>
      <c r="G7" s="6" t="n"/>
      <c r="H7" s="6" t="n"/>
      <c r="I7" s="6" t="n"/>
      <c r="J7" s="6" t="n"/>
      <c r="K7" s="6" t="n"/>
      <c r="L7" s="6" t="n"/>
      <c r="M7" s="6" t="n"/>
    </row>
    <row r="8">
      <c r="A8" s="6" t="inlineStr">
        <is>
          <t>Operational risk — UK OV1 aggregate</t>
        </is>
      </c>
      <c r="B8" s="6" t="n">
        <v>181296</v>
      </c>
      <c r="C8" s="6" t="n">
        <v>150870</v>
      </c>
      <c r="D8" s="6" t="n">
        <v>110666</v>
      </c>
      <c r="E8" s="6" t="n">
        <v>78637</v>
      </c>
      <c r="F8" s="6" t="n">
        <v>93056</v>
      </c>
      <c r="G8" s="6" t="n"/>
      <c r="H8" s="6" t="n"/>
      <c r="I8" s="6" t="n"/>
      <c r="J8" s="6" t="n"/>
      <c r="K8" s="6" t="n"/>
      <c r="L8" s="6" t="n"/>
      <c r="M8" s="6" t="n"/>
    </row>
    <row r="9">
      <c r="A9" s="6" t="inlineStr">
        <is>
          <t>Amounts below deduction thresholds — UK OV1 memo</t>
        </is>
      </c>
      <c r="B9" s="6" t="n">
        <v>0</v>
      </c>
      <c r="C9" s="6" t="n">
        <v>0</v>
      </c>
      <c r="D9" s="6" t="n">
        <v>0</v>
      </c>
      <c r="E9" s="6" t="n">
        <v>2681</v>
      </c>
      <c r="F9" s="6" t="n">
        <v>0</v>
      </c>
      <c r="G9" s="6" t="n"/>
      <c r="H9" s="6" t="n"/>
      <c r="I9" s="6" t="n"/>
      <c r="J9" s="6" t="n"/>
      <c r="K9" s="6" t="n"/>
      <c r="L9" s="6" t="n"/>
      <c r="M9" s="6" t="n"/>
    </row>
    <row r="10">
      <c r="A10" s="5" t="inlineStr">
        <is>
          <t>Total risk-weighted exposure amount — UK OV1</t>
        </is>
      </c>
      <c r="B10" s="5" t="n">
        <v>1924184</v>
      </c>
      <c r="C10" s="5" t="n">
        <v>1571106</v>
      </c>
      <c r="D10" s="5" t="n">
        <v>1240666</v>
      </c>
      <c r="E10" s="5" t="n">
        <v>1231445</v>
      </c>
      <c r="F10" s="5" t="n">
        <v>1085220</v>
      </c>
      <c r="G10" s="5" t="n"/>
      <c r="H10" s="5" t="n"/>
      <c r="I10" s="5" t="n"/>
      <c r="J10" s="5" t="n"/>
      <c r="K10" s="5" t="n"/>
      <c r="L10" s="5" t="n"/>
      <c r="M10" s="5" t="n"/>
    </row>
    <row r="11">
      <c r="A11" s="5" t="inlineStr">
        <is>
          <t>Pillar 1 capital requirement × 12.5, FY2020 (derived — 2021 Pillar 3 Disclosures' own FY2020 comparative column, Table 12; RWA itself was not disclosed for FY2020, only capital requirement)</t>
        </is>
      </c>
      <c r="B11" s="6" t="n"/>
      <c r="C11" s="6" t="n"/>
      <c r="D11" s="6" t="n"/>
      <c r="E11" s="6" t="n"/>
      <c r="F11" s="6" t="n"/>
      <c r="G11" s="6" t="n"/>
      <c r="H11" s="6" t="n"/>
      <c r="I11" s="6" t="n"/>
      <c r="J11" s="6" t="n"/>
      <c r="K11" s="6" t="n"/>
      <c r="L11" s="6" t="n"/>
      <c r="M11" s="6" t="n"/>
    </row>
    <row r="12">
      <c r="A12" s="6" t="inlineStr">
        <is>
          <t>Central governments/central banks</t>
        </is>
      </c>
      <c r="B12" s="6" t="n"/>
      <c r="C12" s="6" t="n"/>
      <c r="D12" s="6" t="n"/>
      <c r="E12" s="6" t="n"/>
      <c r="F12" s="6" t="n"/>
      <c r="G12" s="6" t="n">
        <v>20150</v>
      </c>
      <c r="H12" s="6" t="n"/>
      <c r="I12" s="6" t="n"/>
      <c r="J12" s="6" t="n"/>
      <c r="K12" s="6" t="n"/>
      <c r="L12" s="6" t="n"/>
      <c r="M12" s="6" t="n"/>
    </row>
    <row r="13">
      <c r="A13" s="6" t="inlineStr">
        <is>
          <t>Regional governments/local authorities</t>
        </is>
      </c>
      <c r="B13" s="6" t="n"/>
      <c r="C13" s="6" t="n"/>
      <c r="D13" s="6" t="n"/>
      <c r="E13" s="6" t="n"/>
      <c r="F13" s="6" t="n"/>
      <c r="G13" s="6" t="n">
        <v>150</v>
      </c>
      <c r="H13" s="6" t="n"/>
      <c r="I13" s="6" t="n"/>
      <c r="J13" s="6" t="n"/>
      <c r="K13" s="6" t="n"/>
      <c r="L13" s="6" t="n"/>
      <c r="M13" s="6" t="n"/>
    </row>
    <row r="14">
      <c r="A14" s="6" t="inlineStr">
        <is>
          <t>Institutions</t>
        </is>
      </c>
      <c r="B14" s="6" t="n"/>
      <c r="C14" s="6" t="n"/>
      <c r="D14" s="6" t="n"/>
      <c r="E14" s="6" t="n"/>
      <c r="F14" s="6" t="n"/>
      <c r="G14" s="6" t="n">
        <v>175888</v>
      </c>
      <c r="H14" s="6" t="n"/>
      <c r="I14" s="6" t="n"/>
      <c r="J14" s="6" t="n"/>
      <c r="K14" s="6" t="n"/>
      <c r="L14" s="6" t="n"/>
      <c r="M14" s="6" t="n"/>
    </row>
    <row r="15">
      <c r="A15" s="6" t="inlineStr">
        <is>
          <t>Corporates</t>
        </is>
      </c>
      <c r="B15" s="6" t="n"/>
      <c r="C15" s="6" t="n"/>
      <c r="D15" s="6" t="n"/>
      <c r="E15" s="6" t="n"/>
      <c r="F15" s="6" t="n"/>
      <c r="G15" s="6" t="n">
        <v>389713</v>
      </c>
      <c r="H15" s="6" t="n"/>
      <c r="I15" s="6" t="n"/>
      <c r="J15" s="6" t="n"/>
      <c r="K15" s="6" t="n"/>
      <c r="L15" s="6" t="n"/>
      <c r="M15" s="6" t="n"/>
    </row>
    <row r="16">
      <c r="A16" s="6" t="inlineStr">
        <is>
          <t>Covered bonds</t>
        </is>
      </c>
      <c r="B16" s="6" t="n"/>
      <c r="C16" s="6" t="n"/>
      <c r="D16" s="6" t="n"/>
      <c r="E16" s="6" t="n"/>
      <c r="F16" s="6" t="n"/>
      <c r="G16" s="6" t="n">
        <v>4063</v>
      </c>
      <c r="H16" s="6" t="n"/>
      <c r="I16" s="6" t="n"/>
      <c r="J16" s="6" t="n"/>
      <c r="K16" s="6" t="n"/>
      <c r="L16" s="6" t="n"/>
      <c r="M16" s="6" t="n"/>
    </row>
    <row r="17">
      <c r="A17" s="6" t="inlineStr">
        <is>
          <t>Secured by mortgages on immovable property</t>
        </is>
      </c>
      <c r="B17" s="6" t="n"/>
      <c r="C17" s="6" t="n"/>
      <c r="D17" s="6" t="n"/>
      <c r="E17" s="6" t="n"/>
      <c r="F17" s="6" t="n"/>
      <c r="G17" s="6" t="n">
        <v>299550</v>
      </c>
      <c r="H17" s="6" t="n"/>
      <c r="I17" s="6" t="n"/>
      <c r="J17" s="6" t="n"/>
      <c r="K17" s="6" t="n"/>
      <c r="L17" s="6" t="n"/>
      <c r="M17" s="6" t="n"/>
    </row>
    <row r="18">
      <c r="A18" s="6" t="inlineStr">
        <is>
          <t>Exposures in default</t>
        </is>
      </c>
      <c r="B18" s="6" t="n"/>
      <c r="C18" s="6" t="n"/>
      <c r="D18" s="6" t="n"/>
      <c r="E18" s="6" t="n"/>
      <c r="F18" s="6" t="n"/>
      <c r="G18" s="6" t="n">
        <v>12900</v>
      </c>
      <c r="H18" s="6" t="n"/>
      <c r="I18" s="6" t="n"/>
      <c r="J18" s="6" t="n"/>
      <c r="K18" s="6" t="n"/>
      <c r="L18" s="6" t="n"/>
      <c r="M18" s="6" t="n"/>
    </row>
    <row r="19">
      <c r="A19" s="6" t="inlineStr">
        <is>
          <t>Equity exposures</t>
        </is>
      </c>
      <c r="B19" s="6" t="n"/>
      <c r="C19" s="6" t="n"/>
      <c r="D19" s="6" t="n"/>
      <c r="E19" s="6" t="n"/>
      <c r="F19" s="6" t="n"/>
      <c r="G19" s="6" t="n">
        <v>2613</v>
      </c>
      <c r="H19" s="6" t="n"/>
      <c r="I19" s="6" t="n"/>
      <c r="J19" s="6" t="n"/>
      <c r="K19" s="6" t="n"/>
      <c r="L19" s="6" t="n"/>
      <c r="M19" s="6" t="n"/>
    </row>
    <row r="20">
      <c r="A20" s="6" t="inlineStr">
        <is>
          <t>Items associated with particularly high risk</t>
        </is>
      </c>
      <c r="B20" s="6" t="n"/>
      <c r="C20" s="6" t="n"/>
      <c r="D20" s="6" t="n"/>
      <c r="E20" s="6" t="n"/>
      <c r="F20" s="6" t="n"/>
      <c r="G20" s="6" t="n">
        <v>30938</v>
      </c>
      <c r="H20" s="6" t="n"/>
      <c r="I20" s="6" t="n"/>
      <c r="J20" s="6" t="n"/>
      <c r="K20" s="6" t="n"/>
      <c r="L20" s="6" t="n"/>
      <c r="M20" s="6" t="n"/>
    </row>
    <row r="21">
      <c r="A21" s="6" t="inlineStr">
        <is>
          <t>Other items</t>
        </is>
      </c>
      <c r="B21" s="6" t="n"/>
      <c r="C21" s="6" t="n"/>
      <c r="D21" s="6" t="n"/>
      <c r="E21" s="6" t="n"/>
      <c r="F21" s="6" t="n"/>
      <c r="G21" s="6" t="n">
        <v>27950</v>
      </c>
      <c r="H21" s="6" t="n"/>
      <c r="I21" s="6" t="n"/>
      <c r="J21" s="6" t="n"/>
      <c r="K21" s="6" t="n"/>
      <c r="L21" s="6" t="n"/>
      <c r="M21" s="6" t="n"/>
    </row>
    <row r="22">
      <c r="A22" s="6" t="inlineStr">
        <is>
          <t>Interest Rate PRR</t>
        </is>
      </c>
      <c r="B22" s="6" t="n"/>
      <c r="C22" s="6" t="n"/>
      <c r="D22" s="6" t="n"/>
      <c r="E22" s="6" t="n"/>
      <c r="F22" s="6" t="n"/>
      <c r="G22" s="6" t="n">
        <v>21225</v>
      </c>
      <c r="H22" s="6" t="n"/>
      <c r="I22" s="6" t="n"/>
      <c r="J22" s="6" t="n"/>
      <c r="K22" s="6" t="n"/>
      <c r="L22" s="6" t="n"/>
      <c r="M22" s="6" t="n"/>
    </row>
    <row r="23">
      <c r="A23" s="6" t="inlineStr">
        <is>
          <t>Foreign Exchange PRR</t>
        </is>
      </c>
      <c r="B23" s="6" t="n"/>
      <c r="C23" s="6" t="n"/>
      <c r="D23" s="6" t="n"/>
      <c r="E23" s="6" t="n"/>
      <c r="F23" s="6" t="n"/>
      <c r="G23" s="6" t="n">
        <v>8300</v>
      </c>
      <c r="H23" s="6" t="n"/>
      <c r="I23" s="6" t="n"/>
      <c r="J23" s="6" t="n"/>
      <c r="K23" s="6" t="n"/>
      <c r="L23" s="6" t="n"/>
      <c r="M23" s="6" t="n"/>
    </row>
    <row r="24">
      <c r="A24" s="6" t="inlineStr">
        <is>
          <t>Operational Risk (Basic Indicator Approach)</t>
        </is>
      </c>
      <c r="B24" s="6" t="n"/>
      <c r="C24" s="6" t="n"/>
      <c r="D24" s="6" t="n"/>
      <c r="E24" s="6" t="n"/>
      <c r="F24" s="6" t="n"/>
      <c r="G24" s="6" t="n">
        <v>107163</v>
      </c>
      <c r="H24" s="6" t="n"/>
      <c r="I24" s="6" t="n"/>
      <c r="J24" s="6" t="n"/>
      <c r="K24" s="6" t="n"/>
      <c r="L24" s="6" t="n"/>
      <c r="M24" s="6" t="n"/>
    </row>
    <row r="25">
      <c r="A25" s="6" t="inlineStr">
        <is>
          <t>Credit Valuation Adjustment</t>
        </is>
      </c>
      <c r="B25" s="6" t="n"/>
      <c r="C25" s="6" t="n"/>
      <c r="D25" s="6" t="n"/>
      <c r="E25" s="6" t="n"/>
      <c r="F25" s="6" t="n"/>
      <c r="G25" s="6" t="n">
        <v>550</v>
      </c>
      <c r="H25" s="6" t="n"/>
      <c r="I25" s="6" t="n"/>
      <c r="J25" s="6" t="n"/>
      <c r="K25" s="6" t="n"/>
      <c r="L25" s="6" t="n"/>
      <c r="M25" s="6" t="n"/>
    </row>
    <row r="26">
      <c r="A26" s="5" t="inlineStr">
        <is>
          <t>Total Pillar 1 RWA, FY2020 (derived)</t>
        </is>
      </c>
      <c r="B26" s="5" t="n"/>
      <c r="C26" s="5" t="n"/>
      <c r="D26" s="5" t="n"/>
      <c r="E26" s="5" t="n"/>
      <c r="F26" s="5" t="n"/>
      <c r="G26" s="5" t="n">
        <v>1101153</v>
      </c>
      <c r="H26" s="5" t="n"/>
      <c r="I26" s="5" t="n"/>
      <c r="J26" s="5" t="n"/>
      <c r="K26" s="5" t="n"/>
      <c r="L26" s="5" t="n"/>
      <c r="M26" s="5" t="n"/>
    </row>
    <row r="27">
      <c r="A27" s="5" t="inlineStr">
        <is>
          <t>Legacy Table 12 risk categories</t>
        </is>
      </c>
      <c r="B27" s="6" t="n"/>
      <c r="C27" s="6" t="n"/>
      <c r="D27" s="6" t="n"/>
      <c r="E27" s="6" t="n"/>
      <c r="F27" s="6" t="n"/>
      <c r="G27" s="6" t="n"/>
      <c r="H27" s="6" t="n"/>
      <c r="I27" s="6" t="n"/>
      <c r="J27" s="6" t="n"/>
      <c r="K27" s="6" t="n"/>
      <c r="L27" s="6" t="n"/>
      <c r="M27" s="6" t="n"/>
    </row>
    <row r="28">
      <c r="A28" s="5" t="inlineStr">
        <is>
          <t>Credit and Counterparty Credit Risk</t>
        </is>
      </c>
      <c r="B28" s="6" t="n"/>
      <c r="C28" s="6" t="n"/>
      <c r="D28" s="6" t="n"/>
      <c r="E28" s="6" t="n"/>
      <c r="F28" s="6" t="n"/>
      <c r="G28" s="6" t="n"/>
      <c r="H28" s="6" t="n"/>
      <c r="I28" s="6" t="n"/>
      <c r="J28" s="6" t="n"/>
      <c r="K28" s="6" t="n"/>
      <c r="L28" s="6" t="n"/>
      <c r="M28" s="6" t="n"/>
    </row>
    <row r="29">
      <c r="A29" s="6" t="inlineStr">
        <is>
          <t>Central governments/central banks</t>
        </is>
      </c>
      <c r="B29" s="6" t="n"/>
      <c r="C29" s="6" t="n"/>
      <c r="D29" s="6" t="n"/>
      <c r="E29" s="6" t="n"/>
      <c r="F29" s="6" t="n"/>
      <c r="G29" s="6" t="n"/>
      <c r="H29" s="6" t="n">
        <v>38728</v>
      </c>
      <c r="I29" s="6" t="n">
        <v>64505</v>
      </c>
      <c r="J29" s="6" t="n">
        <v>69107</v>
      </c>
      <c r="K29" s="6" t="n">
        <v>11443</v>
      </c>
      <c r="L29" s="6" t="n">
        <v>3643</v>
      </c>
      <c r="M29" s="6" t="n">
        <v>9041</v>
      </c>
    </row>
    <row r="30">
      <c r="A30" s="6" t="inlineStr">
        <is>
          <t>Multilateral development banks</t>
        </is>
      </c>
      <c r="B30" s="6" t="n"/>
      <c r="C30" s="6" t="n"/>
      <c r="D30" s="6" t="n"/>
      <c r="E30" s="6" t="n"/>
      <c r="F30" s="6" t="n"/>
      <c r="G30" s="6" t="n"/>
      <c r="H30" s="6" t="n"/>
      <c r="I30" s="6" t="n"/>
      <c r="J30" s="6" t="n"/>
      <c r="K30" s="6" t="n"/>
      <c r="L30" s="6" t="n">
        <v>0</v>
      </c>
      <c r="M30" s="6" t="n">
        <v>11944</v>
      </c>
    </row>
    <row r="31">
      <c r="A31" s="6" t="inlineStr">
        <is>
          <t>Institutions</t>
        </is>
      </c>
      <c r="B31" s="6" t="n"/>
      <c r="C31" s="6" t="n"/>
      <c r="D31" s="6" t="n"/>
      <c r="E31" s="6" t="n"/>
      <c r="F31" s="6" t="n"/>
      <c r="G31" s="6" t="n"/>
      <c r="H31" s="6" t="n">
        <v>125785</v>
      </c>
      <c r="I31" s="6" t="n">
        <v>185570</v>
      </c>
      <c r="J31" s="6" t="n">
        <v>200843</v>
      </c>
      <c r="K31" s="6" t="n">
        <v>92288</v>
      </c>
      <c r="L31" s="6" t="n">
        <v>254240</v>
      </c>
      <c r="M31" s="6" t="n">
        <v>507871</v>
      </c>
    </row>
    <row r="32">
      <c r="A32" s="6" t="inlineStr">
        <is>
          <t>Corporates</t>
        </is>
      </c>
      <c r="B32" s="6" t="n"/>
      <c r="C32" s="6" t="n"/>
      <c r="D32" s="6" t="n"/>
      <c r="E32" s="6" t="n"/>
      <c r="F32" s="6" t="n"/>
      <c r="G32" s="6" t="n"/>
      <c r="H32" s="6" t="n">
        <v>509680</v>
      </c>
      <c r="I32" s="6" t="n">
        <v>714874</v>
      </c>
      <c r="J32" s="6" t="n">
        <v>978424</v>
      </c>
      <c r="K32" s="6" t="n">
        <v>987560</v>
      </c>
      <c r="L32" s="6" t="n">
        <v>824756</v>
      </c>
      <c r="M32" s="6" t="n">
        <v>379442</v>
      </c>
    </row>
    <row r="33">
      <c r="A33" s="6" t="inlineStr">
        <is>
          <t>Covered bonds</t>
        </is>
      </c>
      <c r="B33" s="6" t="n"/>
      <c r="C33" s="6" t="n"/>
      <c r="D33" s="6" t="n"/>
      <c r="E33" s="6" t="n"/>
      <c r="F33" s="6" t="n"/>
      <c r="G33" s="6" t="n"/>
      <c r="H33" s="6" t="n">
        <v>8435</v>
      </c>
      <c r="I33" s="6" t="n">
        <v>10594</v>
      </c>
      <c r="J33" s="6" t="n">
        <v>2717</v>
      </c>
      <c r="K33" s="6" t="n"/>
      <c r="L33" s="6" t="n"/>
      <c r="M33" s="6" t="n"/>
    </row>
    <row r="34">
      <c r="A34" s="6" t="inlineStr">
        <is>
          <t>Secured by mortgages on immovable property</t>
        </is>
      </c>
      <c r="B34" s="6" t="n"/>
      <c r="C34" s="6" t="n"/>
      <c r="D34" s="6" t="n"/>
      <c r="E34" s="6" t="n"/>
      <c r="F34" s="6" t="n"/>
      <c r="G34" s="6" t="n"/>
      <c r="H34" s="6" t="n">
        <v>290316</v>
      </c>
      <c r="I34" s="6" t="n">
        <v>316818</v>
      </c>
      <c r="J34" s="6" t="n">
        <v>276665</v>
      </c>
      <c r="K34" s="6" t="n">
        <v>178008</v>
      </c>
      <c r="L34" s="6" t="n">
        <v>86488</v>
      </c>
      <c r="M34" s="6" t="n">
        <v>17519</v>
      </c>
    </row>
    <row r="35">
      <c r="A35" s="6" t="inlineStr">
        <is>
          <t>Exposures in default</t>
        </is>
      </c>
      <c r="B35" s="6" t="n"/>
      <c r="C35" s="6" t="n"/>
      <c r="D35" s="6" t="n"/>
      <c r="E35" s="6" t="n"/>
      <c r="F35" s="6" t="n"/>
      <c r="G35" s="6" t="n"/>
      <c r="H35" s="6" t="n">
        <v>38647</v>
      </c>
      <c r="I35" s="6" t="n">
        <v>130368</v>
      </c>
      <c r="J35" s="6" t="n">
        <v>69839</v>
      </c>
      <c r="K35" s="6" t="n">
        <v>27128</v>
      </c>
      <c r="L35" s="6" t="n">
        <v>39084</v>
      </c>
      <c r="M35" s="6" t="n">
        <v>23153</v>
      </c>
    </row>
    <row r="36">
      <c r="A36" s="6" t="inlineStr">
        <is>
          <t>Equity exposures</t>
        </is>
      </c>
      <c r="B36" s="6" t="n"/>
      <c r="C36" s="6" t="n"/>
      <c r="D36" s="6" t="n"/>
      <c r="E36" s="6" t="n"/>
      <c r="F36" s="6" t="n"/>
      <c r="G36" s="6" t="n"/>
      <c r="H36" s="6" t="n">
        <v>2374</v>
      </c>
      <c r="I36" s="6" t="n">
        <v>1964</v>
      </c>
      <c r="J36" s="6" t="n">
        <v>1868</v>
      </c>
      <c r="K36" s="6" t="n">
        <v>1807</v>
      </c>
      <c r="L36" s="6" t="n">
        <v>8248</v>
      </c>
      <c r="M36" s="6" t="n">
        <v>8080</v>
      </c>
    </row>
    <row r="37">
      <c r="A37" s="6" t="inlineStr">
        <is>
          <t>Items associated with particularly high risk</t>
        </is>
      </c>
      <c r="B37" s="6" t="n"/>
      <c r="C37" s="6" t="n"/>
      <c r="D37" s="6" t="n"/>
      <c r="E37" s="6" t="n"/>
      <c r="F37" s="6" t="n"/>
      <c r="G37" s="6" t="n"/>
      <c r="H37" s="6" t="n">
        <v>38964</v>
      </c>
      <c r="I37" s="6" t="n">
        <v>29829</v>
      </c>
      <c r="J37" s="6" t="n">
        <v>16203</v>
      </c>
      <c r="K37" s="6" t="n">
        <v>10325</v>
      </c>
      <c r="L37" s="6" t="n">
        <v>20291</v>
      </c>
      <c r="M37" s="6" t="n"/>
    </row>
    <row r="38">
      <c r="A38" s="6" t="inlineStr">
        <is>
          <t>Other items</t>
        </is>
      </c>
      <c r="B38" s="6" t="n"/>
      <c r="C38" s="6" t="n"/>
      <c r="D38" s="6" t="n"/>
      <c r="E38" s="6" t="n"/>
      <c r="F38" s="6" t="n"/>
      <c r="G38" s="6" t="n"/>
      <c r="H38" s="6" t="n">
        <v>28371</v>
      </c>
      <c r="I38" s="6" t="n">
        <v>32391</v>
      </c>
      <c r="J38" s="6" t="n">
        <v>19991</v>
      </c>
      <c r="K38" s="6" t="n">
        <v>25248</v>
      </c>
      <c r="L38" s="6" t="n">
        <v>20954</v>
      </c>
      <c r="M38" s="6" t="n">
        <v>19331</v>
      </c>
    </row>
    <row r="39">
      <c r="A39" s="5" t="inlineStr">
        <is>
          <t>Total Credit and Counterparty Credit Risk</t>
        </is>
      </c>
      <c r="B39" s="5" t="n"/>
      <c r="C39" s="5" t="n"/>
      <c r="D39" s="5" t="n"/>
      <c r="E39" s="5" t="n"/>
      <c r="F39" s="5" t="n"/>
      <c r="G39" s="5" t="n"/>
      <c r="H39" s="5" t="n">
        <v>1081300</v>
      </c>
      <c r="I39" s="5" t="n">
        <v>1486913</v>
      </c>
      <c r="J39" s="5" t="n">
        <v>1635656</v>
      </c>
      <c r="K39" s="5" t="n">
        <v>1333807</v>
      </c>
      <c r="L39" s="5" t="n">
        <v>1257703</v>
      </c>
      <c r="M39" s="5" t="n">
        <v>976383</v>
      </c>
    </row>
    <row r="40">
      <c r="A40" s="5" t="inlineStr">
        <is>
          <t>Market Risk</t>
        </is>
      </c>
      <c r="B40" s="6" t="n"/>
      <c r="C40" s="6" t="n"/>
      <c r="D40" s="6" t="n"/>
      <c r="E40" s="6" t="n"/>
      <c r="F40" s="6" t="n"/>
      <c r="G40" s="6" t="n"/>
      <c r="H40" s="6" t="n"/>
      <c r="I40" s="6" t="n"/>
      <c r="J40" s="6" t="n"/>
      <c r="K40" s="6" t="n"/>
      <c r="L40" s="6" t="n"/>
      <c r="M40" s="6" t="n"/>
    </row>
    <row r="41">
      <c r="A41" s="6" t="inlineStr">
        <is>
          <t>Interest Rate PRR</t>
        </is>
      </c>
      <c r="B41" s="6" t="n"/>
      <c r="C41" s="6" t="n"/>
      <c r="D41" s="6" t="n"/>
      <c r="E41" s="6" t="n"/>
      <c r="F41" s="6" t="n"/>
      <c r="G41" s="6" t="n"/>
      <c r="H41" s="6" t="n">
        <v>20283</v>
      </c>
      <c r="I41" s="6" t="n">
        <v>8129</v>
      </c>
      <c r="J41" s="6" t="n">
        <v>5451</v>
      </c>
      <c r="K41" s="6" t="n"/>
      <c r="L41" s="6" t="n">
        <v>16259</v>
      </c>
      <c r="M41" s="6" t="n">
        <v>12516</v>
      </c>
    </row>
    <row r="42">
      <c r="A42" s="6" t="inlineStr">
        <is>
          <t>Foreign Exchange PRR</t>
        </is>
      </c>
      <c r="B42" s="6" t="n"/>
      <c r="C42" s="6" t="n"/>
      <c r="D42" s="6" t="n"/>
      <c r="E42" s="6" t="n"/>
      <c r="F42" s="6" t="n"/>
      <c r="G42" s="6" t="n"/>
      <c r="H42" s="6" t="n">
        <v>8500</v>
      </c>
      <c r="I42" s="6" t="n">
        <v>54567</v>
      </c>
      <c r="J42" s="6" t="n">
        <v>2692</v>
      </c>
      <c r="K42" s="6" t="n">
        <v>2425</v>
      </c>
      <c r="L42" s="6" t="n">
        <v>1537</v>
      </c>
      <c r="M42" s="6" t="n">
        <v>1146</v>
      </c>
    </row>
    <row r="43">
      <c r="A43" s="6" t="inlineStr">
        <is>
          <t>Operational Risk (Basic Indicator Approach)</t>
        </is>
      </c>
      <c r="B43" s="6" t="n"/>
      <c r="C43" s="6" t="n"/>
      <c r="D43" s="6" t="n"/>
      <c r="E43" s="6" t="n"/>
      <c r="F43" s="6" t="n"/>
      <c r="G43" s="6" t="n"/>
      <c r="H43" s="6" t="n">
        <v>96637</v>
      </c>
      <c r="I43" s="6" t="n">
        <v>85268</v>
      </c>
      <c r="J43" s="6" t="n">
        <v>79242</v>
      </c>
      <c r="K43" s="6" t="n">
        <v>81480</v>
      </c>
      <c r="L43" s="6" t="n">
        <v>85615</v>
      </c>
      <c r="M43" s="6" t="n">
        <v>76686</v>
      </c>
    </row>
    <row r="44">
      <c r="A44" s="6" t="inlineStr">
        <is>
          <t>Credit Valuation Adjustment</t>
        </is>
      </c>
      <c r="B44" s="6" t="n"/>
      <c r="C44" s="6" t="n"/>
      <c r="D44" s="6" t="n"/>
      <c r="E44" s="6" t="n"/>
      <c r="F44" s="6" t="n"/>
      <c r="G44" s="6" t="n"/>
      <c r="H44" s="6" t="n">
        <v>684</v>
      </c>
      <c r="I44" s="6" t="n">
        <v>1090</v>
      </c>
      <c r="J44" s="6" t="n">
        <v>369</v>
      </c>
      <c r="K44" s="6" t="n">
        <v>529</v>
      </c>
      <c r="L44" s="6" t="n">
        <v>146</v>
      </c>
      <c r="M44" s="6" t="n">
        <v>613</v>
      </c>
    </row>
    <row r="45">
      <c r="A45" s="5" t="inlineStr">
        <is>
          <t>Total Pillar 1 RWA (= Total RWAs sheet)</t>
        </is>
      </c>
      <c r="B45" s="5" t="n"/>
      <c r="C45" s="5" t="n"/>
      <c r="D45" s="5" t="n"/>
      <c r="E45" s="5" t="n"/>
      <c r="F45" s="5" t="n"/>
      <c r="G45" s="5" t="n"/>
      <c r="H45" s="5" t="n">
        <v>1207405</v>
      </c>
      <c r="I45" s="5" t="n">
        <v>1635966</v>
      </c>
      <c r="J45" s="5" t="n">
        <v>1723409</v>
      </c>
      <c r="K45" s="5" t="n">
        <v>1418241</v>
      </c>
      <c r="L45" s="5" t="n">
        <v>1361260</v>
      </c>
      <c r="M45" s="5" t="n">
        <v>1067344</v>
      </c>
    </row>
    <row r="47" ht="409" customHeight="1">
      <c r="A47" s="8" t="inlineStr">
        <is>
          <t>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FY2025: 2025 Pillar 3 Disclosures, section 4.2 'RISK WEIGHTED ASSETS', UK OV1 table, p.19 (own year) - https://files.bacb.co.uk/production/files/BACB_Pillar3_YE2025web-03.pdf
FY2024: 2024 Pillar 3 Disclosures, section 4.2 'RISK WEIGHTED ASSETS', UK OV1 table, p.20 (own year) - https://files.bacb.co.uk/production/files/BACB_Pillar3_YE2024web-05.pdf
FY2021-FY2023 also contain UK OV1 aggregate risk-type rows, reproduced above; these are not the older exposure-class rows and are not additive to them. GENUINE FINDING (2026-09-05, HD-051): BACB_Pillar3-2021_v3.pdf (cited above for FY2021) itself contains 'Table 12: Overview of RWAs and the Bank's minimum capital requirement...under Pillar 1', with the same table present in every one of FY2014-FY2019's own Pillar 3 Disclosures (see below) - flagged here for a follow-up fix by whoever next touches this bank; out of scope to correct under HD-051 (years FY2014-FY2020 only).
FY2020 (2026-09-08 follow-up): no standalone Pillar 3 document exists (see main sources above). The 2021 Pillar 3 Disclosures' own Table 12, p.34, has a FY2020 comparative column, but it discloses only capital REQUIREMENT (not RWA) at category level for FY2020 - https://files.bacb.co.uk/production/files/BACB_Pillar3-2021_v3.pdf. Per Basel III/CRR Article 92, the Pillar 1 minimum capital requirement is exactly 8% of RWA, so RWA per category = capital requirement x 12.5 (an exact regulatory identity, not an estimate); shown in its own separate section above (not blended with FY2014-2019's directly-disclosed RWA figures), rounded to the nearest £'000 per category. The derived FY2020 total of 1,101,153 is within £12k (~0.001%) of the independently-sourced Total RWAs sheet figure of 1,101,165 (also drawn from this same 2021 Pillar 3 Disclosures document's FY2020 comparative column, KM1 template) - the residual gap is rounding noise from the underlying capital-requirement figures already being rounded to the nearest £'000 before the x12.5 conversion.
FY2019: 2019 Pillar 3 Disclosures, Table 12 (own year) - https://files.bacb.co.uk/production/files/2019-Pillar-3.pdf
FY2018: 2018 Pillar 3 Disclosures, Table 12 (own year) - https://files.bacb.co.uk/production/files/Pillar-3-2018_Final-secured.pdf
FY2017: 2017 Pillar 3 Disclosures, Table 12 (own year) - https://files.bacb.co.uk/production/files/Pillar-3-2017-FINAL-24-May-2018.pdf
FY2016: 2016 Pillar 3 Disclosures, Table 7 (own year) - https://files.bacb.co.uk/production/files/Pillar-3-2016-FINAL-June17.pdf</t>
        </is>
      </c>
    </row>
    <row r="49" ht="409" customHeight="1">
      <c r="A49" s="8" t="inlineStr">
        <is>
          <t xml:space="preserve">(continued)
FY2015: 2015 Pillar 3 Disclosures, Table 9 (own year) - https://files.bacb.co.uk/production/files/2015-Pillar-3-secured.pdf
FY2014: 2014 Pillar 3 Disclosures, Table 9 (own year) - https://files.bacb.co.uk/production/files/2014-Pillar-3-secured.pdf
</t>
        </is>
      </c>
    </row>
  </sheetData>
  <mergeCells count="2">
    <mergeCell ref="A49:M49"/>
    <mergeCell ref="A47:M4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British Arab Commercial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ratio</t>
        </is>
      </c>
      <c r="B4" s="6" t="inlineStr">
        <is>
          <t>7.2%</t>
        </is>
      </c>
      <c r="C4" s="6" t="inlineStr">
        <is>
          <t>6.6%</t>
        </is>
      </c>
      <c r="D4" s="6" t="inlineStr">
        <is>
          <t>6.8%</t>
        </is>
      </c>
      <c r="E4" s="6" t="inlineStr">
        <is>
          <t>5.7%</t>
        </is>
      </c>
      <c r="F4" s="6" t="inlineStr">
        <is>
          <t>6.7%</t>
        </is>
      </c>
      <c r="G4" s="6" t="inlineStr">
        <is>
          <t>7.09%</t>
        </is>
      </c>
      <c r="H4" s="6" t="inlineStr">
        <is>
          <t>5.69%</t>
        </is>
      </c>
      <c r="I4" s="6" t="inlineStr">
        <is>
          <t>3.83%</t>
        </is>
      </c>
      <c r="J4" s="6" t="inlineStr">
        <is>
          <t>6.53%</t>
        </is>
      </c>
      <c r="K4" s="6" t="inlineStr">
        <is>
          <t>6.56%</t>
        </is>
      </c>
      <c r="L4" s="6" t="inlineStr">
        <is>
          <t>6.55%</t>
        </is>
      </c>
    </row>
    <row r="5" ht="104" customHeight="1">
      <c r="A5" s="7" t="inlineStr">
        <is>
          <t>Note: LEVERAGE BASIS: THE BANK PUBLISHES ONE RATIO AND ATTACHES NO BASIS QUALIFIER TO IT (GA-026, 2026-10-10). Template UK LR2 / LRCom - which from 1 January 2022 prints the exposure measure on BOTH bases, row 24 including claims on central banks and row UK-24b excluding them, reconciling at UK-24a with ratios at row 25 and UK-25c - does not appear in any BACB edition. What the Bank publishes is the UK KM1 key metrics template, whose leverage block is exactly two plainly captioned rows: '13 Leverage ratio total exposure measure' and '14 Leverage ratio'. Neither carries a central-bank qualifier, and no reconciliation of accounting assets to leverage exposure is printed anywhere, so there is no line from which a deduction - or its absence - could be read. The figure above is therefore recorded as the Bank states it, with no basis attributed to it. FY2025 edition p.6, 'UK KM1 - Key metrics template', columns 31/12/2025 and 31/12/2024 in GBP000s: row 13 reads 3,721,160 / 3,704,792 and row 14 reads 7.2% / 6.6%, which are the FY2025 and FY2024 figures on this sheet.
ENTITY SCOPE IS NOT IN DOUBT HERE. The same edition states at section 1.4 that 'BACB trades as a single entity; it has no subsidiaries or associates' and that 'no prudential consolidation is performed', so there is no group-versus-solo column to choose between and no risk that a parent's figure has been read in place of the entity's.
HOW THIS WAS CHECKED, AND A TRAP WORTH RECORDING. An automated scan of this document's text layer finds the word 'leverage' exactly once - in a risk-appetite indicator list - and finds no KM1 table at all, which would wrongly suggest BACB discloses no leverage ratio. It does: the table is an EMBEDDED IMAGE inside an otherwise text-rich 27-page document (80,881 characters extract cleanly from the prose around it). The table above was read from a 300 dpi render of p.6, not from extracted text. A readable document does not imply readable tables.</t>
        </is>
      </c>
    </row>
    <row r="7" ht="234" customHeight="1">
      <c r="A7"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Leverage ratio not disclosed for FY2014 - the leverage ratio disclosure first appears in BACB's own Pillar 3 Disclosures from FY2015 onwards.
</t>
        </is>
      </c>
    </row>
  </sheetData>
  <mergeCells count="2">
    <mergeCell ref="A5:L5"/>
    <mergeCell ref="A7:L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British Arab Commercial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Liquidity coverage ratio (12-month average)</t>
        </is>
      </c>
      <c r="B4" s="6" t="inlineStr">
        <is>
          <t>234%</t>
        </is>
      </c>
      <c r="C4" s="6" t="inlineStr">
        <is>
          <t>327%</t>
        </is>
      </c>
      <c r="D4" s="6" t="inlineStr">
        <is>
          <t>271%</t>
        </is>
      </c>
      <c r="E4" s="6" t="inlineStr">
        <is>
          <t>254%</t>
        </is>
      </c>
      <c r="F4" s="6" t="inlineStr">
        <is>
          <t>276%</t>
        </is>
      </c>
      <c r="G4" s="6" t="inlineStr">
        <is>
          <t>215%</t>
        </is>
      </c>
      <c r="H4" s="6" t="inlineStr">
        <is>
          <t>222%</t>
        </is>
      </c>
    </row>
    <row r="6" ht="234"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LCR % not disclosed for FY2014-FY2018 - each of those years' own Pillar 3 Disclosures shows an LCR chart but no extractable numeric table; the first extractable LCR % is FY2019's own report.
</t>
        </is>
      </c>
    </row>
  </sheetData>
  <mergeCells count="1">
    <mergeCell ref="A6:H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British Arab Commercial Bank PLC — NSFR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NSFR ratio (4-quarter average)</t>
        </is>
      </c>
      <c r="B4" s="6" t="inlineStr">
        <is>
          <t>166%</t>
        </is>
      </c>
      <c r="C4" s="6" t="inlineStr">
        <is>
          <t>160%</t>
        </is>
      </c>
      <c r="D4" s="6" t="inlineStr">
        <is>
          <t>151%</t>
        </is>
      </c>
      <c r="E4" s="6" t="inlineStr">
        <is>
          <t>130%</t>
        </is>
      </c>
    </row>
    <row r="6" ht="312" customHeight="1">
      <c r="A6"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NSFR not applicable/disclosed for FY2021 - the NSFR reporting requirement and KM1 template line were new from FY2022; the FY2021 comparative column in the 2022 Pillar 3 Disclosures itself states 'N/A'. Not disclosed for FY2014-FY2020 either - the requirement did not exist yet.
</t>
        </is>
      </c>
    </row>
  </sheetData>
  <mergeCells count="1">
    <mergeCell ref="A6:E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British Arab Commercial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or mention in BACB's Pillar 3 Disclosures for this year (text-searched 2026-09-19; see note)</t>
        </is>
      </c>
      <c r="C4" s="6" t="inlineStr">
        <is>
          <t>Not published – no MREL figure or mention in BACB's Pillar 3 Disclosures for this year (text-searched 2026-09-19; see note)</t>
        </is>
      </c>
      <c r="D4" s="6" t="inlineStr">
        <is>
          <t>Not published – no MREL figure or mention in BACB's Pillar 3 Disclosures for this year (text-searched 2026-09-19; see note)</t>
        </is>
      </c>
      <c r="E4" s="6" t="inlineStr">
        <is>
          <t>Not published – no MREL figure or mention in BACB's Pillar 3 Disclosures for this year (text-searched 2026-09-19; see note)</t>
        </is>
      </c>
      <c r="F4" s="6" t="inlineStr">
        <is>
          <t>Not published – no MREL figure or mention in BACB's Pillar 3 Disclosures for this year (text-searched 2026-09-19; see note)</t>
        </is>
      </c>
      <c r="G4" s="6" t="inlineStr">
        <is>
          <t>Not published – no FY2020 Pillar 3 exists (Wayback CDX); FY2020 Annual Report and FY2021 Pillar 3 (comparative) have no MREL (searched 2026-09-19)</t>
        </is>
      </c>
      <c r="H4" s="6" t="inlineStr">
        <is>
          <t>Not published – no MREL figure or mention in BACB's Pillar 3 Disclosures for this year (text-searched 2026-09-19; see note)</t>
        </is>
      </c>
      <c r="I4" s="6" t="inlineStr">
        <is>
          <t>Not published – no MREL figure or mention in BACB's Pillar 3 Disclosures for this year (text-searched 2026-09-19; see note)</t>
        </is>
      </c>
      <c r="J4" s="6" t="inlineStr">
        <is>
          <t>Not published – no MREL figure or mention in BACB's Pillar 3 Disclosures for this year (text-searched 2026-09-19; see note)</t>
        </is>
      </c>
      <c r="K4" s="6" t="inlineStr">
        <is>
          <t>Not published – no MREL figure or mention in BACB's Pillar 3 Disclosures for this year (text-searched 2026-09-19; see note)</t>
        </is>
      </c>
      <c r="L4" s="6" t="inlineStr">
        <is>
          <t>Not published – no MREL figure or mention in BACB's Pillar 3 Disclosures for this year (text-searched 2026-09-19; see note)</t>
        </is>
      </c>
      <c r="M4" s="6" t="inlineStr">
        <is>
          <t>Not published – no MREL figure or mention in BACB's Pillar 3 Disclosures for this year (text-searched 2026-09-19; see note)</t>
        </is>
      </c>
    </row>
    <row r="5" ht="30" customHeight="1">
      <c r="A5" s="7" t="inlineStr">
        <is>
          <t>Note: Not found in any Annual Report or Pillar 3 Disclosure checked - not asserted as an explicit exemption, just absent from every source. GA-020 re-check 2026-09-19: every Pillar 3 Disclosure FY2014-FY2019 and FY2021-FY2025 (P3_URL) was re-fetched and searched for 'MREL' - native text for all, plus OCR of FY2024/FY2025 whose tables are vector-drawn with no text layer. Zero MREL hits (the only 'eligible liabilities' hit is CC1 row 72, holdings of other entities' instruments). FY2020 has no Pillar 3; the FY2020 Annual Report and FY2025 Annual Report were also searched - zero hits.</t>
        </is>
      </c>
    </row>
    <row r="7" ht="221" customHeight="1">
      <c r="A7" s="8" t="inlineStr">
        <is>
          <t xml:space="preserve">Sources - British Arab Commercial Bank PLC Pillar 3 Disclosures, UK KM1 Key Metrics template:
FY2025: 2025 Pillar 3 Disclosures, p.6 (own year) - https://files.bacb.co.uk/production/files/BACB_Pillar3_YE2025web-03.pdf
FY2024: 2024 Pillar 3 Disclosures, p.6 (own year) - https://files.bacb.co.uk/production/files/BACB_Pillar3_YE2024web-05.pdf
FY2023: 2023 Pillar 3 Disclosures, p.6 (own year) - https://files.bacb.co.uk/production/files/BACB_Pillar3YE2023-03-002.pdf
FY2022: 2022 Pillar 3 Disclosures, p.7 (own year) - https://files.bacb.co.uk/production/files/BACB_Pillar3YE2022-1.pdf
FY2021: sourced from the 2022 Pillar 3 Disclosures' own FY2021 comparative column, p.7 - https://files.bacb.co.uk/production/files/BACB_Pillar3YE2022-1.pdf (the 2021 Pillar 3 document predates the modern UK KM1 template and has no equivalent single table - same approach as Aldermore/BLME/Bank of Ireland UK elsewhere in this project).
FY2020: sourced from the 2021 Pillar 3 Disclosures' own FY2020 comparative column (Table 9/10/25) - https://files.bacb.co.uk/production/files/BACB_Pillar3-2021_v3.pdf (no standalone FY2020 Pillar 3 document exists - confirmed via a full Wayback Machine CDX domain search for bacb.co.uk, which shows FY2019- and FY2021-labelled documents but no FY2020 one).
FY2019: 2019 Pillar 3 Disclosures (own year), Table 9 (LCR)/Table 10 (capital)/p.33 (leverage) - https://files.bacb.co.uk/production/files/2019-Pillar-3.pdf
FY2018: 2018 Pillar 3 Disclosures (own year), Table 10 (capital)/p.31 (leverage) - https://files.bacb.co.uk/production/files/Pillar-3-2018_Final-secured.pdf
FY2017: 2017 Pillar 3 Disclosures (own year), Table 10 (capital)/p.31 (leverage) - https://files.bacb.co.uk/production/files/Pillar-3-2017-FINAL-24-May-2018.pdf
FY2016: 2016 Pillar 3 Disclosures (own year), Table 7 (capital)/p.30 (leverage) - https://files.bacb.co.uk/production/files/Pillar-3-2016-FINAL-June17.pdf
FY2015: 2015 Pillar 3 Disclosures (own year), Table 8 (capital)/Table 12 (leverage exposure) - https://files.bacb.co.uk/production/files/2015-Pillar-3-secured.pdf
FY2014: 2014 Pillar 3 Disclosures (own year), Table 8 (capital) - https://files.bacb.co.uk/production/files/2014-Pillar-3-secured.pdf (no leverage ratio disclosed - the leverage ratio requirement first appears in BACB's own Pillar 3 Disclosures from FY2015; no LCR % disclosed - LCR appears only as an undisclosed chart image in FY2014-FY2018's own documents, with a first extractable numeric value from FY2019's own report).
</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2026-10-26T09:35:58Z</dcterms:created>
  <dcterms:modified xmlns:dcterms="http://purl.org/dc/terms/" xmlns:xsi="http://www.w3.org/2001/XMLSchema-instance" xsi:type="dcterms:W3CDTF">2026-10-26T09:35:58Z</dcterms:modified>
</cp:coreProperties>
</file>