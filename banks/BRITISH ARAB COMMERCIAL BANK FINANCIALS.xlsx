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3318750</v>
      </c>
      <c r="C6" s="5" t="n">
        <v>3343466</v>
      </c>
      <c r="D6" s="5" t="n">
        <v>3001927</v>
      </c>
      <c r="E6" s="5" t="n">
        <v>3194745</v>
      </c>
      <c r="F6" s="5" t="n">
        <v>2782543</v>
      </c>
      <c r="I6" t="inlineStr">
        <is>
          <t>Total assets</t>
        </is>
      </c>
      <c r="J6" t="n">
        <v>2782543</v>
      </c>
      <c r="K6" t="n">
        <v>3194745</v>
      </c>
      <c r="L6" t="n">
        <v>3001927</v>
      </c>
      <c r="M6" t="n">
        <v>3343466</v>
      </c>
      <c r="N6" t="n">
        <v>3318750</v>
      </c>
      <c r="AO6" t="inlineStr">
        <is>
          <t>CET1 Ratio</t>
        </is>
      </c>
      <c r="AP6" t="n">
        <v>18.4</v>
      </c>
      <c r="AQ6" t="n">
        <v>16</v>
      </c>
      <c r="AR6" t="n">
        <v>18</v>
      </c>
      <c r="AS6" t="n">
        <v>15.6</v>
      </c>
      <c r="AT6" t="n">
        <v>13.8</v>
      </c>
    </row>
    <row r="7">
      <c r="A7" s="5" t="inlineStr">
        <is>
          <t>Loans and advances to customers</t>
        </is>
      </c>
      <c r="B7" s="5" t="n">
        <v>353562</v>
      </c>
      <c r="C7" s="5" t="n">
        <v>387260</v>
      </c>
      <c r="D7" s="5" t="n">
        <v>388567</v>
      </c>
      <c r="E7" s="5" t="n">
        <v>463780</v>
      </c>
      <c r="F7" s="5" t="n">
        <v>484536</v>
      </c>
      <c r="I7" t="inlineStr">
        <is>
          <t>Loans and advances to customers</t>
        </is>
      </c>
      <c r="J7" t="n">
        <v>484536</v>
      </c>
      <c r="K7" t="n">
        <v>463780</v>
      </c>
      <c r="L7" t="n">
        <v>388567</v>
      </c>
      <c r="M7" t="n">
        <v>387260</v>
      </c>
      <c r="N7" t="n">
        <v>353562</v>
      </c>
      <c r="AO7" t="inlineStr">
        <is>
          <t>Total Capital Ratio</t>
        </is>
      </c>
      <c r="AP7" t="n">
        <v>24.9</v>
      </c>
      <c r="AQ7" t="n">
        <v>21.7</v>
      </c>
      <c r="AR7" t="n">
        <v>22.3</v>
      </c>
      <c r="AS7" t="n">
        <v>20.3</v>
      </c>
      <c r="AT7" t="n">
        <v>17.4</v>
      </c>
    </row>
    <row r="8">
      <c r="A8" s="5" t="inlineStr">
        <is>
          <t>Deposits from banks + other deposits</t>
        </is>
      </c>
      <c r="B8" s="5" t="n">
        <v>2938773</v>
      </c>
      <c r="C8" s="5" t="n">
        <v>2977572</v>
      </c>
      <c r="D8" s="5" t="n">
        <v>2659678</v>
      </c>
      <c r="E8" s="5" t="n">
        <v>2882233</v>
      </c>
      <c r="F8" s="5" t="n">
        <v>2481506</v>
      </c>
      <c r="I8" t="inlineStr">
        <is>
          <t>Deposits from banks + other deposits</t>
        </is>
      </c>
      <c r="J8" t="n">
        <v>2481506</v>
      </c>
      <c r="K8" t="n">
        <v>2882233</v>
      </c>
      <c r="L8" t="n">
        <v>2659678</v>
      </c>
      <c r="M8" t="n">
        <v>2977572</v>
      </c>
      <c r="N8" t="n">
        <v>2938773</v>
      </c>
      <c r="AO8" t="inlineStr">
        <is>
          <t>Leverage Ratio</t>
        </is>
      </c>
      <c r="AP8" t="n">
        <v>6.7</v>
      </c>
      <c r="AQ8" t="n">
        <v>5.7</v>
      </c>
      <c r="AR8" t="n">
        <v>6.8</v>
      </c>
      <c r="AS8" t="n">
        <v>6.6</v>
      </c>
      <c r="AT8" t="n">
        <v>7.2</v>
      </c>
    </row>
    <row r="9">
      <c r="A9" s="5" t="inlineStr">
        <is>
          <t>Total equity</t>
        </is>
      </c>
      <c r="B9" s="5" t="n">
        <v>278340</v>
      </c>
      <c r="C9" s="5" t="n">
        <v>257612</v>
      </c>
      <c r="D9" s="5" t="n">
        <v>232578</v>
      </c>
      <c r="E9" s="5" t="n">
        <v>207266</v>
      </c>
      <c r="F9" s="5" t="n">
        <v>210286</v>
      </c>
      <c r="I9" t="inlineStr">
        <is>
          <t>Total equity</t>
        </is>
      </c>
      <c r="J9" t="n">
        <v>210286</v>
      </c>
      <c r="K9" t="n">
        <v>207266</v>
      </c>
      <c r="L9" t="n">
        <v>232578</v>
      </c>
      <c r="M9" t="n">
        <v>257612</v>
      </c>
      <c r="N9" t="n">
        <v>278340</v>
      </c>
      <c r="AO9" t="inlineStr">
        <is>
          <t>LCR</t>
        </is>
      </c>
      <c r="AP9" t="n">
        <v>276</v>
      </c>
      <c r="AQ9" t="n">
        <v>254</v>
      </c>
      <c r="AR9" t="n">
        <v>271</v>
      </c>
      <c r="AS9" t="n">
        <v>327</v>
      </c>
      <c r="AT9" t="n">
        <v>234</v>
      </c>
    </row>
    <row r="10">
      <c r="AO10" t="inlineStr">
        <is>
          <t>NSFR</t>
        </is>
      </c>
      <c r="AQ10" t="n">
        <v>130</v>
      </c>
      <c r="AR10" t="n">
        <v>151</v>
      </c>
      <c r="AS10" t="n">
        <v>160</v>
      </c>
      <c r="AT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 before allowance for credit losses</t>
        </is>
      </c>
      <c r="B13" s="5" t="n">
        <v>92763</v>
      </c>
      <c r="C13" s="5" t="n">
        <v>98650</v>
      </c>
      <c r="D13" s="5" t="n">
        <v>87856</v>
      </c>
      <c r="E13" s="5" t="n">
        <v>57433</v>
      </c>
      <c r="F13" s="5" t="n">
        <v>41723</v>
      </c>
      <c r="Q13" t="inlineStr">
        <is>
          <t>Operating income before allowance for credit losses</t>
        </is>
      </c>
      <c r="R13" t="n">
        <v>41723</v>
      </c>
      <c r="S13" t="n">
        <v>57433</v>
      </c>
      <c r="T13" t="n">
        <v>87856</v>
      </c>
      <c r="U13" t="n">
        <v>98650</v>
      </c>
      <c r="V13" t="n">
        <v>92763</v>
      </c>
    </row>
    <row r="14">
      <c r="A14" s="5" t="inlineStr">
        <is>
          <t>Administrative expenses</t>
        </is>
      </c>
      <c r="B14" s="5" t="n">
        <v>-64363</v>
      </c>
      <c r="C14" s="5" t="n">
        <v>-62082</v>
      </c>
      <c r="D14" s="5" t="n">
        <v>-53594</v>
      </c>
      <c r="E14" s="5" t="n">
        <v>-42031</v>
      </c>
      <c r="F14" s="5" t="n">
        <v>-38763</v>
      </c>
      <c r="Q14" t="inlineStr">
        <is>
          <t>Administrative expenses</t>
        </is>
      </c>
      <c r="R14" t="n">
        <v>-38763</v>
      </c>
      <c r="S14" t="n">
        <v>-42031</v>
      </c>
      <c r="T14" t="n">
        <v>-53594</v>
      </c>
      <c r="U14" t="n">
        <v>-62082</v>
      </c>
      <c r="V14" t="n">
        <v>-64363</v>
      </c>
    </row>
    <row r="15">
      <c r="A15" s="5" t="inlineStr">
        <is>
          <t>Profit for the year</t>
        </is>
      </c>
      <c r="B15" s="5" t="n">
        <v>24127</v>
      </c>
      <c r="C15" s="5" t="n">
        <v>28755</v>
      </c>
      <c r="D15" s="5" t="n">
        <v>27875</v>
      </c>
      <c r="E15" s="5" t="n">
        <v>15100</v>
      </c>
      <c r="F15" s="5" t="n">
        <v>13035</v>
      </c>
      <c r="Q15" t="inlineStr">
        <is>
          <t>Profit for the year</t>
        </is>
      </c>
      <c r="R15" t="n">
        <v>13035</v>
      </c>
      <c r="S15" t="n">
        <v>15100</v>
      </c>
      <c r="T15" t="n">
        <v>27875</v>
      </c>
      <c r="U15" t="n">
        <v>28755</v>
      </c>
      <c r="V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t>
        </is>
      </c>
      <c r="B19" s="5" t="n">
        <v>278340</v>
      </c>
      <c r="C19" s="5" t="n">
        <v>257612</v>
      </c>
      <c r="D19" s="5" t="n">
        <v>232578</v>
      </c>
      <c r="E19" s="5" t="n">
        <v>207266</v>
      </c>
      <c r="F19" s="5" t="n">
        <v>210286</v>
      </c>
      <c r="Y19" t="inlineStr">
        <is>
          <t>Total equity</t>
        </is>
      </c>
      <c r="Z19" t="n">
        <v>210286</v>
      </c>
      <c r="AA19" t="n">
        <v>207266</v>
      </c>
      <c r="AB19" t="n">
        <v>232578</v>
      </c>
      <c r="AC19" t="n">
        <v>257612</v>
      </c>
      <c r="AD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generated from/(used in) operating activities</t>
        </is>
      </c>
      <c r="B23" s="5" t="n">
        <v>124138</v>
      </c>
      <c r="C23" s="5" t="n">
        <v>227828</v>
      </c>
      <c r="D23" s="5" t="n">
        <v>-286411</v>
      </c>
      <c r="E23" s="5" t="n">
        <v>-120744</v>
      </c>
      <c r="F23" s="5" t="n">
        <v>189594</v>
      </c>
      <c r="AG23" t="inlineStr">
        <is>
          <t>Net cash generated from/(used in) operating activities</t>
        </is>
      </c>
      <c r="AH23" t="n">
        <v>189594</v>
      </c>
      <c r="AI23" t="n">
        <v>-120744</v>
      </c>
      <c r="AJ23" t="n">
        <v>-286411</v>
      </c>
      <c r="AK23" t="n">
        <v>227828</v>
      </c>
      <c r="AL23" t="n">
        <v>124138</v>
      </c>
    </row>
    <row r="24">
      <c r="A24" s="5" t="inlineStr">
        <is>
          <t>Net cash used in investing activities</t>
        </is>
      </c>
      <c r="B24" s="5" t="n">
        <v>-1537</v>
      </c>
      <c r="C24" s="5" t="n">
        <v>-820</v>
      </c>
      <c r="D24" s="5" t="n">
        <v>-8524</v>
      </c>
      <c r="E24" s="5" t="n">
        <v>-1094</v>
      </c>
      <c r="F24" s="5" t="n">
        <v>-814</v>
      </c>
      <c r="AG24" t="inlineStr">
        <is>
          <t>Net cash used in investing activities</t>
        </is>
      </c>
      <c r="AH24" t="n">
        <v>-814</v>
      </c>
      <c r="AI24" t="n">
        <v>-1094</v>
      </c>
      <c r="AJ24" t="n">
        <v>-8524</v>
      </c>
      <c r="AK24" t="n">
        <v>-820</v>
      </c>
      <c r="AL24" t="n">
        <v>-1537</v>
      </c>
    </row>
    <row r="25">
      <c r="A25" s="5" t="inlineStr">
        <is>
          <t>Net cash used in financing activities</t>
        </is>
      </c>
      <c r="B25" s="5" t="n">
        <v>-6477</v>
      </c>
      <c r="C25" s="5" t="n">
        <v>-5055</v>
      </c>
      <c r="D25" s="5" t="n">
        <v>-5417</v>
      </c>
      <c r="E25" s="5" t="n">
        <v>-8771</v>
      </c>
      <c r="F25" s="5" t="n">
        <v>-191</v>
      </c>
      <c r="AG25" t="inlineStr">
        <is>
          <t>Net cash used in financing activities</t>
        </is>
      </c>
      <c r="AH25" t="n">
        <v>-191</v>
      </c>
      <c r="AI25" t="n">
        <v>-8771</v>
      </c>
      <c r="AJ25" t="n">
        <v>-5417</v>
      </c>
      <c r="AK25" t="n">
        <v>-5055</v>
      </c>
      <c r="AL25" t="n">
        <v>-6477</v>
      </c>
    </row>
    <row r="26">
      <c r="A26" s="5" t="inlineStr">
        <is>
          <t>Cash and cash equivalents at end of year</t>
        </is>
      </c>
      <c r="B26" s="5" t="n">
        <v>718577</v>
      </c>
      <c r="C26" s="5" t="n">
        <v>604467</v>
      </c>
      <c r="D26" s="5" t="n">
        <v>372940</v>
      </c>
      <c r="E26" s="5" t="n">
        <v>700795</v>
      </c>
      <c r="F26" s="5" t="n">
        <v>766720</v>
      </c>
      <c r="AG26" t="inlineStr">
        <is>
          <t>Cash and cash equivalents at end of year</t>
        </is>
      </c>
      <c r="AH26" t="n">
        <v>766720</v>
      </c>
      <c r="AI26" t="n">
        <v>700795</v>
      </c>
      <c r="AJ26" t="n">
        <v>372940</v>
      </c>
      <c r="AK26" t="n">
        <v>604467</v>
      </c>
      <c r="AL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row>
    <row r="30">
      <c r="A30" s="6" t="inlineStr">
        <is>
          <t>CET1 Ratio</t>
        </is>
      </c>
      <c r="B30" s="6" t="inlineStr">
        <is>
          <t>13.8%</t>
        </is>
      </c>
      <c r="C30" s="6" t="inlineStr">
        <is>
          <t>15.6%</t>
        </is>
      </c>
      <c r="D30" s="6" t="inlineStr">
        <is>
          <t>18.0%</t>
        </is>
      </c>
      <c r="E30" s="6" t="inlineStr">
        <is>
          <t>16.0%</t>
        </is>
      </c>
      <c r="F30" s="6" t="inlineStr">
        <is>
          <t>18.4%</t>
        </is>
      </c>
    </row>
    <row r="31">
      <c r="A31" s="6" t="inlineStr">
        <is>
          <t>Total Capital Ratio</t>
        </is>
      </c>
      <c r="B31" s="6" t="inlineStr">
        <is>
          <t>17.4%</t>
        </is>
      </c>
      <c r="C31" s="6" t="inlineStr">
        <is>
          <t>20.3%</t>
        </is>
      </c>
      <c r="D31" s="6" t="inlineStr">
        <is>
          <t>22.3%</t>
        </is>
      </c>
      <c r="E31" s="6" t="inlineStr">
        <is>
          <t>21.7%</t>
        </is>
      </c>
      <c r="F31" s="6" t="inlineStr">
        <is>
          <t>24.9%</t>
        </is>
      </c>
    </row>
    <row r="32">
      <c r="A32" s="6" t="inlineStr">
        <is>
          <t>Leverage Ratio</t>
        </is>
      </c>
      <c r="B32" s="6" t="inlineStr">
        <is>
          <t>7.2%</t>
        </is>
      </c>
      <c r="C32" s="6" t="inlineStr">
        <is>
          <t>6.6%</t>
        </is>
      </c>
      <c r="D32" s="6" t="inlineStr">
        <is>
          <t>6.8%</t>
        </is>
      </c>
      <c r="E32" s="6" t="inlineStr">
        <is>
          <t>5.7%</t>
        </is>
      </c>
      <c r="F32" s="6" t="inlineStr">
        <is>
          <t>6.7%</t>
        </is>
      </c>
    </row>
    <row r="33">
      <c r="A33" s="6" t="inlineStr">
        <is>
          <t>LCR</t>
        </is>
      </c>
      <c r="B33" s="6" t="inlineStr">
        <is>
          <t>234%</t>
        </is>
      </c>
      <c r="C33" s="6" t="inlineStr">
        <is>
          <t>327%</t>
        </is>
      </c>
      <c r="D33" s="6" t="inlineStr">
        <is>
          <t>271%</t>
        </is>
      </c>
      <c r="E33" s="6" t="inlineStr">
        <is>
          <t>254%</t>
        </is>
      </c>
      <c r="F33" s="6" t="inlineStr">
        <is>
          <t>276%</t>
        </is>
      </c>
    </row>
    <row r="34">
      <c r="A34" s="6" t="inlineStr">
        <is>
          <t>NSFR</t>
        </is>
      </c>
      <c r="B34" s="6" t="inlineStr">
        <is>
          <t>166%</t>
        </is>
      </c>
      <c r="C34" s="6" t="inlineStr">
        <is>
          <t>160%</t>
        </is>
      </c>
      <c r="D34" s="6" t="inlineStr">
        <is>
          <t>151%</t>
        </is>
      </c>
      <c r="E34" s="6" t="inlineStr">
        <is>
          <t>130%</t>
        </is>
      </c>
      <c r="F34" s="6" t="n"/>
    </row>
    <row r="36" ht="45" customHeight="1">
      <c r="A36" s="7" t="inlineStr">
        <is>
          <t>Note: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notes and coins</t>
        </is>
      </c>
      <c r="B5" s="6" t="n">
        <v>0</v>
      </c>
      <c r="C5" s="6" t="n">
        <v>1</v>
      </c>
      <c r="D5" s="6" t="n">
        <v>1</v>
      </c>
      <c r="E5" s="6" t="n">
        <v>0</v>
      </c>
      <c r="F5" s="6" t="n">
        <v>218</v>
      </c>
    </row>
    <row r="6">
      <c r="A6" s="6" t="inlineStr">
        <is>
          <t>Derivatives</t>
        </is>
      </c>
      <c r="B6" s="6" t="n">
        <v>2008</v>
      </c>
      <c r="C6" s="6" t="n">
        <v>1770</v>
      </c>
      <c r="D6" s="6" t="n">
        <v>661</v>
      </c>
      <c r="E6" s="6" t="n">
        <v>1344</v>
      </c>
      <c r="F6" s="6" t="n">
        <v>616</v>
      </c>
    </row>
    <row r="7">
      <c r="A7" s="6" t="inlineStr">
        <is>
          <t>Reverse repurchase agreements</t>
        </is>
      </c>
      <c r="B7" s="6" t="n">
        <v>25147</v>
      </c>
      <c r="C7" s="6" t="n">
        <v>210601</v>
      </c>
      <c r="D7" s="6" t="n">
        <v>86937</v>
      </c>
      <c r="E7" s="6" t="n">
        <v>236927</v>
      </c>
      <c r="F7" s="6" t="n">
        <v>215824</v>
      </c>
    </row>
    <row r="8">
      <c r="A8" s="6" t="inlineStr">
        <is>
          <t>Loans and advances to banks</t>
        </is>
      </c>
      <c r="B8" s="6" t="n">
        <v>1570302</v>
      </c>
      <c r="C8" s="6" t="n">
        <v>1271347</v>
      </c>
      <c r="D8" s="6" t="n">
        <v>855620</v>
      </c>
      <c r="E8" s="6" t="n">
        <v>755184</v>
      </c>
      <c r="F8" s="6" t="n">
        <v>588843</v>
      </c>
    </row>
    <row r="9">
      <c r="A9" s="6" t="inlineStr">
        <is>
          <t>Loans and advances to customers</t>
        </is>
      </c>
      <c r="B9" s="6" t="n">
        <v>353562</v>
      </c>
      <c r="C9" s="6" t="n">
        <v>387260</v>
      </c>
      <c r="D9" s="6" t="n">
        <v>388567</v>
      </c>
      <c r="E9" s="6" t="n">
        <v>463780</v>
      </c>
      <c r="F9" s="6" t="n">
        <v>484536</v>
      </c>
    </row>
    <row r="10">
      <c r="A10" s="6" t="inlineStr">
        <is>
          <t>Financial investments</t>
        </is>
      </c>
      <c r="B10" s="6" t="n">
        <v>1317406</v>
      </c>
      <c r="C10" s="6" t="n">
        <v>1427440</v>
      </c>
      <c r="D10" s="6" t="n">
        <v>1621748</v>
      </c>
      <c r="E10" s="6" t="n">
        <v>1695000</v>
      </c>
      <c r="F10" s="6" t="n">
        <v>1456288</v>
      </c>
    </row>
    <row r="11">
      <c r="A11" s="6" t="inlineStr">
        <is>
          <t>Prepayments, accrued income and other debtors</t>
        </is>
      </c>
      <c r="B11" s="6" t="n">
        <v>14721</v>
      </c>
      <c r="C11" s="6" t="n">
        <v>8497</v>
      </c>
      <c r="D11" s="6" t="n">
        <v>10424</v>
      </c>
      <c r="E11" s="6" t="n">
        <v>3014</v>
      </c>
      <c r="F11" s="6" t="n">
        <v>3437</v>
      </c>
    </row>
    <row r="12">
      <c r="A12" s="6" t="inlineStr">
        <is>
          <t>Corporation tax receivable</t>
        </is>
      </c>
      <c r="B12" s="6" t="n"/>
      <c r="C12" s="6" t="n"/>
      <c r="D12" s="6" t="n">
        <v>947</v>
      </c>
      <c r="E12" s="6" t="n">
        <v>223</v>
      </c>
      <c r="F12" s="6" t="n"/>
    </row>
    <row r="13">
      <c r="A13" s="6" t="inlineStr">
        <is>
          <t>Deferred tax assets</t>
        </is>
      </c>
      <c r="B13" s="6" t="n"/>
      <c r="C13" s="6" t="n"/>
      <c r="D13" s="6" t="n">
        <v>0</v>
      </c>
      <c r="E13" s="6" t="n">
        <v>3561</v>
      </c>
      <c r="F13" s="6" t="n"/>
    </row>
    <row r="14">
      <c r="A14" s="6" t="inlineStr">
        <is>
          <t>Property, plant and equipment</t>
        </is>
      </c>
      <c r="B14" s="6" t="n">
        <v>30946</v>
      </c>
      <c r="C14" s="6" t="n">
        <v>31014</v>
      </c>
      <c r="D14" s="6" t="n">
        <v>29839</v>
      </c>
      <c r="E14" s="6" t="n">
        <v>27271</v>
      </c>
      <c r="F14" s="6" t="n">
        <v>19719</v>
      </c>
    </row>
    <row r="15">
      <c r="A15" s="6" t="inlineStr">
        <is>
          <t>Intangible assets</t>
        </is>
      </c>
      <c r="B15" s="6" t="n">
        <v>2305</v>
      </c>
      <c r="C15" s="6" t="n">
        <v>2937</v>
      </c>
      <c r="D15" s="6" t="n">
        <v>4566</v>
      </c>
      <c r="E15" s="6" t="n">
        <v>6222</v>
      </c>
      <c r="F15" s="6" t="n">
        <v>7582</v>
      </c>
    </row>
    <row r="16">
      <c r="A16" s="6" t="inlineStr">
        <is>
          <t>Net pension asset</t>
        </is>
      </c>
      <c r="B16" s="6" t="n">
        <v>2353</v>
      </c>
      <c r="C16" s="6" t="n">
        <v>2599</v>
      </c>
      <c r="D16" s="6" t="n">
        <v>2617</v>
      </c>
      <c r="E16" s="6" t="n">
        <v>2219</v>
      </c>
      <c r="F16" s="6" t="n">
        <v>5480</v>
      </c>
    </row>
    <row r="17">
      <c r="A17" s="5" t="inlineStr">
        <is>
          <t>Total assets</t>
        </is>
      </c>
      <c r="B17" s="5" t="n">
        <v>3318750</v>
      </c>
      <c r="C17" s="5" t="n">
        <v>3343466</v>
      </c>
      <c r="D17" s="5" t="n">
        <v>3001927</v>
      </c>
      <c r="E17" s="5" t="n">
        <v>3194745</v>
      </c>
      <c r="F17" s="5" t="n">
        <v>2782543</v>
      </c>
    </row>
    <row r="18">
      <c r="A18" s="5" t="inlineStr">
        <is>
          <t>Liabilities</t>
        </is>
      </c>
      <c r="B18" s="6" t="n"/>
      <c r="C18" s="6" t="n"/>
      <c r="D18" s="6" t="n"/>
      <c r="E18" s="6" t="n"/>
      <c r="F18" s="6" t="n"/>
    </row>
    <row r="19">
      <c r="A19" s="6" t="inlineStr">
        <is>
          <t>Derivatives</t>
        </is>
      </c>
      <c r="B19" s="6" t="n">
        <v>728</v>
      </c>
      <c r="C19" s="6" t="n">
        <v>1056</v>
      </c>
      <c r="D19" s="6" t="n">
        <v>46</v>
      </c>
      <c r="E19" s="6" t="n">
        <v>507</v>
      </c>
      <c r="F19" s="6" t="n">
        <v>1268</v>
      </c>
    </row>
    <row r="20">
      <c r="A20" s="6" t="inlineStr">
        <is>
          <t>Deposits from banks</t>
        </is>
      </c>
      <c r="B20" s="6" t="n">
        <v>2110653</v>
      </c>
      <c r="C20" s="6" t="n">
        <v>2218623</v>
      </c>
      <c r="D20" s="6" t="n">
        <v>1960559</v>
      </c>
      <c r="E20" s="6" t="n">
        <v>2144470</v>
      </c>
      <c r="F20" s="6" t="n">
        <v>1876756</v>
      </c>
    </row>
    <row r="21">
      <c r="A21" s="6" t="inlineStr">
        <is>
          <t>Other deposits</t>
        </is>
      </c>
      <c r="B21" s="6" t="n">
        <v>828120</v>
      </c>
      <c r="C21" s="6" t="n">
        <v>758949</v>
      </c>
      <c r="D21" s="6" t="n">
        <v>699119</v>
      </c>
      <c r="E21" s="6" t="n">
        <v>737763</v>
      </c>
      <c r="F21" s="6" t="n">
        <v>604750</v>
      </c>
    </row>
    <row r="22">
      <c r="A22" s="6" t="inlineStr">
        <is>
          <t>Other liabilities, accruals and deferred income</t>
        </is>
      </c>
      <c r="B22" s="6" t="n">
        <v>29930</v>
      </c>
      <c r="C22" s="6" t="n">
        <v>29369</v>
      </c>
      <c r="D22" s="6" t="n">
        <v>33274</v>
      </c>
      <c r="E22" s="6" t="n">
        <v>27080</v>
      </c>
      <c r="F22" s="6" t="n">
        <v>17530</v>
      </c>
    </row>
    <row r="23">
      <c r="A23" s="6" t="inlineStr">
        <is>
          <t>Corporation tax payable</t>
        </is>
      </c>
      <c r="B23" s="6" t="n">
        <v>327</v>
      </c>
      <c r="C23" s="6" t="n">
        <v>810</v>
      </c>
      <c r="D23" s="6" t="n"/>
      <c r="E23" s="6" t="n"/>
      <c r="F23" s="6" t="n">
        <v>900</v>
      </c>
    </row>
    <row r="24">
      <c r="A24" s="6" t="inlineStr">
        <is>
          <t>Deferred tax liabilities</t>
        </is>
      </c>
      <c r="B24" s="6" t="n">
        <v>1646</v>
      </c>
      <c r="C24" s="6" t="n">
        <v>2821</v>
      </c>
      <c r="D24" s="6" t="n">
        <v>1797</v>
      </c>
      <c r="E24" s="6" t="n"/>
      <c r="F24" s="6" t="n">
        <v>539</v>
      </c>
    </row>
    <row r="25">
      <c r="A25" s="6" t="inlineStr">
        <is>
          <t>Subordinated liabilities</t>
        </is>
      </c>
      <c r="B25" s="6" t="n">
        <v>69006</v>
      </c>
      <c r="C25" s="6" t="n">
        <v>74226</v>
      </c>
      <c r="D25" s="6" t="n">
        <v>74554</v>
      </c>
      <c r="E25" s="6" t="n">
        <v>77659</v>
      </c>
      <c r="F25" s="6" t="n">
        <v>70514</v>
      </c>
    </row>
    <row r="26">
      <c r="A26" s="5" t="inlineStr">
        <is>
          <t>Total liabilities</t>
        </is>
      </c>
      <c r="B26" s="5" t="n">
        <v>3040410</v>
      </c>
      <c r="C26" s="5" t="n">
        <v>3085854</v>
      </c>
      <c r="D26" s="5" t="n">
        <v>2769349</v>
      </c>
      <c r="E26" s="5" t="n">
        <v>2987479</v>
      </c>
      <c r="F26" s="5" t="n">
        <v>2572257</v>
      </c>
    </row>
    <row r="27">
      <c r="A27" s="5" t="inlineStr">
        <is>
          <t>Equity</t>
        </is>
      </c>
      <c r="B27" s="6" t="n"/>
      <c r="C27" s="6" t="n"/>
      <c r="D27" s="6" t="n"/>
      <c r="E27" s="6" t="n"/>
      <c r="F27" s="6" t="n"/>
    </row>
    <row r="28">
      <c r="A28" s="6" t="inlineStr">
        <is>
          <t>Called up share capital</t>
        </is>
      </c>
      <c r="B28" s="6" t="n">
        <v>108069</v>
      </c>
      <c r="C28" s="6" t="n">
        <v>107097</v>
      </c>
      <c r="D28" s="6" t="n">
        <v>106377</v>
      </c>
      <c r="E28" s="6" t="n">
        <v>105592</v>
      </c>
      <c r="F28" s="6" t="n">
        <v>104357</v>
      </c>
    </row>
    <row r="29">
      <c r="A29" s="6" t="inlineStr">
        <is>
          <t>Capital redemption reserve</t>
        </is>
      </c>
      <c r="B29" s="6" t="n">
        <v>4104</v>
      </c>
      <c r="C29" s="6" t="n">
        <v>4104</v>
      </c>
      <c r="D29" s="6" t="n">
        <v>4104</v>
      </c>
      <c r="E29" s="6" t="n">
        <v>4104</v>
      </c>
      <c r="F29" s="6" t="n">
        <v>4104</v>
      </c>
    </row>
    <row r="30">
      <c r="A30" s="6" t="inlineStr">
        <is>
          <t>Other reserves</t>
        </is>
      </c>
      <c r="B30" s="6" t="n">
        <v>166167</v>
      </c>
      <c r="C30" s="6" t="n">
        <v>146411</v>
      </c>
      <c r="D30" s="6" t="n">
        <v>122097</v>
      </c>
      <c r="E30" s="6" t="n">
        <v>97570</v>
      </c>
      <c r="F30" s="6" t="n">
        <v>101825</v>
      </c>
    </row>
    <row r="31">
      <c r="A31" s="5" t="inlineStr">
        <is>
          <t>Total equity</t>
        </is>
      </c>
      <c r="B31" s="5" t="n">
        <v>278340</v>
      </c>
      <c r="C31" s="5" t="n">
        <v>257612</v>
      </c>
      <c r="D31" s="5" t="n">
        <v>232578</v>
      </c>
      <c r="E31" s="5" t="n">
        <v>207266</v>
      </c>
      <c r="F31" s="5" t="n">
        <v>210286</v>
      </c>
    </row>
    <row r="32">
      <c r="A32" s="5" t="inlineStr">
        <is>
          <t>Total liabilities and equity</t>
        </is>
      </c>
      <c r="B32" s="5" t="n">
        <v>3318750</v>
      </c>
      <c r="C32" s="5" t="n">
        <v>3343466</v>
      </c>
      <c r="D32" s="5" t="n">
        <v>3001927</v>
      </c>
      <c r="E32" s="5" t="n">
        <v>3194745</v>
      </c>
      <c r="F32" s="5" t="n">
        <v>2782543</v>
      </c>
    </row>
    <row r="34" ht="460" customHeight="1">
      <c r="A34"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 (or: calculated under effective interest method)</t>
        </is>
      </c>
      <c r="B5" s="6" t="n">
        <v>130031</v>
      </c>
      <c r="C5" s="6" t="n">
        <v>144622</v>
      </c>
      <c r="D5" s="6" t="n">
        <v>168035</v>
      </c>
      <c r="E5" s="6" t="n">
        <v>71950</v>
      </c>
      <c r="F5" s="6" t="n">
        <v>33156</v>
      </c>
    </row>
    <row r="6">
      <c r="A6" s="6" t="inlineStr">
        <is>
          <t>Interest income calculated using other method</t>
        </is>
      </c>
      <c r="B6" s="6" t="n">
        <v>34805</v>
      </c>
      <c r="C6" s="6" t="n">
        <v>38274</v>
      </c>
      <c r="D6" s="6" t="n"/>
      <c r="E6" s="6" t="n"/>
      <c r="F6" s="6" t="n"/>
    </row>
    <row r="7">
      <c r="A7" s="6" t="inlineStr">
        <is>
          <t>Interest expense and similar charges (or: calculated under effective interest method)</t>
        </is>
      </c>
      <c r="B7" s="6" t="n">
        <v>-101087</v>
      </c>
      <c r="C7" s="6" t="n">
        <v>-112061</v>
      </c>
      <c r="D7" s="6" t="n">
        <v>-103747</v>
      </c>
      <c r="E7" s="6" t="n">
        <v>-38301</v>
      </c>
      <c r="F7" s="6" t="n">
        <v>-12248</v>
      </c>
    </row>
    <row r="8">
      <c r="A8" s="6" t="inlineStr">
        <is>
          <t>Interest expense calculated using other method</t>
        </is>
      </c>
      <c r="B8" s="6" t="n">
        <v>-325</v>
      </c>
      <c r="C8" s="6" t="n">
        <v>-192</v>
      </c>
      <c r="D8" s="6" t="n"/>
      <c r="E8" s="6" t="n"/>
      <c r="F8" s="6" t="n"/>
    </row>
    <row r="9">
      <c r="A9" s="5" t="inlineStr">
        <is>
          <t>Net interest income</t>
        </is>
      </c>
      <c r="B9" s="5" t="n">
        <v>63424</v>
      </c>
      <c r="C9" s="5" t="n">
        <v>70643</v>
      </c>
      <c r="D9" s="5" t="n">
        <v>64288</v>
      </c>
      <c r="E9" s="5" t="n">
        <v>33649</v>
      </c>
      <c r="F9" s="5" t="n">
        <v>20908</v>
      </c>
    </row>
    <row r="10">
      <c r="A10" s="6" t="inlineStr">
        <is>
          <t>Fee and commission income</t>
        </is>
      </c>
      <c r="B10" s="6" t="n">
        <v>25974</v>
      </c>
      <c r="C10" s="6" t="n">
        <v>26821</v>
      </c>
      <c r="D10" s="6" t="n">
        <v>24098</v>
      </c>
      <c r="E10" s="6" t="n">
        <v>21653</v>
      </c>
      <c r="F10" s="6" t="n">
        <v>17502</v>
      </c>
    </row>
    <row r="11">
      <c r="A11" s="6" t="inlineStr">
        <is>
          <t>Fee and commission expense</t>
        </is>
      </c>
      <c r="B11" s="6" t="n">
        <v>-7360</v>
      </c>
      <c r="C11" s="6" t="n">
        <v>-6431</v>
      </c>
      <c r="D11" s="6" t="n">
        <v>-6977</v>
      </c>
      <c r="E11" s="6" t="n">
        <v>-4035</v>
      </c>
      <c r="F11" s="6" t="n">
        <v>-1599</v>
      </c>
    </row>
    <row r="12">
      <c r="A12" s="5" t="inlineStr">
        <is>
          <t>Net fee and commission income</t>
        </is>
      </c>
      <c r="B12" s="5" t="n">
        <v>18614</v>
      </c>
      <c r="C12" s="5" t="n">
        <v>20390</v>
      </c>
      <c r="D12" s="5" t="n">
        <v>17121</v>
      </c>
      <c r="E12" s="5" t="n">
        <v>17618</v>
      </c>
      <c r="F12" s="5" t="n">
        <v>15903</v>
      </c>
    </row>
    <row r="13">
      <c r="A13" s="6" t="inlineStr">
        <is>
          <t>Net trading (and other) income</t>
        </is>
      </c>
      <c r="B13" s="6" t="n">
        <v>9424</v>
      </c>
      <c r="C13" s="6" t="n">
        <v>6549</v>
      </c>
      <c r="D13" s="6" t="n">
        <v>5546</v>
      </c>
      <c r="E13" s="6" t="n">
        <v>6522</v>
      </c>
      <c r="F13" s="6" t="n">
        <v>3393</v>
      </c>
    </row>
    <row r="14">
      <c r="A14" s="6" t="inlineStr">
        <is>
          <t>Other operating income/(expense)</t>
        </is>
      </c>
      <c r="B14" s="6" t="n">
        <v>1301</v>
      </c>
      <c r="C14" s="6" t="n">
        <v>1068</v>
      </c>
      <c r="D14" s="6" t="n">
        <v>901</v>
      </c>
      <c r="E14" s="6" t="n">
        <v>-356</v>
      </c>
      <c r="F14" s="6" t="n">
        <v>1519</v>
      </c>
    </row>
    <row r="15">
      <c r="A15" s="5" t="inlineStr">
        <is>
          <t>Operating income before allowance for credit losses</t>
        </is>
      </c>
      <c r="B15" s="5" t="n">
        <v>92763</v>
      </c>
      <c r="C15" s="5" t="n">
        <v>98650</v>
      </c>
      <c r="D15" s="5" t="n">
        <v>87856</v>
      </c>
      <c r="E15" s="5" t="n">
        <v>57433</v>
      </c>
      <c r="F15" s="5" t="n">
        <v>41723</v>
      </c>
    </row>
    <row r="16">
      <c r="A16" s="6" t="inlineStr">
        <is>
          <t>Allowance for credit losses</t>
        </is>
      </c>
      <c r="B16" s="6" t="n">
        <v>-2313</v>
      </c>
      <c r="C16" s="6" t="n">
        <v>-3992</v>
      </c>
      <c r="D16" s="6" t="n">
        <v>-479</v>
      </c>
      <c r="E16" s="6" t="n">
        <v>-3306</v>
      </c>
      <c r="F16" s="6" t="n">
        <v>-1245</v>
      </c>
    </row>
    <row r="17">
      <c r="A17" s="6" t="inlineStr">
        <is>
          <t>Reversal of allowances booked in previous periods</t>
        </is>
      </c>
      <c r="B17" s="6" t="n">
        <v>5554</v>
      </c>
      <c r="C17" s="6" t="n">
        <v>5633</v>
      </c>
      <c r="D17" s="6" t="n">
        <v>2623</v>
      </c>
      <c r="E17" s="6" t="n">
        <v>1825</v>
      </c>
      <c r="F17" s="6" t="n">
        <v>12441</v>
      </c>
    </row>
    <row r="18">
      <c r="A18" s="6" t="inlineStr">
        <is>
          <t>Recoveries of amounts written off in previous periods</t>
        </is>
      </c>
      <c r="B18" s="6" t="n"/>
      <c r="C18" s="6" t="n">
        <v>0</v>
      </c>
      <c r="D18" s="6" t="n">
        <v>1</v>
      </c>
      <c r="E18" s="6" t="n">
        <v>4</v>
      </c>
      <c r="F18" s="6" t="n">
        <v>547</v>
      </c>
    </row>
    <row r="19">
      <c r="A19" s="5" t="inlineStr">
        <is>
          <t>Net reversals/(allowances) for credit losses</t>
        </is>
      </c>
      <c r="B19" s="5" t="n">
        <v>3241</v>
      </c>
      <c r="C19" s="5" t="n">
        <v>1641</v>
      </c>
      <c r="D19" s="5" t="n">
        <v>2145</v>
      </c>
      <c r="E19" s="5" t="n">
        <v>-1477</v>
      </c>
      <c r="F19" s="5" t="n">
        <v>11743</v>
      </c>
    </row>
    <row r="20">
      <c r="A20" s="5" t="inlineStr">
        <is>
          <t>Net operating income</t>
        </is>
      </c>
      <c r="B20" s="5" t="n">
        <v>96004</v>
      </c>
      <c r="C20" s="5" t="n">
        <v>100291</v>
      </c>
      <c r="D20" s="5" t="n">
        <v>90001</v>
      </c>
      <c r="E20" s="5" t="n">
        <v>55956</v>
      </c>
      <c r="F20" s="5" t="n">
        <v>53466</v>
      </c>
    </row>
    <row r="21">
      <c r="A21" s="6" t="inlineStr">
        <is>
          <t>Administrative expenses</t>
        </is>
      </c>
      <c r="B21" s="6" t="n">
        <v>-64363</v>
      </c>
      <c r="C21" s="6" t="n">
        <v>-62082</v>
      </c>
      <c r="D21" s="6" t="n">
        <v>-53594</v>
      </c>
      <c r="E21" s="6" t="n">
        <v>-42031</v>
      </c>
      <c r="F21" s="6" t="n">
        <v>-38763</v>
      </c>
    </row>
    <row r="22">
      <c r="A22" s="5" t="inlineStr">
        <is>
          <t>Profit before income tax</t>
        </is>
      </c>
      <c r="B22" s="5" t="n">
        <v>31641</v>
      </c>
      <c r="C22" s="5" t="n">
        <v>38209</v>
      </c>
      <c r="D22" s="5" t="n">
        <v>36407</v>
      </c>
      <c r="E22" s="5" t="n">
        <v>13925</v>
      </c>
      <c r="F22" s="5" t="n">
        <v>14703</v>
      </c>
    </row>
    <row r="23">
      <c r="A23" s="6" t="inlineStr">
        <is>
          <t>Income tax credit/(charge)</t>
        </is>
      </c>
      <c r="B23" s="6" t="n">
        <v>-7514</v>
      </c>
      <c r="C23" s="6" t="n">
        <v>-9454</v>
      </c>
      <c r="D23" s="6" t="n">
        <v>-8532</v>
      </c>
      <c r="E23" s="6" t="n">
        <v>1175</v>
      </c>
      <c r="F23" s="6" t="n">
        <v>-1668</v>
      </c>
    </row>
    <row r="24">
      <c r="A24" s="5" t="inlineStr">
        <is>
          <t>Profit for the year</t>
        </is>
      </c>
      <c r="B24" s="5" t="n">
        <v>24127</v>
      </c>
      <c r="C24" s="5" t="n">
        <v>28755</v>
      </c>
      <c r="D24" s="5" t="n">
        <v>27875</v>
      </c>
      <c r="E24" s="5" t="n">
        <v>15100</v>
      </c>
      <c r="F24" s="5" t="n">
        <v>13035</v>
      </c>
    </row>
    <row r="25">
      <c r="A25" s="5" t="inlineStr">
        <is>
          <t>Other comprehensive income/(expense), net of tax</t>
        </is>
      </c>
      <c r="B25" s="6" t="n"/>
      <c r="C25" s="6" t="n"/>
      <c r="D25" s="6" t="n"/>
      <c r="E25" s="6" t="n"/>
      <c r="F25" s="6" t="n"/>
    </row>
    <row r="26">
      <c r="A26" s="6" t="inlineStr">
        <is>
          <t>Remeasurement of defined benefit liability</t>
        </is>
      </c>
      <c r="B26" s="6" t="n">
        <v>-219</v>
      </c>
      <c r="C26" s="6" t="n">
        <v>-1558</v>
      </c>
      <c r="D26" s="6" t="n">
        <v>-1257</v>
      </c>
      <c r="E26" s="6" t="n">
        <v>-4161</v>
      </c>
      <c r="F26" s="6" t="n">
        <v>3231</v>
      </c>
    </row>
    <row r="27">
      <c r="A27" s="6" t="inlineStr">
        <is>
          <t>Revaluation gain/(loss) on equity investments designated at FVOCI</t>
        </is>
      </c>
      <c r="B27" s="6" t="n">
        <v>-244</v>
      </c>
      <c r="C27" s="6" t="n">
        <v>61</v>
      </c>
      <c r="D27" s="6" t="n">
        <v>-1048</v>
      </c>
      <c r="E27" s="6" t="n">
        <v>-376</v>
      </c>
      <c r="F27" s="6" t="n">
        <v>-138</v>
      </c>
    </row>
    <row r="28">
      <c r="A28" s="6" t="inlineStr">
        <is>
          <t>Disposal of equity investment designated at FVOCI</t>
        </is>
      </c>
      <c r="B28" s="6" t="n"/>
      <c r="C28" s="6" t="n">
        <v>-161</v>
      </c>
      <c r="D28" s="6" t="n"/>
      <c r="E28" s="6" t="n"/>
      <c r="F28" s="6" t="n"/>
    </row>
    <row r="29">
      <c r="A29" s="6" t="inlineStr">
        <is>
          <t>Revaluation gain/(loss) on property, plant &amp; equipment</t>
        </is>
      </c>
      <c r="B29" s="6" t="n">
        <v>871</v>
      </c>
      <c r="C29" s="6" t="n">
        <v>778</v>
      </c>
      <c r="D29" s="6" t="n">
        <v>-3359</v>
      </c>
      <c r="E29" s="6" t="n">
        <v>7851</v>
      </c>
      <c r="F29" s="6" t="n"/>
    </row>
    <row r="30">
      <c r="A30" s="6" t="inlineStr">
        <is>
          <t>Related tax (items not reclassified to P&amp;L)</t>
        </is>
      </c>
      <c r="B30" s="6" t="n">
        <v>1379</v>
      </c>
      <c r="C30" s="6" t="n">
        <v>-420</v>
      </c>
      <c r="D30" s="6" t="n">
        <v>1109</v>
      </c>
      <c r="E30" s="6" t="n">
        <v>-1153</v>
      </c>
      <c r="F30" s="6" t="n">
        <v>-588</v>
      </c>
    </row>
    <row r="31">
      <c r="A31" s="6" t="inlineStr">
        <is>
          <t>Change in fair value for debt securities designated at FVOCI</t>
        </is>
      </c>
      <c r="B31" s="6" t="n">
        <v>786</v>
      </c>
      <c r="C31" s="6" t="n">
        <v>2662</v>
      </c>
      <c r="D31" s="6" t="n">
        <v>9036</v>
      </c>
      <c r="E31" s="6" t="n">
        <v>-14178</v>
      </c>
      <c r="F31" s="6" t="n">
        <v>-3924</v>
      </c>
    </row>
    <row r="32">
      <c r="A32" s="6" t="inlineStr">
        <is>
          <t>Other Fair value adjustments</t>
        </is>
      </c>
      <c r="B32" s="6" t="n"/>
      <c r="C32" s="6" t="n"/>
      <c r="D32" s="6" t="n">
        <v>16</v>
      </c>
      <c r="E32" s="6" t="n"/>
      <c r="F32" s="6" t="n"/>
    </row>
    <row r="33">
      <c r="A33" s="6" t="inlineStr">
        <is>
          <t>Credit loss on debt securities at FVOCI transferred to P&amp;L</t>
        </is>
      </c>
      <c r="B33" s="6" t="n">
        <v>-128</v>
      </c>
      <c r="C33" s="6" t="n">
        <v>-18</v>
      </c>
      <c r="D33" s="6" t="n">
        <v>-79</v>
      </c>
      <c r="E33" s="6" t="n">
        <v>-57</v>
      </c>
      <c r="F33" s="6" t="n">
        <v>-218</v>
      </c>
    </row>
    <row r="34">
      <c r="A34" s="6" t="inlineStr">
        <is>
          <t>FV gains on debt securities at FVOCI transferred to income upon derecognition</t>
        </is>
      </c>
      <c r="B34" s="6" t="n">
        <v>775</v>
      </c>
      <c r="C34" s="6" t="n">
        <v>508</v>
      </c>
      <c r="D34" s="6" t="n">
        <v>397</v>
      </c>
      <c r="E34" s="6" t="n">
        <v>-646</v>
      </c>
      <c r="F34" s="6" t="n">
        <v>1130</v>
      </c>
    </row>
    <row r="35">
      <c r="A35" s="6" t="inlineStr">
        <is>
          <t>Related tax (items that may be reclassified to P&amp;L)</t>
        </is>
      </c>
      <c r="B35" s="6" t="n">
        <v>-391</v>
      </c>
      <c r="C35" s="6" t="n">
        <v>-793</v>
      </c>
      <c r="D35" s="6" t="n">
        <v>-2163</v>
      </c>
      <c r="E35" s="6" t="n">
        <v>3349</v>
      </c>
      <c r="F35" s="6" t="n">
        <v>551</v>
      </c>
    </row>
    <row r="36">
      <c r="A36" s="5" t="inlineStr">
        <is>
          <t>Other comprehensive income/(expense) for the year, net of tax</t>
        </is>
      </c>
      <c r="B36" s="5" t="n">
        <v>2829</v>
      </c>
      <c r="C36" s="5" t="n">
        <v>1059</v>
      </c>
      <c r="D36" s="5" t="n">
        <v>2636</v>
      </c>
      <c r="E36" s="5" t="n">
        <v>-9371</v>
      </c>
      <c r="F36" s="5" t="n">
        <v>44</v>
      </c>
    </row>
    <row r="37">
      <c r="A37" s="5" t="inlineStr">
        <is>
          <t>Total comprehensive income for the year</t>
        </is>
      </c>
      <c r="B37" s="5" t="n">
        <v>26956</v>
      </c>
      <c r="C37" s="5" t="n">
        <v>29814</v>
      </c>
      <c r="D37" s="5" t="n">
        <v>30511</v>
      </c>
      <c r="E37" s="5" t="n">
        <v>5729</v>
      </c>
      <c r="F37" s="5" t="n">
        <v>13079</v>
      </c>
    </row>
    <row r="39" ht="460" customHeight="1">
      <c r="A39"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39:F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1 January 2021</t>
        </is>
      </c>
      <c r="B4" s="5" t="n">
        <v>104357</v>
      </c>
      <c r="C4" s="5" t="n">
        <v>4104</v>
      </c>
      <c r="D4" s="5" t="n">
        <v>83713</v>
      </c>
      <c r="E4" s="5" t="n">
        <v>0</v>
      </c>
      <c r="F4" s="5" t="n">
        <v>5033</v>
      </c>
      <c r="G4" s="5" t="n">
        <v>197207</v>
      </c>
    </row>
    <row r="5">
      <c r="A5" s="6" t="inlineStr">
        <is>
          <t>Profit for the year (FY2021)</t>
        </is>
      </c>
      <c r="B5" s="6" t="n"/>
      <c r="C5" s="6" t="n"/>
      <c r="D5" s="6" t="n">
        <v>13035</v>
      </c>
      <c r="E5" s="6" t="n"/>
      <c r="F5" s="6" t="n"/>
      <c r="G5" s="6" t="n">
        <v>13035</v>
      </c>
    </row>
    <row r="6">
      <c r="A6" s="6" t="inlineStr">
        <is>
          <t>Other comprehensive income (FY2021)</t>
        </is>
      </c>
      <c r="B6" s="6" t="n"/>
      <c r="C6" s="6" t="n"/>
      <c r="D6" s="6" t="n">
        <v>2505</v>
      </c>
      <c r="E6" s="6" t="n"/>
      <c r="F6" s="6" t="n">
        <v>-2461</v>
      </c>
      <c r="G6" s="6" t="n">
        <v>44</v>
      </c>
    </row>
    <row r="7">
      <c r="A7" s="5" t="inlineStr">
        <is>
          <t>Balance at 31 December 2021 (per FY2021's own report)</t>
        </is>
      </c>
      <c r="B7" s="5" t="n">
        <v>104357</v>
      </c>
      <c r="C7" s="5" t="n">
        <v>4104</v>
      </c>
      <c r="D7" s="5" t="n">
        <v>99253</v>
      </c>
      <c r="E7" s="5" t="n">
        <v>0</v>
      </c>
      <c r="F7" s="5" t="n">
        <v>2572</v>
      </c>
      <c r="G7" s="5" t="n">
        <v>210286</v>
      </c>
    </row>
    <row r="8">
      <c r="A8" s="6" t="inlineStr">
        <is>
          <t>Reclassification between reserves (per FY2022 report's own opening balance)</t>
        </is>
      </c>
      <c r="B8" s="6" t="n"/>
      <c r="C8" s="6" t="n"/>
      <c r="D8" s="6" t="n">
        <v>42</v>
      </c>
      <c r="E8" s="6" t="n"/>
      <c r="F8" s="6" t="n">
        <v>-42</v>
      </c>
      <c r="G8" s="6" t="n">
        <v>0</v>
      </c>
    </row>
    <row r="9">
      <c r="A9" s="5" t="inlineStr">
        <is>
          <t>Balance at 1 January 2022 (per FY2022's own report)</t>
        </is>
      </c>
      <c r="B9" s="5" t="n">
        <v>104357</v>
      </c>
      <c r="C9" s="5" t="n">
        <v>4104</v>
      </c>
      <c r="D9" s="5" t="n">
        <v>99295</v>
      </c>
      <c r="E9" s="5" t="n">
        <v>0</v>
      </c>
      <c r="F9" s="5" t="n">
        <v>2530</v>
      </c>
      <c r="G9" s="5" t="n">
        <v>210286</v>
      </c>
    </row>
    <row r="10">
      <c r="A10" s="6" t="inlineStr">
        <is>
          <t>Profit for the year (FY2022)</t>
        </is>
      </c>
      <c r="B10" s="6" t="n"/>
      <c r="C10" s="6" t="n"/>
      <c r="D10" s="6" t="n">
        <v>15100</v>
      </c>
      <c r="E10" s="6" t="n"/>
      <c r="F10" s="6" t="n"/>
      <c r="G10" s="6" t="n">
        <v>15100</v>
      </c>
    </row>
    <row r="11">
      <c r="A11" s="6" t="inlineStr">
        <is>
          <t>Reclassification between FV reserve and retained earnings</t>
        </is>
      </c>
      <c r="B11" s="6" t="n"/>
      <c r="C11" s="6" t="n"/>
      <c r="D11" s="6" t="n">
        <v>126</v>
      </c>
      <c r="E11" s="6" t="n"/>
      <c r="F11" s="6" t="n">
        <v>-110</v>
      </c>
      <c r="G11" s="6" t="n">
        <v>16</v>
      </c>
    </row>
    <row r="12">
      <c r="A12" s="6" t="inlineStr">
        <is>
          <t>Other comprehensive (expense)/income (FY2022)</t>
        </is>
      </c>
      <c r="B12" s="6" t="n"/>
      <c r="C12" s="6" t="n"/>
      <c r="D12" s="6" t="n">
        <v>-3727</v>
      </c>
      <c r="E12" s="6" t="n">
        <v>5888</v>
      </c>
      <c r="F12" s="6" t="n">
        <v>-11532</v>
      </c>
      <c r="G12" s="6" t="n">
        <v>-9371</v>
      </c>
    </row>
    <row r="13">
      <c r="A13" s="6" t="inlineStr">
        <is>
          <t>Issue of share capital (FY2022)</t>
        </is>
      </c>
      <c r="B13" s="6" t="n">
        <v>1235</v>
      </c>
      <c r="C13" s="6" t="n"/>
      <c r="D13" s="6" t="n"/>
      <c r="E13" s="6" t="n"/>
      <c r="F13" s="6" t="n"/>
      <c r="G13" s="6" t="n">
        <v>1235</v>
      </c>
    </row>
    <row r="14">
      <c r="A14" s="6" t="inlineStr">
        <is>
          <t>Dividend paid (FY2022)</t>
        </is>
      </c>
      <c r="B14" s="6" t="n"/>
      <c r="C14" s="6" t="n"/>
      <c r="D14" s="6" t="n">
        <v>-10000</v>
      </c>
      <c r="E14" s="6" t="n"/>
      <c r="F14" s="6" t="n"/>
      <c r="G14" s="6" t="n">
        <v>-10000</v>
      </c>
    </row>
    <row r="15">
      <c r="A15" s="5" t="inlineStr">
        <is>
          <t>Balance at 31 December 2022</t>
        </is>
      </c>
      <c r="B15" s="5" t="n">
        <v>105592</v>
      </c>
      <c r="C15" s="5" t="n">
        <v>4104</v>
      </c>
      <c r="D15" s="5" t="n">
        <v>100794</v>
      </c>
      <c r="E15" s="5" t="n">
        <v>5888</v>
      </c>
      <c r="F15" s="5" t="n">
        <v>-9112</v>
      </c>
      <c r="G15" s="5" t="n">
        <v>207266</v>
      </c>
    </row>
    <row r="16">
      <c r="A16" s="6" t="inlineStr">
        <is>
          <t>Profit for the year (FY2023)</t>
        </is>
      </c>
      <c r="B16" s="6" t="n"/>
      <c r="C16" s="6" t="n"/>
      <c r="D16" s="6" t="n">
        <v>27875</v>
      </c>
      <c r="E16" s="6" t="n"/>
      <c r="F16" s="6" t="n"/>
      <c r="G16" s="6" t="n">
        <v>27875</v>
      </c>
    </row>
    <row r="17">
      <c r="A17" s="6" t="inlineStr">
        <is>
          <t>Other Fair Value adjustments (FY2023)</t>
        </is>
      </c>
      <c r="B17" s="6" t="n"/>
      <c r="C17" s="6" t="n"/>
      <c r="D17" s="6" t="n">
        <v>16</v>
      </c>
      <c r="E17" s="6" t="n"/>
      <c r="F17" s="6" t="n"/>
      <c r="G17" s="6" t="n">
        <v>16</v>
      </c>
    </row>
    <row r="18">
      <c r="A18" s="6" t="inlineStr">
        <is>
          <t>Other comprehensive (expense)/income (FY2023)</t>
        </is>
      </c>
      <c r="B18" s="6" t="n"/>
      <c r="C18" s="6" t="n"/>
      <c r="D18" s="6" t="n">
        <v>-2035</v>
      </c>
      <c r="E18" s="6" t="n">
        <v>-2520</v>
      </c>
      <c r="F18" s="6" t="n">
        <v>7191</v>
      </c>
      <c r="G18" s="6" t="n">
        <v>2636</v>
      </c>
    </row>
    <row r="19">
      <c r="A19" s="6" t="inlineStr">
        <is>
          <t>Issue of share capital (FY2023)</t>
        </is>
      </c>
      <c r="B19" s="6" t="n">
        <v>785</v>
      </c>
      <c r="C19" s="6" t="n"/>
      <c r="D19" s="6" t="n"/>
      <c r="E19" s="6" t="n"/>
      <c r="F19" s="6" t="n"/>
      <c r="G19" s="6" t="n">
        <v>785</v>
      </c>
    </row>
    <row r="20">
      <c r="A20" s="6" t="inlineStr">
        <is>
          <t>Dividend paid (FY2023)</t>
        </is>
      </c>
      <c r="B20" s="6" t="n"/>
      <c r="C20" s="6" t="n"/>
      <c r="D20" s="6" t="n">
        <v>-6000</v>
      </c>
      <c r="E20" s="6" t="n"/>
      <c r="F20" s="6" t="n"/>
      <c r="G20" s="6" t="n">
        <v>-6000</v>
      </c>
    </row>
    <row r="21">
      <c r="A21" s="5" t="inlineStr">
        <is>
          <t>Balance at 31 December 2023 (per FY2023's own report)</t>
        </is>
      </c>
      <c r="B21" s="5" t="n">
        <v>106377</v>
      </c>
      <c r="C21" s="5" t="n">
        <v>4104</v>
      </c>
      <c r="D21" s="5" t="n">
        <v>120650</v>
      </c>
      <c r="E21" s="5" t="n">
        <v>3368</v>
      </c>
      <c r="F21" s="5" t="n">
        <v>-1921</v>
      </c>
      <c r="G21" s="5" t="n">
        <v>232578</v>
      </c>
    </row>
    <row r="22">
      <c r="A22" s="6" t="inlineStr">
        <is>
          <t>Reclassification between reserves (per FY2024 report's own opening balance)</t>
        </is>
      </c>
      <c r="B22" s="6" t="n"/>
      <c r="C22" s="6" t="n"/>
      <c r="D22" s="6" t="n">
        <v>1169</v>
      </c>
      <c r="E22" s="6" t="n"/>
      <c r="F22" s="6" t="n">
        <v>-1169</v>
      </c>
      <c r="G22" s="6" t="n">
        <v>0</v>
      </c>
    </row>
    <row r="23">
      <c r="A23" s="5" t="inlineStr">
        <is>
          <t>Balance at 1 January 2024 (per FY2024's own report)</t>
        </is>
      </c>
      <c r="B23" s="5" t="n">
        <v>106377</v>
      </c>
      <c r="C23" s="5" t="n">
        <v>4104</v>
      </c>
      <c r="D23" s="5" t="n">
        <v>121819</v>
      </c>
      <c r="E23" s="5" t="n">
        <v>3368</v>
      </c>
      <c r="F23" s="5" t="n">
        <v>-3090</v>
      </c>
      <c r="G23" s="5" t="n">
        <v>232578</v>
      </c>
    </row>
    <row r="24">
      <c r="A24" s="6" t="inlineStr">
        <is>
          <t>Profit for the year (FY2024)</t>
        </is>
      </c>
      <c r="B24" s="6" t="n"/>
      <c r="C24" s="6" t="n"/>
      <c r="D24" s="6" t="n">
        <v>28755</v>
      </c>
      <c r="E24" s="6" t="n"/>
      <c r="F24" s="6" t="n"/>
      <c r="G24" s="6" t="n">
        <v>28755</v>
      </c>
    </row>
    <row r="25">
      <c r="A25" s="6" t="inlineStr">
        <is>
          <t>Other comprehensive (expense)/income (FY2024)</t>
        </is>
      </c>
      <c r="B25" s="6" t="n"/>
      <c r="C25" s="6" t="n"/>
      <c r="D25" s="6" t="n">
        <v>-1883</v>
      </c>
      <c r="E25" s="6" t="n">
        <v>583</v>
      </c>
      <c r="F25" s="6" t="n">
        <v>2359</v>
      </c>
      <c r="G25" s="6" t="n">
        <v>1059</v>
      </c>
    </row>
    <row r="26">
      <c r="A26" s="6" t="inlineStr">
        <is>
          <t>Issue of share capital (FY2024)</t>
        </is>
      </c>
      <c r="B26" s="6" t="n">
        <v>720</v>
      </c>
      <c r="C26" s="6" t="n"/>
      <c r="D26" s="6" t="n"/>
      <c r="E26" s="6" t="n"/>
      <c r="F26" s="6" t="n"/>
      <c r="G26" s="6" t="n">
        <v>720</v>
      </c>
    </row>
    <row r="27">
      <c r="A27" s="6" t="inlineStr">
        <is>
          <t>Dividend paid (FY2024)</t>
        </is>
      </c>
      <c r="B27" s="6" t="n"/>
      <c r="C27" s="6" t="n"/>
      <c r="D27" s="6" t="n">
        <v>-5500</v>
      </c>
      <c r="E27" s="6" t="n"/>
      <c r="F27" s="6" t="n"/>
      <c r="G27" s="6" t="n">
        <v>-5500</v>
      </c>
    </row>
    <row r="28">
      <c r="A28" s="5" t="inlineStr">
        <is>
          <t>Balance at 31 December 2024</t>
        </is>
      </c>
      <c r="B28" s="5" t="n">
        <v>107097</v>
      </c>
      <c r="C28" s="5" t="n">
        <v>4104</v>
      </c>
      <c r="D28" s="5" t="n">
        <v>143191</v>
      </c>
      <c r="E28" s="5" t="n">
        <v>3951</v>
      </c>
      <c r="F28" s="5" t="n">
        <v>-731</v>
      </c>
      <c r="G28" s="5" t="n">
        <v>257612</v>
      </c>
    </row>
    <row r="29">
      <c r="A29" s="6" t="inlineStr">
        <is>
          <t>Profit for the year (FY2025)</t>
        </is>
      </c>
      <c r="B29" s="6" t="n"/>
      <c r="C29" s="6" t="n"/>
      <c r="D29" s="6" t="n">
        <v>24127</v>
      </c>
      <c r="E29" s="6" t="n"/>
      <c r="F29" s="6" t="n"/>
      <c r="G29" s="6" t="n">
        <v>24127</v>
      </c>
    </row>
    <row r="30">
      <c r="A30" s="6" t="inlineStr">
        <is>
          <t>Other comprehensive (expense)/income (FY2025)</t>
        </is>
      </c>
      <c r="B30" s="6" t="n"/>
      <c r="C30" s="6" t="n"/>
      <c r="D30" s="6" t="n">
        <v>-402</v>
      </c>
      <c r="E30" s="6" t="n">
        <v>2189</v>
      </c>
      <c r="F30" s="6" t="n">
        <v>1042</v>
      </c>
      <c r="G30" s="6" t="n">
        <v>2829</v>
      </c>
    </row>
    <row r="31">
      <c r="A31" s="6" t="inlineStr">
        <is>
          <t>Issue of share capital (FY2025)</t>
        </is>
      </c>
      <c r="B31" s="6" t="n">
        <v>972</v>
      </c>
      <c r="C31" s="6" t="n"/>
      <c r="D31" s="6" t="n"/>
      <c r="E31" s="6" t="n"/>
      <c r="F31" s="6" t="n"/>
      <c r="G31" s="6" t="n">
        <v>972</v>
      </c>
    </row>
    <row r="32">
      <c r="A32" s="6" t="inlineStr">
        <is>
          <t>Dividend paid (FY2025)</t>
        </is>
      </c>
      <c r="B32" s="6" t="n"/>
      <c r="C32" s="6" t="n"/>
      <c r="D32" s="6" t="n">
        <v>-7200</v>
      </c>
      <c r="E32" s="6" t="n"/>
      <c r="F32" s="6" t="n"/>
      <c r="G32" s="6" t="n">
        <v>-7200</v>
      </c>
    </row>
    <row r="33">
      <c r="A33" s="5" t="inlineStr">
        <is>
          <t>Balance at 31 December 2025</t>
        </is>
      </c>
      <c r="B33" s="5" t="n">
        <v>108069</v>
      </c>
      <c r="C33" s="5" t="n">
        <v>4104</v>
      </c>
      <c r="D33" s="5" t="n">
        <v>159716</v>
      </c>
      <c r="E33" s="5" t="n">
        <v>6140</v>
      </c>
      <c r="F33" s="5" t="n">
        <v>311</v>
      </c>
      <c r="G33" s="5" t="n">
        <v>278340</v>
      </c>
    </row>
    <row r="35" ht="460" customHeight="1">
      <c r="A35"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35:G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taxation</t>
        </is>
      </c>
      <c r="B5" s="6" t="n">
        <v>31641</v>
      </c>
      <c r="C5" s="6" t="n">
        <v>38209</v>
      </c>
      <c r="D5" s="6" t="n">
        <v>36407</v>
      </c>
      <c r="E5" s="6" t="n">
        <v>13925</v>
      </c>
      <c r="F5" s="6" t="n">
        <v>14703</v>
      </c>
    </row>
    <row r="6">
      <c r="A6" s="6" t="inlineStr">
        <is>
          <t>Allowance for credit losses</t>
        </is>
      </c>
      <c r="B6" s="6" t="n">
        <v>2313</v>
      </c>
      <c r="C6" s="6" t="n">
        <v>3992</v>
      </c>
      <c r="D6" s="6" t="n">
        <v>479</v>
      </c>
      <c r="E6" s="6" t="n">
        <v>3306</v>
      </c>
      <c r="F6" s="6" t="n">
        <v>1245</v>
      </c>
    </row>
    <row r="7">
      <c r="A7" s="6" t="inlineStr">
        <is>
          <t>Recoveries of allowance for credit losses</t>
        </is>
      </c>
      <c r="B7" s="6" t="n">
        <v>-5554</v>
      </c>
      <c r="C7" s="6" t="n">
        <v>-5633</v>
      </c>
      <c r="D7" s="6" t="n">
        <v>-2623</v>
      </c>
      <c r="E7" s="6" t="n">
        <v>-1825</v>
      </c>
      <c r="F7" s="6" t="n">
        <v>-12441</v>
      </c>
    </row>
    <row r="8">
      <c r="A8" s="6" t="inlineStr">
        <is>
          <t>Depreciation and amortisation</t>
        </is>
      </c>
      <c r="B8" s="6" t="n">
        <v>3229</v>
      </c>
      <c r="C8" s="6" t="n">
        <v>3214</v>
      </c>
      <c r="D8" s="6" t="n">
        <v>2904</v>
      </c>
      <c r="E8" s="6" t="n">
        <v>2753</v>
      </c>
      <c r="F8" s="6" t="n">
        <v>2544</v>
      </c>
    </row>
    <row r="9">
      <c r="A9" s="6" t="inlineStr">
        <is>
          <t>(Loss)/gain on sale or impairment of property, plant and equipment</t>
        </is>
      </c>
      <c r="B9" s="6" t="n">
        <v>-6</v>
      </c>
      <c r="C9" s="6" t="n">
        <v>3</v>
      </c>
      <c r="D9" s="6" t="n">
        <v>518</v>
      </c>
      <c r="E9" s="6" t="n">
        <v>28</v>
      </c>
      <c r="F9" s="6" t="n">
        <v>9</v>
      </c>
    </row>
    <row r="10">
      <c r="A10" s="6" t="inlineStr">
        <is>
          <t>Other non-cash items included in net profit</t>
        </is>
      </c>
      <c r="B10" s="6" t="n">
        <v>-1275</v>
      </c>
      <c r="C10" s="6" t="n">
        <v>-34</v>
      </c>
      <c r="D10" s="6" t="n">
        <v>115</v>
      </c>
      <c r="E10" s="6" t="n">
        <v>366</v>
      </c>
      <c r="F10" s="6" t="n">
        <v>-3</v>
      </c>
    </row>
    <row r="11">
      <c r="A11" s="5" t="inlineStr">
        <is>
          <t>Non-cash items included in net profit</t>
        </is>
      </c>
      <c r="B11" s="5" t="n">
        <v>-1293</v>
      </c>
      <c r="C11" s="5" t="n">
        <v>1542</v>
      </c>
      <c r="D11" s="5" t="n">
        <v>1393</v>
      </c>
      <c r="E11" s="5" t="n">
        <v>4628</v>
      </c>
      <c r="F11" s="5" t="n">
        <v>-8646</v>
      </c>
    </row>
    <row r="12">
      <c r="A12" s="6" t="inlineStr">
        <is>
          <t>Reverse repurchase agreements</t>
        </is>
      </c>
      <c r="B12" s="6" t="n"/>
      <c r="C12" s="6" t="n">
        <v>0</v>
      </c>
      <c r="D12" s="6" t="n">
        <v>149990</v>
      </c>
      <c r="E12" s="6" t="n">
        <v>-21103</v>
      </c>
      <c r="F12" s="6" t="n">
        <v>-36757</v>
      </c>
    </row>
    <row r="13">
      <c r="A13" s="6" t="inlineStr">
        <is>
          <t>Loans, advances other than cash or cash equivalents</t>
        </is>
      </c>
      <c r="B13" s="6" t="n">
        <v>-221607</v>
      </c>
      <c r="C13" s="6" t="n">
        <v>-243014</v>
      </c>
      <c r="D13" s="6" t="n">
        <v>-268285</v>
      </c>
      <c r="E13" s="6" t="n">
        <v>-68881</v>
      </c>
      <c r="F13" s="6" t="n">
        <v>-13840</v>
      </c>
    </row>
    <row r="14">
      <c r="A14" s="6" t="inlineStr">
        <is>
          <t>Debt securities other than cash equivalents</t>
        </is>
      </c>
      <c r="B14" s="6" t="n">
        <v>250302</v>
      </c>
      <c r="C14" s="6" t="n">
        <v>164699</v>
      </c>
      <c r="D14" s="6" t="n">
        <v>-108164</v>
      </c>
      <c r="E14" s="6" t="n">
        <v>-221117</v>
      </c>
      <c r="F14" s="6" t="n">
        <v>7009</v>
      </c>
    </row>
    <row r="15">
      <c r="A15" s="6" t="inlineStr">
        <is>
          <t>Derivatives</t>
        </is>
      </c>
      <c r="B15" s="6" t="n">
        <v>-571</v>
      </c>
      <c r="C15" s="6" t="n">
        <v>-1109</v>
      </c>
      <c r="D15" s="6" t="n">
        <v>683</v>
      </c>
      <c r="E15" s="6" t="n">
        <v>-728</v>
      </c>
      <c r="F15" s="6" t="n">
        <v>465</v>
      </c>
    </row>
    <row r="16">
      <c r="A16" s="6" t="inlineStr">
        <is>
          <t>Other debtors and prepayments</t>
        </is>
      </c>
      <c r="B16" s="6" t="n">
        <v>-7064</v>
      </c>
      <c r="C16" s="6" t="n">
        <v>387</v>
      </c>
      <c r="D16" s="6" t="n">
        <v>-9064</v>
      </c>
      <c r="E16" s="6" t="n">
        <v>-1161</v>
      </c>
      <c r="F16" s="6" t="n">
        <v>1497</v>
      </c>
    </row>
    <row r="17">
      <c r="A17" s="5" t="inlineStr">
        <is>
          <t>Change in operating assets</t>
        </is>
      </c>
      <c r="B17" s="5" t="n">
        <v>21060</v>
      </c>
      <c r="C17" s="5" t="n">
        <v>-79037</v>
      </c>
      <c r="D17" s="5" t="n">
        <v>-234840</v>
      </c>
      <c r="E17" s="5" t="n">
        <v>-312990</v>
      </c>
      <c r="F17" s="5" t="n">
        <v>-41626</v>
      </c>
    </row>
    <row r="18">
      <c r="A18" s="6" t="inlineStr">
        <is>
          <t>Customer accounts and deposits by banks</t>
        </is>
      </c>
      <c r="B18" s="6" t="n">
        <v>78001</v>
      </c>
      <c r="C18" s="6" t="n">
        <v>277676</v>
      </c>
      <c r="D18" s="6" t="n">
        <v>-94670</v>
      </c>
      <c r="E18" s="6" t="n">
        <v>165574</v>
      </c>
      <c r="F18" s="6" t="n">
        <v>238429</v>
      </c>
    </row>
    <row r="19">
      <c r="A19" s="6" t="inlineStr">
        <is>
          <t>Other liabilities</t>
        </is>
      </c>
      <c r="B19" s="6" t="n">
        <v>2884</v>
      </c>
      <c r="C19" s="6" t="n">
        <v>-2695</v>
      </c>
      <c r="D19" s="6" t="n">
        <v>10519</v>
      </c>
      <c r="E19" s="6" t="n">
        <v>9288</v>
      </c>
      <c r="F19" s="6" t="n">
        <v>-12192</v>
      </c>
    </row>
    <row r="20">
      <c r="A20" s="5" t="inlineStr">
        <is>
          <t>Change in operating liabilities</t>
        </is>
      </c>
      <c r="B20" s="5" t="n">
        <v>80885</v>
      </c>
      <c r="C20" s="5" t="n">
        <v>274981</v>
      </c>
      <c r="D20" s="5" t="n">
        <v>-84151</v>
      </c>
      <c r="E20" s="5" t="n">
        <v>174862</v>
      </c>
      <c r="F20" s="5" t="n">
        <v>226237</v>
      </c>
    </row>
    <row r="21">
      <c r="A21" s="6" t="inlineStr">
        <is>
          <t>Income tax paid</t>
        </is>
      </c>
      <c r="B21" s="6" t="n">
        <v>-8155</v>
      </c>
      <c r="C21" s="6" t="n">
        <v>-7867</v>
      </c>
      <c r="D21" s="6" t="n">
        <v>-5220</v>
      </c>
      <c r="E21" s="6" t="n">
        <v>-1169</v>
      </c>
      <c r="F21" s="6" t="n">
        <v>-1074</v>
      </c>
    </row>
    <row r="22">
      <c r="A22" s="5" t="inlineStr">
        <is>
          <t>Net cash generated from/(used in) operating activities</t>
        </is>
      </c>
      <c r="B22" s="5" t="n">
        <v>124138</v>
      </c>
      <c r="C22" s="5" t="n">
        <v>227828</v>
      </c>
      <c r="D22" s="5" t="n">
        <v>-286411</v>
      </c>
      <c r="E22" s="5" t="n">
        <v>-120744</v>
      </c>
      <c r="F22" s="5" t="n">
        <v>189594</v>
      </c>
    </row>
    <row r="23">
      <c r="A23" s="5" t="inlineStr">
        <is>
          <t>Cash flows from investing activities</t>
        </is>
      </c>
      <c r="B23" s="6" t="n"/>
      <c r="C23" s="6" t="n"/>
      <c r="D23" s="6" t="n"/>
      <c r="E23" s="6" t="n"/>
      <c r="F23" s="6" t="n"/>
    </row>
    <row r="24">
      <c r="A24" s="6" t="inlineStr">
        <is>
          <t>Purchase of property, plant and equipment</t>
        </is>
      </c>
      <c r="B24" s="6" t="n">
        <v>-409</v>
      </c>
      <c r="C24" s="6" t="n">
        <v>-1590</v>
      </c>
      <c r="D24" s="6" t="n">
        <v>-7683</v>
      </c>
      <c r="E24" s="6" t="n">
        <v>-552</v>
      </c>
      <c r="F24" s="6" t="n">
        <v>-274</v>
      </c>
    </row>
    <row r="25">
      <c r="A25" s="6" t="inlineStr">
        <is>
          <t>Proceeds from sale of property, plant and equipment</t>
        </is>
      </c>
      <c r="B25" s="6" t="n"/>
      <c r="C25" s="6" t="n"/>
      <c r="D25" s="6" t="n"/>
      <c r="E25" s="6" t="n">
        <v>42</v>
      </c>
      <c r="F25" s="6" t="n"/>
    </row>
    <row r="26">
      <c r="A26" s="6" t="inlineStr">
        <is>
          <t>Proceeds on sale of equity investments</t>
        </is>
      </c>
      <c r="B26" s="6" t="n"/>
      <c r="C26" s="6" t="n">
        <v>1162</v>
      </c>
      <c r="D26" s="6" t="n"/>
      <c r="E26" s="6" t="n"/>
      <c r="F26" s="6" t="n"/>
    </row>
    <row r="27">
      <c r="A27" s="6" t="inlineStr">
        <is>
          <t>Purchase of intangible assets</t>
        </is>
      </c>
      <c r="B27" s="6" t="n">
        <v>-1128</v>
      </c>
      <c r="C27" s="6" t="n">
        <v>-392</v>
      </c>
      <c r="D27" s="6" t="n">
        <v>-841</v>
      </c>
      <c r="E27" s="6" t="n">
        <v>-853</v>
      </c>
      <c r="F27" s="6" t="n">
        <v>-540</v>
      </c>
    </row>
    <row r="28">
      <c r="A28" s="6" t="inlineStr">
        <is>
          <t>Proceeds from sale of intangible assets</t>
        </is>
      </c>
      <c r="B28" s="6" t="n"/>
      <c r="C28" s="6" t="n"/>
      <c r="D28" s="6" t="n"/>
      <c r="E28" s="6" t="n">
        <v>269</v>
      </c>
      <c r="F28" s="6" t="n"/>
    </row>
    <row r="29">
      <c r="A29" s="5" t="inlineStr">
        <is>
          <t>Net cash used in investing activities</t>
        </is>
      </c>
      <c r="B29" s="5" t="n">
        <v>-1537</v>
      </c>
      <c r="C29" s="5" t="n">
        <v>-820</v>
      </c>
      <c r="D29" s="5" t="n">
        <v>-8524</v>
      </c>
      <c r="E29" s="5" t="n">
        <v>-1094</v>
      </c>
      <c r="F29" s="5" t="n">
        <v>-814</v>
      </c>
    </row>
    <row r="30">
      <c r="A30" s="5" t="inlineStr">
        <is>
          <t>Cash flows from financing activities</t>
        </is>
      </c>
      <c r="B30" s="6" t="n"/>
      <c r="C30" s="6" t="n"/>
      <c r="D30" s="6" t="n"/>
      <c r="E30" s="6" t="n"/>
      <c r="F30" s="6" t="n"/>
    </row>
    <row r="31">
      <c r="A31" s="6" t="inlineStr">
        <is>
          <t>Dividend paid</t>
        </is>
      </c>
      <c r="B31" s="6" t="n">
        <v>-6228</v>
      </c>
      <c r="C31" s="6" t="n">
        <v>-4780</v>
      </c>
      <c r="D31" s="6" t="n">
        <v>-5215</v>
      </c>
      <c r="E31" s="6" t="n">
        <v>-8765</v>
      </c>
      <c r="F31" s="6" t="n"/>
    </row>
    <row r="32">
      <c r="A32" s="6" t="inlineStr">
        <is>
          <t>Lease payments for Right of Use assets (principal)</t>
        </is>
      </c>
      <c r="B32" s="6" t="n">
        <v>-249</v>
      </c>
      <c r="C32" s="6" t="n">
        <v>-83</v>
      </c>
      <c r="D32" s="6" t="n">
        <v>-202</v>
      </c>
      <c r="E32" s="6" t="n">
        <v>-6</v>
      </c>
      <c r="F32" s="6" t="n">
        <v>-191</v>
      </c>
    </row>
    <row r="33">
      <c r="A33" s="6" t="inlineStr">
        <is>
          <t>Interest on lease payments</t>
        </is>
      </c>
      <c r="B33" s="6" t="n"/>
      <c r="C33" s="6" t="n">
        <v>-192</v>
      </c>
      <c r="D33" s="6" t="n"/>
      <c r="E33" s="6" t="n"/>
      <c r="F33" s="6" t="n"/>
    </row>
    <row r="34">
      <c r="A34" s="6" t="inlineStr">
        <is>
          <t>Subordinated debt issued</t>
        </is>
      </c>
      <c r="B34" s="6" t="n"/>
      <c r="C34" s="6" t="n">
        <v>28185</v>
      </c>
      <c r="D34" s="6" t="n"/>
      <c r="E34" s="6" t="n"/>
      <c r="F34" s="6" t="n"/>
    </row>
    <row r="35">
      <c r="A35" s="6" t="inlineStr">
        <is>
          <t>Subordinated debt redeemed</t>
        </is>
      </c>
      <c r="B35" s="6" t="n"/>
      <c r="C35" s="6" t="n">
        <v>-28185</v>
      </c>
      <c r="D35" s="6" t="n"/>
      <c r="E35" s="6" t="n"/>
      <c r="F35" s="6" t="n"/>
    </row>
    <row r="36">
      <c r="A36" s="5" t="inlineStr">
        <is>
          <t>Net cash used in financing activities</t>
        </is>
      </c>
      <c r="B36" s="5" t="n">
        <v>-6477</v>
      </c>
      <c r="C36" s="5" t="n">
        <v>-5055</v>
      </c>
      <c r="D36" s="5" t="n">
        <v>-5417</v>
      </c>
      <c r="E36" s="5" t="n">
        <v>-8771</v>
      </c>
      <c r="F36" s="5" t="n">
        <v>-191</v>
      </c>
    </row>
    <row r="37">
      <c r="A37" s="5" t="inlineStr">
        <is>
          <t>Net increase/(decrease) in cash and cash equivalents</t>
        </is>
      </c>
      <c r="B37" s="5" t="n">
        <v>116124</v>
      </c>
      <c r="C37" s="5" t="n">
        <v>221953</v>
      </c>
      <c r="D37" s="5" t="n">
        <v>-300352</v>
      </c>
      <c r="E37" s="5" t="n">
        <v>-130609</v>
      </c>
      <c r="F37" s="5" t="n">
        <v>188589</v>
      </c>
    </row>
    <row r="38">
      <c r="A38" s="6" t="inlineStr">
        <is>
          <t>Cash and cash equivalents at the beginning of the year</t>
        </is>
      </c>
      <c r="B38" s="6" t="n">
        <v>604467</v>
      </c>
      <c r="C38" s="6" t="n">
        <v>372940</v>
      </c>
      <c r="D38" s="6" t="n">
        <v>700795</v>
      </c>
      <c r="E38" s="6" t="n">
        <v>766720</v>
      </c>
      <c r="F38" s="6" t="n">
        <v>586617</v>
      </c>
    </row>
    <row r="39">
      <c r="A39" s="6" t="inlineStr">
        <is>
          <t>Effect of exchange rate change on cash and cash equivalents</t>
        </is>
      </c>
      <c r="B39" s="6" t="n">
        <v>-2014</v>
      </c>
      <c r="C39" s="6" t="n">
        <v>9574</v>
      </c>
      <c r="D39" s="6" t="n">
        <v>-27503</v>
      </c>
      <c r="E39" s="6" t="n">
        <v>64684</v>
      </c>
      <c r="F39" s="6" t="n">
        <v>-8486</v>
      </c>
    </row>
    <row r="40">
      <c r="A40" s="5" t="inlineStr">
        <is>
          <t>Cash and cash equivalents at the end of the year</t>
        </is>
      </c>
      <c r="B40" s="5" t="n">
        <v>718577</v>
      </c>
      <c r="C40" s="5" t="n">
        <v>604467</v>
      </c>
      <c r="D40" s="5" t="n">
        <v>372940</v>
      </c>
      <c r="E40" s="5" t="n">
        <v>700795</v>
      </c>
      <c r="F40" s="5" t="n">
        <v>766720</v>
      </c>
    </row>
    <row r="41">
      <c r="A41" s="5" t="inlineStr">
        <is>
          <t>Cash and cash equivalents comprise</t>
        </is>
      </c>
      <c r="B41" s="6" t="n"/>
      <c r="C41" s="6" t="n"/>
      <c r="D41" s="6" t="n"/>
      <c r="E41" s="6" t="n"/>
      <c r="F41" s="6" t="n"/>
    </row>
    <row r="42">
      <c r="A42" s="6" t="inlineStr">
        <is>
          <t>Cash, notes and coin</t>
        </is>
      </c>
      <c r="B42" s="6" t="n">
        <v>0</v>
      </c>
      <c r="C42" s="6" t="n">
        <v>1</v>
      </c>
      <c r="D42" s="6" t="n">
        <v>1</v>
      </c>
      <c r="E42" s="6" t="n">
        <v>0</v>
      </c>
      <c r="F42" s="6" t="n">
        <v>218</v>
      </c>
    </row>
    <row r="43">
      <c r="A43" s="6" t="inlineStr">
        <is>
          <t>Loans and advances to banks of original maturity three months or less</t>
        </is>
      </c>
      <c r="B43" s="6" t="n">
        <v>409309</v>
      </c>
      <c r="C43" s="6" t="n">
        <v>488558</v>
      </c>
      <c r="D43" s="6" t="n">
        <v>216705</v>
      </c>
      <c r="E43" s="6" t="n">
        <v>391580</v>
      </c>
      <c r="F43" s="6" t="n">
        <v>376162</v>
      </c>
    </row>
    <row r="44">
      <c r="A44" s="6" t="inlineStr">
        <is>
          <t>Debt securities/certificates of deposit of three months original maturity or less</t>
        </is>
      </c>
      <c r="B44" s="6" t="n">
        <v>309268</v>
      </c>
      <c r="C44" s="6" t="n">
        <v>115908</v>
      </c>
      <c r="D44" s="6" t="n">
        <v>156234</v>
      </c>
      <c r="E44" s="6" t="n">
        <v>309215</v>
      </c>
      <c r="F44" s="6" t="n">
        <v>390340</v>
      </c>
    </row>
    <row r="45">
      <c r="A45" s="5" t="inlineStr">
        <is>
          <t>Cash and cash equivalents</t>
        </is>
      </c>
      <c r="B45" s="5" t="n">
        <v>718577</v>
      </c>
      <c r="C45" s="5" t="n">
        <v>604467</v>
      </c>
      <c r="D45" s="5" t="n">
        <v>372940</v>
      </c>
      <c r="E45" s="5" t="n">
        <v>700795</v>
      </c>
      <c r="F45" s="5" t="n">
        <v>766720</v>
      </c>
    </row>
    <row r="47" ht="210" customHeight="1">
      <c r="A47"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 (gross exposure)</t>
        </is>
      </c>
      <c r="B4" s="6" t="n"/>
      <c r="C4" s="6" t="n"/>
      <c r="D4" s="6" t="n"/>
      <c r="E4" s="6" t="n"/>
      <c r="F4" s="6" t="n"/>
    </row>
    <row r="5">
      <c r="A5" s="6" t="inlineStr">
        <is>
          <t>Stage 1 (12-month ECL)</t>
        </is>
      </c>
      <c r="B5" s="6" t="n">
        <v>270253</v>
      </c>
      <c r="C5" s="6" t="n"/>
      <c r="D5" s="6" t="n">
        <v>254360</v>
      </c>
      <c r="E5" s="6" t="n"/>
      <c r="F5" s="6" t="n">
        <v>417375</v>
      </c>
    </row>
    <row r="6">
      <c r="A6" s="6" t="inlineStr">
        <is>
          <t>Stage 2 (lifetime ECL, not credit-impaired)</t>
        </is>
      </c>
      <c r="B6" s="6" t="n">
        <v>36036</v>
      </c>
      <c r="C6" s="6" t="n"/>
      <c r="D6" s="6" t="n">
        <v>102165</v>
      </c>
      <c r="E6" s="6" t="n"/>
      <c r="F6" s="6" t="n">
        <v>69314</v>
      </c>
    </row>
    <row r="7">
      <c r="A7" s="6" t="inlineStr">
        <is>
          <t>Stage 3 (lifetime ECL, credit-impaired / default)</t>
        </is>
      </c>
      <c r="B7" s="6" t="n">
        <v>49098</v>
      </c>
      <c r="C7" s="6" t="n"/>
      <c r="D7" s="6" t="n">
        <v>43879</v>
      </c>
      <c r="E7" s="6" t="n"/>
      <c r="F7" s="6" t="n">
        <v>11038</v>
      </c>
    </row>
    <row r="8">
      <c r="A8" s="5" t="inlineStr">
        <is>
          <t>Total gross exposure</t>
        </is>
      </c>
      <c r="B8" s="5" t="n">
        <v>355387</v>
      </c>
      <c r="C8" s="5" t="n"/>
      <c r="D8" s="5" t="n">
        <v>400404</v>
      </c>
      <c r="E8" s="5" t="n"/>
      <c r="F8" s="5" t="n">
        <v>497727</v>
      </c>
    </row>
    <row r="9">
      <c r="A9" s="5" t="inlineStr">
        <is>
          <t>Loss allowance, by stage</t>
        </is>
      </c>
      <c r="B9" s="6" t="n"/>
      <c r="C9" s="6" t="n"/>
      <c r="D9" s="6" t="n"/>
      <c r="E9" s="6" t="n"/>
      <c r="F9" s="6" t="n"/>
    </row>
    <row r="10">
      <c r="A10" s="6" t="inlineStr">
        <is>
          <t>Stage 1 allowance</t>
        </is>
      </c>
      <c r="B10" s="6" t="n">
        <v>-266</v>
      </c>
      <c r="C10" s="6" t="n"/>
      <c r="D10" s="6" t="n">
        <v>-229</v>
      </c>
      <c r="E10" s="6" t="n"/>
      <c r="F10" s="6" t="n">
        <v>-632</v>
      </c>
    </row>
    <row r="11">
      <c r="A11" s="6" t="inlineStr">
        <is>
          <t>Stage 2 allowance</t>
        </is>
      </c>
      <c r="B11" s="6" t="n">
        <v>-628</v>
      </c>
      <c r="C11" s="6" t="n"/>
      <c r="D11" s="6" t="n">
        <v>-2442</v>
      </c>
      <c r="E11" s="6" t="n"/>
      <c r="F11" s="6" t="n">
        <v>-4388</v>
      </c>
    </row>
    <row r="12">
      <c r="A12" s="6" t="inlineStr">
        <is>
          <t>Stage 3 allowance</t>
        </is>
      </c>
      <c r="B12" s="6" t="n">
        <v>-931</v>
      </c>
      <c r="C12" s="6" t="n"/>
      <c r="D12" s="6" t="n">
        <v>-9166</v>
      </c>
      <c r="E12" s="6" t="n"/>
      <c r="F12" s="6" t="n">
        <v>-8171</v>
      </c>
    </row>
    <row r="13">
      <c r="A13" s="5" t="inlineStr">
        <is>
          <t>Total loss allowance</t>
        </is>
      </c>
      <c r="B13" s="5" t="n">
        <v>-1825</v>
      </c>
      <c r="C13" s="5" t="n"/>
      <c r="D13" s="5" t="n">
        <v>-11837</v>
      </c>
      <c r="E13" s="5" t="n"/>
      <c r="F13" s="5" t="n">
        <v>-13191</v>
      </c>
    </row>
    <row r="14">
      <c r="A14" s="5" t="inlineStr">
        <is>
          <t>Carrying amount (= Balance Sheet's Loans and advances to customers)</t>
        </is>
      </c>
      <c r="B14" s="5" t="n">
        <v>353562</v>
      </c>
      <c r="C14" s="5" t="n">
        <v>387260</v>
      </c>
      <c r="D14" s="5" t="n">
        <v>388567</v>
      </c>
      <c r="E14" s="5" t="n">
        <v>463780</v>
      </c>
      <c r="F14" s="5" t="n">
        <v>484536</v>
      </c>
    </row>
    <row r="15">
      <c r="A15" s="5" t="inlineStr">
        <is>
          <t>Ratios (FY2024/FY2022 not computable - see note)</t>
        </is>
      </c>
      <c r="B15" s="6" t="n"/>
      <c r="C15" s="6" t="n"/>
      <c r="D15" s="6" t="n"/>
      <c r="E15" s="6" t="n"/>
      <c r="F15" s="6" t="n"/>
    </row>
    <row r="16">
      <c r="A16" s="6" t="inlineStr">
        <is>
          <t>Stage 3 exposure ratio (Stage 3 / total gross exposure)</t>
        </is>
      </c>
      <c r="B16" s="6" t="inlineStr">
        <is>
          <t>13.82%</t>
        </is>
      </c>
      <c r="C16" s="6" t="n"/>
      <c r="D16" s="6" t="inlineStr">
        <is>
          <t>10.96%</t>
        </is>
      </c>
      <c r="E16" s="6" t="n"/>
      <c r="F16" s="6" t="inlineStr">
        <is>
          <t>2.22%</t>
        </is>
      </c>
    </row>
    <row r="17">
      <c r="A17" s="6" t="inlineStr">
        <is>
          <t>Stage 3 coverage ratio (Stage 3 allowance / Stage 3 exposure)</t>
        </is>
      </c>
      <c r="B17" s="6" t="inlineStr">
        <is>
          <t>1.90%</t>
        </is>
      </c>
      <c r="C17" s="6" t="n"/>
      <c r="D17" s="6" t="inlineStr">
        <is>
          <t>20.89%</t>
        </is>
      </c>
      <c r="E17" s="6" t="n"/>
      <c r="F17" s="6" t="inlineStr">
        <is>
          <t>74.03%</t>
        </is>
      </c>
    </row>
    <row r="18">
      <c r="A18" s="6" t="inlineStr">
        <is>
          <t>Overall coverage ratio (total allowance / total gross exposure)</t>
        </is>
      </c>
      <c r="B18" s="6" t="inlineStr">
        <is>
          <t>0.51%</t>
        </is>
      </c>
      <c r="C18" s="6" t="n"/>
      <c r="D18" s="6" t="inlineStr">
        <is>
          <t>2.96%</t>
        </is>
      </c>
      <c r="E18" s="6" t="n"/>
      <c r="F18" s="6" t="inlineStr">
        <is>
          <t>2.65%</t>
        </is>
      </c>
    </row>
    <row r="20" ht="280" customHeight="1">
      <c r="A20"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266352</v>
      </c>
      <c r="C4" s="6" t="n">
        <v>245034</v>
      </c>
      <c r="D4" s="6" t="n">
        <v>223772</v>
      </c>
      <c r="E4" s="6" t="n">
        <v>197516</v>
      </c>
      <c r="F4" s="6" t="n">
        <v>199873</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13.8%</t>
        </is>
      </c>
      <c r="C4" s="6" t="inlineStr">
        <is>
          <t>15.6%</t>
        </is>
      </c>
      <c r="D4" s="6" t="inlineStr">
        <is>
          <t>18.0%</t>
        </is>
      </c>
      <c r="E4" s="6" t="inlineStr">
        <is>
          <t>16.0%</t>
        </is>
      </c>
      <c r="F4" s="6" t="inlineStr">
        <is>
          <t>18.4%</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266352</v>
      </c>
      <c r="C4" s="6" t="n">
        <v>245034</v>
      </c>
      <c r="D4" s="6" t="n">
        <v>223772</v>
      </c>
      <c r="E4" s="6" t="n">
        <v>197516</v>
      </c>
      <c r="F4" s="6" t="n">
        <v>199873</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15.6%</t>
        </is>
      </c>
      <c r="D4" s="6" t="inlineStr">
        <is>
          <t>18.0%</t>
        </is>
      </c>
      <c r="E4" s="6" t="inlineStr">
        <is>
          <t>16.0%</t>
        </is>
      </c>
      <c r="F4" s="6" t="inlineStr">
        <is>
          <t>18.4%</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334756</v>
      </c>
      <c r="C4" s="6" t="n">
        <v>318553</v>
      </c>
      <c r="D4" s="6" t="n">
        <v>276133</v>
      </c>
      <c r="E4" s="6" t="n">
        <v>267579</v>
      </c>
      <c r="F4" s="6" t="n">
        <v>270130</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t>
        </is>
      </c>
      <c r="C4" s="6" t="inlineStr">
        <is>
          <t>20.3%</t>
        </is>
      </c>
      <c r="D4" s="6" t="inlineStr">
        <is>
          <t>22.3%</t>
        </is>
      </c>
      <c r="E4" s="6" t="inlineStr">
        <is>
          <t>21.7%</t>
        </is>
      </c>
      <c r="F4" s="6" t="inlineStr">
        <is>
          <t>24.9%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1924184</v>
      </c>
      <c r="C4" s="6" t="n">
        <v>1571106</v>
      </c>
      <c r="D4" s="6" t="n">
        <v>1240666</v>
      </c>
      <c r="E4" s="6" t="n">
        <v>1231445</v>
      </c>
      <c r="F4" s="6" t="n">
        <v>1085219</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British Arab Commercial Bank PLC — RWA Breakdown</t>
        </is>
      </c>
    </row>
    <row r="2">
      <c r="A2" s="2" t="inlineStr">
        <is>
          <t>Not publicly disclosed at this granularity in any of the 5 years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None of the 5 years' Pillar 3 Disclosures (each checked in full) contain an RWA-by-risk-category breakdown table - only the single Total risk-weighted exposure amount figure shown on the Total RWAs sheet.
</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7.2%</t>
        </is>
      </c>
      <c r="C4" s="6" t="inlineStr">
        <is>
          <t>6.6%</t>
        </is>
      </c>
      <c r="D4" s="6" t="inlineStr">
        <is>
          <t>6.8%</t>
        </is>
      </c>
      <c r="E4" s="6" t="inlineStr">
        <is>
          <t>5.7%</t>
        </is>
      </c>
      <c r="F4" s="6" t="inlineStr">
        <is>
          <t>6.7%</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t>
        </is>
      </c>
      <c r="B4" s="6" t="inlineStr">
        <is>
          <t>234%</t>
        </is>
      </c>
      <c r="C4" s="6" t="inlineStr">
        <is>
          <t>327%</t>
        </is>
      </c>
      <c r="D4" s="6" t="inlineStr">
        <is>
          <t>271%</t>
        </is>
      </c>
      <c r="E4" s="6" t="inlineStr">
        <is>
          <t>254%</t>
        </is>
      </c>
      <c r="F4" s="6" t="inlineStr">
        <is>
          <t>276%</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 (4-quarter average)</t>
        </is>
      </c>
      <c r="B4" s="6" t="inlineStr">
        <is>
          <t>166%</t>
        </is>
      </c>
      <c r="C4" s="6" t="inlineStr">
        <is>
          <t>160%</t>
        </is>
      </c>
      <c r="D4" s="6" t="inlineStr">
        <is>
          <t>151%</t>
        </is>
      </c>
      <c r="E4" s="6" t="inlineStr">
        <is>
          <t>130%</t>
        </is>
      </c>
      <c r="F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NSFR not applicable/disclosed for FY2021 - the NSFR reporting requirement and KM1 template line were new from FY2022; the FY2021 comparative column in the 2022 Pillar 3 Disclosures itself states 'N/A'.
</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2026-09-02T19:28:45Z</dcterms:created>
  <dcterms:modified xmlns:dcterms="http://purl.org/dc/terms/" xmlns:xsi="http://www.w3.org/2001/XMLSchema-instance" xsi:type="dcterms:W3CDTF">2026-09-02T19:28:45Z</dcterms:modified>
</cp:coreProperties>
</file>