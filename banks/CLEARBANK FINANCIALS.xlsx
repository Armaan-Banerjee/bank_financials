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'Overview'!Y12</f>
            </strRef>
          </tx>
          <spPr>
            <a:ln xmlns:a="http://schemas.openxmlformats.org/drawingml/2006/main">
              <a:prstDash val="solid"/>
            </a:ln>
          </spPr>
          <cat>
            <numRef>
              <f>'Overview'!$Z$11:$AH$11</f>
            </numRef>
          </cat>
          <val>
            <numRef>
              <f>'Overview'!$Z$12:$AH$12</f>
            </numRef>
          </val>
        </ser>
        <ser>
          <idx val="1"/>
          <order val="1"/>
          <tx>
            <strRef>
              <f>'Overview'!Y13</f>
            </strRef>
          </tx>
          <spPr>
            <a:ln xmlns:a="http://schemas.openxmlformats.org/drawingml/2006/main">
              <a:prstDash val="solid"/>
            </a:ln>
          </spPr>
          <cat>
            <numRef>
              <f>'Overview'!$Z$11:$AH$11</f>
            </numRef>
          </cat>
          <val>
            <numRef>
              <f>'Overview'!$Z$13:$AH$13</f>
            </numRef>
          </val>
        </ser>
        <ser>
          <idx val="2"/>
          <order val="2"/>
          <tx>
            <strRef>
              <f>'Overview'!Y14</f>
            </strRef>
          </tx>
          <spPr>
            <a:ln xmlns:a="http://schemas.openxmlformats.org/drawingml/2006/main">
              <a:prstDash val="solid"/>
            </a:ln>
          </spPr>
          <cat>
            <numRef>
              <f>'Overview'!$Z$11:$AH$11</f>
            </numRef>
          </cat>
          <val>
            <numRef>
              <f>'Overview'!$Z$14:$AH$14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'Overview'!AK18</f>
            </strRef>
          </tx>
          <spPr>
            <a:ln xmlns:a="http://schemas.openxmlformats.org/drawingml/2006/main">
              <a:prstDash val="solid"/>
            </a:ln>
          </spPr>
          <cat>
            <numRef>
              <f>'Overview'!$AL$17:$AT$17</f>
            </numRef>
          </cat>
          <val>
            <numRef>
              <f>'Overview'!$AL$18:$AT$18</f>
            </numRef>
          </val>
        </ser>
        <ser>
          <idx val="1"/>
          <order val="1"/>
          <tx>
            <strRef>
              <f>'Overview'!AK19</f>
            </strRef>
          </tx>
          <spPr>
            <a:ln xmlns:a="http://schemas.openxmlformats.org/drawingml/2006/main">
              <a:prstDash val="solid"/>
            </a:ln>
          </spPr>
          <cat>
            <numRef>
              <f>'Overview'!$AL$17:$AT$17</f>
            </numRef>
          </cat>
          <val>
            <numRef>
              <f>'Overview'!$AL$19:$AT$19</f>
            </numRef>
          </val>
        </ser>
        <ser>
          <idx val="2"/>
          <order val="2"/>
          <tx>
            <strRef>
              <f>'Overview'!AK20</f>
            </strRef>
          </tx>
          <spPr>
            <a:ln xmlns:a="http://schemas.openxmlformats.org/drawingml/2006/main">
              <a:prstDash val="solid"/>
            </a:ln>
          </spPr>
          <cat>
            <numRef>
              <f>'Overview'!$AL$17:$AT$17</f>
            </numRef>
          </cat>
          <val>
            <numRef>
              <f>'Overview'!$AL$20:$AT$20</f>
            </numRef>
          </val>
        </ser>
        <ser>
          <idx val="3"/>
          <order val="3"/>
          <tx>
            <strRef>
              <f>'Overview'!AK21</f>
            </strRef>
          </tx>
          <spPr>
            <a:ln xmlns:a="http://schemas.openxmlformats.org/drawingml/2006/main">
              <a:prstDash val="solid"/>
            </a:ln>
          </spPr>
          <cat>
            <numRef>
              <f>'Overview'!$AL$17:$AT$17</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18068355</v>
      </c>
      <c r="C6" s="5" t="n">
        <v>11064063</v>
      </c>
      <c r="D6" s="5" t="n">
        <v>6366850</v>
      </c>
      <c r="E6" s="5" t="n">
        <v>3204409</v>
      </c>
      <c r="F6" s="5" t="n">
        <v>2772608</v>
      </c>
      <c r="G6" s="5" t="n">
        <v>1052971</v>
      </c>
      <c r="H6" s="5" t="n">
        <v>562825</v>
      </c>
      <c r="I6" s="5" t="n">
        <v>87456</v>
      </c>
      <c r="J6" s="5" t="n">
        <v>40015</v>
      </c>
      <c r="M6" t="inlineStr">
        <is>
          <t>Total assets</t>
        </is>
      </c>
      <c r="N6" t="n">
        <v>40015</v>
      </c>
      <c r="O6" t="n">
        <v>87456</v>
      </c>
      <c r="P6" t="n">
        <v>562825</v>
      </c>
      <c r="Q6" t="n">
        <v>1052971</v>
      </c>
      <c r="R6" t="n">
        <v>2772608</v>
      </c>
      <c r="S6" t="n">
        <v>3204409</v>
      </c>
      <c r="T6" t="n">
        <v>6366850</v>
      </c>
      <c r="U6" t="n">
        <v>11064063</v>
      </c>
      <c r="V6" t="n">
        <v>18068355</v>
      </c>
      <c r="BI6" t="inlineStr">
        <is>
          <t>CET1 Ratio</t>
        </is>
      </c>
      <c r="BJ6" t="n">
        <v>53</v>
      </c>
      <c r="BK6" t="n">
        <v>35</v>
      </c>
      <c r="BL6" t="n">
        <v>88</v>
      </c>
      <c r="BM6" t="n">
        <v>114.2</v>
      </c>
      <c r="BN6" t="n">
        <v>139.7</v>
      </c>
      <c r="BO6" t="n">
        <v>87.66</v>
      </c>
      <c r="BP6" t="n">
        <v>77.45</v>
      </c>
      <c r="BQ6" t="n">
        <v>67.02</v>
      </c>
      <c r="BR6" t="n">
        <v>49.75</v>
      </c>
    </row>
    <row r="7">
      <c r="A7" s="5" t="inlineStr">
        <is>
          <t>Customer deposits</t>
        </is>
      </c>
      <c r="B7" s="5" t="n">
        <v>17826803</v>
      </c>
      <c r="C7" s="5" t="n">
        <v>10818568</v>
      </c>
      <c r="D7" s="5" t="n">
        <v>6147363</v>
      </c>
      <c r="E7" s="5" t="n">
        <v>2982259</v>
      </c>
      <c r="F7" s="5" t="n">
        <v>2644756</v>
      </c>
      <c r="G7" s="5" t="n">
        <v>925890</v>
      </c>
      <c r="H7" s="5" t="n">
        <v>457981</v>
      </c>
      <c r="I7" s="5" t="n">
        <v>44145</v>
      </c>
      <c r="J7" s="5" t="n">
        <v>1601</v>
      </c>
      <c r="M7" t="inlineStr">
        <is>
          <t>Customer deposits</t>
        </is>
      </c>
      <c r="N7" t="n">
        <v>1601</v>
      </c>
      <c r="O7" t="n">
        <v>44145</v>
      </c>
      <c r="P7" t="n">
        <v>457981</v>
      </c>
      <c r="Q7" t="n">
        <v>925890</v>
      </c>
      <c r="R7" t="n">
        <v>2644756</v>
      </c>
      <c r="S7" t="n">
        <v>2982259</v>
      </c>
      <c r="T7" t="n">
        <v>6147363</v>
      </c>
      <c r="U7" t="n">
        <v>10818568</v>
      </c>
      <c r="V7" t="n">
        <v>17826803</v>
      </c>
      <c r="BI7" t="inlineStr">
        <is>
          <t>Leverage Ratio</t>
        </is>
      </c>
      <c r="BJ7" t="n">
        <v>84</v>
      </c>
      <c r="BK7" t="n">
        <v>74</v>
      </c>
      <c r="BL7" t="n">
        <v>21</v>
      </c>
      <c r="BM7" t="n">
        <v>30</v>
      </c>
      <c r="BN7" t="n">
        <v>38.79</v>
      </c>
      <c r="BO7" t="n">
        <v>13.87</v>
      </c>
      <c r="BP7" t="n">
        <v>43.51</v>
      </c>
      <c r="BQ7" t="n">
        <v>26.07</v>
      </c>
      <c r="BR7" t="n">
        <v>20.05</v>
      </c>
    </row>
    <row r="8">
      <c r="A8" s="5" t="inlineStr">
        <is>
          <t>Total equity</t>
        </is>
      </c>
      <c r="B8" s="5" t="n">
        <v>212839</v>
      </c>
      <c r="C8" s="5" t="n">
        <v>222291</v>
      </c>
      <c r="D8" s="5" t="n">
        <v>129526</v>
      </c>
      <c r="E8" s="5" t="n">
        <v>87312</v>
      </c>
      <c r="F8" s="5" t="n">
        <v>72217</v>
      </c>
      <c r="G8" s="5" t="n">
        <v>58247</v>
      </c>
      <c r="H8" s="5" t="n">
        <v>40242</v>
      </c>
      <c r="I8" s="5" t="n">
        <v>36908</v>
      </c>
      <c r="J8" s="5" t="n">
        <v>34047</v>
      </c>
      <c r="M8" t="inlineStr">
        <is>
          <t>Total equity</t>
        </is>
      </c>
      <c r="N8" t="n">
        <v>34047</v>
      </c>
      <c r="O8" t="n">
        <v>36908</v>
      </c>
      <c r="P8" t="n">
        <v>40242</v>
      </c>
      <c r="Q8" t="n">
        <v>58247</v>
      </c>
      <c r="R8" t="n">
        <v>72217</v>
      </c>
      <c r="S8" t="n">
        <v>87312</v>
      </c>
      <c r="T8" t="n">
        <v>129526</v>
      </c>
      <c r="U8" t="n">
        <v>222291</v>
      </c>
      <c r="V8" t="n">
        <v>212839</v>
      </c>
      <c r="BI8" t="inlineStr">
        <is>
          <t>LCR</t>
        </is>
      </c>
      <c r="BJ8" t="n">
        <v>3718</v>
      </c>
      <c r="BK8" t="n">
        <v>237</v>
      </c>
      <c r="BL8" t="n">
        <v>127</v>
      </c>
      <c r="BM8" t="n">
        <v>186</v>
      </c>
      <c r="BN8" t="n">
        <v>185.94</v>
      </c>
      <c r="BO8" t="n">
        <v>297.05</v>
      </c>
      <c r="BP8" t="n">
        <v>445.36</v>
      </c>
      <c r="BQ8" t="n">
        <v>381.88</v>
      </c>
      <c r="BR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Z11" t="inlineStr">
        <is>
          <t>FY2017</t>
        </is>
      </c>
      <c r="AA11" t="inlineStr">
        <is>
          <t>FY2018</t>
        </is>
      </c>
      <c r="AB11" t="inlineStr">
        <is>
          <t>FY2019</t>
        </is>
      </c>
      <c r="AC11" t="inlineStr">
        <is>
          <t>FY2020</t>
        </is>
      </c>
      <c r="AD11" t="inlineStr">
        <is>
          <t>FY2021</t>
        </is>
      </c>
      <c r="AE11" t="inlineStr">
        <is>
          <t>FY2022</t>
        </is>
      </c>
      <c r="AF11" t="inlineStr">
        <is>
          <t>FY2023</t>
        </is>
      </c>
      <c r="AG11" t="inlineStr">
        <is>
          <t>FY2024</t>
        </is>
      </c>
      <c r="AH11" t="inlineStr">
        <is>
          <t>FY2025</t>
        </is>
      </c>
    </row>
    <row r="12">
      <c r="A12" s="5" t="inlineStr">
        <is>
          <t>Total income</t>
        </is>
      </c>
      <c r="B12" s="5" t="n">
        <v>132684</v>
      </c>
      <c r="C12" s="5" t="n">
        <v>112086</v>
      </c>
      <c r="D12" s="5" t="n">
        <v>111347</v>
      </c>
      <c r="E12" s="5" t="n">
        <v>58284</v>
      </c>
      <c r="F12" s="5" t="n">
        <v>21394</v>
      </c>
      <c r="G12" s="5" t="n">
        <v>10618</v>
      </c>
      <c r="H12" s="5" t="n">
        <v>5318</v>
      </c>
      <c r="I12" s="5" t="n">
        <v>838</v>
      </c>
      <c r="J12" s="5" t="n">
        <v>49</v>
      </c>
      <c r="Y12" t="inlineStr">
        <is>
          <t>Total income</t>
        </is>
      </c>
      <c r="Z12" t="n">
        <v>49</v>
      </c>
      <c r="AA12" t="n">
        <v>838</v>
      </c>
      <c r="AB12" t="n">
        <v>5318</v>
      </c>
      <c r="AC12" t="n">
        <v>10618</v>
      </c>
      <c r="AD12" t="n">
        <v>21394</v>
      </c>
      <c r="AE12" t="n">
        <v>58284</v>
      </c>
      <c r="AF12" t="n">
        <v>111347</v>
      </c>
      <c r="AG12" t="n">
        <v>112086</v>
      </c>
      <c r="AH12" t="n">
        <v>132684</v>
      </c>
    </row>
    <row r="13">
      <c r="A13" s="5" t="inlineStr">
        <is>
          <t>Operating expenses</t>
        </is>
      </c>
      <c r="B13" s="5" t="n">
        <v>-148934</v>
      </c>
      <c r="C13" s="5" t="n">
        <v>-122035</v>
      </c>
      <c r="D13" s="5" t="n">
        <v>-105783</v>
      </c>
      <c r="E13" s="5" t="n">
        <v>-77638</v>
      </c>
      <c r="F13" s="5" t="n">
        <v>-52439</v>
      </c>
      <c r="G13" s="5" t="n">
        <v>-41283</v>
      </c>
      <c r="H13" s="5" t="n">
        <v>-39092</v>
      </c>
      <c r="I13" s="5" t="n">
        <v>-30371</v>
      </c>
      <c r="J13" s="5" t="n">
        <v>-17597</v>
      </c>
      <c r="Y13" t="inlineStr">
        <is>
          <t>Operating expenses</t>
        </is>
      </c>
      <c r="Z13" t="n">
        <v>-17597</v>
      </c>
      <c r="AA13" t="n">
        <v>-30371</v>
      </c>
      <c r="AB13" t="n">
        <v>-39092</v>
      </c>
      <c r="AC13" t="n">
        <v>-41283</v>
      </c>
      <c r="AD13" t="n">
        <v>-52439</v>
      </c>
      <c r="AE13" t="n">
        <v>-77638</v>
      </c>
      <c r="AF13" t="n">
        <v>-105783</v>
      </c>
      <c r="AG13" t="n">
        <v>-122035</v>
      </c>
      <c r="AH13" t="n">
        <v>-148934</v>
      </c>
    </row>
    <row r="14">
      <c r="A14" s="5" t="inlineStr">
        <is>
          <t>Profit/(loss) for the year after taxation</t>
        </is>
      </c>
      <c r="B14" s="5" t="n">
        <v>-15765</v>
      </c>
      <c r="C14" s="5" t="n">
        <v>-10318</v>
      </c>
      <c r="D14" s="5" t="n">
        <v>22396</v>
      </c>
      <c r="E14" s="5" t="n">
        <v>6818</v>
      </c>
      <c r="F14" s="5" t="n">
        <v>-28200</v>
      </c>
      <c r="G14" s="5" t="n">
        <v>-29796</v>
      </c>
      <c r="H14" s="5" t="n">
        <v>-33996</v>
      </c>
      <c r="I14" s="5" t="n">
        <v>-24844</v>
      </c>
      <c r="J14" s="5" t="n">
        <v>-13899</v>
      </c>
      <c r="Y14" t="inlineStr">
        <is>
          <t>Profit/(loss) for the year after taxation</t>
        </is>
      </c>
      <c r="Z14" t="n">
        <v>-13899</v>
      </c>
      <c r="AA14" t="n">
        <v>-24844</v>
      </c>
      <c r="AB14" t="n">
        <v>-33996</v>
      </c>
      <c r="AC14" t="n">
        <v>-29796</v>
      </c>
      <c r="AD14" t="n">
        <v>-28200</v>
      </c>
      <c r="AE14" t="n">
        <v>6818</v>
      </c>
      <c r="AF14" t="n">
        <v>22396</v>
      </c>
      <c r="AG14" t="n">
        <v>-10318</v>
      </c>
      <c r="AH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AL17" t="inlineStr">
        <is>
          <t>FY2017</t>
        </is>
      </c>
      <c r="AM17" t="inlineStr">
        <is>
          <t>FY2018</t>
        </is>
      </c>
      <c r="AN17" t="inlineStr">
        <is>
          <t>FY2019</t>
        </is>
      </c>
      <c r="AO17" t="inlineStr">
        <is>
          <t>FY2020</t>
        </is>
      </c>
      <c r="AP17" t="inlineStr">
        <is>
          <t>FY2021</t>
        </is>
      </c>
      <c r="AQ17" t="inlineStr">
        <is>
          <t>FY2022</t>
        </is>
      </c>
      <c r="AR17" t="inlineStr">
        <is>
          <t>FY2023</t>
        </is>
      </c>
      <c r="AS17" t="inlineStr">
        <is>
          <t>FY2024</t>
        </is>
      </c>
      <c r="AT17" t="inlineStr">
        <is>
          <t>FY2025</t>
        </is>
      </c>
    </row>
    <row r="18">
      <c r="A18" s="5" t="inlineStr">
        <is>
          <t>Opening equity</t>
        </is>
      </c>
      <c r="B18" s="5" t="n">
        <v>222291</v>
      </c>
      <c r="C18" s="5" t="n">
        <v>196497</v>
      </c>
      <c r="D18" s="5" t="n">
        <v>87312</v>
      </c>
      <c r="E18" s="5" t="n">
        <v>72217</v>
      </c>
      <c r="F18" s="5" t="n">
        <v>58247</v>
      </c>
      <c r="G18" s="5" t="n">
        <v>40242</v>
      </c>
      <c r="H18" s="5" t="n">
        <v>36908</v>
      </c>
      <c r="I18" s="5" t="n">
        <v>34047</v>
      </c>
      <c r="J18" s="5" t="n">
        <v>19479</v>
      </c>
      <c r="AK18" t="inlineStr">
        <is>
          <t>Opening equity</t>
        </is>
      </c>
      <c r="AL18" t="n">
        <v>19479</v>
      </c>
      <c r="AM18" t="n">
        <v>34047</v>
      </c>
      <c r="AN18" t="n">
        <v>36908</v>
      </c>
      <c r="AO18" t="n">
        <v>40242</v>
      </c>
      <c r="AP18" t="n">
        <v>58247</v>
      </c>
      <c r="AQ18" t="n">
        <v>72217</v>
      </c>
      <c r="AR18" t="n">
        <v>87312</v>
      </c>
      <c r="AS18" t="n">
        <v>196497</v>
      </c>
      <c r="AT18" t="n">
        <v>222291</v>
      </c>
    </row>
    <row r="19">
      <c r="A19" s="5" t="inlineStr">
        <is>
          <t>Total comprehensive income/(loss) for the year</t>
        </is>
      </c>
      <c r="B19" s="5" t="n">
        <v>-13977</v>
      </c>
      <c r="C19" s="5" t="n">
        <v>-11085</v>
      </c>
      <c r="D19" s="5" t="n">
        <v>22396</v>
      </c>
      <c r="E19" s="5" t="n">
        <v>6819</v>
      </c>
      <c r="F19" s="5" t="n">
        <v>-28201</v>
      </c>
      <c r="G19" s="5" t="n">
        <v>-29903</v>
      </c>
      <c r="H19" s="5" t="n">
        <v>-33963</v>
      </c>
      <c r="I19" s="5" t="n">
        <v>-24844</v>
      </c>
      <c r="J19" s="5" t="n">
        <v>-13899</v>
      </c>
      <c r="AK19" t="inlineStr">
        <is>
          <t>Total comprehensive income/(loss) for the year</t>
        </is>
      </c>
      <c r="AL19" t="n">
        <v>-13899</v>
      </c>
      <c r="AM19" t="n">
        <v>-24844</v>
      </c>
      <c r="AN19" t="n">
        <v>-33963</v>
      </c>
      <c r="AO19" t="n">
        <v>-29903</v>
      </c>
      <c r="AP19" t="n">
        <v>-28201</v>
      </c>
      <c r="AQ19" t="n">
        <v>6819</v>
      </c>
      <c r="AR19" t="n">
        <v>22396</v>
      </c>
      <c r="AS19" t="n">
        <v>-11085</v>
      </c>
      <c r="AT19" t="n">
        <v>-13977</v>
      </c>
    </row>
    <row r="20">
      <c r="A20" s="5" t="inlineStr">
        <is>
          <t>Other equity movements, net</t>
        </is>
      </c>
      <c r="B20" s="5" t="n">
        <v>4525</v>
      </c>
      <c r="C20" s="5" t="n">
        <v>36879</v>
      </c>
      <c r="D20" s="5" t="n">
        <v>19818</v>
      </c>
      <c r="E20" s="5" t="n">
        <v>8276</v>
      </c>
      <c r="F20" s="5" t="n">
        <v>42171</v>
      </c>
      <c r="G20" s="5" t="n">
        <v>47908</v>
      </c>
      <c r="H20" s="5" t="n">
        <v>37297</v>
      </c>
      <c r="I20" s="5" t="n">
        <v>27705</v>
      </c>
      <c r="J20" s="5" t="n">
        <v>28467</v>
      </c>
      <c r="AK20" t="inlineStr">
        <is>
          <t>Other equity movements, net</t>
        </is>
      </c>
      <c r="AL20" t="n">
        <v>28467</v>
      </c>
      <c r="AM20" t="n">
        <v>27705</v>
      </c>
      <c r="AN20" t="n">
        <v>37297</v>
      </c>
      <c r="AO20" t="n">
        <v>47908</v>
      </c>
      <c r="AP20" t="n">
        <v>42171</v>
      </c>
      <c r="AQ20" t="n">
        <v>8276</v>
      </c>
      <c r="AR20" t="n">
        <v>19818</v>
      </c>
      <c r="AS20" t="n">
        <v>36879</v>
      </c>
      <c r="AT20" t="n">
        <v>4525</v>
      </c>
    </row>
    <row r="21">
      <c r="A21" s="5" t="inlineStr">
        <is>
          <t>Closing equity</t>
        </is>
      </c>
      <c r="B21" s="5" t="n">
        <v>212839</v>
      </c>
      <c r="C21" s="5" t="n">
        <v>222291</v>
      </c>
      <c r="D21" s="5" t="n">
        <v>129526</v>
      </c>
      <c r="E21" s="5" t="n">
        <v>87312</v>
      </c>
      <c r="F21" s="5" t="n">
        <v>72217</v>
      </c>
      <c r="G21" s="5" t="n">
        <v>58247</v>
      </c>
      <c r="H21" s="5" t="n">
        <v>40242</v>
      </c>
      <c r="I21" s="5" t="n">
        <v>36908</v>
      </c>
      <c r="J21" s="5" t="n">
        <v>34047</v>
      </c>
      <c r="AK21" t="inlineStr">
        <is>
          <t>Closing equity</t>
        </is>
      </c>
      <c r="AL21" t="n">
        <v>34047</v>
      </c>
      <c r="AM21" t="n">
        <v>36908</v>
      </c>
      <c r="AN21" t="n">
        <v>40242</v>
      </c>
      <c r="AO21" t="n">
        <v>58247</v>
      </c>
      <c r="AP21" t="n">
        <v>72217</v>
      </c>
      <c r="AQ21" t="n">
        <v>87312</v>
      </c>
      <c r="AR21" t="n">
        <v>129526</v>
      </c>
      <c r="AS21" t="n">
        <v>222291</v>
      </c>
      <c r="AT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AX24" t="inlineStr">
        <is>
          <t>FY2017</t>
        </is>
      </c>
      <c r="AY24" t="inlineStr">
        <is>
          <t>FY2018</t>
        </is>
      </c>
      <c r="AZ24" t="inlineStr">
        <is>
          <t>FY2019</t>
        </is>
      </c>
      <c r="BA24" t="inlineStr">
        <is>
          <t>FY2020</t>
        </is>
      </c>
      <c r="BB24" t="inlineStr">
        <is>
          <t>FY2021</t>
        </is>
      </c>
      <c r="BC24" t="inlineStr">
        <is>
          <t>FY2022</t>
        </is>
      </c>
      <c r="BD24" t="inlineStr">
        <is>
          <t>FY2023</t>
        </is>
      </c>
      <c r="BE24" t="inlineStr">
        <is>
          <t>FY2024</t>
        </is>
      </c>
      <c r="BF24" t="inlineStr">
        <is>
          <t>FY2025</t>
        </is>
      </c>
    </row>
    <row r="25">
      <c r="A25" s="5" t="inlineStr">
        <is>
          <t>Net cash from operating activities</t>
        </is>
      </c>
      <c r="B25" s="5" t="n">
        <v>7017191</v>
      </c>
      <c r="C25" s="5" t="n">
        <v>4690772</v>
      </c>
      <c r="D25" s="5" t="n">
        <v>3142548</v>
      </c>
      <c r="E25" s="5" t="n">
        <v>413627</v>
      </c>
      <c r="F25" s="5" t="n">
        <v>1683715</v>
      </c>
      <c r="G25" s="5" t="n">
        <v>453624</v>
      </c>
      <c r="H25" s="5" t="n">
        <v>439707</v>
      </c>
      <c r="I25" s="5" t="n">
        <v>19481</v>
      </c>
      <c r="J25" s="5" t="n">
        <v>-13651</v>
      </c>
      <c r="AW25" t="inlineStr">
        <is>
          <t>Net cash from operating activities</t>
        </is>
      </c>
      <c r="AX25" t="n">
        <v>-13651</v>
      </c>
      <c r="AY25" t="n">
        <v>19481</v>
      </c>
      <c r="AZ25" t="n">
        <v>439707</v>
      </c>
      <c r="BA25" t="n">
        <v>453624</v>
      </c>
      <c r="BB25" t="n">
        <v>1683715</v>
      </c>
      <c r="BC25" t="n">
        <v>413627</v>
      </c>
      <c r="BD25" t="n">
        <v>3142548</v>
      </c>
      <c r="BE25" t="n">
        <v>4690772</v>
      </c>
      <c r="BF25" t="n">
        <v>7017191</v>
      </c>
    </row>
    <row r="26">
      <c r="A26" s="5" t="inlineStr">
        <is>
          <t>Net cash used in investing activities</t>
        </is>
      </c>
      <c r="B26" s="5" t="n">
        <v>-15684</v>
      </c>
      <c r="C26" s="5" t="n">
        <v>-24096</v>
      </c>
      <c r="D26" s="5" t="n">
        <v>-21778</v>
      </c>
      <c r="E26" s="5" t="n">
        <v>-8144</v>
      </c>
      <c r="F26" s="5" t="n">
        <v>-8624</v>
      </c>
      <c r="G26" s="5" t="n">
        <v>-8448</v>
      </c>
      <c r="H26" s="5" t="n">
        <v>-8835</v>
      </c>
      <c r="I26" s="5" t="n">
        <v>-8887</v>
      </c>
      <c r="J26" s="5" t="n">
        <v>-5670</v>
      </c>
      <c r="AW26" t="inlineStr">
        <is>
          <t>Net cash used in investing activities</t>
        </is>
      </c>
      <c r="AX26" t="n">
        <v>-5670</v>
      </c>
      <c r="AY26" t="n">
        <v>-8887</v>
      </c>
      <c r="AZ26" t="n">
        <v>-8835</v>
      </c>
      <c r="BA26" t="n">
        <v>-8448</v>
      </c>
      <c r="BB26" t="n">
        <v>-8624</v>
      </c>
      <c r="BC26" t="n">
        <v>-8144</v>
      </c>
      <c r="BD26" t="n">
        <v>-21778</v>
      </c>
      <c r="BE26" t="n">
        <v>-24096</v>
      </c>
      <c r="BF26" t="n">
        <v>-15684</v>
      </c>
    </row>
    <row r="27">
      <c r="A27" s="5" t="inlineStr">
        <is>
          <t>Net cash from/(used in) financing activities</t>
        </is>
      </c>
      <c r="B27" s="5" t="n">
        <v>-1603</v>
      </c>
      <c r="C27" s="5" t="n">
        <v>33433</v>
      </c>
      <c r="D27" s="5" t="n">
        <v>9537</v>
      </c>
      <c r="E27" s="5" t="n">
        <v>-384</v>
      </c>
      <c r="F27" s="5" t="n">
        <v>32492</v>
      </c>
      <c r="G27" s="5" t="n">
        <v>41462</v>
      </c>
      <c r="H27" s="5" t="n">
        <v>33195</v>
      </c>
      <c r="I27" s="5" t="n">
        <v>24871</v>
      </c>
      <c r="J27" s="5" t="n">
        <v>27908</v>
      </c>
      <c r="AW27" t="inlineStr">
        <is>
          <t>Net cash from/(used in) financing activities</t>
        </is>
      </c>
      <c r="AX27" t="n">
        <v>27908</v>
      </c>
      <c r="AY27" t="n">
        <v>24871</v>
      </c>
      <c r="AZ27" t="n">
        <v>33195</v>
      </c>
      <c r="BA27" t="n">
        <v>41462</v>
      </c>
      <c r="BB27" t="n">
        <v>32492</v>
      </c>
      <c r="BC27" t="n">
        <v>-384</v>
      </c>
      <c r="BD27" t="n">
        <v>9537</v>
      </c>
      <c r="BE27" t="n">
        <v>33433</v>
      </c>
      <c r="BF27" t="n">
        <v>-1603</v>
      </c>
    </row>
    <row r="28">
      <c r="A28" s="5" t="inlineStr">
        <is>
          <t>Cash and cash equivalents at end of year</t>
        </is>
      </c>
      <c r="B28" s="5" t="n">
        <v>17956976</v>
      </c>
      <c r="C28" s="5" t="n">
        <v>10961293</v>
      </c>
      <c r="D28" s="5" t="n">
        <v>6256126</v>
      </c>
      <c r="E28" s="5" t="n">
        <v>3125862</v>
      </c>
      <c r="F28" s="5" t="n">
        <v>2720797</v>
      </c>
      <c r="G28" s="5" t="n">
        <v>1013224</v>
      </c>
      <c r="H28" s="5" t="n">
        <v>526594</v>
      </c>
      <c r="I28" s="5" t="n">
        <v>62527</v>
      </c>
      <c r="J28" s="5" t="n">
        <v>27062</v>
      </c>
      <c r="AW28" t="inlineStr">
        <is>
          <t>Cash and cash equivalents at end of year</t>
        </is>
      </c>
      <c r="AX28" t="n">
        <v>27062</v>
      </c>
      <c r="AY28" t="n">
        <v>62527</v>
      </c>
      <c r="AZ28" t="n">
        <v>526594</v>
      </c>
      <c r="BA28" t="n">
        <v>1013224</v>
      </c>
      <c r="BB28" t="n">
        <v>2720797</v>
      </c>
      <c r="BC28" t="n">
        <v>3125862</v>
      </c>
      <c r="BD28" t="n">
        <v>6256126</v>
      </c>
      <c r="BE28" t="n">
        <v>10961293</v>
      </c>
      <c r="BF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row>
    <row r="32">
      <c r="A32" s="6" t="inlineStr">
        <is>
          <t>CET1 Ratio</t>
        </is>
      </c>
      <c r="B32" s="6" t="inlineStr">
        <is>
          <t>49.75%</t>
        </is>
      </c>
      <c r="C32" s="6" t="inlineStr">
        <is>
          <t>67.02%</t>
        </is>
      </c>
      <c r="D32" s="6" t="inlineStr">
        <is>
          <t>77.45%</t>
        </is>
      </c>
      <c r="E32" s="6" t="inlineStr">
        <is>
          <t>87.66%</t>
        </is>
      </c>
      <c r="F32" s="6" t="inlineStr">
        <is>
          <t>139.70%</t>
        </is>
      </c>
      <c r="G32" s="6" t="inlineStr">
        <is>
          <t>114.20%</t>
        </is>
      </c>
      <c r="H32" s="6" t="inlineStr">
        <is>
          <t>88%</t>
        </is>
      </c>
      <c r="I32" s="6" t="inlineStr">
        <is>
          <t>35%</t>
        </is>
      </c>
      <c r="J32" s="6" t="inlineStr">
        <is>
          <t>53%</t>
        </is>
      </c>
    </row>
    <row r="33">
      <c r="A33" s="6" t="inlineStr">
        <is>
          <t>Leverage Ratio</t>
        </is>
      </c>
      <c r="B33" s="6" t="inlineStr">
        <is>
          <t>20.05%</t>
        </is>
      </c>
      <c r="C33" s="6" t="inlineStr">
        <is>
          <t>26.07%</t>
        </is>
      </c>
      <c r="D33" s="6" t="inlineStr">
        <is>
          <t>43.51%</t>
        </is>
      </c>
      <c r="E33" s="6" t="inlineStr">
        <is>
          <t>13.87%</t>
        </is>
      </c>
      <c r="F33" s="6" t="inlineStr">
        <is>
          <t>38.79%</t>
        </is>
      </c>
      <c r="G33" s="6" t="inlineStr">
        <is>
          <t>30%</t>
        </is>
      </c>
      <c r="H33" s="6" t="inlineStr">
        <is>
          <t>21%</t>
        </is>
      </c>
      <c r="I33" s="6" t="inlineStr">
        <is>
          <t>74%</t>
        </is>
      </c>
      <c r="J33" s="6" t="inlineStr">
        <is>
          <t>84%</t>
        </is>
      </c>
    </row>
    <row r="34">
      <c r="A34" s="6" t="inlineStr">
        <is>
          <t>LCR</t>
        </is>
      </c>
      <c r="B34" s="6" t="inlineStr">
        <is>
          <t>396.85%</t>
        </is>
      </c>
      <c r="C34" s="6" t="inlineStr">
        <is>
          <t>381.88%</t>
        </is>
      </c>
      <c r="D34" s="6" t="inlineStr">
        <is>
          <t>445.36%</t>
        </is>
      </c>
      <c r="E34" s="6" t="inlineStr">
        <is>
          <t>297.05%</t>
        </is>
      </c>
      <c r="F34" s="6" t="inlineStr">
        <is>
          <t>185.94%</t>
        </is>
      </c>
      <c r="G34" s="6" t="inlineStr">
        <is>
          <t>186%</t>
        </is>
      </c>
      <c r="H34" s="6" t="inlineStr">
        <is>
          <t>127%</t>
        </is>
      </c>
      <c r="I34" s="6" t="inlineStr">
        <is>
          <t>237%</t>
        </is>
      </c>
      <c r="J34" s="6" t="inlineStr">
        <is>
          <t>3718%</t>
        </is>
      </c>
    </row>
    <row r="36" ht="4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 HD-019: this workbook's year range now extends back to FY2017, ClearBank's independently-verified floor (first year with any customer deposits/income, following the bank's actual opening to customers in October 2017) - not FY2015, which an earlier ticket-generation pass had assumed purely from the entity's GLEIF incorporation date. See the HD-019 FLOOR VERIFICATION comment block near the top of build_clearbank.py and the Balance Sheet sheet's Sources note for the full evidence trail.</t>
        </is>
      </c>
    </row>
  </sheetData>
  <mergeCells count="1">
    <mergeCell ref="A36:J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t>
        </is>
      </c>
      <c r="B5" s="6" t="n">
        <v>17956976</v>
      </c>
      <c r="C5" s="6" t="n">
        <v>10961293</v>
      </c>
      <c r="D5" s="6" t="n">
        <v>6256126</v>
      </c>
      <c r="E5" s="6" t="n">
        <v>3125862</v>
      </c>
      <c r="F5" s="6" t="n">
        <v>2720797</v>
      </c>
      <c r="G5" s="6" t="n">
        <v>1013224</v>
      </c>
      <c r="H5" s="6" t="n">
        <v>526594</v>
      </c>
      <c r="I5" s="6" t="n">
        <v>62527</v>
      </c>
      <c r="J5" s="6" t="n">
        <v>27062</v>
      </c>
    </row>
    <row r="6">
      <c r="A6" s="6" t="inlineStr">
        <is>
          <t>Loans and advances to banks</t>
        </is>
      </c>
      <c r="B6" s="6" t="n"/>
      <c r="C6" s="6" t="n"/>
      <c r="D6" s="6" t="n">
        <v>19525</v>
      </c>
      <c r="E6" s="6" t="n">
        <v>9156</v>
      </c>
      <c r="F6" s="6" t="n">
        <v>5962</v>
      </c>
      <c r="G6" s="6" t="n"/>
      <c r="H6" s="6" t="n"/>
      <c r="I6" s="6" t="n"/>
      <c r="J6" s="6" t="n"/>
    </row>
    <row r="7">
      <c r="A7" s="6" t="inlineStr">
        <is>
          <t>Collateral placed</t>
        </is>
      </c>
      <c r="B7" s="6" t="n">
        <v>509</v>
      </c>
      <c r="C7" s="6" t="n">
        <v>1368</v>
      </c>
      <c r="D7" s="6" t="n">
        <v>1352</v>
      </c>
      <c r="E7" s="6" t="n">
        <v>433</v>
      </c>
      <c r="F7" s="6" t="n">
        <v>406</v>
      </c>
      <c r="G7" s="6" t="n">
        <v>370</v>
      </c>
      <c r="H7" s="6" t="n">
        <v>364</v>
      </c>
      <c r="I7" s="6" t="n">
        <v>364</v>
      </c>
      <c r="J7" s="6" t="n">
        <v>315</v>
      </c>
    </row>
    <row r="8">
      <c r="A8" s="6" t="inlineStr">
        <is>
          <t>Receivables</t>
        </is>
      </c>
      <c r="B8" s="6" t="n">
        <v>17296</v>
      </c>
      <c r="C8" s="6" t="n">
        <v>10408</v>
      </c>
      <c r="D8" s="6" t="n">
        <v>9768</v>
      </c>
      <c r="E8" s="6" t="n">
        <v>6212</v>
      </c>
      <c r="F8" s="6" t="n">
        <v>4478</v>
      </c>
      <c r="G8" s="6" t="n">
        <v>4565</v>
      </c>
      <c r="H8" s="6" t="n">
        <v>3900</v>
      </c>
      <c r="I8" s="6" t="n">
        <v>1487</v>
      </c>
      <c r="J8" s="6" t="n">
        <v>1176</v>
      </c>
    </row>
    <row r="9">
      <c r="A9" s="6" t="inlineStr">
        <is>
          <t>Current tax asset / due from UK tax authorities</t>
        </is>
      </c>
      <c r="B9" s="6" t="n">
        <v>1563</v>
      </c>
      <c r="C9" s="6" t="n">
        <v>753</v>
      </c>
      <c r="D9" s="6" t="n">
        <v>3542</v>
      </c>
      <c r="E9" s="6" t="n">
        <v>4363</v>
      </c>
      <c r="F9" s="6" t="n"/>
      <c r="G9" s="6" t="n"/>
      <c r="H9" s="6" t="n"/>
      <c r="I9" s="6" t="n"/>
      <c r="J9" s="6" t="n"/>
    </row>
    <row r="10">
      <c r="A10" s="6" t="inlineStr">
        <is>
          <t>Right-of-use asset</t>
        </is>
      </c>
      <c r="B10" s="6" t="n">
        <v>549</v>
      </c>
      <c r="C10" s="6" t="n">
        <v>2111</v>
      </c>
      <c r="D10" s="6" t="n">
        <v>952</v>
      </c>
      <c r="E10" s="6" t="n">
        <v>2677</v>
      </c>
      <c r="F10" s="6" t="n">
        <v>510</v>
      </c>
      <c r="G10" s="6" t="n">
        <v>2180</v>
      </c>
      <c r="H10" s="6" t="n">
        <v>4530</v>
      </c>
      <c r="I10" s="6" t="n"/>
      <c r="J10" s="6" t="n"/>
    </row>
    <row r="11">
      <c r="A11" s="6" t="inlineStr">
        <is>
          <t>Property, plant and equipment</t>
        </is>
      </c>
      <c r="B11" s="6" t="n">
        <v>0</v>
      </c>
      <c r="C11" s="6" t="n">
        <v>34</v>
      </c>
      <c r="D11" s="6" t="n">
        <v>97</v>
      </c>
      <c r="E11" s="6" t="n">
        <v>566</v>
      </c>
      <c r="F11" s="6" t="n">
        <v>451</v>
      </c>
      <c r="G11" s="6" t="n">
        <v>673</v>
      </c>
      <c r="H11" s="6" t="n">
        <v>351</v>
      </c>
      <c r="I11" s="6" t="n">
        <v>819</v>
      </c>
      <c r="J11" s="6" t="n">
        <v>1082</v>
      </c>
    </row>
    <row r="12">
      <c r="A12" s="6" t="inlineStr">
        <is>
          <t>Intangible assets</t>
        </is>
      </c>
      <c r="B12" s="6" t="n">
        <v>51683</v>
      </c>
      <c r="C12" s="6" t="n">
        <v>52670</v>
      </c>
      <c r="D12" s="6" t="n">
        <v>41806</v>
      </c>
      <c r="E12" s="6" t="n">
        <v>29184</v>
      </c>
      <c r="F12" s="6" t="n">
        <v>27479</v>
      </c>
      <c r="G12" s="6" t="n">
        <v>22475</v>
      </c>
      <c r="H12" s="6" t="n">
        <v>18751</v>
      </c>
      <c r="I12" s="6" t="n">
        <v>13924</v>
      </c>
      <c r="J12" s="6" t="n">
        <v>6728</v>
      </c>
    </row>
    <row r="13">
      <c r="A13" s="6" t="inlineStr">
        <is>
          <t>Deferred tax asset</t>
        </is>
      </c>
      <c r="B13" s="6" t="n">
        <v>39779</v>
      </c>
      <c r="C13" s="6" t="n">
        <v>35426</v>
      </c>
      <c r="D13" s="6" t="n">
        <v>33682</v>
      </c>
      <c r="E13" s="6" t="n">
        <v>25956</v>
      </c>
      <c r="F13" s="6" t="n">
        <v>12525</v>
      </c>
      <c r="G13" s="6" t="n">
        <v>9484</v>
      </c>
      <c r="H13" s="6" t="n">
        <v>8335</v>
      </c>
      <c r="I13" s="6" t="n">
        <v>8335</v>
      </c>
      <c r="J13" s="6" t="n">
        <v>3652</v>
      </c>
    </row>
    <row r="14">
      <c r="A14" s="5" t="inlineStr">
        <is>
          <t>Total assets</t>
        </is>
      </c>
      <c r="B14" s="5" t="n">
        <v>18068355</v>
      </c>
      <c r="C14" s="5" t="n">
        <v>11064063</v>
      </c>
      <c r="D14" s="5" t="n">
        <v>6366850</v>
      </c>
      <c r="E14" s="5" t="n">
        <v>3204409</v>
      </c>
      <c r="F14" s="5" t="n">
        <v>2772608</v>
      </c>
      <c r="G14" s="5" t="n">
        <v>1052971</v>
      </c>
      <c r="H14" s="5" t="n">
        <v>562825</v>
      </c>
      <c r="I14" s="5" t="n">
        <v>87456</v>
      </c>
      <c r="J14" s="5" t="n">
        <v>40015</v>
      </c>
    </row>
    <row r="15">
      <c r="A15" s="5" t="inlineStr">
        <is>
          <t>Liabilities</t>
        </is>
      </c>
      <c r="B15" s="6" t="n"/>
      <c r="C15" s="6" t="n"/>
      <c r="D15" s="6" t="n"/>
      <c r="E15" s="6" t="n"/>
      <c r="F15" s="6" t="n"/>
      <c r="G15" s="6" t="n"/>
      <c r="H15" s="6" t="n"/>
      <c r="I15" s="6" t="n"/>
      <c r="J15" s="6" t="n"/>
    </row>
    <row r="16">
      <c r="A16" s="6" t="inlineStr">
        <is>
          <t>Customer deposits</t>
        </is>
      </c>
      <c r="B16" s="6" t="n">
        <v>17826803</v>
      </c>
      <c r="C16" s="6" t="n">
        <v>10818568</v>
      </c>
      <c r="D16" s="6" t="n">
        <v>6147363</v>
      </c>
      <c r="E16" s="6" t="n">
        <v>2982259</v>
      </c>
      <c r="F16" s="6" t="n">
        <v>2644756</v>
      </c>
      <c r="G16" s="6" t="n">
        <v>925890</v>
      </c>
      <c r="H16" s="6" t="n">
        <v>457981</v>
      </c>
      <c r="I16" s="6" t="n">
        <v>44145</v>
      </c>
      <c r="J16" s="6" t="n">
        <v>1601</v>
      </c>
    </row>
    <row r="17">
      <c r="A17" s="6" t="inlineStr">
        <is>
          <t>Other payables</t>
        </is>
      </c>
      <c r="B17" s="6" t="n">
        <v>27067</v>
      </c>
      <c r="C17" s="6" t="n">
        <v>20708</v>
      </c>
      <c r="D17" s="6" t="n">
        <v>82372</v>
      </c>
      <c r="E17" s="6" t="n">
        <v>109307</v>
      </c>
      <c r="F17" s="6" t="n">
        <v>9897</v>
      </c>
      <c r="G17" s="6" t="n">
        <v>6591</v>
      </c>
      <c r="H17" s="6" t="n">
        <v>8570</v>
      </c>
      <c r="I17" s="6" t="n">
        <v>6403</v>
      </c>
      <c r="J17" s="6" t="n">
        <v>4367</v>
      </c>
    </row>
    <row r="18">
      <c r="A18" s="6" t="inlineStr">
        <is>
          <t>Lease obligations</t>
        </is>
      </c>
      <c r="B18" s="6" t="n">
        <v>1256</v>
      </c>
      <c r="C18" s="6" t="n">
        <v>2219</v>
      </c>
      <c r="D18" s="6" t="n">
        <v>1003</v>
      </c>
      <c r="E18" s="6" t="n">
        <v>2789</v>
      </c>
      <c r="F18" s="6" t="n">
        <v>509</v>
      </c>
      <c r="G18" s="6" t="n">
        <v>2483</v>
      </c>
      <c r="H18" s="6" t="n">
        <v>4520</v>
      </c>
      <c r="I18" s="6" t="n"/>
      <c r="J18" s="6" t="n"/>
    </row>
    <row r="19">
      <c r="A19" s="6" t="inlineStr">
        <is>
          <t>Deferred income</t>
        </is>
      </c>
      <c r="B19" s="6" t="n">
        <v>390</v>
      </c>
      <c r="C19" s="6" t="n">
        <v>277</v>
      </c>
      <c r="D19" s="6" t="n">
        <v>6444</v>
      </c>
      <c r="E19" s="6" t="n">
        <v>22742</v>
      </c>
      <c r="F19" s="6" t="n">
        <v>45229</v>
      </c>
      <c r="G19" s="6" t="n">
        <v>59760</v>
      </c>
      <c r="H19" s="6" t="n">
        <v>51512</v>
      </c>
      <c r="I19" s="6" t="n"/>
      <c r="J19" s="6" t="n"/>
    </row>
    <row r="20">
      <c r="A20" s="6" t="inlineStr">
        <is>
          <t>Current tax liability</t>
        </is>
      </c>
      <c r="B20" s="6" t="n"/>
      <c r="C20" s="6" t="n"/>
      <c r="D20" s="6" t="n">
        <v>142</v>
      </c>
      <c r="E20" s="6" t="n"/>
      <c r="F20" s="6" t="n"/>
      <c r="G20" s="6" t="n"/>
      <c r="H20" s="6" t="n"/>
      <c r="I20" s="6" t="n"/>
      <c r="J20" s="6" t="n"/>
    </row>
    <row r="21">
      <c r="A21" s="5" t="inlineStr">
        <is>
          <t>Total liabilities</t>
        </is>
      </c>
      <c r="B21" s="5" t="n">
        <v>17855516</v>
      </c>
      <c r="C21" s="5" t="n">
        <v>10841772</v>
      </c>
      <c r="D21" s="5" t="n">
        <v>6237324</v>
      </c>
      <c r="E21" s="5" t="n">
        <v>3117097</v>
      </c>
      <c r="F21" s="5" t="n">
        <v>2700391</v>
      </c>
      <c r="G21" s="5" t="n">
        <v>994724</v>
      </c>
      <c r="H21" s="5" t="n">
        <v>522583</v>
      </c>
      <c r="I21" s="5" t="n">
        <v>50548</v>
      </c>
      <c r="J21" s="5" t="n">
        <v>5968</v>
      </c>
    </row>
    <row r="22">
      <c r="A22" s="5" t="inlineStr">
        <is>
          <t>Equity</t>
        </is>
      </c>
      <c r="B22" s="6" t="n"/>
      <c r="C22" s="6" t="n"/>
      <c r="D22" s="6" t="n"/>
      <c r="E22" s="6" t="n"/>
      <c r="F22" s="6" t="n"/>
      <c r="G22" s="6" t="n"/>
      <c r="H22" s="6" t="n"/>
      <c r="I22" s="6" t="n"/>
      <c r="J22" s="6" t="n"/>
    </row>
    <row r="23">
      <c r="A23" s="6" t="inlineStr">
        <is>
          <t>Called up share capital</t>
        </is>
      </c>
      <c r="B23" s="6" t="n">
        <v>2</v>
      </c>
      <c r="C23" s="6" t="n">
        <v>2</v>
      </c>
      <c r="D23" s="6" t="n"/>
      <c r="E23" s="6" t="n"/>
      <c r="F23" s="6" t="n"/>
      <c r="G23" s="6" t="n"/>
      <c r="H23" s="6" t="n"/>
      <c r="I23" s="6" t="n"/>
      <c r="J23" s="6" t="n"/>
    </row>
    <row r="24">
      <c r="A24" s="6" t="inlineStr">
        <is>
          <t>Share premium</t>
        </is>
      </c>
      <c r="B24" s="6" t="n">
        <v>224403</v>
      </c>
      <c r="C24" s="6" t="n">
        <v>224403</v>
      </c>
      <c r="D24" s="6" t="n">
        <v>203445</v>
      </c>
      <c r="E24" s="6" t="n">
        <v>192349</v>
      </c>
      <c r="F24" s="6" t="n">
        <v>191816</v>
      </c>
      <c r="G24" s="6" t="n">
        <v>157316</v>
      </c>
      <c r="H24" s="6" t="n">
        <v>113204</v>
      </c>
      <c r="I24" s="6" t="n">
        <v>78329</v>
      </c>
      <c r="J24" s="6" t="n">
        <v>53458</v>
      </c>
    </row>
    <row r="25">
      <c r="A25" s="6" t="inlineStr">
        <is>
          <t>Treasury shares</t>
        </is>
      </c>
      <c r="B25" s="6" t="n"/>
      <c r="C25" s="6" t="n"/>
      <c r="D25" s="6" t="n"/>
      <c r="E25" s="6" t="n">
        <v>-204</v>
      </c>
      <c r="F25" s="6" t="n">
        <v>-204</v>
      </c>
      <c r="G25" s="6" t="n">
        <v>-204</v>
      </c>
      <c r="H25" s="6" t="n">
        <v>-204</v>
      </c>
      <c r="I25" s="6" t="n">
        <v>-204</v>
      </c>
      <c r="J25" s="6" t="n">
        <v>-204</v>
      </c>
    </row>
    <row r="26">
      <c r="A26" s="6" t="inlineStr">
        <is>
          <t>Capital contribution reserve</t>
        </is>
      </c>
      <c r="B26" s="6" t="n">
        <v>11942</v>
      </c>
      <c r="C26" s="6" t="n">
        <v>9188</v>
      </c>
      <c r="D26" s="6" t="n">
        <v>26805</v>
      </c>
      <c r="E26" s="6" t="n"/>
      <c r="F26" s="6" t="n"/>
      <c r="G26" s="6" t="n"/>
      <c r="H26" s="6" t="n"/>
      <c r="I26" s="6" t="n"/>
      <c r="J26" s="6" t="n"/>
    </row>
    <row r="27">
      <c r="A27" s="6" t="inlineStr">
        <is>
          <t>Share-based payment reserve</t>
        </is>
      </c>
      <c r="B27" s="6" t="n"/>
      <c r="C27" s="6" t="n"/>
      <c r="D27" s="6" t="n"/>
      <c r="E27" s="6" t="n">
        <v>24933</v>
      </c>
      <c r="F27" s="6" t="n">
        <v>17190</v>
      </c>
      <c r="G27" s="6" t="n">
        <v>9519</v>
      </c>
      <c r="H27" s="6" t="n">
        <v>5723</v>
      </c>
      <c r="I27" s="6" t="n">
        <v>3301</v>
      </c>
      <c r="J27" s="6" t="n">
        <v>467</v>
      </c>
    </row>
    <row r="28">
      <c r="A28" s="6" t="inlineStr">
        <is>
          <t>Retained earnings/(losses)</t>
        </is>
      </c>
      <c r="B28" s="6" t="n">
        <v>-24512</v>
      </c>
      <c r="C28" s="6" t="n">
        <v>-10518</v>
      </c>
      <c r="D28" s="6" t="n">
        <v>-100724</v>
      </c>
      <c r="E28" s="6" t="n">
        <v>-129650</v>
      </c>
      <c r="F28" s="6" t="n">
        <v>-136468</v>
      </c>
      <c r="G28" s="6" t="n">
        <v>-108268</v>
      </c>
      <c r="H28" s="6" t="n">
        <v>-78472</v>
      </c>
      <c r="I28" s="6" t="n">
        <v>-44518</v>
      </c>
      <c r="J28" s="6" t="n">
        <v>-19674</v>
      </c>
    </row>
    <row r="29">
      <c r="A29" s="6" t="inlineStr">
        <is>
          <t>Translation reserve</t>
        </is>
      </c>
      <c r="B29" s="6" t="n">
        <v>1004</v>
      </c>
      <c r="C29" s="6" t="n">
        <v>-784</v>
      </c>
      <c r="D29" s="6" t="n"/>
      <c r="E29" s="6" t="n">
        <v>-116</v>
      </c>
      <c r="F29" s="6" t="n">
        <v>-117</v>
      </c>
      <c r="G29" s="6" t="n">
        <v>-116</v>
      </c>
      <c r="H29" s="6" t="n">
        <v>-9</v>
      </c>
      <c r="I29" s="6" t="n"/>
      <c r="J29" s="6" t="n"/>
    </row>
    <row r="30">
      <c r="A30" s="5" t="inlineStr">
        <is>
          <t>Total equity</t>
        </is>
      </c>
      <c r="B30" s="5" t="n">
        <v>212839</v>
      </c>
      <c r="C30" s="5" t="n">
        <v>222291</v>
      </c>
      <c r="D30" s="5" t="n">
        <v>129526</v>
      </c>
      <c r="E30" s="5" t="n">
        <v>87312</v>
      </c>
      <c r="F30" s="5" t="n">
        <v>72217</v>
      </c>
      <c r="G30" s="5" t="n">
        <v>58247</v>
      </c>
      <c r="H30" s="5" t="n">
        <v>40242</v>
      </c>
      <c r="I30" s="5" t="n">
        <v>36908</v>
      </c>
      <c r="J30" s="5" t="n">
        <v>34047</v>
      </c>
    </row>
    <row r="31">
      <c r="A31" s="5" t="inlineStr">
        <is>
          <t>Total liabilities and equity</t>
        </is>
      </c>
      <c r="B31" s="5" t="n">
        <v>18068355</v>
      </c>
      <c r="C31" s="5" t="n">
        <v>11064063</v>
      </c>
      <c r="D31" s="5" t="n">
        <v>6366850</v>
      </c>
      <c r="E31" s="5" t="n">
        <v>3204409</v>
      </c>
      <c r="F31" s="5" t="n">
        <v>2772608</v>
      </c>
      <c r="G31" s="5" t="n">
        <v>1052971</v>
      </c>
      <c r="H31" s="5" t="n">
        <v>562825</v>
      </c>
      <c r="I31" s="5" t="n">
        <v>87456</v>
      </c>
      <c r="J31" s="5" t="n">
        <v>40015</v>
      </c>
    </row>
    <row r="33" ht="38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Interest income</t>
        </is>
      </c>
      <c r="B5" s="6" t="n">
        <v>625779</v>
      </c>
      <c r="C5" s="6" t="n">
        <v>425289</v>
      </c>
      <c r="D5" s="6" t="n">
        <v>243956</v>
      </c>
      <c r="E5" s="6" t="n">
        <v>43774</v>
      </c>
      <c r="F5" s="6" t="n"/>
      <c r="G5" s="6" t="n">
        <v>900</v>
      </c>
      <c r="H5" s="6" t="n">
        <v>1664</v>
      </c>
      <c r="I5" s="6" t="n">
        <v>178</v>
      </c>
      <c r="J5" s="6" t="n">
        <v>46</v>
      </c>
    </row>
    <row r="6">
      <c r="A6" s="6" t="inlineStr">
        <is>
          <t>Interest expense</t>
        </is>
      </c>
      <c r="B6" s="6" t="n">
        <v>-554816</v>
      </c>
      <c r="C6" s="6" t="n">
        <v>-358179</v>
      </c>
      <c r="D6" s="6" t="n">
        <v>-162042</v>
      </c>
      <c r="E6" s="6" t="n">
        <v>-9911</v>
      </c>
      <c r="F6" s="6" t="n"/>
      <c r="G6" s="6" t="n"/>
      <c r="H6" s="6" t="n">
        <v>-567</v>
      </c>
      <c r="I6" s="6" t="n"/>
      <c r="J6" s="6" t="n"/>
    </row>
    <row r="7">
      <c r="A7" s="5" t="inlineStr">
        <is>
          <t>Net interest income</t>
        </is>
      </c>
      <c r="B7" s="5" t="n">
        <v>70963</v>
      </c>
      <c r="C7" s="5" t="n">
        <v>67110</v>
      </c>
      <c r="D7" s="5" t="n">
        <v>81914</v>
      </c>
      <c r="E7" s="5" t="n">
        <v>33863</v>
      </c>
      <c r="F7" s="5" t="n">
        <v>1842</v>
      </c>
      <c r="G7" s="5" t="n">
        <v>900</v>
      </c>
      <c r="H7" s="5" t="n">
        <v>1097</v>
      </c>
      <c r="I7" s="5" t="n">
        <v>178</v>
      </c>
      <c r="J7" s="5" t="n">
        <v>46</v>
      </c>
    </row>
    <row r="8">
      <c r="A8" s="6" t="inlineStr">
        <is>
          <t>Fee income</t>
        </is>
      </c>
      <c r="B8" s="6" t="n">
        <v>66183</v>
      </c>
      <c r="C8" s="6" t="n">
        <v>47141</v>
      </c>
      <c r="D8" s="6" t="n">
        <v>31390</v>
      </c>
      <c r="E8" s="6" t="n">
        <v>25455</v>
      </c>
      <c r="F8" s="6" t="n"/>
      <c r="G8" s="6" t="n"/>
      <c r="H8" s="6" t="n"/>
      <c r="I8" s="6" t="n"/>
      <c r="J8" s="6" t="n"/>
    </row>
    <row r="9">
      <c r="A9" s="6" t="inlineStr">
        <is>
          <t>Fee expenses</t>
        </is>
      </c>
      <c r="B9" s="6" t="n">
        <v>-5268</v>
      </c>
      <c r="C9" s="6" t="n">
        <v>-2952</v>
      </c>
      <c r="D9" s="6" t="n">
        <v>-2620</v>
      </c>
      <c r="E9" s="6" t="n">
        <v>-1047</v>
      </c>
      <c r="F9" s="6" t="n"/>
      <c r="G9" s="6" t="n"/>
      <c r="H9" s="6" t="n"/>
      <c r="I9" s="6" t="n"/>
      <c r="J9" s="6" t="n"/>
    </row>
    <row r="10">
      <c r="A10" s="5" t="inlineStr">
        <is>
          <t>Net fee income</t>
        </is>
      </c>
      <c r="B10" s="5" t="n">
        <v>60915</v>
      </c>
      <c r="C10" s="5" t="n">
        <v>44189</v>
      </c>
      <c r="D10" s="5" t="n">
        <v>28770</v>
      </c>
      <c r="E10" s="5" t="n">
        <v>24408</v>
      </c>
      <c r="F10" s="5" t="n">
        <v>18614</v>
      </c>
      <c r="G10" s="5" t="n">
        <v>8785</v>
      </c>
      <c r="H10" s="5" t="n">
        <v>3441</v>
      </c>
      <c r="I10" s="5" t="n">
        <v>660</v>
      </c>
      <c r="J10" s="5" t="n">
        <v>3</v>
      </c>
    </row>
    <row r="11">
      <c r="A11" s="6" t="inlineStr">
        <is>
          <t>Other income</t>
        </is>
      </c>
      <c r="B11" s="6" t="n">
        <v>806</v>
      </c>
      <c r="C11" s="6" t="n">
        <v>787</v>
      </c>
      <c r="D11" s="6" t="n">
        <v>663</v>
      </c>
      <c r="E11" s="6" t="n">
        <v>13</v>
      </c>
      <c r="F11" s="6" t="n">
        <v>938</v>
      </c>
      <c r="G11" s="6" t="n">
        <v>933</v>
      </c>
      <c r="H11" s="6" t="n">
        <v>780</v>
      </c>
      <c r="I11" s="6" t="n"/>
      <c r="J11" s="6" t="n"/>
    </row>
    <row r="12">
      <c r="A12" s="5" t="inlineStr">
        <is>
          <t>Total income</t>
        </is>
      </c>
      <c r="B12" s="5" t="n">
        <v>132684</v>
      </c>
      <c r="C12" s="5" t="n">
        <v>112086</v>
      </c>
      <c r="D12" s="5" t="n">
        <v>111347</v>
      </c>
      <c r="E12" s="5" t="n">
        <v>58284</v>
      </c>
      <c r="F12" s="5" t="n">
        <v>21394</v>
      </c>
      <c r="G12" s="5" t="n">
        <v>10618</v>
      </c>
      <c r="H12" s="5" t="n">
        <v>5318</v>
      </c>
      <c r="I12" s="5" t="n">
        <v>838</v>
      </c>
      <c r="J12" s="5" t="n">
        <v>49</v>
      </c>
    </row>
    <row r="13">
      <c r="A13" s="5" t="inlineStr">
        <is>
          <t>Operating expenses</t>
        </is>
      </c>
      <c r="B13" s="6" t="n"/>
      <c r="C13" s="6" t="n"/>
      <c r="D13" s="6" t="n"/>
      <c r="E13" s="6" t="n"/>
      <c r="F13" s="6" t="n"/>
      <c r="G13" s="6" t="n"/>
      <c r="H13" s="6" t="n"/>
      <c r="I13" s="6" t="n"/>
      <c r="J13" s="6" t="n"/>
    </row>
    <row r="14">
      <c r="A14" s="6" t="inlineStr">
        <is>
          <t>Staff costs</t>
        </is>
      </c>
      <c r="B14" s="6" t="n">
        <v>-78740</v>
      </c>
      <c r="C14" s="6" t="n">
        <v>-67335</v>
      </c>
      <c r="D14" s="6" t="n">
        <v>-55318</v>
      </c>
      <c r="E14" s="6" t="n">
        <v>-40095</v>
      </c>
      <c r="F14" s="6" t="n">
        <v>-27719</v>
      </c>
      <c r="G14" s="6" t="n">
        <v>-20995</v>
      </c>
      <c r="H14" s="6" t="n">
        <v>-16573</v>
      </c>
      <c r="I14" s="6" t="n">
        <v>-14439</v>
      </c>
      <c r="J14" s="6" t="n">
        <v>-7377</v>
      </c>
    </row>
    <row r="15">
      <c r="A15" s="6" t="inlineStr">
        <is>
          <t>Depreciation</t>
        </is>
      </c>
      <c r="B15" s="6" t="n">
        <v>-2265</v>
      </c>
      <c r="C15" s="6" t="n">
        <v>-1693</v>
      </c>
      <c r="D15" s="6" t="n">
        <v>-2212</v>
      </c>
      <c r="E15" s="6" t="n">
        <v>-1334</v>
      </c>
      <c r="F15" s="6" t="n">
        <v>-2145</v>
      </c>
      <c r="G15" s="6" t="n">
        <v>-3432</v>
      </c>
      <c r="H15" s="6" t="n">
        <v>-2891</v>
      </c>
      <c r="I15" s="6" t="n">
        <v>-620</v>
      </c>
      <c r="J15" s="6" t="n">
        <v>-490</v>
      </c>
    </row>
    <row r="16">
      <c r="A16" s="6" t="inlineStr">
        <is>
          <t>Amortisation of intangibles</t>
        </is>
      </c>
      <c r="B16" s="6" t="n">
        <v>-15706</v>
      </c>
      <c r="C16" s="6" t="n">
        <v>-11643</v>
      </c>
      <c r="D16" s="6" t="n">
        <v>-8869</v>
      </c>
      <c r="E16" s="6" t="n">
        <v>-7824</v>
      </c>
      <c r="F16" s="6" t="n">
        <v>-5791</v>
      </c>
      <c r="G16" s="6" t="n">
        <v>-3750</v>
      </c>
      <c r="H16" s="6" t="n">
        <v>-2914</v>
      </c>
      <c r="I16" s="6" t="n">
        <v>-1745</v>
      </c>
      <c r="J16" s="6" t="n">
        <v>-334</v>
      </c>
    </row>
    <row r="17">
      <c r="A17" s="6" t="inlineStr">
        <is>
          <t>Impairment</t>
        </is>
      </c>
      <c r="B17" s="6" t="n">
        <v>-936</v>
      </c>
      <c r="C17" s="6" t="n">
        <v>-1584</v>
      </c>
      <c r="D17" s="6" t="n">
        <v>-268</v>
      </c>
      <c r="E17" s="6" t="n">
        <v>-675</v>
      </c>
      <c r="F17" s="6" t="n">
        <v>-337</v>
      </c>
      <c r="G17" s="6" t="n">
        <v>-549</v>
      </c>
      <c r="H17" s="6" t="n">
        <v>-1032</v>
      </c>
      <c r="I17" s="6" t="n"/>
      <c r="J17" s="6" t="n"/>
    </row>
    <row r="18">
      <c r="A18" s="6" t="inlineStr">
        <is>
          <t>Other operating expenses</t>
        </is>
      </c>
      <c r="B18" s="6" t="n">
        <v>-51287</v>
      </c>
      <c r="C18" s="6" t="n">
        <v>-39780</v>
      </c>
      <c r="D18" s="6" t="n">
        <v>-39116</v>
      </c>
      <c r="E18" s="6" t="n">
        <v>-27710</v>
      </c>
      <c r="F18" s="6" t="n">
        <v>-16447</v>
      </c>
      <c r="G18" s="6" t="n">
        <v>-12557</v>
      </c>
      <c r="H18" s="6" t="n">
        <v>-15682</v>
      </c>
      <c r="I18" s="6" t="n">
        <v>-13567</v>
      </c>
      <c r="J18" s="6" t="n">
        <v>-9396</v>
      </c>
    </row>
    <row r="19">
      <c r="A19" s="5" t="inlineStr">
        <is>
          <t>Operating expenses</t>
        </is>
      </c>
      <c r="B19" s="5" t="n">
        <v>-148934</v>
      </c>
      <c r="C19" s="5" t="n">
        <v>-122035</v>
      </c>
      <c r="D19" s="5" t="n">
        <v>-105783</v>
      </c>
      <c r="E19" s="5" t="n">
        <v>-77638</v>
      </c>
      <c r="F19" s="5" t="n">
        <v>-52439</v>
      </c>
      <c r="G19" s="5" t="n">
        <v>-41283</v>
      </c>
      <c r="H19" s="5" t="n">
        <v>-39092</v>
      </c>
      <c r="I19" s="5" t="n">
        <v>-30371</v>
      </c>
      <c r="J19" s="5" t="n">
        <v>-17597</v>
      </c>
    </row>
    <row r="20">
      <c r="A20" s="6" t="inlineStr">
        <is>
          <t>Expenses recharged</t>
        </is>
      </c>
      <c r="B20" s="6" t="n"/>
      <c r="C20" s="6" t="n"/>
      <c r="D20" s="6" t="n">
        <v>13054</v>
      </c>
      <c r="E20" s="6" t="n">
        <v>8587</v>
      </c>
      <c r="F20" s="6" t="n"/>
      <c r="G20" s="6" t="n"/>
      <c r="H20" s="6" t="n"/>
      <c r="I20" s="6" t="n"/>
      <c r="J20" s="6" t="n"/>
    </row>
    <row r="21">
      <c r="A21" s="5" t="inlineStr">
        <is>
          <t>Operating profit/(loss)</t>
        </is>
      </c>
      <c r="B21" s="5" t="n">
        <v>-16250</v>
      </c>
      <c r="C21" s="5" t="n">
        <v>-9949</v>
      </c>
      <c r="D21" s="5" t="n">
        <v>18618</v>
      </c>
      <c r="E21" s="5" t="n">
        <v>-10767</v>
      </c>
      <c r="F21" s="5" t="n">
        <v>-31045</v>
      </c>
      <c r="G21" s="5" t="n">
        <v>-30665</v>
      </c>
      <c r="H21" s="5" t="n">
        <v>-33774</v>
      </c>
      <c r="I21" s="5" t="n">
        <v>-29533</v>
      </c>
      <c r="J21" s="5" t="n">
        <v>-17548</v>
      </c>
    </row>
    <row r="22">
      <c r="A22" s="6" t="inlineStr">
        <is>
          <t>Other gains/(losses)</t>
        </is>
      </c>
      <c r="B22" s="6" t="n">
        <v>-354</v>
      </c>
      <c r="C22" s="6" t="n">
        <v>-165</v>
      </c>
      <c r="D22" s="6" t="n">
        <v>-111</v>
      </c>
      <c r="E22" s="6" t="n">
        <v>-181</v>
      </c>
      <c r="F22" s="6" t="n">
        <v>5</v>
      </c>
      <c r="G22" s="6" t="n">
        <v>3</v>
      </c>
      <c r="H22" s="6" t="n">
        <v>4</v>
      </c>
      <c r="I22" s="6" t="n">
        <v>6</v>
      </c>
      <c r="J22" s="6" t="n"/>
    </row>
    <row r="23">
      <c r="A23" s="6" t="inlineStr">
        <is>
          <t>Finance costs</t>
        </is>
      </c>
      <c r="B23" s="6" t="n">
        <v>-106</v>
      </c>
      <c r="C23" s="6" t="n">
        <v>-130</v>
      </c>
      <c r="D23" s="6" t="n">
        <v>-78</v>
      </c>
      <c r="E23" s="6" t="n">
        <v>-55</v>
      </c>
      <c r="F23" s="6" t="n">
        <v>-34</v>
      </c>
      <c r="G23" s="6" t="n">
        <v>-115</v>
      </c>
      <c r="H23" s="6" t="n">
        <v>-73</v>
      </c>
      <c r="I23" s="6" t="n"/>
      <c r="J23" s="6" t="n">
        <v>-3</v>
      </c>
    </row>
    <row r="24">
      <c r="A24" s="5" t="inlineStr">
        <is>
          <t>Profit/(loss) for the year before taxation</t>
        </is>
      </c>
      <c r="B24" s="5" t="n">
        <v>-16710</v>
      </c>
      <c r="C24" s="5" t="n">
        <v>-10244</v>
      </c>
      <c r="D24" s="5" t="n">
        <v>18429</v>
      </c>
      <c r="E24" s="5" t="n">
        <v>-11003</v>
      </c>
      <c r="F24" s="5" t="n">
        <v>-31074</v>
      </c>
      <c r="G24" s="5" t="n">
        <v>-30777</v>
      </c>
      <c r="H24" s="5" t="n">
        <v>-33843</v>
      </c>
      <c r="I24" s="5" t="n">
        <v>-29527</v>
      </c>
      <c r="J24" s="5" t="n">
        <v>-17551</v>
      </c>
    </row>
    <row r="25">
      <c r="A25" s="6" t="inlineStr">
        <is>
          <t>Taxation</t>
        </is>
      </c>
      <c r="B25" s="6" t="n">
        <v>945</v>
      </c>
      <c r="C25" s="6" t="n">
        <v>-74</v>
      </c>
      <c r="D25" s="6" t="n">
        <v>3967</v>
      </c>
      <c r="E25" s="6" t="n">
        <v>17821</v>
      </c>
      <c r="F25" s="6" t="n">
        <v>2874</v>
      </c>
      <c r="G25" s="6" t="n">
        <v>981</v>
      </c>
      <c r="H25" s="6" t="n">
        <v>-153</v>
      </c>
      <c r="I25" s="6" t="n">
        <v>4683</v>
      </c>
      <c r="J25" s="6" t="n">
        <v>3652</v>
      </c>
    </row>
    <row r="26">
      <c r="A26" s="5" t="inlineStr">
        <is>
          <t>Profit/(loss) for the year after taxation</t>
        </is>
      </c>
      <c r="B26" s="5" t="n">
        <v>-15765</v>
      </c>
      <c r="C26" s="5" t="n">
        <v>-10318</v>
      </c>
      <c r="D26" s="5" t="n">
        <v>22396</v>
      </c>
      <c r="E26" s="5" t="n">
        <v>6818</v>
      </c>
      <c r="F26" s="5" t="n">
        <v>-28200</v>
      </c>
      <c r="G26" s="5" t="n">
        <v>-29796</v>
      </c>
      <c r="H26" s="5" t="n">
        <v>-33996</v>
      </c>
      <c r="I26" s="5" t="n">
        <v>-24844</v>
      </c>
      <c r="J26" s="5" t="n">
        <v>-13899</v>
      </c>
    </row>
    <row r="27">
      <c r="A27" s="5" t="inlineStr">
        <is>
          <t>Other comprehensive income/(loss)</t>
        </is>
      </c>
      <c r="B27" s="6" t="n"/>
      <c r="C27" s="6" t="n"/>
      <c r="D27" s="6" t="n"/>
      <c r="E27" s="6" t="n"/>
      <c r="F27" s="6" t="n"/>
      <c r="G27" s="6" t="n"/>
      <c r="H27" s="6" t="n"/>
      <c r="I27" s="6" t="n"/>
      <c r="J27" s="6" t="n"/>
    </row>
    <row r="28">
      <c r="A28" s="6" t="inlineStr">
        <is>
          <t>Foreign currency translation differences</t>
        </is>
      </c>
      <c r="B28" s="6" t="n">
        <v>1788</v>
      </c>
      <c r="C28" s="6" t="n">
        <v>-767</v>
      </c>
      <c r="D28" s="6" t="n"/>
      <c r="E28" s="6" t="n">
        <v>1</v>
      </c>
      <c r="F28" s="6" t="n">
        <v>-1</v>
      </c>
      <c r="G28" s="6" t="n">
        <v>-107</v>
      </c>
      <c r="H28" s="6" t="n">
        <v>33</v>
      </c>
      <c r="I28" s="6" t="n"/>
      <c r="J28" s="6" t="n"/>
    </row>
    <row r="29">
      <c r="A29" s="5" t="inlineStr">
        <is>
          <t>Total comprehensive income/(loss) for the year</t>
        </is>
      </c>
      <c r="B29" s="5" t="n">
        <v>-13977</v>
      </c>
      <c r="C29" s="5" t="n">
        <v>-11085</v>
      </c>
      <c r="D29" s="5" t="n">
        <v>22396</v>
      </c>
      <c r="E29" s="5" t="n">
        <v>6819</v>
      </c>
      <c r="F29" s="5" t="n">
        <v>-28201</v>
      </c>
      <c r="G29" s="5" t="n">
        <v>-29903</v>
      </c>
      <c r="H29" s="5" t="n">
        <v>-33963</v>
      </c>
      <c r="I29" s="5" t="n">
        <v>-24844</v>
      </c>
      <c r="J29" s="5" t="n">
        <v>-13899</v>
      </c>
    </row>
    <row r="31" ht="38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2017</t>
        </is>
      </c>
      <c r="B4" s="5" t="n"/>
      <c r="C4" s="5" t="n">
        <v>25254</v>
      </c>
      <c r="D4" s="5" t="n"/>
      <c r="E4" s="5" t="n"/>
      <c r="F4" s="5" t="n"/>
      <c r="G4" s="5" t="n">
        <v>-5775</v>
      </c>
      <c r="H4" s="5" t="n"/>
      <c r="I4" s="5" t="n">
        <v>19479</v>
      </c>
    </row>
    <row r="5">
      <c r="A5" s="6" t="inlineStr">
        <is>
          <t>Loss for the year (FY2017)</t>
        </is>
      </c>
      <c r="B5" s="6" t="n"/>
      <c r="C5" s="6" t="n"/>
      <c r="D5" s="6" t="n"/>
      <c r="E5" s="6" t="n"/>
      <c r="F5" s="6" t="n"/>
      <c r="G5" s="6" t="n">
        <v>-13899</v>
      </c>
      <c r="H5" s="6" t="n"/>
      <c r="I5" s="6" t="n">
        <v>-13899</v>
      </c>
    </row>
    <row r="6">
      <c r="A6" s="6" t="inlineStr">
        <is>
          <t>Issue of share capital (FY2017)</t>
        </is>
      </c>
      <c r="B6" s="6" t="n"/>
      <c r="C6" s="6" t="n">
        <v>28204</v>
      </c>
      <c r="D6" s="6" t="n"/>
      <c r="E6" s="6" t="n"/>
      <c r="F6" s="6" t="n"/>
      <c r="G6" s="6" t="n"/>
      <c r="H6" s="6" t="n"/>
      <c r="I6" s="6" t="n">
        <v>28204</v>
      </c>
    </row>
    <row r="7">
      <c r="A7" s="6" t="inlineStr">
        <is>
          <t>Own shares acquired (FY2017)</t>
        </is>
      </c>
      <c r="B7" s="6" t="n"/>
      <c r="C7" s="6" t="n"/>
      <c r="D7" s="6" t="n">
        <v>-204</v>
      </c>
      <c r="E7" s="6" t="n"/>
      <c r="F7" s="6" t="n"/>
      <c r="G7" s="6" t="n"/>
      <c r="H7" s="6" t="n"/>
      <c r="I7" s="6" t="n">
        <v>-204</v>
      </c>
    </row>
    <row r="8">
      <c r="A8" s="6" t="inlineStr">
        <is>
          <t>Share-based payments (FY2017)</t>
        </is>
      </c>
      <c r="B8" s="6" t="n"/>
      <c r="C8" s="6" t="n"/>
      <c r="D8" s="6" t="n"/>
      <c r="E8" s="6" t="n">
        <v>467</v>
      </c>
      <c r="F8" s="6" t="n"/>
      <c r="G8" s="6" t="n"/>
      <c r="H8" s="6" t="n"/>
      <c r="I8" s="6" t="n">
        <v>467</v>
      </c>
    </row>
    <row r="9">
      <c r="A9" s="5" t="inlineStr">
        <is>
          <t>At 31 December 2017</t>
        </is>
      </c>
      <c r="B9" s="5" t="n"/>
      <c r="C9" s="5" t="n">
        <v>53458</v>
      </c>
      <c r="D9" s="5" t="n">
        <v>-204</v>
      </c>
      <c r="E9" s="5" t="n">
        <v>467</v>
      </c>
      <c r="F9" s="5" t="n"/>
      <c r="G9" s="5" t="n">
        <v>-19674</v>
      </c>
      <c r="H9" s="5" t="n"/>
      <c r="I9" s="5" t="n">
        <v>34047</v>
      </c>
    </row>
    <row r="10">
      <c r="A10" s="6" t="inlineStr">
        <is>
          <t>Loss for the year (FY2018)</t>
        </is>
      </c>
      <c r="B10" s="6" t="n"/>
      <c r="C10" s="6" t="n"/>
      <c r="D10" s="6" t="n"/>
      <c r="E10" s="6" t="n"/>
      <c r="F10" s="6" t="n"/>
      <c r="G10" s="6" t="n">
        <v>-24844</v>
      </c>
      <c r="H10" s="6" t="n"/>
      <c r="I10" s="6" t="n">
        <v>-24844</v>
      </c>
    </row>
    <row r="11">
      <c r="A11" s="6" t="inlineStr">
        <is>
          <t>Issue of share capital (FY2018)</t>
        </is>
      </c>
      <c r="B11" s="6" t="n"/>
      <c r="C11" s="6" t="n">
        <v>24871</v>
      </c>
      <c r="D11" s="6" t="n"/>
      <c r="E11" s="6" t="n"/>
      <c r="F11" s="6" t="n"/>
      <c r="G11" s="6" t="n"/>
      <c r="H11" s="6" t="n"/>
      <c r="I11" s="6" t="n">
        <v>24871</v>
      </c>
    </row>
    <row r="12">
      <c r="A12" s="6" t="inlineStr">
        <is>
          <t>Share-based payments (FY2018)</t>
        </is>
      </c>
      <c r="B12" s="6" t="n"/>
      <c r="C12" s="6" t="n"/>
      <c r="D12" s="6" t="n"/>
      <c r="E12" s="6" t="n">
        <v>2834</v>
      </c>
      <c r="F12" s="6" t="n"/>
      <c r="G12" s="6" t="n"/>
      <c r="H12" s="6" t="n"/>
      <c r="I12" s="6" t="n">
        <v>2834</v>
      </c>
    </row>
    <row r="13">
      <c r="A13" s="5" t="inlineStr">
        <is>
          <t>At 31 December 2018</t>
        </is>
      </c>
      <c r="B13" s="5" t="n"/>
      <c r="C13" s="5" t="n">
        <v>78329</v>
      </c>
      <c r="D13" s="5" t="n">
        <v>-204</v>
      </c>
      <c r="E13" s="5" t="n">
        <v>3301</v>
      </c>
      <c r="F13" s="5" t="n"/>
      <c r="G13" s="5" t="n">
        <v>-44518</v>
      </c>
      <c r="H13" s="5" t="n"/>
      <c r="I13" s="5" t="n">
        <v>36908</v>
      </c>
    </row>
    <row r="14">
      <c r="A14" s="6" t="inlineStr">
        <is>
          <t>Loss for the year (FY2019)</t>
        </is>
      </c>
      <c r="B14" s="6" t="n"/>
      <c r="C14" s="6" t="n"/>
      <c r="D14" s="6" t="n"/>
      <c r="E14" s="6" t="n"/>
      <c r="F14" s="6" t="n"/>
      <c r="G14" s="6" t="n">
        <v>-33996</v>
      </c>
      <c r="H14" s="6" t="n"/>
      <c r="I14" s="6" t="n">
        <v>-33996</v>
      </c>
    </row>
    <row r="15">
      <c r="A15" s="6" t="inlineStr">
        <is>
          <t>Other comprehensive income (FY2019)</t>
        </is>
      </c>
      <c r="B15" s="6" t="n"/>
      <c r="C15" s="6" t="n"/>
      <c r="D15" s="6" t="n"/>
      <c r="E15" s="6" t="n"/>
      <c r="F15" s="6" t="n"/>
      <c r="G15" s="6" t="n"/>
      <c r="H15" s="6" t="n">
        <v>33</v>
      </c>
      <c r="I15" s="6" t="n">
        <v>33</v>
      </c>
    </row>
    <row r="16">
      <c r="A16" s="6" t="inlineStr">
        <is>
          <t>Issue of share capital (FY2019)</t>
        </is>
      </c>
      <c r="B16" s="6" t="n"/>
      <c r="C16" s="6" t="n">
        <v>34875</v>
      </c>
      <c r="D16" s="6" t="n"/>
      <c r="E16" s="6" t="n"/>
      <c r="F16" s="6" t="n"/>
      <c r="G16" s="6" t="n"/>
      <c r="H16" s="6" t="n"/>
      <c r="I16" s="6" t="n">
        <v>34875</v>
      </c>
    </row>
    <row r="17">
      <c r="A17" s="6" t="inlineStr">
        <is>
          <t>Share-based payments (FY2019)</t>
        </is>
      </c>
      <c r="B17" s="6" t="n"/>
      <c r="C17" s="6" t="n"/>
      <c r="D17" s="6" t="n"/>
      <c r="E17" s="6" t="n">
        <v>2422</v>
      </c>
      <c r="F17" s="6" t="n"/>
      <c r="G17" s="6" t="n"/>
      <c r="H17" s="6" t="n"/>
      <c r="I17" s="6" t="n">
        <v>2422</v>
      </c>
    </row>
    <row r="18">
      <c r="A18" s="6" t="inlineStr">
        <is>
          <t>Other movements (FY2019, reserve transfer)</t>
        </is>
      </c>
      <c r="B18" s="6" t="n"/>
      <c r="C18" s="6" t="n"/>
      <c r="D18" s="6" t="n"/>
      <c r="E18" s="6" t="n"/>
      <c r="F18" s="6" t="n"/>
      <c r="G18" s="6" t="n">
        <v>42</v>
      </c>
      <c r="H18" s="6" t="n">
        <v>-42</v>
      </c>
      <c r="I18" s="6" t="n"/>
    </row>
    <row r="19">
      <c r="A19" s="5" t="inlineStr">
        <is>
          <t>At 31 December 2019</t>
        </is>
      </c>
      <c r="B19" s="5" t="n"/>
      <c r="C19" s="5" t="n">
        <v>113204</v>
      </c>
      <c r="D19" s="5" t="n">
        <v>-204</v>
      </c>
      <c r="E19" s="5" t="n">
        <v>5723</v>
      </c>
      <c r="F19" s="5" t="n"/>
      <c r="G19" s="5" t="n">
        <v>-78472</v>
      </c>
      <c r="H19" s="5" t="n">
        <v>-9</v>
      </c>
      <c r="I19" s="5" t="n">
        <v>40242</v>
      </c>
    </row>
    <row r="20">
      <c r="A20" s="6" t="inlineStr">
        <is>
          <t>Loss for the year (FY2020)</t>
        </is>
      </c>
      <c r="B20" s="6" t="n"/>
      <c r="C20" s="6" t="n"/>
      <c r="D20" s="6" t="n"/>
      <c r="E20" s="6" t="n"/>
      <c r="F20" s="6" t="n"/>
      <c r="G20" s="6" t="n">
        <v>-29796</v>
      </c>
      <c r="H20" s="6" t="n"/>
      <c r="I20" s="6" t="n">
        <v>-29796</v>
      </c>
    </row>
    <row r="21">
      <c r="A21" s="6" t="inlineStr">
        <is>
          <t>Other comprehensive loss (FY2020)</t>
        </is>
      </c>
      <c r="B21" s="6" t="n"/>
      <c r="C21" s="6" t="n"/>
      <c r="D21" s="6" t="n"/>
      <c r="E21" s="6" t="n"/>
      <c r="F21" s="6" t="n"/>
      <c r="G21" s="6" t="n"/>
      <c r="H21" s="6" t="n">
        <v>-107</v>
      </c>
      <c r="I21" s="6" t="n">
        <v>-107</v>
      </c>
    </row>
    <row r="22">
      <c r="A22" s="6" t="inlineStr">
        <is>
          <t>Issue of share capital (FY2020)</t>
        </is>
      </c>
      <c r="B22" s="6" t="n"/>
      <c r="C22" s="6" t="n">
        <v>44112</v>
      </c>
      <c r="D22" s="6" t="n"/>
      <c r="E22" s="6" t="n"/>
      <c r="F22" s="6" t="n"/>
      <c r="G22" s="6" t="n"/>
      <c r="H22" s="6" t="n"/>
      <c r="I22" s="6" t="n">
        <v>44112</v>
      </c>
    </row>
    <row r="23">
      <c r="A23" s="6" t="inlineStr">
        <is>
          <t>Share-based payments (FY2020)</t>
        </is>
      </c>
      <c r="B23" s="6" t="n"/>
      <c r="C23" s="6" t="n"/>
      <c r="D23" s="6" t="n"/>
      <c r="E23" s="6" t="n">
        <v>3796</v>
      </c>
      <c r="F23" s="6" t="n"/>
      <c r="G23" s="6" t="n"/>
      <c r="H23" s="6" t="n"/>
      <c r="I23" s="6" t="n">
        <v>3796</v>
      </c>
    </row>
    <row r="24">
      <c r="A24" s="5" t="inlineStr">
        <is>
          <t>At 31 December 2020 (= At 1 January 2021)</t>
        </is>
      </c>
      <c r="B24" s="5" t="n"/>
      <c r="C24" s="5" t="n">
        <v>157316</v>
      </c>
      <c r="D24" s="5" t="n">
        <v>-204</v>
      </c>
      <c r="E24" s="5" t="n">
        <v>9519</v>
      </c>
      <c r="F24" s="5" t="n"/>
      <c r="G24" s="5" t="n">
        <v>-108268</v>
      </c>
      <c r="H24" s="5" t="n">
        <v>-116</v>
      </c>
      <c r="I24" s="5" t="n">
        <v>58247</v>
      </c>
    </row>
    <row r="25">
      <c r="A25" s="6" t="inlineStr">
        <is>
          <t>Loss for the year (FY2021)</t>
        </is>
      </c>
      <c r="B25" s="6" t="n"/>
      <c r="C25" s="6" t="n"/>
      <c r="D25" s="6" t="n"/>
      <c r="E25" s="6" t="n"/>
      <c r="F25" s="6" t="n"/>
      <c r="G25" s="6" t="n">
        <v>-28200</v>
      </c>
      <c r="H25" s="6" t="n"/>
      <c r="I25" s="6" t="n">
        <v>-28200</v>
      </c>
    </row>
    <row r="26">
      <c r="A26" s="6" t="inlineStr">
        <is>
          <t>Other comprehensive loss (FY2021)</t>
        </is>
      </c>
      <c r="B26" s="6" t="n"/>
      <c r="C26" s="6" t="n"/>
      <c r="D26" s="6" t="n"/>
      <c r="E26" s="6" t="n"/>
      <c r="F26" s="6" t="n"/>
      <c r="G26" s="6" t="n"/>
      <c r="H26" s="6" t="n">
        <v>-1</v>
      </c>
      <c r="I26" s="6" t="n">
        <v>-1</v>
      </c>
    </row>
    <row r="27">
      <c r="A27" s="6" t="inlineStr">
        <is>
          <t>Issue of share capital (FY2021)</t>
        </is>
      </c>
      <c r="B27" s="6" t="n"/>
      <c r="C27" s="6" t="n">
        <v>34500</v>
      </c>
      <c r="D27" s="6" t="n"/>
      <c r="E27" s="6" t="n"/>
      <c r="F27" s="6" t="n"/>
      <c r="G27" s="6" t="n"/>
      <c r="H27" s="6" t="n"/>
      <c r="I27" s="6" t="n">
        <v>34500</v>
      </c>
    </row>
    <row r="28">
      <c r="A28" s="6" t="inlineStr">
        <is>
          <t>Share-based payments (FY2021)</t>
        </is>
      </c>
      <c r="B28" s="6" t="n"/>
      <c r="C28" s="6" t="n"/>
      <c r="D28" s="6" t="n"/>
      <c r="E28" s="6" t="n">
        <v>7671</v>
      </c>
      <c r="F28" s="6" t="n"/>
      <c r="G28" s="6" t="n"/>
      <c r="H28" s="6" t="n"/>
      <c r="I28" s="6" t="n">
        <v>7671</v>
      </c>
    </row>
    <row r="29">
      <c r="A29" s="5" t="inlineStr">
        <is>
          <t>At 31 December 2021</t>
        </is>
      </c>
      <c r="B29" s="5" t="n"/>
      <c r="C29" s="5" t="n">
        <v>191816</v>
      </c>
      <c r="D29" s="5" t="n">
        <v>-204</v>
      </c>
      <c r="E29" s="5" t="n">
        <v>17190</v>
      </c>
      <c r="F29" s="5" t="n"/>
      <c r="G29" s="5" t="n">
        <v>-136468</v>
      </c>
      <c r="H29" s="5" t="n">
        <v>-117</v>
      </c>
      <c r="I29" s="5" t="n">
        <v>72217</v>
      </c>
    </row>
    <row r="30">
      <c r="A30" s="6" t="inlineStr">
        <is>
          <t>Profit for the year (FY2022)</t>
        </is>
      </c>
      <c r="B30" s="6" t="n"/>
      <c r="C30" s="6" t="n"/>
      <c r="D30" s="6" t="n"/>
      <c r="E30" s="6" t="n"/>
      <c r="F30" s="6" t="n"/>
      <c r="G30" s="6" t="n">
        <v>6818</v>
      </c>
      <c r="H30" s="6" t="n"/>
      <c r="I30" s="6" t="n">
        <v>6818</v>
      </c>
    </row>
    <row r="31">
      <c r="A31" s="6" t="inlineStr">
        <is>
          <t>Other comprehensive income (FY2022)</t>
        </is>
      </c>
      <c r="B31" s="6" t="n"/>
      <c r="C31" s="6" t="n"/>
      <c r="D31" s="6" t="n"/>
      <c r="E31" s="6" t="n"/>
      <c r="F31" s="6" t="n"/>
      <c r="G31" s="6" t="n"/>
      <c r="H31" s="6" t="n">
        <v>1</v>
      </c>
      <c r="I31" s="6" t="n">
        <v>1</v>
      </c>
    </row>
    <row r="32">
      <c r="A32" s="6" t="inlineStr">
        <is>
          <t>Issue of share capital (FY2022)</t>
        </is>
      </c>
      <c r="B32" s="6" t="n"/>
      <c r="C32" s="6" t="n">
        <v>533</v>
      </c>
      <c r="D32" s="6" t="n"/>
      <c r="E32" s="6" t="n"/>
      <c r="F32" s="6" t="n"/>
      <c r="G32" s="6" t="n"/>
      <c r="H32" s="6" t="n"/>
      <c r="I32" s="6" t="n">
        <v>533</v>
      </c>
    </row>
    <row r="33">
      <c r="A33" s="6" t="inlineStr">
        <is>
          <t>Share-based payments (FY2022)</t>
        </is>
      </c>
      <c r="B33" s="6" t="n"/>
      <c r="C33" s="6" t="n"/>
      <c r="D33" s="6" t="n"/>
      <c r="E33" s="6" t="n">
        <v>7743</v>
      </c>
      <c r="F33" s="6" t="n"/>
      <c r="G33" s="6" t="n"/>
      <c r="H33" s="6" t="n"/>
      <c r="I33" s="6" t="n">
        <v>7743</v>
      </c>
    </row>
    <row r="34">
      <c r="A34" s="5" t="inlineStr">
        <is>
          <t>At 31 December 2022</t>
        </is>
      </c>
      <c r="B34" s="5" t="n"/>
      <c r="C34" s="5" t="n">
        <v>192349</v>
      </c>
      <c r="D34" s="5" t="n">
        <v>-204</v>
      </c>
      <c r="E34" s="5" t="n">
        <v>24933</v>
      </c>
      <c r="F34" s="5" t="n"/>
      <c r="G34" s="5" t="n">
        <v>-129650</v>
      </c>
      <c r="H34" s="5" t="n">
        <v>-116</v>
      </c>
      <c r="I34" s="5" t="n">
        <v>87312</v>
      </c>
    </row>
    <row r="35">
      <c r="A35" s="6" t="inlineStr">
        <is>
          <t>Note: FY2023's own report is Company-only - Treasury shares/Translation reserve columns are not disclosed that year (see Presentation Note); the FY2022 closing balance it re-presents (£87,312k Total) matches the Consolidated total above exactly.</t>
        </is>
      </c>
      <c r="B35" s="6" t="n"/>
      <c r="C35" s="6" t="n"/>
      <c r="D35" s="6" t="n"/>
      <c r="E35" s="6" t="n"/>
      <c r="F35" s="6" t="n"/>
      <c r="G35" s="6" t="n"/>
      <c r="H35" s="6" t="n"/>
      <c r="I35" s="6" t="n"/>
    </row>
    <row r="36">
      <c r="A36" s="6" t="inlineStr">
        <is>
          <t>Profit for the year (FY2023)</t>
        </is>
      </c>
      <c r="B36" s="6" t="n"/>
      <c r="C36" s="6" t="n"/>
      <c r="D36" s="6" t="n"/>
      <c r="E36" s="6" t="n"/>
      <c r="F36" s="6" t="n"/>
      <c r="G36" s="6" t="n">
        <v>22396</v>
      </c>
      <c r="H36" s="6" t="n"/>
      <c r="I36" s="6" t="n">
        <v>22396</v>
      </c>
    </row>
    <row r="37">
      <c r="A37" s="6" t="inlineStr">
        <is>
          <t>Issue of share capital (FY2023)</t>
        </is>
      </c>
      <c r="B37" s="6" t="n"/>
      <c r="C37" s="6" t="n">
        <v>11300</v>
      </c>
      <c r="D37" s="6" t="n"/>
      <c r="E37" s="6" t="n"/>
      <c r="F37" s="6" t="n"/>
      <c r="G37" s="6" t="n"/>
      <c r="H37" s="6" t="n"/>
      <c r="I37" s="6" t="n">
        <v>11300</v>
      </c>
    </row>
    <row r="38">
      <c r="A38" s="6" t="inlineStr">
        <is>
          <t>Share-based payments and reserve transfer (FY2023)</t>
        </is>
      </c>
      <c r="B38" s="6" t="n"/>
      <c r="C38" s="6" t="n"/>
      <c r="D38" s="6" t="n"/>
      <c r="E38" s="6" t="n">
        <v>-21408</v>
      </c>
      <c r="F38" s="6" t="n">
        <v>26805</v>
      </c>
      <c r="G38" s="6" t="n">
        <v>1332</v>
      </c>
      <c r="H38" s="6" t="n"/>
      <c r="I38" s="6" t="n">
        <v>6729</v>
      </c>
    </row>
    <row r="39">
      <c r="A39" s="6" t="inlineStr">
        <is>
          <t>Tax on share-based payments (FY2023)</t>
        </is>
      </c>
      <c r="B39" s="6" t="n"/>
      <c r="C39" s="6" t="n"/>
      <c r="D39" s="6" t="n"/>
      <c r="E39" s="6" t="n"/>
      <c r="F39" s="6" t="n"/>
      <c r="G39" s="6" t="n">
        <v>1789</v>
      </c>
      <c r="H39" s="6" t="n"/>
      <c r="I39" s="6" t="n">
        <v>1789</v>
      </c>
    </row>
    <row r="40">
      <c r="A40" s="5" t="inlineStr">
        <is>
          <t>At 31 December 2023</t>
        </is>
      </c>
      <c r="B40" s="5" t="n"/>
      <c r="C40" s="5" t="n">
        <v>203445</v>
      </c>
      <c r="D40" s="5" t="n"/>
      <c r="E40" s="5" t="n"/>
      <c r="F40" s="5" t="n">
        <v>26805</v>
      </c>
      <c r="G40" s="5" t="n">
        <v>-100724</v>
      </c>
      <c r="H40" s="5" t="n"/>
      <c r="I40" s="5" t="n">
        <v>129526</v>
      </c>
    </row>
    <row r="41">
      <c r="A4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41" s="6" t="n"/>
      <c r="C41" s="6" t="n"/>
      <c r="D41" s="6" t="n"/>
      <c r="E41" s="6" t="n"/>
      <c r="F41" s="6" t="n"/>
      <c r="G41" s="6" t="n"/>
      <c r="H41" s="6" t="n"/>
      <c r="I41" s="6" t="n"/>
    </row>
    <row r="42">
      <c r="A42" s="5" t="inlineStr">
        <is>
          <t>At 1 January 2024</t>
        </is>
      </c>
      <c r="B42" s="5" t="n">
        <v>2</v>
      </c>
      <c r="C42" s="5" t="n">
        <v>189403</v>
      </c>
      <c r="D42" s="5" t="n"/>
      <c r="E42" s="5" t="n"/>
      <c r="F42" s="5" t="n">
        <v>3511</v>
      </c>
      <c r="G42" s="5" t="n">
        <v>3598</v>
      </c>
      <c r="H42" s="5" t="n">
        <v>-17</v>
      </c>
      <c r="I42" s="5" t="n">
        <v>196497</v>
      </c>
    </row>
    <row r="43">
      <c r="A43" s="6" t="inlineStr">
        <is>
          <t>Loss for the year (FY2024)</t>
        </is>
      </c>
      <c r="B43" s="6" t="n"/>
      <c r="C43" s="6" t="n"/>
      <c r="D43" s="6" t="n"/>
      <c r="E43" s="6" t="n"/>
      <c r="F43" s="6" t="n"/>
      <c r="G43" s="6" t="n">
        <v>-10318</v>
      </c>
      <c r="H43" s="6" t="n"/>
      <c r="I43" s="6" t="n">
        <v>-10318</v>
      </c>
    </row>
    <row r="44">
      <c r="A44" s="6" t="inlineStr">
        <is>
          <t>Other comprehensive loss (FY2024)</t>
        </is>
      </c>
      <c r="B44" s="6" t="n"/>
      <c r="C44" s="6" t="n"/>
      <c r="D44" s="6" t="n"/>
      <c r="E44" s="6" t="n"/>
      <c r="F44" s="6" t="n"/>
      <c r="G44" s="6" t="n"/>
      <c r="H44" s="6" t="n">
        <v>-767</v>
      </c>
      <c r="I44" s="6" t="n">
        <v>-767</v>
      </c>
    </row>
    <row r="45">
      <c r="A45" s="6" t="inlineStr">
        <is>
          <t>Issue of share capital (FY2024)</t>
        </is>
      </c>
      <c r="B45" s="6" t="n"/>
      <c r="C45" s="6" t="n">
        <v>35000</v>
      </c>
      <c r="D45" s="6" t="n"/>
      <c r="E45" s="6" t="n"/>
      <c r="F45" s="6" t="n"/>
      <c r="G45" s="6" t="n"/>
      <c r="H45" s="6" t="n"/>
      <c r="I45" s="6" t="n">
        <v>35000</v>
      </c>
    </row>
    <row r="46">
      <c r="A46" s="6" t="inlineStr">
        <is>
          <t>Share-based payments (FY2024)</t>
        </is>
      </c>
      <c r="B46" s="6" t="n"/>
      <c r="C46" s="6" t="n"/>
      <c r="D46" s="6" t="n"/>
      <c r="E46" s="6" t="n"/>
      <c r="F46" s="6" t="n">
        <v>5677</v>
      </c>
      <c r="G46" s="6" t="n">
        <v>76</v>
      </c>
      <c r="H46" s="6" t="n"/>
      <c r="I46" s="6" t="n">
        <v>5753</v>
      </c>
    </row>
    <row r="47">
      <c r="A47" s="6" t="inlineStr">
        <is>
          <t>Tax on share-based payments (FY2024)</t>
        </is>
      </c>
      <c r="B47" s="6" t="n"/>
      <c r="C47" s="6" t="n"/>
      <c r="D47" s="6" t="n"/>
      <c r="E47" s="6" t="n"/>
      <c r="F47" s="6" t="n"/>
      <c r="G47" s="6" t="n">
        <v>-3874</v>
      </c>
      <c r="H47" s="6" t="n"/>
      <c r="I47" s="6" t="n">
        <v>-3874</v>
      </c>
    </row>
    <row r="48">
      <c r="A48" s="5" t="inlineStr">
        <is>
          <t>At 31 December 2024</t>
        </is>
      </c>
      <c r="B48" s="5" t="n">
        <v>2</v>
      </c>
      <c r="C48" s="5" t="n">
        <v>224403</v>
      </c>
      <c r="D48" s="5" t="n"/>
      <c r="E48" s="5" t="n"/>
      <c r="F48" s="5" t="n">
        <v>9188</v>
      </c>
      <c r="G48" s="5" t="n">
        <v>-10518</v>
      </c>
      <c r="H48" s="5" t="n">
        <v>-784</v>
      </c>
      <c r="I48" s="5" t="n">
        <v>222291</v>
      </c>
    </row>
    <row r="49">
      <c r="A49" s="6" t="inlineStr">
        <is>
          <t>Loss for the year (FY2025)</t>
        </is>
      </c>
      <c r="B49" s="6" t="n"/>
      <c r="C49" s="6" t="n"/>
      <c r="D49" s="6" t="n"/>
      <c r="E49" s="6" t="n"/>
      <c r="F49" s="6" t="n"/>
      <c r="G49" s="6" t="n">
        <v>-15765</v>
      </c>
      <c r="H49" s="6" t="n"/>
      <c r="I49" s="6" t="n">
        <v>-15765</v>
      </c>
    </row>
    <row r="50">
      <c r="A50" s="6" t="inlineStr">
        <is>
          <t>Other comprehensive income (FY2025)</t>
        </is>
      </c>
      <c r="B50" s="6" t="n"/>
      <c r="C50" s="6" t="n"/>
      <c r="D50" s="6" t="n"/>
      <c r="E50" s="6" t="n"/>
      <c r="F50" s="6" t="n"/>
      <c r="G50" s="6" t="n"/>
      <c r="H50" s="6" t="n">
        <v>1788</v>
      </c>
      <c r="I50" s="6" t="n">
        <v>1788</v>
      </c>
    </row>
    <row r="51">
      <c r="A51" s="6" t="inlineStr">
        <is>
          <t>Share-based payments (FY2025)</t>
        </is>
      </c>
      <c r="B51" s="6" t="n"/>
      <c r="C51" s="6" t="n"/>
      <c r="D51" s="6" t="n"/>
      <c r="E51" s="6" t="n"/>
      <c r="F51" s="6" t="n">
        <v>2754</v>
      </c>
      <c r="G51" s="6" t="n">
        <v>-1187</v>
      </c>
      <c r="H51" s="6" t="n"/>
      <c r="I51" s="6" t="n">
        <v>1567</v>
      </c>
    </row>
    <row r="52">
      <c r="A52" s="6" t="inlineStr">
        <is>
          <t>Tax on share-based payments (FY2025)</t>
        </is>
      </c>
      <c r="B52" s="6" t="n"/>
      <c r="C52" s="6" t="n"/>
      <c r="D52" s="6" t="n"/>
      <c r="E52" s="6" t="n"/>
      <c r="F52" s="6" t="n"/>
      <c r="G52" s="6" t="n">
        <v>2958</v>
      </c>
      <c r="H52" s="6" t="n"/>
      <c r="I52" s="6" t="n">
        <v>2958</v>
      </c>
    </row>
    <row r="53">
      <c r="A53" s="5" t="inlineStr">
        <is>
          <t>At 31 December 2025</t>
        </is>
      </c>
      <c r="B53" s="5" t="n">
        <v>2</v>
      </c>
      <c r="C53" s="5" t="n">
        <v>224403</v>
      </c>
      <c r="D53" s="5" t="n"/>
      <c r="E53" s="5" t="n"/>
      <c r="F53" s="5" t="n">
        <v>11942</v>
      </c>
      <c r="G53" s="5" t="n">
        <v>-24512</v>
      </c>
      <c r="H53" s="5" t="n">
        <v>1004</v>
      </c>
      <c r="I53" s="5" t="n">
        <v>212839</v>
      </c>
    </row>
    <row r="55" ht="380" customHeight="1">
      <c r="A5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55:I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Operating activities</t>
        </is>
      </c>
      <c r="B4" s="6" t="n"/>
      <c r="C4" s="6" t="n"/>
      <c r="D4" s="6" t="n"/>
      <c r="E4" s="6" t="n"/>
      <c r="F4" s="6" t="n"/>
      <c r="G4" s="6" t="n"/>
      <c r="H4" s="6" t="n"/>
      <c r="I4" s="6" t="n"/>
      <c r="J4" s="6" t="n"/>
    </row>
    <row r="5">
      <c r="A5" s="6" t="inlineStr">
        <is>
          <t>Profit/(loss) for the year after tax</t>
        </is>
      </c>
      <c r="B5" s="6" t="n">
        <v>-15765</v>
      </c>
      <c r="C5" s="6" t="n">
        <v>-10318</v>
      </c>
      <c r="D5" s="6" t="n">
        <v>22396</v>
      </c>
      <c r="E5" s="6" t="n">
        <v>6818</v>
      </c>
      <c r="F5" s="6" t="n">
        <v>-28200</v>
      </c>
      <c r="G5" s="6" t="n">
        <v>-29796</v>
      </c>
      <c r="H5" s="6" t="n">
        <v>-33996</v>
      </c>
      <c r="I5" s="6" t="n">
        <v>-24844</v>
      </c>
      <c r="J5" s="6" t="n">
        <v>-13899</v>
      </c>
    </row>
    <row r="6">
      <c r="A6" s="6" t="inlineStr">
        <is>
          <t>Depreciation of property, plant and equipment</t>
        </is>
      </c>
      <c r="B6" s="6" t="n">
        <v>63</v>
      </c>
      <c r="C6" s="6" t="n">
        <v>68</v>
      </c>
      <c r="D6" s="6" t="n">
        <v>510</v>
      </c>
      <c r="E6" s="6" t="n">
        <v>304</v>
      </c>
      <c r="F6" s="6" t="n">
        <v>475</v>
      </c>
      <c r="G6" s="6" t="n">
        <v>462</v>
      </c>
      <c r="H6" s="6" t="n">
        <v>651</v>
      </c>
      <c r="I6" s="6" t="n">
        <v>620</v>
      </c>
      <c r="J6" s="6" t="n">
        <v>490</v>
      </c>
    </row>
    <row r="7">
      <c r="A7" s="6" t="inlineStr">
        <is>
          <t>(Profit)/loss on disposals of property, plant and equipment</t>
        </is>
      </c>
      <c r="B7" s="6" t="n"/>
      <c r="C7" s="6" t="n"/>
      <c r="D7" s="6" t="n"/>
      <c r="E7" s="6" t="n">
        <v>-13</v>
      </c>
      <c r="F7" s="6" t="n">
        <v>15</v>
      </c>
      <c r="G7" s="6" t="n">
        <v>26</v>
      </c>
      <c r="H7" s="6" t="n">
        <v>79</v>
      </c>
      <c r="I7" s="6" t="n">
        <v>5</v>
      </c>
      <c r="J7" s="6" t="n"/>
    </row>
    <row r="8">
      <c r="A8" s="6" t="inlineStr">
        <is>
          <t>Impairment of property, plant and equipment</t>
        </is>
      </c>
      <c r="B8" s="6" t="n"/>
      <c r="C8" s="6" t="n"/>
      <c r="D8" s="6" t="n"/>
      <c r="E8" s="6" t="n"/>
      <c r="F8" s="6" t="n"/>
      <c r="G8" s="6" t="n">
        <v>9</v>
      </c>
      <c r="H8" s="6" t="n"/>
      <c r="I8" s="6" t="n"/>
      <c r="J8" s="6" t="n"/>
    </row>
    <row r="9">
      <c r="A9" s="6" t="inlineStr">
        <is>
          <t>Depreciation of right-of-use assets</t>
        </is>
      </c>
      <c r="B9" s="6" t="n">
        <v>2202</v>
      </c>
      <c r="C9" s="6" t="n">
        <v>1624</v>
      </c>
      <c r="D9" s="6" t="n">
        <v>1702</v>
      </c>
      <c r="E9" s="6" t="n">
        <v>1030</v>
      </c>
      <c r="F9" s="6" t="n">
        <v>1670</v>
      </c>
      <c r="G9" s="6" t="n">
        <v>2969</v>
      </c>
      <c r="H9" s="6" t="n">
        <v>2240</v>
      </c>
      <c r="I9" s="6" t="n"/>
      <c r="J9" s="6" t="n"/>
    </row>
    <row r="10">
      <c r="A10" s="6" t="inlineStr">
        <is>
          <t>Amortisation of intangible assets</t>
        </is>
      </c>
      <c r="B10" s="6" t="n">
        <v>15706</v>
      </c>
      <c r="C10" s="6" t="n">
        <v>11643</v>
      </c>
      <c r="D10" s="6" t="n">
        <v>8869</v>
      </c>
      <c r="E10" s="6" t="n">
        <v>7824</v>
      </c>
      <c r="F10" s="6" t="n">
        <v>5791</v>
      </c>
      <c r="G10" s="6" t="n">
        <v>3723</v>
      </c>
      <c r="H10" s="6" t="n">
        <v>2939</v>
      </c>
      <c r="I10" s="6" t="n">
        <v>1745</v>
      </c>
      <c r="J10" s="6" t="n">
        <v>334</v>
      </c>
    </row>
    <row r="11">
      <c r="A11" s="6" t="inlineStr">
        <is>
          <t>Impairment of intangible assets</t>
        </is>
      </c>
      <c r="B11" s="6" t="n">
        <v>936</v>
      </c>
      <c r="C11" s="6" t="n">
        <v>1584</v>
      </c>
      <c r="D11" s="6" t="n">
        <v>246</v>
      </c>
      <c r="E11" s="6" t="n">
        <v>676</v>
      </c>
      <c r="F11" s="6" t="n">
        <v>337</v>
      </c>
      <c r="G11" s="6" t="n">
        <v>549</v>
      </c>
      <c r="H11" s="6" t="n">
        <v>1032</v>
      </c>
      <c r="I11" s="6" t="n"/>
      <c r="J11" s="6" t="n"/>
    </row>
    <row r="12">
      <c r="A12" s="6" t="inlineStr">
        <is>
          <t>Share-based payment expense</t>
        </is>
      </c>
      <c r="B12" s="6" t="n">
        <v>1567</v>
      </c>
      <c r="C12" s="6" t="n">
        <v>5753</v>
      </c>
      <c r="D12" s="6" t="n">
        <v>6729</v>
      </c>
      <c r="E12" s="6" t="n">
        <v>7743</v>
      </c>
      <c r="F12" s="6" t="n">
        <v>7671</v>
      </c>
      <c r="G12" s="6" t="n">
        <v>3796</v>
      </c>
      <c r="H12" s="6" t="n">
        <v>2422</v>
      </c>
      <c r="I12" s="6" t="n">
        <v>2834</v>
      </c>
      <c r="J12" s="6" t="n">
        <v>467</v>
      </c>
    </row>
    <row r="13">
      <c r="A13" s="6" t="inlineStr">
        <is>
          <t>Recognition of right-of-use assets</t>
        </is>
      </c>
      <c r="B13" s="6" t="n"/>
      <c r="C13" s="6" t="n"/>
      <c r="D13" s="6" t="n"/>
      <c r="E13" s="6" t="n"/>
      <c r="F13" s="6" t="n">
        <v>34</v>
      </c>
      <c r="G13" s="6" t="n">
        <v>110</v>
      </c>
      <c r="H13" s="6" t="n">
        <v>-570</v>
      </c>
      <c r="I13" s="6" t="n"/>
      <c r="J13" s="6" t="n"/>
    </row>
    <row r="14">
      <c r="A14" s="6" t="inlineStr">
        <is>
          <t>Costs of share issue / raising finance (included in professional fees)</t>
        </is>
      </c>
      <c r="B14" s="6" t="n"/>
      <c r="C14" s="6" t="n"/>
      <c r="D14" s="6" t="n"/>
      <c r="E14" s="6" t="n"/>
      <c r="F14" s="6" t="n"/>
      <c r="G14" s="6" t="n"/>
      <c r="H14" s="6" t="n"/>
      <c r="I14" s="6" t="n"/>
      <c r="J14" s="6" t="n">
        <v>92</v>
      </c>
    </row>
    <row r="15">
      <c r="A15" s="6" t="inlineStr">
        <is>
          <t>Tax benefit/(charge)</t>
        </is>
      </c>
      <c r="B15" s="6" t="n">
        <v>-945</v>
      </c>
      <c r="C15" s="6" t="n">
        <v>74</v>
      </c>
      <c r="D15" s="6" t="n">
        <v>-3967</v>
      </c>
      <c r="E15" s="6" t="n">
        <v>-17794</v>
      </c>
      <c r="F15" s="6" t="n">
        <v>-2874</v>
      </c>
      <c r="G15" s="6" t="n">
        <v>-981</v>
      </c>
      <c r="H15" s="6" t="n">
        <v>153</v>
      </c>
      <c r="I15" s="6" t="n">
        <v>-4683</v>
      </c>
      <c r="J15" s="6" t="n">
        <v>-3652</v>
      </c>
    </row>
    <row r="16">
      <c r="A16" s="6" t="inlineStr">
        <is>
          <t>Finance costs</t>
        </is>
      </c>
      <c r="B16" s="6" t="n"/>
      <c r="C16" s="6" t="n"/>
      <c r="D16" s="6" t="n"/>
      <c r="E16" s="6" t="n">
        <v>34</v>
      </c>
      <c r="F16" s="6" t="n">
        <v>10</v>
      </c>
      <c r="G16" s="6" t="n">
        <v>108</v>
      </c>
      <c r="H16" s="6" t="n"/>
      <c r="I16" s="6" t="n"/>
      <c r="J16" s="6" t="n"/>
    </row>
    <row r="17">
      <c r="A17" s="6" t="inlineStr">
        <is>
          <t>Net interest income</t>
        </is>
      </c>
      <c r="B17" s="6" t="n">
        <v>-70963</v>
      </c>
      <c r="C17" s="6" t="n">
        <v>-67110</v>
      </c>
      <c r="D17" s="6" t="n">
        <v>-81914</v>
      </c>
      <c r="E17" s="6" t="n">
        <v>-33863</v>
      </c>
      <c r="F17" s="6" t="n">
        <v>-1842</v>
      </c>
      <c r="G17" s="6" t="n">
        <v>-900</v>
      </c>
      <c r="H17" s="6" t="n">
        <v>-1097</v>
      </c>
      <c r="I17" s="6" t="n"/>
      <c r="J17" s="6" t="n"/>
    </row>
    <row r="18">
      <c r="A18" s="6" t="inlineStr">
        <is>
          <t>Other income</t>
        </is>
      </c>
      <c r="B18" s="6" t="n">
        <v>-798</v>
      </c>
      <c r="C18" s="6" t="n">
        <v>-678</v>
      </c>
      <c r="D18" s="6" t="n">
        <v>-380</v>
      </c>
      <c r="E18" s="6" t="n"/>
      <c r="F18" s="6" t="n"/>
      <c r="G18" s="6" t="n"/>
      <c r="H18" s="6" t="n"/>
      <c r="I18" s="6" t="n"/>
      <c r="J18" s="6" t="n"/>
    </row>
    <row r="19">
      <c r="A19" s="6" t="inlineStr">
        <is>
          <t>Foreign currency differences (non-cash items)</t>
        </is>
      </c>
      <c r="B19" s="6" t="n">
        <v>30</v>
      </c>
      <c r="C19" s="6" t="n">
        <v>18</v>
      </c>
      <c r="D19" s="6" t="n">
        <v>43</v>
      </c>
      <c r="E19" s="6" t="n">
        <v>1</v>
      </c>
      <c r="F19" s="6" t="n">
        <v>-1</v>
      </c>
      <c r="G19" s="6" t="n">
        <v>-107</v>
      </c>
      <c r="H19" s="6" t="n">
        <v>33</v>
      </c>
      <c r="I19" s="6" t="n"/>
      <c r="J19" s="6" t="n"/>
    </row>
    <row r="20">
      <c r="A20" s="5" t="inlineStr">
        <is>
          <t>Operating cash flows before changes in working capital</t>
        </is>
      </c>
      <c r="B20" s="5" t="n">
        <v>-67967</v>
      </c>
      <c r="C20" s="5" t="n">
        <v>-57342</v>
      </c>
      <c r="D20" s="5" t="n">
        <v>-45766</v>
      </c>
      <c r="E20" s="5" t="n">
        <v>-27240</v>
      </c>
      <c r="F20" s="5" t="n">
        <v>-16914</v>
      </c>
      <c r="G20" s="5" t="n">
        <v>-20248</v>
      </c>
      <c r="H20" s="5" t="n">
        <v>-26114</v>
      </c>
      <c r="I20" s="5" t="n">
        <v>-24323</v>
      </c>
      <c r="J20" s="5" t="n">
        <v>-16168</v>
      </c>
    </row>
    <row r="21">
      <c r="A21" s="6" t="inlineStr">
        <is>
          <t>Increase/(decrease) in collateral</t>
        </is>
      </c>
      <c r="B21" s="6" t="n">
        <v>859</v>
      </c>
      <c r="C21" s="6" t="n">
        <v>-16</v>
      </c>
      <c r="D21" s="6" t="n">
        <v>-919</v>
      </c>
      <c r="E21" s="6" t="n">
        <v>-27</v>
      </c>
      <c r="F21" s="6" t="n">
        <v>-36</v>
      </c>
      <c r="G21" s="6" t="n">
        <v>-6</v>
      </c>
      <c r="H21" s="6" t="n"/>
      <c r="I21" s="6" t="n">
        <v>-49</v>
      </c>
      <c r="J21" s="6" t="n">
        <v>-315</v>
      </c>
    </row>
    <row r="22">
      <c r="A22" s="6" t="inlineStr">
        <is>
          <t>(Increase)/decrease in loans and advances to banks</t>
        </is>
      </c>
      <c r="B22" s="6" t="n"/>
      <c r="C22" s="6" t="n">
        <v>19525</v>
      </c>
      <c r="D22" s="6" t="n">
        <v>-10369</v>
      </c>
      <c r="E22" s="6" t="n">
        <v>-3194</v>
      </c>
      <c r="F22" s="6" t="n">
        <v>-5962</v>
      </c>
      <c r="G22" s="6" t="n"/>
      <c r="H22" s="6" t="n"/>
      <c r="I22" s="6" t="n"/>
      <c r="J22" s="6" t="n"/>
    </row>
    <row r="23">
      <c r="A23" s="6" t="inlineStr">
        <is>
          <t>Increase in receivables</t>
        </is>
      </c>
      <c r="B23" s="6" t="n">
        <v>-6288</v>
      </c>
      <c r="C23" s="6" t="n">
        <v>-1877</v>
      </c>
      <c r="D23" s="6" t="n">
        <v>-3547</v>
      </c>
      <c r="E23" s="6" t="n">
        <v>-1734</v>
      </c>
      <c r="F23" s="6" t="n">
        <v>-294</v>
      </c>
      <c r="G23" s="6" t="n">
        <v>-842</v>
      </c>
      <c r="H23" s="6" t="n">
        <v>-2565</v>
      </c>
      <c r="I23" s="6" t="n">
        <v>-311</v>
      </c>
      <c r="J23" s="6" t="n">
        <v>-689</v>
      </c>
    </row>
    <row r="24">
      <c r="A24" s="6" t="inlineStr">
        <is>
          <t>Increase/(decrease) in payables</t>
        </is>
      </c>
      <c r="B24" s="6" t="n">
        <v>6359</v>
      </c>
      <c r="C24" s="6" t="n">
        <v>46</v>
      </c>
      <c r="D24" s="6" t="n">
        <v>-26935</v>
      </c>
      <c r="E24" s="6" t="n">
        <v>99410</v>
      </c>
      <c r="F24" s="6" t="n">
        <v>3306</v>
      </c>
      <c r="G24" s="6" t="n">
        <v>-2143</v>
      </c>
      <c r="H24" s="6" t="n">
        <v>1942</v>
      </c>
      <c r="I24" s="6" t="n">
        <v>1620</v>
      </c>
      <c r="J24" s="6" t="n">
        <v>1920</v>
      </c>
    </row>
    <row r="25">
      <c r="A25" s="6" t="inlineStr">
        <is>
          <t>Increase/(decrease) in deferred income</t>
        </is>
      </c>
      <c r="B25" s="6" t="n">
        <v>113</v>
      </c>
      <c r="C25" s="6" t="n">
        <v>-6167</v>
      </c>
      <c r="D25" s="6" t="n">
        <v>-16298</v>
      </c>
      <c r="E25" s="6" t="n">
        <v>-24954</v>
      </c>
      <c r="F25" s="6" t="n">
        <v>-17307</v>
      </c>
      <c r="G25" s="6" t="n">
        <v>8045</v>
      </c>
      <c r="H25" s="6" t="n">
        <v>51512</v>
      </c>
      <c r="I25" s="6" t="n"/>
      <c r="J25" s="6" t="n"/>
    </row>
    <row r="26">
      <c r="A26" s="6" t="inlineStr">
        <is>
          <t>Increase in customer deposits/amounts due to customers</t>
        </is>
      </c>
      <c r="B26" s="6" t="n">
        <v>7006677</v>
      </c>
      <c r="C26" s="6" t="n">
        <v>4654971</v>
      </c>
      <c r="D26" s="6" t="n">
        <v>3152204</v>
      </c>
      <c r="E26" s="6" t="n">
        <v>335213</v>
      </c>
      <c r="F26" s="6" t="n">
        <v>1718866</v>
      </c>
      <c r="G26" s="6" t="n">
        <v>467909</v>
      </c>
      <c r="H26" s="6" t="n">
        <v>413836</v>
      </c>
      <c r="I26" s="6" t="n">
        <v>42544</v>
      </c>
      <c r="J26" s="6" t="n">
        <v>1601</v>
      </c>
    </row>
    <row r="27">
      <c r="A27" s="6" t="inlineStr">
        <is>
          <t>Foreign currency differences (working capital)</t>
        </is>
      </c>
      <c r="B27" s="6" t="n">
        <v>5979</v>
      </c>
      <c r="C27" s="6" t="n">
        <v>-3846</v>
      </c>
      <c r="D27" s="6" t="n"/>
      <c r="E27" s="6" t="n"/>
      <c r="F27" s="6" t="n"/>
      <c r="G27" s="6" t="n"/>
      <c r="H27" s="6" t="n"/>
      <c r="I27" s="6" t="n"/>
      <c r="J27" s="6" t="n"/>
    </row>
    <row r="28">
      <c r="A28" s="5" t="inlineStr">
        <is>
          <t>Cash generated by/from operations</t>
        </is>
      </c>
      <c r="B28" s="5" t="n">
        <v>6945732</v>
      </c>
      <c r="C28" s="5" t="n">
        <v>4605294</v>
      </c>
      <c r="D28" s="5" t="n">
        <v>3048370</v>
      </c>
      <c r="E28" s="5" t="n">
        <v>377474</v>
      </c>
      <c r="F28" s="5" t="n">
        <v>1681659</v>
      </c>
      <c r="G28" s="5" t="n">
        <v>452715</v>
      </c>
      <c r="H28" s="5" t="n">
        <v>438611</v>
      </c>
      <c r="I28" s="5" t="n"/>
      <c r="J28" s="5" t="n"/>
    </row>
    <row r="29">
      <c r="A29" s="6" t="inlineStr">
        <is>
          <t>Interest received</t>
        </is>
      </c>
      <c r="B29" s="6" t="n">
        <v>625779</v>
      </c>
      <c r="C29" s="6" t="n">
        <v>425289</v>
      </c>
      <c r="D29" s="6" t="n">
        <v>243957</v>
      </c>
      <c r="E29" s="6" t="n">
        <v>43774</v>
      </c>
      <c r="F29" s="6" t="n">
        <v>2056</v>
      </c>
      <c r="G29" s="6" t="n">
        <v>909</v>
      </c>
      <c r="H29" s="6" t="n">
        <v>1096</v>
      </c>
      <c r="I29" s="6" t="n"/>
      <c r="J29" s="6" t="n"/>
    </row>
    <row r="30">
      <c r="A30" s="6" t="inlineStr">
        <is>
          <t>Interest paid</t>
        </is>
      </c>
      <c r="B30" s="6" t="n">
        <v>-553258</v>
      </c>
      <c r="C30" s="6" t="n">
        <v>-341945</v>
      </c>
      <c r="D30" s="6" t="n">
        <v>-149139</v>
      </c>
      <c r="E30" s="6" t="n">
        <v>-7621</v>
      </c>
      <c r="F30" s="6" t="n"/>
      <c r="G30" s="6" t="n"/>
      <c r="H30" s="6" t="n"/>
      <c r="I30" s="6" t="n"/>
      <c r="J30" s="6" t="n"/>
    </row>
    <row r="31">
      <c r="A31" s="6" t="inlineStr">
        <is>
          <t>Tax (paid)/received</t>
        </is>
      </c>
      <c r="B31" s="6" t="n">
        <v>-1062</v>
      </c>
      <c r="C31" s="6" t="n">
        <v>2134</v>
      </c>
      <c r="D31" s="6" t="n">
        <v>-640</v>
      </c>
      <c r="E31" s="6" t="n"/>
      <c r="F31" s="6" t="n"/>
      <c r="G31" s="6" t="n"/>
      <c r="H31" s="6" t="n"/>
      <c r="I31" s="6" t="n"/>
      <c r="J31" s="6" t="n"/>
    </row>
    <row r="32">
      <c r="A32" s="5" t="inlineStr">
        <is>
          <t>Net cash generated from operating activities</t>
        </is>
      </c>
      <c r="B32" s="5" t="n">
        <v>7017191</v>
      </c>
      <c r="C32" s="5" t="n">
        <v>4690772</v>
      </c>
      <c r="D32" s="5" t="n">
        <v>3142548</v>
      </c>
      <c r="E32" s="5" t="n">
        <v>413627</v>
      </c>
      <c r="F32" s="5" t="n">
        <v>1683715</v>
      </c>
      <c r="G32" s="5" t="n">
        <v>453624</v>
      </c>
      <c r="H32" s="5" t="n">
        <v>439707</v>
      </c>
      <c r="I32" s="5" t="n">
        <v>19481</v>
      </c>
      <c r="J32" s="5" t="n">
        <v>-13651</v>
      </c>
    </row>
    <row r="33">
      <c r="A33" s="5" t="inlineStr">
        <is>
          <t>Investing activities</t>
        </is>
      </c>
      <c r="B33" s="6" t="n"/>
      <c r="C33" s="6" t="n"/>
      <c r="D33" s="6" t="n"/>
      <c r="E33" s="6" t="n"/>
      <c r="F33" s="6" t="n"/>
      <c r="G33" s="6" t="n"/>
      <c r="H33" s="6" t="n"/>
      <c r="I33" s="6" t="n"/>
      <c r="J33" s="6" t="n"/>
    </row>
    <row r="34">
      <c r="A34" s="6" t="inlineStr">
        <is>
          <t>Purchase of property, plant and equipment</t>
        </is>
      </c>
      <c r="B34" s="6" t="n">
        <v>-29</v>
      </c>
      <c r="C34" s="6" t="n">
        <v>-5</v>
      </c>
      <c r="D34" s="6" t="n">
        <v>-41</v>
      </c>
      <c r="E34" s="6" t="n">
        <v>-408</v>
      </c>
      <c r="F34" s="6" t="n">
        <v>-268</v>
      </c>
      <c r="G34" s="6" t="n">
        <v>-800</v>
      </c>
      <c r="H34" s="6" t="n">
        <v>-262</v>
      </c>
      <c r="I34" s="6" t="n">
        <v>-320</v>
      </c>
      <c r="J34" s="6" t="n">
        <v>-640</v>
      </c>
    </row>
    <row r="35">
      <c r="A35" s="6" t="inlineStr">
        <is>
          <t>Purchase of intangible assets</t>
        </is>
      </c>
      <c r="B35" s="6" t="n">
        <v>-15655</v>
      </c>
      <c r="C35" s="6" t="n">
        <v>-24091</v>
      </c>
      <c r="D35" s="6" t="n">
        <v>-21737</v>
      </c>
      <c r="E35" s="6" t="n">
        <v>-7736</v>
      </c>
      <c r="F35" s="6" t="n">
        <v>-8356</v>
      </c>
      <c r="G35" s="6" t="n">
        <v>-7648</v>
      </c>
      <c r="H35" s="6" t="n">
        <v>-8573</v>
      </c>
      <c r="I35" s="6" t="n">
        <v>-8567</v>
      </c>
      <c r="J35" s="6" t="n">
        <v>-5030</v>
      </c>
    </row>
    <row r="36">
      <c r="A36" s="5" t="inlineStr">
        <is>
          <t>Net cash used in investing activities</t>
        </is>
      </c>
      <c r="B36" s="5" t="n">
        <v>-15684</v>
      </c>
      <c r="C36" s="5" t="n">
        <v>-24096</v>
      </c>
      <c r="D36" s="5" t="n">
        <v>-21778</v>
      </c>
      <c r="E36" s="5" t="n">
        <v>-8144</v>
      </c>
      <c r="F36" s="5" t="n">
        <v>-8624</v>
      </c>
      <c r="G36" s="5" t="n">
        <v>-8448</v>
      </c>
      <c r="H36" s="5" t="n">
        <v>-8835</v>
      </c>
      <c r="I36" s="5" t="n">
        <v>-8887</v>
      </c>
      <c r="J36" s="5" t="n">
        <v>-5670</v>
      </c>
    </row>
    <row r="37">
      <c r="A37" s="5" t="inlineStr">
        <is>
          <t>Financing activities</t>
        </is>
      </c>
      <c r="B37" s="6" t="n"/>
      <c r="C37" s="6" t="n"/>
      <c r="D37" s="6" t="n"/>
      <c r="E37" s="6" t="n"/>
      <c r="F37" s="6" t="n"/>
      <c r="G37" s="6" t="n"/>
      <c r="H37" s="6" t="n"/>
      <c r="I37" s="6" t="n"/>
      <c r="J37" s="6" t="n"/>
    </row>
    <row r="38">
      <c r="A38" s="6" t="inlineStr">
        <is>
          <t>Proceeds from issue of Ordinary Shares</t>
        </is>
      </c>
      <c r="B38" s="6" t="n"/>
      <c r="C38" s="6" t="n">
        <v>35000</v>
      </c>
      <c r="D38" s="6" t="n">
        <v>11300</v>
      </c>
      <c r="E38" s="6" t="n">
        <v>533</v>
      </c>
      <c r="F38" s="6" t="n">
        <v>34500</v>
      </c>
      <c r="G38" s="6" t="n">
        <v>44112</v>
      </c>
      <c r="H38" s="6" t="n">
        <v>34875</v>
      </c>
      <c r="I38" s="6" t="n">
        <v>24871</v>
      </c>
      <c r="J38" s="6" t="n">
        <v>28000</v>
      </c>
    </row>
    <row r="39">
      <c r="A39" s="6" t="inlineStr">
        <is>
          <t>Direct costs paid for lease acquisition</t>
        </is>
      </c>
      <c r="B39" s="6" t="n">
        <v>-24</v>
      </c>
      <c r="C39" s="6" t="n"/>
      <c r="D39" s="6" t="n"/>
      <c r="E39" s="6" t="n"/>
      <c r="F39" s="6" t="n"/>
      <c r="G39" s="6" t="n"/>
      <c r="H39" s="6" t="n"/>
      <c r="I39" s="6" t="n"/>
      <c r="J39" s="6" t="n"/>
    </row>
    <row r="40">
      <c r="A40" s="6" t="inlineStr">
        <is>
          <t>Cost of raising finance</t>
        </is>
      </c>
      <c r="B40" s="6" t="n"/>
      <c r="C40" s="6" t="n"/>
      <c r="D40" s="6" t="n"/>
      <c r="E40" s="6" t="n"/>
      <c r="F40" s="6" t="n"/>
      <c r="G40" s="6" t="n"/>
      <c r="H40" s="6" t="n"/>
      <c r="I40" s="6" t="n"/>
      <c r="J40" s="6" t="n">
        <v>-92</v>
      </c>
    </row>
    <row r="41">
      <c r="A41" s="6" t="inlineStr">
        <is>
          <t>Principal paid on lease liabilities</t>
        </is>
      </c>
      <c r="B41" s="6" t="n">
        <v>-1579</v>
      </c>
      <c r="C41" s="6" t="n">
        <v>-1567</v>
      </c>
      <c r="D41" s="6" t="n">
        <v>-1763</v>
      </c>
      <c r="E41" s="6" t="n">
        <v>-917</v>
      </c>
      <c r="F41" s="6" t="n">
        <v>-1974</v>
      </c>
      <c r="G41" s="6" t="n">
        <v>-2650</v>
      </c>
      <c r="H41" s="6" t="n">
        <v>-1607</v>
      </c>
      <c r="I41" s="6" t="n"/>
      <c r="J41" s="6" t="n"/>
    </row>
    <row r="42">
      <c r="A42" s="6" t="inlineStr">
        <is>
          <t>Interest paid on lease liabilities</t>
        </is>
      </c>
      <c r="B42" s="6" t="n"/>
      <c r="C42" s="6" t="n"/>
      <c r="D42" s="6" t="n"/>
      <c r="E42" s="6" t="n"/>
      <c r="F42" s="6" t="n">
        <v>-34</v>
      </c>
      <c r="G42" s="6" t="n"/>
      <c r="H42" s="6" t="n">
        <v>-73</v>
      </c>
      <c r="I42" s="6" t="n"/>
      <c r="J42" s="6" t="n"/>
    </row>
    <row r="43">
      <c r="A43" s="5" t="inlineStr">
        <is>
          <t>Net cash generated from/(used in) financing activities</t>
        </is>
      </c>
      <c r="B43" s="5" t="n">
        <v>-1603</v>
      </c>
      <c r="C43" s="5" t="n">
        <v>33433</v>
      </c>
      <c r="D43" s="5" t="n">
        <v>9537</v>
      </c>
      <c r="E43" s="5" t="n">
        <v>-384</v>
      </c>
      <c r="F43" s="5" t="n">
        <v>32492</v>
      </c>
      <c r="G43" s="5" t="n">
        <v>41462</v>
      </c>
      <c r="H43" s="5" t="n">
        <v>33195</v>
      </c>
      <c r="I43" s="5" t="n">
        <v>24871</v>
      </c>
      <c r="J43" s="5" t="n">
        <v>27908</v>
      </c>
    </row>
    <row r="44">
      <c r="A44" s="5" t="inlineStr">
        <is>
          <t>Net increase in cash and cash equivalents</t>
        </is>
      </c>
      <c r="B44" s="5" t="n">
        <v>6999904</v>
      </c>
      <c r="C44" s="5" t="n">
        <v>4700109</v>
      </c>
      <c r="D44" s="5" t="n">
        <v>3130307</v>
      </c>
      <c r="E44" s="5" t="n">
        <v>405099</v>
      </c>
      <c r="F44" s="5" t="n">
        <v>1707583</v>
      </c>
      <c r="G44" s="5" t="n">
        <v>486638</v>
      </c>
      <c r="H44" s="5" t="n">
        <v>464067</v>
      </c>
      <c r="I44" s="5" t="n">
        <v>35465</v>
      </c>
      <c r="J44" s="5" t="n">
        <v>8587</v>
      </c>
    </row>
    <row r="45">
      <c r="A45" s="6" t="inlineStr">
        <is>
          <t>Cash and cash equivalents at the beginning of the year</t>
        </is>
      </c>
      <c r="B45" s="6" t="n">
        <v>10961293</v>
      </c>
      <c r="C45" s="6" t="n">
        <v>6258123</v>
      </c>
      <c r="D45" s="6" t="n">
        <v>3125862</v>
      </c>
      <c r="E45" s="6" t="n">
        <v>2720797</v>
      </c>
      <c r="F45" s="6" t="n">
        <v>1013224</v>
      </c>
      <c r="G45" s="6" t="n">
        <v>526594</v>
      </c>
      <c r="H45" s="6" t="n">
        <v>62527</v>
      </c>
      <c r="I45" s="6" t="n">
        <v>27062</v>
      </c>
      <c r="J45" s="6" t="n">
        <v>18475</v>
      </c>
    </row>
    <row r="46">
      <c r="A46" s="6" t="inlineStr">
        <is>
          <t>Effect of foreign exchange rate changes</t>
        </is>
      </c>
      <c r="B46" s="6" t="n">
        <v>-4221</v>
      </c>
      <c r="C46" s="6" t="n">
        <v>3061</v>
      </c>
      <c r="D46" s="6" t="n">
        <v>-43</v>
      </c>
      <c r="E46" s="6" t="n">
        <v>-34</v>
      </c>
      <c r="F46" s="6" t="n">
        <v>-10</v>
      </c>
      <c r="G46" s="6" t="n">
        <v>-8</v>
      </c>
      <c r="H46" s="6" t="n"/>
      <c r="I46" s="6" t="n"/>
      <c r="J46" s="6" t="n"/>
    </row>
    <row r="47">
      <c r="A47" s="5" t="inlineStr">
        <is>
          <t>Cash and cash equivalents at the end of the year</t>
        </is>
      </c>
      <c r="B47" s="5" t="n">
        <v>17956976</v>
      </c>
      <c r="C47" s="5" t="n">
        <v>10961293</v>
      </c>
      <c r="D47" s="5" t="n">
        <v>6256126</v>
      </c>
      <c r="E47" s="5" t="n">
        <v>3125862</v>
      </c>
      <c r="F47" s="5" t="n">
        <v>2720797</v>
      </c>
      <c r="G47" s="5" t="n">
        <v>1013224</v>
      </c>
      <c r="H47" s="5" t="n">
        <v>526594</v>
      </c>
      <c r="I47" s="5" t="n">
        <v>62527</v>
      </c>
      <c r="J47" s="5" t="n">
        <v>27062</v>
      </c>
    </row>
    <row r="49" ht="280" customHeight="1">
      <c r="A49"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FY2020: ClearBank Annual Report and Accounts 2020, p.70 - https://clear.bank/uploads/assets/ClearBank-Annual-Report-2020.pdf
FY2019: ClearBank Annual Report and Accounts 2019, p.71 - https://clear.bank/uploads/assets/ClearBank-Annual-Report-2019.pdf
FY2018: ClearBank Limited 2018 Annual Report, p.59 - https://clear.bank/uploads/assets/ClearBank-Annual-Report-2018.pdf
FY2017: ClearBank Limited 2017 Annual Report, p.52 (own-year figures; cross-checked against AR2018's own FY2017 comparative column, which matches exactly, so no restatement between vintages for this year) - https://clear.bank/uploads/assets/ClearBank-Annual-Report-2017.pdf
ClearBank Limited (FRN 754568, company 09736376), a UK clearing/embedded-banking infrastructure bank. Group basis throughout. Does NOT take the FRS 101/102 cash-flow-statement exemption - full Consolidated Statement of Cash Flows every year.
WHICH GROUP (corrected 2026-09-16, entity-basis sweep): 'Group' does NOT mean the same thing across this workbook, and the earlier wording here - 'the Group is essentially the Bank plus dormant/minor subsidiaries' - is only true up to FY2022. FY2017-FY2022: the Group is ClearBank Limited and its own subsidiaries, i.e. the workbook entity's own consolidation. FY2023 onward it is a DIFFERENT legal entity's consolidation: ClearBank Group Holdings Limited (company 14254435), which received formal PRA approval as a bank holding company in Q4 2023 and consolidates BOTH ClearBank Limited and ClearBank Europe N.V., a separately and fully regulated Netherlands bank that sits alongside (not inside) ClearBank Limited. Primary sources: ClearBank Pillar 3 Disclosure 2023, 'Scope of consolidation' - 'The Group comprises of ClearBank Group Holdings Limited, a regulated financial holding company, and its 100% owned and controlled subsidiaries, ClearBank Limited (the "UK Bank", a fully regulated UK bank) and ClearBank Europe N.V. ClearBank Limited is currently the only material subsidiary within the Group... Any reference to comparative metrics are for the required disclosures relating to the material subsidiary, ClearBank Limited only' (https://clear.bank/uploads/assets/ClearBank-Pillar-3-Disclosure-2023.pdf); and ClearBank Pillar 3 Disclosure 2025, same section, which repeats the three-entity composition with no materiality carve-out (https://clear.bank/uploads/assets/ClearBank-Pillar-3-2025.pdf). So FY2023's comparatives are Bank-only but its own-year figures are CBGH-consolidated, and FY2024/FY2025 are CBGH-consolidated outright. See the ENTITY-CHANGE NOTE on the Statement of Changes in Equity sheet for the same boundary on the statement sheets, which is already documented there.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
FY2020's own "Operating cash flows before changes in working capital" subtotal ((20,248)) does not equal the sum of its own component adjustment lines as disclosed (which sum to (20,032), a £216k difference) - a genuine, unexplained arithmetic inconsistency within ClearBank's own FY2020 Annual Report and Accounts, reproduced exactly as published rather than force-reconciled.</t>
        </is>
      </c>
    </row>
  </sheetData>
  <mergeCells count="1">
    <mergeCell ref="A49:J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 book</t>
        </is>
      </c>
      <c r="B4" s="6" t="n"/>
      <c r="C4" s="6" t="n"/>
      <c r="D4" s="6" t="n"/>
      <c r="E4" s="6" t="n"/>
      <c r="F4" s="6" t="n"/>
      <c r="G4" s="6" t="n"/>
      <c r="H4" s="6" t="n"/>
      <c r="I4" s="6" t="n"/>
      <c r="J4" s="6" t="n"/>
    </row>
    <row r="5">
      <c r="A5" s="6" t="inlineStr">
        <is>
          <t>Customer loans and advances</t>
        </is>
      </c>
      <c r="B5" s="6" t="n">
        <v>0</v>
      </c>
      <c r="C5" s="6" t="n">
        <v>0</v>
      </c>
      <c r="D5" s="6" t="n">
        <v>0</v>
      </c>
      <c r="E5" s="6" t="n">
        <v>0</v>
      </c>
      <c r="F5" s="6" t="n">
        <v>0</v>
      </c>
      <c r="G5" s="6" t="n">
        <v>0</v>
      </c>
      <c r="H5" s="6" t="n">
        <v>0</v>
      </c>
      <c r="I5" s="6" t="n">
        <v>0</v>
      </c>
      <c r="J5" s="6" t="n">
        <v>0</v>
      </c>
    </row>
    <row r="6">
      <c r="A6" s="6" t="inlineStr">
        <is>
          <t>Loss allowance on customer loans</t>
        </is>
      </c>
      <c r="B6" s="6" t="n">
        <v>0</v>
      </c>
      <c r="C6" s="6" t="n">
        <v>0</v>
      </c>
      <c r="D6" s="6" t="n">
        <v>0</v>
      </c>
      <c r="E6" s="6" t="n">
        <v>0</v>
      </c>
      <c r="F6" s="6" t="n">
        <v>0</v>
      </c>
      <c r="G6" s="6" t="n">
        <v>0</v>
      </c>
      <c r="H6" s="6" t="n">
        <v>0</v>
      </c>
      <c r="I6" s="6" t="n">
        <v>0</v>
      </c>
      <c r="J6" s="6" t="n">
        <v>0</v>
      </c>
    </row>
    <row r="7">
      <c r="A7" s="5" t="inlineStr">
        <is>
          <t>Interbank treasury placements ('Loans and advances to banks')</t>
        </is>
      </c>
      <c r="B7" s="6" t="n"/>
      <c r="C7" s="6" t="n"/>
      <c r="D7" s="6" t="n"/>
      <c r="E7" s="6" t="n"/>
      <c r="F7" s="6" t="n"/>
      <c r="G7" s="6" t="n"/>
      <c r="H7" s="6" t="n"/>
      <c r="I7" s="6" t="n"/>
      <c r="J7" s="6" t="n"/>
    </row>
    <row r="8">
      <c r="A8" s="6" t="inlineStr">
        <is>
          <t>Carrying amount</t>
        </is>
      </c>
      <c r="B8" s="6" t="n"/>
      <c r="C8" s="6" t="n"/>
      <c r="D8" s="6" t="n">
        <v>19525</v>
      </c>
      <c r="E8" s="6" t="n">
        <v>9156</v>
      </c>
      <c r="F8" s="6" t="n">
        <v>5962</v>
      </c>
      <c r="G8" s="6" t="n"/>
      <c r="H8" s="6" t="n"/>
      <c r="I8" s="6" t="n"/>
      <c r="J8" s="6" t="n"/>
    </row>
    <row r="9">
      <c r="A9" s="6" t="inlineStr">
        <is>
          <t>Loss allowance recognised</t>
        </is>
      </c>
      <c r="B9" s="6" t="n"/>
      <c r="C9" s="6" t="n"/>
      <c r="D9" s="6" t="n">
        <v>0</v>
      </c>
      <c r="E9" s="6" t="n">
        <v>0</v>
      </c>
      <c r="F9" s="6" t="n">
        <v>0</v>
      </c>
      <c r="G9" s="6" t="n"/>
      <c r="H9" s="6" t="n"/>
      <c r="I9" s="6" t="n"/>
      <c r="J9" s="6" t="n"/>
    </row>
    <row r="11" ht="280" customHeight="1">
      <c r="A11" s="8" t="inlineStr">
        <is>
          <t>Sources - ClearBank's own "Credit risk" and "Impairment of financial assets" notes (Note 21/2.6), read in full for all 9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FY2020: ClearBank Annual Report and Accounts 2020, credit risk section - https://clear.bank/uploads/assets/ClearBank-Annual-Report-2020.pdf
FY2019: ClearBank Annual Report and Accounts 2019, credit risk section - https://clear.bank/uploads/assets/ClearBank-Annual-Report-2019.pdf
FY2018: ClearBank Limited 2018 Annual Report, credit risk section - https://clear.bank/uploads/assets/ClearBank-Annual-Report-2018.pdf
FY2017: ClearBank Limited 2017 Annual Report, p.19 ("Currently, the bank has not started lending to customers and hence has no direct credit exposure") - https://clear.bank/uploads/assets/ClearBank-Annual-Report-2017.pdf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9 years reviewed (FY2017-FY2019: "the bank has not started lending to customers and hence has no direct credit exposure").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KM1 Key Metrics</t>
        </is>
      </c>
    </row>
    <row r="2">
      <c r="A2" s="2" t="inlineStr">
        <is>
          <t>ClearBank's own published key-metrics table, reproduced in its row order, labels and printed precision. ClearBank prints the UK KM1 template unnumbered, headed simply 'Key metrics', and abridged to the rows it reports against. Amounts in £m, ratios as printed. FY2021/FY2022 are ClearBank Limited's consolidation; FY2023-FY2025 are ClearBank Group Holdings Limited's. FY2020 and earlier are blank - those editions use a different disclosure format entirely, not an earlier KM1.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Available own funds (£m)</t>
        </is>
      </c>
      <c r="B4" s="6" t="n"/>
      <c r="C4" s="6" t="n"/>
      <c r="D4" s="6" t="n"/>
      <c r="E4" s="6" t="n"/>
      <c r="F4" s="6" t="n"/>
      <c r="G4" s="6" t="n"/>
      <c r="H4" s="6" t="n"/>
      <c r="I4" s="6" t="n"/>
      <c r="J4" s="6" t="n"/>
    </row>
    <row r="5">
      <c r="A5" s="6" t="inlineStr">
        <is>
          <t>Common Equity Tier 1 ('CET 1') capital (£m)</t>
        </is>
      </c>
      <c r="B5" s="6" t="n">
        <v>132</v>
      </c>
      <c r="C5" s="6" t="n">
        <v>141</v>
      </c>
      <c r="D5" s="6" t="n">
        <v>126</v>
      </c>
      <c r="E5" s="6" t="n">
        <v>33</v>
      </c>
      <c r="F5" s="6" t="n">
        <v>37</v>
      </c>
      <c r="G5" s="6" t="n"/>
      <c r="H5" s="6" t="n"/>
      <c r="I5" s="6" t="n"/>
      <c r="J5" s="6" t="n"/>
    </row>
    <row r="6">
      <c r="A6" s="6" t="inlineStr">
        <is>
          <t>Tier 1 capital (£m)</t>
        </is>
      </c>
      <c r="B6" s="6" t="n">
        <v>132</v>
      </c>
      <c r="C6" s="6" t="n">
        <v>141</v>
      </c>
      <c r="D6" s="6" t="n">
        <v>126</v>
      </c>
      <c r="E6" s="6" t="n">
        <v>33</v>
      </c>
      <c r="F6" s="6" t="n">
        <v>37</v>
      </c>
      <c r="G6" s="6" t="n"/>
      <c r="H6" s="6" t="n"/>
      <c r="I6" s="6" t="n"/>
      <c r="J6" s="6" t="n"/>
    </row>
    <row r="7">
      <c r="A7" s="6" t="inlineStr">
        <is>
          <t>Total capital (£m)</t>
        </is>
      </c>
      <c r="B7" s="6" t="n">
        <v>132</v>
      </c>
      <c r="C7" s="6" t="n">
        <v>141</v>
      </c>
      <c r="D7" s="6" t="n">
        <v>126</v>
      </c>
      <c r="E7" s="6" t="n">
        <v>33</v>
      </c>
      <c r="F7" s="6" t="n">
        <v>37</v>
      </c>
      <c r="G7" s="6" t="n"/>
      <c r="H7" s="6" t="n"/>
      <c r="I7" s="6" t="n"/>
      <c r="J7" s="6" t="n"/>
    </row>
    <row r="8">
      <c r="A8" s="5" t="inlineStr">
        <is>
          <t>Risk-weighted assets ('RWA') (£m)</t>
        </is>
      </c>
      <c r="B8" s="6" t="n"/>
      <c r="C8" s="6" t="n"/>
      <c r="D8" s="6" t="n"/>
      <c r="E8" s="6" t="n"/>
      <c r="F8" s="6" t="n"/>
      <c r="G8" s="6" t="n"/>
      <c r="H8" s="6" t="n"/>
      <c r="I8" s="6" t="n"/>
      <c r="J8" s="6" t="n"/>
    </row>
    <row r="9">
      <c r="A9" s="6" t="inlineStr">
        <is>
          <t>Total risk-weighted exposure amount (£m)</t>
        </is>
      </c>
      <c r="B9" s="6" t="n">
        <v>266</v>
      </c>
      <c r="C9" s="6" t="n">
        <v>211</v>
      </c>
      <c r="D9" s="6" t="n">
        <v>163</v>
      </c>
      <c r="E9" s="6" t="n">
        <v>38</v>
      </c>
      <c r="F9" s="6" t="n">
        <v>26</v>
      </c>
      <c r="G9" s="6" t="n"/>
      <c r="H9" s="6" t="n"/>
      <c r="I9" s="6" t="n"/>
      <c r="J9" s="6" t="n"/>
    </row>
    <row r="10">
      <c r="A10" s="5" t="inlineStr">
        <is>
          <t>Capital ratios (% of RWA)</t>
        </is>
      </c>
      <c r="B10" s="6" t="n"/>
      <c r="C10" s="6" t="n"/>
      <c r="D10" s="6" t="n"/>
      <c r="E10" s="6" t="n"/>
      <c r="F10" s="6" t="n"/>
      <c r="G10" s="6" t="n"/>
      <c r="H10" s="6" t="n"/>
      <c r="I10" s="6" t="n"/>
      <c r="J10" s="6" t="n"/>
    </row>
    <row r="11">
      <c r="A11" s="6" t="inlineStr">
        <is>
          <t>Common Equity Tier 1 ratio (%)</t>
        </is>
      </c>
      <c r="B11" s="6" t="inlineStr">
        <is>
          <t>49.75%</t>
        </is>
      </c>
      <c r="C11" s="6" t="inlineStr">
        <is>
          <t>67.02%</t>
        </is>
      </c>
      <c r="D11" s="6" t="inlineStr">
        <is>
          <t>77.45%</t>
        </is>
      </c>
      <c r="E11" s="6" t="inlineStr">
        <is>
          <t>87.66%</t>
        </is>
      </c>
      <c r="F11" s="6" t="inlineStr">
        <is>
          <t>139.70%</t>
        </is>
      </c>
      <c r="G11" s="6" t="n"/>
      <c r="H11" s="6" t="n"/>
      <c r="I11" s="6" t="n"/>
      <c r="J11" s="6" t="n"/>
    </row>
    <row r="12">
      <c r="A12" s="6" t="inlineStr">
        <is>
          <t>Tier 1 ratio (%)</t>
        </is>
      </c>
      <c r="B12" s="6" t="inlineStr">
        <is>
          <t>49.75%</t>
        </is>
      </c>
      <c r="C12" s="6" t="inlineStr">
        <is>
          <t>67.02%</t>
        </is>
      </c>
      <c r="D12" s="6" t="inlineStr">
        <is>
          <t>77.45%</t>
        </is>
      </c>
      <c r="E12" s="6" t="inlineStr">
        <is>
          <t>87.66%</t>
        </is>
      </c>
      <c r="F12" s="6" t="inlineStr">
        <is>
          <t>139.70%</t>
        </is>
      </c>
      <c r="G12" s="6" t="n"/>
      <c r="H12" s="6" t="n"/>
      <c r="I12" s="6" t="n"/>
      <c r="J12" s="6" t="n"/>
    </row>
    <row r="13">
      <c r="A13" s="6" t="inlineStr">
        <is>
          <t>Total Capital ratio (%)</t>
        </is>
      </c>
      <c r="B13" s="6" t="inlineStr">
        <is>
          <t>49.75%</t>
        </is>
      </c>
      <c r="C13" s="6" t="inlineStr">
        <is>
          <t>67.02%</t>
        </is>
      </c>
      <c r="D13" s="6" t="inlineStr">
        <is>
          <t>77.45%</t>
        </is>
      </c>
      <c r="E13" s="6" t="inlineStr">
        <is>
          <t>87.66%</t>
        </is>
      </c>
      <c r="F13" s="6" t="inlineStr">
        <is>
          <t>139.70%</t>
        </is>
      </c>
      <c r="G13" s="6" t="n"/>
      <c r="H13" s="6" t="n"/>
      <c r="I13" s="6" t="n"/>
      <c r="J13" s="6" t="n"/>
    </row>
    <row r="14">
      <c r="A14" s="5" t="inlineStr">
        <is>
          <t>Additional own funds requirements based on SREP (% of RWA)</t>
        </is>
      </c>
      <c r="B14" s="6" t="n"/>
      <c r="C14" s="6" t="n"/>
      <c r="D14" s="6" t="n"/>
      <c r="E14" s="6" t="n"/>
      <c r="F14" s="6" t="n"/>
      <c r="G14" s="6" t="n"/>
      <c r="H14" s="6" t="n"/>
      <c r="I14" s="6" t="n"/>
      <c r="J14" s="6" t="n"/>
    </row>
    <row r="15">
      <c r="A15" s="6" t="inlineStr">
        <is>
          <t>Additional CET1 SREP requirements (%)</t>
        </is>
      </c>
      <c r="B15" s="6" t="inlineStr">
        <is>
          <t>7.38%</t>
        </is>
      </c>
      <c r="C15" s="6" t="inlineStr">
        <is>
          <t>9.89%</t>
        </is>
      </c>
      <c r="D15" s="6" t="inlineStr">
        <is>
          <t>0.00%</t>
        </is>
      </c>
      <c r="E15" s="6" t="inlineStr">
        <is>
          <t>0.00%</t>
        </is>
      </c>
      <c r="F15" s="6" t="inlineStr">
        <is>
          <t>0.00%</t>
        </is>
      </c>
      <c r="G15" s="6" t="n"/>
      <c r="H15" s="6" t="n"/>
      <c r="I15" s="6" t="n"/>
      <c r="J15" s="6" t="n"/>
    </row>
    <row r="16">
      <c r="A16" s="6" t="inlineStr">
        <is>
          <t>Total SREP own funds requirements (%)</t>
        </is>
      </c>
      <c r="B16" s="6" t="inlineStr">
        <is>
          <t>13.12%</t>
        </is>
      </c>
      <c r="C16" s="6" t="inlineStr">
        <is>
          <t>17.58%</t>
        </is>
      </c>
      <c r="D16" s="6" t="inlineStr">
        <is>
          <t>0.00%</t>
        </is>
      </c>
      <c r="E16" s="6" t="inlineStr">
        <is>
          <t>0.00%</t>
        </is>
      </c>
      <c r="F16" s="6" t="inlineStr">
        <is>
          <t>0.00%</t>
        </is>
      </c>
      <c r="G16" s="6" t="n"/>
      <c r="H16" s="6" t="n"/>
      <c r="I16" s="6" t="n"/>
      <c r="J16" s="6" t="n"/>
    </row>
    <row r="17">
      <c r="A17" s="5" t="inlineStr">
        <is>
          <t>Combined buffer requirements (% of RWA)</t>
        </is>
      </c>
      <c r="B17" s="6" t="n"/>
      <c r="C17" s="6" t="n"/>
      <c r="D17" s="6" t="n"/>
      <c r="E17" s="6" t="n"/>
      <c r="F17" s="6" t="n"/>
      <c r="G17" s="6" t="n"/>
      <c r="H17" s="6" t="n"/>
      <c r="I17" s="6" t="n"/>
      <c r="J17" s="6" t="n"/>
    </row>
    <row r="18">
      <c r="A18" s="6" t="inlineStr">
        <is>
          <t>Capital conservation buffer (%)</t>
        </is>
      </c>
      <c r="B18" s="6" t="inlineStr">
        <is>
          <t>2.50%</t>
        </is>
      </c>
      <c r="C18" s="6" t="inlineStr">
        <is>
          <t>2.50%</t>
        </is>
      </c>
      <c r="D18" s="6" t="inlineStr">
        <is>
          <t>2.50%</t>
        </is>
      </c>
      <c r="E18" s="6" t="inlineStr">
        <is>
          <t>0.00%</t>
        </is>
      </c>
      <c r="F18" s="6" t="inlineStr">
        <is>
          <t>0.00%</t>
        </is>
      </c>
      <c r="G18" s="6" t="n"/>
      <c r="H18" s="6" t="n"/>
      <c r="I18" s="6" t="n"/>
      <c r="J18" s="6" t="n"/>
    </row>
    <row r="19">
      <c r="A19" s="6" t="inlineStr">
        <is>
          <t>Institution specific countercyclical capital buffer (%)</t>
        </is>
      </c>
      <c r="B19" s="6" t="inlineStr">
        <is>
          <t>2.00%</t>
        </is>
      </c>
      <c r="C19" s="6" t="inlineStr">
        <is>
          <t>2.00%</t>
        </is>
      </c>
      <c r="D19" s="6" t="inlineStr">
        <is>
          <t>2.00%</t>
        </is>
      </c>
      <c r="E19" s="6" t="inlineStr">
        <is>
          <t>1.00%</t>
        </is>
      </c>
      <c r="F19" s="6" t="inlineStr">
        <is>
          <t>0.00%</t>
        </is>
      </c>
      <c r="G19" s="6" t="n"/>
      <c r="H19" s="6" t="n"/>
      <c r="I19" s="6" t="n"/>
      <c r="J19" s="6" t="n"/>
    </row>
    <row r="20">
      <c r="A20" s="6" t="inlineStr">
        <is>
          <t>Combined buffer requirement (%)</t>
        </is>
      </c>
      <c r="B20" s="6" t="inlineStr">
        <is>
          <t>4.50%</t>
        </is>
      </c>
      <c r="C20" s="6" t="inlineStr">
        <is>
          <t>4.50%</t>
        </is>
      </c>
      <c r="D20" s="6" t="inlineStr">
        <is>
          <t>4.50%</t>
        </is>
      </c>
      <c r="E20" s="6" t="inlineStr">
        <is>
          <t>1.00%</t>
        </is>
      </c>
      <c r="F20" s="6" t="inlineStr">
        <is>
          <t>0.00%</t>
        </is>
      </c>
      <c r="G20" s="6" t="n"/>
      <c r="H20" s="6" t="n"/>
      <c r="I20" s="6" t="n"/>
      <c r="J20" s="6" t="n"/>
    </row>
    <row r="21">
      <c r="A21" s="6" t="inlineStr">
        <is>
          <t>Overall capital requirements (%)</t>
        </is>
      </c>
      <c r="B21" s="6" t="inlineStr">
        <is>
          <t>17.62%</t>
        </is>
      </c>
      <c r="C21" s="6" t="inlineStr">
        <is>
          <t>22.08%</t>
        </is>
      </c>
      <c r="D21" s="6" t="inlineStr">
        <is>
          <t>22.11%</t>
        </is>
      </c>
      <c r="E21" s="6" t="inlineStr">
        <is>
          <t>17.49%</t>
        </is>
      </c>
      <c r="F21" s="6" t="inlineStr">
        <is>
          <t>21.77%</t>
        </is>
      </c>
      <c r="G21" s="6" t="n"/>
      <c r="H21" s="6" t="n"/>
      <c r="I21" s="6" t="n"/>
      <c r="J21" s="6" t="n"/>
    </row>
    <row r="22">
      <c r="A22" s="6" t="inlineStr">
        <is>
          <t>CET1 available after meeting the total SREP own funds requirements (%)</t>
        </is>
      </c>
      <c r="B22" s="6" t="inlineStr">
        <is>
          <t>36.63%</t>
        </is>
      </c>
      <c r="C22" s="6" t="inlineStr">
        <is>
          <t>49.44%</t>
        </is>
      </c>
      <c r="D22" s="6" t="inlineStr">
        <is>
          <t>77.26%</t>
        </is>
      </c>
      <c r="E22" s="6" t="inlineStr">
        <is>
          <t>79.45%</t>
        </is>
      </c>
      <c r="F22" s="6" t="inlineStr">
        <is>
          <t>83.83%</t>
        </is>
      </c>
      <c r="G22" s="6" t="n"/>
      <c r="H22" s="6" t="n"/>
      <c r="I22" s="6" t="n"/>
      <c r="J22" s="6" t="n"/>
    </row>
    <row r="23">
      <c r="A23" s="5" t="inlineStr">
        <is>
          <t>Leverage ratio</t>
        </is>
      </c>
      <c r="B23" s="6" t="n"/>
      <c r="C23" s="6" t="n"/>
      <c r="D23" s="6" t="n"/>
      <c r="E23" s="6" t="n"/>
      <c r="F23" s="6" t="n"/>
      <c r="G23" s="6" t="n"/>
      <c r="H23" s="6" t="n"/>
      <c r="I23" s="6" t="n"/>
      <c r="J23" s="6" t="n"/>
    </row>
    <row r="24">
      <c r="A24" s="6" t="inlineStr">
        <is>
          <t>Total exposure measure excluding claims on central banks (£m)</t>
        </is>
      </c>
      <c r="B24" s="6" t="n">
        <v>658</v>
      </c>
      <c r="C24" s="6" t="n">
        <v>542</v>
      </c>
      <c r="D24" s="6" t="n">
        <v>289</v>
      </c>
      <c r="E24" s="6" t="n">
        <v>241</v>
      </c>
      <c r="F24" s="6" t="n">
        <v>94</v>
      </c>
      <c r="G24" s="6" t="n"/>
      <c r="H24" s="6" t="n"/>
      <c r="I24" s="6" t="n"/>
      <c r="J24" s="6" t="n"/>
    </row>
    <row r="25">
      <c r="A25" s="6" t="inlineStr">
        <is>
          <t>Leverage ratio excluding claims on central banks (%)</t>
        </is>
      </c>
      <c r="B25" s="6" t="inlineStr">
        <is>
          <t>20.05%</t>
        </is>
      </c>
      <c r="C25" s="6" t="inlineStr">
        <is>
          <t>26.07%</t>
        </is>
      </c>
      <c r="D25" s="6" t="inlineStr">
        <is>
          <t>43.51%</t>
        </is>
      </c>
      <c r="E25" s="6" t="inlineStr">
        <is>
          <t>13.87%</t>
        </is>
      </c>
      <c r="F25" s="6" t="inlineStr">
        <is>
          <t>38.79%</t>
        </is>
      </c>
      <c r="G25" s="6" t="n"/>
      <c r="H25" s="6" t="n"/>
      <c r="I25" s="6" t="n"/>
      <c r="J25" s="6" t="n"/>
    </row>
    <row r="26">
      <c r="A26" s="5" t="inlineStr">
        <is>
          <t>Liquidity Coverage Ratio ('LCR')</t>
        </is>
      </c>
      <c r="B26" s="6" t="n"/>
      <c r="C26" s="6" t="n"/>
      <c r="D26" s="6" t="n"/>
      <c r="E26" s="6" t="n"/>
      <c r="F26" s="6" t="n"/>
      <c r="G26" s="6" t="n"/>
      <c r="H26" s="6" t="n"/>
      <c r="I26" s="6" t="n"/>
      <c r="J26" s="6" t="n"/>
    </row>
    <row r="27">
      <c r="A27" s="6" t="inlineStr">
        <is>
          <t>Total high-quality liquid assets ('HQLA') (Weighted value-average) (£m)</t>
        </is>
      </c>
      <c r="B27" s="6" t="n">
        <v>17909</v>
      </c>
      <c r="C27" s="6" t="n">
        <v>10914</v>
      </c>
      <c r="D27" s="6" t="n">
        <v>6187</v>
      </c>
      <c r="E27" s="6" t="n">
        <v>3081</v>
      </c>
      <c r="F27" s="6" t="n">
        <v>2719</v>
      </c>
      <c r="G27" s="6" t="n"/>
      <c r="H27" s="6" t="n"/>
      <c r="I27" s="6" t="n"/>
      <c r="J27" s="6" t="n"/>
    </row>
    <row r="28">
      <c r="A28" s="6" t="inlineStr">
        <is>
          <t>Cash outflows - Total weighted value (£m)</t>
        </is>
      </c>
      <c r="B28" s="6" t="n">
        <v>4521</v>
      </c>
      <c r="C28" s="6" t="n">
        <v>2873</v>
      </c>
      <c r="D28" s="6" t="n">
        <v>1398</v>
      </c>
      <c r="E28" s="6" t="n">
        <v>1053</v>
      </c>
      <c r="F28" s="6" t="n">
        <v>1462</v>
      </c>
      <c r="G28" s="6" t="n"/>
      <c r="H28" s="6" t="n"/>
      <c r="I28" s="6" t="n"/>
      <c r="J28" s="6" t="n"/>
    </row>
    <row r="29">
      <c r="A29" s="6" t="inlineStr">
        <is>
          <t>Cash inflows - Total weighted value (£m)</t>
        </is>
      </c>
      <c r="B29" s="6" t="n">
        <v>9</v>
      </c>
      <c r="C29" s="6" t="n">
        <v>15</v>
      </c>
      <c r="D29" s="6" t="n">
        <v>9</v>
      </c>
      <c r="E29" s="6" t="n">
        <v>16</v>
      </c>
      <c r="F29" s="6" t="n">
        <v>0</v>
      </c>
      <c r="G29" s="6" t="n"/>
      <c r="H29" s="6" t="n"/>
      <c r="I29" s="6" t="n"/>
      <c r="J29" s="6" t="n"/>
    </row>
    <row r="30">
      <c r="A30" s="6" t="inlineStr">
        <is>
          <t>Total net outflows (adjusted value) (£m)</t>
        </is>
      </c>
      <c r="B30" s="6" t="n">
        <v>4513</v>
      </c>
      <c r="C30" s="6" t="n">
        <v>2858</v>
      </c>
      <c r="D30" s="6" t="n">
        <v>1389</v>
      </c>
      <c r="E30" s="6" t="n">
        <v>1037</v>
      </c>
      <c r="F30" s="6" t="n">
        <v>1462</v>
      </c>
      <c r="G30" s="6" t="n"/>
      <c r="H30" s="6" t="n"/>
      <c r="I30" s="6" t="n"/>
      <c r="J30" s="6" t="n"/>
    </row>
    <row r="31">
      <c r="A31" s="6" t="inlineStr">
        <is>
          <t>Liquidity coverage ratio (%)</t>
        </is>
      </c>
      <c r="B31" s="6" t="inlineStr">
        <is>
          <t>396.85%</t>
        </is>
      </c>
      <c r="C31" s="6" t="inlineStr">
        <is>
          <t>381.88%</t>
        </is>
      </c>
      <c r="D31" s="6" t="inlineStr">
        <is>
          <t>445.36%</t>
        </is>
      </c>
      <c r="E31" s="6" t="inlineStr">
        <is>
          <t>297.05%</t>
        </is>
      </c>
      <c r="F31" s="6" t="inlineStr">
        <is>
          <t>185.94%</t>
        </is>
      </c>
      <c r="G31" s="6" t="n"/>
      <c r="H31" s="6" t="n"/>
      <c r="I31" s="6" t="n"/>
      <c r="J31" s="6" t="n"/>
    </row>
    <row r="32">
      <c r="A32" s="5" t="inlineStr">
        <is>
          <t>Net Stable Funding Ratio ('NSFR')</t>
        </is>
      </c>
      <c r="B32" s="6" t="n"/>
      <c r="C32" s="6" t="n"/>
      <c r="D32" s="6" t="n"/>
      <c r="E32" s="6" t="n"/>
      <c r="F32" s="6" t="n"/>
      <c r="G32" s="6" t="n"/>
      <c r="H32" s="6" t="n"/>
      <c r="I32" s="6" t="n"/>
      <c r="J32" s="6" t="n"/>
    </row>
    <row r="33">
      <c r="A33" s="6" t="inlineStr">
        <is>
          <t>Total available stable funding (£m)</t>
        </is>
      </c>
      <c r="B33" s="6" t="n">
        <v>14804</v>
      </c>
      <c r="C33" s="6" t="n">
        <v>8718</v>
      </c>
      <c r="D33" s="6" t="n">
        <v>5032</v>
      </c>
      <c r="E33" s="6" t="n">
        <v>2062</v>
      </c>
      <c r="F33" s="6" t="n">
        <v>1190</v>
      </c>
      <c r="G33" s="6" t="n"/>
      <c r="H33" s="6" t="n"/>
      <c r="I33" s="6" t="n"/>
      <c r="J33" s="6" t="n"/>
    </row>
    <row r="34">
      <c r="A34" s="6" t="inlineStr">
        <is>
          <t>Total required stable funding (£m)</t>
        </is>
      </c>
      <c r="B34" s="6" t="n">
        <v>72</v>
      </c>
      <c r="C34" s="6" t="n">
        <v>55</v>
      </c>
      <c r="D34" s="6" t="n">
        <v>50</v>
      </c>
      <c r="E34" s="6" t="n">
        <v>38</v>
      </c>
      <c r="F34" s="6" t="n">
        <v>10</v>
      </c>
      <c r="G34" s="6" t="n"/>
      <c r="H34" s="6" t="n"/>
      <c r="I34" s="6" t="n"/>
      <c r="J34" s="6" t="n"/>
    </row>
    <row r="35">
      <c r="A35" s="6" t="inlineStr">
        <is>
          <t>NSFR ratio (%)</t>
        </is>
      </c>
      <c r="B35" s="6" t="inlineStr">
        <is>
          <t>20366.50%</t>
        </is>
      </c>
      <c r="C35" s="6" t="inlineStr">
        <is>
          <t>15959.22%</t>
        </is>
      </c>
      <c r="D35" s="6" t="inlineStr">
        <is>
          <t>10,153.88%</t>
        </is>
      </c>
      <c r="E35" s="6" t="inlineStr">
        <is>
          <t>5429.15%</t>
        </is>
      </c>
      <c r="F35" s="6" t="inlineStr">
        <is>
          <t>11701.32%</t>
        </is>
      </c>
      <c r="G35" s="6" t="n"/>
      <c r="H35" s="6" t="n"/>
      <c r="I35" s="6" t="n"/>
      <c r="J35" s="6" t="n"/>
    </row>
    <row r="37" ht="520" customHeight="1">
      <c r="A37" s="8" t="inlineStr">
        <is>
          <t>Sources - ClearBank's own published key-metrics table, reproduced as printed. Each column is transcribed from the edition in which that year is the reporting year, except FY2021 (see below).
FY2025: ClearBank Pillar 3 Disclosure 2025, 'Key metrics' table, p.15 - https://clear.bank/uploads/assets/ClearBank-Pillar-3-2025.pdf
FY2024: ClearBank Pillar 3 Disclosure 2024, 'Key metrics' table, p.13 - https://clear.bank/uploads/assets/ClearBank-Pillar-3-Discolsure-2024.pdf
FY2023: ClearBank Pillar 3 Disclosure 2023, 'Key metrics' / 'Key metrics continued', pp.4-5 - https://clear.bank/uploads/assets/ClearBank-Pillar-3-Disclosure-2023.pdf
FY2022: ClearBank Pillar 3 disclosure 2022, 'Key metrics', pp.4-5 - https://clear.bank/uploads/assets/ClearBank-Pillar-3-2022.pdf
FY2021: the FY2022 edition's own '31 Dec 2021' comparative column, same table - https://clear.bank/uploads/assets/ClearBank-Pillar-3-2022.pdf. FY2021's OWN edition has no key-metrics table to transcribe (see below), so this is the first time ClearBank presented that year in template shape.
NO TEMPLATE BEFORE FY2022 - A POSITIVE FINDING, NOT A FAILED SEARCH. Every ClearBank Pillar 3 edition from FY2016 to FY2021 was downloaded and read on 2026-09-16 (all live on clear.bank, all HTTP 200 / application/pdf / %PDF, all with real text layers). Each uses a bespoke 'Summary Analysis' section - 'Table 1: Capital and leverage ratios' (CET1 / Tier 1 / Total regulatory capital as PERCENTAGES only, plus a 'CRD leverage ratio' and a 'UK leverage ratio' side by side) and 'Table 2: Own funds' (the equity-to-CET1 build-up in £'000). That is a different disclosure from KM1, not an earlier version of it, so those years are blank on this sheet and their figures live on the single-metric sheets instead. Those pages were additionally checked for an image-only table (pdfimages) after a sister bank was found publishing its KM1 as a bitmap: ClearBank's pre-FY2022 editions contain only cover art and photography, no table images.
UNNUMBERED AND ABRIDGED. ClearBank never writes 'KM1' and never prints the template's row numbers; the heading is simply 'Key metrics'. The rows it does print are the UK KM1's rows, in the template's order, under the template's own section headings. The rows it does NOT print anywhere - UK 7b, UK 7c, UK 8a, UK 9a, 10, UK 10a and 14a-14e - are omitted here too rather than shown empty, because ClearBank omits them from the table itself; that is a statement about ClearBank's disclosure, and it is recorded here rather than represented as blank cells that could be mistaken for a gap in this workbook.
ENTITY CHANGES MID-SERIES, AND THE TABLE HEADER SAYS SO. The FY2022 edition heads its columns '31 Dec 2022 / 31 Dec 2021' and its narrative speaks of 'the Bank' - ClearBank Limited's own consolidation. The FY2023 edition heads its single column 'ClearBank Group / 31 Dec 2023', and FY2024/FY2025 continue on that basis: ClearBank Group Holdings Limited (company 14254435), which also consolidates ClearBank Europe N.V. FY2023-FY2025 are therefore group-basis figures in an entity-level workbook and are NOT a like-for-like continuation of the FY2021/FY2022 columns. Same caveat as the other Pillar 3 sheets.
TWO INCONSISTENCIES IN CLEARBANK'S OWN PRINTING, recorded and not reconciled:
• FY2023 total risk-weighted exposure amount is 163 in the FY2023 edition and 162 in the FY2024 edition's FY2023 comparative. The 163 shown here is FY2023's own edition.
• The FY2025 edition prints FY2024 total RWEA as 211 on its Key metrics table and 212 on its 'Overview of risk weighted exposure amounts' table, two pages apart in the same document. This sheet shows 211 (the key-metrics figure); the RWA Breakdown sheet shows 212, its own table's total. Both are as published.
FY2023 SREP ROWS LOOK WRONG IN THE SOURCE, AND ARE REPRODUCED ANYWAY. The FY2023 edition prints 'Additional CET1 SREP requirements 0.00%' and 'Total SREP own funds requirements 0.00%' - a total SREP own funds requirement of zero is not possible (the Pillar 1 minimum alone is 8%), and the same edition's own 'Overall capital requirements' row prints 22.11%. The FY2024 edition's FY2023 comparative instead prints 9.91% and 17.61% for those two rows, and 59.84% rather than 77.26% for 'CET1 available after meeting the total SREP own funds requirements'. Under this project's rule that each year comes from its own edition, the FY2023 column here carries the FY2023 edition's figures; the FY2024 edition's restated comparatives are recorded in this note so nothing is lost. The FY2022 edition prints 0.00% for those rows in both its columns, and a 0.00% capital conservation buffer, which is likewise as published.
EXPECTED DISAGREEMENT WITH THE CET1/TIER 1/TOTAL CAPITAL SHEETS, FY2021 ONLY - not an error in either place. This sheet shows 37 for FY2021 because that is what the FY2022 edition's comparative column prints: ClearBank rounds the whole key-metrics table to whole £m. The CET1 Capital / Tier 1 Capital / Total Capital sheets show 36.7, because those sheets take FY2021 from FY2021's OWN Pillar 3 edition, whose 'Table 2: Own funds' gives the figure to the pound (£36,739k). Same quantity, two precisions, two documents. The workbook's automated KM1-vs-metric-sheet cross-check flags this pair; it is left as published rather than re-rounded in either direction, because rounding 36,739 to '37' is ClearBank's act, not this workbook's, and re-deriving '36.7' onto a reproduction sheet would print a number the key-metrics table never contained.
PRINTED PRECISION AND LABELS ARE AS EACH EDITION HAS THEM. The FY2023 edition prints the NSFR ratio with a thousands separator ('10,153.88%') where the others do not; the FY2025/FY2024 editions caption the LCR row 'Total net outflows (adjusted value)' where the FY2023/FY2022 editions caption it 'Total net cash outflows (adjusted value)', and capitalise 'Total Capital ratio' where the earlier ones write 'Total capital ratio'. The most recent edition's wording is used for the row label and the variants are recorded here.
LATEST-EDITION CHECK, 2026-09-16: taken from clear.bank's own sitemap rather than from the URLs previously cited here, because the visible /pillar-3-disclosure page does not link every file. The newest documents published are the Pillar 3 Disclosure 2025 and the Annual Report and Accounts 2025; there is no FY2026 edition of either, which is expected for a 31 December year-end (ClearBank-Annual-Report-2026.pdf returns an honest 404 while the 2025 file serves 22.2 MB of PDF). Checked, none newer. The same sweep turned up the previously-uncited FY2024 Pillar 3 and the FY2016-FY2020 Pillar 3 documents - see the correction on the other Pillar 3 sheets.</t>
        </is>
      </c>
    </row>
  </sheetData>
  <mergeCells count="1">
    <mergeCell ref="A37:J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266</v>
      </c>
      <c r="C4" s="6" t="n">
        <v>211</v>
      </c>
      <c r="D4" s="6" t="n">
        <v>163</v>
      </c>
      <c r="E4" s="6" t="n">
        <v>38</v>
      </c>
      <c r="F4" s="6" t="n">
        <v>26</v>
      </c>
      <c r="G4" s="6" t="n">
        <v>26.2</v>
      </c>
      <c r="H4" s="6" t="n"/>
      <c r="I4" s="6" t="n"/>
      <c r="J4" s="6" t="n"/>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RWA by risk category</t>
        </is>
      </c>
      <c r="B4" s="6" t="n"/>
      <c r="C4" s="6" t="n"/>
      <c r="D4" s="6" t="n"/>
      <c r="E4" s="6" t="n"/>
      <c r="F4" s="6" t="n"/>
      <c r="G4" s="6" t="n"/>
      <c r="H4" s="6" t="n"/>
      <c r="I4" s="6" t="n"/>
      <c r="J4" s="6" t="n"/>
    </row>
    <row r="5">
      <c r="A5" s="6" t="inlineStr">
        <is>
          <t>Credit risk (excluding CCR), standardised approach</t>
        </is>
      </c>
      <c r="B5" s="6" t="n">
        <v>45000</v>
      </c>
      <c r="C5" s="6" t="n">
        <v>34000</v>
      </c>
      <c r="D5" s="6" t="n">
        <v>36000</v>
      </c>
      <c r="E5" s="6" t="n">
        <v>16000</v>
      </c>
      <c r="F5" s="6" t="n">
        <v>17000</v>
      </c>
      <c r="G5" s="6" t="n">
        <v>17450</v>
      </c>
      <c r="H5" s="6" t="n">
        <v>15664</v>
      </c>
      <c r="I5" s="6" t="n">
        <v>9184</v>
      </c>
      <c r="J5" s="6" t="n">
        <v>2366</v>
      </c>
    </row>
    <row r="6">
      <c r="A6" s="6" t="inlineStr">
        <is>
          <t>Operational risk, basic indicator approach</t>
        </is>
      </c>
      <c r="B6" s="6" t="n">
        <v>221000</v>
      </c>
      <c r="C6" s="6" t="n">
        <v>178000</v>
      </c>
      <c r="D6" s="6" t="n">
        <v>127000</v>
      </c>
      <c r="E6" s="6" t="n">
        <v>22000</v>
      </c>
      <c r="F6" s="6" t="n">
        <v>9000</v>
      </c>
      <c r="G6" s="6" t="n">
        <v>8750</v>
      </c>
      <c r="H6" s="6" t="n"/>
      <c r="I6" s="6" t="n"/>
      <c r="J6" s="6" t="n"/>
    </row>
    <row r="7">
      <c r="A7" s="5" t="inlineStr">
        <is>
          <t>Total RWAs</t>
        </is>
      </c>
      <c r="B7" s="5" t="n">
        <v>266000</v>
      </c>
      <c r="C7" s="5" t="n">
        <v>212000</v>
      </c>
      <c r="D7" s="5" t="n">
        <v>163000</v>
      </c>
      <c r="E7" s="5" t="n">
        <v>38000</v>
      </c>
      <c r="F7" s="5" t="n">
        <v>26000</v>
      </c>
      <c r="G7" s="5" t="n">
        <v>26200</v>
      </c>
      <c r="H7" s="5" t="n"/>
      <c r="I7" s="5" t="n"/>
      <c r="J7" s="5" t="n"/>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FY2020: derived from ClearBank Pillar 3 disclosure 2021's own FY2020 comparative column - Total RWA £26.2m (COREP own-funds template, line 60) and Operational risk Pillar 1 capital requirement £0.7m (implying Operational RWA = £0.7m / 8% = £8.75m by definition); Credit risk RWA (£17.45m) is the residual (Total - Operational), not itself a directly-disclosed single line item - https://clear.bank/uploads/assets/ClearBank-Pillar-3-disclosure-2021.pdf
FY2019: Credit risk RWA (£15,664k) is ClearBank's own explicitly-disclosed "credit risk exposure by asset and exposure class" table (ClearBank Annual Report and Accounts 2019, financial review section) - https://clear.bank/uploads/assets/ClearBank-Annual-Report-2019.pdf. No operational-risk RWA or Total RWA figure is disclosed anywhere in the FY2019 Annual Report, so Operational risk and Total RWAs are left blank for FY2019 rather than estimated.
FY2018: Credit risk RWA (£9,184k) is ClearBank's own explicitly-disclosed credit risk exposure table (ClearBank Limited 2018 Annual Report, p.22) - https://clear.bank/uploads/assets/ClearBank-Annual-Report-2018.pdf. Same gap as FY2019: no operational-risk RWA or Total RWA disclosed, left blank.
FY2017: Credit risk RWA (£2,366k) is ClearBank's own explicitly-disclosed credit risk exposure table (ClearBank Limited 2017 Annual Report, p.19) - https://clear.bank/uploads/assets/ClearBank-Annual-Report-2017.pdf. Same gap: no operational-risk RWA or Total RWA disclosed, left blank.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J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20.05%</t>
        </is>
      </c>
      <c r="C4" s="6" t="inlineStr">
        <is>
          <t>26.07%</t>
        </is>
      </c>
      <c r="D4" s="6" t="inlineStr">
        <is>
          <t>43.51%</t>
        </is>
      </c>
      <c r="E4" s="6" t="inlineStr">
        <is>
          <t>13.87%</t>
        </is>
      </c>
      <c r="F4" s="6" t="inlineStr">
        <is>
          <t>38.79%</t>
        </is>
      </c>
      <c r="G4" s="6" t="inlineStr">
        <is>
          <t>30%</t>
        </is>
      </c>
      <c r="H4" s="6" t="inlineStr">
        <is>
          <t>21%</t>
        </is>
      </c>
      <c r="I4" s="6" t="inlineStr">
        <is>
          <t>74%</t>
        </is>
      </c>
      <c r="J4" s="6" t="inlineStr">
        <is>
          <t>84%</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396.85%</t>
        </is>
      </c>
      <c r="C4" s="6" t="inlineStr">
        <is>
          <t>381.88%</t>
        </is>
      </c>
      <c r="D4" s="6" t="inlineStr">
        <is>
          <t>445.36%</t>
        </is>
      </c>
      <c r="E4" s="6" t="inlineStr">
        <is>
          <t>297.05%</t>
        </is>
      </c>
      <c r="F4" s="6" t="inlineStr">
        <is>
          <t>185.94%</t>
        </is>
      </c>
      <c r="G4" s="6" t="inlineStr">
        <is>
          <t>186%</t>
        </is>
      </c>
      <c r="H4" s="6" t="inlineStr">
        <is>
          <t>127%</t>
        </is>
      </c>
      <c r="I4" s="6" t="inlineStr">
        <is>
          <t>237%</t>
        </is>
      </c>
      <c r="J4" s="6" t="inlineStr">
        <is>
          <t>3718%</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20366.50%</t>
        </is>
      </c>
      <c r="C4" s="6" t="inlineStr">
        <is>
          <t>15959.22%</t>
        </is>
      </c>
      <c r="D4" s="6" t="inlineStr">
        <is>
          <t>10153.88%</t>
        </is>
      </c>
      <c r="E4" s="6" t="inlineStr">
        <is>
          <t>5429.15%</t>
        </is>
      </c>
      <c r="F4" s="6" t="inlineStr">
        <is>
          <t>11701.32%</t>
        </is>
      </c>
      <c r="G4" s="6" t="inlineStr">
        <is>
          <t>3298%</t>
        </is>
      </c>
      <c r="H4" s="6" t="inlineStr">
        <is>
          <t>324%</t>
        </is>
      </c>
      <c r="I4" s="6" t="inlineStr">
        <is>
          <t>432%</t>
        </is>
      </c>
      <c r="J4" s="6" t="inlineStr">
        <is>
          <t>878%</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publicly disclosed - no MREL ratio or qualitative MREL statement found in any Pillar 3 document or Annual Report reviewed (FY2017-FY2025), no reason given.</t>
        </is>
      </c>
    </row>
    <row r="7" ht="15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2026-09-16T15:15:58Z</dcterms:created>
  <dcterms:modified xmlns:dcterms="http://purl.org/dc/terms/" xmlns:xsi="http://www.w3.org/2001/XMLSchema-instance" xsi:type="dcterms:W3CDTF">2026-09-16T15:15:59Z</dcterms:modified>
</cp:coreProperties>
</file>