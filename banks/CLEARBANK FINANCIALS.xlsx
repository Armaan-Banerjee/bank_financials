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41</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ClearBank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 operating activities</t>
        </is>
      </c>
      <c r="B6" s="5" t="n">
        <v>7017191</v>
      </c>
      <c r="C6" s="5" t="n">
        <v>4690772</v>
      </c>
      <c r="D6" s="5" t="n">
        <v>3142548</v>
      </c>
      <c r="E6" s="5" t="n">
        <v>413627</v>
      </c>
      <c r="F6" s="5" t="n">
        <v>1683715</v>
      </c>
      <c r="I6" t="inlineStr">
        <is>
          <t>Net cash from operating activities</t>
        </is>
      </c>
      <c r="J6" t="n">
        <v>1683715</v>
      </c>
      <c r="K6" t="n">
        <v>413627</v>
      </c>
      <c r="L6" t="n">
        <v>3142548</v>
      </c>
      <c r="M6" t="n">
        <v>4690772</v>
      </c>
      <c r="N6" t="n">
        <v>7017191</v>
      </c>
      <c r="Q6" t="inlineStr">
        <is>
          <t>CET1 Ratio</t>
        </is>
      </c>
      <c r="R6" t="n">
        <v>139.7</v>
      </c>
      <c r="S6" t="n">
        <v>87.66</v>
      </c>
      <c r="T6" t="n">
        <v>77.45</v>
      </c>
      <c r="U6" t="n">
        <v>67.02</v>
      </c>
      <c r="V6" t="n">
        <v>49.75</v>
      </c>
    </row>
    <row r="7">
      <c r="A7" s="5" t="inlineStr">
        <is>
          <t>Net cash used in investing activities</t>
        </is>
      </c>
      <c r="B7" s="5" t="n">
        <v>-15684</v>
      </c>
      <c r="C7" s="5" t="n">
        <v>-24096</v>
      </c>
      <c r="D7" s="5" t="n">
        <v>-21778</v>
      </c>
      <c r="E7" s="5" t="n">
        <v>-8144</v>
      </c>
      <c r="F7" s="5" t="n">
        <v>-8624</v>
      </c>
      <c r="I7" t="inlineStr">
        <is>
          <t>Net cash used in investing activities</t>
        </is>
      </c>
      <c r="J7" t="n">
        <v>-8624</v>
      </c>
      <c r="K7" t="n">
        <v>-8144</v>
      </c>
      <c r="L7" t="n">
        <v>-21778</v>
      </c>
      <c r="M7" t="n">
        <v>-24096</v>
      </c>
      <c r="N7" t="n">
        <v>-15684</v>
      </c>
      <c r="Q7" t="inlineStr">
        <is>
          <t>Leverage Ratio</t>
        </is>
      </c>
      <c r="R7" t="n">
        <v>38.79</v>
      </c>
      <c r="S7" t="n">
        <v>13.87</v>
      </c>
      <c r="T7" t="n">
        <v>43.51</v>
      </c>
      <c r="U7" t="n">
        <v>26.07</v>
      </c>
      <c r="V7" t="n">
        <v>20.05</v>
      </c>
    </row>
    <row r="8">
      <c r="A8" s="5" t="inlineStr">
        <is>
          <t>Net cash from/(used in) financing activities</t>
        </is>
      </c>
      <c r="B8" s="5" t="n">
        <v>-1603</v>
      </c>
      <c r="C8" s="5" t="n">
        <v>33433</v>
      </c>
      <c r="D8" s="5" t="n">
        <v>9537</v>
      </c>
      <c r="E8" s="5" t="n">
        <v>-384</v>
      </c>
      <c r="F8" s="5" t="n">
        <v>32492</v>
      </c>
      <c r="I8" t="inlineStr">
        <is>
          <t>Net cash from/(used in) financing activities</t>
        </is>
      </c>
      <c r="J8" t="n">
        <v>32492</v>
      </c>
      <c r="K8" t="n">
        <v>-384</v>
      </c>
      <c r="L8" t="n">
        <v>9537</v>
      </c>
      <c r="M8" t="n">
        <v>33433</v>
      </c>
      <c r="N8" t="n">
        <v>-1603</v>
      </c>
      <c r="Q8" t="inlineStr">
        <is>
          <t>LCR</t>
        </is>
      </c>
      <c r="R8" t="n">
        <v>185.94</v>
      </c>
      <c r="S8" t="n">
        <v>297.05</v>
      </c>
      <c r="T8" t="n">
        <v>445.36</v>
      </c>
      <c r="U8" t="n">
        <v>381.88</v>
      </c>
      <c r="V8" t="n">
        <v>396.85</v>
      </c>
    </row>
    <row r="9">
      <c r="A9" s="5" t="inlineStr">
        <is>
          <t>Cash and cash equivalents at end of year</t>
        </is>
      </c>
      <c r="B9" s="5" t="n">
        <v>17956976</v>
      </c>
      <c r="C9" s="5" t="n">
        <v>10961293</v>
      </c>
      <c r="D9" s="5" t="n">
        <v>6256126</v>
      </c>
      <c r="E9" s="5" t="n">
        <v>3125862</v>
      </c>
      <c r="F9" s="5" t="n">
        <v>2720797</v>
      </c>
      <c r="I9" t="inlineStr">
        <is>
          <t>Cash and cash equivalents at end of year</t>
        </is>
      </c>
      <c r="J9" t="n">
        <v>2720797</v>
      </c>
      <c r="K9" t="n">
        <v>3125862</v>
      </c>
      <c r="L9" t="n">
        <v>6256126</v>
      </c>
      <c r="M9" t="n">
        <v>10961293</v>
      </c>
      <c r="N9" t="n">
        <v>17956976</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49.75%</t>
        </is>
      </c>
      <c r="C13" s="6" t="inlineStr">
        <is>
          <t>67.02%</t>
        </is>
      </c>
      <c r="D13" s="6" t="inlineStr">
        <is>
          <t>77.45%</t>
        </is>
      </c>
      <c r="E13" s="6" t="inlineStr">
        <is>
          <t>87.66%</t>
        </is>
      </c>
      <c r="F13" s="6" t="inlineStr">
        <is>
          <t>139.70%</t>
        </is>
      </c>
    </row>
    <row r="14">
      <c r="A14" s="6" t="inlineStr">
        <is>
          <t>Leverage Ratio</t>
        </is>
      </c>
      <c r="B14" s="6" t="inlineStr">
        <is>
          <t>20.05%</t>
        </is>
      </c>
      <c r="C14" s="6" t="inlineStr">
        <is>
          <t>26.07%</t>
        </is>
      </c>
      <c r="D14" s="6" t="inlineStr">
        <is>
          <t>43.51%</t>
        </is>
      </c>
      <c r="E14" s="6" t="inlineStr">
        <is>
          <t>13.87%</t>
        </is>
      </c>
      <c r="F14" s="6" t="inlineStr">
        <is>
          <t>38.79%</t>
        </is>
      </c>
    </row>
    <row r="15">
      <c r="A15" s="6" t="inlineStr">
        <is>
          <t>LCR</t>
        </is>
      </c>
      <c r="B15" s="6" t="inlineStr">
        <is>
          <t>396.85%</t>
        </is>
      </c>
      <c r="C15" s="6" t="inlineStr">
        <is>
          <t>381.88%</t>
        </is>
      </c>
      <c r="D15" s="6" t="inlineStr">
        <is>
          <t>445.36%</t>
        </is>
      </c>
      <c r="E15" s="6" t="inlineStr">
        <is>
          <t>297.05%</t>
        </is>
      </c>
      <c r="F15" s="6" t="inlineStr">
        <is>
          <t>185.94%</t>
        </is>
      </c>
    </row>
    <row r="17" ht="45" customHeight="1">
      <c r="A17" s="7" t="inlineStr">
        <is>
          <t>Note: Figures are duplicated from the detail sheets for at-a-glance trend viewing; see each sheet's own source citation for the underlying document/page. NSFR omitted from this chart (values in the thousands of percent would flatten every other series) - see the NSFR sheet directly.</t>
        </is>
      </c>
    </row>
  </sheetData>
  <mergeCells count="1">
    <mergeCell ref="A17:F1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 after tax</t>
        </is>
      </c>
      <c r="B5" s="6" t="n">
        <v>-15765</v>
      </c>
      <c r="C5" s="6" t="n">
        <v>-10318</v>
      </c>
      <c r="D5" s="6" t="n">
        <v>22396</v>
      </c>
      <c r="E5" s="6" t="n">
        <v>6818</v>
      </c>
      <c r="F5" s="6" t="n">
        <v>-28200</v>
      </c>
    </row>
    <row r="6">
      <c r="A6" s="6" t="inlineStr">
        <is>
          <t>Depreciation of property, plant and equipment</t>
        </is>
      </c>
      <c r="B6" s="6" t="n">
        <v>63</v>
      </c>
      <c r="C6" s="6" t="n">
        <v>68</v>
      </c>
      <c r="D6" s="6" t="n">
        <v>510</v>
      </c>
      <c r="E6" s="6" t="n">
        <v>304</v>
      </c>
      <c r="F6" s="6" t="n">
        <v>475</v>
      </c>
    </row>
    <row r="7">
      <c r="A7" s="6" t="inlineStr">
        <is>
          <t>(Profit)/loss on disposals of property, plant and equipment</t>
        </is>
      </c>
      <c r="B7" s="6" t="n"/>
      <c r="C7" s="6" t="n"/>
      <c r="D7" s="6" t="n"/>
      <c r="E7" s="6" t="n">
        <v>-13</v>
      </c>
      <c r="F7" s="6" t="n">
        <v>15</v>
      </c>
    </row>
    <row r="8">
      <c r="A8" s="6" t="inlineStr">
        <is>
          <t>Depreciation of right-of-use assets</t>
        </is>
      </c>
      <c r="B8" s="6" t="n">
        <v>2202</v>
      </c>
      <c r="C8" s="6" t="n">
        <v>1624</v>
      </c>
      <c r="D8" s="6" t="n">
        <v>1702</v>
      </c>
      <c r="E8" s="6" t="n">
        <v>1030</v>
      </c>
      <c r="F8" s="6" t="n">
        <v>1670</v>
      </c>
    </row>
    <row r="9">
      <c r="A9" s="6" t="inlineStr">
        <is>
          <t>Amortisation of intangible assets</t>
        </is>
      </c>
      <c r="B9" s="6" t="n">
        <v>15706</v>
      </c>
      <c r="C9" s="6" t="n">
        <v>11643</v>
      </c>
      <c r="D9" s="6" t="n">
        <v>8869</v>
      </c>
      <c r="E9" s="6" t="n">
        <v>7824</v>
      </c>
      <c r="F9" s="6" t="n">
        <v>5791</v>
      </c>
    </row>
    <row r="10">
      <c r="A10" s="6" t="inlineStr">
        <is>
          <t>Impairment of intangible assets</t>
        </is>
      </c>
      <c r="B10" s="6" t="n">
        <v>936</v>
      </c>
      <c r="C10" s="6" t="n">
        <v>1584</v>
      </c>
      <c r="D10" s="6" t="n">
        <v>246</v>
      </c>
      <c r="E10" s="6" t="n">
        <v>676</v>
      </c>
      <c r="F10" s="6" t="n">
        <v>337</v>
      </c>
    </row>
    <row r="11">
      <c r="A11" s="6" t="inlineStr">
        <is>
          <t>Share-based payment expense</t>
        </is>
      </c>
      <c r="B11" s="6" t="n">
        <v>1567</v>
      </c>
      <c r="C11" s="6" t="n">
        <v>5753</v>
      </c>
      <c r="D11" s="6" t="n">
        <v>6729</v>
      </c>
      <c r="E11" s="6" t="n">
        <v>7743</v>
      </c>
      <c r="F11" s="6" t="n">
        <v>7671</v>
      </c>
    </row>
    <row r="12">
      <c r="A12" s="6" t="inlineStr">
        <is>
          <t>Recognition of right-of-use assets</t>
        </is>
      </c>
      <c r="B12" s="6" t="n"/>
      <c r="C12" s="6" t="n"/>
      <c r="D12" s="6" t="n"/>
      <c r="E12" s="6" t="n"/>
      <c r="F12" s="6" t="n">
        <v>34</v>
      </c>
    </row>
    <row r="13">
      <c r="A13" s="6" t="inlineStr">
        <is>
          <t>Tax benefit/(charge)</t>
        </is>
      </c>
      <c r="B13" s="6" t="n">
        <v>-945</v>
      </c>
      <c r="C13" s="6" t="n">
        <v>74</v>
      </c>
      <c r="D13" s="6" t="n">
        <v>-3967</v>
      </c>
      <c r="E13" s="6" t="n">
        <v>-17794</v>
      </c>
      <c r="F13" s="6" t="n">
        <v>-2874</v>
      </c>
    </row>
    <row r="14">
      <c r="A14" s="6" t="inlineStr">
        <is>
          <t>Finance costs</t>
        </is>
      </c>
      <c r="B14" s="6" t="n"/>
      <c r="C14" s="6" t="n"/>
      <c r="D14" s="6" t="n"/>
      <c r="E14" s="6" t="n">
        <v>34</v>
      </c>
      <c r="F14" s="6" t="n">
        <v>10</v>
      </c>
    </row>
    <row r="15">
      <c r="A15" s="6" t="inlineStr">
        <is>
          <t>Net interest income</t>
        </is>
      </c>
      <c r="B15" s="6" t="n">
        <v>-70963</v>
      </c>
      <c r="C15" s="6" t="n">
        <v>-67110</v>
      </c>
      <c r="D15" s="6" t="n">
        <v>-81914</v>
      </c>
      <c r="E15" s="6" t="n">
        <v>-33863</v>
      </c>
      <c r="F15" s="6" t="n">
        <v>-1842</v>
      </c>
    </row>
    <row r="16">
      <c r="A16" s="6" t="inlineStr">
        <is>
          <t>Other income</t>
        </is>
      </c>
      <c r="B16" s="6" t="n">
        <v>-798</v>
      </c>
      <c r="C16" s="6" t="n">
        <v>-678</v>
      </c>
      <c r="D16" s="6" t="n">
        <v>-380</v>
      </c>
      <c r="E16" s="6" t="n"/>
      <c r="F16" s="6" t="n"/>
    </row>
    <row r="17">
      <c r="A17" s="6" t="inlineStr">
        <is>
          <t>Foreign currency differences (non-cash items)</t>
        </is>
      </c>
      <c r="B17" s="6" t="n">
        <v>30</v>
      </c>
      <c r="C17" s="6" t="n">
        <v>18</v>
      </c>
      <c r="D17" s="6" t="n">
        <v>43</v>
      </c>
      <c r="E17" s="6" t="n">
        <v>1</v>
      </c>
      <c r="F17" s="6" t="n">
        <v>-1</v>
      </c>
    </row>
    <row r="18">
      <c r="A18" s="5" t="inlineStr">
        <is>
          <t>Operating cash flows before changes in working capital</t>
        </is>
      </c>
      <c r="B18" s="5" t="n">
        <v>-67967</v>
      </c>
      <c r="C18" s="5" t="n">
        <v>-57342</v>
      </c>
      <c r="D18" s="5" t="n">
        <v>-45766</v>
      </c>
      <c r="E18" s="5" t="n">
        <v>-27240</v>
      </c>
      <c r="F18" s="5" t="n">
        <v>-16914</v>
      </c>
    </row>
    <row r="19">
      <c r="A19" s="6" t="inlineStr">
        <is>
          <t>Increase/(decrease) in collateral</t>
        </is>
      </c>
      <c r="B19" s="6" t="n">
        <v>859</v>
      </c>
      <c r="C19" s="6" t="n">
        <v>-16</v>
      </c>
      <c r="D19" s="6" t="n">
        <v>-919</v>
      </c>
      <c r="E19" s="6" t="n">
        <v>-27</v>
      </c>
      <c r="F19" s="6" t="n">
        <v>-36</v>
      </c>
    </row>
    <row r="20">
      <c r="A20" s="6" t="inlineStr">
        <is>
          <t>(Increase)/decrease in loans and advances to banks</t>
        </is>
      </c>
      <c r="B20" s="6" t="n"/>
      <c r="C20" s="6" t="n">
        <v>19525</v>
      </c>
      <c r="D20" s="6" t="n">
        <v>-10369</v>
      </c>
      <c r="E20" s="6" t="n">
        <v>-3194</v>
      </c>
      <c r="F20" s="6" t="n">
        <v>-5962</v>
      </c>
    </row>
    <row r="21">
      <c r="A21" s="6" t="inlineStr">
        <is>
          <t>Increase in receivables</t>
        </is>
      </c>
      <c r="B21" s="6" t="n">
        <v>-6288</v>
      </c>
      <c r="C21" s="6" t="n">
        <v>-1877</v>
      </c>
      <c r="D21" s="6" t="n">
        <v>-3547</v>
      </c>
      <c r="E21" s="6" t="n">
        <v>-1734</v>
      </c>
      <c r="F21" s="6" t="n">
        <v>-294</v>
      </c>
    </row>
    <row r="22">
      <c r="A22" s="6" t="inlineStr">
        <is>
          <t>Increase/(decrease) in payables</t>
        </is>
      </c>
      <c r="B22" s="6" t="n">
        <v>6359</v>
      </c>
      <c r="C22" s="6" t="n">
        <v>46</v>
      </c>
      <c r="D22" s="6" t="n">
        <v>-26935</v>
      </c>
      <c r="E22" s="6" t="n">
        <v>99410</v>
      </c>
      <c r="F22" s="6" t="n">
        <v>3306</v>
      </c>
    </row>
    <row r="23">
      <c r="A23" s="6" t="inlineStr">
        <is>
          <t>Increase/(decrease) in deferred income</t>
        </is>
      </c>
      <c r="B23" s="6" t="n">
        <v>113</v>
      </c>
      <c r="C23" s="6" t="n">
        <v>-6167</v>
      </c>
      <c r="D23" s="6" t="n">
        <v>-16298</v>
      </c>
      <c r="E23" s="6" t="n">
        <v>-24954</v>
      </c>
      <c r="F23" s="6" t="n">
        <v>-17307</v>
      </c>
    </row>
    <row r="24">
      <c r="A24" s="6" t="inlineStr">
        <is>
          <t>Increase in customer deposits/amounts due to customers</t>
        </is>
      </c>
      <c r="B24" s="6" t="n">
        <v>7006677</v>
      </c>
      <c r="C24" s="6" t="n">
        <v>4654971</v>
      </c>
      <c r="D24" s="6" t="n">
        <v>3152204</v>
      </c>
      <c r="E24" s="6" t="n">
        <v>335213</v>
      </c>
      <c r="F24" s="6" t="n">
        <v>1718866</v>
      </c>
    </row>
    <row r="25">
      <c r="A25" s="6" t="inlineStr">
        <is>
          <t>Foreign currency differences (working capital)</t>
        </is>
      </c>
      <c r="B25" s="6" t="n">
        <v>5979</v>
      </c>
      <c r="C25" s="6" t="n">
        <v>-3846</v>
      </c>
      <c r="D25" s="6" t="n"/>
      <c r="E25" s="6" t="n"/>
      <c r="F25" s="6" t="n"/>
    </row>
    <row r="26">
      <c r="A26" s="5" t="inlineStr">
        <is>
          <t>Cash generated by/from operations</t>
        </is>
      </c>
      <c r="B26" s="5" t="n">
        <v>6945732</v>
      </c>
      <c r="C26" s="5" t="n">
        <v>4605294</v>
      </c>
      <c r="D26" s="5" t="n">
        <v>3048370</v>
      </c>
      <c r="E26" s="5" t="n">
        <v>377474</v>
      </c>
      <c r="F26" s="5" t="n">
        <v>1681659</v>
      </c>
    </row>
    <row r="27">
      <c r="A27" s="6" t="inlineStr">
        <is>
          <t>Interest received</t>
        </is>
      </c>
      <c r="B27" s="6" t="n">
        <v>625779</v>
      </c>
      <c r="C27" s="6" t="n">
        <v>425289</v>
      </c>
      <c r="D27" s="6" t="n">
        <v>243957</v>
      </c>
      <c r="E27" s="6" t="n">
        <v>43774</v>
      </c>
      <c r="F27" s="6" t="n">
        <v>2056</v>
      </c>
    </row>
    <row r="28">
      <c r="A28" s="6" t="inlineStr">
        <is>
          <t>Interest paid</t>
        </is>
      </c>
      <c r="B28" s="6" t="n">
        <v>-553258</v>
      </c>
      <c r="C28" s="6" t="n">
        <v>-341945</v>
      </c>
      <c r="D28" s="6" t="n">
        <v>-149139</v>
      </c>
      <c r="E28" s="6" t="n">
        <v>-7621</v>
      </c>
      <c r="F28" s="6" t="n"/>
    </row>
    <row r="29">
      <c r="A29" s="6" t="inlineStr">
        <is>
          <t>Tax (paid)/received</t>
        </is>
      </c>
      <c r="B29" s="6" t="n">
        <v>-1062</v>
      </c>
      <c r="C29" s="6" t="n">
        <v>2134</v>
      </c>
      <c r="D29" s="6" t="n">
        <v>-640</v>
      </c>
      <c r="E29" s="6" t="n"/>
      <c r="F29" s="6" t="n"/>
    </row>
    <row r="30">
      <c r="A30" s="5" t="inlineStr">
        <is>
          <t>Net cash generated from operating activities</t>
        </is>
      </c>
      <c r="B30" s="5" t="n">
        <v>7017191</v>
      </c>
      <c r="C30" s="5" t="n">
        <v>4690772</v>
      </c>
      <c r="D30" s="5" t="n">
        <v>3142548</v>
      </c>
      <c r="E30" s="5" t="n">
        <v>413627</v>
      </c>
      <c r="F30" s="5" t="n">
        <v>1683715</v>
      </c>
    </row>
    <row r="31">
      <c r="A31" s="5" t="inlineStr">
        <is>
          <t>Investing activities</t>
        </is>
      </c>
      <c r="B31" s="6" t="n"/>
      <c r="C31" s="6" t="n"/>
      <c r="D31" s="6" t="n"/>
      <c r="E31" s="6" t="n"/>
      <c r="F31" s="6" t="n"/>
    </row>
    <row r="32">
      <c r="A32" s="6" t="inlineStr">
        <is>
          <t>Purchase of property, plant and equipment</t>
        </is>
      </c>
      <c r="B32" s="6" t="n">
        <v>-29</v>
      </c>
      <c r="C32" s="6" t="n">
        <v>-5</v>
      </c>
      <c r="D32" s="6" t="n">
        <v>-41</v>
      </c>
      <c r="E32" s="6" t="n">
        <v>-408</v>
      </c>
      <c r="F32" s="6" t="n">
        <v>-268</v>
      </c>
    </row>
    <row r="33">
      <c r="A33" s="6" t="inlineStr">
        <is>
          <t>Purchase of intangible assets</t>
        </is>
      </c>
      <c r="B33" s="6" t="n">
        <v>-15655</v>
      </c>
      <c r="C33" s="6" t="n">
        <v>-24091</v>
      </c>
      <c r="D33" s="6" t="n">
        <v>-21737</v>
      </c>
      <c r="E33" s="6" t="n">
        <v>-7736</v>
      </c>
      <c r="F33" s="6" t="n">
        <v>-8356</v>
      </c>
    </row>
    <row r="34">
      <c r="A34" s="5" t="inlineStr">
        <is>
          <t>Net cash used in investing activities</t>
        </is>
      </c>
      <c r="B34" s="5" t="n">
        <v>-15684</v>
      </c>
      <c r="C34" s="5" t="n">
        <v>-24096</v>
      </c>
      <c r="D34" s="5" t="n">
        <v>-21778</v>
      </c>
      <c r="E34" s="5" t="n">
        <v>-8144</v>
      </c>
      <c r="F34" s="5" t="n">
        <v>-8624</v>
      </c>
    </row>
    <row r="35">
      <c r="A35" s="5" t="inlineStr">
        <is>
          <t>Financing activities</t>
        </is>
      </c>
      <c r="B35" s="6" t="n"/>
      <c r="C35" s="6" t="n"/>
      <c r="D35" s="6" t="n"/>
      <c r="E35" s="6" t="n"/>
      <c r="F35" s="6" t="n"/>
    </row>
    <row r="36">
      <c r="A36" s="6" t="inlineStr">
        <is>
          <t>Proceeds from issue of Ordinary Shares</t>
        </is>
      </c>
      <c r="B36" s="6" t="n"/>
      <c r="C36" s="6" t="n">
        <v>35000</v>
      </c>
      <c r="D36" s="6" t="n">
        <v>11300</v>
      </c>
      <c r="E36" s="6" t="n">
        <v>533</v>
      </c>
      <c r="F36" s="6" t="n">
        <v>34500</v>
      </c>
    </row>
    <row r="37">
      <c r="A37" s="6" t="inlineStr">
        <is>
          <t>Direct costs paid for lease acquisition</t>
        </is>
      </c>
      <c r="B37" s="6" t="n">
        <v>-24</v>
      </c>
      <c r="C37" s="6" t="n"/>
      <c r="D37" s="6" t="n"/>
      <c r="E37" s="6" t="n"/>
      <c r="F37" s="6" t="n"/>
    </row>
    <row r="38">
      <c r="A38" s="6" t="inlineStr">
        <is>
          <t>Principal paid on lease liabilities</t>
        </is>
      </c>
      <c r="B38" s="6" t="n">
        <v>-1579</v>
      </c>
      <c r="C38" s="6" t="n">
        <v>-1567</v>
      </c>
      <c r="D38" s="6" t="n">
        <v>-1763</v>
      </c>
      <c r="E38" s="6" t="n">
        <v>-917</v>
      </c>
      <c r="F38" s="6" t="n">
        <v>-1974</v>
      </c>
    </row>
    <row r="39">
      <c r="A39" s="6" t="inlineStr">
        <is>
          <t>Interest paid on lease liabilities</t>
        </is>
      </c>
      <c r="B39" s="6" t="n"/>
      <c r="C39" s="6" t="n"/>
      <c r="D39" s="6" t="n"/>
      <c r="E39" s="6" t="n"/>
      <c r="F39" s="6" t="n">
        <v>-34</v>
      </c>
    </row>
    <row r="40">
      <c r="A40" s="5" t="inlineStr">
        <is>
          <t>Net cash generated from/(used in) financing activities</t>
        </is>
      </c>
      <c r="B40" s="5" t="n">
        <v>-1603</v>
      </c>
      <c r="C40" s="5" t="n">
        <v>33433</v>
      </c>
      <c r="D40" s="5" t="n">
        <v>9537</v>
      </c>
      <c r="E40" s="5" t="n">
        <v>-384</v>
      </c>
      <c r="F40" s="5" t="n">
        <v>32492</v>
      </c>
    </row>
    <row r="41">
      <c r="A41" s="5" t="inlineStr">
        <is>
          <t>Net increase in cash and cash equivalents</t>
        </is>
      </c>
      <c r="B41" s="5" t="n">
        <v>6999904</v>
      </c>
      <c r="C41" s="5" t="n">
        <v>4700109</v>
      </c>
      <c r="D41" s="5" t="n">
        <v>3130307</v>
      </c>
      <c r="E41" s="5" t="n">
        <v>405099</v>
      </c>
      <c r="F41" s="5" t="n">
        <v>1707583</v>
      </c>
    </row>
    <row r="42">
      <c r="A42" s="6" t="inlineStr">
        <is>
          <t>Cash and cash equivalents at the beginning of the year</t>
        </is>
      </c>
      <c r="B42" s="6" t="n">
        <v>10961293</v>
      </c>
      <c r="C42" s="6" t="n">
        <v>6258123</v>
      </c>
      <c r="D42" s="6" t="n">
        <v>3125862</v>
      </c>
      <c r="E42" s="6" t="n">
        <v>2720797</v>
      </c>
      <c r="F42" s="6" t="n">
        <v>1013224</v>
      </c>
    </row>
    <row r="43">
      <c r="A43" s="6" t="inlineStr">
        <is>
          <t>Effect of foreign exchange rate changes</t>
        </is>
      </c>
      <c r="B43" s="6" t="n">
        <v>-4221</v>
      </c>
      <c r="C43" s="6" t="n">
        <v>3061</v>
      </c>
      <c r="D43" s="6" t="n">
        <v>-43</v>
      </c>
      <c r="E43" s="6" t="n">
        <v>-34</v>
      </c>
      <c r="F43" s="6" t="n">
        <v>-10</v>
      </c>
    </row>
    <row r="44">
      <c r="A44" s="5" t="inlineStr">
        <is>
          <t>Cash and cash equivalents at the end of the year</t>
        </is>
      </c>
      <c r="B44" s="5" t="n">
        <v>17956976</v>
      </c>
      <c r="C44" s="5" t="n">
        <v>10961293</v>
      </c>
      <c r="D44" s="5" t="n">
        <v>6256126</v>
      </c>
      <c r="E44" s="5" t="n">
        <v>3125862</v>
      </c>
      <c r="F44" s="5" t="n">
        <v>2720797</v>
      </c>
    </row>
    <row r="46" ht="280" customHeight="1">
      <c r="A46"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ClearBank Limited (FRN 754568, company 09736376), a UK clearing/embedded-banking infrastructure bank. Group basis throughout (parent-only figures are not materially different - the Group is essentially the Bank plus dormant/minor subsidiaries). Does NOT take the FRS 101/102 cash-flow-statement exemption - full Consolidated Statement of Cash Flows every year.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t>
        </is>
      </c>
    </row>
  </sheetData>
  <mergeCells count="1">
    <mergeCell ref="A46:F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132</v>
      </c>
      <c r="C4" s="6" t="n">
        <v>141</v>
      </c>
      <c r="D4" s="6" t="n">
        <v>126</v>
      </c>
      <c r="E4" s="6" t="n">
        <v>33</v>
      </c>
      <c r="F4" s="6" t="n">
        <v>36.7</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49.75%</t>
        </is>
      </c>
      <c r="C4" s="6" t="inlineStr">
        <is>
          <t>67.02%</t>
        </is>
      </c>
      <c r="D4" s="6" t="inlineStr">
        <is>
          <t>77.45%</t>
        </is>
      </c>
      <c r="E4" s="6" t="inlineStr">
        <is>
          <t>87.66%</t>
        </is>
      </c>
      <c r="F4" s="6" t="inlineStr">
        <is>
          <t>139.70%</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132</v>
      </c>
      <c r="C4" s="6" t="n">
        <v>141</v>
      </c>
      <c r="D4" s="6" t="n">
        <v>126</v>
      </c>
      <c r="E4" s="6" t="n">
        <v>33</v>
      </c>
      <c r="F4" s="6" t="n">
        <v>36.7</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49.75%</t>
        </is>
      </c>
      <c r="C4" s="6" t="inlineStr">
        <is>
          <t>67.02%</t>
        </is>
      </c>
      <c r="D4" s="6" t="inlineStr">
        <is>
          <t>77.45%</t>
        </is>
      </c>
      <c r="E4" s="6" t="inlineStr">
        <is>
          <t>87.66%</t>
        </is>
      </c>
      <c r="F4" s="6" t="inlineStr">
        <is>
          <t>139.70%</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132</v>
      </c>
      <c r="C4" s="6" t="n">
        <v>141</v>
      </c>
      <c r="D4" s="6" t="n">
        <v>126</v>
      </c>
      <c r="E4" s="6" t="n">
        <v>33</v>
      </c>
      <c r="F4" s="6" t="n">
        <v>36.7</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49.75%</t>
        </is>
      </c>
      <c r="C4" s="6" t="inlineStr">
        <is>
          <t>67.02%</t>
        </is>
      </c>
      <c r="D4" s="6" t="inlineStr">
        <is>
          <t>77.45%</t>
        </is>
      </c>
      <c r="E4" s="6" t="inlineStr">
        <is>
          <t>87.66%</t>
        </is>
      </c>
      <c r="F4" s="6" t="inlineStr">
        <is>
          <t>139.70%</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266</v>
      </c>
      <c r="C4" s="6" t="n">
        <v>211</v>
      </c>
      <c r="D4" s="6" t="n">
        <v>163</v>
      </c>
      <c r="E4" s="6" t="n">
        <v>38</v>
      </c>
      <c r="F4" s="6" t="n">
        <v>26</v>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20.05%</t>
        </is>
      </c>
      <c r="C4" s="6" t="inlineStr">
        <is>
          <t>26.07%</t>
        </is>
      </c>
      <c r="D4" s="6" t="inlineStr">
        <is>
          <t>43.51%</t>
        </is>
      </c>
      <c r="E4" s="6" t="inlineStr">
        <is>
          <t>13.87%</t>
        </is>
      </c>
      <c r="F4" s="6" t="inlineStr">
        <is>
          <t>38.79%</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396.85%</t>
        </is>
      </c>
      <c r="C4" s="6" t="inlineStr">
        <is>
          <t>381.88%</t>
        </is>
      </c>
      <c r="D4" s="6" t="inlineStr">
        <is>
          <t>445.36%</t>
        </is>
      </c>
      <c r="E4" s="6" t="inlineStr">
        <is>
          <t>297.05%</t>
        </is>
      </c>
      <c r="F4" s="6" t="inlineStr">
        <is>
          <t>185.94%</t>
        </is>
      </c>
    </row>
    <row r="6" ht="190" customHeight="1">
      <c r="A6"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20366.50%</t>
        </is>
      </c>
      <c r="C4" s="6" t="inlineStr">
        <is>
          <t>15959.22%</t>
        </is>
      </c>
      <c r="D4" s="6" t="inlineStr">
        <is>
          <t>10153.88%</t>
        </is>
      </c>
      <c r="E4" s="6" t="inlineStr">
        <is>
          <t>5429.15%</t>
        </is>
      </c>
      <c r="F4" s="6" t="inlineStr">
        <is>
          <t>11701.32%</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ratio or qualitative MREL statement found in any Pillar 3 document reviewed (FY2021-FY2025), no reason given.</t>
        </is>
      </c>
    </row>
    <row r="7" ht="150" customHeight="1">
      <c r="A7" s="8" t="inlineStr">
        <is>
          <t>Sources - ClearBank Group Pillar 3 Key Metrics table:
FY2025/FY2024: ClearBank Pillar 3 Disclosure 2025, p.15 - https://clear.bank/uploads/assets/ClearBank-Pillar-3-2025.pdf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CET1 = Tier 1 = Total Capital every year (no AT1/Tier 2 instruments). MREL not disclosed anywhere in any Pillar 3 document reviewed,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2026-08-28T03:44:05Z</dcterms:created>
  <dcterms:modified xsi:type="dcterms:W3CDTF">2026-08-28T03:44:05Z</dcterms:modified>
</cp:coreProperties>
</file>