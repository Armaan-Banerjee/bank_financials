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47F85"/>
        <bgColor rgb="00E47F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ClearBank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ClearBank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'Overview'!Y12</f>
            </strRef>
          </tx>
          <spPr>
            <a:ln xmlns:a="http://schemas.openxmlformats.org/drawingml/2006/main">
              <a:prstDash val="solid"/>
            </a:ln>
          </spPr>
          <cat>
            <numRef>
              <f>'Overview'!$Z$11:$AH$11</f>
            </numRef>
          </cat>
          <val>
            <numRef>
              <f>'Overview'!$Z$12:$AH$12</f>
            </numRef>
          </val>
        </ser>
        <ser>
          <idx val="1"/>
          <order val="1"/>
          <tx>
            <strRef>
              <f>'Overview'!Y13</f>
            </strRef>
          </tx>
          <spPr>
            <a:ln xmlns:a="http://schemas.openxmlformats.org/drawingml/2006/main">
              <a:prstDash val="solid"/>
            </a:ln>
          </spPr>
          <cat>
            <numRef>
              <f>'Overview'!$Z$11:$AH$11</f>
            </numRef>
          </cat>
          <val>
            <numRef>
              <f>'Overview'!$Z$13:$AH$13</f>
            </numRef>
          </val>
        </ser>
        <ser>
          <idx val="2"/>
          <order val="2"/>
          <tx>
            <strRef>
              <f>'Overview'!Y14</f>
            </strRef>
          </tx>
          <spPr>
            <a:ln xmlns:a="http://schemas.openxmlformats.org/drawingml/2006/main">
              <a:prstDash val="solid"/>
            </a:ln>
          </spPr>
          <cat>
            <numRef>
              <f>'Overview'!$Z$11:$AH$11</f>
            </numRef>
          </cat>
          <val>
            <numRef>
              <f>'Overview'!$Z$14:$AH$14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ClearBank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'Overview'!AK18</f>
            </strRef>
          </tx>
          <spPr>
            <a:ln xmlns:a="http://schemas.openxmlformats.org/drawingml/2006/main">
              <a:prstDash val="solid"/>
            </a:ln>
          </spPr>
          <cat>
            <numRef>
              <f>'Overview'!$AL$17:$AT$17</f>
            </numRef>
          </cat>
          <val>
            <numRef>
              <f>'Overview'!$AL$18:$AT$18</f>
            </numRef>
          </val>
        </ser>
        <ser>
          <idx val="1"/>
          <order val="1"/>
          <tx>
            <strRef>
              <f>'Overview'!AK19</f>
            </strRef>
          </tx>
          <spPr>
            <a:ln xmlns:a="http://schemas.openxmlformats.org/drawingml/2006/main">
              <a:prstDash val="solid"/>
            </a:ln>
          </spPr>
          <cat>
            <numRef>
              <f>'Overview'!$AL$17:$AT$17</f>
            </numRef>
          </cat>
          <val>
            <numRef>
              <f>'Overview'!$AL$19:$AT$19</f>
            </numRef>
          </val>
        </ser>
        <ser>
          <idx val="2"/>
          <order val="2"/>
          <tx>
            <strRef>
              <f>'Overview'!AK20</f>
            </strRef>
          </tx>
          <spPr>
            <a:ln xmlns:a="http://schemas.openxmlformats.org/drawingml/2006/main">
              <a:prstDash val="solid"/>
            </a:ln>
          </spPr>
          <cat>
            <numRef>
              <f>'Overview'!$AL$17:$AT$17</f>
            </numRef>
          </cat>
          <val>
            <numRef>
              <f>'Overview'!$AL$20:$AT$20</f>
            </numRef>
          </val>
        </ser>
        <ser>
          <idx val="3"/>
          <order val="3"/>
          <tx>
            <strRef>
              <f>'Overview'!AK21</f>
            </strRef>
          </tx>
          <spPr>
            <a:ln xmlns:a="http://schemas.openxmlformats.org/drawingml/2006/main">
              <a:prstDash val="solid"/>
            </a:ln>
          </spPr>
          <cat>
            <numRef>
              <f>'Overview'!$AL$17:$AT$17</f>
            </numRef>
          </cat>
          <val>
            <numRef>
              <f>'Overview'!$AL$21:$AT$21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ClearBank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'Overview'!AW25</f>
            </strRef>
          </tx>
          <spPr>
            <a:ln xmlns:a="http://schemas.openxmlformats.org/drawingml/2006/main">
              <a:prstDash val="solid"/>
            </a:ln>
          </spPr>
          <cat>
            <numRef>
              <f>'Overview'!$AX$24:$BF$24</f>
            </numRef>
          </cat>
          <val>
            <numRef>
              <f>'Overview'!$AX$25:$BF$25</f>
            </numRef>
          </val>
        </ser>
        <ser>
          <idx val="1"/>
          <order val="1"/>
          <tx>
            <strRef>
              <f>'Overview'!AW26</f>
            </strRef>
          </tx>
          <spPr>
            <a:ln xmlns:a="http://schemas.openxmlformats.org/drawingml/2006/main">
              <a:prstDash val="solid"/>
            </a:ln>
          </spPr>
          <cat>
            <numRef>
              <f>'Overview'!$AX$24:$BF$24</f>
            </numRef>
          </cat>
          <val>
            <numRef>
              <f>'Overview'!$AX$26:$BF$26</f>
            </numRef>
          </val>
        </ser>
        <ser>
          <idx val="2"/>
          <order val="2"/>
          <tx>
            <strRef>
              <f>'Overview'!AW27</f>
            </strRef>
          </tx>
          <spPr>
            <a:ln xmlns:a="http://schemas.openxmlformats.org/drawingml/2006/main">
              <a:prstDash val="solid"/>
            </a:ln>
          </spPr>
          <cat>
            <numRef>
              <f>'Overview'!$AX$24:$BF$24</f>
            </numRef>
          </cat>
          <val>
            <numRef>
              <f>'Overview'!$AX$27:$BF$27</f>
            </numRef>
          </val>
        </ser>
        <ser>
          <idx val="3"/>
          <order val="3"/>
          <tx>
            <strRef>
              <f>'Overview'!AW28</f>
            </strRef>
          </tx>
          <spPr>
            <a:ln xmlns:a="http://schemas.openxmlformats.org/drawingml/2006/main">
              <a:prstDash val="solid"/>
            </a:ln>
          </spPr>
          <cat>
            <numRef>
              <f>'Overview'!$AX$24:$BF$24</f>
            </numRef>
          </cat>
          <val>
            <numRef>
              <f>'Overview'!$AX$28:$BF$28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ClearBank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ClearBank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18068355</v>
      </c>
      <c r="C6" s="5" t="n">
        <v>11064063</v>
      </c>
      <c r="D6" s="5" t="n">
        <v>6366850</v>
      </c>
      <c r="E6" s="5" t="n">
        <v>3204409</v>
      </c>
      <c r="F6" s="5" t="n">
        <v>2772608</v>
      </c>
      <c r="G6" s="5" t="n">
        <v>1052971</v>
      </c>
      <c r="H6" s="5" t="n">
        <v>562825</v>
      </c>
      <c r="I6" s="5" t="n">
        <v>87456</v>
      </c>
      <c r="J6" s="5" t="n">
        <v>40015</v>
      </c>
      <c r="M6" t="inlineStr">
        <is>
          <t>Total assets</t>
        </is>
      </c>
      <c r="N6" t="n">
        <v>40015</v>
      </c>
      <c r="O6" t="n">
        <v>87456</v>
      </c>
      <c r="P6" t="n">
        <v>562825</v>
      </c>
      <c r="Q6" t="n">
        <v>1052971</v>
      </c>
      <c r="R6" t="n">
        <v>2772608</v>
      </c>
      <c r="S6" t="n">
        <v>3204409</v>
      </c>
      <c r="T6" t="n">
        <v>6366850</v>
      </c>
      <c r="U6" t="n">
        <v>11064063</v>
      </c>
      <c r="V6" t="n">
        <v>18068355</v>
      </c>
      <c r="BI6" t="inlineStr">
        <is>
          <t>CET1 Ratio</t>
        </is>
      </c>
      <c r="BJ6" t="n">
        <v>53</v>
      </c>
      <c r="BK6" t="n">
        <v>35</v>
      </c>
      <c r="BL6" t="n">
        <v>88</v>
      </c>
      <c r="BM6" t="n">
        <v>114.2</v>
      </c>
      <c r="BN6" t="n">
        <v>139.7</v>
      </c>
      <c r="BO6" t="n">
        <v>87.66</v>
      </c>
      <c r="BP6" t="n">
        <v>77.45</v>
      </c>
      <c r="BQ6" t="n">
        <v>67.02</v>
      </c>
      <c r="BR6" t="n">
        <v>49.75</v>
      </c>
    </row>
    <row r="7">
      <c r="A7" s="5" t="inlineStr">
        <is>
          <t>Customer deposits</t>
        </is>
      </c>
      <c r="B7" s="5" t="n">
        <v>17826803</v>
      </c>
      <c r="C7" s="5" t="n">
        <v>10818568</v>
      </c>
      <c r="D7" s="5" t="n">
        <v>6147363</v>
      </c>
      <c r="E7" s="5" t="n">
        <v>2982259</v>
      </c>
      <c r="F7" s="5" t="n">
        <v>2644756</v>
      </c>
      <c r="G7" s="5" t="n">
        <v>925890</v>
      </c>
      <c r="H7" s="5" t="n">
        <v>457981</v>
      </c>
      <c r="I7" s="5" t="n">
        <v>44145</v>
      </c>
      <c r="J7" s="5" t="n">
        <v>1601</v>
      </c>
      <c r="M7" t="inlineStr">
        <is>
          <t>Customer deposits</t>
        </is>
      </c>
      <c r="N7" t="n">
        <v>1601</v>
      </c>
      <c r="O7" t="n">
        <v>44145</v>
      </c>
      <c r="P7" t="n">
        <v>457981</v>
      </c>
      <c r="Q7" t="n">
        <v>925890</v>
      </c>
      <c r="R7" t="n">
        <v>2644756</v>
      </c>
      <c r="S7" t="n">
        <v>2982259</v>
      </c>
      <c r="T7" t="n">
        <v>6147363</v>
      </c>
      <c r="U7" t="n">
        <v>10818568</v>
      </c>
      <c r="V7" t="n">
        <v>17826803</v>
      </c>
      <c r="BI7" t="inlineStr">
        <is>
          <t>Leverage Ratio</t>
        </is>
      </c>
      <c r="BJ7" t="n">
        <v>84</v>
      </c>
      <c r="BK7" t="n">
        <v>74</v>
      </c>
      <c r="BL7" t="n">
        <v>21</v>
      </c>
      <c r="BM7" t="n">
        <v>30</v>
      </c>
      <c r="BN7" t="n">
        <v>38.79</v>
      </c>
      <c r="BO7" t="n">
        <v>13.87</v>
      </c>
      <c r="BP7" t="n">
        <v>43.51</v>
      </c>
      <c r="BQ7" t="n">
        <v>26.07</v>
      </c>
      <c r="BR7" t="n">
        <v>20.05</v>
      </c>
    </row>
    <row r="8">
      <c r="A8" s="5" t="inlineStr">
        <is>
          <t>Total equity</t>
        </is>
      </c>
      <c r="B8" s="5" t="n">
        <v>212839</v>
      </c>
      <c r="C8" s="5" t="n">
        <v>222291</v>
      </c>
      <c r="D8" s="5" t="n">
        <v>129526</v>
      </c>
      <c r="E8" s="5" t="n">
        <v>87312</v>
      </c>
      <c r="F8" s="5" t="n">
        <v>72217</v>
      </c>
      <c r="G8" s="5" t="n">
        <v>58247</v>
      </c>
      <c r="H8" s="5" t="n">
        <v>40242</v>
      </c>
      <c r="I8" s="5" t="n">
        <v>36908</v>
      </c>
      <c r="J8" s="5" t="n">
        <v>34047</v>
      </c>
      <c r="M8" t="inlineStr">
        <is>
          <t>Total equity</t>
        </is>
      </c>
      <c r="N8" t="n">
        <v>34047</v>
      </c>
      <c r="O8" t="n">
        <v>36908</v>
      </c>
      <c r="P8" t="n">
        <v>40242</v>
      </c>
      <c r="Q8" t="n">
        <v>58247</v>
      </c>
      <c r="R8" t="n">
        <v>72217</v>
      </c>
      <c r="S8" t="n">
        <v>87312</v>
      </c>
      <c r="T8" t="n">
        <v>129526</v>
      </c>
      <c r="U8" t="n">
        <v>222291</v>
      </c>
      <c r="V8" t="n">
        <v>212839</v>
      </c>
      <c r="BI8" t="inlineStr">
        <is>
          <t>LCR</t>
        </is>
      </c>
      <c r="BJ8" t="n">
        <v>3718</v>
      </c>
      <c r="BK8" t="n">
        <v>237</v>
      </c>
      <c r="BL8" t="n">
        <v>127</v>
      </c>
      <c r="BM8" t="n">
        <v>186</v>
      </c>
      <c r="BN8" t="n">
        <v>185.94</v>
      </c>
      <c r="BO8" t="n">
        <v>297.05</v>
      </c>
      <c r="BP8" t="n">
        <v>445.36</v>
      </c>
      <c r="BQ8" t="n">
        <v>381.88</v>
      </c>
      <c r="BR8" t="n">
        <v>396.85</v>
      </c>
    </row>
    <row r="10">
      <c r="A10" s="3" t="inlineStr">
        <is>
          <t>Profit &amp; Loss Summary (£'000)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Z11" t="inlineStr">
        <is>
          <t>FY2017</t>
        </is>
      </c>
      <c r="AA11" t="inlineStr">
        <is>
          <t>FY2018</t>
        </is>
      </c>
      <c r="AB11" t="inlineStr">
        <is>
          <t>FY2019</t>
        </is>
      </c>
      <c r="AC11" t="inlineStr">
        <is>
          <t>FY2020</t>
        </is>
      </c>
      <c r="AD11" t="inlineStr">
        <is>
          <t>FY2021</t>
        </is>
      </c>
      <c r="AE11" t="inlineStr">
        <is>
          <t>FY2022</t>
        </is>
      </c>
      <c r="AF11" t="inlineStr">
        <is>
          <t>FY2023</t>
        </is>
      </c>
      <c r="AG11" t="inlineStr">
        <is>
          <t>FY2024</t>
        </is>
      </c>
      <c r="AH11" t="inlineStr">
        <is>
          <t>FY2025</t>
        </is>
      </c>
    </row>
    <row r="12">
      <c r="A12" s="5" t="inlineStr">
        <is>
          <t>Total income</t>
        </is>
      </c>
      <c r="B12" s="5" t="n">
        <v>132684</v>
      </c>
      <c r="C12" s="5" t="n">
        <v>112086</v>
      </c>
      <c r="D12" s="5" t="n">
        <v>111347</v>
      </c>
      <c r="E12" s="5" t="n">
        <v>58284</v>
      </c>
      <c r="F12" s="5" t="n">
        <v>21394</v>
      </c>
      <c r="G12" s="5" t="n">
        <v>10618</v>
      </c>
      <c r="H12" s="5" t="n">
        <v>5318</v>
      </c>
      <c r="I12" s="5" t="n">
        <v>838</v>
      </c>
      <c r="J12" s="5" t="n">
        <v>49</v>
      </c>
      <c r="Y12" t="inlineStr">
        <is>
          <t>Total income</t>
        </is>
      </c>
      <c r="Z12" t="n">
        <v>49</v>
      </c>
      <c r="AA12" t="n">
        <v>838</v>
      </c>
      <c r="AB12" t="n">
        <v>5318</v>
      </c>
      <c r="AC12" t="n">
        <v>10618</v>
      </c>
      <c r="AD12" t="n">
        <v>21394</v>
      </c>
      <c r="AE12" t="n">
        <v>58284</v>
      </c>
      <c r="AF12" t="n">
        <v>111347</v>
      </c>
      <c r="AG12" t="n">
        <v>112086</v>
      </c>
      <c r="AH12" t="n">
        <v>132684</v>
      </c>
    </row>
    <row r="13">
      <c r="A13" s="5" t="inlineStr">
        <is>
          <t>Operating expenses</t>
        </is>
      </c>
      <c r="B13" s="5" t="n">
        <v>-148934</v>
      </c>
      <c r="C13" s="5" t="n">
        <v>-122035</v>
      </c>
      <c r="D13" s="5" t="n">
        <v>-105783</v>
      </c>
      <c r="E13" s="5" t="n">
        <v>-77638</v>
      </c>
      <c r="F13" s="5" t="n">
        <v>-52439</v>
      </c>
      <c r="G13" s="5" t="n">
        <v>-41283</v>
      </c>
      <c r="H13" s="5" t="n">
        <v>-39092</v>
      </c>
      <c r="I13" s="5" t="n">
        <v>-30371</v>
      </c>
      <c r="J13" s="5" t="n">
        <v>-17597</v>
      </c>
      <c r="Y13" t="inlineStr">
        <is>
          <t>Operating expenses</t>
        </is>
      </c>
      <c r="Z13" t="n">
        <v>-17597</v>
      </c>
      <c r="AA13" t="n">
        <v>-30371</v>
      </c>
      <c r="AB13" t="n">
        <v>-39092</v>
      </c>
      <c r="AC13" t="n">
        <v>-41283</v>
      </c>
      <c r="AD13" t="n">
        <v>-52439</v>
      </c>
      <c r="AE13" t="n">
        <v>-77638</v>
      </c>
      <c r="AF13" t="n">
        <v>-105783</v>
      </c>
      <c r="AG13" t="n">
        <v>-122035</v>
      </c>
      <c r="AH13" t="n">
        <v>-148934</v>
      </c>
    </row>
    <row r="14">
      <c r="A14" s="5" t="inlineStr">
        <is>
          <t>Profit/(loss) for the year after taxation</t>
        </is>
      </c>
      <c r="B14" s="5" t="n">
        <v>-15765</v>
      </c>
      <c r="C14" s="5" t="n">
        <v>-10318</v>
      </c>
      <c r="D14" s="5" t="n">
        <v>22396</v>
      </c>
      <c r="E14" s="5" t="n">
        <v>6818</v>
      </c>
      <c r="F14" s="5" t="n">
        <v>-28200</v>
      </c>
      <c r="G14" s="5" t="n">
        <v>-29796</v>
      </c>
      <c r="H14" s="5" t="n">
        <v>-33996</v>
      </c>
      <c r="I14" s="5" t="n">
        <v>-24844</v>
      </c>
      <c r="J14" s="5" t="n">
        <v>-13899</v>
      </c>
      <c r="Y14" t="inlineStr">
        <is>
          <t>Profit/(loss) for the year after taxation</t>
        </is>
      </c>
      <c r="Z14" t="n">
        <v>-13899</v>
      </c>
      <c r="AA14" t="n">
        <v>-24844</v>
      </c>
      <c r="AB14" t="n">
        <v>-33996</v>
      </c>
      <c r="AC14" t="n">
        <v>-29796</v>
      </c>
      <c r="AD14" t="n">
        <v>-28200</v>
      </c>
      <c r="AE14" t="n">
        <v>6818</v>
      </c>
      <c r="AF14" t="n">
        <v>22396</v>
      </c>
      <c r="AG14" t="n">
        <v>-10318</v>
      </c>
      <c r="AH14" t="n">
        <v>-15765</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AL17" t="inlineStr">
        <is>
          <t>FY2017</t>
        </is>
      </c>
      <c r="AM17" t="inlineStr">
        <is>
          <t>FY2018</t>
        </is>
      </c>
      <c r="AN17" t="inlineStr">
        <is>
          <t>FY2019</t>
        </is>
      </c>
      <c r="AO17" t="inlineStr">
        <is>
          <t>FY2020</t>
        </is>
      </c>
      <c r="AP17" t="inlineStr">
        <is>
          <t>FY2021</t>
        </is>
      </c>
      <c r="AQ17" t="inlineStr">
        <is>
          <t>FY2022</t>
        </is>
      </c>
      <c r="AR17" t="inlineStr">
        <is>
          <t>FY2023</t>
        </is>
      </c>
      <c r="AS17" t="inlineStr">
        <is>
          <t>FY2024</t>
        </is>
      </c>
      <c r="AT17" t="inlineStr">
        <is>
          <t>FY2025</t>
        </is>
      </c>
    </row>
    <row r="18">
      <c r="A18" s="5" t="inlineStr">
        <is>
          <t>Opening equity</t>
        </is>
      </c>
      <c r="B18" s="5" t="n">
        <v>222291</v>
      </c>
      <c r="C18" s="5" t="n">
        <v>196497</v>
      </c>
      <c r="D18" s="5" t="n">
        <v>87312</v>
      </c>
      <c r="E18" s="5" t="n">
        <v>72217</v>
      </c>
      <c r="F18" s="5" t="n">
        <v>58247</v>
      </c>
      <c r="G18" s="5" t="n">
        <v>40242</v>
      </c>
      <c r="H18" s="5" t="n">
        <v>36908</v>
      </c>
      <c r="I18" s="5" t="n">
        <v>34047</v>
      </c>
      <c r="J18" s="5" t="n">
        <v>19479</v>
      </c>
      <c r="AK18" t="inlineStr">
        <is>
          <t>Opening equity</t>
        </is>
      </c>
      <c r="AL18" t="n">
        <v>19479</v>
      </c>
      <c r="AM18" t="n">
        <v>34047</v>
      </c>
      <c r="AN18" t="n">
        <v>36908</v>
      </c>
      <c r="AO18" t="n">
        <v>40242</v>
      </c>
      <c r="AP18" t="n">
        <v>58247</v>
      </c>
      <c r="AQ18" t="n">
        <v>72217</v>
      </c>
      <c r="AR18" t="n">
        <v>87312</v>
      </c>
      <c r="AS18" t="n">
        <v>196497</v>
      </c>
      <c r="AT18" t="n">
        <v>222291</v>
      </c>
    </row>
    <row r="19">
      <c r="A19" s="5" t="inlineStr">
        <is>
          <t>Total comprehensive income/(loss) for the year</t>
        </is>
      </c>
      <c r="B19" s="5" t="n">
        <v>-13977</v>
      </c>
      <c r="C19" s="5" t="n">
        <v>-11085</v>
      </c>
      <c r="D19" s="5" t="n">
        <v>22396</v>
      </c>
      <c r="E19" s="5" t="n">
        <v>6819</v>
      </c>
      <c r="F19" s="5" t="n">
        <v>-28201</v>
      </c>
      <c r="G19" s="5" t="n">
        <v>-29903</v>
      </c>
      <c r="H19" s="5" t="n">
        <v>-33963</v>
      </c>
      <c r="I19" s="5" t="n">
        <v>-24844</v>
      </c>
      <c r="J19" s="5" t="n">
        <v>-13899</v>
      </c>
      <c r="AK19" t="inlineStr">
        <is>
          <t>Total comprehensive income/(loss) for the year</t>
        </is>
      </c>
      <c r="AL19" t="n">
        <v>-13899</v>
      </c>
      <c r="AM19" t="n">
        <v>-24844</v>
      </c>
      <c r="AN19" t="n">
        <v>-33963</v>
      </c>
      <c r="AO19" t="n">
        <v>-29903</v>
      </c>
      <c r="AP19" t="n">
        <v>-28201</v>
      </c>
      <c r="AQ19" t="n">
        <v>6819</v>
      </c>
      <c r="AR19" t="n">
        <v>22396</v>
      </c>
      <c r="AS19" t="n">
        <v>-11085</v>
      </c>
      <c r="AT19" t="n">
        <v>-13977</v>
      </c>
    </row>
    <row r="20">
      <c r="A20" s="5" t="inlineStr">
        <is>
          <t>Other equity movements, net</t>
        </is>
      </c>
      <c r="B20" s="5" t="n">
        <v>4525</v>
      </c>
      <c r="C20" s="5" t="n">
        <v>36879</v>
      </c>
      <c r="D20" s="5" t="n">
        <v>19818</v>
      </c>
      <c r="E20" s="5" t="n">
        <v>8276</v>
      </c>
      <c r="F20" s="5" t="n">
        <v>42171</v>
      </c>
      <c r="G20" s="5" t="n">
        <v>47908</v>
      </c>
      <c r="H20" s="5" t="n">
        <v>37297</v>
      </c>
      <c r="I20" s="5" t="n">
        <v>27705</v>
      </c>
      <c r="J20" s="5" t="n">
        <v>28467</v>
      </c>
      <c r="AK20" t="inlineStr">
        <is>
          <t>Other equity movements, net</t>
        </is>
      </c>
      <c r="AL20" t="n">
        <v>28467</v>
      </c>
      <c r="AM20" t="n">
        <v>27705</v>
      </c>
      <c r="AN20" t="n">
        <v>37297</v>
      </c>
      <c r="AO20" t="n">
        <v>47908</v>
      </c>
      <c r="AP20" t="n">
        <v>42171</v>
      </c>
      <c r="AQ20" t="n">
        <v>8276</v>
      </c>
      <c r="AR20" t="n">
        <v>19818</v>
      </c>
      <c r="AS20" t="n">
        <v>36879</v>
      </c>
      <c r="AT20" t="n">
        <v>4525</v>
      </c>
    </row>
    <row r="21">
      <c r="A21" s="5" t="inlineStr">
        <is>
          <t>Closing equity</t>
        </is>
      </c>
      <c r="B21" s="5" t="n">
        <v>212839</v>
      </c>
      <c r="C21" s="5" t="n">
        <v>222291</v>
      </c>
      <c r="D21" s="5" t="n">
        <v>129526</v>
      </c>
      <c r="E21" s="5" t="n">
        <v>87312</v>
      </c>
      <c r="F21" s="5" t="n">
        <v>72217</v>
      </c>
      <c r="G21" s="5" t="n">
        <v>58247</v>
      </c>
      <c r="H21" s="5" t="n">
        <v>40242</v>
      </c>
      <c r="I21" s="5" t="n">
        <v>36908</v>
      </c>
      <c r="J21" s="5" t="n">
        <v>34047</v>
      </c>
      <c r="AK21" t="inlineStr">
        <is>
          <t>Closing equity</t>
        </is>
      </c>
      <c r="AL21" t="n">
        <v>34047</v>
      </c>
      <c r="AM21" t="n">
        <v>36908</v>
      </c>
      <c r="AN21" t="n">
        <v>40242</v>
      </c>
      <c r="AO21" t="n">
        <v>58247</v>
      </c>
      <c r="AP21" t="n">
        <v>72217</v>
      </c>
      <c r="AQ21" t="n">
        <v>87312</v>
      </c>
      <c r="AR21" t="n">
        <v>129526</v>
      </c>
      <c r="AS21" t="n">
        <v>222291</v>
      </c>
      <c r="AT21" t="n">
        <v>212839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AX24" t="inlineStr">
        <is>
          <t>FY2017</t>
        </is>
      </c>
      <c r="AY24" t="inlineStr">
        <is>
          <t>FY2018</t>
        </is>
      </c>
      <c r="AZ24" t="inlineStr">
        <is>
          <t>FY2019</t>
        </is>
      </c>
      <c r="BA24" t="inlineStr">
        <is>
          <t>FY2020</t>
        </is>
      </c>
      <c r="BB24" t="inlineStr">
        <is>
          <t>FY2021</t>
        </is>
      </c>
      <c r="BC24" t="inlineStr">
        <is>
          <t>FY2022</t>
        </is>
      </c>
      <c r="BD24" t="inlineStr">
        <is>
          <t>FY2023</t>
        </is>
      </c>
      <c r="BE24" t="inlineStr">
        <is>
          <t>FY2024</t>
        </is>
      </c>
      <c r="BF24" t="inlineStr">
        <is>
          <t>FY2025</t>
        </is>
      </c>
    </row>
    <row r="25">
      <c r="A25" s="5" t="inlineStr">
        <is>
          <t>Net cash from operating activities</t>
        </is>
      </c>
      <c r="B25" s="5" t="n">
        <v>7017191</v>
      </c>
      <c r="C25" s="5" t="n">
        <v>4690772</v>
      </c>
      <c r="D25" s="5" t="n">
        <v>3142548</v>
      </c>
      <c r="E25" s="5" t="n">
        <v>413627</v>
      </c>
      <c r="F25" s="5" t="n">
        <v>1683715</v>
      </c>
      <c r="G25" s="5" t="n">
        <v>453624</v>
      </c>
      <c r="H25" s="5" t="n">
        <v>439707</v>
      </c>
      <c r="I25" s="5" t="n">
        <v>19481</v>
      </c>
      <c r="J25" s="5" t="n">
        <v>-13651</v>
      </c>
      <c r="AW25" t="inlineStr">
        <is>
          <t>Net cash from operating activities</t>
        </is>
      </c>
      <c r="AX25" t="n">
        <v>-13651</v>
      </c>
      <c r="AY25" t="n">
        <v>19481</v>
      </c>
      <c r="AZ25" t="n">
        <v>439707</v>
      </c>
      <c r="BA25" t="n">
        <v>453624</v>
      </c>
      <c r="BB25" t="n">
        <v>1683715</v>
      </c>
      <c r="BC25" t="n">
        <v>413627</v>
      </c>
      <c r="BD25" t="n">
        <v>3142548</v>
      </c>
      <c r="BE25" t="n">
        <v>4690772</v>
      </c>
      <c r="BF25" t="n">
        <v>7017191</v>
      </c>
    </row>
    <row r="26">
      <c r="A26" s="5" t="inlineStr">
        <is>
          <t>Net cash used in investing activities</t>
        </is>
      </c>
      <c r="B26" s="5" t="n">
        <v>-15684</v>
      </c>
      <c r="C26" s="5" t="n">
        <v>-24096</v>
      </c>
      <c r="D26" s="5" t="n">
        <v>-21778</v>
      </c>
      <c r="E26" s="5" t="n">
        <v>-8144</v>
      </c>
      <c r="F26" s="5" t="n">
        <v>-8624</v>
      </c>
      <c r="G26" s="5" t="n">
        <v>-8448</v>
      </c>
      <c r="H26" s="5" t="n">
        <v>-8835</v>
      </c>
      <c r="I26" s="5" t="n">
        <v>-8887</v>
      </c>
      <c r="J26" s="5" t="n">
        <v>-5670</v>
      </c>
      <c r="AW26" t="inlineStr">
        <is>
          <t>Net cash used in investing activities</t>
        </is>
      </c>
      <c r="AX26" t="n">
        <v>-5670</v>
      </c>
      <c r="AY26" t="n">
        <v>-8887</v>
      </c>
      <c r="AZ26" t="n">
        <v>-8835</v>
      </c>
      <c r="BA26" t="n">
        <v>-8448</v>
      </c>
      <c r="BB26" t="n">
        <v>-8624</v>
      </c>
      <c r="BC26" t="n">
        <v>-8144</v>
      </c>
      <c r="BD26" t="n">
        <v>-21778</v>
      </c>
      <c r="BE26" t="n">
        <v>-24096</v>
      </c>
      <c r="BF26" t="n">
        <v>-15684</v>
      </c>
    </row>
    <row r="27">
      <c r="A27" s="5" t="inlineStr">
        <is>
          <t>Net cash from/(used in) financing activities</t>
        </is>
      </c>
      <c r="B27" s="5" t="n">
        <v>-1603</v>
      </c>
      <c r="C27" s="5" t="n">
        <v>33433</v>
      </c>
      <c r="D27" s="5" t="n">
        <v>9537</v>
      </c>
      <c r="E27" s="5" t="n">
        <v>-384</v>
      </c>
      <c r="F27" s="5" t="n">
        <v>32492</v>
      </c>
      <c r="G27" s="5" t="n">
        <v>41462</v>
      </c>
      <c r="H27" s="5" t="n">
        <v>33195</v>
      </c>
      <c r="I27" s="5" t="n">
        <v>24871</v>
      </c>
      <c r="J27" s="5" t="n">
        <v>27908</v>
      </c>
      <c r="AW27" t="inlineStr">
        <is>
          <t>Net cash from/(used in) financing activities</t>
        </is>
      </c>
      <c r="AX27" t="n">
        <v>27908</v>
      </c>
      <c r="AY27" t="n">
        <v>24871</v>
      </c>
      <c r="AZ27" t="n">
        <v>33195</v>
      </c>
      <c r="BA27" t="n">
        <v>41462</v>
      </c>
      <c r="BB27" t="n">
        <v>32492</v>
      </c>
      <c r="BC27" t="n">
        <v>-384</v>
      </c>
      <c r="BD27" t="n">
        <v>9537</v>
      </c>
      <c r="BE27" t="n">
        <v>33433</v>
      </c>
      <c r="BF27" t="n">
        <v>-1603</v>
      </c>
    </row>
    <row r="28">
      <c r="A28" s="5" t="inlineStr">
        <is>
          <t>Cash and cash equivalents at end of year</t>
        </is>
      </c>
      <c r="B28" s="5" t="n">
        <v>17956976</v>
      </c>
      <c r="C28" s="5" t="n">
        <v>10961293</v>
      </c>
      <c r="D28" s="5" t="n">
        <v>6256126</v>
      </c>
      <c r="E28" s="5" t="n">
        <v>3125862</v>
      </c>
      <c r="F28" s="5" t="n">
        <v>2720797</v>
      </c>
      <c r="G28" s="5" t="n">
        <v>1013224</v>
      </c>
      <c r="H28" s="5" t="n">
        <v>526594</v>
      </c>
      <c r="I28" s="5" t="n">
        <v>62527</v>
      </c>
      <c r="J28" s="5" t="n">
        <v>27062</v>
      </c>
      <c r="AW28" t="inlineStr">
        <is>
          <t>Cash and cash equivalents at end of year</t>
        </is>
      </c>
      <c r="AX28" t="n">
        <v>27062</v>
      </c>
      <c r="AY28" t="n">
        <v>62527</v>
      </c>
      <c r="AZ28" t="n">
        <v>526594</v>
      </c>
      <c r="BA28" t="n">
        <v>1013224</v>
      </c>
      <c r="BB28" t="n">
        <v>2720797</v>
      </c>
      <c r="BC28" t="n">
        <v>3125862</v>
      </c>
      <c r="BD28" t="n">
        <v>6256126</v>
      </c>
      <c r="BE28" t="n">
        <v>10961293</v>
      </c>
      <c r="BF28" t="n">
        <v>17956976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row>
    <row r="32">
      <c r="A32" s="6" t="inlineStr">
        <is>
          <t>CET1 Ratio</t>
        </is>
      </c>
      <c r="B32" s="6" t="inlineStr">
        <is>
          <t>49.75%</t>
        </is>
      </c>
      <c r="C32" s="6" t="inlineStr">
        <is>
          <t>67.02%</t>
        </is>
      </c>
      <c r="D32" s="6" t="inlineStr">
        <is>
          <t>77.45%</t>
        </is>
      </c>
      <c r="E32" s="6" t="inlineStr">
        <is>
          <t>87.66%</t>
        </is>
      </c>
      <c r="F32" s="6" t="inlineStr">
        <is>
          <t>139.70%</t>
        </is>
      </c>
      <c r="G32" s="6" t="inlineStr">
        <is>
          <t>114.20%</t>
        </is>
      </c>
      <c r="H32" s="6" t="inlineStr">
        <is>
          <t>88%</t>
        </is>
      </c>
      <c r="I32" s="6" t="inlineStr">
        <is>
          <t>35%</t>
        </is>
      </c>
      <c r="J32" s="6" t="inlineStr">
        <is>
          <t>53%</t>
        </is>
      </c>
    </row>
    <row r="33">
      <c r="A33" s="6" t="inlineStr">
        <is>
          <t>Leverage Ratio</t>
        </is>
      </c>
      <c r="B33" s="6" t="inlineStr">
        <is>
          <t>20.05%</t>
        </is>
      </c>
      <c r="C33" s="6" t="inlineStr">
        <is>
          <t>26.07%</t>
        </is>
      </c>
      <c r="D33" s="6" t="inlineStr">
        <is>
          <t>43.51%</t>
        </is>
      </c>
      <c r="E33" s="6" t="inlineStr">
        <is>
          <t>13.87%</t>
        </is>
      </c>
      <c r="F33" s="6" t="inlineStr">
        <is>
          <t>38.79%</t>
        </is>
      </c>
      <c r="G33" s="6" t="inlineStr">
        <is>
          <t>30%</t>
        </is>
      </c>
      <c r="H33" s="6" t="inlineStr">
        <is>
          <t>21%</t>
        </is>
      </c>
      <c r="I33" s="6" t="inlineStr">
        <is>
          <t>74%</t>
        </is>
      </c>
      <c r="J33" s="6" t="inlineStr">
        <is>
          <t>84%</t>
        </is>
      </c>
    </row>
    <row r="34">
      <c r="A34" s="6" t="inlineStr">
        <is>
          <t>LCR</t>
        </is>
      </c>
      <c r="B34" s="6" t="inlineStr">
        <is>
          <t>396.85%</t>
        </is>
      </c>
      <c r="C34" s="6" t="inlineStr">
        <is>
          <t>381.88%</t>
        </is>
      </c>
      <c r="D34" s="6" t="inlineStr">
        <is>
          <t>445.36%</t>
        </is>
      </c>
      <c r="E34" s="6" t="inlineStr">
        <is>
          <t>297.05%</t>
        </is>
      </c>
      <c r="F34" s="6" t="inlineStr">
        <is>
          <t>185.94%</t>
        </is>
      </c>
      <c r="G34" s="6" t="inlineStr">
        <is>
          <t>186%</t>
        </is>
      </c>
      <c r="H34" s="6" t="inlineStr">
        <is>
          <t>127%</t>
        </is>
      </c>
      <c r="I34" s="6" t="inlineStr">
        <is>
          <t>237%</t>
        </is>
      </c>
      <c r="J34" s="6" t="inlineStr">
        <is>
          <t>3718%</t>
        </is>
      </c>
    </row>
    <row r="36" ht="45" customHeight="1">
      <c r="A36" s="7" t="inlineStr">
        <is>
          <t>Note: Figures are duplicated from the detail sheets for at-a-glance trend viewing; see each sheet's own source citation for the underlying document/page. Statement of Changes in Equity Summary: FY2024's Opening equity is a new ultimate parent entity's own balance (ClearBank Group Holdings Limited, inserted above ClearBank Limited during FY2024), not a continuation of FY2023's Closing equity - see the Statement of Changes in Equity sheet for the full entity-change note. NSFR omitted from this chart (values in the thousands of percent would flatten every other series) - see the NSFR sheet directly. HD-019: this workbook's year range now extends back to FY2017, ClearBank's independently-verified floor (first year with any customer deposits/income, following the bank's actual opening to customers in October 2017) - not FY2015, which an earlier ticket-generation pass had assumed purely from the entity's GLEIF incorporation date. See the HD-019 FLOOR VERIFICATION comment block near the top of build_clearbank.py and the Balance Sheet sheet's Sources note for the full evidence trail.</t>
        </is>
      </c>
    </row>
  </sheetData>
  <mergeCells count="1">
    <mergeCell ref="A36:J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Financial Position</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t>
        </is>
      </c>
      <c r="B5" s="6" t="n">
        <v>17956976</v>
      </c>
      <c r="C5" s="6" t="n">
        <v>10961293</v>
      </c>
      <c r="D5" s="6" t="n">
        <v>6256126</v>
      </c>
      <c r="E5" s="6" t="n">
        <v>3125862</v>
      </c>
      <c r="F5" s="6" t="n">
        <v>2720797</v>
      </c>
      <c r="G5" s="6" t="n">
        <v>1013224</v>
      </c>
      <c r="H5" s="6" t="n">
        <v>526594</v>
      </c>
      <c r="I5" s="6" t="n">
        <v>62527</v>
      </c>
      <c r="J5" s="6" t="n">
        <v>27062</v>
      </c>
    </row>
    <row r="6">
      <c r="A6" s="6" t="inlineStr">
        <is>
          <t>Loans and advances to banks</t>
        </is>
      </c>
      <c r="B6" s="6" t="n"/>
      <c r="C6" s="6" t="n"/>
      <c r="D6" s="6" t="n">
        <v>19525</v>
      </c>
      <c r="E6" s="6" t="n">
        <v>9156</v>
      </c>
      <c r="F6" s="6" t="n">
        <v>5962</v>
      </c>
      <c r="G6" s="6" t="n"/>
      <c r="H6" s="6" t="n"/>
      <c r="I6" s="6" t="n"/>
      <c r="J6" s="6" t="n"/>
    </row>
    <row r="7">
      <c r="A7" s="6" t="inlineStr">
        <is>
          <t>Collateral placed</t>
        </is>
      </c>
      <c r="B7" s="6" t="n">
        <v>509</v>
      </c>
      <c r="C7" s="6" t="n">
        <v>1368</v>
      </c>
      <c r="D7" s="6" t="n">
        <v>1352</v>
      </c>
      <c r="E7" s="6" t="n">
        <v>433</v>
      </c>
      <c r="F7" s="6" t="n">
        <v>406</v>
      </c>
      <c r="G7" s="6" t="n">
        <v>370</v>
      </c>
      <c r="H7" s="6" t="n">
        <v>364</v>
      </c>
      <c r="I7" s="6" t="n">
        <v>364</v>
      </c>
      <c r="J7" s="6" t="n">
        <v>315</v>
      </c>
    </row>
    <row r="8">
      <c r="A8" s="6" t="inlineStr">
        <is>
          <t>Receivables</t>
        </is>
      </c>
      <c r="B8" s="6" t="n">
        <v>17296</v>
      </c>
      <c r="C8" s="6" t="n">
        <v>10408</v>
      </c>
      <c r="D8" s="6" t="n">
        <v>9768</v>
      </c>
      <c r="E8" s="6" t="n">
        <v>6212</v>
      </c>
      <c r="F8" s="6" t="n">
        <v>4478</v>
      </c>
      <c r="G8" s="6" t="n">
        <v>4565</v>
      </c>
      <c r="H8" s="6" t="n">
        <v>3900</v>
      </c>
      <c r="I8" s="6" t="n">
        <v>1487</v>
      </c>
      <c r="J8" s="6" t="n">
        <v>1176</v>
      </c>
    </row>
    <row r="9">
      <c r="A9" s="6" t="inlineStr">
        <is>
          <t>Current tax asset / due from UK tax authorities</t>
        </is>
      </c>
      <c r="B9" s="6" t="n">
        <v>1563</v>
      </c>
      <c r="C9" s="6" t="n">
        <v>753</v>
      </c>
      <c r="D9" s="6" t="n">
        <v>3542</v>
      </c>
      <c r="E9" s="6" t="n">
        <v>4363</v>
      </c>
      <c r="F9" s="6" t="n"/>
      <c r="G9" s="6" t="n"/>
      <c r="H9" s="6" t="n"/>
      <c r="I9" s="6" t="n"/>
      <c r="J9" s="6" t="n"/>
    </row>
    <row r="10">
      <c r="A10" s="6" t="inlineStr">
        <is>
          <t>Right-of-use asset</t>
        </is>
      </c>
      <c r="B10" s="6" t="n">
        <v>549</v>
      </c>
      <c r="C10" s="6" t="n">
        <v>2111</v>
      </c>
      <c r="D10" s="6" t="n">
        <v>952</v>
      </c>
      <c r="E10" s="6" t="n">
        <v>2677</v>
      </c>
      <c r="F10" s="6" t="n">
        <v>510</v>
      </c>
      <c r="G10" s="6" t="n">
        <v>2180</v>
      </c>
      <c r="H10" s="6" t="n">
        <v>4530</v>
      </c>
      <c r="I10" s="6" t="n"/>
      <c r="J10" s="6" t="n"/>
    </row>
    <row r="11">
      <c r="A11" s="6" t="inlineStr">
        <is>
          <t>Property, plant and equipment</t>
        </is>
      </c>
      <c r="B11" s="6" t="n">
        <v>0</v>
      </c>
      <c r="C11" s="6" t="n">
        <v>34</v>
      </c>
      <c r="D11" s="6" t="n">
        <v>97</v>
      </c>
      <c r="E11" s="6" t="n">
        <v>566</v>
      </c>
      <c r="F11" s="6" t="n">
        <v>451</v>
      </c>
      <c r="G11" s="6" t="n">
        <v>673</v>
      </c>
      <c r="H11" s="6" t="n">
        <v>351</v>
      </c>
      <c r="I11" s="6" t="n">
        <v>819</v>
      </c>
      <c r="J11" s="6" t="n">
        <v>1082</v>
      </c>
    </row>
    <row r="12">
      <c r="A12" s="6" t="inlineStr">
        <is>
          <t>Intangible assets</t>
        </is>
      </c>
      <c r="B12" s="6" t="n">
        <v>51683</v>
      </c>
      <c r="C12" s="6" t="n">
        <v>52670</v>
      </c>
      <c r="D12" s="6" t="n">
        <v>41806</v>
      </c>
      <c r="E12" s="6" t="n">
        <v>29184</v>
      </c>
      <c r="F12" s="6" t="n">
        <v>27479</v>
      </c>
      <c r="G12" s="6" t="n">
        <v>22475</v>
      </c>
      <c r="H12" s="6" t="n">
        <v>18751</v>
      </c>
      <c r="I12" s="6" t="n">
        <v>13924</v>
      </c>
      <c r="J12" s="6" t="n">
        <v>6728</v>
      </c>
    </row>
    <row r="13">
      <c r="A13" s="6" t="inlineStr">
        <is>
          <t>Deferred tax asset</t>
        </is>
      </c>
      <c r="B13" s="6" t="n">
        <v>39779</v>
      </c>
      <c r="C13" s="6" t="n">
        <v>35426</v>
      </c>
      <c r="D13" s="6" t="n">
        <v>33682</v>
      </c>
      <c r="E13" s="6" t="n">
        <v>25956</v>
      </c>
      <c r="F13" s="6" t="n">
        <v>12525</v>
      </c>
      <c r="G13" s="6" t="n">
        <v>9484</v>
      </c>
      <c r="H13" s="6" t="n">
        <v>8335</v>
      </c>
      <c r="I13" s="6" t="n">
        <v>8335</v>
      </c>
      <c r="J13" s="6" t="n">
        <v>3652</v>
      </c>
    </row>
    <row r="14">
      <c r="A14" s="5" t="inlineStr">
        <is>
          <t>Total assets</t>
        </is>
      </c>
      <c r="B14" s="5" t="n">
        <v>18068355</v>
      </c>
      <c r="C14" s="5" t="n">
        <v>11064063</v>
      </c>
      <c r="D14" s="5" t="n">
        <v>6366850</v>
      </c>
      <c r="E14" s="5" t="n">
        <v>3204409</v>
      </c>
      <c r="F14" s="5" t="n">
        <v>2772608</v>
      </c>
      <c r="G14" s="5" t="n">
        <v>1052971</v>
      </c>
      <c r="H14" s="5" t="n">
        <v>562825</v>
      </c>
      <c r="I14" s="5" t="n">
        <v>87456</v>
      </c>
      <c r="J14" s="5" t="n">
        <v>40015</v>
      </c>
    </row>
    <row r="15">
      <c r="A15" s="5" t="inlineStr">
        <is>
          <t>Liabilities</t>
        </is>
      </c>
      <c r="B15" s="6" t="n"/>
      <c r="C15" s="6" t="n"/>
      <c r="D15" s="6" t="n"/>
      <c r="E15" s="6" t="n"/>
      <c r="F15" s="6" t="n"/>
      <c r="G15" s="6" t="n"/>
      <c r="H15" s="6" t="n"/>
      <c r="I15" s="6" t="n"/>
      <c r="J15" s="6" t="n"/>
    </row>
    <row r="16">
      <c r="A16" s="6" t="inlineStr">
        <is>
          <t>Customer deposits</t>
        </is>
      </c>
      <c r="B16" s="6" t="n">
        <v>17826803</v>
      </c>
      <c r="C16" s="6" t="n">
        <v>10818568</v>
      </c>
      <c r="D16" s="6" t="n">
        <v>6147363</v>
      </c>
      <c r="E16" s="6" t="n">
        <v>2982259</v>
      </c>
      <c r="F16" s="6" t="n">
        <v>2644756</v>
      </c>
      <c r="G16" s="6" t="n">
        <v>925890</v>
      </c>
      <c r="H16" s="6" t="n">
        <v>457981</v>
      </c>
      <c r="I16" s="6" t="n">
        <v>44145</v>
      </c>
      <c r="J16" s="6" t="n">
        <v>1601</v>
      </c>
    </row>
    <row r="17">
      <c r="A17" s="6" t="inlineStr">
        <is>
          <t>Other payables</t>
        </is>
      </c>
      <c r="B17" s="6" t="n">
        <v>27067</v>
      </c>
      <c r="C17" s="6" t="n">
        <v>20708</v>
      </c>
      <c r="D17" s="6" t="n">
        <v>82372</v>
      </c>
      <c r="E17" s="6" t="n">
        <v>109307</v>
      </c>
      <c r="F17" s="6" t="n">
        <v>9897</v>
      </c>
      <c r="G17" s="6" t="n">
        <v>6591</v>
      </c>
      <c r="H17" s="6" t="n">
        <v>8570</v>
      </c>
      <c r="I17" s="6" t="n">
        <v>6403</v>
      </c>
      <c r="J17" s="6" t="n">
        <v>4367</v>
      </c>
    </row>
    <row r="18">
      <c r="A18" s="6" t="inlineStr">
        <is>
          <t>Lease obligations</t>
        </is>
      </c>
      <c r="B18" s="6" t="n">
        <v>1256</v>
      </c>
      <c r="C18" s="6" t="n">
        <v>2219</v>
      </c>
      <c r="D18" s="6" t="n">
        <v>1003</v>
      </c>
      <c r="E18" s="6" t="n">
        <v>2789</v>
      </c>
      <c r="F18" s="6" t="n">
        <v>509</v>
      </c>
      <c r="G18" s="6" t="n">
        <v>2483</v>
      </c>
      <c r="H18" s="6" t="n">
        <v>4520</v>
      </c>
      <c r="I18" s="6" t="n"/>
      <c r="J18" s="6" t="n"/>
    </row>
    <row r="19">
      <c r="A19" s="6" t="inlineStr">
        <is>
          <t>Deferred income</t>
        </is>
      </c>
      <c r="B19" s="6" t="n">
        <v>390</v>
      </c>
      <c r="C19" s="6" t="n">
        <v>277</v>
      </c>
      <c r="D19" s="6" t="n">
        <v>6444</v>
      </c>
      <c r="E19" s="6" t="n">
        <v>22742</v>
      </c>
      <c r="F19" s="6" t="n">
        <v>45229</v>
      </c>
      <c r="G19" s="6" t="n">
        <v>59760</v>
      </c>
      <c r="H19" s="6" t="n">
        <v>51512</v>
      </c>
      <c r="I19" s="6" t="n"/>
      <c r="J19" s="6" t="n"/>
    </row>
    <row r="20">
      <c r="A20" s="6" t="inlineStr">
        <is>
          <t>Current tax liability</t>
        </is>
      </c>
      <c r="B20" s="6" t="n"/>
      <c r="C20" s="6" t="n"/>
      <c r="D20" s="6" t="n">
        <v>142</v>
      </c>
      <c r="E20" s="6" t="n"/>
      <c r="F20" s="6" t="n"/>
      <c r="G20" s="6" t="n"/>
      <c r="H20" s="6" t="n"/>
      <c r="I20" s="6" t="n"/>
      <c r="J20" s="6" t="n"/>
    </row>
    <row r="21">
      <c r="A21" s="5" t="inlineStr">
        <is>
          <t>Total liabilities</t>
        </is>
      </c>
      <c r="B21" s="5" t="n">
        <v>17855516</v>
      </c>
      <c r="C21" s="5" t="n">
        <v>10841772</v>
      </c>
      <c r="D21" s="5" t="n">
        <v>6237324</v>
      </c>
      <c r="E21" s="5" t="n">
        <v>3117097</v>
      </c>
      <c r="F21" s="5" t="n">
        <v>2700391</v>
      </c>
      <c r="G21" s="5" t="n">
        <v>994724</v>
      </c>
      <c r="H21" s="5" t="n">
        <v>522583</v>
      </c>
      <c r="I21" s="5" t="n">
        <v>50548</v>
      </c>
      <c r="J21" s="5" t="n">
        <v>5968</v>
      </c>
    </row>
    <row r="22">
      <c r="A22" s="5" t="inlineStr">
        <is>
          <t>Equity</t>
        </is>
      </c>
      <c r="B22" s="6" t="n"/>
      <c r="C22" s="6" t="n"/>
      <c r="D22" s="6" t="n"/>
      <c r="E22" s="6" t="n"/>
      <c r="F22" s="6" t="n"/>
      <c r="G22" s="6" t="n"/>
      <c r="H22" s="6" t="n"/>
      <c r="I22" s="6" t="n"/>
      <c r="J22" s="6" t="n"/>
    </row>
    <row r="23">
      <c r="A23" s="6" t="inlineStr">
        <is>
          <t>Called up share capital</t>
        </is>
      </c>
      <c r="B23" s="6" t="n">
        <v>2</v>
      </c>
      <c r="C23" s="6" t="n">
        <v>2</v>
      </c>
      <c r="D23" s="6" t="n"/>
      <c r="E23" s="6" t="n"/>
      <c r="F23" s="6" t="n"/>
      <c r="G23" s="6" t="n"/>
      <c r="H23" s="6" t="n"/>
      <c r="I23" s="6" t="n"/>
      <c r="J23" s="6" t="n"/>
    </row>
    <row r="24">
      <c r="A24" s="6" t="inlineStr">
        <is>
          <t>Share premium</t>
        </is>
      </c>
      <c r="B24" s="6" t="n">
        <v>224403</v>
      </c>
      <c r="C24" s="6" t="n">
        <v>224403</v>
      </c>
      <c r="D24" s="6" t="n">
        <v>203445</v>
      </c>
      <c r="E24" s="6" t="n">
        <v>192349</v>
      </c>
      <c r="F24" s="6" t="n">
        <v>191816</v>
      </c>
      <c r="G24" s="6" t="n">
        <v>157316</v>
      </c>
      <c r="H24" s="6" t="n">
        <v>113204</v>
      </c>
      <c r="I24" s="6" t="n">
        <v>78329</v>
      </c>
      <c r="J24" s="6" t="n">
        <v>53458</v>
      </c>
    </row>
    <row r="25">
      <c r="A25" s="6" t="inlineStr">
        <is>
          <t>Treasury shares</t>
        </is>
      </c>
      <c r="B25" s="6" t="n"/>
      <c r="C25" s="6" t="n"/>
      <c r="D25" s="6" t="n"/>
      <c r="E25" s="6" t="n">
        <v>-204</v>
      </c>
      <c r="F25" s="6" t="n">
        <v>-204</v>
      </c>
      <c r="G25" s="6" t="n">
        <v>-204</v>
      </c>
      <c r="H25" s="6" t="n">
        <v>-204</v>
      </c>
      <c r="I25" s="6" t="n">
        <v>-204</v>
      </c>
      <c r="J25" s="6" t="n">
        <v>-204</v>
      </c>
    </row>
    <row r="26">
      <c r="A26" s="6" t="inlineStr">
        <is>
          <t>Capital contribution reserve</t>
        </is>
      </c>
      <c r="B26" s="6" t="n">
        <v>11942</v>
      </c>
      <c r="C26" s="6" t="n">
        <v>9188</v>
      </c>
      <c r="D26" s="6" t="n">
        <v>26805</v>
      </c>
      <c r="E26" s="6" t="n"/>
      <c r="F26" s="6" t="n"/>
      <c r="G26" s="6" t="n"/>
      <c r="H26" s="6" t="n"/>
      <c r="I26" s="6" t="n"/>
      <c r="J26" s="6" t="n"/>
    </row>
    <row r="27">
      <c r="A27" s="6" t="inlineStr">
        <is>
          <t>Share-based payment reserve</t>
        </is>
      </c>
      <c r="B27" s="6" t="n"/>
      <c r="C27" s="6" t="n"/>
      <c r="D27" s="6" t="n"/>
      <c r="E27" s="6" t="n">
        <v>24933</v>
      </c>
      <c r="F27" s="6" t="n">
        <v>17190</v>
      </c>
      <c r="G27" s="6" t="n">
        <v>9519</v>
      </c>
      <c r="H27" s="6" t="n">
        <v>5723</v>
      </c>
      <c r="I27" s="6" t="n">
        <v>3301</v>
      </c>
      <c r="J27" s="6" t="n">
        <v>467</v>
      </c>
    </row>
    <row r="28">
      <c r="A28" s="6" t="inlineStr">
        <is>
          <t>Retained earnings/(losses)</t>
        </is>
      </c>
      <c r="B28" s="6" t="n">
        <v>-24512</v>
      </c>
      <c r="C28" s="6" t="n">
        <v>-10518</v>
      </c>
      <c r="D28" s="6" t="n">
        <v>-100724</v>
      </c>
      <c r="E28" s="6" t="n">
        <v>-129650</v>
      </c>
      <c r="F28" s="6" t="n">
        <v>-136468</v>
      </c>
      <c r="G28" s="6" t="n">
        <v>-108268</v>
      </c>
      <c r="H28" s="6" t="n">
        <v>-78472</v>
      </c>
      <c r="I28" s="6" t="n">
        <v>-44518</v>
      </c>
      <c r="J28" s="6" t="n">
        <v>-19674</v>
      </c>
    </row>
    <row r="29">
      <c r="A29" s="6" t="inlineStr">
        <is>
          <t>Translation reserve</t>
        </is>
      </c>
      <c r="B29" s="6" t="n">
        <v>1004</v>
      </c>
      <c r="C29" s="6" t="n">
        <v>-784</v>
      </c>
      <c r="D29" s="6" t="n"/>
      <c r="E29" s="6" t="n">
        <v>-116</v>
      </c>
      <c r="F29" s="6" t="n">
        <v>-117</v>
      </c>
      <c r="G29" s="6" t="n">
        <v>-116</v>
      </c>
      <c r="H29" s="6" t="n">
        <v>-9</v>
      </c>
      <c r="I29" s="6" t="n"/>
      <c r="J29" s="6" t="n"/>
    </row>
    <row r="30">
      <c r="A30" s="5" t="inlineStr">
        <is>
          <t>Total equity</t>
        </is>
      </c>
      <c r="B30" s="5" t="n">
        <v>212839</v>
      </c>
      <c r="C30" s="5" t="n">
        <v>222291</v>
      </c>
      <c r="D30" s="5" t="n">
        <v>129526</v>
      </c>
      <c r="E30" s="5" t="n">
        <v>87312</v>
      </c>
      <c r="F30" s="5" t="n">
        <v>72217</v>
      </c>
      <c r="G30" s="5" t="n">
        <v>58247</v>
      </c>
      <c r="H30" s="5" t="n">
        <v>40242</v>
      </c>
      <c r="I30" s="5" t="n">
        <v>36908</v>
      </c>
      <c r="J30" s="5" t="n">
        <v>34047</v>
      </c>
    </row>
    <row r="31">
      <c r="A31" s="5" t="inlineStr">
        <is>
          <t>Total liabilities and equity</t>
        </is>
      </c>
      <c r="B31" s="5" t="n">
        <v>18068355</v>
      </c>
      <c r="C31" s="5" t="n">
        <v>11064063</v>
      </c>
      <c r="D31" s="5" t="n">
        <v>6366850</v>
      </c>
      <c r="E31" s="5" t="n">
        <v>3204409</v>
      </c>
      <c r="F31" s="5" t="n">
        <v>2772608</v>
      </c>
      <c r="G31" s="5" t="n">
        <v>1052971</v>
      </c>
      <c r="H31" s="5" t="n">
        <v>562825</v>
      </c>
      <c r="I31" s="5" t="n">
        <v>87456</v>
      </c>
      <c r="J31" s="5" t="n">
        <v>40015</v>
      </c>
    </row>
    <row r="33" ht="380" customHeight="1">
      <c r="A33"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Comprehensive Income</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Interest income</t>
        </is>
      </c>
      <c r="B5" s="6" t="n">
        <v>625779</v>
      </c>
      <c r="C5" s="6" t="n">
        <v>425289</v>
      </c>
      <c r="D5" s="6" t="n">
        <v>243956</v>
      </c>
      <c r="E5" s="6" t="n">
        <v>43774</v>
      </c>
      <c r="F5" s="6" t="n"/>
      <c r="G5" s="6" t="n">
        <v>900</v>
      </c>
      <c r="H5" s="6" t="n">
        <v>1664</v>
      </c>
      <c r="I5" s="6" t="n">
        <v>178</v>
      </c>
      <c r="J5" s="6" t="n">
        <v>46</v>
      </c>
    </row>
    <row r="6">
      <c r="A6" s="6" t="inlineStr">
        <is>
          <t>Interest expense</t>
        </is>
      </c>
      <c r="B6" s="6" t="n">
        <v>-554816</v>
      </c>
      <c r="C6" s="6" t="n">
        <v>-358179</v>
      </c>
      <c r="D6" s="6" t="n">
        <v>-162042</v>
      </c>
      <c r="E6" s="6" t="n">
        <v>-9911</v>
      </c>
      <c r="F6" s="6" t="n"/>
      <c r="G6" s="6" t="n"/>
      <c r="H6" s="6" t="n">
        <v>-567</v>
      </c>
      <c r="I6" s="6" t="n"/>
      <c r="J6" s="6" t="n"/>
    </row>
    <row r="7">
      <c r="A7" s="5" t="inlineStr">
        <is>
          <t>Net interest income</t>
        </is>
      </c>
      <c r="B7" s="5" t="n">
        <v>70963</v>
      </c>
      <c r="C7" s="5" t="n">
        <v>67110</v>
      </c>
      <c r="D7" s="5" t="n">
        <v>81914</v>
      </c>
      <c r="E7" s="5" t="n">
        <v>33863</v>
      </c>
      <c r="F7" s="5" t="n">
        <v>1842</v>
      </c>
      <c r="G7" s="5" t="n">
        <v>900</v>
      </c>
      <c r="H7" s="5" t="n">
        <v>1097</v>
      </c>
      <c r="I7" s="5" t="n">
        <v>178</v>
      </c>
      <c r="J7" s="5" t="n">
        <v>46</v>
      </c>
    </row>
    <row r="8">
      <c r="A8" s="6" t="inlineStr">
        <is>
          <t>Fee income</t>
        </is>
      </c>
      <c r="B8" s="6" t="n">
        <v>66183</v>
      </c>
      <c r="C8" s="6" t="n">
        <v>47141</v>
      </c>
      <c r="D8" s="6" t="n">
        <v>31390</v>
      </c>
      <c r="E8" s="6" t="n">
        <v>25455</v>
      </c>
      <c r="F8" s="6" t="n"/>
      <c r="G8" s="6" t="n"/>
      <c r="H8" s="6" t="n"/>
      <c r="I8" s="6" t="n"/>
      <c r="J8" s="6" t="n"/>
    </row>
    <row r="9">
      <c r="A9" s="6" t="inlineStr">
        <is>
          <t>Fee expenses</t>
        </is>
      </c>
      <c r="B9" s="6" t="n">
        <v>-5268</v>
      </c>
      <c r="C9" s="6" t="n">
        <v>-2952</v>
      </c>
      <c r="D9" s="6" t="n">
        <v>-2620</v>
      </c>
      <c r="E9" s="6" t="n">
        <v>-1047</v>
      </c>
      <c r="F9" s="6" t="n"/>
      <c r="G9" s="6" t="n"/>
      <c r="H9" s="6" t="n"/>
      <c r="I9" s="6" t="n"/>
      <c r="J9" s="6" t="n"/>
    </row>
    <row r="10">
      <c r="A10" s="5" t="inlineStr">
        <is>
          <t>Net fee income</t>
        </is>
      </c>
      <c r="B10" s="5" t="n">
        <v>60915</v>
      </c>
      <c r="C10" s="5" t="n">
        <v>44189</v>
      </c>
      <c r="D10" s="5" t="n">
        <v>28770</v>
      </c>
      <c r="E10" s="5" t="n">
        <v>24408</v>
      </c>
      <c r="F10" s="5" t="n">
        <v>18614</v>
      </c>
      <c r="G10" s="5" t="n">
        <v>8785</v>
      </c>
      <c r="H10" s="5" t="n">
        <v>3441</v>
      </c>
      <c r="I10" s="5" t="n">
        <v>660</v>
      </c>
      <c r="J10" s="5" t="n">
        <v>3</v>
      </c>
    </row>
    <row r="11">
      <c r="A11" s="6" t="inlineStr">
        <is>
          <t>Other income</t>
        </is>
      </c>
      <c r="B11" s="6" t="n">
        <v>806</v>
      </c>
      <c r="C11" s="6" t="n">
        <v>787</v>
      </c>
      <c r="D11" s="6" t="n">
        <v>663</v>
      </c>
      <c r="E11" s="6" t="n">
        <v>13</v>
      </c>
      <c r="F11" s="6" t="n">
        <v>938</v>
      </c>
      <c r="G11" s="6" t="n">
        <v>933</v>
      </c>
      <c r="H11" s="6" t="n">
        <v>780</v>
      </c>
      <c r="I11" s="6" t="n"/>
      <c r="J11" s="6" t="n"/>
    </row>
    <row r="12">
      <c r="A12" s="5" t="inlineStr">
        <is>
          <t>Total income</t>
        </is>
      </c>
      <c r="B12" s="5" t="n">
        <v>132684</v>
      </c>
      <c r="C12" s="5" t="n">
        <v>112086</v>
      </c>
      <c r="D12" s="5" t="n">
        <v>111347</v>
      </c>
      <c r="E12" s="5" t="n">
        <v>58284</v>
      </c>
      <c r="F12" s="5" t="n">
        <v>21394</v>
      </c>
      <c r="G12" s="5" t="n">
        <v>10618</v>
      </c>
      <c r="H12" s="5" t="n">
        <v>5318</v>
      </c>
      <c r="I12" s="5" t="n">
        <v>838</v>
      </c>
      <c r="J12" s="5" t="n">
        <v>49</v>
      </c>
    </row>
    <row r="13">
      <c r="A13" s="5" t="inlineStr">
        <is>
          <t>Operating expenses</t>
        </is>
      </c>
      <c r="B13" s="6" t="n"/>
      <c r="C13" s="6" t="n"/>
      <c r="D13" s="6" t="n"/>
      <c r="E13" s="6" t="n"/>
      <c r="F13" s="6" t="n"/>
      <c r="G13" s="6" t="n"/>
      <c r="H13" s="6" t="n"/>
      <c r="I13" s="6" t="n"/>
      <c r="J13" s="6" t="n"/>
    </row>
    <row r="14">
      <c r="A14" s="6" t="inlineStr">
        <is>
          <t>Staff costs</t>
        </is>
      </c>
      <c r="B14" s="6" t="n">
        <v>-78740</v>
      </c>
      <c r="C14" s="6" t="n">
        <v>-67335</v>
      </c>
      <c r="D14" s="6" t="n">
        <v>-55318</v>
      </c>
      <c r="E14" s="6" t="n">
        <v>-40095</v>
      </c>
      <c r="F14" s="6" t="n">
        <v>-27719</v>
      </c>
      <c r="G14" s="6" t="n">
        <v>-20995</v>
      </c>
      <c r="H14" s="6" t="n">
        <v>-16573</v>
      </c>
      <c r="I14" s="6" t="n">
        <v>-14439</v>
      </c>
      <c r="J14" s="6" t="n">
        <v>-7377</v>
      </c>
    </row>
    <row r="15">
      <c r="A15" s="6" t="inlineStr">
        <is>
          <t>Depreciation</t>
        </is>
      </c>
      <c r="B15" s="6" t="n">
        <v>-2265</v>
      </c>
      <c r="C15" s="6" t="n">
        <v>-1693</v>
      </c>
      <c r="D15" s="6" t="n">
        <v>-2212</v>
      </c>
      <c r="E15" s="6" t="n">
        <v>-1334</v>
      </c>
      <c r="F15" s="6" t="n">
        <v>-2145</v>
      </c>
      <c r="G15" s="6" t="n">
        <v>-3432</v>
      </c>
      <c r="H15" s="6" t="n">
        <v>-2891</v>
      </c>
      <c r="I15" s="6" t="n">
        <v>-620</v>
      </c>
      <c r="J15" s="6" t="n">
        <v>-490</v>
      </c>
    </row>
    <row r="16">
      <c r="A16" s="6" t="inlineStr">
        <is>
          <t>Amortisation of intangibles</t>
        </is>
      </c>
      <c r="B16" s="6" t="n">
        <v>-15706</v>
      </c>
      <c r="C16" s="6" t="n">
        <v>-11643</v>
      </c>
      <c r="D16" s="6" t="n">
        <v>-8869</v>
      </c>
      <c r="E16" s="6" t="n">
        <v>-7824</v>
      </c>
      <c r="F16" s="6" t="n">
        <v>-5791</v>
      </c>
      <c r="G16" s="6" t="n">
        <v>-3750</v>
      </c>
      <c r="H16" s="6" t="n">
        <v>-2914</v>
      </c>
      <c r="I16" s="6" t="n">
        <v>-1745</v>
      </c>
      <c r="J16" s="6" t="n">
        <v>-334</v>
      </c>
    </row>
    <row r="17">
      <c r="A17" s="6" t="inlineStr">
        <is>
          <t>Impairment</t>
        </is>
      </c>
      <c r="B17" s="6" t="n">
        <v>-936</v>
      </c>
      <c r="C17" s="6" t="n">
        <v>-1584</v>
      </c>
      <c r="D17" s="6" t="n">
        <v>-268</v>
      </c>
      <c r="E17" s="6" t="n">
        <v>-675</v>
      </c>
      <c r="F17" s="6" t="n">
        <v>-337</v>
      </c>
      <c r="G17" s="6" t="n">
        <v>-549</v>
      </c>
      <c r="H17" s="6" t="n">
        <v>-1032</v>
      </c>
      <c r="I17" s="6" t="n"/>
      <c r="J17" s="6" t="n"/>
    </row>
    <row r="18">
      <c r="A18" s="6" t="inlineStr">
        <is>
          <t>Other operating expenses</t>
        </is>
      </c>
      <c r="B18" s="6" t="n">
        <v>-51287</v>
      </c>
      <c r="C18" s="6" t="n">
        <v>-39780</v>
      </c>
      <c r="D18" s="6" t="n">
        <v>-39116</v>
      </c>
      <c r="E18" s="6" t="n">
        <v>-27710</v>
      </c>
      <c r="F18" s="6" t="n">
        <v>-16447</v>
      </c>
      <c r="G18" s="6" t="n">
        <v>-12557</v>
      </c>
      <c r="H18" s="6" t="n">
        <v>-15682</v>
      </c>
      <c r="I18" s="6" t="n">
        <v>-13567</v>
      </c>
      <c r="J18" s="6" t="n">
        <v>-9396</v>
      </c>
    </row>
    <row r="19">
      <c r="A19" s="5" t="inlineStr">
        <is>
          <t>Operating expenses</t>
        </is>
      </c>
      <c r="B19" s="5" t="n">
        <v>-148934</v>
      </c>
      <c r="C19" s="5" t="n">
        <v>-122035</v>
      </c>
      <c r="D19" s="5" t="n">
        <v>-105783</v>
      </c>
      <c r="E19" s="5" t="n">
        <v>-77638</v>
      </c>
      <c r="F19" s="5" t="n">
        <v>-52439</v>
      </c>
      <c r="G19" s="5" t="n">
        <v>-41283</v>
      </c>
      <c r="H19" s="5" t="n">
        <v>-39092</v>
      </c>
      <c r="I19" s="5" t="n">
        <v>-30371</v>
      </c>
      <c r="J19" s="5" t="n">
        <v>-17597</v>
      </c>
    </row>
    <row r="20">
      <c r="A20" s="6" t="inlineStr">
        <is>
          <t>Expenses recharged</t>
        </is>
      </c>
      <c r="B20" s="6" t="n"/>
      <c r="C20" s="6" t="n"/>
      <c r="D20" s="6" t="n">
        <v>13054</v>
      </c>
      <c r="E20" s="6" t="n">
        <v>8587</v>
      </c>
      <c r="F20" s="6" t="n"/>
      <c r="G20" s="6" t="n"/>
      <c r="H20" s="6" t="n"/>
      <c r="I20" s="6" t="n"/>
      <c r="J20" s="6" t="n"/>
    </row>
    <row r="21">
      <c r="A21" s="5" t="inlineStr">
        <is>
          <t>Operating profit/(loss)</t>
        </is>
      </c>
      <c r="B21" s="5" t="n">
        <v>-16250</v>
      </c>
      <c r="C21" s="5" t="n">
        <v>-9949</v>
      </c>
      <c r="D21" s="5" t="n">
        <v>18618</v>
      </c>
      <c r="E21" s="5" t="n">
        <v>-10767</v>
      </c>
      <c r="F21" s="5" t="n">
        <v>-31045</v>
      </c>
      <c r="G21" s="5" t="n">
        <v>-30665</v>
      </c>
      <c r="H21" s="5" t="n">
        <v>-33774</v>
      </c>
      <c r="I21" s="5" t="n">
        <v>-29533</v>
      </c>
      <c r="J21" s="5" t="n">
        <v>-17548</v>
      </c>
    </row>
    <row r="22">
      <c r="A22" s="6" t="inlineStr">
        <is>
          <t>Other gains/(losses)</t>
        </is>
      </c>
      <c r="B22" s="6" t="n">
        <v>-354</v>
      </c>
      <c r="C22" s="6" t="n">
        <v>-165</v>
      </c>
      <c r="D22" s="6" t="n">
        <v>-111</v>
      </c>
      <c r="E22" s="6" t="n">
        <v>-181</v>
      </c>
      <c r="F22" s="6" t="n">
        <v>5</v>
      </c>
      <c r="G22" s="6" t="n">
        <v>3</v>
      </c>
      <c r="H22" s="6" t="n">
        <v>4</v>
      </c>
      <c r="I22" s="6" t="n">
        <v>6</v>
      </c>
      <c r="J22" s="6" t="n"/>
    </row>
    <row r="23">
      <c r="A23" s="6" t="inlineStr">
        <is>
          <t>Finance costs</t>
        </is>
      </c>
      <c r="B23" s="6" t="n">
        <v>-106</v>
      </c>
      <c r="C23" s="6" t="n">
        <v>-130</v>
      </c>
      <c r="D23" s="6" t="n">
        <v>-78</v>
      </c>
      <c r="E23" s="6" t="n">
        <v>-55</v>
      </c>
      <c r="F23" s="6" t="n">
        <v>-34</v>
      </c>
      <c r="G23" s="6" t="n">
        <v>-115</v>
      </c>
      <c r="H23" s="6" t="n">
        <v>-73</v>
      </c>
      <c r="I23" s="6" t="n"/>
      <c r="J23" s="6" t="n">
        <v>-3</v>
      </c>
    </row>
    <row r="24">
      <c r="A24" s="5" t="inlineStr">
        <is>
          <t>Profit/(loss) for the year before taxation</t>
        </is>
      </c>
      <c r="B24" s="5" t="n">
        <v>-16710</v>
      </c>
      <c r="C24" s="5" t="n">
        <v>-10244</v>
      </c>
      <c r="D24" s="5" t="n">
        <v>18429</v>
      </c>
      <c r="E24" s="5" t="n">
        <v>-11003</v>
      </c>
      <c r="F24" s="5" t="n">
        <v>-31074</v>
      </c>
      <c r="G24" s="5" t="n">
        <v>-30777</v>
      </c>
      <c r="H24" s="5" t="n">
        <v>-33843</v>
      </c>
      <c r="I24" s="5" t="n">
        <v>-29527</v>
      </c>
      <c r="J24" s="5" t="n">
        <v>-17551</v>
      </c>
    </row>
    <row r="25">
      <c r="A25" s="6" t="inlineStr">
        <is>
          <t>Taxation</t>
        </is>
      </c>
      <c r="B25" s="6" t="n">
        <v>945</v>
      </c>
      <c r="C25" s="6" t="n">
        <v>-74</v>
      </c>
      <c r="D25" s="6" t="n">
        <v>3967</v>
      </c>
      <c r="E25" s="6" t="n">
        <v>17821</v>
      </c>
      <c r="F25" s="6" t="n">
        <v>2874</v>
      </c>
      <c r="G25" s="6" t="n">
        <v>981</v>
      </c>
      <c r="H25" s="6" t="n">
        <v>-153</v>
      </c>
      <c r="I25" s="6" t="n">
        <v>4683</v>
      </c>
      <c r="J25" s="6" t="n">
        <v>3652</v>
      </c>
    </row>
    <row r="26">
      <c r="A26" s="5" t="inlineStr">
        <is>
          <t>Profit/(loss) for the year after taxation</t>
        </is>
      </c>
      <c r="B26" s="5" t="n">
        <v>-15765</v>
      </c>
      <c r="C26" s="5" t="n">
        <v>-10318</v>
      </c>
      <c r="D26" s="5" t="n">
        <v>22396</v>
      </c>
      <c r="E26" s="5" t="n">
        <v>6818</v>
      </c>
      <c r="F26" s="5" t="n">
        <v>-28200</v>
      </c>
      <c r="G26" s="5" t="n">
        <v>-29796</v>
      </c>
      <c r="H26" s="5" t="n">
        <v>-33996</v>
      </c>
      <c r="I26" s="5" t="n">
        <v>-24844</v>
      </c>
      <c r="J26" s="5" t="n">
        <v>-13899</v>
      </c>
    </row>
    <row r="27">
      <c r="A27" s="5" t="inlineStr">
        <is>
          <t>Other comprehensive income/(loss)</t>
        </is>
      </c>
      <c r="B27" s="6" t="n"/>
      <c r="C27" s="6" t="n"/>
      <c r="D27" s="6" t="n"/>
      <c r="E27" s="6" t="n"/>
      <c r="F27" s="6" t="n"/>
      <c r="G27" s="6" t="n"/>
      <c r="H27" s="6" t="n"/>
      <c r="I27" s="6" t="n"/>
      <c r="J27" s="6" t="n"/>
    </row>
    <row r="28">
      <c r="A28" s="6" t="inlineStr">
        <is>
          <t>Foreign currency translation differences</t>
        </is>
      </c>
      <c r="B28" s="6" t="n">
        <v>1788</v>
      </c>
      <c r="C28" s="6" t="n">
        <v>-767</v>
      </c>
      <c r="D28" s="6" t="n"/>
      <c r="E28" s="6" t="n">
        <v>1</v>
      </c>
      <c r="F28" s="6" t="n">
        <v>-1</v>
      </c>
      <c r="G28" s="6" t="n">
        <v>-107</v>
      </c>
      <c r="H28" s="6" t="n">
        <v>33</v>
      </c>
      <c r="I28" s="6" t="n"/>
      <c r="J28" s="6" t="n"/>
    </row>
    <row r="29">
      <c r="A29" s="5" t="inlineStr">
        <is>
          <t>Total comprehensive income/(loss) for the year</t>
        </is>
      </c>
      <c r="B29" s="5" t="n">
        <v>-13977</v>
      </c>
      <c r="C29" s="5" t="n">
        <v>-11085</v>
      </c>
      <c r="D29" s="5" t="n">
        <v>22396</v>
      </c>
      <c r="E29" s="5" t="n">
        <v>6819</v>
      </c>
      <c r="F29" s="5" t="n">
        <v>-28201</v>
      </c>
      <c r="G29" s="5" t="n">
        <v>-29903</v>
      </c>
      <c r="H29" s="5" t="n">
        <v>-33963</v>
      </c>
      <c r="I29" s="5" t="n">
        <v>-24844</v>
      </c>
      <c r="J29" s="5" t="n">
        <v>-13899</v>
      </c>
    </row>
    <row r="31" ht="380" customHeight="1">
      <c r="A31"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5"/>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ClearBank — Statement of Changes in Equity</t>
        </is>
      </c>
    </row>
    <row r="2">
      <c r="A2" s="2" t="inlineStr">
        <is>
          <t>£'000, chronological. Contains a genuine entity-basis break at FY2023/FY2024 - see the notes rows and source note.</t>
        </is>
      </c>
    </row>
    <row r="3">
      <c r="A3" s="4" t="inlineStr">
        <is>
          <t>Movement</t>
        </is>
      </c>
      <c r="B3" s="4" t="inlineStr">
        <is>
          <t>Share capital</t>
        </is>
      </c>
      <c r="C3" s="4" t="inlineStr">
        <is>
          <t>Share premium</t>
        </is>
      </c>
      <c r="D3" s="4" t="inlineStr">
        <is>
          <t>Treasury shares</t>
        </is>
      </c>
      <c r="E3" s="4" t="inlineStr">
        <is>
          <t>Share-based payment reserve</t>
        </is>
      </c>
      <c r="F3" s="4" t="inlineStr">
        <is>
          <t>Capital contribution reserve</t>
        </is>
      </c>
      <c r="G3" s="4" t="inlineStr">
        <is>
          <t>Retained earnings/(losses)</t>
        </is>
      </c>
      <c r="H3" s="4" t="inlineStr">
        <is>
          <t>Translation reserve</t>
        </is>
      </c>
      <c r="I3" s="4" t="inlineStr">
        <is>
          <t>Total equity</t>
        </is>
      </c>
    </row>
    <row r="4">
      <c r="A4" s="5" t="inlineStr">
        <is>
          <t>At 1 January 2017</t>
        </is>
      </c>
      <c r="B4" s="5" t="n"/>
      <c r="C4" s="5" t="n">
        <v>25254</v>
      </c>
      <c r="D4" s="5" t="n"/>
      <c r="E4" s="5" t="n"/>
      <c r="F4" s="5" t="n"/>
      <c r="G4" s="5" t="n">
        <v>-5775</v>
      </c>
      <c r="H4" s="5" t="n"/>
      <c r="I4" s="5" t="n">
        <v>19479</v>
      </c>
    </row>
    <row r="5">
      <c r="A5" s="6" t="inlineStr">
        <is>
          <t>Loss for the year (FY2017)</t>
        </is>
      </c>
      <c r="B5" s="6" t="n"/>
      <c r="C5" s="6" t="n"/>
      <c r="D5" s="6" t="n"/>
      <c r="E5" s="6" t="n"/>
      <c r="F5" s="6" t="n"/>
      <c r="G5" s="6" t="n">
        <v>-13899</v>
      </c>
      <c r="H5" s="6" t="n"/>
      <c r="I5" s="6" t="n">
        <v>-13899</v>
      </c>
    </row>
    <row r="6">
      <c r="A6" s="6" t="inlineStr">
        <is>
          <t>Issue of share capital (FY2017)</t>
        </is>
      </c>
      <c r="B6" s="6" t="n"/>
      <c r="C6" s="6" t="n">
        <v>28204</v>
      </c>
      <c r="D6" s="6" t="n"/>
      <c r="E6" s="6" t="n"/>
      <c r="F6" s="6" t="n"/>
      <c r="G6" s="6" t="n"/>
      <c r="H6" s="6" t="n"/>
      <c r="I6" s="6" t="n">
        <v>28204</v>
      </c>
    </row>
    <row r="7">
      <c r="A7" s="6" t="inlineStr">
        <is>
          <t>Own shares acquired (FY2017)</t>
        </is>
      </c>
      <c r="B7" s="6" t="n"/>
      <c r="C7" s="6" t="n"/>
      <c r="D7" s="6" t="n">
        <v>-204</v>
      </c>
      <c r="E7" s="6" t="n"/>
      <c r="F7" s="6" t="n"/>
      <c r="G7" s="6" t="n"/>
      <c r="H7" s="6" t="n"/>
      <c r="I7" s="6" t="n">
        <v>-204</v>
      </c>
    </row>
    <row r="8">
      <c r="A8" s="6" t="inlineStr">
        <is>
          <t>Share-based payments (FY2017)</t>
        </is>
      </c>
      <c r="B8" s="6" t="n"/>
      <c r="C8" s="6" t="n"/>
      <c r="D8" s="6" t="n"/>
      <c r="E8" s="6" t="n">
        <v>467</v>
      </c>
      <c r="F8" s="6" t="n"/>
      <c r="G8" s="6" t="n"/>
      <c r="H8" s="6" t="n"/>
      <c r="I8" s="6" t="n">
        <v>467</v>
      </c>
    </row>
    <row r="9">
      <c r="A9" s="5" t="inlineStr">
        <is>
          <t>At 31 December 2017</t>
        </is>
      </c>
      <c r="B9" s="5" t="n"/>
      <c r="C9" s="5" t="n">
        <v>53458</v>
      </c>
      <c r="D9" s="5" t="n">
        <v>-204</v>
      </c>
      <c r="E9" s="5" t="n">
        <v>467</v>
      </c>
      <c r="F9" s="5" t="n"/>
      <c r="G9" s="5" t="n">
        <v>-19674</v>
      </c>
      <c r="H9" s="5" t="n"/>
      <c r="I9" s="5" t="n">
        <v>34047</v>
      </c>
    </row>
    <row r="10">
      <c r="A10" s="6" t="inlineStr">
        <is>
          <t>Loss for the year (FY2018)</t>
        </is>
      </c>
      <c r="B10" s="6" t="n"/>
      <c r="C10" s="6" t="n"/>
      <c r="D10" s="6" t="n"/>
      <c r="E10" s="6" t="n"/>
      <c r="F10" s="6" t="n"/>
      <c r="G10" s="6" t="n">
        <v>-24844</v>
      </c>
      <c r="H10" s="6" t="n"/>
      <c r="I10" s="6" t="n">
        <v>-24844</v>
      </c>
    </row>
    <row r="11">
      <c r="A11" s="6" t="inlineStr">
        <is>
          <t>Issue of share capital (FY2018)</t>
        </is>
      </c>
      <c r="B11" s="6" t="n"/>
      <c r="C11" s="6" t="n">
        <v>24871</v>
      </c>
      <c r="D11" s="6" t="n"/>
      <c r="E11" s="6" t="n"/>
      <c r="F11" s="6" t="n"/>
      <c r="G11" s="6" t="n"/>
      <c r="H11" s="6" t="n"/>
      <c r="I11" s="6" t="n">
        <v>24871</v>
      </c>
    </row>
    <row r="12">
      <c r="A12" s="6" t="inlineStr">
        <is>
          <t>Share-based payments (FY2018)</t>
        </is>
      </c>
      <c r="B12" s="6" t="n"/>
      <c r="C12" s="6" t="n"/>
      <c r="D12" s="6" t="n"/>
      <c r="E12" s="6" t="n">
        <v>2834</v>
      </c>
      <c r="F12" s="6" t="n"/>
      <c r="G12" s="6" t="n"/>
      <c r="H12" s="6" t="n"/>
      <c r="I12" s="6" t="n">
        <v>2834</v>
      </c>
    </row>
    <row r="13">
      <c r="A13" s="5" t="inlineStr">
        <is>
          <t>At 31 December 2018</t>
        </is>
      </c>
      <c r="B13" s="5" t="n"/>
      <c r="C13" s="5" t="n">
        <v>78329</v>
      </c>
      <c r="D13" s="5" t="n">
        <v>-204</v>
      </c>
      <c r="E13" s="5" t="n">
        <v>3301</v>
      </c>
      <c r="F13" s="5" t="n"/>
      <c r="G13" s="5" t="n">
        <v>-44518</v>
      </c>
      <c r="H13" s="5" t="n"/>
      <c r="I13" s="5" t="n">
        <v>36908</v>
      </c>
    </row>
    <row r="14">
      <c r="A14" s="6" t="inlineStr">
        <is>
          <t>Loss for the year (FY2019)</t>
        </is>
      </c>
      <c r="B14" s="6" t="n"/>
      <c r="C14" s="6" t="n"/>
      <c r="D14" s="6" t="n"/>
      <c r="E14" s="6" t="n"/>
      <c r="F14" s="6" t="n"/>
      <c r="G14" s="6" t="n">
        <v>-33996</v>
      </c>
      <c r="H14" s="6" t="n"/>
      <c r="I14" s="6" t="n">
        <v>-33996</v>
      </c>
    </row>
    <row r="15">
      <c r="A15" s="6" t="inlineStr">
        <is>
          <t>Other comprehensive income (FY2019)</t>
        </is>
      </c>
      <c r="B15" s="6" t="n"/>
      <c r="C15" s="6" t="n"/>
      <c r="D15" s="6" t="n"/>
      <c r="E15" s="6" t="n"/>
      <c r="F15" s="6" t="n"/>
      <c r="G15" s="6" t="n"/>
      <c r="H15" s="6" t="n">
        <v>33</v>
      </c>
      <c r="I15" s="6" t="n">
        <v>33</v>
      </c>
    </row>
    <row r="16">
      <c r="A16" s="6" t="inlineStr">
        <is>
          <t>Issue of share capital (FY2019)</t>
        </is>
      </c>
      <c r="B16" s="6" t="n"/>
      <c r="C16" s="6" t="n">
        <v>34875</v>
      </c>
      <c r="D16" s="6" t="n"/>
      <c r="E16" s="6" t="n"/>
      <c r="F16" s="6" t="n"/>
      <c r="G16" s="6" t="n"/>
      <c r="H16" s="6" t="n"/>
      <c r="I16" s="6" t="n">
        <v>34875</v>
      </c>
    </row>
    <row r="17">
      <c r="A17" s="6" t="inlineStr">
        <is>
          <t>Share-based payments (FY2019)</t>
        </is>
      </c>
      <c r="B17" s="6" t="n"/>
      <c r="C17" s="6" t="n"/>
      <c r="D17" s="6" t="n"/>
      <c r="E17" s="6" t="n">
        <v>2422</v>
      </c>
      <c r="F17" s="6" t="n"/>
      <c r="G17" s="6" t="n"/>
      <c r="H17" s="6" t="n"/>
      <c r="I17" s="6" t="n">
        <v>2422</v>
      </c>
    </row>
    <row r="18">
      <c r="A18" s="6" t="inlineStr">
        <is>
          <t>Other movements (FY2019, reserve transfer)</t>
        </is>
      </c>
      <c r="B18" s="6" t="n"/>
      <c r="C18" s="6" t="n"/>
      <c r="D18" s="6" t="n"/>
      <c r="E18" s="6" t="n"/>
      <c r="F18" s="6" t="n"/>
      <c r="G18" s="6" t="n">
        <v>42</v>
      </c>
      <c r="H18" s="6" t="n">
        <v>-42</v>
      </c>
      <c r="I18" s="6" t="n"/>
    </row>
    <row r="19">
      <c r="A19" s="5" t="inlineStr">
        <is>
          <t>At 31 December 2019</t>
        </is>
      </c>
      <c r="B19" s="5" t="n"/>
      <c r="C19" s="5" t="n">
        <v>113204</v>
      </c>
      <c r="D19" s="5" t="n">
        <v>-204</v>
      </c>
      <c r="E19" s="5" t="n">
        <v>5723</v>
      </c>
      <c r="F19" s="5" t="n"/>
      <c r="G19" s="5" t="n">
        <v>-78472</v>
      </c>
      <c r="H19" s="5" t="n">
        <v>-9</v>
      </c>
      <c r="I19" s="5" t="n">
        <v>40242</v>
      </c>
    </row>
    <row r="20">
      <c r="A20" s="6" t="inlineStr">
        <is>
          <t>Loss for the year (FY2020)</t>
        </is>
      </c>
      <c r="B20" s="6" t="n"/>
      <c r="C20" s="6" t="n"/>
      <c r="D20" s="6" t="n"/>
      <c r="E20" s="6" t="n"/>
      <c r="F20" s="6" t="n"/>
      <c r="G20" s="6" t="n">
        <v>-29796</v>
      </c>
      <c r="H20" s="6" t="n"/>
      <c r="I20" s="6" t="n">
        <v>-29796</v>
      </c>
    </row>
    <row r="21">
      <c r="A21" s="6" t="inlineStr">
        <is>
          <t>Other comprehensive loss (FY2020)</t>
        </is>
      </c>
      <c r="B21" s="6" t="n"/>
      <c r="C21" s="6" t="n"/>
      <c r="D21" s="6" t="n"/>
      <c r="E21" s="6" t="n"/>
      <c r="F21" s="6" t="n"/>
      <c r="G21" s="6" t="n"/>
      <c r="H21" s="6" t="n">
        <v>-107</v>
      </c>
      <c r="I21" s="6" t="n">
        <v>-107</v>
      </c>
    </row>
    <row r="22">
      <c r="A22" s="6" t="inlineStr">
        <is>
          <t>Issue of share capital (FY2020)</t>
        </is>
      </c>
      <c r="B22" s="6" t="n"/>
      <c r="C22" s="6" t="n">
        <v>44112</v>
      </c>
      <c r="D22" s="6" t="n"/>
      <c r="E22" s="6" t="n"/>
      <c r="F22" s="6" t="n"/>
      <c r="G22" s="6" t="n"/>
      <c r="H22" s="6" t="n"/>
      <c r="I22" s="6" t="n">
        <v>44112</v>
      </c>
    </row>
    <row r="23">
      <c r="A23" s="6" t="inlineStr">
        <is>
          <t>Share-based payments (FY2020)</t>
        </is>
      </c>
      <c r="B23" s="6" t="n"/>
      <c r="C23" s="6" t="n"/>
      <c r="D23" s="6" t="n"/>
      <c r="E23" s="6" t="n">
        <v>3796</v>
      </c>
      <c r="F23" s="6" t="n"/>
      <c r="G23" s="6" t="n"/>
      <c r="H23" s="6" t="n"/>
      <c r="I23" s="6" t="n">
        <v>3796</v>
      </c>
    </row>
    <row r="24">
      <c r="A24" s="5" t="inlineStr">
        <is>
          <t>At 31 December 2020 (= At 1 January 2021)</t>
        </is>
      </c>
      <c r="B24" s="5" t="n"/>
      <c r="C24" s="5" t="n">
        <v>157316</v>
      </c>
      <c r="D24" s="5" t="n">
        <v>-204</v>
      </c>
      <c r="E24" s="5" t="n">
        <v>9519</v>
      </c>
      <c r="F24" s="5" t="n"/>
      <c r="G24" s="5" t="n">
        <v>-108268</v>
      </c>
      <c r="H24" s="5" t="n">
        <v>-116</v>
      </c>
      <c r="I24" s="5" t="n">
        <v>58247</v>
      </c>
    </row>
    <row r="25">
      <c r="A25" s="6" t="inlineStr">
        <is>
          <t>Loss for the year (FY2021)</t>
        </is>
      </c>
      <c r="B25" s="6" t="n"/>
      <c r="C25" s="6" t="n"/>
      <c r="D25" s="6" t="n"/>
      <c r="E25" s="6" t="n"/>
      <c r="F25" s="6" t="n"/>
      <c r="G25" s="6" t="n">
        <v>-28200</v>
      </c>
      <c r="H25" s="6" t="n"/>
      <c r="I25" s="6" t="n">
        <v>-28200</v>
      </c>
    </row>
    <row r="26">
      <c r="A26" s="6" t="inlineStr">
        <is>
          <t>Other comprehensive loss (FY2021)</t>
        </is>
      </c>
      <c r="B26" s="6" t="n"/>
      <c r="C26" s="6" t="n"/>
      <c r="D26" s="6" t="n"/>
      <c r="E26" s="6" t="n"/>
      <c r="F26" s="6" t="n"/>
      <c r="G26" s="6" t="n"/>
      <c r="H26" s="6" t="n">
        <v>-1</v>
      </c>
      <c r="I26" s="6" t="n">
        <v>-1</v>
      </c>
    </row>
    <row r="27">
      <c r="A27" s="6" t="inlineStr">
        <is>
          <t>Issue of share capital (FY2021)</t>
        </is>
      </c>
      <c r="B27" s="6" t="n"/>
      <c r="C27" s="6" t="n">
        <v>34500</v>
      </c>
      <c r="D27" s="6" t="n"/>
      <c r="E27" s="6" t="n"/>
      <c r="F27" s="6" t="n"/>
      <c r="G27" s="6" t="n"/>
      <c r="H27" s="6" t="n"/>
      <c r="I27" s="6" t="n">
        <v>34500</v>
      </c>
    </row>
    <row r="28">
      <c r="A28" s="6" t="inlineStr">
        <is>
          <t>Share-based payments (FY2021)</t>
        </is>
      </c>
      <c r="B28" s="6" t="n"/>
      <c r="C28" s="6" t="n"/>
      <c r="D28" s="6" t="n"/>
      <c r="E28" s="6" t="n">
        <v>7671</v>
      </c>
      <c r="F28" s="6" t="n"/>
      <c r="G28" s="6" t="n"/>
      <c r="H28" s="6" t="n"/>
      <c r="I28" s="6" t="n">
        <v>7671</v>
      </c>
    </row>
    <row r="29">
      <c r="A29" s="5" t="inlineStr">
        <is>
          <t>At 31 December 2021</t>
        </is>
      </c>
      <c r="B29" s="5" t="n"/>
      <c r="C29" s="5" t="n">
        <v>191816</v>
      </c>
      <c r="D29" s="5" t="n">
        <v>-204</v>
      </c>
      <c r="E29" s="5" t="n">
        <v>17190</v>
      </c>
      <c r="F29" s="5" t="n"/>
      <c r="G29" s="5" t="n">
        <v>-136468</v>
      </c>
      <c r="H29" s="5" t="n">
        <v>-117</v>
      </c>
      <c r="I29" s="5" t="n">
        <v>72217</v>
      </c>
    </row>
    <row r="30">
      <c r="A30" s="6" t="inlineStr">
        <is>
          <t>Profit for the year (FY2022)</t>
        </is>
      </c>
      <c r="B30" s="6" t="n"/>
      <c r="C30" s="6" t="n"/>
      <c r="D30" s="6" t="n"/>
      <c r="E30" s="6" t="n"/>
      <c r="F30" s="6" t="n"/>
      <c r="G30" s="6" t="n">
        <v>6818</v>
      </c>
      <c r="H30" s="6" t="n"/>
      <c r="I30" s="6" t="n">
        <v>6818</v>
      </c>
    </row>
    <row r="31">
      <c r="A31" s="6" t="inlineStr">
        <is>
          <t>Other comprehensive income (FY2022)</t>
        </is>
      </c>
      <c r="B31" s="6" t="n"/>
      <c r="C31" s="6" t="n"/>
      <c r="D31" s="6" t="n"/>
      <c r="E31" s="6" t="n"/>
      <c r="F31" s="6" t="n"/>
      <c r="G31" s="6" t="n"/>
      <c r="H31" s="6" t="n">
        <v>1</v>
      </c>
      <c r="I31" s="6" t="n">
        <v>1</v>
      </c>
    </row>
    <row r="32">
      <c r="A32" s="6" t="inlineStr">
        <is>
          <t>Issue of share capital (FY2022)</t>
        </is>
      </c>
      <c r="B32" s="6" t="n"/>
      <c r="C32" s="6" t="n">
        <v>533</v>
      </c>
      <c r="D32" s="6" t="n"/>
      <c r="E32" s="6" t="n"/>
      <c r="F32" s="6" t="n"/>
      <c r="G32" s="6" t="n"/>
      <c r="H32" s="6" t="n"/>
      <c r="I32" s="6" t="n">
        <v>533</v>
      </c>
    </row>
    <row r="33">
      <c r="A33" s="6" t="inlineStr">
        <is>
          <t>Share-based payments (FY2022)</t>
        </is>
      </c>
      <c r="B33" s="6" t="n"/>
      <c r="C33" s="6" t="n"/>
      <c r="D33" s="6" t="n"/>
      <c r="E33" s="6" t="n">
        <v>7743</v>
      </c>
      <c r="F33" s="6" t="n"/>
      <c r="G33" s="6" t="n"/>
      <c r="H33" s="6" t="n"/>
      <c r="I33" s="6" t="n">
        <v>7743</v>
      </c>
    </row>
    <row r="34">
      <c r="A34" s="5" t="inlineStr">
        <is>
          <t>At 31 December 2022</t>
        </is>
      </c>
      <c r="B34" s="5" t="n"/>
      <c r="C34" s="5" t="n">
        <v>192349</v>
      </c>
      <c r="D34" s="5" t="n">
        <v>-204</v>
      </c>
      <c r="E34" s="5" t="n">
        <v>24933</v>
      </c>
      <c r="F34" s="5" t="n"/>
      <c r="G34" s="5" t="n">
        <v>-129650</v>
      </c>
      <c r="H34" s="5" t="n">
        <v>-116</v>
      </c>
      <c r="I34" s="5" t="n">
        <v>87312</v>
      </c>
    </row>
    <row r="35">
      <c r="A35" s="6" t="inlineStr">
        <is>
          <t>Note: FY2023's own report is Company-only - Treasury shares/Translation reserve columns are not disclosed that year (see Presentation Note); the FY2022 closing balance it re-presents (£87,312k Total) matches the Consolidated total above exactly.</t>
        </is>
      </c>
      <c r="B35" s="6" t="n"/>
      <c r="C35" s="6" t="n"/>
      <c r="D35" s="6" t="n"/>
      <c r="E35" s="6" t="n"/>
      <c r="F35" s="6" t="n"/>
      <c r="G35" s="6" t="n"/>
      <c r="H35" s="6" t="n"/>
      <c r="I35" s="6" t="n"/>
    </row>
    <row r="36">
      <c r="A36" s="6" t="inlineStr">
        <is>
          <t>Profit for the year (FY2023)</t>
        </is>
      </c>
      <c r="B36" s="6" t="n"/>
      <c r="C36" s="6" t="n"/>
      <c r="D36" s="6" t="n"/>
      <c r="E36" s="6" t="n"/>
      <c r="F36" s="6" t="n"/>
      <c r="G36" s="6" t="n">
        <v>22396</v>
      </c>
      <c r="H36" s="6" t="n"/>
      <c r="I36" s="6" t="n">
        <v>22396</v>
      </c>
    </row>
    <row r="37">
      <c r="A37" s="6" t="inlineStr">
        <is>
          <t>Issue of share capital (FY2023)</t>
        </is>
      </c>
      <c r="B37" s="6" t="n"/>
      <c r="C37" s="6" t="n">
        <v>11300</v>
      </c>
      <c r="D37" s="6" t="n"/>
      <c r="E37" s="6" t="n"/>
      <c r="F37" s="6" t="n"/>
      <c r="G37" s="6" t="n"/>
      <c r="H37" s="6" t="n"/>
      <c r="I37" s="6" t="n">
        <v>11300</v>
      </c>
    </row>
    <row r="38">
      <c r="A38" s="6" t="inlineStr">
        <is>
          <t>Share-based payments and reserve transfer (FY2023)</t>
        </is>
      </c>
      <c r="B38" s="6" t="n"/>
      <c r="C38" s="6" t="n"/>
      <c r="D38" s="6" t="n"/>
      <c r="E38" s="6" t="n">
        <v>-21408</v>
      </c>
      <c r="F38" s="6" t="n">
        <v>26805</v>
      </c>
      <c r="G38" s="6" t="n">
        <v>1332</v>
      </c>
      <c r="H38" s="6" t="n"/>
      <c r="I38" s="6" t="n">
        <v>6729</v>
      </c>
    </row>
    <row r="39">
      <c r="A39" s="6" t="inlineStr">
        <is>
          <t>Tax on share-based payments (FY2023)</t>
        </is>
      </c>
      <c r="B39" s="6" t="n"/>
      <c r="C39" s="6" t="n"/>
      <c r="D39" s="6" t="n"/>
      <c r="E39" s="6" t="n"/>
      <c r="F39" s="6" t="n"/>
      <c r="G39" s="6" t="n">
        <v>1789</v>
      </c>
      <c r="H39" s="6" t="n"/>
      <c r="I39" s="6" t="n">
        <v>1789</v>
      </c>
    </row>
    <row r="40">
      <c r="A40" s="5" t="inlineStr">
        <is>
          <t>At 31 December 2023</t>
        </is>
      </c>
      <c r="B40" s="5" t="n"/>
      <c r="C40" s="5" t="n">
        <v>203445</v>
      </c>
      <c r="D40" s="5" t="n"/>
      <c r="E40" s="5" t="n"/>
      <c r="F40" s="5" t="n">
        <v>26805</v>
      </c>
      <c r="G40" s="5" t="n">
        <v>-100724</v>
      </c>
      <c r="H40" s="5" t="n"/>
      <c r="I40" s="5" t="n">
        <v>129526</v>
      </c>
    </row>
    <row r="41">
      <c r="A41" s="6" t="inlineStr">
        <is>
          <t>ENTITY-CHANGE NOTE: a new intermediate parent, ClearBank Group Holdings Limited, was inserted above ClearBank Limited during FY2023 (business combination under common control, consolidated from 1 May 2023 - see Sources below) - the FY2024 opening balance is that new entity's own closing balance for its first reporting period (to 31 Dec 2023), not a continuation of the row above.</t>
        </is>
      </c>
      <c r="B41" s="6" t="n"/>
      <c r="C41" s="6" t="n"/>
      <c r="D41" s="6" t="n"/>
      <c r="E41" s="6" t="n"/>
      <c r="F41" s="6" t="n"/>
      <c r="G41" s="6" t="n"/>
      <c r="H41" s="6" t="n"/>
      <c r="I41" s="6" t="n"/>
    </row>
    <row r="42">
      <c r="A42" s="5" t="inlineStr">
        <is>
          <t>At 1 January 2024</t>
        </is>
      </c>
      <c r="B42" s="5" t="n">
        <v>2</v>
      </c>
      <c r="C42" s="5" t="n">
        <v>189403</v>
      </c>
      <c r="D42" s="5" t="n"/>
      <c r="E42" s="5" t="n"/>
      <c r="F42" s="5" t="n">
        <v>3511</v>
      </c>
      <c r="G42" s="5" t="n">
        <v>3598</v>
      </c>
      <c r="H42" s="5" t="n">
        <v>-17</v>
      </c>
      <c r="I42" s="5" t="n">
        <v>196497</v>
      </c>
    </row>
    <row r="43">
      <c r="A43" s="6" t="inlineStr">
        <is>
          <t>Loss for the year (FY2024)</t>
        </is>
      </c>
      <c r="B43" s="6" t="n"/>
      <c r="C43" s="6" t="n"/>
      <c r="D43" s="6" t="n"/>
      <c r="E43" s="6" t="n"/>
      <c r="F43" s="6" t="n"/>
      <c r="G43" s="6" t="n">
        <v>-10318</v>
      </c>
      <c r="H43" s="6" t="n"/>
      <c r="I43" s="6" t="n">
        <v>-10318</v>
      </c>
    </row>
    <row r="44">
      <c r="A44" s="6" t="inlineStr">
        <is>
          <t>Other comprehensive loss (FY2024)</t>
        </is>
      </c>
      <c r="B44" s="6" t="n"/>
      <c r="C44" s="6" t="n"/>
      <c r="D44" s="6" t="n"/>
      <c r="E44" s="6" t="n"/>
      <c r="F44" s="6" t="n"/>
      <c r="G44" s="6" t="n"/>
      <c r="H44" s="6" t="n">
        <v>-767</v>
      </c>
      <c r="I44" s="6" t="n">
        <v>-767</v>
      </c>
    </row>
    <row r="45">
      <c r="A45" s="6" t="inlineStr">
        <is>
          <t>Issue of share capital (FY2024)</t>
        </is>
      </c>
      <c r="B45" s="6" t="n"/>
      <c r="C45" s="6" t="n">
        <v>35000</v>
      </c>
      <c r="D45" s="6" t="n"/>
      <c r="E45" s="6" t="n"/>
      <c r="F45" s="6" t="n"/>
      <c r="G45" s="6" t="n"/>
      <c r="H45" s="6" t="n"/>
      <c r="I45" s="6" t="n">
        <v>35000</v>
      </c>
    </row>
    <row r="46">
      <c r="A46" s="6" t="inlineStr">
        <is>
          <t>Share-based payments (FY2024)</t>
        </is>
      </c>
      <c r="B46" s="6" t="n"/>
      <c r="C46" s="6" t="n"/>
      <c r="D46" s="6" t="n"/>
      <c r="E46" s="6" t="n"/>
      <c r="F46" s="6" t="n">
        <v>5677</v>
      </c>
      <c r="G46" s="6" t="n">
        <v>76</v>
      </c>
      <c r="H46" s="6" t="n"/>
      <c r="I46" s="6" t="n">
        <v>5753</v>
      </c>
    </row>
    <row r="47">
      <c r="A47" s="6" t="inlineStr">
        <is>
          <t>Tax on share-based payments (FY2024)</t>
        </is>
      </c>
      <c r="B47" s="6" t="n"/>
      <c r="C47" s="6" t="n"/>
      <c r="D47" s="6" t="n"/>
      <c r="E47" s="6" t="n"/>
      <c r="F47" s="6" t="n"/>
      <c r="G47" s="6" t="n">
        <v>-3874</v>
      </c>
      <c r="H47" s="6" t="n"/>
      <c r="I47" s="6" t="n">
        <v>-3874</v>
      </c>
    </row>
    <row r="48">
      <c r="A48" s="5" t="inlineStr">
        <is>
          <t>At 31 December 2024</t>
        </is>
      </c>
      <c r="B48" s="5" t="n">
        <v>2</v>
      </c>
      <c r="C48" s="5" t="n">
        <v>224403</v>
      </c>
      <c r="D48" s="5" t="n"/>
      <c r="E48" s="5" t="n"/>
      <c r="F48" s="5" t="n">
        <v>9188</v>
      </c>
      <c r="G48" s="5" t="n">
        <v>-10518</v>
      </c>
      <c r="H48" s="5" t="n">
        <v>-784</v>
      </c>
      <c r="I48" s="5" t="n">
        <v>222291</v>
      </c>
    </row>
    <row r="49">
      <c r="A49" s="6" t="inlineStr">
        <is>
          <t>Loss for the year (FY2025)</t>
        </is>
      </c>
      <c r="B49" s="6" t="n"/>
      <c r="C49" s="6" t="n"/>
      <c r="D49" s="6" t="n"/>
      <c r="E49" s="6" t="n"/>
      <c r="F49" s="6" t="n"/>
      <c r="G49" s="6" t="n">
        <v>-15765</v>
      </c>
      <c r="H49" s="6" t="n"/>
      <c r="I49" s="6" t="n">
        <v>-15765</v>
      </c>
    </row>
    <row r="50">
      <c r="A50" s="6" t="inlineStr">
        <is>
          <t>Other comprehensive income (FY2025)</t>
        </is>
      </c>
      <c r="B50" s="6" t="n"/>
      <c r="C50" s="6" t="n"/>
      <c r="D50" s="6" t="n"/>
      <c r="E50" s="6" t="n"/>
      <c r="F50" s="6" t="n"/>
      <c r="G50" s="6" t="n"/>
      <c r="H50" s="6" t="n">
        <v>1788</v>
      </c>
      <c r="I50" s="6" t="n">
        <v>1788</v>
      </c>
    </row>
    <row r="51">
      <c r="A51" s="6" t="inlineStr">
        <is>
          <t>Share-based payments (FY2025)</t>
        </is>
      </c>
      <c r="B51" s="6" t="n"/>
      <c r="C51" s="6" t="n"/>
      <c r="D51" s="6" t="n"/>
      <c r="E51" s="6" t="n"/>
      <c r="F51" s="6" t="n">
        <v>2754</v>
      </c>
      <c r="G51" s="6" t="n">
        <v>-1187</v>
      </c>
      <c r="H51" s="6" t="n"/>
      <c r="I51" s="6" t="n">
        <v>1567</v>
      </c>
    </row>
    <row r="52">
      <c r="A52" s="6" t="inlineStr">
        <is>
          <t>Tax on share-based payments (FY2025)</t>
        </is>
      </c>
      <c r="B52" s="6" t="n"/>
      <c r="C52" s="6" t="n"/>
      <c r="D52" s="6" t="n"/>
      <c r="E52" s="6" t="n"/>
      <c r="F52" s="6" t="n"/>
      <c r="G52" s="6" t="n">
        <v>2958</v>
      </c>
      <c r="H52" s="6" t="n"/>
      <c r="I52" s="6" t="n">
        <v>2958</v>
      </c>
    </row>
    <row r="53">
      <c r="A53" s="5" t="inlineStr">
        <is>
          <t>At 31 December 2025</t>
        </is>
      </c>
      <c r="B53" s="5" t="n">
        <v>2</v>
      </c>
      <c r="C53" s="5" t="n">
        <v>224403</v>
      </c>
      <c r="D53" s="5" t="n"/>
      <c r="E53" s="5" t="n"/>
      <c r="F53" s="5" t="n">
        <v>11942</v>
      </c>
      <c r="G53" s="5" t="n">
        <v>-24512</v>
      </c>
      <c r="H53" s="5" t="n">
        <v>1004</v>
      </c>
      <c r="I53" s="5" t="n">
        <v>212839</v>
      </c>
    </row>
    <row r="55" ht="380" customHeight="1">
      <c r="A55"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55:I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Consolidated Cash Flow Statement</t>
        </is>
      </c>
    </row>
    <row r="2">
      <c r="A2" s="2" t="inlineStr">
        <is>
          <t>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Operating activities</t>
        </is>
      </c>
      <c r="B4" s="6" t="n"/>
      <c r="C4" s="6" t="n"/>
      <c r="D4" s="6" t="n"/>
      <c r="E4" s="6" t="n"/>
      <c r="F4" s="6" t="n"/>
      <c r="G4" s="6" t="n"/>
      <c r="H4" s="6" t="n"/>
      <c r="I4" s="6" t="n"/>
      <c r="J4" s="6" t="n"/>
    </row>
    <row r="5">
      <c r="A5" s="6" t="inlineStr">
        <is>
          <t>Profit/(loss) for the year after tax</t>
        </is>
      </c>
      <c r="B5" s="6" t="n">
        <v>-15765</v>
      </c>
      <c r="C5" s="6" t="n">
        <v>-10318</v>
      </c>
      <c r="D5" s="6" t="n">
        <v>22396</v>
      </c>
      <c r="E5" s="6" t="n">
        <v>6818</v>
      </c>
      <c r="F5" s="6" t="n">
        <v>-28200</v>
      </c>
      <c r="G5" s="6" t="n">
        <v>-29796</v>
      </c>
      <c r="H5" s="6" t="n">
        <v>-33996</v>
      </c>
      <c r="I5" s="6" t="n">
        <v>-24844</v>
      </c>
      <c r="J5" s="6" t="n">
        <v>-13899</v>
      </c>
    </row>
    <row r="6">
      <c r="A6" s="6" t="inlineStr">
        <is>
          <t>Depreciation of property, plant and equipment</t>
        </is>
      </c>
      <c r="B6" s="6" t="n">
        <v>63</v>
      </c>
      <c r="C6" s="6" t="n">
        <v>68</v>
      </c>
      <c r="D6" s="6" t="n">
        <v>510</v>
      </c>
      <c r="E6" s="6" t="n">
        <v>304</v>
      </c>
      <c r="F6" s="6" t="n">
        <v>475</v>
      </c>
      <c r="G6" s="6" t="n">
        <v>462</v>
      </c>
      <c r="H6" s="6" t="n">
        <v>651</v>
      </c>
      <c r="I6" s="6" t="n">
        <v>620</v>
      </c>
      <c r="J6" s="6" t="n">
        <v>490</v>
      </c>
    </row>
    <row r="7">
      <c r="A7" s="6" t="inlineStr">
        <is>
          <t>(Profit)/loss on disposals of property, plant and equipment</t>
        </is>
      </c>
      <c r="B7" s="6" t="n"/>
      <c r="C7" s="6" t="n"/>
      <c r="D7" s="6" t="n"/>
      <c r="E7" s="6" t="n">
        <v>-13</v>
      </c>
      <c r="F7" s="6" t="n">
        <v>15</v>
      </c>
      <c r="G7" s="6" t="n">
        <v>26</v>
      </c>
      <c r="H7" s="6" t="n">
        <v>79</v>
      </c>
      <c r="I7" s="6" t="n">
        <v>5</v>
      </c>
      <c r="J7" s="6" t="n"/>
    </row>
    <row r="8">
      <c r="A8" s="6" t="inlineStr">
        <is>
          <t>Impairment of property, plant and equipment</t>
        </is>
      </c>
      <c r="B8" s="6" t="n"/>
      <c r="C8" s="6" t="n"/>
      <c r="D8" s="6" t="n"/>
      <c r="E8" s="6" t="n"/>
      <c r="F8" s="6" t="n"/>
      <c r="G8" s="6" t="n">
        <v>9</v>
      </c>
      <c r="H8" s="6" t="n"/>
      <c r="I8" s="6" t="n"/>
      <c r="J8" s="6" t="n"/>
    </row>
    <row r="9">
      <c r="A9" s="6" t="inlineStr">
        <is>
          <t>Depreciation of right-of-use assets</t>
        </is>
      </c>
      <c r="B9" s="6" t="n">
        <v>2202</v>
      </c>
      <c r="C9" s="6" t="n">
        <v>1624</v>
      </c>
      <c r="D9" s="6" t="n">
        <v>1702</v>
      </c>
      <c r="E9" s="6" t="n">
        <v>1030</v>
      </c>
      <c r="F9" s="6" t="n">
        <v>1670</v>
      </c>
      <c r="G9" s="6" t="n">
        <v>2969</v>
      </c>
      <c r="H9" s="6" t="n">
        <v>2240</v>
      </c>
      <c r="I9" s="6" t="n"/>
      <c r="J9" s="6" t="n"/>
    </row>
    <row r="10">
      <c r="A10" s="6" t="inlineStr">
        <is>
          <t>Amortisation of intangible assets</t>
        </is>
      </c>
      <c r="B10" s="6" t="n">
        <v>15706</v>
      </c>
      <c r="C10" s="6" t="n">
        <v>11643</v>
      </c>
      <c r="D10" s="6" t="n">
        <v>8869</v>
      </c>
      <c r="E10" s="6" t="n">
        <v>7824</v>
      </c>
      <c r="F10" s="6" t="n">
        <v>5791</v>
      </c>
      <c r="G10" s="6" t="n">
        <v>3723</v>
      </c>
      <c r="H10" s="6" t="n">
        <v>2939</v>
      </c>
      <c r="I10" s="6" t="n">
        <v>1745</v>
      </c>
      <c r="J10" s="6" t="n">
        <v>334</v>
      </c>
    </row>
    <row r="11">
      <c r="A11" s="6" t="inlineStr">
        <is>
          <t>Impairment of intangible assets</t>
        </is>
      </c>
      <c r="B11" s="6" t="n">
        <v>936</v>
      </c>
      <c r="C11" s="6" t="n">
        <v>1584</v>
      </c>
      <c r="D11" s="6" t="n">
        <v>246</v>
      </c>
      <c r="E11" s="6" t="n">
        <v>676</v>
      </c>
      <c r="F11" s="6" t="n">
        <v>337</v>
      </c>
      <c r="G11" s="6" t="n">
        <v>549</v>
      </c>
      <c r="H11" s="6" t="n">
        <v>1032</v>
      </c>
      <c r="I11" s="6" t="n"/>
      <c r="J11" s="6" t="n"/>
    </row>
    <row r="12">
      <c r="A12" s="6" t="inlineStr">
        <is>
          <t>Share-based payment expense</t>
        </is>
      </c>
      <c r="B12" s="6" t="n">
        <v>1567</v>
      </c>
      <c r="C12" s="6" t="n">
        <v>5753</v>
      </c>
      <c r="D12" s="6" t="n">
        <v>6729</v>
      </c>
      <c r="E12" s="6" t="n">
        <v>7743</v>
      </c>
      <c r="F12" s="6" t="n">
        <v>7671</v>
      </c>
      <c r="G12" s="6" t="n">
        <v>3796</v>
      </c>
      <c r="H12" s="6" t="n">
        <v>2422</v>
      </c>
      <c r="I12" s="6" t="n">
        <v>2834</v>
      </c>
      <c r="J12" s="6" t="n">
        <v>467</v>
      </c>
    </row>
    <row r="13">
      <c r="A13" s="6" t="inlineStr">
        <is>
          <t>Recognition of right-of-use assets</t>
        </is>
      </c>
      <c r="B13" s="6" t="n"/>
      <c r="C13" s="6" t="n"/>
      <c r="D13" s="6" t="n"/>
      <c r="E13" s="6" t="n"/>
      <c r="F13" s="6" t="n">
        <v>34</v>
      </c>
      <c r="G13" s="6" t="n">
        <v>110</v>
      </c>
      <c r="H13" s="6" t="n">
        <v>-570</v>
      </c>
      <c r="I13" s="6" t="n"/>
      <c r="J13" s="6" t="n"/>
    </row>
    <row r="14">
      <c r="A14" s="6" t="inlineStr">
        <is>
          <t>Costs of share issue / raising finance (included in professional fees)</t>
        </is>
      </c>
      <c r="B14" s="6" t="n"/>
      <c r="C14" s="6" t="n"/>
      <c r="D14" s="6" t="n"/>
      <c r="E14" s="6" t="n"/>
      <c r="F14" s="6" t="n"/>
      <c r="G14" s="6" t="n"/>
      <c r="H14" s="6" t="n"/>
      <c r="I14" s="6" t="n"/>
      <c r="J14" s="6" t="n">
        <v>92</v>
      </c>
    </row>
    <row r="15">
      <c r="A15" s="6" t="inlineStr">
        <is>
          <t>Tax benefit/(charge)</t>
        </is>
      </c>
      <c r="B15" s="6" t="n">
        <v>-945</v>
      </c>
      <c r="C15" s="6" t="n">
        <v>74</v>
      </c>
      <c r="D15" s="6" t="n">
        <v>-3967</v>
      </c>
      <c r="E15" s="6" t="n">
        <v>-17794</v>
      </c>
      <c r="F15" s="6" t="n">
        <v>-2874</v>
      </c>
      <c r="G15" s="6" t="n">
        <v>-981</v>
      </c>
      <c r="H15" s="6" t="n">
        <v>153</v>
      </c>
      <c r="I15" s="6" t="n">
        <v>-4683</v>
      </c>
      <c r="J15" s="6" t="n">
        <v>-3652</v>
      </c>
    </row>
    <row r="16">
      <c r="A16" s="6" t="inlineStr">
        <is>
          <t>Finance costs</t>
        </is>
      </c>
      <c r="B16" s="6" t="n"/>
      <c r="C16" s="6" t="n"/>
      <c r="D16" s="6" t="n"/>
      <c r="E16" s="6" t="n">
        <v>34</v>
      </c>
      <c r="F16" s="6" t="n">
        <v>10</v>
      </c>
      <c r="G16" s="6" t="n">
        <v>108</v>
      </c>
      <c r="H16" s="6" t="n"/>
      <c r="I16" s="6" t="n"/>
      <c r="J16" s="6" t="n"/>
    </row>
    <row r="17">
      <c r="A17" s="6" t="inlineStr">
        <is>
          <t>Net interest income</t>
        </is>
      </c>
      <c r="B17" s="6" t="n">
        <v>-70963</v>
      </c>
      <c r="C17" s="6" t="n">
        <v>-67110</v>
      </c>
      <c r="D17" s="6" t="n">
        <v>-81914</v>
      </c>
      <c r="E17" s="6" t="n">
        <v>-33863</v>
      </c>
      <c r="F17" s="6" t="n">
        <v>-1842</v>
      </c>
      <c r="G17" s="6" t="n">
        <v>-900</v>
      </c>
      <c r="H17" s="6" t="n">
        <v>-1097</v>
      </c>
      <c r="I17" s="6" t="n"/>
      <c r="J17" s="6" t="n"/>
    </row>
    <row r="18">
      <c r="A18" s="6" t="inlineStr">
        <is>
          <t>Other income</t>
        </is>
      </c>
      <c r="B18" s="6" t="n">
        <v>-798</v>
      </c>
      <c r="C18" s="6" t="n">
        <v>-678</v>
      </c>
      <c r="D18" s="6" t="n">
        <v>-380</v>
      </c>
      <c r="E18" s="6" t="n"/>
      <c r="F18" s="6" t="n"/>
      <c r="G18" s="6" t="n"/>
      <c r="H18" s="6" t="n"/>
      <c r="I18" s="6" t="n"/>
      <c r="J18" s="6" t="n"/>
    </row>
    <row r="19">
      <c r="A19" s="6" t="inlineStr">
        <is>
          <t>Foreign currency differences (non-cash items)</t>
        </is>
      </c>
      <c r="B19" s="6" t="n">
        <v>30</v>
      </c>
      <c r="C19" s="6" t="n">
        <v>18</v>
      </c>
      <c r="D19" s="6" t="n">
        <v>43</v>
      </c>
      <c r="E19" s="6" t="n">
        <v>1</v>
      </c>
      <c r="F19" s="6" t="n">
        <v>-1</v>
      </c>
      <c r="G19" s="6" t="n">
        <v>-107</v>
      </c>
      <c r="H19" s="6" t="n">
        <v>33</v>
      </c>
      <c r="I19" s="6" t="n"/>
      <c r="J19" s="6" t="n"/>
    </row>
    <row r="20">
      <c r="A20" s="5" t="inlineStr">
        <is>
          <t>Operating cash flows before changes in working capital</t>
        </is>
      </c>
      <c r="B20" s="5" t="n">
        <v>-67967</v>
      </c>
      <c r="C20" s="5" t="n">
        <v>-57342</v>
      </c>
      <c r="D20" s="5" t="n">
        <v>-45766</v>
      </c>
      <c r="E20" s="5" t="n">
        <v>-27240</v>
      </c>
      <c r="F20" s="5" t="n">
        <v>-16914</v>
      </c>
      <c r="G20" s="5" t="n">
        <v>-20248</v>
      </c>
      <c r="H20" s="5" t="n">
        <v>-26114</v>
      </c>
      <c r="I20" s="5" t="n">
        <v>-24323</v>
      </c>
      <c r="J20" s="5" t="n">
        <v>-16168</v>
      </c>
    </row>
    <row r="21">
      <c r="A21" s="6" t="inlineStr">
        <is>
          <t>Increase/(decrease) in collateral</t>
        </is>
      </c>
      <c r="B21" s="6" t="n">
        <v>859</v>
      </c>
      <c r="C21" s="6" t="n">
        <v>-16</v>
      </c>
      <c r="D21" s="6" t="n">
        <v>-919</v>
      </c>
      <c r="E21" s="6" t="n">
        <v>-27</v>
      </c>
      <c r="F21" s="6" t="n">
        <v>-36</v>
      </c>
      <c r="G21" s="6" t="n">
        <v>-6</v>
      </c>
      <c r="H21" s="6" t="n"/>
      <c r="I21" s="6" t="n">
        <v>-49</v>
      </c>
      <c r="J21" s="6" t="n">
        <v>-315</v>
      </c>
    </row>
    <row r="22">
      <c r="A22" s="6" t="inlineStr">
        <is>
          <t>(Increase)/decrease in loans and advances to banks</t>
        </is>
      </c>
      <c r="B22" s="6" t="n"/>
      <c r="C22" s="6" t="n">
        <v>19525</v>
      </c>
      <c r="D22" s="6" t="n">
        <v>-10369</v>
      </c>
      <c r="E22" s="6" t="n">
        <v>-3194</v>
      </c>
      <c r="F22" s="6" t="n">
        <v>-5962</v>
      </c>
      <c r="G22" s="6" t="n"/>
      <c r="H22" s="6" t="n"/>
      <c r="I22" s="6" t="n"/>
      <c r="J22" s="6" t="n"/>
    </row>
    <row r="23">
      <c r="A23" s="6" t="inlineStr">
        <is>
          <t>Increase in receivables</t>
        </is>
      </c>
      <c r="B23" s="6" t="n">
        <v>-6288</v>
      </c>
      <c r="C23" s="6" t="n">
        <v>-1877</v>
      </c>
      <c r="D23" s="6" t="n">
        <v>-3547</v>
      </c>
      <c r="E23" s="6" t="n">
        <v>-1734</v>
      </c>
      <c r="F23" s="6" t="n">
        <v>-294</v>
      </c>
      <c r="G23" s="6" t="n">
        <v>-842</v>
      </c>
      <c r="H23" s="6" t="n">
        <v>-2565</v>
      </c>
      <c r="I23" s="6" t="n">
        <v>-311</v>
      </c>
      <c r="J23" s="6" t="n">
        <v>-689</v>
      </c>
    </row>
    <row r="24">
      <c r="A24" s="6" t="inlineStr">
        <is>
          <t>Increase/(decrease) in payables</t>
        </is>
      </c>
      <c r="B24" s="6" t="n">
        <v>6359</v>
      </c>
      <c r="C24" s="6" t="n">
        <v>46</v>
      </c>
      <c r="D24" s="6" t="n">
        <v>-26935</v>
      </c>
      <c r="E24" s="6" t="n">
        <v>99410</v>
      </c>
      <c r="F24" s="6" t="n">
        <v>3306</v>
      </c>
      <c r="G24" s="6" t="n">
        <v>-2143</v>
      </c>
      <c r="H24" s="6" t="n">
        <v>1942</v>
      </c>
      <c r="I24" s="6" t="n">
        <v>1620</v>
      </c>
      <c r="J24" s="6" t="n">
        <v>1920</v>
      </c>
    </row>
    <row r="25">
      <c r="A25" s="6" t="inlineStr">
        <is>
          <t>Increase/(decrease) in deferred income</t>
        </is>
      </c>
      <c r="B25" s="6" t="n">
        <v>113</v>
      </c>
      <c r="C25" s="6" t="n">
        <v>-6167</v>
      </c>
      <c r="D25" s="6" t="n">
        <v>-16298</v>
      </c>
      <c r="E25" s="6" t="n">
        <v>-24954</v>
      </c>
      <c r="F25" s="6" t="n">
        <v>-17307</v>
      </c>
      <c r="G25" s="6" t="n">
        <v>8045</v>
      </c>
      <c r="H25" s="6" t="n">
        <v>51512</v>
      </c>
      <c r="I25" s="6" t="n"/>
      <c r="J25" s="6" t="n"/>
    </row>
    <row r="26">
      <c r="A26" s="6" t="inlineStr">
        <is>
          <t>Increase in customer deposits/amounts due to customers</t>
        </is>
      </c>
      <c r="B26" s="6" t="n">
        <v>7006677</v>
      </c>
      <c r="C26" s="6" t="n">
        <v>4654971</v>
      </c>
      <c r="D26" s="6" t="n">
        <v>3152204</v>
      </c>
      <c r="E26" s="6" t="n">
        <v>335213</v>
      </c>
      <c r="F26" s="6" t="n">
        <v>1718866</v>
      </c>
      <c r="G26" s="6" t="n">
        <v>467909</v>
      </c>
      <c r="H26" s="6" t="n">
        <v>413836</v>
      </c>
      <c r="I26" s="6" t="n">
        <v>42544</v>
      </c>
      <c r="J26" s="6" t="n">
        <v>1601</v>
      </c>
    </row>
    <row r="27">
      <c r="A27" s="6" t="inlineStr">
        <is>
          <t>Foreign currency differences (working capital)</t>
        </is>
      </c>
      <c r="B27" s="6" t="n">
        <v>5979</v>
      </c>
      <c r="C27" s="6" t="n">
        <v>-3846</v>
      </c>
      <c r="D27" s="6" t="n"/>
      <c r="E27" s="6" t="n"/>
      <c r="F27" s="6" t="n"/>
      <c r="G27" s="6" t="n"/>
      <c r="H27" s="6" t="n"/>
      <c r="I27" s="6" t="n"/>
      <c r="J27" s="6" t="n"/>
    </row>
    <row r="28">
      <c r="A28" s="5" t="inlineStr">
        <is>
          <t>Cash generated by/from operations</t>
        </is>
      </c>
      <c r="B28" s="5" t="n">
        <v>6945732</v>
      </c>
      <c r="C28" s="5" t="n">
        <v>4605294</v>
      </c>
      <c r="D28" s="5" t="n">
        <v>3048370</v>
      </c>
      <c r="E28" s="5" t="n">
        <v>377474</v>
      </c>
      <c r="F28" s="5" t="n">
        <v>1681659</v>
      </c>
      <c r="G28" s="5" t="n">
        <v>452715</v>
      </c>
      <c r="H28" s="5" t="n">
        <v>438611</v>
      </c>
      <c r="I28" s="5" t="n"/>
      <c r="J28" s="5" t="n"/>
    </row>
    <row r="29">
      <c r="A29" s="6" t="inlineStr">
        <is>
          <t>Interest received</t>
        </is>
      </c>
      <c r="B29" s="6" t="n">
        <v>625779</v>
      </c>
      <c r="C29" s="6" t="n">
        <v>425289</v>
      </c>
      <c r="D29" s="6" t="n">
        <v>243957</v>
      </c>
      <c r="E29" s="6" t="n">
        <v>43774</v>
      </c>
      <c r="F29" s="6" t="n">
        <v>2056</v>
      </c>
      <c r="G29" s="6" t="n">
        <v>909</v>
      </c>
      <c r="H29" s="6" t="n">
        <v>1096</v>
      </c>
      <c r="I29" s="6" t="n"/>
      <c r="J29" s="6" t="n"/>
    </row>
    <row r="30">
      <c r="A30" s="6" t="inlineStr">
        <is>
          <t>Interest paid</t>
        </is>
      </c>
      <c r="B30" s="6" t="n">
        <v>-553258</v>
      </c>
      <c r="C30" s="6" t="n">
        <v>-341945</v>
      </c>
      <c r="D30" s="6" t="n">
        <v>-149139</v>
      </c>
      <c r="E30" s="6" t="n">
        <v>-7621</v>
      </c>
      <c r="F30" s="6" t="n"/>
      <c r="G30" s="6" t="n"/>
      <c r="H30" s="6" t="n"/>
      <c r="I30" s="6" t="n"/>
      <c r="J30" s="6" t="n"/>
    </row>
    <row r="31">
      <c r="A31" s="6" t="inlineStr">
        <is>
          <t>Tax (paid)/received</t>
        </is>
      </c>
      <c r="B31" s="6" t="n">
        <v>-1062</v>
      </c>
      <c r="C31" s="6" t="n">
        <v>2134</v>
      </c>
      <c r="D31" s="6" t="n">
        <v>-640</v>
      </c>
      <c r="E31" s="6" t="n"/>
      <c r="F31" s="6" t="n"/>
      <c r="G31" s="6" t="n"/>
      <c r="H31" s="6" t="n"/>
      <c r="I31" s="6" t="n"/>
      <c r="J31" s="6" t="n"/>
    </row>
    <row r="32">
      <c r="A32" s="5" t="inlineStr">
        <is>
          <t>Net cash generated from operating activities</t>
        </is>
      </c>
      <c r="B32" s="5" t="n">
        <v>7017191</v>
      </c>
      <c r="C32" s="5" t="n">
        <v>4690772</v>
      </c>
      <c r="D32" s="5" t="n">
        <v>3142548</v>
      </c>
      <c r="E32" s="5" t="n">
        <v>413627</v>
      </c>
      <c r="F32" s="5" t="n">
        <v>1683715</v>
      </c>
      <c r="G32" s="5" t="n">
        <v>453624</v>
      </c>
      <c r="H32" s="5" t="n">
        <v>439707</v>
      </c>
      <c r="I32" s="5" t="n">
        <v>19481</v>
      </c>
      <c r="J32" s="5" t="n">
        <v>-13651</v>
      </c>
    </row>
    <row r="33">
      <c r="A33" s="5" t="inlineStr">
        <is>
          <t>Investing activities</t>
        </is>
      </c>
      <c r="B33" s="6" t="n"/>
      <c r="C33" s="6" t="n"/>
      <c r="D33" s="6" t="n"/>
      <c r="E33" s="6" t="n"/>
      <c r="F33" s="6" t="n"/>
      <c r="G33" s="6" t="n"/>
      <c r="H33" s="6" t="n"/>
      <c r="I33" s="6" t="n"/>
      <c r="J33" s="6" t="n"/>
    </row>
    <row r="34">
      <c r="A34" s="6" t="inlineStr">
        <is>
          <t>Purchase of property, plant and equipment</t>
        </is>
      </c>
      <c r="B34" s="6" t="n">
        <v>-29</v>
      </c>
      <c r="C34" s="6" t="n">
        <v>-5</v>
      </c>
      <c r="D34" s="6" t="n">
        <v>-41</v>
      </c>
      <c r="E34" s="6" t="n">
        <v>-408</v>
      </c>
      <c r="F34" s="6" t="n">
        <v>-268</v>
      </c>
      <c r="G34" s="6" t="n">
        <v>-800</v>
      </c>
      <c r="H34" s="6" t="n">
        <v>-262</v>
      </c>
      <c r="I34" s="6" t="n">
        <v>-320</v>
      </c>
      <c r="J34" s="6" t="n">
        <v>-640</v>
      </c>
    </row>
    <row r="35">
      <c r="A35" s="6" t="inlineStr">
        <is>
          <t>Purchase of intangible assets</t>
        </is>
      </c>
      <c r="B35" s="6" t="n">
        <v>-15655</v>
      </c>
      <c r="C35" s="6" t="n">
        <v>-24091</v>
      </c>
      <c r="D35" s="6" t="n">
        <v>-21737</v>
      </c>
      <c r="E35" s="6" t="n">
        <v>-7736</v>
      </c>
      <c r="F35" s="6" t="n">
        <v>-8356</v>
      </c>
      <c r="G35" s="6" t="n">
        <v>-7648</v>
      </c>
      <c r="H35" s="6" t="n">
        <v>-8573</v>
      </c>
      <c r="I35" s="6" t="n">
        <v>-8567</v>
      </c>
      <c r="J35" s="6" t="n">
        <v>-5030</v>
      </c>
    </row>
    <row r="36">
      <c r="A36" s="5" t="inlineStr">
        <is>
          <t>Net cash used in investing activities</t>
        </is>
      </c>
      <c r="B36" s="5" t="n">
        <v>-15684</v>
      </c>
      <c r="C36" s="5" t="n">
        <v>-24096</v>
      </c>
      <c r="D36" s="5" t="n">
        <v>-21778</v>
      </c>
      <c r="E36" s="5" t="n">
        <v>-8144</v>
      </c>
      <c r="F36" s="5" t="n">
        <v>-8624</v>
      </c>
      <c r="G36" s="5" t="n">
        <v>-8448</v>
      </c>
      <c r="H36" s="5" t="n">
        <v>-8835</v>
      </c>
      <c r="I36" s="5" t="n">
        <v>-8887</v>
      </c>
      <c r="J36" s="5" t="n">
        <v>-5670</v>
      </c>
    </row>
    <row r="37">
      <c r="A37" s="5" t="inlineStr">
        <is>
          <t>Financing activities</t>
        </is>
      </c>
      <c r="B37" s="6" t="n"/>
      <c r="C37" s="6" t="n"/>
      <c r="D37" s="6" t="n"/>
      <c r="E37" s="6" t="n"/>
      <c r="F37" s="6" t="n"/>
      <c r="G37" s="6" t="n"/>
      <c r="H37" s="6" t="n"/>
      <c r="I37" s="6" t="n"/>
      <c r="J37" s="6" t="n"/>
    </row>
    <row r="38">
      <c r="A38" s="6" t="inlineStr">
        <is>
          <t>Proceeds from issue of Ordinary Shares</t>
        </is>
      </c>
      <c r="B38" s="6" t="n"/>
      <c r="C38" s="6" t="n">
        <v>35000</v>
      </c>
      <c r="D38" s="6" t="n">
        <v>11300</v>
      </c>
      <c r="E38" s="6" t="n">
        <v>533</v>
      </c>
      <c r="F38" s="6" t="n">
        <v>34500</v>
      </c>
      <c r="G38" s="6" t="n">
        <v>44112</v>
      </c>
      <c r="H38" s="6" t="n">
        <v>34875</v>
      </c>
      <c r="I38" s="6" t="n">
        <v>24871</v>
      </c>
      <c r="J38" s="6" t="n">
        <v>28000</v>
      </c>
    </row>
    <row r="39">
      <c r="A39" s="6" t="inlineStr">
        <is>
          <t>Direct costs paid for lease acquisition</t>
        </is>
      </c>
      <c r="B39" s="6" t="n">
        <v>-24</v>
      </c>
      <c r="C39" s="6" t="n"/>
      <c r="D39" s="6" t="n"/>
      <c r="E39" s="6" t="n"/>
      <c r="F39" s="6" t="n"/>
      <c r="G39" s="6" t="n"/>
      <c r="H39" s="6" t="n"/>
      <c r="I39" s="6" t="n"/>
      <c r="J39" s="6" t="n"/>
    </row>
    <row r="40">
      <c r="A40" s="6" t="inlineStr">
        <is>
          <t>Cost of raising finance</t>
        </is>
      </c>
      <c r="B40" s="6" t="n"/>
      <c r="C40" s="6" t="n"/>
      <c r="D40" s="6" t="n"/>
      <c r="E40" s="6" t="n"/>
      <c r="F40" s="6" t="n"/>
      <c r="G40" s="6" t="n"/>
      <c r="H40" s="6" t="n"/>
      <c r="I40" s="6" t="n"/>
      <c r="J40" s="6" t="n">
        <v>-92</v>
      </c>
    </row>
    <row r="41">
      <c r="A41" s="6" t="inlineStr">
        <is>
          <t>Principal paid on lease liabilities</t>
        </is>
      </c>
      <c r="B41" s="6" t="n">
        <v>-1579</v>
      </c>
      <c r="C41" s="6" t="n">
        <v>-1567</v>
      </c>
      <c r="D41" s="6" t="n">
        <v>-1763</v>
      </c>
      <c r="E41" s="6" t="n">
        <v>-917</v>
      </c>
      <c r="F41" s="6" t="n">
        <v>-1974</v>
      </c>
      <c r="G41" s="6" t="n">
        <v>-2650</v>
      </c>
      <c r="H41" s="6" t="n">
        <v>-1607</v>
      </c>
      <c r="I41" s="6" t="n"/>
      <c r="J41" s="6" t="n"/>
    </row>
    <row r="42">
      <c r="A42" s="6" t="inlineStr">
        <is>
          <t>Interest paid on lease liabilities</t>
        </is>
      </c>
      <c r="B42" s="6" t="n"/>
      <c r="C42" s="6" t="n"/>
      <c r="D42" s="6" t="n"/>
      <c r="E42" s="6" t="n"/>
      <c r="F42" s="6" t="n">
        <v>-34</v>
      </c>
      <c r="G42" s="6" t="n"/>
      <c r="H42" s="6" t="n">
        <v>-73</v>
      </c>
      <c r="I42" s="6" t="n"/>
      <c r="J42" s="6" t="n"/>
    </row>
    <row r="43">
      <c r="A43" s="5" t="inlineStr">
        <is>
          <t>Net cash generated from/(used in) financing activities</t>
        </is>
      </c>
      <c r="B43" s="5" t="n">
        <v>-1603</v>
      </c>
      <c r="C43" s="5" t="n">
        <v>33433</v>
      </c>
      <c r="D43" s="5" t="n">
        <v>9537</v>
      </c>
      <c r="E43" s="5" t="n">
        <v>-384</v>
      </c>
      <c r="F43" s="5" t="n">
        <v>32492</v>
      </c>
      <c r="G43" s="5" t="n">
        <v>41462</v>
      </c>
      <c r="H43" s="5" t="n">
        <v>33195</v>
      </c>
      <c r="I43" s="5" t="n">
        <v>24871</v>
      </c>
      <c r="J43" s="5" t="n">
        <v>27908</v>
      </c>
    </row>
    <row r="44">
      <c r="A44" s="5" t="inlineStr">
        <is>
          <t>Net increase in cash and cash equivalents</t>
        </is>
      </c>
      <c r="B44" s="5" t="n">
        <v>6999904</v>
      </c>
      <c r="C44" s="5" t="n">
        <v>4700109</v>
      </c>
      <c r="D44" s="5" t="n">
        <v>3130307</v>
      </c>
      <c r="E44" s="5" t="n">
        <v>405099</v>
      </c>
      <c r="F44" s="5" t="n">
        <v>1707583</v>
      </c>
      <c r="G44" s="5" t="n">
        <v>486638</v>
      </c>
      <c r="H44" s="5" t="n">
        <v>464067</v>
      </c>
      <c r="I44" s="5" t="n">
        <v>35465</v>
      </c>
      <c r="J44" s="5" t="n">
        <v>8587</v>
      </c>
    </row>
    <row r="45">
      <c r="A45" s="6" t="inlineStr">
        <is>
          <t>Cash and cash equivalents at the beginning of the year</t>
        </is>
      </c>
      <c r="B45" s="6" t="n">
        <v>10961293</v>
      </c>
      <c r="C45" s="6" t="n">
        <v>6258123</v>
      </c>
      <c r="D45" s="6" t="n">
        <v>3125862</v>
      </c>
      <c r="E45" s="6" t="n">
        <v>2720797</v>
      </c>
      <c r="F45" s="6" t="n">
        <v>1013224</v>
      </c>
      <c r="G45" s="6" t="n">
        <v>526594</v>
      </c>
      <c r="H45" s="6" t="n">
        <v>62527</v>
      </c>
      <c r="I45" s="6" t="n">
        <v>27062</v>
      </c>
      <c r="J45" s="6" t="n">
        <v>18475</v>
      </c>
    </row>
    <row r="46">
      <c r="A46" s="6" t="inlineStr">
        <is>
          <t>Effect of foreign exchange rate changes</t>
        </is>
      </c>
      <c r="B46" s="6" t="n">
        <v>-4221</v>
      </c>
      <c r="C46" s="6" t="n">
        <v>3061</v>
      </c>
      <c r="D46" s="6" t="n">
        <v>-43</v>
      </c>
      <c r="E46" s="6" t="n">
        <v>-34</v>
      </c>
      <c r="F46" s="6" t="n">
        <v>-10</v>
      </c>
      <c r="G46" s="6" t="n">
        <v>-8</v>
      </c>
      <c r="H46" s="6" t="n"/>
      <c r="I46" s="6" t="n"/>
      <c r="J46" s="6" t="n"/>
    </row>
    <row r="47">
      <c r="A47" s="5" t="inlineStr">
        <is>
          <t>Cash and cash equivalents at the end of the year</t>
        </is>
      </c>
      <c r="B47" s="5" t="n">
        <v>17956976</v>
      </c>
      <c r="C47" s="5" t="n">
        <v>10961293</v>
      </c>
      <c r="D47" s="5" t="n">
        <v>6256126</v>
      </c>
      <c r="E47" s="5" t="n">
        <v>3125862</v>
      </c>
      <c r="F47" s="5" t="n">
        <v>2720797</v>
      </c>
      <c r="G47" s="5" t="n">
        <v>1013224</v>
      </c>
      <c r="H47" s="5" t="n">
        <v>526594</v>
      </c>
      <c r="I47" s="5" t="n">
        <v>62527</v>
      </c>
      <c r="J47" s="5" t="n">
        <v>27062</v>
      </c>
    </row>
    <row r="49" ht="280" customHeight="1">
      <c r="A49" s="8" t="inlineStr">
        <is>
          <t>Sources - all figures are ClearBank Limited's own Consolidated Statement of Cash Flows:
FY2025/FY2024: ClearBank Annual Report and Accounts 2025, p.71 - https://clear.bank/uploads/assets/ClearBank-Annual-Report-2025.pdf
FY2023: ClearBank Annual Report and Accounts 2023, p.73 - https://clear.bank/uploads/assets/ClearBank-Annual-Report-and-Accounts-2023.pdf
FY2022: ClearBank Annual Report and Accounts 2022, p.43 (own originally-published figures, not FY2023's restated comparative) - https://clear.bank/uploads/assets/ClearBank-Annual-Report-and-Accounts_2022.pdf
FY2021: ClearBank Annual Report and Accounts 2021, p.66 - https://clear.bank/uploads/assets/ClearBank-Annual-Report-2021.pdf
FY2020: ClearBank Annual Report and Accounts 2020, p.70 - https://clear.bank/uploads/assets/ClearBank-Annual-Report-2020.pdf
FY2019: ClearBank Annual Report and Accounts 2019, p.71 - https://clear.bank/uploads/assets/ClearBank-Annual-Report-2019.pdf
FY2018: ClearBank Limited 2018 Annual Report, p.59 - https://clear.bank/uploads/assets/ClearBank-Annual-Report-2018.pdf
FY2017: ClearBank Limited 2017 Annual Report, p.52 (own-year figures; cross-checked against AR2018's own FY2017 comparative column, which matches exactly, so no restatement between vintages for this year) - https://clear.bank/uploads/assets/ClearBank-Annual-Report-2017.pdf
ClearBank Limited (FRN 754568, company 09736376), a UK clearing/embedded-banking infrastructure bank. Group basis throughout. Does NOT take the FRS 101/102 cash-flow-statement exemption - full Consolidated Statement of Cash Flows every year.
WHICH GROUP (corrected 2026-09-16, entity-basis sweep): 'Group' does NOT mean the same thing across this workbook, and the earlier wording here - 'the Group is essentially the Bank plus dormant/minor subsidiaries' - is only true up to FY2022. FY2017-FY2022: the Group is ClearBank Limited and its own subsidiaries, i.e. the workbook entity's own consolidation. FY2023 onward it is a DIFFERENT legal entity's consolidation: ClearBank Group Holdings Limited (company 14254435), which received formal PRA approval as a bank holding company in Q4 2023 and consolidates BOTH ClearBank Limited and ClearBank Europe N.V., a separately and fully regulated Netherlands bank that sits alongside (not inside) ClearBank Limited. Primary sources: ClearBank Pillar 3 Disclosure 2023, 'Scope of consolidation' - 'The Group comprises of ClearBank Group Holdings Limited, a regulated financial holding company, and its 100% owned and controlled subsidiaries, ClearBank Limited (the "UK Bank", a fully regulated UK bank) and ClearBank Europe N.V. ClearBank Limited is currently the only material subsidiary within the Group... Any reference to comparative metrics are for the required disclosures relating to the material subsidiary, ClearBank Limited only' (https://clear.bank/uploads/assets/ClearBank-Pillar-3-Disclosure-2023.pdf); and ClearBank Pillar 3 Disclosure 2025, same section, which repeats the three-entity composition with no materiality carve-out (https://clear.bank/uploads/assets/ClearBank-Pillar-3-2025.pdf). So FY2023's comparatives are Bank-only but its own-year figures are CBGH-consolidated, and FY2024/FY2025 are CBGH-consolidated outright. See the ENTITY-CHANGE NOTE on the Statement of Changes in Equity sheet for the same boundary on the statement sheets, which is already documented there.
FY2022's own figures (from the FY2022 Annual Report itself) are used here rather than FY2023's report's restated FY2022 comparative (Note 32 of the FY2023 report flags a restatement, e.g. profit for the year after tax 6,818 as originally reported vs. 10,760 restated, and net cash from operating activities 413,627 vs. 416,088 restated) - each year's own originally-published figures are used throughout this workbook, per project convention.
A genuine, small, undocumented cross-vintage gap exists between FY2023's own closing cash balance (£6,256,126k) and FY2024's own opening balance per the FY2025 Annual Report's comparative (£6,258,123k) - a ~£1,997k difference with no explanation found in either source; both figures are shown exactly as each report states them, not force-reconciled.
"Foreign currency differences" appears twice with different values in the FY2025/FY2024 presentation - once within the non-cash adjustments (a small figure) and again within the working-capital-changes section (a much larger figure driven by FX movement on customer deposit balances) - both are genuine distinct line items in the source, not a duplicate.
FY2020's own "Operating cash flows before changes in working capital" subtotal ((20,248)) does not equal the sum of its own component adjustment lines as disclosed (which sum to (20,032), a £216k difference) - a genuine, unexplained arithmetic inconsistency within ClearBank's own FY2020 Annual Report and Accounts, reproduced exactly as published rather than force-reconciled.</t>
        </is>
      </c>
    </row>
  </sheetData>
  <mergeCells count="1">
    <mergeCell ref="A49:J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Asset Quality / Credit Risk Disclosures</t>
        </is>
      </c>
    </row>
    <row r="2">
      <c r="A2" s="2" t="inlineStr">
        <is>
          <t>£'000. ClearBank does not lend to customers - see the structural finding in the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Loan book</t>
        </is>
      </c>
      <c r="B4" s="6" t="n"/>
      <c r="C4" s="6" t="n"/>
      <c r="D4" s="6" t="n"/>
      <c r="E4" s="6" t="n"/>
      <c r="F4" s="6" t="n"/>
      <c r="G4" s="6" t="n"/>
      <c r="H4" s="6" t="n"/>
      <c r="I4" s="6" t="n"/>
      <c r="J4" s="6" t="n"/>
    </row>
    <row r="5">
      <c r="A5" s="6" t="inlineStr">
        <is>
          <t>Customer loans and advances</t>
        </is>
      </c>
      <c r="B5" s="6" t="n">
        <v>0</v>
      </c>
      <c r="C5" s="6" t="n">
        <v>0</v>
      </c>
      <c r="D5" s="6" t="n">
        <v>0</v>
      </c>
      <c r="E5" s="6" t="n">
        <v>0</v>
      </c>
      <c r="F5" s="6" t="n">
        <v>0</v>
      </c>
      <c r="G5" s="6" t="n">
        <v>0</v>
      </c>
      <c r="H5" s="6" t="n">
        <v>0</v>
      </c>
      <c r="I5" s="6" t="n">
        <v>0</v>
      </c>
      <c r="J5" s="6" t="n">
        <v>0</v>
      </c>
    </row>
    <row r="6">
      <c r="A6" s="6" t="inlineStr">
        <is>
          <t>Loss allowance on customer loans</t>
        </is>
      </c>
      <c r="B6" s="6" t="n">
        <v>0</v>
      </c>
      <c r="C6" s="6" t="n">
        <v>0</v>
      </c>
      <c r="D6" s="6" t="n">
        <v>0</v>
      </c>
      <c r="E6" s="6" t="n">
        <v>0</v>
      </c>
      <c r="F6" s="6" t="n">
        <v>0</v>
      </c>
      <c r="G6" s="6" t="n">
        <v>0</v>
      </c>
      <c r="H6" s="6" t="n">
        <v>0</v>
      </c>
      <c r="I6" s="6" t="n">
        <v>0</v>
      </c>
      <c r="J6" s="6" t="n">
        <v>0</v>
      </c>
    </row>
    <row r="7">
      <c r="A7" s="5" t="inlineStr">
        <is>
          <t>Interbank treasury placements ('Loans and advances to banks')</t>
        </is>
      </c>
      <c r="B7" s="6" t="n"/>
      <c r="C7" s="6" t="n"/>
      <c r="D7" s="6" t="n"/>
      <c r="E7" s="6" t="n"/>
      <c r="F7" s="6" t="n"/>
      <c r="G7" s="6" t="n"/>
      <c r="H7" s="6" t="n"/>
      <c r="I7" s="6" t="n"/>
      <c r="J7" s="6" t="n"/>
    </row>
    <row r="8">
      <c r="A8" s="6" t="inlineStr">
        <is>
          <t>Carrying amount</t>
        </is>
      </c>
      <c r="B8" s="6" t="n"/>
      <c r="C8" s="6" t="n"/>
      <c r="D8" s="6" t="n">
        <v>19525</v>
      </c>
      <c r="E8" s="6" t="n">
        <v>9156</v>
      </c>
      <c r="F8" s="6" t="n">
        <v>5962</v>
      </c>
      <c r="G8" s="6" t="n"/>
      <c r="H8" s="6" t="n"/>
      <c r="I8" s="6" t="n"/>
      <c r="J8" s="6" t="n"/>
    </row>
    <row r="9">
      <c r="A9" s="6" t="inlineStr">
        <is>
          <t>Loss allowance recognised</t>
        </is>
      </c>
      <c r="B9" s="6" t="n"/>
      <c r="C9" s="6" t="n"/>
      <c r="D9" s="6" t="n">
        <v>0</v>
      </c>
      <c r="E9" s="6" t="n">
        <v>0</v>
      </c>
      <c r="F9" s="6" t="n">
        <v>0</v>
      </c>
      <c r="G9" s="6" t="n"/>
      <c r="H9" s="6" t="n"/>
      <c r="I9" s="6" t="n"/>
      <c r="J9" s="6" t="n"/>
    </row>
    <row r="11" ht="280" customHeight="1">
      <c r="A11" s="8" t="inlineStr">
        <is>
          <t>Sources - ClearBank's own "Credit risk" and "Impairment of financial assets" notes (Note 21/2.6), read in full for all 9 years:
FY2025/FY2024: ClearBank Group Holdings Limited Annual Report and Accounts 2025, pp.77,88 - https://clear.bank/uploads/assets/ClearBank-Annual-Report-2025.pdf
FY2023: ClearBank Annual Report and Accounts 2023, credit risk/impairment notes - https://clear.bank/uploads/assets/ClearBank-Annual-Report-and-Accounts-2023.pdf
FY2022/FY2021: ClearBank Annual Report and Accounts 2022, credit risk/impairment notes - https://clear.bank/uploads/assets/ClearBank-Annual-Report-and-Accounts_2022.pdf
FY2020: ClearBank Annual Report and Accounts 2020, credit risk section - https://clear.bank/uploads/assets/ClearBank-Annual-Report-2020.pdf
FY2019: ClearBank Annual Report and Accounts 2019, credit risk section - https://clear.bank/uploads/assets/ClearBank-Annual-Report-2019.pdf
FY2018: ClearBank Limited 2018 Annual Report, credit risk section - https://clear.bank/uploads/assets/ClearBank-Annual-Report-2018.pdf
FY2017: ClearBank Limited 2017 Annual Report, p.19 ("Currently, the bank has not started lending to customers and hence has no direct credit exposure") - https://clear.bank/uploads/assets/ClearBank-Annual-Report-2017.pdf
GENUINE STRUCTURAL FINDING, NOT A DATA GAP: ClearBank does not lend to customers at all. Its own FY2025 Annual Report states plainly: "The Group does not provide any credit facilities which are not fully collateralised to its customers and is therefore not exposed to associated credit risks" and "the Group's trade receivables and hence ECL are immaterial, with no further ECL-related disclosures considered necessary by management." This wording (or its equivalent) recurs across all 9 years reviewed (FY2017-FY2019: "the bank has not started lending to customers and hence has no direct credit exposure"). There is therefore no customer loan book, no IFRS 9 stage split, and no loss allowance of any kind recognised in any year - ClearBank's only credit exposure is to its treasury counterparties (predominantly the Bank of England) and to collateral it holds FROM clients (an asset-side benefit, not a risk), both deemed low/immaterial risk by the Group's own policy. "Loans and advances to banks" on the Balance Sheet (FY2021-FY2023 only, see Presentation Note on the Balance Sheet sheet) is an interbank treasury placement, not customer lending.</t>
        </is>
      </c>
    </row>
  </sheetData>
  <mergeCells count="1">
    <mergeCell ref="A11:J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(CET1)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exposure amount</t>
        </is>
      </c>
      <c r="B4" s="6" t="n">
        <v>266</v>
      </c>
      <c r="C4" s="6" t="n">
        <v>211</v>
      </c>
      <c r="D4" s="6" t="n">
        <v>163</v>
      </c>
      <c r="E4" s="6" t="n">
        <v>38</v>
      </c>
      <c r="F4" s="6" t="n">
        <v>26</v>
      </c>
      <c r="G4" s="6" t="n">
        <v>26.2</v>
      </c>
      <c r="H4" s="6" t="n"/>
      <c r="I4" s="6" t="n"/>
      <c r="J4" s="6" t="n"/>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RWA Breakdown</t>
        </is>
      </c>
    </row>
    <row r="2">
      <c r="A2" s="2" t="inlineStr">
        <is>
          <t>£'000 (source tables are in £m; converted x1000 for unit consistency with other sheets).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RWA by risk category</t>
        </is>
      </c>
      <c r="B4" s="6" t="n"/>
      <c r="C4" s="6" t="n"/>
      <c r="D4" s="6" t="n"/>
      <c r="E4" s="6" t="n"/>
      <c r="F4" s="6" t="n"/>
      <c r="G4" s="6" t="n"/>
      <c r="H4" s="6" t="n"/>
      <c r="I4" s="6" t="n"/>
      <c r="J4" s="6" t="n"/>
    </row>
    <row r="5">
      <c r="A5" s="6" t="inlineStr">
        <is>
          <t>Credit risk (excluding CCR), standardised approach</t>
        </is>
      </c>
      <c r="B5" s="6" t="n">
        <v>45000</v>
      </c>
      <c r="C5" s="6" t="n">
        <v>34000</v>
      </c>
      <c r="D5" s="6" t="n">
        <v>36000</v>
      </c>
      <c r="E5" s="6" t="n">
        <v>16000</v>
      </c>
      <c r="F5" s="6" t="n">
        <v>17000</v>
      </c>
      <c r="G5" s="6" t="n">
        <v>17450</v>
      </c>
      <c r="H5" s="6" t="n">
        <v>15664</v>
      </c>
      <c r="I5" s="6" t="n">
        <v>9184</v>
      </c>
      <c r="J5" s="6" t="n">
        <v>2366</v>
      </c>
    </row>
    <row r="6">
      <c r="A6" s="6" t="inlineStr">
        <is>
          <t>Operational risk, basic indicator approach</t>
        </is>
      </c>
      <c r="B6" s="6" t="n">
        <v>221000</v>
      </c>
      <c r="C6" s="6" t="n">
        <v>178000</v>
      </c>
      <c r="D6" s="6" t="n">
        <v>127000</v>
      </c>
      <c r="E6" s="6" t="n">
        <v>22000</v>
      </c>
      <c r="F6" s="6" t="n">
        <v>9000</v>
      </c>
      <c r="G6" s="6" t="n">
        <v>8750</v>
      </c>
      <c r="H6" s="6" t="n"/>
      <c r="I6" s="6" t="n"/>
      <c r="J6" s="6" t="n"/>
    </row>
    <row r="7">
      <c r="A7" s="5" t="inlineStr">
        <is>
          <t>Total RWAs</t>
        </is>
      </c>
      <c r="B7" s="5" t="n">
        <v>266000</v>
      </c>
      <c r="C7" s="5" t="n">
        <v>212000</v>
      </c>
      <c r="D7" s="5" t="n">
        <v>163000</v>
      </c>
      <c r="E7" s="5" t="n">
        <v>38000</v>
      </c>
      <c r="F7" s="5" t="n">
        <v>26000</v>
      </c>
      <c r="G7" s="5" t="n">
        <v>26200</v>
      </c>
      <c r="H7" s="5" t="n"/>
      <c r="I7" s="5" t="n"/>
      <c r="J7" s="5" t="n"/>
    </row>
    <row r="9" ht="340" customHeight="1">
      <c r="A9" s="8" t="inlineStr">
        <is>
          <t>Sources - ClearBank Group Pillar 3 "Overview of RWA"/"Overview of risk weighted exposure amounts" table:
FY2025/FY2024: ClearBank Pillar 3 Disclosure 2025, p.18 - https://clear.bank/uploads/assets/ClearBank-Pillar-3-2025.pdf
FY2023: ClearBank Pillar 3 Disclosure 2023, p.11 (ClearBank Group column) - https://clear.bank/uploads/assets/ClearBank-Pillar-3-Disclosure-2023.pdf
FY2022: ClearBank Pillar 3 disclosure 2022, p.15 (own originally-published figures, not FY2023's restated comparative - see note below) - https://clear.bank/uploads/assets/ClearBank-Pillar-3-2022.pdf
FY2021: ClearBank Pillar 3 disclosure 2022, p.15 (FY2021 comparative column) - https://clear.bank/uploads/assets/ClearBank-Pillar-3-2022.pdf
FY2020: derived from ClearBank Pillar 3 disclosure 2021's own FY2020 comparative column - Total RWA £26.2m (COREP own-funds template, line 60) and Operational risk Pillar 1 capital requirement £0.7m (implying Operational RWA = £0.7m / 8% = £8.75m by definition); Credit risk RWA (£17.45m) is the residual (Total - Operational), not itself a directly-disclosed single line item - https://clear.bank/uploads/assets/ClearBank-Pillar-3-disclosure-2021.pdf
FY2019: Credit risk RWA (£15,664k) is ClearBank's own explicitly-disclosed "credit risk exposure by asset and exposure class" table (ClearBank Annual Report and Accounts 2019, financial review section) - https://clear.bank/uploads/assets/ClearBank-Annual-Report-2019.pdf. No operational-risk RWA or Total RWA figure is disclosed anywhere in the FY2019 Annual Report, so Operational risk and Total RWAs are left blank for FY2019 rather than estimated.
FY2018: Credit risk RWA (£9,184k) is ClearBank's own explicitly-disclosed credit risk exposure table (ClearBank Limited 2018 Annual Report, p.22) - https://clear.bank/uploads/assets/ClearBank-Annual-Report-2018.pdf. Same gap as FY2019: no operational-risk RWA or Total RWA disclosed, left blank.
FY2017: Credit risk RWA (£2,366k) is ClearBank's own explicitly-disclosed credit risk exposure table (ClearBank Limited 2017 Annual Report, p.19) - https://clear.bank/uploads/assets/ClearBank-Annual-Report-2017.pdf. Same gap: no operational-risk RWA or Total RWA disclosed, left blank.
Only two risk categories are disclosed in any year: Credit risk (excluding CCR, Standardised Approach) and Operational risk (Basic Indicator Approach) - no market risk, CCR, or CVA charge in any year (consistent with a clearing/embedded-banking bank with no trading book).
FY2024's Total here (£212m = £34m + £178m) is £1m higher than the FY2024 figure on this workbook's own Total RWAs sheet (£211m) - an immaterial rounding artifact in ClearBank's own Pillar 3 table, reproduced as disclosed rather than force-matched.
RESTATEMENT NOTE: ClearBank's own FY2022 Pillar 3 disclosure (2022 edition) states Operational risk RWA of £22m (Total £38m), matching this workbook's existing Total RWAs sheet. The FY2023 Pillar 3 disclosure's own FY2022 comparative column instead shows Operational risk RWA of £55m (Total £71m) - a large restatement between Pillar 3 vintages with no explanation given. Per project convention, FY2022's own originally-published figures (£16m credit / £22m operational / £38m total) are used here, not the later restated comparative.</t>
        </is>
      </c>
    </row>
  </sheetData>
  <mergeCells count="1">
    <mergeCell ref="A9:J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t>
        </is>
      </c>
      <c r="B4" s="6" t="inlineStr">
        <is>
          <t>20.05%</t>
        </is>
      </c>
      <c r="C4" s="6" t="inlineStr">
        <is>
          <t>26.07%</t>
        </is>
      </c>
      <c r="D4" s="6" t="inlineStr">
        <is>
          <t>43.51%</t>
        </is>
      </c>
      <c r="E4" s="6" t="inlineStr">
        <is>
          <t>13.87%</t>
        </is>
      </c>
      <c r="F4" s="6" t="inlineStr">
        <is>
          <t>38.79%</t>
        </is>
      </c>
      <c r="G4" s="6" t="inlineStr">
        <is>
          <t>30%</t>
        </is>
      </c>
      <c r="H4" s="6" t="inlineStr">
        <is>
          <t>21%</t>
        </is>
      </c>
      <c r="I4" s="6" t="inlineStr">
        <is>
          <t>74%</t>
        </is>
      </c>
      <c r="J4" s="6" t="inlineStr">
        <is>
          <t>84%</t>
        </is>
      </c>
    </row>
    <row r="5" ht="60" customHeight="1">
      <c r="A5" s="7" t="inlineStr">
        <is>
          <t>Note: FY2021 figure is on the "UK leverage ratio" basis (39% as originally disclosed in ClearBank's own FY2021 Pillar 3 document), consistent with the "excluding claims on central banks" basis used FY2022 onward - see the LEVERAGE RATIO BASIS NOTE in this sheet's source citation for the very different "CRD leverage ratio" (1%) also disclosed for FY2021 on a different exposure-measure definition.</t>
        </is>
      </c>
    </row>
    <row r="7" ht="19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396.85%</t>
        </is>
      </c>
      <c r="C4" s="6" t="inlineStr">
        <is>
          <t>381.88%</t>
        </is>
      </c>
      <c r="D4" s="6" t="inlineStr">
        <is>
          <t>445.36%</t>
        </is>
      </c>
      <c r="E4" s="6" t="inlineStr">
        <is>
          <t>297.05%</t>
        </is>
      </c>
      <c r="F4" s="6" t="inlineStr">
        <is>
          <t>185.94%</t>
        </is>
      </c>
      <c r="G4" s="6" t="inlineStr">
        <is>
          <t>186%</t>
        </is>
      </c>
      <c r="H4" s="6" t="inlineStr">
        <is>
          <t>127%</t>
        </is>
      </c>
      <c r="I4" s="6" t="inlineStr">
        <is>
          <t>237%</t>
        </is>
      </c>
      <c r="J4" s="6" t="inlineStr">
        <is>
          <t>3718%</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20366.50%</t>
        </is>
      </c>
      <c r="C4" s="6" t="inlineStr">
        <is>
          <t>15959.22%</t>
        </is>
      </c>
      <c r="D4" s="6" t="inlineStr">
        <is>
          <t>10153.88%</t>
        </is>
      </c>
      <c r="E4" s="6" t="inlineStr">
        <is>
          <t>5429.15%</t>
        </is>
      </c>
      <c r="F4" s="6" t="inlineStr">
        <is>
          <t>11701.32%</t>
        </is>
      </c>
      <c r="G4" s="6" t="inlineStr">
        <is>
          <t>3298%</t>
        </is>
      </c>
      <c r="H4" s="6" t="inlineStr">
        <is>
          <t>324%</t>
        </is>
      </c>
      <c r="I4" s="6" t="inlineStr">
        <is>
          <t>432%</t>
        </is>
      </c>
      <c r="J4" s="6" t="inlineStr">
        <is>
          <t>878%</t>
        </is>
      </c>
    </row>
    <row r="5" ht="60" customHeight="1">
      <c r="A5" s="7" t="inlineStr">
        <is>
          <t>Note: Extreme values (5,000%-20,000%+) are genuine, not a transcription error - ClearBank's clearing-bank business model holds very large customer deposit balances relative to a small lending book, so required stable funding is tiny relative to available stable funding.</t>
        </is>
      </c>
    </row>
    <row r="7" ht="19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Not publicly disclosed - no MREL ratio or qualitative MREL statement found in any Pillar 3 document or Annual Report reviewed (FY2017-FY2025), no reason given.</t>
        </is>
      </c>
    </row>
    <row r="7" ht="15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ClearBank did not publish a standalone Pillar 3 document for FY2017-FY2020 - these years' capital/leverage/liquidity metrics are instead embedded within the ordinary Annual Report's Strategic Report and financial-statement notes.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2026-09-16T01:05:12Z</dcterms:created>
  <dcterms:modified xmlns:dcterms="http://purl.org/dc/terms/" xmlns:xsi="http://www.w3.org/2001/XMLSchema-instance" xsi:type="dcterms:W3CDTF">2026-09-16T01:05:12Z</dcterms:modified>
</cp:coreProperties>
</file>