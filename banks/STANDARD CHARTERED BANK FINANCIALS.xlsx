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Overview" sheetId="1" state="visible" r:id="rId1"/>
    <sheet xmlns:r="http://schemas.openxmlformats.org/officeDocument/2006/relationships" name="Balance Sheet" sheetId="2" state="visible" r:id="rId2"/>
    <sheet xmlns:r="http://schemas.openxmlformats.org/officeDocument/2006/relationships" name="Profit &amp; Loss" sheetId="3" state="visible" r:id="rId3"/>
    <sheet xmlns:r="http://schemas.openxmlformats.org/officeDocument/2006/relationships" name="Statement of Changes in Equity" sheetId="4" state="visible" r:id="rId4"/>
    <sheet xmlns:r="http://schemas.openxmlformats.org/officeDocument/2006/relationships" name="Cash Flow Statement" sheetId="5" state="visible" r:id="rId5"/>
    <sheet xmlns:r="http://schemas.openxmlformats.org/officeDocument/2006/relationships" name="Asset Quality" sheetId="6" state="visible" r:id="rId6"/>
    <sheet xmlns:r="http://schemas.openxmlformats.org/officeDocument/2006/relationships" name="CET1 Capital" sheetId="7" state="visible" r:id="rId7"/>
    <sheet xmlns:r="http://schemas.openxmlformats.org/officeDocument/2006/relationships" name="CET1 Ratio" sheetId="8" state="visible" r:id="rId8"/>
    <sheet xmlns:r="http://schemas.openxmlformats.org/officeDocument/2006/relationships" name="Tier 1 Capital" sheetId="9" state="visible" r:id="rId9"/>
    <sheet xmlns:r="http://schemas.openxmlformats.org/officeDocument/2006/relationships" name="Tier 1 Ratio" sheetId="10" state="visible" r:id="rId10"/>
    <sheet xmlns:r="http://schemas.openxmlformats.org/officeDocument/2006/relationships" name="Total Capital" sheetId="11" state="visible" r:id="rId11"/>
    <sheet xmlns:r="http://schemas.openxmlformats.org/officeDocument/2006/relationships" name="Total Capital Ratio" sheetId="12" state="visible" r:id="rId12"/>
    <sheet xmlns:r="http://schemas.openxmlformats.org/officeDocument/2006/relationships" name="Total RWAs" sheetId="13" state="visible" r:id="rId13"/>
    <sheet xmlns:r="http://schemas.openxmlformats.org/officeDocument/2006/relationships" name="RWA Breakdown" sheetId="14" state="visible" r:id="rId14"/>
    <sheet xmlns:r="http://schemas.openxmlformats.org/officeDocument/2006/relationships" name="Leverage Ratio" sheetId="15" state="visible" r:id="rId15"/>
    <sheet xmlns:r="http://schemas.openxmlformats.org/officeDocument/2006/relationships" name="LCR" sheetId="16" state="visible" r:id="rId16"/>
    <sheet xmlns:r="http://schemas.openxmlformats.org/officeDocument/2006/relationships" name="NSFR" sheetId="17" state="visible" r:id="rId17"/>
    <sheet xmlns:r="http://schemas.openxmlformats.org/officeDocument/2006/relationships" name="MREL Ratio" sheetId="18" state="visible" r:id="rId18"/>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b val="1"/>
      <sz val="13"/>
    </font>
    <font>
      <i val="1"/>
      <color rgb="00666666"/>
      <sz val="9"/>
    </font>
    <font>
      <b val="1"/>
      <color rgb="00FFFFFF"/>
    </font>
    <font>
      <b val="1"/>
    </font>
    <font>
      <i val="1"/>
      <color rgb="00444444"/>
      <sz val="9"/>
    </font>
  </fonts>
  <fills count="3">
    <fill>
      <patternFill/>
    </fill>
    <fill>
      <patternFill patternType="gray125"/>
    </fill>
    <fill>
      <patternFill patternType="solid">
        <fgColor rgb="00005A70"/>
        <bgColor rgb="00005A70"/>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9">
    <xf numFmtId="0" fontId="0" fillId="0" borderId="0" pivotButton="0" quotePrefix="0" xfId="0"/>
    <xf numFmtId="0" fontId="1" fillId="0" borderId="0" pivotButton="0" quotePrefix="0" xfId="0"/>
    <xf numFmtId="0" fontId="2" fillId="0" borderId="0" pivotButton="0" quotePrefix="0" xfId="0"/>
    <xf numFmtId="0" fontId="4" fillId="0" borderId="0" pivotButton="0" quotePrefix="0" xfId="0"/>
    <xf numFmtId="0" fontId="3" fillId="2" borderId="0" applyAlignment="1" pivotButton="0" quotePrefix="0" xfId="0">
      <alignment horizontal="left" vertical="center" wrapText="1"/>
    </xf>
    <xf numFmtId="0" fontId="4" fillId="0" borderId="1" pivotButton="0" quotePrefix="0" xfId="0"/>
    <xf numFmtId="0" fontId="2" fillId="0" borderId="0" applyAlignment="1" pivotButton="0" quotePrefix="0" xfId="0">
      <alignment vertical="top" wrapText="1"/>
    </xf>
    <xf numFmtId="0" fontId="0" fillId="0" borderId="1" pivotButton="0" quotePrefix="0" xfId="0"/>
    <xf numFmtId="0" fontId="5" fillId="0" borderId="0" applyAlignment="1" pivotButton="0" quotePrefix="0" xfId="0">
      <alignment horizontal="lef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styles" Target="styles.xml" Id="rId19"/><Relationship Type="http://schemas.openxmlformats.org/officeDocument/2006/relationships/theme" Target="theme/theme1.xml" Id="rId20"/></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Standard Chartered Bank (standalone Company basis) — Balance Sheet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'Overview'!I6</f>
            </strRef>
          </tx>
          <spPr>
            <a:ln xmlns:a="http://schemas.openxmlformats.org/drawingml/2006/main">
              <a:prstDash val="solid"/>
            </a:ln>
          </spPr>
          <cat>
            <numRef>
              <f>'Overview'!$J$5:$N$5</f>
            </numRef>
          </cat>
          <val>
            <numRef>
              <f>'Overview'!$J$6:$N$6</f>
            </numRef>
          </val>
        </ser>
        <ser>
          <idx val="1"/>
          <order val="1"/>
          <tx>
            <strRef>
              <f>'Overview'!I7</f>
            </strRef>
          </tx>
          <spPr>
            <a:ln xmlns:a="http://schemas.openxmlformats.org/drawingml/2006/main">
              <a:prstDash val="solid"/>
            </a:ln>
          </spPr>
          <cat>
            <numRef>
              <f>'Overview'!$J$5:$N$5</f>
            </numRef>
          </cat>
          <val>
            <numRef>
              <f>'Overview'!$J$7:$N$7</f>
            </numRef>
          </val>
        </ser>
        <ser>
          <idx val="2"/>
          <order val="2"/>
          <tx>
            <strRef>
              <f>'Overview'!I8</f>
            </strRef>
          </tx>
          <spPr>
            <a:ln xmlns:a="http://schemas.openxmlformats.org/drawingml/2006/main">
              <a:prstDash val="solid"/>
            </a:ln>
          </spPr>
          <cat>
            <numRef>
              <f>'Overview'!$J$5:$N$5</f>
            </numRef>
          </cat>
          <val>
            <numRef>
              <f>'Overview'!$J$8:$N$8</f>
            </numRef>
          </val>
        </ser>
        <ser>
          <idx val="3"/>
          <order val="3"/>
          <tx>
            <strRef>
              <f>'Overview'!I9</f>
            </strRef>
          </tx>
          <spPr>
            <a:ln xmlns:a="http://schemas.openxmlformats.org/drawingml/2006/main">
              <a:prstDash val="solid"/>
            </a:ln>
          </spPr>
          <cat>
            <numRef>
              <f>'Overview'!$J$5:$N$5</f>
            </numRef>
          </cat>
          <val>
            <numRef>
              <f>'Overview'!$J$9:$N$9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$million</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Standard Chartered Bank (standalone Company basis) — Profit &amp; Loss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'Overview'!Q13</f>
            </strRef>
          </tx>
          <spPr>
            <a:ln xmlns:a="http://schemas.openxmlformats.org/drawingml/2006/main">
              <a:prstDash val="solid"/>
            </a:ln>
          </spPr>
          <cat>
            <numRef>
              <f>'Overview'!$R$12:$V$12</f>
            </numRef>
          </cat>
          <val>
            <numRef>
              <f>'Overview'!$R$13:$V$13</f>
            </numRef>
          </val>
        </ser>
        <ser>
          <idx val="1"/>
          <order val="1"/>
          <tx>
            <strRef>
              <f>'Overview'!Q14</f>
            </strRef>
          </tx>
          <spPr>
            <a:ln xmlns:a="http://schemas.openxmlformats.org/drawingml/2006/main">
              <a:prstDash val="solid"/>
            </a:ln>
          </spPr>
          <cat>
            <numRef>
              <f>'Overview'!$R$12:$V$12</f>
            </numRef>
          </cat>
          <val>
            <numRef>
              <f>'Overview'!$R$14:$V$14</f>
            </numRef>
          </val>
        </ser>
        <ser>
          <idx val="2"/>
          <order val="2"/>
          <tx>
            <strRef>
              <f>'Overview'!Q15</f>
            </strRef>
          </tx>
          <spPr>
            <a:ln xmlns:a="http://schemas.openxmlformats.org/drawingml/2006/main">
              <a:prstDash val="solid"/>
            </a:ln>
          </spPr>
          <cat>
            <numRef>
              <f>'Overview'!$R$12:$V$12</f>
            </numRef>
          </cat>
          <val>
            <numRef>
              <f>'Overview'!$R$15:$V$15</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$million (Bank Group - see Profit &amp; Loss sheet's source note)</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a:pPr>
            <a:r>
              <a:t>Standard Chartered Bank (standalone Company basis) — Statement of Changes in Equity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'Overview'!Y19</f>
            </strRef>
          </tx>
          <spPr>
            <a:ln xmlns:a="http://schemas.openxmlformats.org/drawingml/2006/main">
              <a:prstDash val="solid"/>
            </a:ln>
          </spPr>
          <cat>
            <numRef>
              <f>'Overview'!$Z$18:$AD$18</f>
            </numRef>
          </cat>
          <val>
            <numRef>
              <f>'Overview'!$Z$19:$AD$19</f>
            </numRef>
          </val>
        </ser>
        <ser>
          <idx val="1"/>
          <order val="1"/>
          <tx>
            <strRef>
              <f>'Overview'!Y20</f>
            </strRef>
          </tx>
          <spPr>
            <a:ln xmlns:a="http://schemas.openxmlformats.org/drawingml/2006/main">
              <a:prstDash val="solid"/>
            </a:ln>
          </spPr>
          <cat>
            <numRef>
              <f>'Overview'!$Z$18:$AD$18</f>
            </numRef>
          </cat>
          <val>
            <numRef>
              <f>'Overview'!$Z$20:$AD$20</f>
            </numRef>
          </val>
        </ser>
        <ser>
          <idx val="2"/>
          <order val="2"/>
          <tx>
            <strRef>
              <f>'Overview'!Y21</f>
            </strRef>
          </tx>
          <spPr>
            <a:ln xmlns:a="http://schemas.openxmlformats.org/drawingml/2006/main">
              <a:prstDash val="solid"/>
            </a:ln>
          </spPr>
          <cat>
            <numRef>
              <f>'Overview'!$Z$18:$AD$18</f>
            </numRef>
          </cat>
          <val>
            <numRef>
              <f>'Overview'!$Z$21:$AD$21</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$million (Company)</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4.xml><?xml version="1.0" encoding="utf-8"?>
<chartSpace xmlns="http://schemas.openxmlformats.org/drawingml/2006/chart">
  <chart>
    <title>
      <tx>
        <rich>
          <a:bodyPr xmlns:a="http://schemas.openxmlformats.org/drawingml/2006/main"/>
          <a:p xmlns:a="http://schemas.openxmlformats.org/drawingml/2006/main">
            <a:pPr>
              <a:defRPr/>
            </a:pPr>
            <a:r>
              <a:t>Standard Chartered Bank (standalone Company basis) — Cash Flow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'Overview'!AG25</f>
            </strRef>
          </tx>
          <spPr>
            <a:ln xmlns:a="http://schemas.openxmlformats.org/drawingml/2006/main">
              <a:prstDash val="solid"/>
            </a:ln>
          </spPr>
          <cat>
            <numRef>
              <f>'Overview'!$AH$24:$AL$24</f>
            </numRef>
          </cat>
          <val>
            <numRef>
              <f>'Overview'!$AH$25:$AL$25</f>
            </numRef>
          </val>
        </ser>
        <ser>
          <idx val="1"/>
          <order val="1"/>
          <tx>
            <strRef>
              <f>'Overview'!AG26</f>
            </strRef>
          </tx>
          <spPr>
            <a:ln xmlns:a="http://schemas.openxmlformats.org/drawingml/2006/main">
              <a:prstDash val="solid"/>
            </a:ln>
          </spPr>
          <cat>
            <numRef>
              <f>'Overview'!$AH$24:$AL$24</f>
            </numRef>
          </cat>
          <val>
            <numRef>
              <f>'Overview'!$AH$26:$AL$26</f>
            </numRef>
          </val>
        </ser>
        <ser>
          <idx val="2"/>
          <order val="2"/>
          <tx>
            <strRef>
              <f>'Overview'!AG27</f>
            </strRef>
          </tx>
          <spPr>
            <a:ln xmlns:a="http://schemas.openxmlformats.org/drawingml/2006/main">
              <a:prstDash val="solid"/>
            </a:ln>
          </spPr>
          <cat>
            <numRef>
              <f>'Overview'!$AH$24:$AL$24</f>
            </numRef>
          </cat>
          <val>
            <numRef>
              <f>'Overview'!$AH$27:$AL$27</f>
            </numRef>
          </val>
        </ser>
        <ser>
          <idx val="3"/>
          <order val="3"/>
          <tx>
            <strRef>
              <f>'Overview'!AG28</f>
            </strRef>
          </tx>
          <spPr>
            <a:ln xmlns:a="http://schemas.openxmlformats.org/drawingml/2006/main">
              <a:prstDash val="solid"/>
            </a:ln>
          </spPr>
          <cat>
            <numRef>
              <f>'Overview'!$AH$24:$AL$24</f>
            </numRef>
          </cat>
          <val>
            <numRef>
              <f>'Overview'!$AH$28:$AL$28</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$million</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 Type="http://schemas.openxmlformats.org/officeDocument/2006/relationships/chart" Target="/xl/charts/chart4.xml" Id="rId4"/></Relationships>
</file>

<file path=xl/drawings/drawing1.xml><?xml version="1.0" encoding="utf-8"?>
<wsDr xmlns="http://schemas.openxmlformats.org/drawingml/2006/spreadsheetDrawing">
  <oneCellAnchor>
    <from>
      <col>0</col>
      <colOff>0</colOff>
      <row>34</row>
      <rowOff>0</rowOff>
    </from>
    <ext cx="8640000" cy="46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0</col>
      <colOff>0</colOff>
      <row>56</row>
      <rowOff>0</rowOff>
    </from>
    <ext cx="8640000" cy="468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0</col>
      <colOff>0</colOff>
      <row>78</row>
      <rowOff>0</rowOff>
    </from>
    <ext cx="8640000" cy="468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0</col>
      <colOff>0</colOff>
      <row>100</row>
      <rowOff>0</rowOff>
    </from>
    <ext cx="8640000" cy="468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AL32"/>
  <sheetViews>
    <sheetView workbookViewId="0">
      <selection activeCell="A1" sqref="A1"/>
    </sheetView>
  </sheetViews>
  <sheetFormatPr baseColWidth="8" defaultRowHeight="15"/>
  <cols>
    <col width="42" customWidth="1" min="1" max="1"/>
    <col width="15" customWidth="1" min="2" max="2"/>
    <col width="15" customWidth="1" min="3" max="3"/>
    <col width="15" customWidth="1" min="4" max="4"/>
    <col width="15" customWidth="1" min="5" max="5"/>
    <col width="15" customWidth="1" min="6" max="6"/>
    <col hidden="1" width="13" customWidth="1" min="9" max="9"/>
    <col hidden="1" width="13" customWidth="1" min="10" max="10"/>
    <col hidden="1" width="13" customWidth="1" min="11" max="11"/>
    <col hidden="1" width="13" customWidth="1" min="12" max="12"/>
    <col hidden="1" width="13" customWidth="1" min="13" max="13"/>
    <col hidden="1" width="13" customWidth="1" min="14" max="14"/>
    <col hidden="1" width="13" customWidth="1" min="15" max="15"/>
    <col hidden="1" width="13" customWidth="1" min="16" max="16"/>
    <col hidden="1" width="13" customWidth="1" min="17" max="17"/>
    <col hidden="1" width="13" customWidth="1" min="18" max="18"/>
    <col hidden="1" width="13" customWidth="1" min="19" max="19"/>
    <col hidden="1" width="13" customWidth="1" min="20" max="20"/>
    <col hidden="1" width="13" customWidth="1" min="21" max="21"/>
    <col hidden="1" width="13" customWidth="1" min="22" max="22"/>
    <col hidden="1" width="13" customWidth="1" min="23" max="23"/>
    <col hidden="1" width="13" customWidth="1" min="24" max="24"/>
    <col hidden="1" width="13" customWidth="1" min="25" max="25"/>
    <col hidden="1" width="13" customWidth="1" min="26" max="26"/>
    <col hidden="1" width="13" customWidth="1" min="27" max="27"/>
    <col hidden="1" width="13" customWidth="1" min="28" max="28"/>
    <col hidden="1" width="13" customWidth="1" min="29" max="29"/>
    <col hidden="1" width="13" customWidth="1" min="30" max="30"/>
    <col hidden="1" width="13" customWidth="1" min="31" max="31"/>
    <col hidden="1" width="13" customWidth="1" min="32" max="32"/>
    <col hidden="1" width="13" customWidth="1" min="33" max="33"/>
    <col hidden="1" width="13" customWidth="1" min="34" max="34"/>
    <col hidden="1" width="13" customWidth="1" min="35" max="35"/>
    <col hidden="1" width="13" customWidth="1" min="36" max="36"/>
    <col hidden="1" width="13" customWidth="1" min="37" max="37"/>
    <col hidden="1" width="13" customWidth="1" min="38" max="38"/>
    <col hidden="1" width="13" customWidth="1" min="39" max="39"/>
    <col hidden="1" width="13" customWidth="1" min="40" max="40"/>
  </cols>
  <sheetData>
    <row r="1">
      <c r="A1" s="1" t="inlineStr">
        <is>
          <t>Standard Chartered Bank (standalone Company basis) — Overview</t>
        </is>
      </c>
    </row>
    <row r="2">
      <c r="A2" s="2" t="inlineStr">
        <is>
          <t>Headline balance sheet, profit &amp; loss, cash flow and Pillar 3 figures across all years covered in this workbook - how the bank is using its money and the risk it is taking with it</t>
        </is>
      </c>
    </row>
    <row r="4">
      <c r="A4" s="3" t="inlineStr">
        <is>
          <t>Balance Sheet Summary ($million)</t>
        </is>
      </c>
    </row>
    <row r="5">
      <c r="A5" s="4" t="inlineStr">
        <is>
          <t>Line item</t>
        </is>
      </c>
      <c r="B5" s="4" t="inlineStr">
        <is>
          <t>FY2025</t>
        </is>
      </c>
      <c r="C5" s="4" t="inlineStr">
        <is>
          <t>FY2024</t>
        </is>
      </c>
      <c r="D5" s="4" t="inlineStr">
        <is>
          <t>FY2023</t>
        </is>
      </c>
      <c r="E5" s="4" t="inlineStr">
        <is>
          <t>FY2022</t>
        </is>
      </c>
      <c r="F5" s="4" t="inlineStr">
        <is>
          <t>FY2021</t>
        </is>
      </c>
      <c r="J5" t="inlineStr">
        <is>
          <t>FY2021</t>
        </is>
      </c>
      <c r="K5" t="inlineStr">
        <is>
          <t>FY2022</t>
        </is>
      </c>
      <c r="L5" t="inlineStr">
        <is>
          <t>FY2023</t>
        </is>
      </c>
      <c r="M5" t="inlineStr">
        <is>
          <t>FY2024</t>
        </is>
      </c>
      <c r="N5" t="inlineStr">
        <is>
          <t>FY2025</t>
        </is>
      </c>
    </row>
    <row r="6">
      <c r="A6" s="5" t="inlineStr">
        <is>
          <t>Total assets</t>
        </is>
      </c>
      <c r="B6" s="5" t="n">
        <v>441020</v>
      </c>
      <c r="C6" s="5" t="n">
        <v>435691</v>
      </c>
      <c r="D6" s="5" t="n">
        <v>418149</v>
      </c>
      <c r="E6" s="5" t="n">
        <v>435725</v>
      </c>
      <c r="F6" s="5" t="n">
        <v>425877</v>
      </c>
      <c r="I6" t="inlineStr">
        <is>
          <t>Total assets</t>
        </is>
      </c>
      <c r="J6" t="n">
        <v>425877</v>
      </c>
      <c r="K6" t="n">
        <v>435725</v>
      </c>
      <c r="L6" t="n">
        <v>418149</v>
      </c>
      <c r="M6" t="n">
        <v>435691</v>
      </c>
      <c r="N6" t="n">
        <v>441020</v>
      </c>
    </row>
    <row r="7">
      <c r="A7" s="5" t="inlineStr">
        <is>
          <t>Loans and advances to customers</t>
        </is>
      </c>
      <c r="B7" s="5" t="n">
        <v>80091</v>
      </c>
      <c r="C7" s="5" t="n">
        <v>77597</v>
      </c>
      <c r="D7" s="5" t="n">
        <v>75883</v>
      </c>
      <c r="E7" s="5" t="n">
        <v>80611</v>
      </c>
      <c r="F7" s="5" t="n">
        <v>71161</v>
      </c>
      <c r="I7" t="inlineStr">
        <is>
          <t>Loans and advances to customers</t>
        </is>
      </c>
      <c r="J7" t="n">
        <v>71161</v>
      </c>
      <c r="K7" t="n">
        <v>80611</v>
      </c>
      <c r="L7" t="n">
        <v>75883</v>
      </c>
      <c r="M7" t="n">
        <v>77597</v>
      </c>
      <c r="N7" t="n">
        <v>80091</v>
      </c>
    </row>
    <row r="8">
      <c r="A8" s="5" t="inlineStr">
        <is>
          <t>Customer accounts</t>
        </is>
      </c>
      <c r="B8" s="5" t="n">
        <v>132018</v>
      </c>
      <c r="C8" s="5" t="n">
        <v>119502</v>
      </c>
      <c r="D8" s="5" t="n">
        <v>121648</v>
      </c>
      <c r="E8" s="5" t="n">
        <v>137422</v>
      </c>
      <c r="F8" s="5" t="n">
        <v>135478</v>
      </c>
      <c r="I8" t="inlineStr">
        <is>
          <t>Customer accounts</t>
        </is>
      </c>
      <c r="J8" t="n">
        <v>135478</v>
      </c>
      <c r="K8" t="n">
        <v>137422</v>
      </c>
      <c r="L8" t="n">
        <v>121648</v>
      </c>
      <c r="M8" t="n">
        <v>119502</v>
      </c>
      <c r="N8" t="n">
        <v>132018</v>
      </c>
    </row>
    <row r="9">
      <c r="A9" s="5" t="inlineStr">
        <is>
          <t>Total equity</t>
        </is>
      </c>
      <c r="B9" s="5" t="n">
        <v>30934</v>
      </c>
      <c r="C9" s="5" t="n">
        <v>30982</v>
      </c>
      <c r="D9" s="5" t="n">
        <v>30653</v>
      </c>
      <c r="E9" s="5" t="n">
        <v>30971</v>
      </c>
      <c r="F9" s="5" t="n">
        <v>31647</v>
      </c>
      <c r="I9" t="inlineStr">
        <is>
          <t>Total equity</t>
        </is>
      </c>
      <c r="J9" t="n">
        <v>31647</v>
      </c>
      <c r="K9" t="n">
        <v>30971</v>
      </c>
      <c r="L9" t="n">
        <v>30653</v>
      </c>
      <c r="M9" t="n">
        <v>30982</v>
      </c>
      <c r="N9" t="n">
        <v>30934</v>
      </c>
    </row>
    <row r="11">
      <c r="A11" s="3" t="inlineStr">
        <is>
          <t>Profit &amp; Loss Summary ($million (Bank Group - see Profit &amp; Loss sheet's source note))</t>
        </is>
      </c>
    </row>
    <row r="12">
      <c r="A12" s="4" t="inlineStr">
        <is>
          <t>Line item</t>
        </is>
      </c>
      <c r="B12" s="4" t="inlineStr">
        <is>
          <t>FY2025</t>
        </is>
      </c>
      <c r="C12" s="4" t="inlineStr">
        <is>
          <t>FY2024</t>
        </is>
      </c>
      <c r="D12" s="4" t="inlineStr">
        <is>
          <t>FY2023</t>
        </is>
      </c>
      <c r="E12" s="4" t="inlineStr">
        <is>
          <t>FY2022</t>
        </is>
      </c>
      <c r="F12" s="4" t="inlineStr">
        <is>
          <t>FY2021</t>
        </is>
      </c>
      <c r="R12" t="inlineStr">
        <is>
          <t>FY2021</t>
        </is>
      </c>
      <c r="S12" t="inlineStr">
        <is>
          <t>FY2022</t>
        </is>
      </c>
      <c r="T12" t="inlineStr">
        <is>
          <t>FY2023</t>
        </is>
      </c>
      <c r="U12" t="inlineStr">
        <is>
          <t>FY2024</t>
        </is>
      </c>
      <c r="V12" t="inlineStr">
        <is>
          <t>FY2025</t>
        </is>
      </c>
    </row>
    <row r="13">
      <c r="A13" s="5" t="inlineStr">
        <is>
          <t>Operating income</t>
        </is>
      </c>
      <c r="B13" s="5" t="n">
        <v>12954</v>
      </c>
      <c r="C13" s="5" t="n">
        <v>12414</v>
      </c>
      <c r="D13" s="5" t="n">
        <v>11549</v>
      </c>
      <c r="E13" s="5" t="n">
        <v>10234</v>
      </c>
      <c r="F13" s="5" t="n">
        <v>8860</v>
      </c>
      <c r="Q13" t="inlineStr">
        <is>
          <t>Operating income</t>
        </is>
      </c>
      <c r="R13" t="n">
        <v>8860</v>
      </c>
      <c r="S13" t="n">
        <v>10234</v>
      </c>
      <c r="T13" t="n">
        <v>11549</v>
      </c>
      <c r="U13" t="n">
        <v>12414</v>
      </c>
      <c r="V13" t="n">
        <v>12954</v>
      </c>
    </row>
    <row r="14">
      <c r="A14" s="5" t="inlineStr">
        <is>
          <t>Operating expenses</t>
        </is>
      </c>
      <c r="B14" s="5" t="n">
        <v>-7955</v>
      </c>
      <c r="C14" s="5" t="n">
        <v>-7550</v>
      </c>
      <c r="D14" s="5" t="n">
        <v>-7147</v>
      </c>
      <c r="E14" s="5" t="n">
        <v>-6662</v>
      </c>
      <c r="F14" s="5" t="n">
        <v>-6480</v>
      </c>
      <c r="Q14" t="inlineStr">
        <is>
          <t>Operating expenses</t>
        </is>
      </c>
      <c r="R14" t="n">
        <v>-6480</v>
      </c>
      <c r="S14" t="n">
        <v>-6662</v>
      </c>
      <c r="T14" t="n">
        <v>-7147</v>
      </c>
      <c r="U14" t="n">
        <v>-7550</v>
      </c>
      <c r="V14" t="n">
        <v>-7955</v>
      </c>
    </row>
    <row r="15">
      <c r="A15" s="5" t="inlineStr">
        <is>
          <t>Profit for the year</t>
        </is>
      </c>
      <c r="B15" s="5" t="n">
        <v>3410</v>
      </c>
      <c r="C15" s="5" t="n">
        <v>2982</v>
      </c>
      <c r="D15" s="5" t="n">
        <v>3237</v>
      </c>
      <c r="E15" s="5" t="n">
        <v>2352</v>
      </c>
      <c r="F15" s="5" t="n">
        <v>1638</v>
      </c>
      <c r="Q15" t="inlineStr">
        <is>
          <t>Profit for the year</t>
        </is>
      </c>
      <c r="R15" t="n">
        <v>1638</v>
      </c>
      <c r="S15" t="n">
        <v>2352</v>
      </c>
      <c r="T15" t="n">
        <v>3237</v>
      </c>
      <c r="U15" t="n">
        <v>2982</v>
      </c>
      <c r="V15" t="n">
        <v>3410</v>
      </c>
    </row>
    <row r="17">
      <c r="A17" s="3" t="inlineStr">
        <is>
          <t>Statement of Changes in Equity Summary ($million (Company))</t>
        </is>
      </c>
    </row>
    <row r="18">
      <c r="A18" s="4" t="inlineStr">
        <is>
          <t>Line item</t>
        </is>
      </c>
      <c r="B18" s="4" t="inlineStr">
        <is>
          <t>FY2025</t>
        </is>
      </c>
      <c r="C18" s="4" t="inlineStr">
        <is>
          <t>FY2024</t>
        </is>
      </c>
      <c r="D18" s="4" t="inlineStr">
        <is>
          <t>FY2023</t>
        </is>
      </c>
      <c r="E18" s="4" t="inlineStr">
        <is>
          <t>FY2022</t>
        </is>
      </c>
      <c r="F18" s="4" t="inlineStr">
        <is>
          <t>FY2021</t>
        </is>
      </c>
      <c r="Z18" t="inlineStr">
        <is>
          <t>FY2021</t>
        </is>
      </c>
      <c r="AA18" t="inlineStr">
        <is>
          <t>FY2022</t>
        </is>
      </c>
      <c r="AB18" t="inlineStr">
        <is>
          <t>FY2023</t>
        </is>
      </c>
      <c r="AC18" t="inlineStr">
        <is>
          <t>FY2024</t>
        </is>
      </c>
      <c r="AD18" t="inlineStr">
        <is>
          <t>FY2025</t>
        </is>
      </c>
    </row>
    <row r="19">
      <c r="A19" s="5" t="inlineStr">
        <is>
          <t>Profit for the year (Company)</t>
        </is>
      </c>
      <c r="B19" s="5" t="n">
        <v>2517</v>
      </c>
      <c r="C19" s="5" t="n">
        <v>2325</v>
      </c>
      <c r="D19" s="5" t="n">
        <v>2585</v>
      </c>
      <c r="E19" s="5" t="n">
        <v>2372</v>
      </c>
      <c r="F19" s="5" t="n">
        <v>2146</v>
      </c>
      <c r="Y19" t="inlineStr">
        <is>
          <t>Profit for the year (Company)</t>
        </is>
      </c>
      <c r="Z19" t="n">
        <v>2146</v>
      </c>
      <c r="AA19" t="n">
        <v>2372</v>
      </c>
      <c r="AB19" t="n">
        <v>2585</v>
      </c>
      <c r="AC19" t="n">
        <v>2325</v>
      </c>
      <c r="AD19" t="n">
        <v>2517</v>
      </c>
    </row>
    <row r="20">
      <c r="A20" s="5" t="inlineStr">
        <is>
          <t>Dividends and distributions paid (ordinary + preference/AT1)</t>
        </is>
      </c>
      <c r="B20" s="5" t="n">
        <v>-2665</v>
      </c>
      <c r="C20" s="5" t="n">
        <v>-2744</v>
      </c>
      <c r="D20" s="5" t="n">
        <v>-2962</v>
      </c>
      <c r="E20" s="5" t="n">
        <v>-292</v>
      </c>
      <c r="F20" s="5" t="n">
        <v>-292</v>
      </c>
      <c r="Y20" t="inlineStr">
        <is>
          <t>Dividends and distributions paid (ordinary + preference/AT1)</t>
        </is>
      </c>
      <c r="Z20" t="n">
        <v>-292</v>
      </c>
      <c r="AA20" t="n">
        <v>-292</v>
      </c>
      <c r="AB20" t="n">
        <v>-2962</v>
      </c>
      <c r="AC20" t="n">
        <v>-2744</v>
      </c>
      <c r="AD20" t="n">
        <v>-2665</v>
      </c>
    </row>
    <row r="21">
      <c r="A21" s="5" t="inlineStr">
        <is>
          <t>Total equity (closing)</t>
        </is>
      </c>
      <c r="B21" s="5" t="n">
        <v>30934</v>
      </c>
      <c r="C21" s="5" t="n">
        <v>30982</v>
      </c>
      <c r="D21" s="5" t="n">
        <v>30653</v>
      </c>
      <c r="E21" s="5" t="n">
        <v>30971</v>
      </c>
      <c r="F21" s="5" t="n">
        <v>31647</v>
      </c>
      <c r="Y21" t="inlineStr">
        <is>
          <t>Total equity (closing)</t>
        </is>
      </c>
      <c r="Z21" t="n">
        <v>31647</v>
      </c>
      <c r="AA21" t="n">
        <v>30971</v>
      </c>
      <c r="AB21" t="n">
        <v>30653</v>
      </c>
      <c r="AC21" t="n">
        <v>30982</v>
      </c>
      <c r="AD21" t="n">
        <v>30934</v>
      </c>
    </row>
    <row r="23">
      <c r="A23" s="3" t="inlineStr">
        <is>
          <t>Cash Flow Summary ($million)</t>
        </is>
      </c>
    </row>
    <row r="24">
      <c r="A24" s="4" t="inlineStr">
        <is>
          <t>Line item</t>
        </is>
      </c>
      <c r="B24" s="4" t="inlineStr">
        <is>
          <t>FY2025</t>
        </is>
      </c>
      <c r="C24" s="4" t="inlineStr">
        <is>
          <t>FY2024</t>
        </is>
      </c>
      <c r="D24" s="4" t="inlineStr">
        <is>
          <t>FY2023</t>
        </is>
      </c>
      <c r="E24" s="4" t="inlineStr">
        <is>
          <t>FY2022</t>
        </is>
      </c>
      <c r="F24" s="4" t="inlineStr">
        <is>
          <t>FY2021</t>
        </is>
      </c>
      <c r="AH24" t="inlineStr">
        <is>
          <t>FY2021</t>
        </is>
      </c>
      <c r="AI24" t="inlineStr">
        <is>
          <t>FY2022</t>
        </is>
      </c>
      <c r="AJ24" t="inlineStr">
        <is>
          <t>FY2023</t>
        </is>
      </c>
      <c r="AK24" t="inlineStr">
        <is>
          <t>FY2024</t>
        </is>
      </c>
      <c r="AL24" t="inlineStr">
        <is>
          <t>FY2025</t>
        </is>
      </c>
    </row>
    <row r="25">
      <c r="A25" s="5" t="inlineStr">
        <is>
          <t>Net cash from/(used in) operating activities</t>
        </is>
      </c>
      <c r="B25" s="5" t="n">
        <v>13784</v>
      </c>
      <c r="C25" s="5" t="n">
        <v>-9999</v>
      </c>
      <c r="D25" s="5" t="n">
        <v>10807</v>
      </c>
      <c r="E25" s="5" t="n">
        <v>2052</v>
      </c>
      <c r="F25" s="5" t="n">
        <v>19205</v>
      </c>
      <c r="AG25" t="inlineStr">
        <is>
          <t>Net cash from/(used in) operating activities</t>
        </is>
      </c>
      <c r="AH25" t="n">
        <v>19205</v>
      </c>
      <c r="AI25" t="n">
        <v>2052</v>
      </c>
      <c r="AJ25" t="n">
        <v>10807</v>
      </c>
      <c r="AK25" t="n">
        <v>-9999</v>
      </c>
      <c r="AL25" t="n">
        <v>13784</v>
      </c>
    </row>
    <row r="26">
      <c r="A26" s="5" t="inlineStr">
        <is>
          <t>Net cash from/(used in) investing activities</t>
        </is>
      </c>
      <c r="B26" s="5" t="n">
        <v>4746</v>
      </c>
      <c r="C26" s="5" t="n">
        <v>7948</v>
      </c>
      <c r="D26" s="5" t="n">
        <v>6984</v>
      </c>
      <c r="E26" s="5" t="n">
        <v>-15172</v>
      </c>
      <c r="F26" s="5" t="n">
        <v>-16201</v>
      </c>
      <c r="AG26" t="inlineStr">
        <is>
          <t>Net cash from/(used in) investing activities</t>
        </is>
      </c>
      <c r="AH26" t="n">
        <v>-16201</v>
      </c>
      <c r="AI26" t="n">
        <v>-15172</v>
      </c>
      <c r="AJ26" t="n">
        <v>6984</v>
      </c>
      <c r="AK26" t="n">
        <v>7948</v>
      </c>
      <c r="AL26" t="n">
        <v>4746</v>
      </c>
    </row>
    <row r="27">
      <c r="A27" s="5" t="inlineStr">
        <is>
          <t>Net cash used in financing activities</t>
        </is>
      </c>
      <c r="B27" s="5" t="n">
        <v>-7277</v>
      </c>
      <c r="C27" s="5" t="n">
        <v>-2974</v>
      </c>
      <c r="D27" s="5" t="n">
        <v>-3729</v>
      </c>
      <c r="E27" s="5" t="n">
        <v>2193</v>
      </c>
      <c r="F27" s="5" t="n">
        <v>856</v>
      </c>
      <c r="AG27" t="inlineStr">
        <is>
          <t>Net cash used in financing activities</t>
        </is>
      </c>
      <c r="AH27" t="n">
        <v>856</v>
      </c>
      <c r="AI27" t="n">
        <v>2193</v>
      </c>
      <c r="AJ27" t="n">
        <v>-3729</v>
      </c>
      <c r="AK27" t="n">
        <v>-2974</v>
      </c>
      <c r="AL27" t="n">
        <v>-7277</v>
      </c>
    </row>
    <row r="28">
      <c r="A28" s="5" t="inlineStr">
        <is>
          <t>Net increase/(decrease) in cash and cash equivalents</t>
        </is>
      </c>
      <c r="B28" s="5" t="n">
        <v>11253</v>
      </c>
      <c r="C28" s="5" t="n">
        <v>-5025</v>
      </c>
      <c r="D28" s="5" t="n">
        <v>14062</v>
      </c>
      <c r="E28" s="5" t="n">
        <v>-10927</v>
      </c>
      <c r="F28" s="5" t="n">
        <v>3860</v>
      </c>
      <c r="AG28" t="inlineStr">
        <is>
          <t>Net increase/(decrease) in cash and cash equivalents</t>
        </is>
      </c>
      <c r="AH28" t="n">
        <v>3860</v>
      </c>
      <c r="AI28" t="n">
        <v>-10927</v>
      </c>
      <c r="AJ28" t="n">
        <v>14062</v>
      </c>
      <c r="AK28" t="n">
        <v>-5025</v>
      </c>
      <c r="AL28" t="n">
        <v>11253</v>
      </c>
    </row>
    <row r="30">
      <c r="A30" s="3" t="inlineStr">
        <is>
          <t>Pillar 3 Key Metrics: not applicable — no ratios are disclosed for this entity (see the individual Pillar 3 metric sheets).</t>
        </is>
      </c>
    </row>
    <row r="32" ht="45" customHeight="1">
      <c r="A32" s="6" t="inlineStr">
        <is>
          <t>Note: Balance Sheet, Statement of Changes in Equity, Cash Flow, and Asset Quality figures use the standalone Bank Company column throughout. The Profit &amp; Loss figures use the Bank GROUP consolidated income statement instead, because the Company takes the s.408 Companies Act 2006 exemption and does not publish its own income statement (see the Profit &amp; Loss sheet's source note for the Company's own profit-after-tax figures, which tie exactly to this Overview's equity-changes block). The regulatory Pillar 3 metric sheets use a THIRD basis: Standard Chartered Bank on the solo-consolidated basis, which is how the PRA sets this entity's capital requirements (the Company plus four named subsidiaries). Those figures were added on 2026-09-15 from the solo-consolidation section of Standard Chartered PLC's annual Pillar 3 reports, which discloses this entity under the full UK templates; an earlier note recording them as not publicly disclosed was incorrect. They are NOT the Standard Chartered PLC group's figures - group RWA at FY2023 is 244,151 $m against 122,408 $m here. Do not divide figures across the Company and solo-consolidated bases. The RWA Breakdown sheet was filled on the same date and from the same solo-consolidation annex, and so shares the Pillar 3 sheets' basis - but note the 8 $m FY2024 difference between it and the Total RWAs sheet, which the FY2024 Pillar 3 report itself creates by printing two different totals in two tables. That difference is documented on both sheets and is not to be reconciled away.</t>
        </is>
      </c>
    </row>
  </sheetData>
  <mergeCells count="1">
    <mergeCell ref="A32:F32"/>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F48"/>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8" customWidth="1" min="1" max="1"/>
    <col width="15" customWidth="1" min="2" max="2"/>
    <col width="15" customWidth="1" min="3" max="3"/>
    <col width="15" customWidth="1" min="4" max="4"/>
    <col width="15" customWidth="1" min="5" max="5"/>
    <col width="15" customWidth="1" min="6" max="6"/>
  </cols>
  <sheetData>
    <row r="1">
      <c r="A1" s="1" t="inlineStr">
        <is>
          <t>Standard Chartered Bank — Balance Sheet</t>
        </is>
      </c>
    </row>
    <row r="2">
      <c r="A2" s="2" t="inlineStr">
        <is>
          <t>Standalone Bank Company column (Consolidated balance sheet/'Balance sheets' statement), $million.</t>
        </is>
      </c>
    </row>
    <row r="3">
      <c r="A3" s="4" t="inlineStr">
        <is>
          <t>Line item</t>
        </is>
      </c>
      <c r="B3" s="4" t="inlineStr">
        <is>
          <t>FY2025 ($m)</t>
        </is>
      </c>
      <c r="C3" s="4" t="inlineStr">
        <is>
          <t>FY2024 ($m)</t>
        </is>
      </c>
      <c r="D3" s="4" t="inlineStr">
        <is>
          <t>FY2023 ($m)</t>
        </is>
      </c>
      <c r="E3" s="4" t="inlineStr">
        <is>
          <t>FY2022 ($m)</t>
        </is>
      </c>
      <c r="F3" s="4" t="inlineStr">
        <is>
          <t>FY2021 ($m)</t>
        </is>
      </c>
    </row>
    <row r="4">
      <c r="A4" s="5" t="inlineStr">
        <is>
          <t>Assets</t>
        </is>
      </c>
      <c r="B4" s="7" t="n"/>
      <c r="C4" s="7" t="n"/>
      <c r="D4" s="7" t="n"/>
      <c r="E4" s="7" t="n"/>
      <c r="F4" s="7" t="n"/>
    </row>
    <row r="5">
      <c r="A5" s="7" t="inlineStr">
        <is>
          <t>Cash and balances at central banks</t>
        </is>
      </c>
      <c r="B5" s="7" t="n">
        <v>52348</v>
      </c>
      <c r="C5" s="7" t="n">
        <v>45233</v>
      </c>
      <c r="D5" s="7" t="n">
        <v>52758</v>
      </c>
      <c r="E5" s="7" t="n">
        <v>38867</v>
      </c>
      <c r="F5" s="7" t="n">
        <v>48165</v>
      </c>
    </row>
    <row r="6">
      <c r="A6" s="7" t="inlineStr">
        <is>
          <t>Financial assets held at fair value through profit or loss</t>
        </is>
      </c>
      <c r="B6" s="7" t="n">
        <v>99894</v>
      </c>
      <c r="C6" s="7" t="n">
        <v>88349</v>
      </c>
      <c r="D6" s="7" t="n">
        <v>86412</v>
      </c>
      <c r="E6" s="7" t="n">
        <v>75792</v>
      </c>
      <c r="F6" s="7" t="n">
        <v>99705</v>
      </c>
    </row>
    <row r="7">
      <c r="A7" s="7" t="inlineStr">
        <is>
          <t>Derivative financial instruments (assets)</t>
        </is>
      </c>
      <c r="B7" s="7" t="n">
        <v>66631</v>
      </c>
      <c r="C7" s="7" t="n">
        <v>82844</v>
      </c>
      <c r="D7" s="7" t="n">
        <v>53221</v>
      </c>
      <c r="E7" s="7" t="n">
        <v>65481</v>
      </c>
      <c r="F7" s="7" t="n">
        <v>53478</v>
      </c>
    </row>
    <row r="8">
      <c r="A8" s="7" t="inlineStr">
        <is>
          <t>Loans and advances to banks</t>
        </is>
      </c>
      <c r="B8" s="7" t="n">
        <v>11108</v>
      </c>
      <c r="C8" s="7" t="n">
        <v>11755</v>
      </c>
      <c r="D8" s="7" t="n">
        <v>10135</v>
      </c>
      <c r="E8" s="7" t="n">
        <v>18548</v>
      </c>
      <c r="F8" s="7" t="n">
        <v>16117</v>
      </c>
    </row>
    <row r="9">
      <c r="A9" s="7" t="inlineStr">
        <is>
          <t>Loans and advances to customers</t>
        </is>
      </c>
      <c r="B9" s="7" t="n">
        <v>80091</v>
      </c>
      <c r="C9" s="7" t="n">
        <v>77597</v>
      </c>
      <c r="D9" s="7" t="n">
        <v>75883</v>
      </c>
      <c r="E9" s="7" t="n">
        <v>80611</v>
      </c>
      <c r="F9" s="7" t="n">
        <v>71161</v>
      </c>
    </row>
    <row r="10">
      <c r="A10" s="7" t="inlineStr">
        <is>
          <t>Investment securities</t>
        </is>
      </c>
      <c r="B10" s="7" t="n">
        <v>79684</v>
      </c>
      <c r="C10" s="7" t="n">
        <v>82101</v>
      </c>
      <c r="D10" s="7" t="n">
        <v>92771</v>
      </c>
      <c r="E10" s="7" t="n">
        <v>95372</v>
      </c>
      <c r="F10" s="7" t="n">
        <v>86389</v>
      </c>
    </row>
    <row r="11">
      <c r="A11" s="7" t="inlineStr">
        <is>
          <t>Other assets</t>
        </is>
      </c>
      <c r="B11" s="7" t="n">
        <v>23568</v>
      </c>
      <c r="C11" s="7" t="n">
        <v>21552</v>
      </c>
      <c r="D11" s="7" t="n">
        <v>21742</v>
      </c>
      <c r="E11" s="7" t="n">
        <v>31715</v>
      </c>
      <c r="F11" s="7" t="n">
        <v>25688</v>
      </c>
    </row>
    <row r="12">
      <c r="A12" s="7" t="inlineStr">
        <is>
          <t>Due from subsidiary undertakings and other related parties</t>
        </is>
      </c>
      <c r="B12" s="7" t="n">
        <v>11538</v>
      </c>
      <c r="C12" s="7" t="n">
        <v>10066</v>
      </c>
      <c r="D12" s="7" t="n">
        <v>10053</v>
      </c>
      <c r="E12" s="7" t="n">
        <v>13214</v>
      </c>
      <c r="F12" s="7" t="n">
        <v>10741</v>
      </c>
    </row>
    <row r="13">
      <c r="A13" s="7" t="inlineStr">
        <is>
          <t>Current tax assets</t>
        </is>
      </c>
      <c r="B13" s="7" t="n">
        <v>412</v>
      </c>
      <c r="C13" s="7" t="n">
        <v>516</v>
      </c>
      <c r="D13" s="7" t="n">
        <v>395</v>
      </c>
      <c r="E13" s="7" t="n">
        <v>347</v>
      </c>
      <c r="F13" s="7" t="n">
        <v>487</v>
      </c>
    </row>
    <row r="14">
      <c r="A14" s="7" t="inlineStr">
        <is>
          <t>Prepayments and accrued income</t>
        </is>
      </c>
      <c r="B14" s="7" t="n">
        <v>1392</v>
      </c>
      <c r="C14" s="7" t="n">
        <v>1535</v>
      </c>
      <c r="D14" s="7" t="n">
        <v>1386</v>
      </c>
      <c r="E14" s="7" t="n">
        <v>1598</v>
      </c>
      <c r="F14" s="7" t="n">
        <v>905</v>
      </c>
    </row>
    <row r="15">
      <c r="A15" s="7" t="inlineStr">
        <is>
          <t>Investments in subsidiary undertakings</t>
        </is>
      </c>
      <c r="B15" s="7" t="n">
        <v>10800</v>
      </c>
      <c r="C15" s="7" t="n">
        <v>10671</v>
      </c>
      <c r="D15" s="7" t="n">
        <v>10066</v>
      </c>
      <c r="E15" s="7" t="n">
        <v>10300</v>
      </c>
      <c r="F15" s="7" t="n">
        <v>9694</v>
      </c>
    </row>
    <row r="16">
      <c r="A16" s="7" t="inlineStr">
        <is>
          <t>Goodwill and intangible assets</t>
        </is>
      </c>
      <c r="B16" s="7" t="n">
        <v>2245</v>
      </c>
      <c r="C16" s="7" t="n">
        <v>1988</v>
      </c>
      <c r="D16" s="7" t="n">
        <v>2359</v>
      </c>
      <c r="E16" s="7" t="n">
        <v>2279</v>
      </c>
      <c r="F16" s="7" t="n">
        <v>2121</v>
      </c>
    </row>
    <row r="17">
      <c r="A17" s="7" t="inlineStr">
        <is>
          <t>Property, plant and equipment</t>
        </is>
      </c>
      <c r="B17" s="7" t="n">
        <v>714</v>
      </c>
      <c r="C17" s="7" t="n">
        <v>659</v>
      </c>
      <c r="D17" s="7" t="n">
        <v>521</v>
      </c>
      <c r="E17" s="7" t="n">
        <v>430</v>
      </c>
      <c r="F17" s="7" t="n">
        <v>627</v>
      </c>
    </row>
    <row r="18">
      <c r="A18" s="7" t="inlineStr">
        <is>
          <t>Deferred tax assets</t>
        </is>
      </c>
      <c r="B18" s="7" t="n">
        <v>251</v>
      </c>
      <c r="C18" s="7" t="n">
        <v>233</v>
      </c>
      <c r="D18" s="7" t="n">
        <v>379</v>
      </c>
      <c r="E18" s="7" t="n">
        <v>579</v>
      </c>
      <c r="F18" s="7" t="n">
        <v>508</v>
      </c>
    </row>
    <row r="19">
      <c r="A19" s="7" t="inlineStr">
        <is>
          <t>Retirement benefit schemes in surplus</t>
        </is>
      </c>
      <c r="B19" s="7" t="n">
        <v>104</v>
      </c>
      <c r="C19" s="7" t="n">
        <v>118</v>
      </c>
      <c r="D19" s="7" t="n"/>
      <c r="E19" s="7" t="n"/>
      <c r="F19" s="7" t="n"/>
    </row>
    <row r="20">
      <c r="A20" s="7" t="inlineStr">
        <is>
          <t>Assets classified as held for sale</t>
        </is>
      </c>
      <c r="B20" s="7" t="n">
        <v>240</v>
      </c>
      <c r="C20" s="7" t="n">
        <v>474</v>
      </c>
      <c r="D20" s="7" t="n">
        <v>68</v>
      </c>
      <c r="E20" s="7" t="n">
        <v>592</v>
      </c>
      <c r="F20" s="7" t="n">
        <v>91</v>
      </c>
    </row>
    <row r="21">
      <c r="A21" s="5" t="inlineStr">
        <is>
          <t>Total assets</t>
        </is>
      </c>
      <c r="B21" s="5" t="n">
        <v>441020</v>
      </c>
      <c r="C21" s="5" t="n">
        <v>435691</v>
      </c>
      <c r="D21" s="5" t="n">
        <v>418149</v>
      </c>
      <c r="E21" s="5" t="n">
        <v>435725</v>
      </c>
      <c r="F21" s="5" t="n">
        <v>425877</v>
      </c>
    </row>
    <row r="22">
      <c r="A22" s="5" t="inlineStr">
        <is>
          <t>Liabilities</t>
        </is>
      </c>
      <c r="B22" s="7" t="n"/>
      <c r="C22" s="7" t="n"/>
      <c r="D22" s="7" t="n"/>
      <c r="E22" s="7" t="n"/>
      <c r="F22" s="7" t="n"/>
    </row>
    <row r="23">
      <c r="A23" s="7" t="inlineStr">
        <is>
          <t>Deposits by banks</t>
        </is>
      </c>
      <c r="B23" s="7" t="n">
        <v>20607</v>
      </c>
      <c r="C23" s="7" t="n">
        <v>17824</v>
      </c>
      <c r="D23" s="7" t="n">
        <v>18280</v>
      </c>
      <c r="E23" s="7" t="n">
        <v>17900</v>
      </c>
      <c r="F23" s="7" t="n">
        <v>18870</v>
      </c>
    </row>
    <row r="24">
      <c r="A24" s="7" t="inlineStr">
        <is>
          <t>Customer accounts</t>
        </is>
      </c>
      <c r="B24" s="7" t="n">
        <v>132018</v>
      </c>
      <c r="C24" s="7" t="n">
        <v>119502</v>
      </c>
      <c r="D24" s="7" t="n">
        <v>121648</v>
      </c>
      <c r="E24" s="7" t="n">
        <v>137422</v>
      </c>
      <c r="F24" s="7" t="n">
        <v>135478</v>
      </c>
    </row>
    <row r="25">
      <c r="A25" s="7" t="inlineStr">
        <is>
          <t>Repurchase agreements and other similar secured borrowing</t>
        </is>
      </c>
      <c r="B25" s="7" t="n">
        <v>4828</v>
      </c>
      <c r="C25" s="7" t="n">
        <v>9845</v>
      </c>
      <c r="D25" s="7" t="n">
        <v>11977</v>
      </c>
      <c r="E25" s="7" t="n">
        <v>1723</v>
      </c>
      <c r="F25" s="7" t="n">
        <v>283</v>
      </c>
    </row>
    <row r="26">
      <c r="A26" s="7" t="inlineStr">
        <is>
          <t>Financial liabilities held at fair value through profit or loss</t>
        </is>
      </c>
      <c r="B26" s="7" t="n">
        <v>64880</v>
      </c>
      <c r="C26" s="7" t="n">
        <v>61683</v>
      </c>
      <c r="D26" s="7" t="n">
        <v>64467</v>
      </c>
      <c r="E26" s="7" t="n">
        <v>66189</v>
      </c>
      <c r="F26" s="7" t="n">
        <v>73902</v>
      </c>
    </row>
    <row r="27">
      <c r="A27" s="7" t="inlineStr">
        <is>
          <t>Derivative financial instruments (liabilities)</t>
        </is>
      </c>
      <c r="B27" s="7" t="n">
        <v>67556</v>
      </c>
      <c r="C27" s="7" t="n">
        <v>82745</v>
      </c>
      <c r="D27" s="7" t="n">
        <v>55531</v>
      </c>
      <c r="E27" s="7" t="n">
        <v>69203</v>
      </c>
      <c r="F27" s="7" t="n">
        <v>53835</v>
      </c>
    </row>
    <row r="28">
      <c r="A28" s="7" t="inlineStr">
        <is>
          <t>Debt securities in issue</t>
        </is>
      </c>
      <c r="B28" s="7" t="n">
        <v>37849</v>
      </c>
      <c r="C28" s="7" t="n">
        <v>36081</v>
      </c>
      <c r="D28" s="7" t="n">
        <v>34740</v>
      </c>
      <c r="E28" s="7" t="n">
        <v>34992</v>
      </c>
      <c r="F28" s="7" t="n">
        <v>33826</v>
      </c>
    </row>
    <row r="29">
      <c r="A29" s="7" t="inlineStr">
        <is>
          <t>Other liabilities</t>
        </is>
      </c>
      <c r="B29" s="7" t="n">
        <v>19421</v>
      </c>
      <c r="C29" s="7" t="n">
        <v>21486</v>
      </c>
      <c r="D29" s="7" t="n">
        <v>19213</v>
      </c>
      <c r="E29" s="7" t="n">
        <v>20990</v>
      </c>
      <c r="F29" s="7" t="n">
        <v>20460</v>
      </c>
    </row>
    <row r="30">
      <c r="A30" s="7" t="inlineStr">
        <is>
          <t>Due to parent companies, subsidiary undertakings &amp; other related parties</t>
        </is>
      </c>
      <c r="B30" s="7" t="n">
        <v>50980</v>
      </c>
      <c r="C30" s="7" t="n">
        <v>42313</v>
      </c>
      <c r="D30" s="7" t="n">
        <v>47317</v>
      </c>
      <c r="E30" s="7" t="n">
        <v>39933</v>
      </c>
      <c r="F30" s="7" t="n">
        <v>40745</v>
      </c>
    </row>
    <row r="31">
      <c r="A31" s="7" t="inlineStr">
        <is>
          <t>Current tax liabilities</t>
        </is>
      </c>
      <c r="B31" s="7" t="n">
        <v>254</v>
      </c>
      <c r="C31" s="7" t="n">
        <v>294</v>
      </c>
      <c r="D31" s="7" t="n">
        <v>188</v>
      </c>
      <c r="E31" s="7" t="n">
        <v>329</v>
      </c>
      <c r="F31" s="7" t="n">
        <v>168</v>
      </c>
    </row>
    <row r="32">
      <c r="A32" s="7" t="inlineStr">
        <is>
          <t>Accruals and deferred income</t>
        </is>
      </c>
      <c r="B32" s="7" t="n">
        <v>2620</v>
      </c>
      <c r="C32" s="7" t="n">
        <v>2441</v>
      </c>
      <c r="D32" s="7" t="n">
        <v>2453</v>
      </c>
      <c r="E32" s="7" t="n">
        <v>2140</v>
      </c>
      <c r="F32" s="7" t="n">
        <v>1550</v>
      </c>
    </row>
    <row r="33">
      <c r="A33" s="7" t="inlineStr">
        <is>
          <t>Subordinated liabilities and other borrowed funds</t>
        </is>
      </c>
      <c r="B33" s="7" t="n">
        <v>8158</v>
      </c>
      <c r="C33" s="7" t="n">
        <v>9801</v>
      </c>
      <c r="D33" s="7" t="n">
        <v>10896</v>
      </c>
      <c r="E33" s="7" t="n">
        <v>12729</v>
      </c>
      <c r="F33" s="7" t="n">
        <v>14076</v>
      </c>
    </row>
    <row r="34">
      <c r="A34" s="7" t="inlineStr">
        <is>
          <t>Deferred tax liabilities</t>
        </is>
      </c>
      <c r="B34" s="7" t="n">
        <v>358</v>
      </c>
      <c r="C34" s="7" t="n">
        <v>308</v>
      </c>
      <c r="D34" s="7" t="n">
        <v>477</v>
      </c>
      <c r="E34" s="7" t="n">
        <v>486</v>
      </c>
      <c r="F34" s="7" t="n">
        <v>583</v>
      </c>
    </row>
    <row r="35">
      <c r="A35" s="7" t="inlineStr">
        <is>
          <t>Provisions for liabilities and charges</t>
        </is>
      </c>
      <c r="B35" s="7" t="n">
        <v>191</v>
      </c>
      <c r="C35" s="7" t="n">
        <v>186</v>
      </c>
      <c r="D35" s="7" t="n">
        <v>171</v>
      </c>
      <c r="E35" s="7" t="n">
        <v>249</v>
      </c>
      <c r="F35" s="7" t="n">
        <v>298</v>
      </c>
    </row>
    <row r="36">
      <c r="A36" s="7" t="inlineStr">
        <is>
          <t>Retirement benefit obligations (net deficit)</t>
        </is>
      </c>
      <c r="B36" s="7" t="n">
        <v>216</v>
      </c>
      <c r="C36" s="7" t="n">
        <v>200</v>
      </c>
      <c r="D36" s="7" t="n">
        <v>133</v>
      </c>
      <c r="E36" s="7" t="n">
        <v>124</v>
      </c>
      <c r="F36" s="7" t="n">
        <v>156</v>
      </c>
    </row>
    <row r="37">
      <c r="A37" s="7" t="inlineStr">
        <is>
          <t>Liabilities included in disposal groups held for sale</t>
        </is>
      </c>
      <c r="B37" s="7" t="n">
        <v>150</v>
      </c>
      <c r="C37" s="7" t="n"/>
      <c r="D37" s="7" t="n"/>
      <c r="E37" s="7" t="n"/>
      <c r="F37" s="7" t="n"/>
    </row>
    <row r="38">
      <c r="A38" s="5" t="inlineStr">
        <is>
          <t>Total liabilities</t>
        </is>
      </c>
      <c r="B38" s="5" t="n">
        <v>410086</v>
      </c>
      <c r="C38" s="5" t="n">
        <v>404709</v>
      </c>
      <c r="D38" s="5" t="n">
        <v>387496</v>
      </c>
      <c r="E38" s="5" t="n">
        <v>404754</v>
      </c>
      <c r="F38" s="5" t="n">
        <v>394230</v>
      </c>
    </row>
    <row r="39">
      <c r="A39" s="5" t="inlineStr">
        <is>
          <t>Equity</t>
        </is>
      </c>
      <c r="B39" s="7" t="n"/>
      <c r="C39" s="7" t="n"/>
      <c r="D39" s="7" t="n"/>
      <c r="E39" s="7" t="n"/>
      <c r="F39" s="7" t="n"/>
    </row>
    <row r="40">
      <c r="A40" s="7" t="inlineStr">
        <is>
          <t>Share capital and share premium account</t>
        </is>
      </c>
      <c r="B40" s="7" t="n">
        <v>21643</v>
      </c>
      <c r="C40" s="7" t="n">
        <v>21643</v>
      </c>
      <c r="D40" s="7" t="n">
        <v>21643</v>
      </c>
      <c r="E40" s="7" t="n">
        <v>22393</v>
      </c>
      <c r="F40" s="7" t="n">
        <v>22393</v>
      </c>
    </row>
    <row r="41">
      <c r="A41" s="7" t="inlineStr">
        <is>
          <t>Other reserves</t>
        </is>
      </c>
      <c r="B41" s="7" t="n">
        <v>-3666</v>
      </c>
      <c r="C41" s="7" t="n">
        <v>-3804</v>
      </c>
      <c r="D41" s="7" t="n">
        <v>-3403</v>
      </c>
      <c r="E41" s="7" t="n">
        <v>-4252</v>
      </c>
      <c r="F41" s="7" t="n">
        <v>-2089</v>
      </c>
    </row>
    <row r="42">
      <c r="A42" s="7" t="inlineStr">
        <is>
          <t>Retained earnings</t>
        </is>
      </c>
      <c r="B42" s="7" t="n">
        <v>7235</v>
      </c>
      <c r="C42" s="7" t="n">
        <v>7421</v>
      </c>
      <c r="D42" s="7" t="n">
        <v>7671</v>
      </c>
      <c r="E42" s="7" t="n">
        <v>8080</v>
      </c>
      <c r="F42" s="7" t="n">
        <v>6594</v>
      </c>
    </row>
    <row r="43">
      <c r="A43" s="5" t="inlineStr">
        <is>
          <t>Total parent company shareholders' equity</t>
        </is>
      </c>
      <c r="B43" s="5" t="n">
        <v>25212</v>
      </c>
      <c r="C43" s="5" t="n">
        <v>25260</v>
      </c>
      <c r="D43" s="5" t="n">
        <v>25911</v>
      </c>
      <c r="E43" s="5" t="n">
        <v>26221</v>
      </c>
      <c r="F43" s="5" t="n">
        <v>26898</v>
      </c>
    </row>
    <row r="44">
      <c r="A44" s="7" t="inlineStr">
        <is>
          <t>Other equity instruments</t>
        </is>
      </c>
      <c r="B44" s="7" t="n">
        <v>5722</v>
      </c>
      <c r="C44" s="7" t="n">
        <v>5722</v>
      </c>
      <c r="D44" s="7" t="n">
        <v>4742</v>
      </c>
      <c r="E44" s="7" t="n">
        <v>4750</v>
      </c>
      <c r="F44" s="7" t="n">
        <v>4749</v>
      </c>
    </row>
    <row r="45">
      <c r="A45" s="5" t="inlineStr">
        <is>
          <t>Total equity</t>
        </is>
      </c>
      <c r="B45" s="5" t="n">
        <v>30934</v>
      </c>
      <c r="C45" s="5" t="n">
        <v>30982</v>
      </c>
      <c r="D45" s="5" t="n">
        <v>30653</v>
      </c>
      <c r="E45" s="5" t="n">
        <v>30971</v>
      </c>
      <c r="F45" s="5" t="n">
        <v>31647</v>
      </c>
    </row>
    <row r="46">
      <c r="A46" s="5" t="inlineStr">
        <is>
          <t>Total equity and liabilities</t>
        </is>
      </c>
      <c r="B46" s="5" t="n">
        <v>441020</v>
      </c>
      <c r="C46" s="5" t="n">
        <v>435691</v>
      </c>
      <c r="D46" s="5" t="n">
        <v>418149</v>
      </c>
      <c r="E46" s="5" t="n">
        <v>435725</v>
      </c>
      <c r="F46" s="5" t="n">
        <v>425877</v>
      </c>
    </row>
    <row r="48" ht="260" customHeight="1">
      <c r="A48" s="8" t="inlineStr">
        <is>
          <t>Statement sources - standalone Standard Chartered Bank Company balance sheet and equity, Group income statement (see note below), $million:
FY2025/FY2024: Directors' Report and Financial Statements 2025, Balance sheets p.86, Cash flow statement p.88, Company statement of changes in equity p.89, Consolidated income statement p.84 - https://www.sc.com/en/uploads/sites/66/content/docs/sc-bank-2025-report.pdf
FY2023/FY2022: Directors' Report and Financial Statements 2023, Consolidated balance sheet p.162, Company statement of changes in equity p.165, Consolidated income statement p.160 - https://www.sc.com/EN/uploads/sites/66/content/docs/sc-bank-2023-annual-report.pdf
FY2021: Directors' Report and Financial Statements 2021, Consolidated balance sheet p.169, Company statement of changes in equity p.172, Consolidated income statement p.167 - https://www.sc.com/EN/uploads/sites/66/content/docs/sc-bank-2021-results.pdf
Entity filing history and identity: Companies House ZC000018 - https://find-and-update.company-information.service.gov.uk/company/ZC000018/filing-history
ENTITY AND BASIS: Standard Chartered Bank (Companies House Royal Charter reference ZC000018, FRN 114276) is incorporated in England with limited liability by Royal Charter 1853. The source reports distinguish Standard Chartered Bank Group (the Bank and subsidiaries) from Standard Chartered Bank Company (the standalone legal entity). All cash-flow rows in this workbook use the Company column only.
Note: 'Retirement benefit schemes in surplus' is only reported as a separate asset line from FY2024 onward; earlier years' reports show only a net retirement benefit obligations/deficit liability. 'Liabilities included in disposal groups held for sale' is only reported from FY2025 (nil in FY2024, not reported as a line at all before that).</t>
        </is>
      </c>
    </row>
  </sheetData>
  <mergeCells count="1">
    <mergeCell ref="A48:F48"/>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31"/>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8" customWidth="1" min="1" max="1"/>
    <col width="15" customWidth="1" min="2" max="2"/>
    <col width="15" customWidth="1" min="3" max="3"/>
    <col width="15" customWidth="1" min="4" max="4"/>
    <col width="15" customWidth="1" min="5" max="5"/>
    <col width="15" customWidth="1" min="6" max="6"/>
  </cols>
  <sheetData>
    <row r="1">
      <c r="A1" s="1" t="inlineStr">
        <is>
          <t>Standard Chartered Bank — Profit &amp; Loss</t>
        </is>
      </c>
    </row>
    <row r="2">
      <c r="A2" s="2" t="inlineStr">
        <is>
          <t>Bank GROUP consolidated income statement, $million - see source note (Company has no standalone P&amp;L).</t>
        </is>
      </c>
    </row>
    <row r="3">
      <c r="A3" s="4" t="inlineStr">
        <is>
          <t>Line item</t>
        </is>
      </c>
      <c r="B3" s="4" t="inlineStr">
        <is>
          <t>FY2025 ($m)</t>
        </is>
      </c>
      <c r="C3" s="4" t="inlineStr">
        <is>
          <t>FY2024 ($m)</t>
        </is>
      </c>
      <c r="D3" s="4" t="inlineStr">
        <is>
          <t>FY2023 ($m)</t>
        </is>
      </c>
      <c r="E3" s="4" t="inlineStr">
        <is>
          <t>FY2022 ($m)</t>
        </is>
      </c>
      <c r="F3" s="4" t="inlineStr">
        <is>
          <t>FY2021 ($m)</t>
        </is>
      </c>
    </row>
    <row r="4">
      <c r="A4" s="5" t="inlineStr">
        <is>
          <t>Income</t>
        </is>
      </c>
      <c r="B4" s="7" t="n"/>
      <c r="C4" s="7" t="n"/>
      <c r="D4" s="7" t="n"/>
      <c r="E4" s="7" t="n"/>
      <c r="F4" s="7" t="n"/>
    </row>
    <row r="5">
      <c r="A5" s="7" t="inlineStr">
        <is>
          <t>Interest income</t>
        </is>
      </c>
      <c r="B5" s="7" t="n">
        <v>16888</v>
      </c>
      <c r="C5" s="7" t="n">
        <v>19310</v>
      </c>
      <c r="D5" s="7" t="n">
        <v>18380</v>
      </c>
      <c r="E5" s="7" t="n">
        <v>9765</v>
      </c>
      <c r="F5" s="7" t="n">
        <v>6185</v>
      </c>
    </row>
    <row r="6">
      <c r="A6" s="7" t="inlineStr">
        <is>
          <t>Interest expense</t>
        </is>
      </c>
      <c r="B6" s="7" t="n">
        <v>-13173</v>
      </c>
      <c r="C6" s="7" t="n">
        <v>-14910</v>
      </c>
      <c r="D6" s="7" t="n">
        <v>-13773</v>
      </c>
      <c r="E6" s="7" t="n">
        <v>-5314</v>
      </c>
      <c r="F6" s="7" t="n">
        <v>-2133</v>
      </c>
    </row>
    <row r="7">
      <c r="A7" s="5" t="inlineStr">
        <is>
          <t>Net interest income</t>
        </is>
      </c>
      <c r="B7" s="5" t="n">
        <v>3715</v>
      </c>
      <c r="C7" s="5" t="n">
        <v>4400</v>
      </c>
      <c r="D7" s="5" t="n">
        <v>4607</v>
      </c>
      <c r="E7" s="5" t="n">
        <v>4451</v>
      </c>
      <c r="F7" s="5" t="n">
        <v>4052</v>
      </c>
    </row>
    <row r="8">
      <c r="A8" s="7" t="inlineStr">
        <is>
          <t>Fees and commission income</t>
        </is>
      </c>
      <c r="B8" s="7" t="n">
        <v>3957</v>
      </c>
      <c r="C8" s="7" t="n">
        <v>3486</v>
      </c>
      <c r="D8" s="7" t="n">
        <v>3094</v>
      </c>
      <c r="E8" s="7" t="n">
        <v>2863</v>
      </c>
      <c r="F8" s="7" t="n">
        <v>2972</v>
      </c>
    </row>
    <row r="9">
      <c r="A9" s="7" t="inlineStr">
        <is>
          <t>Fees and commission expense</t>
        </is>
      </c>
      <c r="B9" s="7" t="n">
        <v>-1031</v>
      </c>
      <c r="C9" s="7" t="n">
        <v>-824</v>
      </c>
      <c r="D9" s="7" t="n">
        <v>-656</v>
      </c>
      <c r="E9" s="7" t="n">
        <v>-709</v>
      </c>
      <c r="F9" s="7" t="n">
        <v>-576</v>
      </c>
    </row>
    <row r="10">
      <c r="A10" s="5" t="inlineStr">
        <is>
          <t>Net fee and commission income</t>
        </is>
      </c>
      <c r="B10" s="5" t="n">
        <v>2926</v>
      </c>
      <c r="C10" s="5" t="n">
        <v>2662</v>
      </c>
      <c r="D10" s="5" t="n">
        <v>2438</v>
      </c>
      <c r="E10" s="5" t="n">
        <v>2154</v>
      </c>
      <c r="F10" s="5" t="n">
        <v>2396</v>
      </c>
    </row>
    <row r="11">
      <c r="A11" s="7" t="inlineStr">
        <is>
          <t>Net trading income</t>
        </is>
      </c>
      <c r="B11" s="7" t="n">
        <v>6185</v>
      </c>
      <c r="C11" s="7" t="n">
        <v>5530</v>
      </c>
      <c r="D11" s="7" t="n">
        <v>4100</v>
      </c>
      <c r="E11" s="7" t="n">
        <v>3743</v>
      </c>
      <c r="F11" s="7" t="n">
        <v>2280</v>
      </c>
    </row>
    <row r="12">
      <c r="A12" s="7" t="inlineStr">
        <is>
          <t>Other operating income</t>
        </is>
      </c>
      <c r="B12" s="7" t="n">
        <v>128</v>
      </c>
      <c r="C12" s="7" t="n">
        <v>-178</v>
      </c>
      <c r="D12" s="7" t="n">
        <v>404</v>
      </c>
      <c r="E12" s="7" t="n">
        <v>-114</v>
      </c>
      <c r="F12" s="7" t="n">
        <v>132</v>
      </c>
    </row>
    <row r="13">
      <c r="A13" s="5" t="inlineStr">
        <is>
          <t>Operating income</t>
        </is>
      </c>
      <c r="B13" s="5" t="n">
        <v>12954</v>
      </c>
      <c r="C13" s="5" t="n">
        <v>12414</v>
      </c>
      <c r="D13" s="5" t="n">
        <v>11549</v>
      </c>
      <c r="E13" s="5" t="n">
        <v>10234</v>
      </c>
      <c r="F13" s="5" t="n">
        <v>8860</v>
      </c>
    </row>
    <row r="14">
      <c r="A14" s="5" t="inlineStr">
        <is>
          <t>Operating expenses</t>
        </is>
      </c>
      <c r="B14" s="7" t="n"/>
      <c r="C14" s="7" t="n"/>
      <c r="D14" s="7" t="n"/>
      <c r="E14" s="7" t="n"/>
      <c r="F14" s="7" t="n"/>
    </row>
    <row r="15">
      <c r="A15" s="7" t="inlineStr">
        <is>
          <t>Staff costs</t>
        </is>
      </c>
      <c r="B15" s="7" t="n">
        <v>-6773</v>
      </c>
      <c r="C15" s="7" t="n">
        <v>-6417</v>
      </c>
      <c r="D15" s="7" t="n">
        <v>-6286</v>
      </c>
      <c r="E15" s="7" t="n">
        <v>-5748</v>
      </c>
      <c r="F15" s="7" t="n">
        <v>-5591</v>
      </c>
    </row>
    <row r="16">
      <c r="A16" s="7" t="inlineStr">
        <is>
          <t>Premises costs</t>
        </is>
      </c>
      <c r="B16" s="7" t="n">
        <v>-267</v>
      </c>
      <c r="C16" s="7" t="n">
        <v>-254</v>
      </c>
      <c r="D16" s="7" t="n">
        <v>-241</v>
      </c>
      <c r="E16" s="7" t="n">
        <v>-228</v>
      </c>
      <c r="F16" s="7" t="n">
        <v>-224</v>
      </c>
    </row>
    <row r="17">
      <c r="A17" s="7" t="inlineStr">
        <is>
          <t>General administrative expenses</t>
        </is>
      </c>
      <c r="B17" s="7" t="n">
        <v>-194</v>
      </c>
      <c r="C17" s="7" t="n">
        <v>-223</v>
      </c>
      <c r="D17" s="7" t="n">
        <v>27</v>
      </c>
      <c r="E17" s="7" t="n">
        <v>-75</v>
      </c>
      <c r="F17" s="7" t="n">
        <v>-71</v>
      </c>
    </row>
    <row r="18">
      <c r="A18" s="7" t="inlineStr">
        <is>
          <t>Depreciation and amortisation</t>
        </is>
      </c>
      <c r="B18" s="7" t="n">
        <v>-721</v>
      </c>
      <c r="C18" s="7" t="n">
        <v>-656</v>
      </c>
      <c r="D18" s="7" t="n">
        <v>-647</v>
      </c>
      <c r="E18" s="7" t="n">
        <v>-611</v>
      </c>
      <c r="F18" s="7" t="n">
        <v>-594</v>
      </c>
    </row>
    <row r="19">
      <c r="A19" s="5" t="inlineStr">
        <is>
          <t>Operating expenses</t>
        </is>
      </c>
      <c r="B19" s="5" t="n">
        <v>-7955</v>
      </c>
      <c r="C19" s="5" t="n">
        <v>-7550</v>
      </c>
      <c r="D19" s="5" t="n">
        <v>-7147</v>
      </c>
      <c r="E19" s="5" t="n">
        <v>-6662</v>
      </c>
      <c r="F19" s="5" t="n">
        <v>-6480</v>
      </c>
    </row>
    <row r="20">
      <c r="A20" s="5" t="inlineStr">
        <is>
          <t>Operating profit before impairment losses and taxation</t>
        </is>
      </c>
      <c r="B20" s="5" t="n">
        <v>4999</v>
      </c>
      <c r="C20" s="5" t="n">
        <v>4864</v>
      </c>
      <c r="D20" s="5" t="n">
        <v>4402</v>
      </c>
      <c r="E20" s="5" t="n">
        <v>3572</v>
      </c>
      <c r="F20" s="5" t="n">
        <v>2380</v>
      </c>
    </row>
    <row r="21">
      <c r="A21" s="7" t="inlineStr">
        <is>
          <t>Credit impairment</t>
        </is>
      </c>
      <c r="B21" s="7" t="n">
        <v>-248</v>
      </c>
      <c r="C21" s="7" t="n">
        <v>-15</v>
      </c>
      <c r="D21" s="7" t="n">
        <v>58</v>
      </c>
      <c r="E21" s="7" t="n">
        <v>22</v>
      </c>
      <c r="F21" s="7" t="n">
        <v>30</v>
      </c>
    </row>
    <row r="22">
      <c r="A22" s="7" t="inlineStr">
        <is>
          <t>Goodwill, property, plant and equipment and other impairment</t>
        </is>
      </c>
      <c r="B22" s="7" t="n">
        <v>-29</v>
      </c>
      <c r="C22" s="7" t="n">
        <v>-410</v>
      </c>
      <c r="D22" s="7" t="n">
        <v>-42</v>
      </c>
      <c r="E22" s="7" t="n">
        <v>-107</v>
      </c>
      <c r="F22" s="7" t="n">
        <v>-30</v>
      </c>
    </row>
    <row r="23">
      <c r="A23" s="7" t="inlineStr">
        <is>
          <t>Profit/(loss) from associates and joint ventures</t>
        </is>
      </c>
      <c r="B23" s="7" t="n">
        <v>2</v>
      </c>
      <c r="C23" s="7" t="n">
        <v>8</v>
      </c>
      <c r="D23" s="7" t="n">
        <v>-4</v>
      </c>
      <c r="E23" s="7" t="n">
        <v>-13</v>
      </c>
      <c r="F23" s="7" t="n">
        <v>1</v>
      </c>
    </row>
    <row r="24">
      <c r="A24" s="5" t="inlineStr">
        <is>
          <t>Profit before taxation</t>
        </is>
      </c>
      <c r="B24" s="5" t="n">
        <v>4724</v>
      </c>
      <c r="C24" s="5" t="n">
        <v>4447</v>
      </c>
      <c r="D24" s="5" t="n">
        <v>4414</v>
      </c>
      <c r="E24" s="5" t="n">
        <v>3474</v>
      </c>
      <c r="F24" s="5" t="n">
        <v>2381</v>
      </c>
    </row>
    <row r="25">
      <c r="A25" s="7" t="inlineStr">
        <is>
          <t>Taxation</t>
        </is>
      </c>
      <c r="B25" s="7" t="n">
        <v>-1314</v>
      </c>
      <c r="C25" s="7" t="n">
        <v>-1465</v>
      </c>
      <c r="D25" s="7" t="n">
        <v>-1177</v>
      </c>
      <c r="E25" s="7" t="n">
        <v>-1122</v>
      </c>
      <c r="F25" s="7" t="n">
        <v>-743</v>
      </c>
    </row>
    <row r="26">
      <c r="A26" s="5" t="inlineStr">
        <is>
          <t>Profit for the year</t>
        </is>
      </c>
      <c r="B26" s="5" t="n">
        <v>3410</v>
      </c>
      <c r="C26" s="5" t="n">
        <v>2982</v>
      </c>
      <c r="D26" s="5" t="n">
        <v>3237</v>
      </c>
      <c r="E26" s="5" t="n">
        <v>2352</v>
      </c>
      <c r="F26" s="5" t="n">
        <v>1638</v>
      </c>
    </row>
    <row r="27">
      <c r="A27" s="5" t="inlineStr">
        <is>
          <t>Other comprehensive income</t>
        </is>
      </c>
      <c r="B27" s="7" t="n"/>
      <c r="C27" s="7" t="n"/>
      <c r="D27" s="7" t="n"/>
      <c r="E27" s="7" t="n"/>
      <c r="F27" s="7" t="n"/>
    </row>
    <row r="28">
      <c r="A28" s="7" t="inlineStr">
        <is>
          <t>Other comprehensive income/(loss), net of taxation</t>
        </is>
      </c>
      <c r="B28" s="7" t="n">
        <v>908</v>
      </c>
      <c r="C28" s="7" t="n">
        <v>-476</v>
      </c>
      <c r="D28" s="7" t="n">
        <v>362</v>
      </c>
      <c r="E28" s="7" t="n">
        <v>-2766</v>
      </c>
      <c r="F28" s="7" t="n">
        <v>-599</v>
      </c>
    </row>
    <row r="29">
      <c r="A29" s="5" t="inlineStr">
        <is>
          <t>Total comprehensive income/(loss) for the year</t>
        </is>
      </c>
      <c r="B29" s="5" t="n">
        <v>4318</v>
      </c>
      <c r="C29" s="5" t="n">
        <v>2506</v>
      </c>
      <c r="D29" s="5" t="n">
        <v>3599</v>
      </c>
      <c r="E29" s="5" t="n">
        <v>-414</v>
      </c>
      <c r="F29" s="5" t="n">
        <v>1039</v>
      </c>
    </row>
    <row r="31" ht="300" customHeight="1">
      <c r="A31" s="8" t="inlineStr">
        <is>
          <t>Statement sources - standalone Standard Chartered Bank Company balance sheet and equity, Group income statement (see note below), $million:
FY2025/FY2024: Directors' Report and Financial Statements 2025, Balance sheets p.86, Cash flow statement p.88, Company statement of changes in equity p.89, Consolidated income statement p.84 - https://www.sc.com/en/uploads/sites/66/content/docs/sc-bank-2025-report.pdf
FY2023/FY2022: Directors' Report and Financial Statements 2023, Consolidated balance sheet p.162, Company statement of changes in equity p.165, Consolidated income statement p.160 - https://www.sc.com/EN/uploads/sites/66/content/docs/sc-bank-2023-annual-report.pdf
FY2021: Directors' Report and Financial Statements 2021, Consolidated balance sheet p.169, Company statement of changes in equity p.172, Consolidated income statement p.167 - https://www.sc.com/EN/uploads/sites/66/content/docs/sc-bank-2021-results.pdf
Entity filing history and identity: Companies House ZC000018 - https://find-and-update.company-information.service.gov.uk/company/ZC000018/filing-history
ENTITY AND BASIS: Standard Chartered Bank (Companies House Royal Charter reference ZC000018, FRN 114276) is incorporated in England with limited liability by Royal Charter 1853. The source reports distinguish Standard Chartered Bank Group (the Bank and subsidiaries) from Standard Chartered Bank Company (the standalone legal entity). All cash-flow rows in this workbook use the Company column only.
The Company has taken advantage of the exemption in section 408 of the Companies Act 2006 not to present its individual income statement/statement of comprehensive income. This Profit &amp; Loss sheet therefore uses the Bank GROUP consolidated income statement (not the Company column used on the Balance Sheet/Equity sheets). The Company's own profit after tax (disclosed as a single figure in each year's balance sheet note) was: FY2025 $2,517m, FY2024 $2,325m, FY2023 $2,585m, FY2022 $2,372m, FY2021 $2,146m - these tie exactly to the 'Profit for the year' rows on the Statement of Changes in Equity sheet (Company basis), confirming the two sheets are internally consistent despite using different consolidation bases.</t>
        </is>
      </c>
    </row>
  </sheetData>
  <mergeCells count="1">
    <mergeCell ref="A31:F31"/>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L53"/>
  <sheetViews>
    <sheetView workbookViewId="0">
      <pane ySplit="4" topLeftCell="A5" activePane="bottomLeft" state="frozen"/>
      <selection pane="bottomLeft" activeCell="A1" sqref="A1"/>
    </sheetView>
  </sheetViews>
  <sheetFormatPr baseColWidth="8" defaultRowHeight="15"/>
  <cols>
    <col width="42" customWidth="1" min="1" max="1"/>
    <col width="13"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s>
  <sheetData>
    <row r="1">
      <c r="A1" s="1" t="inlineStr">
        <is>
          <t>Standard Chartered Bank — Statement of Changes in Equity</t>
        </is>
      </c>
    </row>
    <row r="2">
      <c r="A2" s="2" t="inlineStr">
        <is>
          <t>Standalone Bank Company column, chronological, $million.</t>
        </is>
      </c>
    </row>
    <row r="3">
      <c r="A3" s="4" t="inlineStr">
        <is>
          <t>Movement</t>
        </is>
      </c>
      <c r="B3" s="4" t="inlineStr">
        <is>
          <t>Share capital and share premium account</t>
        </is>
      </c>
      <c r="C3" s="4" t="inlineStr">
        <is>
          <t>Capital and merger reserves</t>
        </is>
      </c>
      <c r="D3" s="4" t="inlineStr">
        <is>
          <t>Own credit adjustment reserve</t>
        </is>
      </c>
      <c r="E3" s="4" t="inlineStr">
        <is>
          <t>FVOCI reserve - debt</t>
        </is>
      </c>
      <c r="F3" s="4" t="inlineStr">
        <is>
          <t>FVOCI reserve - equity</t>
        </is>
      </c>
      <c r="G3" s="4" t="inlineStr">
        <is>
          <t>Cash flow hedge reserve</t>
        </is>
      </c>
      <c r="H3" s="4" t="inlineStr">
        <is>
          <t>Translation reserve</t>
        </is>
      </c>
      <c r="I3" s="4" t="inlineStr">
        <is>
          <t>Retained earnings</t>
        </is>
      </c>
      <c r="J3" s="4" t="inlineStr">
        <is>
          <t>Parent company shareholders' equity</t>
        </is>
      </c>
      <c r="K3" s="4" t="inlineStr">
        <is>
          <t>Other equity instruments</t>
        </is>
      </c>
      <c r="L3" s="4" t="inlineStr">
        <is>
          <t>Total equity</t>
        </is>
      </c>
    </row>
    <row r="4">
      <c r="A4" s="5" t="inlineStr">
        <is>
          <t>Balance at 1 January 2021</t>
        </is>
      </c>
      <c r="B4" s="5" t="n">
        <v>20820</v>
      </c>
      <c r="C4" s="5" t="n">
        <v>40</v>
      </c>
      <c r="D4" s="5" t="n">
        <v>27</v>
      </c>
      <c r="E4" s="5" t="n">
        <v>28</v>
      </c>
      <c r="F4" s="5" t="n">
        <v>65</v>
      </c>
      <c r="G4" s="5" t="n">
        <v>-27</v>
      </c>
      <c r="H4" s="5" t="n">
        <v>-2039</v>
      </c>
      <c r="I4" s="5" t="n">
        <v>6881</v>
      </c>
      <c r="J4" s="5" t="n">
        <v>25795</v>
      </c>
      <c r="K4" s="5" t="n">
        <v>5000</v>
      </c>
      <c r="L4" s="5" t="n">
        <v>30795</v>
      </c>
    </row>
    <row r="5">
      <c r="A5" s="7" t="inlineStr">
        <is>
          <t>Loss for the year</t>
        </is>
      </c>
      <c r="B5" s="7" t="n"/>
      <c r="C5" s="7" t="n"/>
      <c r="D5" s="7" t="n"/>
      <c r="E5" s="7" t="n"/>
      <c r="F5" s="7" t="n"/>
      <c r="G5" s="7" t="n"/>
      <c r="H5" s="7" t="n"/>
      <c r="I5" s="7" t="n">
        <v>-141</v>
      </c>
      <c r="J5" s="7" t="n">
        <v>-141</v>
      </c>
      <c r="K5" s="7" t="n"/>
      <c r="L5" s="7" t="n">
        <v>-141</v>
      </c>
    </row>
    <row r="6">
      <c r="A6" s="7" t="inlineStr">
        <is>
          <t>Other comprehensive income, net of tax</t>
        </is>
      </c>
      <c r="B6" s="7" t="n"/>
      <c r="C6" s="7" t="n"/>
      <c r="D6" s="7" t="n">
        <v>-52</v>
      </c>
      <c r="E6" s="7" t="n">
        <v>140</v>
      </c>
      <c r="F6" s="7" t="n">
        <v>11</v>
      </c>
      <c r="G6" s="7" t="n">
        <v>-5</v>
      </c>
      <c r="H6" s="7" t="n">
        <v>-56</v>
      </c>
      <c r="I6" s="7" t="n">
        <v>-4</v>
      </c>
      <c r="J6" s="7" t="n">
        <v>34</v>
      </c>
      <c r="K6" s="7" t="n"/>
      <c r="L6" s="7" t="n">
        <v>34</v>
      </c>
    </row>
    <row r="7">
      <c r="A7" s="7" t="inlineStr">
        <is>
          <t>Shares issued, net of expenses</t>
        </is>
      </c>
      <c r="B7" s="7" t="n">
        <v>300</v>
      </c>
      <c r="C7" s="7" t="n"/>
      <c r="D7" s="7" t="n"/>
      <c r="E7" s="7" t="n"/>
      <c r="F7" s="7" t="n"/>
      <c r="G7" s="7" t="n"/>
      <c r="H7" s="7" t="n"/>
      <c r="I7" s="7" t="n"/>
      <c r="J7" s="7" t="n">
        <v>300</v>
      </c>
      <c r="K7" s="7" t="n"/>
      <c r="L7" s="7" t="n">
        <v>300</v>
      </c>
    </row>
    <row r="8">
      <c r="A8" s="7" t="inlineStr">
        <is>
          <t>Redemption of other equity instruments</t>
        </is>
      </c>
      <c r="B8" s="7" t="n"/>
      <c r="C8" s="7" t="n"/>
      <c r="D8" s="7" t="n"/>
      <c r="E8" s="7" t="n"/>
      <c r="F8" s="7" t="n"/>
      <c r="G8" s="7" t="n"/>
      <c r="H8" s="7" t="n"/>
      <c r="I8" s="7" t="n"/>
      <c r="J8" s="7" t="n"/>
      <c r="K8" s="7" t="n">
        <v>-2000</v>
      </c>
      <c r="L8" s="7" t="n">
        <v>-2000</v>
      </c>
    </row>
    <row r="9">
      <c r="A9" s="7" t="inlineStr">
        <is>
          <t>Share option expenses</t>
        </is>
      </c>
      <c r="B9" s="7" t="n"/>
      <c r="C9" s="7" t="n"/>
      <c r="D9" s="7" t="n"/>
      <c r="E9" s="7" t="n"/>
      <c r="F9" s="7" t="n"/>
      <c r="G9" s="7" t="n"/>
      <c r="H9" s="7" t="n"/>
      <c r="I9" s="7" t="n">
        <v>76</v>
      </c>
      <c r="J9" s="7" t="n">
        <v>76</v>
      </c>
      <c r="K9" s="7" t="n"/>
      <c r="L9" s="7" t="n">
        <v>76</v>
      </c>
    </row>
    <row r="10">
      <c r="A10" s="7" t="inlineStr">
        <is>
          <t>Dividends on preference shares and AT1 securities</t>
        </is>
      </c>
      <c r="B10" s="7" t="n"/>
      <c r="C10" s="7" t="n"/>
      <c r="D10" s="7" t="n"/>
      <c r="E10" s="7" t="n"/>
      <c r="F10" s="7" t="n"/>
      <c r="G10" s="7" t="n"/>
      <c r="H10" s="7" t="n"/>
      <c r="I10" s="7" t="n">
        <v>-458</v>
      </c>
      <c r="J10" s="7" t="n">
        <v>-458</v>
      </c>
      <c r="K10" s="7" t="n"/>
      <c r="L10" s="7" t="n">
        <v>-458</v>
      </c>
    </row>
    <row r="11">
      <c r="A11" s="7" t="inlineStr">
        <is>
          <t>Deemed distribution to parent</t>
        </is>
      </c>
      <c r="B11" s="7" t="n"/>
      <c r="C11" s="7" t="n"/>
      <c r="D11" s="7" t="n"/>
      <c r="E11" s="7" t="n"/>
      <c r="F11" s="7" t="n"/>
      <c r="G11" s="7" t="n"/>
      <c r="H11" s="7" t="n"/>
      <c r="I11" s="7" t="n">
        <v>-65</v>
      </c>
      <c r="J11" s="7" t="n">
        <v>-65</v>
      </c>
      <c r="K11" s="7" t="n"/>
      <c r="L11" s="7" t="n">
        <v>-65</v>
      </c>
    </row>
    <row r="12">
      <c r="A12" s="7" t="inlineStr">
        <is>
          <t>Other movements (FX reclass)</t>
        </is>
      </c>
      <c r="B12" s="7" t="n"/>
      <c r="C12" s="7" t="n"/>
      <c r="D12" s="7" t="n"/>
      <c r="E12" s="7" t="n"/>
      <c r="F12" s="7" t="n"/>
      <c r="G12" s="7" t="n"/>
      <c r="H12" s="7" t="n">
        <v>132</v>
      </c>
      <c r="I12" s="7" t="n">
        <v>-132</v>
      </c>
      <c r="J12" s="7" t="n"/>
      <c r="K12" s="7" t="n"/>
      <c r="L12" s="7" t="n"/>
    </row>
    <row r="13">
      <c r="A13" s="5" t="inlineStr">
        <is>
          <t>Balance at 31 December 2021</t>
        </is>
      </c>
      <c r="B13" s="5" t="n">
        <v>21120</v>
      </c>
      <c r="C13" s="5" t="n">
        <v>40</v>
      </c>
      <c r="D13" s="5" t="n">
        <v>-25</v>
      </c>
      <c r="E13" s="5" t="n">
        <v>168</v>
      </c>
      <c r="F13" s="5" t="n">
        <v>76</v>
      </c>
      <c r="G13" s="5" t="n">
        <v>-32</v>
      </c>
      <c r="H13" s="5" t="n">
        <v>-1963</v>
      </c>
      <c r="I13" s="5" t="n">
        <v>6157</v>
      </c>
      <c r="J13" s="5" t="n">
        <v>25541</v>
      </c>
      <c r="K13" s="5" t="n">
        <v>3000</v>
      </c>
      <c r="L13" s="5" t="n">
        <v>28541</v>
      </c>
    </row>
    <row r="14">
      <c r="A14" s="7" t="inlineStr">
        <is>
          <t>Profit for the year</t>
        </is>
      </c>
      <c r="B14" s="7" t="n"/>
      <c r="C14" s="7" t="n"/>
      <c r="D14" s="7" t="n"/>
      <c r="E14" s="7" t="n"/>
      <c r="F14" s="7" t="n"/>
      <c r="G14" s="7" t="n"/>
      <c r="H14" s="7" t="n"/>
      <c r="I14" s="7" t="n">
        <v>2146</v>
      </c>
      <c r="J14" s="7" t="n">
        <v>2146</v>
      </c>
      <c r="K14" s="7" t="n"/>
      <c r="L14" s="7" t="n">
        <v>2146</v>
      </c>
    </row>
    <row r="15">
      <c r="A15" s="7" t="inlineStr">
        <is>
          <t>Other comprehensive income/(loss), net of tax</t>
        </is>
      </c>
      <c r="B15" s="7" t="n"/>
      <c r="C15" s="7" t="n"/>
      <c r="D15" s="7" t="n">
        <v>26</v>
      </c>
      <c r="E15" s="7" t="n">
        <v>-258</v>
      </c>
      <c r="F15" s="7" t="n">
        <v>72</v>
      </c>
      <c r="G15" s="7" t="n">
        <v>-7</v>
      </c>
      <c r="H15" s="7" t="n">
        <v>-186</v>
      </c>
      <c r="I15" s="7" t="n">
        <v>146</v>
      </c>
      <c r="J15" s="7" t="n">
        <v>-207</v>
      </c>
      <c r="K15" s="7" t="n"/>
      <c r="L15" s="7" t="n">
        <v>-207</v>
      </c>
    </row>
    <row r="16">
      <c r="A16" s="7" t="inlineStr">
        <is>
          <t>Shares issued, net of expenses</t>
        </is>
      </c>
      <c r="B16" s="7" t="n">
        <v>1273</v>
      </c>
      <c r="C16" s="7" t="n"/>
      <c r="D16" s="7" t="n"/>
      <c r="E16" s="7" t="n"/>
      <c r="F16" s="7" t="n"/>
      <c r="G16" s="7" t="n"/>
      <c r="H16" s="7" t="n"/>
      <c r="I16" s="7" t="n"/>
      <c r="J16" s="7" t="n">
        <v>1273</v>
      </c>
      <c r="K16" s="7" t="n"/>
      <c r="L16" s="7" t="n">
        <v>1273</v>
      </c>
    </row>
    <row r="17">
      <c r="A17" s="7" t="inlineStr">
        <is>
          <t>Other equity instruments issued, net of expenses</t>
        </is>
      </c>
      <c r="B17" s="7" t="n"/>
      <c r="C17" s="7" t="n"/>
      <c r="D17" s="7" t="n"/>
      <c r="E17" s="7" t="n"/>
      <c r="F17" s="7" t="n"/>
      <c r="G17" s="7" t="n"/>
      <c r="H17" s="7" t="n"/>
      <c r="I17" s="7" t="n"/>
      <c r="J17" s="7" t="n"/>
      <c r="K17" s="7" t="n">
        <v>2750</v>
      </c>
      <c r="L17" s="7" t="n">
        <v>2750</v>
      </c>
    </row>
    <row r="18">
      <c r="A18" s="7" t="inlineStr">
        <is>
          <t>Redemption of other equity instruments</t>
        </is>
      </c>
      <c r="B18" s="7" t="n"/>
      <c r="C18" s="7" t="n"/>
      <c r="D18" s="7" t="n"/>
      <c r="E18" s="7" t="n"/>
      <c r="F18" s="7" t="n"/>
      <c r="G18" s="7" t="n"/>
      <c r="H18" s="7" t="n"/>
      <c r="I18" s="7" t="n">
        <v>-41</v>
      </c>
      <c r="J18" s="7" t="n">
        <v>-41</v>
      </c>
      <c r="K18" s="7" t="n">
        <v>-1001</v>
      </c>
      <c r="L18" s="7" t="n">
        <v>-1042</v>
      </c>
    </row>
    <row r="19">
      <c r="A19" s="7" t="inlineStr">
        <is>
          <t>Share option expenses</t>
        </is>
      </c>
      <c r="B19" s="7" t="n"/>
      <c r="C19" s="7" t="n"/>
      <c r="D19" s="7" t="n"/>
      <c r="E19" s="7" t="n"/>
      <c r="F19" s="7" t="n"/>
      <c r="G19" s="7" t="n"/>
      <c r="H19" s="7" t="n"/>
      <c r="I19" s="7" t="n">
        <v>86</v>
      </c>
      <c r="J19" s="7" t="n">
        <v>86</v>
      </c>
      <c r="K19" s="7" t="n"/>
      <c r="L19" s="7" t="n">
        <v>86</v>
      </c>
    </row>
    <row r="20">
      <c r="A20" s="7" t="inlineStr">
        <is>
          <t>Dividends on ordinary shares</t>
        </is>
      </c>
      <c r="B20" s="7" t="n"/>
      <c r="C20" s="7" t="n"/>
      <c r="D20" s="7" t="n"/>
      <c r="E20" s="7" t="n"/>
      <c r="F20" s="7" t="n"/>
      <c r="G20" s="7" t="n"/>
      <c r="H20" s="7" t="n"/>
      <c r="I20" s="7" t="n">
        <v>-1511</v>
      </c>
      <c r="J20" s="7" t="n">
        <v>-1511</v>
      </c>
      <c r="K20" s="7" t="n"/>
      <c r="L20" s="7" t="n">
        <v>-1511</v>
      </c>
    </row>
    <row r="21">
      <c r="A21" s="7" t="inlineStr">
        <is>
          <t>Dividends on preference shares and AT1 securities</t>
        </is>
      </c>
      <c r="B21" s="7" t="n"/>
      <c r="C21" s="7" t="n"/>
      <c r="D21" s="7" t="n"/>
      <c r="E21" s="7" t="n"/>
      <c r="F21" s="7" t="n"/>
      <c r="G21" s="7" t="n"/>
      <c r="H21" s="7" t="n"/>
      <c r="I21" s="7" t="n">
        <v>-292</v>
      </c>
      <c r="J21" s="7" t="n">
        <v>-292</v>
      </c>
      <c r="K21" s="7" t="n"/>
      <c r="L21" s="7" t="n">
        <v>-292</v>
      </c>
    </row>
    <row r="22">
      <c r="A22" s="7" t="inlineStr">
        <is>
          <t>Deemed distribution to parent</t>
        </is>
      </c>
      <c r="B22" s="7" t="n"/>
      <c r="C22" s="7" t="n"/>
      <c r="D22" s="7" t="n"/>
      <c r="E22" s="7" t="n"/>
      <c r="F22" s="7" t="n"/>
      <c r="G22" s="7" t="n"/>
      <c r="H22" s="7" t="n"/>
      <c r="I22" s="7" t="n">
        <v>-85</v>
      </c>
      <c r="J22" s="7" t="n">
        <v>-85</v>
      </c>
      <c r="K22" s="7" t="n"/>
      <c r="L22" s="7" t="n">
        <v>-85</v>
      </c>
    </row>
    <row r="23">
      <c r="A23" s="7" t="inlineStr">
        <is>
          <t>Other movements</t>
        </is>
      </c>
      <c r="B23" s="7" t="n"/>
      <c r="C23" s="7" t="n"/>
      <c r="D23" s="7" t="n"/>
      <c r="E23" s="7" t="n"/>
      <c r="F23" s="7" t="n"/>
      <c r="G23" s="7" t="n"/>
      <c r="H23" s="7" t="n"/>
      <c r="I23" s="7" t="n">
        <v>-12</v>
      </c>
      <c r="J23" s="7" t="n">
        <v>-12</v>
      </c>
      <c r="K23" s="7" t="n"/>
      <c r="L23" s="7" t="n">
        <v>-12</v>
      </c>
    </row>
    <row r="24">
      <c r="A24" s="5" t="inlineStr">
        <is>
          <t>Balance at 31 December 2022</t>
        </is>
      </c>
      <c r="B24" s="5" t="n">
        <v>22393</v>
      </c>
      <c r="C24" s="5" t="n">
        <v>40</v>
      </c>
      <c r="D24" s="5" t="n">
        <v>-24</v>
      </c>
      <c r="E24" s="5" t="n">
        <v>-1040</v>
      </c>
      <c r="F24" s="5" t="n">
        <v>147</v>
      </c>
      <c r="G24" s="5" t="n">
        <v>-522</v>
      </c>
      <c r="H24" s="5" t="n">
        <v>-2853</v>
      </c>
      <c r="I24" s="5" t="n">
        <v>8080</v>
      </c>
      <c r="J24" s="5" t="n">
        <v>26221</v>
      </c>
      <c r="K24" s="5" t="n">
        <v>4750</v>
      </c>
      <c r="L24" s="5" t="n">
        <v>30971</v>
      </c>
    </row>
    <row r="25">
      <c r="A25" s="7" t="inlineStr">
        <is>
          <t>Profit for the year</t>
        </is>
      </c>
      <c r="B25" s="7" t="n"/>
      <c r="C25" s="7" t="n"/>
      <c r="D25" s="7" t="n"/>
      <c r="E25" s="7" t="n"/>
      <c r="F25" s="7" t="n"/>
      <c r="G25" s="7" t="n"/>
      <c r="H25" s="7" t="n"/>
      <c r="I25" s="7" t="n">
        <v>2585</v>
      </c>
      <c r="J25" s="7" t="n">
        <v>2585</v>
      </c>
      <c r="K25" s="7" t="n"/>
      <c r="L25" s="7" t="n">
        <v>2585</v>
      </c>
    </row>
    <row r="26">
      <c r="A26" s="7" t="inlineStr">
        <is>
          <t>Other comprehensive income/(loss), net of tax</t>
        </is>
      </c>
      <c r="B26" s="7" t="n"/>
      <c r="C26" s="7" t="n"/>
      <c r="D26" s="7" t="n">
        <v>73</v>
      </c>
      <c r="E26" s="7" t="n">
        <v>324</v>
      </c>
      <c r="F26" s="7" t="n">
        <v>67</v>
      </c>
      <c r="G26" s="7" t="n">
        <v>471</v>
      </c>
      <c r="H26" s="7" t="n">
        <v>-86</v>
      </c>
      <c r="I26" s="7" t="n">
        <v>-21</v>
      </c>
      <c r="J26" s="7" t="n">
        <v>828</v>
      </c>
      <c r="K26" s="7" t="n"/>
      <c r="L26" s="7" t="n">
        <v>828</v>
      </c>
    </row>
    <row r="27">
      <c r="A27" s="7" t="inlineStr">
        <is>
          <t>Other equity instruments issued, net of expenses</t>
        </is>
      </c>
      <c r="B27" s="7" t="n"/>
      <c r="C27" s="7" t="n"/>
      <c r="D27" s="7" t="n"/>
      <c r="E27" s="7" t="n"/>
      <c r="F27" s="7" t="n"/>
      <c r="G27" s="7" t="n"/>
      <c r="H27" s="7" t="n"/>
      <c r="I27" s="7" t="n"/>
      <c r="J27" s="7" t="n"/>
      <c r="K27" s="7" t="n">
        <v>992</v>
      </c>
      <c r="L27" s="7" t="n">
        <v>992</v>
      </c>
    </row>
    <row r="28">
      <c r="A28" s="7" t="inlineStr">
        <is>
          <t>Redemption of other equity instruments</t>
        </is>
      </c>
      <c r="B28" s="7" t="n"/>
      <c r="C28" s="7" t="n"/>
      <c r="D28" s="7" t="n"/>
      <c r="E28" s="7" t="n"/>
      <c r="F28" s="7" t="n"/>
      <c r="G28" s="7" t="n"/>
      <c r="H28" s="7" t="n"/>
      <c r="I28" s="7" t="n"/>
      <c r="J28" s="7" t="n"/>
      <c r="K28" s="7" t="n">
        <v>-1000</v>
      </c>
      <c r="L28" s="7" t="n">
        <v>-1000</v>
      </c>
    </row>
    <row r="29">
      <c r="A29" s="7" t="inlineStr">
        <is>
          <t>Share option expenses</t>
        </is>
      </c>
      <c r="B29" s="7" t="n"/>
      <c r="C29" s="7" t="n"/>
      <c r="D29" s="7" t="n"/>
      <c r="E29" s="7" t="n"/>
      <c r="F29" s="7" t="n"/>
      <c r="G29" s="7" t="n"/>
      <c r="H29" s="7" t="n"/>
      <c r="I29" s="7" t="n">
        <v>114</v>
      </c>
      <c r="J29" s="7" t="n">
        <v>114</v>
      </c>
      <c r="K29" s="7" t="n"/>
      <c r="L29" s="7" t="n">
        <v>114</v>
      </c>
    </row>
    <row r="30">
      <c r="A30" s="7" t="inlineStr">
        <is>
          <t>Dividends on ordinary shares</t>
        </is>
      </c>
      <c r="B30" s="7" t="n"/>
      <c r="C30" s="7" t="n"/>
      <c r="D30" s="7" t="n"/>
      <c r="E30" s="7" t="n"/>
      <c r="F30" s="7" t="n"/>
      <c r="G30" s="7" t="n"/>
      <c r="H30" s="7" t="n"/>
      <c r="I30" s="7" t="n">
        <v>-2599</v>
      </c>
      <c r="J30" s="7" t="n">
        <v>-2599</v>
      </c>
      <c r="K30" s="7" t="n"/>
      <c r="L30" s="7" t="n">
        <v>-2599</v>
      </c>
    </row>
    <row r="31">
      <c r="A31" s="7" t="inlineStr">
        <is>
          <t>Dividends on preference shares and AT1 securities</t>
        </is>
      </c>
      <c r="B31" s="7" t="n"/>
      <c r="C31" s="7" t="n"/>
      <c r="D31" s="7" t="n"/>
      <c r="E31" s="7" t="n"/>
      <c r="F31" s="7" t="n"/>
      <c r="G31" s="7" t="n"/>
      <c r="H31" s="7" t="n"/>
      <c r="I31" s="7" t="n">
        <v>-363</v>
      </c>
      <c r="J31" s="7" t="n">
        <v>-363</v>
      </c>
      <c r="K31" s="7" t="n"/>
      <c r="L31" s="7" t="n">
        <v>-363</v>
      </c>
    </row>
    <row r="32">
      <c r="A32" s="7" t="inlineStr">
        <is>
          <t>Deemed distribution to parent</t>
        </is>
      </c>
      <c r="B32" s="7" t="n"/>
      <c r="C32" s="7" t="n"/>
      <c r="D32" s="7" t="n"/>
      <c r="E32" s="7" t="n"/>
      <c r="F32" s="7" t="n"/>
      <c r="G32" s="7" t="n"/>
      <c r="H32" s="7" t="n"/>
      <c r="I32" s="7" t="n">
        <v>-113</v>
      </c>
      <c r="J32" s="7" t="n">
        <v>-113</v>
      </c>
      <c r="K32" s="7" t="n"/>
      <c r="L32" s="7" t="n">
        <v>-113</v>
      </c>
    </row>
    <row r="33">
      <c r="A33" s="7" t="inlineStr">
        <is>
          <t>Share buyback (preference shares cancelled)</t>
        </is>
      </c>
      <c r="B33" s="7" t="n">
        <v>-750</v>
      </c>
      <c r="C33" s="7" t="n"/>
      <c r="D33" s="7" t="n"/>
      <c r="E33" s="7" t="n"/>
      <c r="F33" s="7" t="n"/>
      <c r="G33" s="7" t="n"/>
      <c r="H33" s="7" t="n"/>
      <c r="I33" s="7" t="n"/>
      <c r="J33" s="7" t="n">
        <v>-750</v>
      </c>
      <c r="K33" s="7" t="n"/>
      <c r="L33" s="7" t="n">
        <v>-750</v>
      </c>
    </row>
    <row r="34">
      <c r="A34" s="7" t="inlineStr">
        <is>
          <t>Other movements</t>
        </is>
      </c>
      <c r="B34" s="7" t="n"/>
      <c r="C34" s="7" t="n"/>
      <c r="D34" s="7" t="n"/>
      <c r="E34" s="7" t="n"/>
      <c r="F34" s="7" t="n"/>
      <c r="G34" s="7" t="n"/>
      <c r="H34" s="7" t="n"/>
      <c r="I34" s="7" t="n">
        <v>-12</v>
      </c>
      <c r="J34" s="7" t="n">
        <v>-12</v>
      </c>
      <c r="K34" s="7" t="n"/>
      <c r="L34" s="7" t="n">
        <v>-12</v>
      </c>
    </row>
    <row r="35">
      <c r="A35" s="5" t="inlineStr">
        <is>
          <t>Balance at 31 December 2023</t>
        </is>
      </c>
      <c r="B35" s="5" t="n">
        <v>21643</v>
      </c>
      <c r="C35" s="5" t="n">
        <v>40</v>
      </c>
      <c r="D35" s="5" t="n">
        <v>49</v>
      </c>
      <c r="E35" s="5" t="n">
        <v>-716</v>
      </c>
      <c r="F35" s="5" t="n">
        <v>214</v>
      </c>
      <c r="G35" s="5" t="n">
        <v>-51</v>
      </c>
      <c r="H35" s="5" t="n">
        <v>-2939</v>
      </c>
      <c r="I35" s="5" t="n">
        <v>7671</v>
      </c>
      <c r="J35" s="5" t="n">
        <v>25911</v>
      </c>
      <c r="K35" s="5" t="n">
        <v>4742</v>
      </c>
      <c r="L35" s="5" t="n">
        <v>30653</v>
      </c>
    </row>
    <row r="36">
      <c r="A36" s="7" t="inlineStr">
        <is>
          <t>Profit for the year</t>
        </is>
      </c>
      <c r="B36" s="7" t="n"/>
      <c r="C36" s="7" t="n"/>
      <c r="D36" s="7" t="n"/>
      <c r="E36" s="7" t="n"/>
      <c r="F36" s="7" t="n"/>
      <c r="G36" s="7" t="n"/>
      <c r="H36" s="7" t="n"/>
      <c r="I36" s="7" t="n">
        <v>2325</v>
      </c>
      <c r="J36" s="7" t="n">
        <v>2325</v>
      </c>
      <c r="K36" s="7" t="n"/>
      <c r="L36" s="7" t="n">
        <v>2325</v>
      </c>
    </row>
    <row r="37">
      <c r="A37" s="7" t="inlineStr">
        <is>
          <t>Other comprehensive (loss)/income, net of tax</t>
        </is>
      </c>
      <c r="B37" s="7" t="n"/>
      <c r="C37" s="7" t="n"/>
      <c r="D37" s="7" t="n">
        <v>-291</v>
      </c>
      <c r="E37" s="7" t="n">
        <v>308</v>
      </c>
      <c r="F37" s="7" t="n">
        <v>-83</v>
      </c>
      <c r="G37" s="7" t="n">
        <v>34</v>
      </c>
      <c r="H37" s="7" t="n">
        <v>-326</v>
      </c>
      <c r="I37" s="7" t="n">
        <v>194</v>
      </c>
      <c r="J37" s="7" t="n">
        <v>-164</v>
      </c>
      <c r="K37" s="7" t="n"/>
      <c r="L37" s="7" t="n">
        <v>-164</v>
      </c>
    </row>
    <row r="38">
      <c r="A38" s="7" t="inlineStr">
        <is>
          <t>Other equity instruments issued, net of expenses</t>
        </is>
      </c>
      <c r="B38" s="7" t="n"/>
      <c r="C38" s="7" t="n"/>
      <c r="D38" s="7" t="n"/>
      <c r="E38" s="7" t="n"/>
      <c r="F38" s="7" t="n"/>
      <c r="G38" s="7" t="n"/>
      <c r="H38" s="7" t="n"/>
      <c r="I38" s="7" t="n"/>
      <c r="J38" s="7" t="n"/>
      <c r="K38" s="7" t="n">
        <v>980</v>
      </c>
      <c r="L38" s="7" t="n">
        <v>980</v>
      </c>
    </row>
    <row r="39">
      <c r="A39" s="7" t="inlineStr">
        <is>
          <t>Share option expenses</t>
        </is>
      </c>
      <c r="B39" s="7" t="n"/>
      <c r="C39" s="7" t="n"/>
      <c r="D39" s="7" t="n"/>
      <c r="E39" s="7" t="n"/>
      <c r="F39" s="7" t="n"/>
      <c r="G39" s="7" t="n"/>
      <c r="H39" s="7" t="n"/>
      <c r="I39" s="7" t="n">
        <v>127</v>
      </c>
      <c r="J39" s="7" t="n">
        <v>127</v>
      </c>
      <c r="K39" s="7" t="n"/>
      <c r="L39" s="7" t="n">
        <v>127</v>
      </c>
    </row>
    <row r="40">
      <c r="A40" s="7" t="inlineStr">
        <is>
          <t>Dividends on ordinary shares</t>
        </is>
      </c>
      <c r="B40" s="7" t="n"/>
      <c r="C40" s="7" t="n"/>
      <c r="D40" s="7" t="n"/>
      <c r="E40" s="7" t="n"/>
      <c r="F40" s="7" t="n"/>
      <c r="G40" s="7" t="n"/>
      <c r="H40" s="7" t="n"/>
      <c r="I40" s="7" t="n">
        <v>-2395</v>
      </c>
      <c r="J40" s="7" t="n">
        <v>-2395</v>
      </c>
      <c r="K40" s="7" t="n"/>
      <c r="L40" s="7" t="n">
        <v>-2395</v>
      </c>
    </row>
    <row r="41">
      <c r="A41" s="7" t="inlineStr">
        <is>
          <t>Dividends on preference shares and AT1 securities</t>
        </is>
      </c>
      <c r="B41" s="7" t="n"/>
      <c r="C41" s="7" t="n"/>
      <c r="D41" s="7" t="n"/>
      <c r="E41" s="7" t="n"/>
      <c r="F41" s="7" t="n"/>
      <c r="G41" s="7" t="n"/>
      <c r="H41" s="7" t="n"/>
      <c r="I41" s="7" t="n">
        <v>-349</v>
      </c>
      <c r="J41" s="7" t="n">
        <v>-349</v>
      </c>
      <c r="K41" s="7" t="n"/>
      <c r="L41" s="7" t="n">
        <v>-349</v>
      </c>
    </row>
    <row r="42">
      <c r="A42" s="7" t="inlineStr">
        <is>
          <t>Deemed distribution to parent</t>
        </is>
      </c>
      <c r="B42" s="7" t="n"/>
      <c r="C42" s="7" t="n"/>
      <c r="D42" s="7" t="n"/>
      <c r="E42" s="7" t="n"/>
      <c r="F42" s="7" t="n"/>
      <c r="G42" s="7" t="n"/>
      <c r="H42" s="7" t="n"/>
      <c r="I42" s="7" t="n">
        <v>-144</v>
      </c>
      <c r="J42" s="7" t="n">
        <v>-144</v>
      </c>
      <c r="K42" s="7" t="n"/>
      <c r="L42" s="7" t="n">
        <v>-144</v>
      </c>
    </row>
    <row r="43">
      <c r="A43" s="7" t="inlineStr">
        <is>
          <t>Other movements</t>
        </is>
      </c>
      <c r="B43" s="7" t="n"/>
      <c r="C43" s="7" t="n"/>
      <c r="D43" s="7" t="n">
        <v>-1</v>
      </c>
      <c r="E43" s="7" t="n">
        <v>7</v>
      </c>
      <c r="F43" s="7" t="n"/>
      <c r="G43" s="7" t="n"/>
      <c r="H43" s="7" t="n">
        <v>-49</v>
      </c>
      <c r="I43" s="7" t="n">
        <v>-8</v>
      </c>
      <c r="J43" s="7" t="n">
        <v>-51</v>
      </c>
      <c r="K43" s="7" t="n"/>
      <c r="L43" s="7" t="n">
        <v>-51</v>
      </c>
    </row>
    <row r="44">
      <c r="A44" s="5" t="inlineStr">
        <is>
          <t>Balance at 31 December 2024</t>
        </is>
      </c>
      <c r="B44" s="5" t="n">
        <v>21643</v>
      </c>
      <c r="C44" s="5" t="n">
        <v>40</v>
      </c>
      <c r="D44" s="5" t="n">
        <v>-243</v>
      </c>
      <c r="E44" s="5" t="n">
        <v>-401</v>
      </c>
      <c r="F44" s="5" t="n">
        <v>131</v>
      </c>
      <c r="G44" s="5" t="n">
        <v>-17</v>
      </c>
      <c r="H44" s="5" t="n">
        <v>-3314</v>
      </c>
      <c r="I44" s="5" t="n">
        <v>7421</v>
      </c>
      <c r="J44" s="5" t="n">
        <v>25260</v>
      </c>
      <c r="K44" s="5" t="n">
        <v>5722</v>
      </c>
      <c r="L44" s="5" t="n">
        <v>30982</v>
      </c>
    </row>
    <row r="45">
      <c r="A45" s="7" t="inlineStr">
        <is>
          <t>Profit for the year</t>
        </is>
      </c>
      <c r="B45" s="7" t="n"/>
      <c r="C45" s="7" t="n"/>
      <c r="D45" s="7" t="n"/>
      <c r="E45" s="7" t="n"/>
      <c r="F45" s="7" t="n"/>
      <c r="G45" s="7" t="n"/>
      <c r="H45" s="7" t="n"/>
      <c r="I45" s="7" t="n">
        <v>2517</v>
      </c>
      <c r="J45" s="7" t="n">
        <v>2517</v>
      </c>
      <c r="K45" s="7" t="n"/>
      <c r="L45" s="7" t="n">
        <v>2517</v>
      </c>
    </row>
    <row r="46">
      <c r="A46" s="7" t="inlineStr">
        <is>
          <t>Other comprehensive (loss)/income, net of tax</t>
        </is>
      </c>
      <c r="B46" s="7" t="n"/>
      <c r="C46" s="7" t="n"/>
      <c r="D46" s="7" t="n">
        <v>-64</v>
      </c>
      <c r="E46" s="7" t="n">
        <v>295</v>
      </c>
      <c r="F46" s="7" t="n">
        <v>-7</v>
      </c>
      <c r="G46" s="7" t="n">
        <v>54</v>
      </c>
      <c r="H46" s="7" t="n">
        <v>-140</v>
      </c>
      <c r="I46" s="7" t="n">
        <v>182</v>
      </c>
      <c r="J46" s="7" t="n">
        <v>156</v>
      </c>
      <c r="K46" s="7" t="n"/>
      <c r="L46" s="7" t="n">
        <v>156</v>
      </c>
    </row>
    <row r="47">
      <c r="A47" s="7" t="inlineStr">
        <is>
          <t>Share option expenses</t>
        </is>
      </c>
      <c r="B47" s="7" t="n"/>
      <c r="C47" s="7" t="n"/>
      <c r="D47" s="7" t="n"/>
      <c r="E47" s="7" t="n"/>
      <c r="F47" s="7" t="n"/>
      <c r="G47" s="7" t="n"/>
      <c r="H47" s="7" t="n"/>
      <c r="I47" s="7" t="n">
        <v>135</v>
      </c>
      <c r="J47" s="7" t="n">
        <v>135</v>
      </c>
      <c r="K47" s="7" t="n"/>
      <c r="L47" s="7" t="n">
        <v>135</v>
      </c>
    </row>
    <row r="48">
      <c r="A48" s="7" t="inlineStr">
        <is>
          <t>Dividends on ordinary shares</t>
        </is>
      </c>
      <c r="B48" s="7" t="n"/>
      <c r="C48" s="7" t="n"/>
      <c r="D48" s="7" t="n"/>
      <c r="E48" s="7" t="n"/>
      <c r="F48" s="7" t="n"/>
      <c r="G48" s="7" t="n"/>
      <c r="H48" s="7" t="n"/>
      <c r="I48" s="7" t="n">
        <v>-2276</v>
      </c>
      <c r="J48" s="7" t="n">
        <v>-2276</v>
      </c>
      <c r="K48" s="7" t="n"/>
      <c r="L48" s="7" t="n">
        <v>-2276</v>
      </c>
    </row>
    <row r="49">
      <c r="A49" s="7" t="inlineStr">
        <is>
          <t>Dividends on preference shares and AT1 securities</t>
        </is>
      </c>
      <c r="B49" s="7" t="n"/>
      <c r="C49" s="7" t="n"/>
      <c r="D49" s="7" t="n"/>
      <c r="E49" s="7" t="n"/>
      <c r="F49" s="7" t="n"/>
      <c r="G49" s="7" t="n"/>
      <c r="H49" s="7" t="n"/>
      <c r="I49" s="7" t="n">
        <v>-389</v>
      </c>
      <c r="J49" s="7" t="n">
        <v>-389</v>
      </c>
      <c r="K49" s="7" t="n"/>
      <c r="L49" s="7" t="n">
        <v>-389</v>
      </c>
    </row>
    <row r="50">
      <c r="A50" s="7" t="inlineStr">
        <is>
          <t>Deemed distribution to parent</t>
        </is>
      </c>
      <c r="B50" s="7" t="n"/>
      <c r="C50" s="7" t="n"/>
      <c r="D50" s="7" t="n"/>
      <c r="E50" s="7" t="n"/>
      <c r="F50" s="7" t="n"/>
      <c r="G50" s="7" t="n"/>
      <c r="H50" s="7" t="n"/>
      <c r="I50" s="7" t="n">
        <v>-191</v>
      </c>
      <c r="J50" s="7" t="n">
        <v>-191</v>
      </c>
      <c r="K50" s="7" t="n"/>
      <c r="L50" s="7" t="n">
        <v>-191</v>
      </c>
    </row>
    <row r="51">
      <c r="A51" s="5" t="inlineStr">
        <is>
          <t>Balance at 31 December 2025</t>
        </is>
      </c>
      <c r="B51" s="5" t="n">
        <v>21643</v>
      </c>
      <c r="C51" s="5" t="n">
        <v>40</v>
      </c>
      <c r="D51" s="5" t="n">
        <v>-307</v>
      </c>
      <c r="E51" s="5" t="n">
        <v>-106</v>
      </c>
      <c r="F51" s="5" t="n">
        <v>124</v>
      </c>
      <c r="G51" s="5" t="n">
        <v>37</v>
      </c>
      <c r="H51" s="5" t="n">
        <v>-3454</v>
      </c>
      <c r="I51" s="5" t="n">
        <v>7235</v>
      </c>
      <c r="J51" s="5" t="n">
        <v>25212</v>
      </c>
      <c r="K51" s="5" t="n">
        <v>5722</v>
      </c>
      <c r="L51" s="5" t="n">
        <v>30934</v>
      </c>
    </row>
    <row r="53" ht="280" customHeight="1">
      <c r="A53" s="8" t="inlineStr">
        <is>
          <t>Statement sources - standalone Standard Chartered Bank Company balance sheet and equity, Group income statement (see note below), $million:
FY2025/FY2024: Directors' Report and Financial Statements 2025, Balance sheets p.86, Cash flow statement p.88, Company statement of changes in equity p.89, Consolidated income statement p.84 - https://www.sc.com/en/uploads/sites/66/content/docs/sc-bank-2025-report.pdf
FY2023/FY2022: Directors' Report and Financial Statements 2023, Consolidated balance sheet p.162, Company statement of changes in equity p.165, Consolidated income statement p.160 - https://www.sc.com/EN/uploads/sites/66/content/docs/sc-bank-2023-annual-report.pdf
FY2021: Directors' Report and Financial Statements 2021, Consolidated balance sheet p.169, Company statement of changes in equity p.172, Consolidated income statement p.167 - https://www.sc.com/EN/uploads/sites/66/content/docs/sc-bank-2021-results.pdf
Entity filing history and identity: Companies House ZC000018 - https://find-and-update.company-information.service.gov.uk/company/ZC000018/filing-history
ENTITY AND BASIS: Standard Chartered Bank (Companies House Royal Charter reference ZC000018, FRN 114276) is incorporated in England with limited liability by Royal Charter 1853. The source reports distinguish Standard Chartered Bank Group (the Bank and subsidiaries) from Standard Chartered Bank Company (the standalone legal entity). All cash-flow rows in this workbook use the Company column only.
Note: FY2025's report combines share capital/premium into a single 'Ordinary' ($20,893m) + 'Preference' ($750m) column pair that were shown as one combined column in earlier reports - the FY2024 closing balance above (21,643) is the sum of both, consistent with prior years' single column. Zero undocumented plug rows: every movement across all 5 years traces to a named line in the source reports (profit for the year, OCI, share/AT1 issuance and redemption, share option expense, dividends, deemed distributions to parent, and the FY2023 preference share buyback/capital reduction) and each year's closing balance ties exactly to that year's own Balance Sheet Total equity.</t>
        </is>
      </c>
    </row>
  </sheetData>
  <mergeCells count="1">
    <mergeCell ref="A53:L53"/>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42"/>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2" customWidth="1" min="1" max="1"/>
    <col width="15" customWidth="1" min="2" max="2"/>
    <col width="15" customWidth="1" min="3" max="3"/>
    <col width="15" customWidth="1" min="4" max="4"/>
    <col width="15" customWidth="1" min="5" max="5"/>
    <col width="15" customWidth="1" min="6" max="6"/>
  </cols>
  <sheetData>
    <row r="1">
      <c r="A1" s="1" t="inlineStr">
        <is>
          <t>Standard Chartered Bank — Cash Flow Statement</t>
        </is>
      </c>
    </row>
    <row r="2">
      <c r="A2" s="2" t="inlineStr">
        <is>
          <t>Standalone Bank Company column, $million; Group figures deliberately excluded.</t>
        </is>
      </c>
    </row>
    <row r="3">
      <c r="A3" s="4" t="inlineStr">
        <is>
          <t>Line item</t>
        </is>
      </c>
      <c r="B3" s="4" t="inlineStr">
        <is>
          <t>FY2025 ($m)</t>
        </is>
      </c>
      <c r="C3" s="4" t="inlineStr">
        <is>
          <t>FY2024 ($m)</t>
        </is>
      </c>
      <c r="D3" s="4" t="inlineStr">
        <is>
          <t>FY2023 ($m)</t>
        </is>
      </c>
      <c r="E3" s="4" t="inlineStr">
        <is>
          <t>FY2022 ($m)</t>
        </is>
      </c>
      <c r="F3" s="4" t="inlineStr">
        <is>
          <t>FY2021 ($m)</t>
        </is>
      </c>
    </row>
    <row r="4">
      <c r="A4" s="5" t="inlineStr">
        <is>
          <t>Cash flows from operating activities</t>
        </is>
      </c>
      <c r="B4" s="7" t="n"/>
      <c r="C4" s="7" t="n"/>
      <c r="D4" s="7" t="n"/>
      <c r="E4" s="7" t="n"/>
      <c r="F4" s="7" t="n"/>
    </row>
    <row r="5">
      <c r="A5" s="7" t="inlineStr">
        <is>
          <t>Profit before taxation</t>
        </is>
      </c>
      <c r="B5" s="7" t="n">
        <v>3245</v>
      </c>
      <c r="C5" s="7" t="n">
        <v>3058</v>
      </c>
      <c r="D5" s="7" t="n">
        <v>3088</v>
      </c>
      <c r="E5" s="7" t="n">
        <v>2996</v>
      </c>
      <c r="F5" s="7" t="n">
        <v>2496</v>
      </c>
    </row>
    <row r="6">
      <c r="A6" s="7" t="inlineStr">
        <is>
          <t>Adjustments for non-cash items and other adjustments</t>
        </is>
      </c>
      <c r="B6" s="7" t="n">
        <v>-429</v>
      </c>
      <c r="C6" s="7" t="n">
        <v>-1</v>
      </c>
      <c r="D6" s="7" t="n">
        <v>-790</v>
      </c>
      <c r="E6" s="7" t="n">
        <v>381</v>
      </c>
      <c r="F6" s="7" t="n">
        <v>-659</v>
      </c>
    </row>
    <row r="7">
      <c r="A7" s="7" t="inlineStr">
        <is>
          <t>Change in operating assets</t>
        </is>
      </c>
      <c r="B7" s="7" t="n">
        <v>273</v>
      </c>
      <c r="C7" s="7" t="n">
        <v>-26161</v>
      </c>
      <c r="D7" s="7" t="n">
        <v>23104</v>
      </c>
      <c r="E7" s="7" t="n">
        <v>-5451</v>
      </c>
      <c r="F7" s="7" t="n">
        <v>-1178</v>
      </c>
    </row>
    <row r="8">
      <c r="A8" s="7" t="inlineStr">
        <is>
          <t>Change in operating liabilities</t>
        </is>
      </c>
      <c r="B8" s="7" t="n">
        <v>11452</v>
      </c>
      <c r="C8" s="7" t="n">
        <v>13864</v>
      </c>
      <c r="D8" s="7" t="n">
        <v>-13891</v>
      </c>
      <c r="E8" s="7" t="n">
        <v>4521</v>
      </c>
      <c r="F8" s="7" t="n">
        <v>18902</v>
      </c>
    </row>
    <row r="9">
      <c r="A9" s="7" t="inlineStr">
        <is>
          <t>Contributions to defined benefit schemes</t>
        </is>
      </c>
      <c r="B9" s="7" t="n">
        <v>-46</v>
      </c>
      <c r="C9" s="7" t="n">
        <v>-39</v>
      </c>
      <c r="D9" s="7" t="n">
        <v>-46</v>
      </c>
      <c r="E9" s="7" t="n">
        <v>-36</v>
      </c>
      <c r="F9" s="7" t="n">
        <v>-82</v>
      </c>
    </row>
    <row r="10">
      <c r="A10" s="7" t="inlineStr">
        <is>
          <t>UK and overseas taxes paid</t>
        </is>
      </c>
      <c r="B10" s="7" t="n">
        <v>-711</v>
      </c>
      <c r="C10" s="7" t="n">
        <v>-720</v>
      </c>
      <c r="D10" s="7" t="n">
        <v>-658</v>
      </c>
      <c r="E10" s="7" t="n">
        <v>-359</v>
      </c>
      <c r="F10" s="7" t="n">
        <v>-274</v>
      </c>
    </row>
    <row r="11">
      <c r="A11" s="5" t="inlineStr">
        <is>
          <t>Net cash from/(used in) operating activities</t>
        </is>
      </c>
      <c r="B11" s="5" t="n">
        <v>13784</v>
      </c>
      <c r="C11" s="5" t="n">
        <v>-9999</v>
      </c>
      <c r="D11" s="5" t="n">
        <v>10807</v>
      </c>
      <c r="E11" s="5" t="n">
        <v>2052</v>
      </c>
      <c r="F11" s="5" t="n">
        <v>19205</v>
      </c>
    </row>
    <row r="12">
      <c r="A12" s="5" t="inlineStr">
        <is>
          <t>Cash flows from investing activities</t>
        </is>
      </c>
      <c r="B12" s="7" t="n"/>
      <c r="C12" s="7" t="n"/>
      <c r="D12" s="7" t="n"/>
      <c r="E12" s="7" t="n"/>
      <c r="F12" s="7" t="n"/>
    </row>
    <row r="13">
      <c r="A13" s="7" t="inlineStr">
        <is>
          <t>Internally generated capitalised software</t>
        </is>
      </c>
      <c r="B13" s="7" t="n">
        <v>-521</v>
      </c>
      <c r="C13" s="7" t="n">
        <v>-246</v>
      </c>
      <c r="D13" s="7" t="n">
        <v>-378</v>
      </c>
      <c r="E13" s="7" t="n">
        <v>-501</v>
      </c>
      <c r="F13" s="7" t="n">
        <v>-503</v>
      </c>
    </row>
    <row r="14">
      <c r="A14" s="7" t="inlineStr">
        <is>
          <t>Purchase of property, plant and equipment</t>
        </is>
      </c>
      <c r="B14" s="7" t="n">
        <v>-149</v>
      </c>
      <c r="C14" s="7" t="n">
        <v>-176</v>
      </c>
      <c r="D14" s="7" t="n">
        <v>-53</v>
      </c>
      <c r="E14" s="7" t="n">
        <v>-59</v>
      </c>
      <c r="F14" s="7" t="n">
        <v>-67</v>
      </c>
    </row>
    <row r="15">
      <c r="A15" s="7" t="inlineStr">
        <is>
          <t>Disposal of property, plant and equipment</t>
        </is>
      </c>
      <c r="B15" s="7" t="n">
        <v>3</v>
      </c>
      <c r="C15" s="7" t="n">
        <v>15</v>
      </c>
      <c r="D15" s="7" t="n">
        <v>1</v>
      </c>
      <c r="E15" s="7" t="n">
        <v>14</v>
      </c>
      <c r="F15" s="7" t="n">
        <v>6</v>
      </c>
    </row>
    <row r="16">
      <c r="A16" s="7" t="inlineStr">
        <is>
          <t>Dividends received from subsidiaries, associates and joint ventures</t>
        </is>
      </c>
      <c r="B16" s="7" t="n">
        <v>1260</v>
      </c>
      <c r="C16" s="7" t="n">
        <v>1052</v>
      </c>
      <c r="D16" s="7" t="n">
        <v>2060</v>
      </c>
      <c r="E16" s="7" t="n">
        <v>1046</v>
      </c>
      <c r="F16" s="7" t="n">
        <v>1626</v>
      </c>
    </row>
    <row r="17">
      <c r="A17" s="7" t="inlineStr">
        <is>
          <t>Disposals of subsidiaries, associates and joint ventures / held-for-sale assets</t>
        </is>
      </c>
      <c r="B17" s="7" t="n">
        <v>0</v>
      </c>
      <c r="C17" s="7" t="n">
        <v>26</v>
      </c>
      <c r="D17" s="7" t="n">
        <v>108</v>
      </c>
      <c r="E17" s="7" t="n">
        <v>0</v>
      </c>
      <c r="F17" s="7" t="n">
        <v>0</v>
      </c>
    </row>
    <row r="18">
      <c r="A18" s="7" t="inlineStr">
        <is>
          <t>Purchase of investment securities</t>
        </is>
      </c>
      <c r="B18" s="7" t="n">
        <v>-68809</v>
      </c>
      <c r="C18" s="7" t="n">
        <v>-84630</v>
      </c>
      <c r="D18" s="7" t="n">
        <v>-91970</v>
      </c>
      <c r="E18" s="7" t="n">
        <v>-114671</v>
      </c>
      <c r="F18" s="7" t="n">
        <v>-131168</v>
      </c>
    </row>
    <row r="19">
      <c r="A19" s="7" t="inlineStr">
        <is>
          <t>Disposal and maturity of investment securities</t>
        </is>
      </c>
      <c r="B19" s="7" t="n">
        <v>72962</v>
      </c>
      <c r="C19" s="7" t="n">
        <v>91907</v>
      </c>
      <c r="D19" s="7" t="n">
        <v>97216</v>
      </c>
      <c r="E19" s="7" t="n">
        <v>98999</v>
      </c>
      <c r="F19" s="7" t="n">
        <v>113905</v>
      </c>
    </row>
    <row r="20">
      <c r="A20" s="5" t="inlineStr">
        <is>
          <t>Net cash from/(used in) investing activities</t>
        </is>
      </c>
      <c r="B20" s="5" t="n">
        <v>4746</v>
      </c>
      <c r="C20" s="5" t="n">
        <v>7948</v>
      </c>
      <c r="D20" s="5" t="n">
        <v>6984</v>
      </c>
      <c r="E20" s="5" t="n">
        <v>-15172</v>
      </c>
      <c r="F20" s="5" t="n">
        <v>-16201</v>
      </c>
    </row>
    <row r="21">
      <c r="A21" s="5" t="inlineStr">
        <is>
          <t>Cash flows from financing activities</t>
        </is>
      </c>
      <c r="B21" s="7" t="n"/>
      <c r="C21" s="7" t="n"/>
      <c r="D21" s="7" t="n"/>
      <c r="E21" s="7" t="n"/>
      <c r="F21" s="7" t="n"/>
    </row>
    <row r="22">
      <c r="A22" s="7" t="inlineStr">
        <is>
          <t>Premises and equipment lease liability principal payment</t>
        </is>
      </c>
      <c r="B22" s="7" t="n">
        <v>-42</v>
      </c>
      <c r="C22" s="7" t="n">
        <v>-43</v>
      </c>
      <c r="D22" s="7" t="n">
        <v>-45</v>
      </c>
      <c r="E22" s="7" t="n">
        <v>-78</v>
      </c>
      <c r="F22" s="7" t="n">
        <v>-72</v>
      </c>
    </row>
    <row r="23">
      <c r="A23" s="7" t="inlineStr">
        <is>
          <t>Issue of ordinary and preference share capital, net of expenses</t>
        </is>
      </c>
      <c r="B23" s="7" t="n">
        <v>0</v>
      </c>
      <c r="C23" s="7" t="n">
        <v>0</v>
      </c>
      <c r="D23" s="7" t="n">
        <v>0</v>
      </c>
      <c r="E23" s="7" t="n">
        <v>0</v>
      </c>
      <c r="F23" s="7" t="n">
        <v>1273</v>
      </c>
    </row>
    <row r="24">
      <c r="A24" s="7" t="inlineStr">
        <is>
          <t>Cancellation of shares including share buyback</t>
        </is>
      </c>
      <c r="B24" s="7" t="n">
        <v>0</v>
      </c>
      <c r="C24" s="7" t="n">
        <v>0</v>
      </c>
      <c r="D24" s="7" t="n">
        <v>-750</v>
      </c>
      <c r="E24" s="7" t="n">
        <v>0</v>
      </c>
      <c r="F24" s="7" t="n">
        <v>0</v>
      </c>
    </row>
    <row r="25">
      <c r="A25" s="7" t="inlineStr">
        <is>
          <t>Issue of Additional Tier 1 capital, net of expenses</t>
        </is>
      </c>
      <c r="B25" s="7" t="n">
        <v>0</v>
      </c>
      <c r="C25" s="7" t="n">
        <v>980</v>
      </c>
      <c r="D25" s="7" t="n">
        <v>992</v>
      </c>
      <c r="E25" s="7" t="n">
        <v>1000</v>
      </c>
      <c r="F25" s="7" t="n">
        <v>2750</v>
      </c>
    </row>
    <row r="26">
      <c r="A26" s="7" t="inlineStr">
        <is>
          <t>Redemption of Tier 1 capital</t>
        </is>
      </c>
      <c r="B26" s="7" t="n">
        <v>0</v>
      </c>
      <c r="C26" s="7" t="n">
        <v>0</v>
      </c>
      <c r="D26" s="7" t="n">
        <v>-1000</v>
      </c>
      <c r="E26" s="7" t="n">
        <v>-999</v>
      </c>
      <c r="F26" s="7" t="n">
        <v>-1042</v>
      </c>
    </row>
    <row r="27">
      <c r="A27" s="7" t="inlineStr">
        <is>
          <t>Gross proceeds from issue of subordinated liabilities</t>
        </is>
      </c>
      <c r="B27" s="7" t="n">
        <v>0</v>
      </c>
      <c r="C27" s="7" t="n">
        <v>0</v>
      </c>
      <c r="D27" s="7" t="n">
        <v>0</v>
      </c>
      <c r="E27" s="7" t="n">
        <v>750</v>
      </c>
      <c r="F27" s="7" t="n">
        <v>0</v>
      </c>
    </row>
    <row r="28">
      <c r="A28" s="7" t="inlineStr">
        <is>
          <t>Interest paid on subordinated liabilities</t>
        </is>
      </c>
      <c r="B28" s="7" t="n">
        <v>-492</v>
      </c>
      <c r="C28" s="7" t="n">
        <v>-528</v>
      </c>
      <c r="D28" s="7" t="n">
        <v>-583</v>
      </c>
      <c r="E28" s="7" t="n">
        <v>-378</v>
      </c>
      <c r="F28" s="7" t="n">
        <v>-456</v>
      </c>
    </row>
    <row r="29">
      <c r="A29" s="7" t="inlineStr">
        <is>
          <t>Repayment of subordinated liabilities</t>
        </is>
      </c>
      <c r="B29" s="7" t="n">
        <v>-2173</v>
      </c>
      <c r="C29" s="7" t="n">
        <v>-1000</v>
      </c>
      <c r="D29" s="7" t="n">
        <v>-2160</v>
      </c>
      <c r="E29" s="7" t="n">
        <v>-1008</v>
      </c>
      <c r="F29" s="7" t="n">
        <v>-16</v>
      </c>
    </row>
    <row r="30">
      <c r="A30" s="7" t="inlineStr">
        <is>
          <t>Proceeds from issue of senior debts</t>
        </is>
      </c>
      <c r="B30" s="7" t="n">
        <v>2455</v>
      </c>
      <c r="C30" s="7" t="n">
        <v>3114</v>
      </c>
      <c r="D30" s="7" t="n">
        <v>4820</v>
      </c>
      <c r="E30" s="7" t="n">
        <v>4091</v>
      </c>
      <c r="F30" s="7" t="n">
        <v>660</v>
      </c>
    </row>
    <row r="31">
      <c r="A31" s="7" t="inlineStr">
        <is>
          <t>Repayment of senior debts</t>
        </is>
      </c>
      <c r="B31" s="7" t="n">
        <v>-3986</v>
      </c>
      <c r="C31" s="7" t="n">
        <v>-2471</v>
      </c>
      <c r="D31" s="7" t="n">
        <v>-1806</v>
      </c>
      <c r="E31" s="7" t="n">
        <v>-298</v>
      </c>
      <c r="F31" s="7" t="n">
        <v>-422</v>
      </c>
    </row>
    <row r="32">
      <c r="A32" s="7" t="inlineStr">
        <is>
          <t>Interest paid on senior debts</t>
        </is>
      </c>
      <c r="B32" s="7" t="n">
        <v>-374</v>
      </c>
      <c r="C32" s="7" t="n">
        <v>-282</v>
      </c>
      <c r="D32" s="7" t="n">
        <v>-235</v>
      </c>
      <c r="E32" s="7" t="n">
        <v>-1</v>
      </c>
      <c r="F32" s="7" t="n">
        <v>-16</v>
      </c>
    </row>
    <row r="33">
      <c r="A33" s="7" t="inlineStr">
        <is>
          <t>Distributions and dividends paid to preference shareholders and AT1 securities</t>
        </is>
      </c>
      <c r="B33" s="7" t="n">
        <v>-389</v>
      </c>
      <c r="C33" s="7" t="n">
        <v>-349</v>
      </c>
      <c r="D33" s="7" t="n">
        <v>-363</v>
      </c>
      <c r="E33" s="7" t="n">
        <v>-311</v>
      </c>
      <c r="F33" s="7" t="n">
        <v>-292</v>
      </c>
    </row>
    <row r="34">
      <c r="A34" s="7" t="inlineStr">
        <is>
          <t>Dividends paid to ordinary shareholders</t>
        </is>
      </c>
      <c r="B34" s="7" t="n">
        <v>-2276</v>
      </c>
      <c r="C34" s="7" t="n">
        <v>-2395</v>
      </c>
      <c r="D34" s="7" t="n">
        <v>-2599</v>
      </c>
      <c r="E34" s="7" t="n">
        <v>-575</v>
      </c>
      <c r="F34" s="7" t="n">
        <v>-1511</v>
      </c>
    </row>
    <row r="35">
      <c r="A35" s="5" t="inlineStr">
        <is>
          <t>Net cash used in financing activities</t>
        </is>
      </c>
      <c r="B35" s="5" t="n">
        <v>-7277</v>
      </c>
      <c r="C35" s="5" t="n">
        <v>-2974</v>
      </c>
      <c r="D35" s="5" t="n">
        <v>-3729</v>
      </c>
      <c r="E35" s="5" t="n">
        <v>2193</v>
      </c>
      <c r="F35" s="5" t="n">
        <v>856</v>
      </c>
    </row>
    <row r="36">
      <c r="A36" s="5" t="inlineStr">
        <is>
          <t>Cash and cash equivalents reconciliation</t>
        </is>
      </c>
      <c r="B36" s="7" t="n"/>
      <c r="C36" s="7" t="n"/>
      <c r="D36" s="7" t="n"/>
      <c r="E36" s="7" t="n"/>
      <c r="F36" s="7" t="n"/>
    </row>
    <row r="37">
      <c r="A37" s="5" t="inlineStr">
        <is>
          <t>Net increase/(decrease) in cash and cash equivalents</t>
        </is>
      </c>
      <c r="B37" s="5" t="n">
        <v>11253</v>
      </c>
      <c r="C37" s="5" t="n">
        <v>-5025</v>
      </c>
      <c r="D37" s="5" t="n">
        <v>14062</v>
      </c>
      <c r="E37" s="5" t="n">
        <v>-10927</v>
      </c>
      <c r="F37" s="5" t="n">
        <v>3860</v>
      </c>
    </row>
    <row r="38">
      <c r="A38" s="5" t="inlineStr">
        <is>
          <t>Cash and cash equivalents at beginning of year</t>
        </is>
      </c>
      <c r="B38" s="5" t="n">
        <v>48101</v>
      </c>
      <c r="C38" s="5" t="n">
        <v>53988</v>
      </c>
      <c r="D38" s="5" t="n">
        <v>40264</v>
      </c>
      <c r="E38" s="5" t="n">
        <v>59406</v>
      </c>
      <c r="F38" s="5" t="n">
        <v>56151</v>
      </c>
    </row>
    <row r="39">
      <c r="A39" s="7" t="inlineStr">
        <is>
          <t>Effect of exchange rate movements on cash and cash equivalents</t>
        </is>
      </c>
      <c r="B39" s="7" t="n">
        <v>-64</v>
      </c>
      <c r="C39" s="7" t="n">
        <v>-862</v>
      </c>
      <c r="D39" s="7" t="n">
        <v>-338</v>
      </c>
      <c r="E39" s="7" t="n">
        <v>-861</v>
      </c>
      <c r="F39" s="7" t="n">
        <v>-605</v>
      </c>
    </row>
    <row r="40">
      <c r="A40" s="5" t="inlineStr">
        <is>
          <t>Cash and cash equivalents at end of year</t>
        </is>
      </c>
      <c r="B40" s="5" t="n">
        <v>59290</v>
      </c>
      <c r="C40" s="5" t="n">
        <v>48101</v>
      </c>
      <c r="D40" s="5" t="n">
        <v>53988</v>
      </c>
      <c r="E40" s="5" t="n">
        <v>47618</v>
      </c>
      <c r="F40" s="5" t="n">
        <v>59406</v>
      </c>
    </row>
    <row r="42" ht="260" customHeight="1">
      <c r="A42" s="8" t="inlineStr">
        <is>
          <t>Sources - standalone Standard Chartered Bank Company cash flows, $million:
FY2025: Directors' Report and Financial Statements 2025, cash flow statement p.89 - https://www.sc.com/en/uploads/sites/66/content/docs/sc-bank-2025-report.pdf
FY2024: Directors' Report and Financial Statements 2024, cash flow statement p.89 - https://www.sc.com/en/uploads/sites/66/content/docs/sc-bank-2024-results.pdf
FY2023: Directors' Report and Financial Statements 2023, cash flow statements p.165 - https://www.sc.com/EN/uploads/sites/66/content/docs/sc-bank-2023-annual-report.pdf
FY2022: Directors' Report and Financial Statements 2022, cash flow statements p.172 - https://www.sc.com/en/uploads/sites/66/content/docs/sc-bank-2022-annual-report.pdf
FY2021: Directors' Report and Financial Statements 2021, cash flow statements p.172 - https://www.sc.com/EN/uploads/sites/66/content/docs/sc-bank-2021-results.pdf
Entity filing history and identity: Companies House ZC000018 - https://find-and-update.company-information.service.gov.uk/company/ZC000018/filing-history
ENTITY AND BASIS: Standard Chartered Bank (Companies House Royal Charter reference ZC000018, FRN 114276) is incorporated in England with limited liability by Royal Charter 1853. The source reports distinguish Standard Chartered Bank Group (the Bank and subsidiaries) from Standard Chartered Bank Company (the standalone legal entity). All cash-flow rows in this workbook use the Company column only.
REGULATORY BASIS: no standalone Company KM1 series exists, because the PRA sets this entity's capital requirements on a SOLO-CONSOLIDATED basis - the Company plus four subsidiaries (Standard Chartered Holdings (International) B.V., Standard Chartered Grindlays Pty Limited, SCMB Overseas Limited and Corrasi Covered Bonds LLP). The Pillar 3 metric sheets and the RWA Breakdown sheet in this workbook therefore carry solo-consolidated figures, taken from the solo-consolidation section of Standard Chartered PLC's Pillar 3 reports (added 2026-09-15). Standard Chartered PLC GROUP figures are a different and much larger basis and have NOT been substituted anywhere. The balance sheet, cash flow, equity and asset quality sheets remain on the standalone Company basis, so figures must not be divided across the two.
Note: the FY2023 report restates FY2022 cash-flow comparatives; FY2022 above preserves the FY2022 report's own as-reported Company figures.</t>
        </is>
      </c>
    </row>
  </sheetData>
  <mergeCells count="1">
    <mergeCell ref="A42:F42"/>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18"/>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58" customWidth="1" min="1" max="1"/>
    <col width="15" customWidth="1" min="2" max="2"/>
    <col width="15" customWidth="1" min="3" max="3"/>
    <col width="15" customWidth="1" min="4" max="4"/>
    <col width="15" customWidth="1" min="5" max="5"/>
    <col width="15" customWidth="1" min="6" max="6"/>
  </cols>
  <sheetData>
    <row r="1">
      <c r="A1" s="1" t="inlineStr">
        <is>
          <t>Standard Chartered Bank — Asset Quality</t>
        </is>
      </c>
    </row>
    <row r="2">
      <c r="A2" s="2" t="inlineStr">
        <is>
          <t>Standalone Bank Company column, loans and advances to customers by IFRS 9 stage, $million.</t>
        </is>
      </c>
    </row>
    <row r="3">
      <c r="A3" s="4" t="inlineStr">
        <is>
          <t>Line item</t>
        </is>
      </c>
      <c r="B3" s="4" t="inlineStr">
        <is>
          <t>FY2025 ($m)</t>
        </is>
      </c>
      <c r="C3" s="4" t="inlineStr">
        <is>
          <t>FY2024 ($m)</t>
        </is>
      </c>
      <c r="D3" s="4" t="inlineStr">
        <is>
          <t>FY2023 ($m)</t>
        </is>
      </c>
      <c r="E3" s="4" t="inlineStr">
        <is>
          <t>FY2022 ($m)</t>
        </is>
      </c>
      <c r="F3" s="4" t="inlineStr">
        <is>
          <t>FY2021 ($m)</t>
        </is>
      </c>
    </row>
    <row r="4">
      <c r="A4" s="5" t="inlineStr">
        <is>
          <t>Loans and advances to customers (amortised cost) by IFRS 9 stage</t>
        </is>
      </c>
      <c r="B4" s="7" t="n"/>
      <c r="C4" s="7" t="n"/>
      <c r="D4" s="7" t="n"/>
      <c r="E4" s="7" t="n"/>
      <c r="F4" s="7" t="n"/>
    </row>
    <row r="5">
      <c r="A5" s="7" t="inlineStr">
        <is>
          <t>Stage 1 - gross carrying amount</t>
        </is>
      </c>
      <c r="B5" s="7" t="n">
        <v>75255</v>
      </c>
      <c r="C5" s="7" t="n">
        <v>72697</v>
      </c>
      <c r="D5" s="7" t="n">
        <v>70343</v>
      </c>
      <c r="E5" s="7" t="n">
        <v>73476</v>
      </c>
      <c r="F5" s="7" t="n">
        <v>59760</v>
      </c>
    </row>
    <row r="6">
      <c r="A6" s="7" t="inlineStr">
        <is>
          <t>Stage 1 - expected credit loss</t>
        </is>
      </c>
      <c r="B6" s="7" t="n">
        <v>-124</v>
      </c>
      <c r="C6" s="7" t="n">
        <v>-116</v>
      </c>
      <c r="D6" s="7" t="n">
        <v>-89</v>
      </c>
      <c r="E6" s="7" t="n">
        <v>-148</v>
      </c>
      <c r="F6" s="7" t="n">
        <v>-151</v>
      </c>
    </row>
    <row r="7">
      <c r="A7" s="7" t="inlineStr">
        <is>
          <t>Stage 2 - gross carrying amount</t>
        </is>
      </c>
      <c r="B7" s="7" t="n">
        <v>3817</v>
      </c>
      <c r="C7" s="7" t="n">
        <v>4010</v>
      </c>
      <c r="D7" s="7" t="n">
        <v>4077</v>
      </c>
      <c r="E7" s="7" t="n">
        <v>5296</v>
      </c>
      <c r="F7" s="7" t="n">
        <v>9795</v>
      </c>
    </row>
    <row r="8">
      <c r="A8" s="7" t="inlineStr">
        <is>
          <t>Stage 2 - expected credit loss</t>
        </is>
      </c>
      <c r="B8" s="7" t="n">
        <v>-112</v>
      </c>
      <c r="C8" s="7" t="n">
        <v>-99</v>
      </c>
      <c r="D8" s="7" t="n">
        <v>-80</v>
      </c>
      <c r="E8" s="7" t="n">
        <v>-77</v>
      </c>
      <c r="F8" s="7" t="n">
        <v>-235</v>
      </c>
    </row>
    <row r="9">
      <c r="A9" s="7" t="inlineStr">
        <is>
          <t>Stage 3 - gross carrying amount (credit-impaired)</t>
        </is>
      </c>
      <c r="B9" s="7" t="n">
        <v>2697</v>
      </c>
      <c r="C9" s="7" t="n">
        <v>2685</v>
      </c>
      <c r="D9" s="7" t="n">
        <v>3761</v>
      </c>
      <c r="E9" s="7" t="n">
        <v>4685</v>
      </c>
      <c r="F9" s="7" t="n">
        <v>5019</v>
      </c>
    </row>
    <row r="10">
      <c r="A10" s="7" t="inlineStr">
        <is>
          <t>Stage 3 - expected credit loss</t>
        </is>
      </c>
      <c r="B10" s="7" t="n">
        <v>-1442</v>
      </c>
      <c r="C10" s="7" t="n">
        <v>-1580</v>
      </c>
      <c r="D10" s="7" t="n">
        <v>-2129</v>
      </c>
      <c r="E10" s="7" t="n">
        <v>-2621</v>
      </c>
      <c r="F10" s="7" t="n">
        <v>-3027</v>
      </c>
    </row>
    <row r="11">
      <c r="A11" s="5" t="inlineStr">
        <is>
          <t>Total gross carrying amount</t>
        </is>
      </c>
      <c r="B11" s="5" t="n">
        <v>81769</v>
      </c>
      <c r="C11" s="5" t="n">
        <v>79392</v>
      </c>
      <c r="D11" s="5" t="n">
        <v>78181</v>
      </c>
      <c r="E11" s="5" t="n">
        <v>83457</v>
      </c>
      <c r="F11" s="5" t="n">
        <v>74574</v>
      </c>
    </row>
    <row r="12">
      <c r="A12" s="5" t="inlineStr">
        <is>
          <t>Total expected credit loss</t>
        </is>
      </c>
      <c r="B12" s="5" t="n">
        <v>-1678</v>
      </c>
      <c r="C12" s="5" t="n">
        <v>-1795</v>
      </c>
      <c r="D12" s="5" t="n">
        <v>-2298</v>
      </c>
      <c r="E12" s="5" t="n">
        <v>-2846</v>
      </c>
      <c r="F12" s="5" t="n">
        <v>-3413</v>
      </c>
    </row>
    <row r="13">
      <c r="A13" s="5" t="inlineStr">
        <is>
          <t>Net carrying value (= Loans and advances to customers)</t>
        </is>
      </c>
      <c r="B13" s="5" t="n">
        <v>80091</v>
      </c>
      <c r="C13" s="5" t="n">
        <v>77597</v>
      </c>
      <c r="D13" s="5" t="n">
        <v>75883</v>
      </c>
      <c r="E13" s="5" t="n">
        <v>80611</v>
      </c>
      <c r="F13" s="5" t="n">
        <v>71161</v>
      </c>
    </row>
    <row r="14">
      <c r="A14" s="5" t="inlineStr">
        <is>
          <t>Derived ratios</t>
        </is>
      </c>
      <c r="B14" s="7" t="n"/>
      <c r="C14" s="7" t="n"/>
      <c r="D14" s="7" t="n"/>
      <c r="E14" s="7" t="n"/>
      <c r="F14" s="7" t="n"/>
    </row>
    <row r="15">
      <c r="A15" s="7" t="inlineStr">
        <is>
          <t>NPL ratio (Stage 3 gross / Total gross)</t>
        </is>
      </c>
      <c r="B15" s="7" t="inlineStr">
        <is>
          <t>3.30%</t>
        </is>
      </c>
      <c r="C15" s="7" t="inlineStr">
        <is>
          <t>3.38%</t>
        </is>
      </c>
      <c r="D15" s="7" t="inlineStr">
        <is>
          <t>4.81%</t>
        </is>
      </c>
      <c r="E15" s="7" t="inlineStr">
        <is>
          <t>5.61%</t>
        </is>
      </c>
      <c r="F15" s="7" t="inlineStr">
        <is>
          <t>6.73%</t>
        </is>
      </c>
    </row>
    <row r="16">
      <c r="A16" s="7" t="inlineStr">
        <is>
          <t>Stage 3 coverage ratio (Stage 3 ECL / Stage 3 gross)</t>
        </is>
      </c>
      <c r="B16" s="7" t="inlineStr">
        <is>
          <t>53.47%</t>
        </is>
      </c>
      <c r="C16" s="7" t="inlineStr">
        <is>
          <t>58.85%</t>
        </is>
      </c>
      <c r="D16" s="7" t="inlineStr">
        <is>
          <t>56.61%</t>
        </is>
      </c>
      <c r="E16" s="7" t="inlineStr">
        <is>
          <t>55.94%</t>
        </is>
      </c>
      <c r="F16" s="7" t="inlineStr">
        <is>
          <t>60.31%</t>
        </is>
      </c>
    </row>
    <row r="18" ht="260" customHeight="1">
      <c r="A18" s="8" t="inlineStr">
        <is>
          <t>Statement sources - standalone Standard Chartered Bank Company balance sheet and equity, Group income statement (see note below), $million:
FY2025/FY2024: Directors' Report and Financial Statements 2025, Balance sheets p.86, Cash flow statement p.88, Company statement of changes in equity p.89, Consolidated income statement p.84 - https://www.sc.com/en/uploads/sites/66/content/docs/sc-bank-2025-report.pdf
FY2023/FY2022: Directors' Report and Financial Statements 2023, Consolidated balance sheet p.162, Company statement of changes in equity p.165, Consolidated income statement p.160 - https://www.sc.com/EN/uploads/sites/66/content/docs/sc-bank-2023-annual-report.pdf
FY2021: Directors' Report and Financial Statements 2021, Consolidated balance sheet p.169, Company statement of changes in equity p.172, Consolidated income statement p.167 - https://www.sc.com/EN/uploads/sites/66/content/docs/sc-bank-2021-results.pdf
Entity filing history and identity: Companies House ZC000018 - https://find-and-update.company-information.service.gov.uk/company/ZC000018/filing-history
ENTITY AND BASIS: Standard Chartered Bank (Companies House Royal Charter reference ZC000018, FRN 114276) is incorporated in England with limited liability by Royal Charter 1853. The source reports distinguish Standard Chartered Bank Group (the Bank and subsidiaries) from Standard Chartered Bank Company (the standalone legal entity). All cash-flow rows in this workbook use the Company column only.
Source for stage tables: each year's Directors' Report and Financial Statements, Risk review and Capital review section, 'Analysis of financial instrument by stage' / 'All segments - Company' tables. Net carrying value ties exactly to the Balance Sheet's 'Loans and advances to customers' line every year. Only the on-balance-sheet loans and advances to customers line is shown here (cash, banks, debt securities, and off-balance-sheet commitments/guarantees also carry their own stage splits in the source reports but are outside this sheet's scope).</t>
        </is>
      </c>
    </row>
  </sheetData>
  <mergeCells count="1">
    <mergeCell ref="A18:F18"/>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58" customWidth="1" min="1" max="1"/>
    <col width="15" customWidth="1" min="2" max="2"/>
    <col width="15" customWidth="1" min="3" max="3"/>
    <col width="15" customWidth="1" min="4" max="4"/>
    <col width="15" customWidth="1" min="5" max="5"/>
    <col width="15" customWidth="1" min="6" max="6"/>
  </cols>
  <sheetData>
    <row r="1">
      <c r="A1" s="1" t="inlineStr">
        <is>
          <t>Standard Chartered Bank (standalone Company basis) — CET1 Capital</t>
        </is>
      </c>
    </row>
    <row r="2">
      <c r="A2" s="2" t="inlineStr">
        <is>
          <t>$million</t>
        </is>
      </c>
    </row>
    <row r="3">
      <c r="A3" s="4" t="inlineStr">
        <is>
          <t>Metric</t>
        </is>
      </c>
      <c r="B3" s="4" t="inlineStr">
        <is>
          <t>FY2025</t>
        </is>
      </c>
      <c r="C3" s="4" t="inlineStr">
        <is>
          <t>FY2024</t>
        </is>
      </c>
      <c r="D3" s="4" t="inlineStr">
        <is>
          <t>FY2023</t>
        </is>
      </c>
      <c r="E3" s="4" t="inlineStr">
        <is>
          <t>FY2022</t>
        </is>
      </c>
      <c r="F3" s="4" t="inlineStr">
        <is>
          <t>FY2021</t>
        </is>
      </c>
    </row>
    <row r="4">
      <c r="A4" s="7" t="inlineStr">
        <is>
          <t>CET1 Capital — solo-consolidated basis</t>
        </is>
      </c>
      <c r="B4" s="7" t="n">
        <v>14526</v>
      </c>
      <c r="C4" s="7" t="n">
        <v>14730</v>
      </c>
      <c r="D4" s="7" t="n">
        <v>14730</v>
      </c>
      <c r="E4" s="7" t="n">
        <v>14079</v>
      </c>
      <c r="F4" s="7" t="n">
        <v>16475</v>
      </c>
    </row>
    <row r="5" ht="60" customHeight="1">
      <c r="A5" s="6" t="inlineStr">
        <is>
          <t>Note: BASIS: Standard Chartered Bank on the SOLO-CONSOLIDATED basis, which is the basis on which the PRA sets this entity's capital requirements. It comprises Standard Chartered Bank (Company) plus the full consolidation of four subsidiaries (Standard Chartered Holdings (International) B.V., Standard Chartered Grindlays PTY Limited, SCMB Overseas Limited and Corrasi Covered Bonds LLP). This is a regulatory perimeter headed by this entity, NOT the Standard Chartered PLC listed group. It is therefore a different basis from the Balance Sheet, Cash Flow and Statement of Changes in Equity sheets in this workbook, which use the narrower standalone Bank Company column - do not divide figures across the two bases.</t>
        </is>
      </c>
    </row>
    <row r="7" ht="300" customHeight="1">
      <c r="A7" s="8" t="inlineStr">
        <is>
          <t>SOLO-CONSOLIDATION REGULATORY SOURCES (added 2026-09-15). Each year is taken from that year's OWN Pillar 3 edition, and every year was additionally cross-checked against the following edition's comparative column:
FY2025: Standard Chartered PLC Full Year 2025 Pillar 3 Disclosure, Table 109 'Composition of regulatory own funds (UK CC1) - Solo consolidation', rows 29/45/59/60/61/62/63 - https://www.sc.com/en/uploads/sites/66/content/docs/standard-chartered-plc-full-year-2025-pillar3-disclosure.pdf
FY2024: Standard Chartered PLC Full Year 2024 Pillar 3 Disclosure, Table 113 (same UK CC1 solo template) - https://www.sc.com/en/uploads/sites/66/content/docs/standard-chartered-plc-full-year-2024-pillar3-disclosure.pdf
FY2023: Standard Chartered PLC Full Year 2023 Pillar 3 Disclosure, Table 110 (same UK CC1 solo template) - https://www.sc.com/en/uploads/sites/66/content/docs/standard_chartered_plc_pillar3_full_year_2023_report.pdf
FY2022: Standard Chartered PLC Full Year 2022 Pillar 3 Disclosure, Table 106 (same UK CC1 solo template) - https://www.sc.com/en/uploads/sites/66/content/docs/standard_chartered_plc_pillar3_full_year_2022_report.pdf
FY2021: the FY2022 edition's 2021 comparative column (Table 106). The FY2021 Pillar 3 edition contains NO solo-consolidation section at all - the section was introduced in the FY2022 edition - so the comparative is the only source for that year.
SOURCE DEFECT FOUND AND AVOIDED: the FY2025 edition's 2024 comparative column misprints the three capital RATIO rows, showing 12.0%/15.2%/22.6% - which are FY2023's ratios - against FY2024 amounts. Those ratios do not reconcile with the amounts printed beside them (14,730/126,383 = 11.7%, not 12.0%). FY2024's ratios here are taken from the FY2024 edition's own column (11.7%/15.0%/21.5%), which reconcile exactly and whose FY2023 comparative reproduces the FY2023 edition line for line. Do not 'correct' these to the FY2025 edition's comparative.
ENTITY CHECK: Standard Chartered PLC group total RWA at FY2023 is 244,151 $m (group UK KM1) against 122,408 $m on this solo-consolidated basis, confirming these are the Bank entity's figures and not the listed parent's.</t>
        </is>
      </c>
    </row>
  </sheetData>
  <mergeCells count="2">
    <mergeCell ref="A5:F5"/>
    <mergeCell ref="A7:F7"/>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58" customWidth="1" min="1" max="1"/>
    <col width="15" customWidth="1" min="2" max="2"/>
    <col width="15" customWidth="1" min="3" max="3"/>
    <col width="15" customWidth="1" min="4" max="4"/>
    <col width="15" customWidth="1" min="5" max="5"/>
    <col width="15" customWidth="1" min="6" max="6"/>
  </cols>
  <sheetData>
    <row r="1">
      <c r="A1" s="1" t="inlineStr">
        <is>
          <t>Standard Chartered Bank (standalone Company basis) — CET1 Ratio</t>
        </is>
      </c>
    </row>
    <row r="2">
      <c r="A2" s="2" t="inlineStr">
        <is>
          <t>% of RWA</t>
        </is>
      </c>
    </row>
    <row r="3">
      <c r="A3" s="4" t="inlineStr">
        <is>
          <t>Metric</t>
        </is>
      </c>
      <c r="B3" s="4" t="inlineStr">
        <is>
          <t>FY2025</t>
        </is>
      </c>
      <c r="C3" s="4" t="inlineStr">
        <is>
          <t>FY2024</t>
        </is>
      </c>
      <c r="D3" s="4" t="inlineStr">
        <is>
          <t>FY2023</t>
        </is>
      </c>
      <c r="E3" s="4" t="inlineStr">
        <is>
          <t>FY2022</t>
        </is>
      </c>
      <c r="F3" s="4" t="inlineStr">
        <is>
          <t>FY2021</t>
        </is>
      </c>
    </row>
    <row r="4">
      <c r="A4" s="7" t="inlineStr">
        <is>
          <t>CET1 Ratio — solo-consolidated basis</t>
        </is>
      </c>
      <c r="B4" s="7" t="inlineStr">
        <is>
          <t>11.1%</t>
        </is>
      </c>
      <c r="C4" s="7" t="inlineStr">
        <is>
          <t>11.7%</t>
        </is>
      </c>
      <c r="D4" s="7" t="inlineStr">
        <is>
          <t>12.0%</t>
        </is>
      </c>
      <c r="E4" s="7" t="inlineStr">
        <is>
          <t>10.7%</t>
        </is>
      </c>
      <c r="F4" s="7" t="inlineStr">
        <is>
          <t>11.6%</t>
        </is>
      </c>
    </row>
    <row r="5" ht="60" customHeight="1">
      <c r="A5" s="6" t="inlineStr">
        <is>
          <t>Note: BASIS: Standard Chartered Bank on the SOLO-CONSOLIDATED basis, which is the basis on which the PRA sets this entity's capital requirements. It comprises Standard Chartered Bank (Company) plus the full consolidation of four subsidiaries (Standard Chartered Holdings (International) B.V., Standard Chartered Grindlays PTY Limited, SCMB Overseas Limited and Corrasi Covered Bonds LLP). This is a regulatory perimeter headed by this entity, NOT the Standard Chartered PLC listed group. It is therefore a different basis from the Balance Sheet, Cash Flow and Statement of Changes in Equity sheets in this workbook, which use the narrower standalone Bank Company column - do not divide figures across the two bases.</t>
        </is>
      </c>
    </row>
    <row r="7" ht="300" customHeight="1">
      <c r="A7" s="8" t="inlineStr">
        <is>
          <t>SOLO-CONSOLIDATION REGULATORY SOURCES (added 2026-09-15). Each year is taken from that year's OWN Pillar 3 edition, and every year was additionally cross-checked against the following edition's comparative column:
FY2025: Standard Chartered PLC Full Year 2025 Pillar 3 Disclosure, Table 109 'Composition of regulatory own funds (UK CC1) - Solo consolidation', rows 29/45/59/60/61/62/63 - https://www.sc.com/en/uploads/sites/66/content/docs/standard-chartered-plc-full-year-2025-pillar3-disclosure.pdf
FY2024: Standard Chartered PLC Full Year 2024 Pillar 3 Disclosure, Table 113 (same UK CC1 solo template) - https://www.sc.com/en/uploads/sites/66/content/docs/standard-chartered-plc-full-year-2024-pillar3-disclosure.pdf
FY2023: Standard Chartered PLC Full Year 2023 Pillar 3 Disclosure, Table 110 (same UK CC1 solo template) - https://www.sc.com/en/uploads/sites/66/content/docs/standard_chartered_plc_pillar3_full_year_2023_report.pdf
FY2022: Standard Chartered PLC Full Year 2022 Pillar 3 Disclosure, Table 106 (same UK CC1 solo template) - https://www.sc.com/en/uploads/sites/66/content/docs/standard_chartered_plc_pillar3_full_year_2022_report.pdf
FY2021: the FY2022 edition's 2021 comparative column (Table 106). The FY2021 Pillar 3 edition contains NO solo-consolidation section at all - the section was introduced in the FY2022 edition - so the comparative is the only source for that year.
SOURCE DEFECT FOUND AND AVOIDED: the FY2025 edition's 2024 comparative column misprints the three capital RATIO rows, showing 12.0%/15.2%/22.6% - which are FY2023's ratios - against FY2024 amounts. Those ratios do not reconcile with the amounts printed beside them (14,730/126,383 = 11.7%, not 12.0%). FY2024's ratios here are taken from the FY2024 edition's own column (11.7%/15.0%/21.5%), which reconcile exactly and whose FY2023 comparative reproduces the FY2023 edition line for line. Do not 'correct' these to the FY2025 edition's comparative.
ENTITY CHECK: Standard Chartered PLC group total RWA at FY2023 is 244,151 $m (group UK KM1) against 122,408 $m on this solo-consolidated basis, confirming these are the Bank entity's figures and not the listed parent's.</t>
        </is>
      </c>
    </row>
  </sheetData>
  <mergeCells count="2">
    <mergeCell ref="A5:F5"/>
    <mergeCell ref="A7:F7"/>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58" customWidth="1" min="1" max="1"/>
    <col width="15" customWidth="1" min="2" max="2"/>
    <col width="15" customWidth="1" min="3" max="3"/>
    <col width="15" customWidth="1" min="4" max="4"/>
    <col width="15" customWidth="1" min="5" max="5"/>
    <col width="15" customWidth="1" min="6" max="6"/>
  </cols>
  <sheetData>
    <row r="1">
      <c r="A1" s="1" t="inlineStr">
        <is>
          <t>Standard Chartered Bank (standalone Company basis) — Tier 1 Capital</t>
        </is>
      </c>
    </row>
    <row r="2">
      <c r="A2" s="2" t="inlineStr">
        <is>
          <t>$million</t>
        </is>
      </c>
    </row>
    <row r="3">
      <c r="A3" s="4" t="inlineStr">
        <is>
          <t>Metric</t>
        </is>
      </c>
      <c r="B3" s="4" t="inlineStr">
        <is>
          <t>FY2025</t>
        </is>
      </c>
      <c r="C3" s="4" t="inlineStr">
        <is>
          <t>FY2024</t>
        </is>
      </c>
      <c r="D3" s="4" t="inlineStr">
        <is>
          <t>FY2023</t>
        </is>
      </c>
      <c r="E3" s="4" t="inlineStr">
        <is>
          <t>FY2022</t>
        </is>
      </c>
      <c r="F3" s="4" t="inlineStr">
        <is>
          <t>FY2021</t>
        </is>
      </c>
    </row>
    <row r="4">
      <c r="A4" s="7" t="inlineStr">
        <is>
          <t>Tier 1 Capital — solo-consolidated basis</t>
        </is>
      </c>
      <c r="B4" s="7" t="n">
        <v>18678</v>
      </c>
      <c r="C4" s="7" t="n">
        <v>19003</v>
      </c>
      <c r="D4" s="7" t="n">
        <v>18601</v>
      </c>
      <c r="E4" s="7" t="n">
        <v>18257</v>
      </c>
      <c r="F4" s="7" t="n">
        <v>21151</v>
      </c>
    </row>
    <row r="5" ht="60" customHeight="1">
      <c r="A5" s="6" t="inlineStr">
        <is>
          <t>Note: BASIS: Standard Chartered Bank on the SOLO-CONSOLIDATED basis, which is the basis on which the PRA sets this entity's capital requirements. It comprises Standard Chartered Bank (Company) plus the full consolidation of four subsidiaries (Standard Chartered Holdings (International) B.V., Standard Chartered Grindlays PTY Limited, SCMB Overseas Limited and Corrasi Covered Bonds LLP). This is a regulatory perimeter headed by this entity, NOT the Standard Chartered PLC listed group. It is therefore a different basis from the Balance Sheet, Cash Flow and Statement of Changes in Equity sheets in this workbook, which use the narrower standalone Bank Company column - do not divide figures across the two bases.</t>
        </is>
      </c>
    </row>
    <row r="7" ht="300" customHeight="1">
      <c r="A7" s="8" t="inlineStr">
        <is>
          <t>SOLO-CONSOLIDATION REGULATORY SOURCES (added 2026-09-15). Each year is taken from that year's OWN Pillar 3 edition, and every year was additionally cross-checked against the following edition's comparative column:
FY2025: Standard Chartered PLC Full Year 2025 Pillar 3 Disclosure, Table 109 'Composition of regulatory own funds (UK CC1) - Solo consolidation', rows 29/45/59/60/61/62/63 - https://www.sc.com/en/uploads/sites/66/content/docs/standard-chartered-plc-full-year-2025-pillar3-disclosure.pdf
FY2024: Standard Chartered PLC Full Year 2024 Pillar 3 Disclosure, Table 113 (same UK CC1 solo template) - https://www.sc.com/en/uploads/sites/66/content/docs/standard-chartered-plc-full-year-2024-pillar3-disclosure.pdf
FY2023: Standard Chartered PLC Full Year 2023 Pillar 3 Disclosure, Table 110 (same UK CC1 solo template) - https://www.sc.com/en/uploads/sites/66/content/docs/standard_chartered_plc_pillar3_full_year_2023_report.pdf
FY2022: Standard Chartered PLC Full Year 2022 Pillar 3 Disclosure, Table 106 (same UK CC1 solo template) - https://www.sc.com/en/uploads/sites/66/content/docs/standard_chartered_plc_pillar3_full_year_2022_report.pdf
FY2021: the FY2022 edition's 2021 comparative column (Table 106). The FY2021 Pillar 3 edition contains NO solo-consolidation section at all - the section was introduced in the FY2022 edition - so the comparative is the only source for that year.
SOURCE DEFECT FOUND AND AVOIDED: the FY2025 edition's 2024 comparative column misprints the three capital RATIO rows, showing 12.0%/15.2%/22.6% - which are FY2023's ratios - against FY2024 amounts. Those ratios do not reconcile with the amounts printed beside them (14,730/126,383 = 11.7%, not 12.0%). FY2024's ratios here are taken from the FY2024 edition's own column (11.7%/15.0%/21.5%), which reconcile exactly and whose FY2023 comparative reproduces the FY2023 edition line for line. Do not 'correct' these to the FY2025 edition's comparative.
ENTITY CHECK: Standard Chartered PLC group total RWA at FY2023 is 244,151 $m (group UK KM1) against 122,408 $m on this solo-consolidated basis, confirming these are the Bank entity's figures and not the listed parent's.</t>
        </is>
      </c>
    </row>
  </sheetData>
  <mergeCells count="2">
    <mergeCell ref="A5:F5"/>
    <mergeCell ref="A7:F7"/>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58" customWidth="1" min="1" max="1"/>
    <col width="15" customWidth="1" min="2" max="2"/>
    <col width="15" customWidth="1" min="3" max="3"/>
    <col width="15" customWidth="1" min="4" max="4"/>
    <col width="15" customWidth="1" min="5" max="5"/>
    <col width="15" customWidth="1" min="6" max="6"/>
  </cols>
  <sheetData>
    <row r="1">
      <c r="A1" s="1" t="inlineStr">
        <is>
          <t>Standard Chartered Bank (standalone Company basis) — Tier 1 Ratio</t>
        </is>
      </c>
    </row>
    <row r="2">
      <c r="A2" s="2" t="inlineStr">
        <is>
          <t>% of RWA</t>
        </is>
      </c>
    </row>
    <row r="3">
      <c r="A3" s="4" t="inlineStr">
        <is>
          <t>Metric</t>
        </is>
      </c>
      <c r="B3" s="4" t="inlineStr">
        <is>
          <t>FY2025</t>
        </is>
      </c>
      <c r="C3" s="4" t="inlineStr">
        <is>
          <t>FY2024</t>
        </is>
      </c>
      <c r="D3" s="4" t="inlineStr">
        <is>
          <t>FY2023</t>
        </is>
      </c>
      <c r="E3" s="4" t="inlineStr">
        <is>
          <t>FY2022</t>
        </is>
      </c>
      <c r="F3" s="4" t="inlineStr">
        <is>
          <t>FY2021</t>
        </is>
      </c>
    </row>
    <row r="4">
      <c r="A4" s="7" t="inlineStr">
        <is>
          <t>Tier 1 Ratio — solo-consolidated basis</t>
        </is>
      </c>
      <c r="B4" s="7" t="inlineStr">
        <is>
          <t>14.3%</t>
        </is>
      </c>
      <c r="C4" s="7" t="inlineStr">
        <is>
          <t>15.0%</t>
        </is>
      </c>
      <c r="D4" s="7" t="inlineStr">
        <is>
          <t>15.2%</t>
        </is>
      </c>
      <c r="E4" s="7" t="inlineStr">
        <is>
          <t>13.9%</t>
        </is>
      </c>
      <c r="F4" s="7" t="inlineStr">
        <is>
          <t>14.9%</t>
        </is>
      </c>
    </row>
    <row r="5" ht="60" customHeight="1">
      <c r="A5" s="6" t="inlineStr">
        <is>
          <t>Note: BASIS: Standard Chartered Bank on the SOLO-CONSOLIDATED basis, which is the basis on which the PRA sets this entity's capital requirements. It comprises Standard Chartered Bank (Company) plus the full consolidation of four subsidiaries (Standard Chartered Holdings (International) B.V., Standard Chartered Grindlays PTY Limited, SCMB Overseas Limited and Corrasi Covered Bonds LLP). This is a regulatory perimeter headed by this entity, NOT the Standard Chartered PLC listed group. It is therefore a different basis from the Balance Sheet, Cash Flow and Statement of Changes in Equity sheets in this workbook, which use the narrower standalone Bank Company column - do not divide figures across the two bases.</t>
        </is>
      </c>
    </row>
    <row r="7" ht="300" customHeight="1">
      <c r="A7" s="8" t="inlineStr">
        <is>
          <t>SOLO-CONSOLIDATION REGULATORY SOURCES (added 2026-09-15). Each year is taken from that year's OWN Pillar 3 edition, and every year was additionally cross-checked against the following edition's comparative column:
FY2025: Standard Chartered PLC Full Year 2025 Pillar 3 Disclosure, Table 109 'Composition of regulatory own funds (UK CC1) - Solo consolidation', rows 29/45/59/60/61/62/63 - https://www.sc.com/en/uploads/sites/66/content/docs/standard-chartered-plc-full-year-2025-pillar3-disclosure.pdf
FY2024: Standard Chartered PLC Full Year 2024 Pillar 3 Disclosure, Table 113 (same UK CC1 solo template) - https://www.sc.com/en/uploads/sites/66/content/docs/standard-chartered-plc-full-year-2024-pillar3-disclosure.pdf
FY2023: Standard Chartered PLC Full Year 2023 Pillar 3 Disclosure, Table 110 (same UK CC1 solo template) - https://www.sc.com/en/uploads/sites/66/content/docs/standard_chartered_plc_pillar3_full_year_2023_report.pdf
FY2022: Standard Chartered PLC Full Year 2022 Pillar 3 Disclosure, Table 106 (same UK CC1 solo template) - https://www.sc.com/en/uploads/sites/66/content/docs/standard_chartered_plc_pillar3_full_year_2022_report.pdf
FY2021: the FY2022 edition's 2021 comparative column (Table 106). The FY2021 Pillar 3 edition contains NO solo-consolidation section at all - the section was introduced in the FY2022 edition - so the comparative is the only source for that year.
SOURCE DEFECT FOUND AND AVOIDED: the FY2025 edition's 2024 comparative column misprints the three capital RATIO rows, showing 12.0%/15.2%/22.6% - which are FY2023's ratios - against FY2024 amounts. Those ratios do not reconcile with the amounts printed beside them (14,730/126,383 = 11.7%, not 12.0%). FY2024's ratios here are taken from the FY2024 edition's own column (11.7%/15.0%/21.5%), which reconcile exactly and whose FY2023 comparative reproduces the FY2023 edition line for line. Do not 'correct' these to the FY2025 edition's comparative.
ENTITY CHECK: Standard Chartered PLC group total RWA at FY2023 is 244,151 $m (group UK KM1) against 122,408 $m on this solo-consolidated basis, confirming these are the Bank entity's figures and not the listed parent's.</t>
        </is>
      </c>
    </row>
  </sheetData>
  <mergeCells count="2">
    <mergeCell ref="A5:F5"/>
    <mergeCell ref="A7:F7"/>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58" customWidth="1" min="1" max="1"/>
    <col width="15" customWidth="1" min="2" max="2"/>
    <col width="15" customWidth="1" min="3" max="3"/>
    <col width="15" customWidth="1" min="4" max="4"/>
    <col width="15" customWidth="1" min="5" max="5"/>
    <col width="15" customWidth="1" min="6" max="6"/>
  </cols>
  <sheetData>
    <row r="1">
      <c r="A1" s="1" t="inlineStr">
        <is>
          <t>Standard Chartered Bank (standalone Company basis) — Total Capital</t>
        </is>
      </c>
    </row>
    <row r="2">
      <c r="A2" s="2" t="inlineStr">
        <is>
          <t>$million</t>
        </is>
      </c>
    </row>
    <row r="3">
      <c r="A3" s="4" t="inlineStr">
        <is>
          <t>Metric</t>
        </is>
      </c>
      <c r="B3" s="4" t="inlineStr">
        <is>
          <t>FY2025</t>
        </is>
      </c>
      <c r="C3" s="4" t="inlineStr">
        <is>
          <t>FY2024</t>
        </is>
      </c>
      <c r="D3" s="4" t="inlineStr">
        <is>
          <t>FY2023</t>
        </is>
      </c>
      <c r="E3" s="4" t="inlineStr">
        <is>
          <t>FY2022</t>
        </is>
      </c>
      <c r="F3" s="4" t="inlineStr">
        <is>
          <t>FY2021</t>
        </is>
      </c>
    </row>
    <row r="4">
      <c r="A4" s="7" t="inlineStr">
        <is>
          <t>Total Capital — solo-consolidated basis</t>
        </is>
      </c>
      <c r="B4" s="7" t="n">
        <v>24375</v>
      </c>
      <c r="C4" s="7" t="n">
        <v>27186</v>
      </c>
      <c r="D4" s="7" t="n">
        <v>27714</v>
      </c>
      <c r="E4" s="7" t="n">
        <v>29058</v>
      </c>
      <c r="F4" s="7" t="n">
        <v>32016</v>
      </c>
    </row>
    <row r="5" ht="60" customHeight="1">
      <c r="A5" s="6" t="inlineStr">
        <is>
          <t>Note: BASIS: Standard Chartered Bank on the SOLO-CONSOLIDATED basis, which is the basis on which the PRA sets this entity's capital requirements. It comprises Standard Chartered Bank (Company) plus the full consolidation of four subsidiaries (Standard Chartered Holdings (International) B.V., Standard Chartered Grindlays PTY Limited, SCMB Overseas Limited and Corrasi Covered Bonds LLP). This is a regulatory perimeter headed by this entity, NOT the Standard Chartered PLC listed group. It is therefore a different basis from the Balance Sheet, Cash Flow and Statement of Changes in Equity sheets in this workbook, which use the narrower standalone Bank Company column - do not divide figures across the two bases.</t>
        </is>
      </c>
    </row>
    <row r="7" ht="300" customHeight="1">
      <c r="A7" s="8" t="inlineStr">
        <is>
          <t>SOLO-CONSOLIDATION REGULATORY SOURCES (added 2026-09-15). Each year is taken from that year's OWN Pillar 3 edition, and every year was additionally cross-checked against the following edition's comparative column:
FY2025: Standard Chartered PLC Full Year 2025 Pillar 3 Disclosure, Table 109 'Composition of regulatory own funds (UK CC1) - Solo consolidation', rows 29/45/59/60/61/62/63 - https://www.sc.com/en/uploads/sites/66/content/docs/standard-chartered-plc-full-year-2025-pillar3-disclosure.pdf
FY2024: Standard Chartered PLC Full Year 2024 Pillar 3 Disclosure, Table 113 (same UK CC1 solo template) - https://www.sc.com/en/uploads/sites/66/content/docs/standard-chartered-plc-full-year-2024-pillar3-disclosure.pdf
FY2023: Standard Chartered PLC Full Year 2023 Pillar 3 Disclosure, Table 110 (same UK CC1 solo template) - https://www.sc.com/en/uploads/sites/66/content/docs/standard_chartered_plc_pillar3_full_year_2023_report.pdf
FY2022: Standard Chartered PLC Full Year 2022 Pillar 3 Disclosure, Table 106 (same UK CC1 solo template) - https://www.sc.com/en/uploads/sites/66/content/docs/standard_chartered_plc_pillar3_full_year_2022_report.pdf
FY2021: the FY2022 edition's 2021 comparative column (Table 106). The FY2021 Pillar 3 edition contains NO solo-consolidation section at all - the section was introduced in the FY2022 edition - so the comparative is the only source for that year.
SOURCE DEFECT FOUND AND AVOIDED: the FY2025 edition's 2024 comparative column misprints the three capital RATIO rows, showing 12.0%/15.2%/22.6% - which are FY2023's ratios - against FY2024 amounts. Those ratios do not reconcile with the amounts printed beside them (14,730/126,383 = 11.7%, not 12.0%). FY2024's ratios here are taken from the FY2024 edition's own column (11.7%/15.0%/21.5%), which reconcile exactly and whose FY2023 comparative reproduces the FY2023 edition line for line. Do not 'correct' these to the FY2025 edition's comparative.
ENTITY CHECK: Standard Chartered PLC group total RWA at FY2023 is 244,151 $m (group UK KM1) against 122,408 $m on this solo-consolidated basis, confirming these are the Bank entity's figures and not the listed parent's.</t>
        </is>
      </c>
    </row>
  </sheetData>
  <mergeCells count="2">
    <mergeCell ref="A5:F5"/>
    <mergeCell ref="A7:F7"/>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58" customWidth="1" min="1" max="1"/>
    <col width="15" customWidth="1" min="2" max="2"/>
    <col width="15" customWidth="1" min="3" max="3"/>
    <col width="15" customWidth="1" min="4" max="4"/>
    <col width="15" customWidth="1" min="5" max="5"/>
    <col width="15" customWidth="1" min="6" max="6"/>
  </cols>
  <sheetData>
    <row r="1">
      <c r="A1" s="1" t="inlineStr">
        <is>
          <t>Standard Chartered Bank (standalone Company basis) — Total Capital Ratio</t>
        </is>
      </c>
    </row>
    <row r="2">
      <c r="A2" s="2" t="inlineStr">
        <is>
          <t>% of RWA</t>
        </is>
      </c>
    </row>
    <row r="3">
      <c r="A3" s="4" t="inlineStr">
        <is>
          <t>Metric</t>
        </is>
      </c>
      <c r="B3" s="4" t="inlineStr">
        <is>
          <t>FY2025</t>
        </is>
      </c>
      <c r="C3" s="4" t="inlineStr">
        <is>
          <t>FY2024</t>
        </is>
      </c>
      <c r="D3" s="4" t="inlineStr">
        <is>
          <t>FY2023</t>
        </is>
      </c>
      <c r="E3" s="4" t="inlineStr">
        <is>
          <t>FY2022</t>
        </is>
      </c>
      <c r="F3" s="4" t="inlineStr">
        <is>
          <t>FY2021</t>
        </is>
      </c>
    </row>
    <row r="4">
      <c r="A4" s="7" t="inlineStr">
        <is>
          <t>Total Capital Ratio — solo-consolidated basis</t>
        </is>
      </c>
      <c r="B4" s="7" t="inlineStr">
        <is>
          <t>18.7%</t>
        </is>
      </c>
      <c r="C4" s="7" t="inlineStr">
        <is>
          <t>21.5%</t>
        </is>
      </c>
      <c r="D4" s="7" t="inlineStr">
        <is>
          <t>22.6%</t>
        </is>
      </c>
      <c r="E4" s="7" t="inlineStr">
        <is>
          <t>22.1%</t>
        </is>
      </c>
      <c r="F4" s="7" t="inlineStr">
        <is>
          <t>22.5%</t>
        </is>
      </c>
    </row>
    <row r="5" ht="60" customHeight="1">
      <c r="A5" s="6" t="inlineStr">
        <is>
          <t>Note: BASIS: Standard Chartered Bank on the SOLO-CONSOLIDATED basis, which is the basis on which the PRA sets this entity's capital requirements. It comprises Standard Chartered Bank (Company) plus the full consolidation of four subsidiaries (Standard Chartered Holdings (International) B.V., Standard Chartered Grindlays PTY Limited, SCMB Overseas Limited and Corrasi Covered Bonds LLP). This is a regulatory perimeter headed by this entity, NOT the Standard Chartered PLC listed group. It is therefore a different basis from the Balance Sheet, Cash Flow and Statement of Changes in Equity sheets in this workbook, which use the narrower standalone Bank Company column - do not divide figures across the two bases.</t>
        </is>
      </c>
    </row>
    <row r="7" ht="300" customHeight="1">
      <c r="A7" s="8" t="inlineStr">
        <is>
          <t>SOLO-CONSOLIDATION REGULATORY SOURCES (added 2026-09-15). Each year is taken from that year's OWN Pillar 3 edition, and every year was additionally cross-checked against the following edition's comparative column:
FY2025: Standard Chartered PLC Full Year 2025 Pillar 3 Disclosure, Table 109 'Composition of regulatory own funds (UK CC1) - Solo consolidation', rows 29/45/59/60/61/62/63 - https://www.sc.com/en/uploads/sites/66/content/docs/standard-chartered-plc-full-year-2025-pillar3-disclosure.pdf
FY2024: Standard Chartered PLC Full Year 2024 Pillar 3 Disclosure, Table 113 (same UK CC1 solo template) - https://www.sc.com/en/uploads/sites/66/content/docs/standard-chartered-plc-full-year-2024-pillar3-disclosure.pdf
FY2023: Standard Chartered PLC Full Year 2023 Pillar 3 Disclosure, Table 110 (same UK CC1 solo template) - https://www.sc.com/en/uploads/sites/66/content/docs/standard_chartered_plc_pillar3_full_year_2023_report.pdf
FY2022: Standard Chartered PLC Full Year 2022 Pillar 3 Disclosure, Table 106 (same UK CC1 solo template) - https://www.sc.com/en/uploads/sites/66/content/docs/standard_chartered_plc_pillar3_full_year_2022_report.pdf
FY2021: the FY2022 edition's 2021 comparative column (Table 106). The FY2021 Pillar 3 edition contains NO solo-consolidation section at all - the section was introduced in the FY2022 edition - so the comparative is the only source for that year.
SOURCE DEFECT FOUND AND AVOIDED: the FY2025 edition's 2024 comparative column misprints the three capital RATIO rows, showing 12.0%/15.2%/22.6% - which are FY2023's ratios - against FY2024 amounts. Those ratios do not reconcile with the amounts printed beside them (14,730/126,383 = 11.7%, not 12.0%). FY2024's ratios here are taken from the FY2024 edition's own column (11.7%/15.0%/21.5%), which reconcile exactly and whose FY2023 comparative reproduces the FY2023 edition line for line. Do not 'correct' these to the FY2025 edition's comparative.
ENTITY CHECK: Standard Chartered PLC group total RWA at FY2023 is 244,151 $m (group UK KM1) against 122,408 $m on this solo-consolidated basis, confirming these are the Bank entity's figures and not the listed parent's.</t>
        </is>
      </c>
    </row>
  </sheetData>
  <mergeCells count="2">
    <mergeCell ref="A5:F5"/>
    <mergeCell ref="A7:F7"/>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58" customWidth="1" min="1" max="1"/>
    <col width="15" customWidth="1" min="2" max="2"/>
    <col width="15" customWidth="1" min="3" max="3"/>
    <col width="15" customWidth="1" min="4" max="4"/>
    <col width="15" customWidth="1" min="5" max="5"/>
    <col width="15" customWidth="1" min="6" max="6"/>
  </cols>
  <sheetData>
    <row r="1">
      <c r="A1" s="1" t="inlineStr">
        <is>
          <t>Standard Chartered Bank (standalone Company basis) — Total RWAs</t>
        </is>
      </c>
    </row>
    <row r="2">
      <c r="A2" s="2" t="inlineStr">
        <is>
          <t>$million</t>
        </is>
      </c>
    </row>
    <row r="3">
      <c r="A3" s="4" t="inlineStr">
        <is>
          <t>Metric</t>
        </is>
      </c>
      <c r="B3" s="4" t="inlineStr">
        <is>
          <t>FY2025</t>
        </is>
      </c>
      <c r="C3" s="4" t="inlineStr">
        <is>
          <t>FY2024</t>
        </is>
      </c>
      <c r="D3" s="4" t="inlineStr">
        <is>
          <t>FY2023</t>
        </is>
      </c>
      <c r="E3" s="4" t="inlineStr">
        <is>
          <t>FY2022</t>
        </is>
      </c>
      <c r="F3" s="4" t="inlineStr">
        <is>
          <t>FY2021</t>
        </is>
      </c>
    </row>
    <row r="4">
      <c r="A4" s="7" t="inlineStr">
        <is>
          <t>Total RWAs — solo-consolidated basis</t>
        </is>
      </c>
      <c r="B4" s="7" t="n">
        <v>130608</v>
      </c>
      <c r="C4" s="7" t="n">
        <v>126383</v>
      </c>
      <c r="D4" s="7" t="n">
        <v>122408</v>
      </c>
      <c r="E4" s="7" t="n">
        <v>131175</v>
      </c>
      <c r="F4" s="7" t="n">
        <v>142161</v>
      </c>
    </row>
    <row r="5" ht="60" customHeight="1">
      <c r="A5" s="6" t="inlineStr">
        <is>
          <t>Note: BASIS: Standard Chartered Bank on the SOLO-CONSOLIDATED basis, which is the basis on which the PRA sets this entity's capital requirements. It comprises Standard Chartered Bank (Company) plus the full consolidation of four subsidiaries (Standard Chartered Holdings (International) B.V., Standard Chartered Grindlays PTY Limited, SCMB Overseas Limited and Corrasi Covered Bonds LLP). This is a regulatory perimeter headed by this entity, NOT the Standard Chartered PLC listed group. It is therefore a different basis from the Balance Sheet, Cash Flow and Statement of Changes in Equity sheets in this workbook, which use the narrower standalone Bank Company column - do not divide figures across the two bases.</t>
        </is>
      </c>
    </row>
    <row r="7" ht="300" customHeight="1">
      <c r="A7" s="8" t="inlineStr">
        <is>
          <t>SOLO-CONSOLIDATION REGULATORY SOURCES (added 2026-09-15). Each year is taken from that year's OWN Pillar 3 edition, and every year was additionally cross-checked against the following edition's comparative column:
FY2025: Standard Chartered PLC Full Year 2025 Pillar 3 Disclosure, Table 109 'Composition of regulatory own funds (UK CC1) - Solo consolidation', rows 29/45/59/60/61/62/63 - https://www.sc.com/en/uploads/sites/66/content/docs/standard-chartered-plc-full-year-2025-pillar3-disclosure.pdf
FY2024: Standard Chartered PLC Full Year 2024 Pillar 3 Disclosure, Table 113 (same UK CC1 solo template) - https://www.sc.com/en/uploads/sites/66/content/docs/standard-chartered-plc-full-year-2024-pillar3-disclosure.pdf
FY2023: Standard Chartered PLC Full Year 2023 Pillar 3 Disclosure, Table 110 (same UK CC1 solo template) - https://www.sc.com/en/uploads/sites/66/content/docs/standard_chartered_plc_pillar3_full_year_2023_report.pdf
FY2022: Standard Chartered PLC Full Year 2022 Pillar 3 Disclosure, Table 106 (same UK CC1 solo template) - https://www.sc.com/en/uploads/sites/66/content/docs/standard_chartered_plc_pillar3_full_year_2022_report.pdf
FY2021: the FY2022 edition's 2021 comparative column (Table 106). The FY2021 Pillar 3 edition contains NO solo-consolidation section at all - the section was introduced in the FY2022 edition - so the comparative is the only source for that year.
SOURCE DEFECT FOUND AND AVOIDED: the FY2025 edition's 2024 comparative column misprints the three capital RATIO rows, showing 12.0%/15.2%/22.6% - which are FY2023's ratios - against FY2024 amounts. Those ratios do not reconcile with the amounts printed beside them (14,730/126,383 = 11.7%, not 12.0%). FY2024's ratios here are taken from the FY2024 edition's own column (11.7%/15.0%/21.5%), which reconcile exactly and whose FY2023 comparative reproduces the FY2023 edition line for line. Do not 'correct' these to the FY2025 edition's comparative.
ENTITY CHECK: Standard Chartered PLC group total RWA at FY2023 is 244,151 $m (group UK KM1) against 122,408 $m on this solo-consolidated basis, confirming these are the Bank entity's figures and not the listed parent's.</t>
        </is>
      </c>
    </row>
  </sheetData>
  <mergeCells count="2">
    <mergeCell ref="A5:F5"/>
    <mergeCell ref="A7:F7"/>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F28"/>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58" customWidth="1" min="1" max="1"/>
    <col width="15" customWidth="1" min="2" max="2"/>
    <col width="15" customWidth="1" min="3" max="3"/>
    <col width="15" customWidth="1" min="4" max="4"/>
    <col width="15" customWidth="1" min="5" max="5"/>
    <col width="15" customWidth="1" min="6" max="6"/>
  </cols>
  <sheetData>
    <row r="1">
      <c r="A1" s="1" t="inlineStr">
        <is>
          <t>Standard Chartered Bank — RWA Breakdown</t>
        </is>
      </c>
    </row>
    <row r="2">
      <c r="A2" s="2" t="inlineStr">
        <is>
          <t>Solo-consolidated basis (the PRA's basis for this entity) - see source note.</t>
        </is>
      </c>
    </row>
    <row r="3">
      <c r="A3" s="4" t="inlineStr">
        <is>
          <t>Line item</t>
        </is>
      </c>
      <c r="B3" s="4" t="inlineStr">
        <is>
          <t>FY2025 ($m)</t>
        </is>
      </c>
      <c r="C3" s="4" t="inlineStr">
        <is>
          <t>FY2024 ($m)</t>
        </is>
      </c>
      <c r="D3" s="4" t="inlineStr">
        <is>
          <t>FY2023 ($m)</t>
        </is>
      </c>
      <c r="E3" s="4" t="inlineStr">
        <is>
          <t>FY2022 ($m)</t>
        </is>
      </c>
      <c r="F3" s="4" t="inlineStr">
        <is>
          <t>FY2021 ($m)</t>
        </is>
      </c>
    </row>
    <row r="4">
      <c r="A4" s="5" t="inlineStr">
        <is>
          <t>Credit risk</t>
        </is>
      </c>
      <c r="B4" s="7" t="n"/>
      <c r="C4" s="7" t="n"/>
      <c r="D4" s="7" t="n"/>
      <c r="E4" s="7" t="n"/>
      <c r="F4" s="7" t="n"/>
    </row>
    <row r="5">
      <c r="A5" s="7" t="inlineStr">
        <is>
          <t>Credit risk (excluding CCR)</t>
        </is>
      </c>
      <c r="B5" s="7" t="n">
        <v>65489</v>
      </c>
      <c r="C5" s="7" t="n">
        <v>65425</v>
      </c>
      <c r="D5" s="7" t="n">
        <v>66630</v>
      </c>
      <c r="E5" s="7" t="n">
        <v>74581</v>
      </c>
      <c r="F5" s="7" t="n">
        <v>89824</v>
      </c>
    </row>
    <row r="6">
      <c r="A6" s="7" t="inlineStr">
        <is>
          <t xml:space="preserve">  of which: standardised approach</t>
        </is>
      </c>
      <c r="B6" s="7" t="n">
        <v>13796</v>
      </c>
      <c r="C6" s="7" t="n">
        <v>11425</v>
      </c>
      <c r="D6" s="7" t="n">
        <v>11038</v>
      </c>
      <c r="E6" s="7" t="n">
        <v>10548</v>
      </c>
      <c r="F6" s="7" t="n">
        <v>18575</v>
      </c>
    </row>
    <row r="7">
      <c r="A7" s="7" t="inlineStr">
        <is>
          <t xml:space="preserve">  of which: slotting approach</t>
        </is>
      </c>
      <c r="B7" s="7" t="n">
        <v>2842</v>
      </c>
      <c r="C7" s="7" t="n">
        <v>2313</v>
      </c>
      <c r="D7" s="7" t="n">
        <v>1999</v>
      </c>
      <c r="E7" s="7" t="n">
        <v>2284</v>
      </c>
      <c r="F7" s="7" t="n">
        <v>2415</v>
      </c>
    </row>
    <row r="8">
      <c r="A8" s="7" t="inlineStr">
        <is>
          <t xml:space="preserve">  of which: advanced IRB (AIRB) approach</t>
        </is>
      </c>
      <c r="B8" s="7" t="n">
        <v>48851</v>
      </c>
      <c r="C8" s="7" t="n">
        <v>51688</v>
      </c>
      <c r="D8" s="7" t="n">
        <v>53593</v>
      </c>
      <c r="E8" s="7" t="n">
        <v>61749</v>
      </c>
      <c r="F8" s="7" t="n">
        <v>68834</v>
      </c>
    </row>
    <row r="9">
      <c r="A9" s="5" t="inlineStr">
        <is>
          <t>Counterparty credit risk</t>
        </is>
      </c>
      <c r="B9" s="7" t="n"/>
      <c r="C9" s="7" t="n"/>
      <c r="D9" s="7" t="n"/>
      <c r="E9" s="7" t="n"/>
      <c r="F9" s="7" t="n"/>
    </row>
    <row r="10">
      <c r="A10" s="7" t="inlineStr">
        <is>
          <t>Counterparty credit risk (CCR)</t>
        </is>
      </c>
      <c r="B10" s="7" t="n">
        <v>16773</v>
      </c>
      <c r="C10" s="7" t="n">
        <v>15638</v>
      </c>
      <c r="D10" s="7" t="n">
        <v>14087</v>
      </c>
      <c r="E10" s="7" t="n">
        <v>15888</v>
      </c>
      <c r="F10" s="7" t="n">
        <v>16384</v>
      </c>
    </row>
    <row r="11">
      <c r="A11" s="7" t="inlineStr">
        <is>
          <t xml:space="preserve">  of which: standardised approach</t>
        </is>
      </c>
      <c r="B11" s="7" t="n">
        <v>2891</v>
      </c>
      <c r="C11" s="7" t="n">
        <v>2435</v>
      </c>
      <c r="D11" s="7" t="n">
        <v>2476</v>
      </c>
      <c r="E11" s="7" t="n">
        <v>2971</v>
      </c>
      <c r="F11" s="7" t="n">
        <v>2875</v>
      </c>
    </row>
    <row r="12">
      <c r="A12" s="7" t="inlineStr">
        <is>
          <t xml:space="preserve">  of which: internal model method (IMM)</t>
        </is>
      </c>
      <c r="B12" s="7" t="n">
        <v>7840</v>
      </c>
      <c r="C12" s="7" t="n">
        <v>7798</v>
      </c>
      <c r="D12" s="7" t="n">
        <v>7080</v>
      </c>
      <c r="E12" s="7" t="n">
        <v>7436</v>
      </c>
      <c r="F12" s="7" t="n">
        <v>6340</v>
      </c>
    </row>
    <row r="13">
      <c r="A13" s="7" t="inlineStr">
        <is>
          <t xml:space="preserve">  of which: exposures to a CCP</t>
        </is>
      </c>
      <c r="B13" s="7" t="n">
        <v>1022</v>
      </c>
      <c r="C13" s="7" t="n">
        <v>717</v>
      </c>
      <c r="D13" s="7" t="n">
        <v>719</v>
      </c>
      <c r="E13" s="7" t="n">
        <v>688</v>
      </c>
      <c r="F13" s="7" t="n">
        <v>1009</v>
      </c>
    </row>
    <row r="14">
      <c r="A14" s="7" t="inlineStr">
        <is>
          <t xml:space="preserve">  of which: credit valuation adjustment (CVA)</t>
        </is>
      </c>
      <c r="B14" s="7" t="n">
        <v>1639</v>
      </c>
      <c r="C14" s="7" t="n">
        <v>1824</v>
      </c>
      <c r="D14" s="7" t="n">
        <v>1381</v>
      </c>
      <c r="E14" s="7" t="n">
        <v>1961</v>
      </c>
      <c r="F14" s="7" t="n">
        <v>2890</v>
      </c>
    </row>
    <row r="15">
      <c r="A15" s="7" t="inlineStr">
        <is>
          <t xml:space="preserve">  of which: other CCR</t>
        </is>
      </c>
      <c r="B15" s="7" t="n">
        <v>3382</v>
      </c>
      <c r="C15" s="7" t="n">
        <v>2864</v>
      </c>
      <c r="D15" s="7" t="n">
        <v>2431</v>
      </c>
      <c r="E15" s="7" t="n">
        <v>2832</v>
      </c>
      <c r="F15" s="7" t="n">
        <v>3270</v>
      </c>
    </row>
    <row r="16">
      <c r="A16" s="5" t="inlineStr">
        <is>
          <t>Other risk categories</t>
        </is>
      </c>
      <c r="B16" s="7" t="n"/>
      <c r="C16" s="7" t="n"/>
      <c r="D16" s="7" t="n"/>
      <c r="E16" s="7" t="n"/>
      <c r="F16" s="7" t="n"/>
    </row>
    <row r="17">
      <c r="A17" s="7" t="inlineStr">
        <is>
          <t>Settlement risk</t>
        </is>
      </c>
      <c r="B17" s="7" t="n">
        <v>0</v>
      </c>
      <c r="C17" s="7" t="n">
        <v>0</v>
      </c>
      <c r="D17" s="7" t="n">
        <v>0</v>
      </c>
      <c r="E17" s="7" t="n">
        <v>6</v>
      </c>
      <c r="F17" s="7" t="n">
        <v>4</v>
      </c>
    </row>
    <row r="18">
      <c r="A18" s="7" t="inlineStr">
        <is>
          <t>Securitisation exposures in the banking book</t>
        </is>
      </c>
      <c r="B18" s="7" t="n">
        <v>3429</v>
      </c>
      <c r="C18" s="7" t="n">
        <v>3712</v>
      </c>
      <c r="D18" s="7" t="n">
        <v>4457</v>
      </c>
      <c r="E18" s="7" t="n">
        <v>4830</v>
      </c>
      <c r="F18" s="7" t="n">
        <v>3606</v>
      </c>
    </row>
    <row r="19">
      <c r="A19" s="7" t="inlineStr">
        <is>
          <t>Position, foreign exchange and commodities risks (Market risk)</t>
        </is>
      </c>
      <c r="B19" s="7" t="n">
        <v>22466</v>
      </c>
      <c r="C19" s="7" t="n">
        <v>21914</v>
      </c>
      <c r="D19" s="7" t="n">
        <v>18436</v>
      </c>
      <c r="E19" s="7" t="n">
        <v>17070</v>
      </c>
      <c r="F19" s="7" t="n">
        <v>18582</v>
      </c>
    </row>
    <row r="20">
      <c r="A20" s="7" t="inlineStr">
        <is>
          <t xml:space="preserve">  of which: standardised approach</t>
        </is>
      </c>
      <c r="B20" s="7" t="n">
        <v>10859</v>
      </c>
      <c r="C20" s="7" t="n">
        <v>7905</v>
      </c>
      <c r="D20" s="7" t="n">
        <v>7077</v>
      </c>
      <c r="E20" s="7" t="n">
        <v>5664</v>
      </c>
      <c r="F20" s="7" t="n">
        <v>8039</v>
      </c>
    </row>
    <row r="21">
      <c r="A21" s="7" t="inlineStr">
        <is>
          <t xml:space="preserve">  of which: internal model approach (IMA)</t>
        </is>
      </c>
      <c r="B21" s="7" t="n">
        <v>11607</v>
      </c>
      <c r="C21" s="7" t="n">
        <v>14008</v>
      </c>
      <c r="D21" s="7" t="n">
        <v>11360</v>
      </c>
      <c r="E21" s="7" t="n">
        <v>11406</v>
      </c>
      <c r="F21" s="7" t="n">
        <v>10542</v>
      </c>
    </row>
    <row r="22">
      <c r="A22" s="7" t="inlineStr">
        <is>
          <t>Large exposures</t>
        </is>
      </c>
      <c r="B22" s="7" t="n">
        <v>0</v>
      </c>
      <c r="C22" s="7" t="n">
        <v>0</v>
      </c>
      <c r="D22" s="7" t="n">
        <v>0</v>
      </c>
      <c r="E22" s="7" t="n">
        <v>0</v>
      </c>
      <c r="F22" s="7" t="n">
        <v>0</v>
      </c>
    </row>
    <row r="23">
      <c r="A23" s="7" t="inlineStr">
        <is>
          <t>Operational risk</t>
        </is>
      </c>
      <c r="B23" s="7" t="n">
        <v>15632</v>
      </c>
      <c r="C23" s="7" t="n">
        <v>14258</v>
      </c>
      <c r="D23" s="7" t="n">
        <v>13045</v>
      </c>
      <c r="E23" s="7" t="n">
        <v>12880</v>
      </c>
      <c r="F23" s="7" t="n">
        <v>12701</v>
      </c>
    </row>
    <row r="24">
      <c r="A24" s="7" t="inlineStr">
        <is>
          <t>Amounts below the thresholds for deduction (subject to 250% risk weight)</t>
        </is>
      </c>
      <c r="B24" s="7" t="n">
        <v>6819</v>
      </c>
      <c r="C24" s="7" t="n">
        <v>5427</v>
      </c>
      <c r="D24" s="7" t="n">
        <v>5753</v>
      </c>
      <c r="E24" s="7" t="n">
        <v>5920</v>
      </c>
      <c r="F24" s="7" t="n">
        <v>1060</v>
      </c>
    </row>
    <row r="25">
      <c r="A25" s="7" t="inlineStr">
        <is>
          <t>Floor adjustment</t>
        </is>
      </c>
      <c r="B25" s="7" t="n">
        <v>0</v>
      </c>
      <c r="C25" s="7" t="n">
        <v>0</v>
      </c>
      <c r="D25" s="7" t="n">
        <v>0</v>
      </c>
      <c r="E25" s="7" t="n">
        <v>0</v>
      </c>
      <c r="F25" s="7" t="n">
        <v>0</v>
      </c>
    </row>
    <row r="26">
      <c r="A26" s="5" t="inlineStr">
        <is>
          <t>Total risk weighted assets</t>
        </is>
      </c>
      <c r="B26" s="5" t="n">
        <v>130608</v>
      </c>
      <c r="C26" s="5" t="n">
        <v>126375</v>
      </c>
      <c r="D26" s="5" t="n">
        <v>122408</v>
      </c>
      <c r="E26" s="5" t="n">
        <v>131175</v>
      </c>
      <c r="F26" s="5" t="n">
        <v>142161</v>
      </c>
    </row>
    <row r="28" ht="330" customHeight="1">
      <c r="A28" s="8" t="inlineStr">
        <is>
          <t>SOLO-CONSOLIDATION RWA BREAKDOWN (added 2026-09-15, replacing a 'Not publicly disclosed' block). The same annex of Standard Chartered PLC's Pillar 3 report that carries this entity's capital templates also prints a full OV1-shaped RWA breakdown for it. In each edition the table's FIRST column is headed 'Standard Chartered - Solo consolidation' with 'Local Regulator: PRA' - the identical column heading used by the capital resources table - and the remaining columns are other significant subsidiaries (Standard Chartered Bank (HK) Ltd, Standard Chartered Bank Korea Ltd, Standard Chartered Bank (Singapore) Ltd), which are NOT used here.
FY2025: Full Year 2025 Pillar 3 Disclosure, Table 132 'Overview of RWA - Significant Subsidiaries', 2025 column, p.147 - https://www.sc.com/en/uploads/sites/66/content/docs/standard-chartered-plc-full-year-2025-pillar3-disclosure.pdf
FY2024: Full Year 2024 Pillar 3 Disclosure, Table 136 'Overview of RWA - Significant Subsidiaries', 2024 column, p.170 - https://www.sc.com/en/uploads/sites/66/content/docs/standard-chartered-plc-full-year-2024-pillar3-disclosure.pdf
FY2023: Full Year 2023 Pillar 3 Disclosure, Table 133 'Overview of RWA - Significant Subsidiaries', 2023 column, p.168 - https://www.sc.com/en/uploads/sites/66/content/docs/standard_chartered_plc_pillar3_full_year_2023_report.pdf
FY2022: Full Year 2022 Pillar 3 Disclosure, Table 128 'Overview of RWA - Large Subsidiaries' (the table was renamed 'Significant Subsidiaries' from the FY2023 edition), 2022 column, p.132 - https://www.sc.com/en/uploads/sites/66/content/docs/standard_chartered_plc_pillar3_full_year_2022_report.pdf
FY2021: the FY2022 edition's 2021 comparative column (Table 128 continued). The FY2021 Pillar 3 edition has no solo-consolidation section at all, so this comparative is the only source for that year - the same position as the capital sheets.
VALIDATION: every year's categories sum to that year's own printed total with no residual (FY2025 65,489+16,773+3,429+22,466+15,632+6,819 = 130,608; FY2023 = 122,408; FY2022 including 6 of settlement risk = 131,175; FY2021 including 4 of settlement risk = 142,161). Four of the five totals also reproduce the Total RWAs sheet exactly.
KNOWN 8 $M DIFFERENCE AT FY2024 - NOT AN ERROR IN EITHER SHEET. This sheet's FY2024 total is 126,375, while the Total RWAs sheet carries 126,383. Both figures are printed in the SAME FY2024 Pillar 3 edition, in two different tables: Table 112 'Capital resources of significant subsidiaries' (p.153) gives 126,383, and Table 136 (this sheet's source, p.170) gives 126,375. The document itself flags why, in the narrative above Table 112: 'The significant subsidiary data is subject to change due to local timing and local regulatory requirements.' Each sheet carries the figure printed in its own source table and neither has been adjusted toward the other. The FY2025 edition's 2024 comparative reproduces 126,375, confirming the OV1 figure is stable rather than a misprint. DO NOT reconcile these by editing either sheet. The other four years agree across both tables.
Values are $million on the solo-consolidated basis. 'Settlement risk', 'Large exposures' and 'Floor adjustment' are printed as nil ('-') in the source and are carried as 0; settlement risk is genuinely non-zero only at FY2022 (6) and FY2021 (4).
BASIS: Standard Chartered Bank on the SOLO-CONSOLIDATED basis, which is the basis on which the PRA sets this entity's capital requirements. It comprises Standard Chartered Bank (Company) plus the full consolidation of four subsidiaries (Standard Chartered Holdings (International) B.V., Standard Chartered Grindlays PTY Limited, SCMB Overseas Limited and Corrasi Covered Bonds LLP). This is a regulatory perimeter headed by this entity, NOT the Standard Chartered PLC listed group. It is therefore a different basis from the Balance Sheet, Cash Flow and Statement of Changes in Equity sheets in this workbook, which use the narrower standalone Bank Company column - do not divide figures across the two bases.</t>
        </is>
      </c>
    </row>
  </sheetData>
  <mergeCells count="1">
    <mergeCell ref="A28:F28"/>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58" customWidth="1" min="1" max="1"/>
    <col width="15" customWidth="1" min="2" max="2"/>
    <col width="15" customWidth="1" min="3" max="3"/>
    <col width="15" customWidth="1" min="4" max="4"/>
    <col width="15" customWidth="1" min="5" max="5"/>
    <col width="15" customWidth="1" min="6" max="6"/>
  </cols>
  <sheetData>
    <row r="1">
      <c r="A1" s="1" t="inlineStr">
        <is>
          <t>Standard Chartered Bank (standalone Company basis) — Leverage Ratio</t>
        </is>
      </c>
    </row>
    <row r="2">
      <c r="A2" s="2" t="inlineStr">
        <is>
          <t>% (UK leverage exposure)</t>
        </is>
      </c>
    </row>
    <row r="3">
      <c r="A3" s="4" t="inlineStr">
        <is>
          <t>Metric</t>
        </is>
      </c>
      <c r="B3" s="4" t="inlineStr">
        <is>
          <t>FY2025</t>
        </is>
      </c>
      <c r="C3" s="4" t="inlineStr">
        <is>
          <t>FY2024</t>
        </is>
      </c>
      <c r="D3" s="4" t="inlineStr">
        <is>
          <t>FY2023</t>
        </is>
      </c>
      <c r="E3" s="4" t="inlineStr">
        <is>
          <t>FY2022</t>
        </is>
      </c>
      <c r="F3" s="4" t="inlineStr">
        <is>
          <t>FY2021</t>
        </is>
      </c>
    </row>
    <row r="4">
      <c r="A4" s="7" t="inlineStr">
        <is>
          <t>Leverage ratio excluding claims on central banks — solo-consolidated basis</t>
        </is>
      </c>
      <c r="B4" s="7" t="inlineStr">
        <is>
          <t>4.2%</t>
        </is>
      </c>
      <c r="C4" s="7" t="inlineStr">
        <is>
          <t>4.5%</t>
        </is>
      </c>
      <c r="D4" s="7" t="inlineStr">
        <is>
          <t>4.4%</t>
        </is>
      </c>
      <c r="E4" s="7" t="inlineStr">
        <is>
          <t>4.2%</t>
        </is>
      </c>
      <c r="F4" s="7" t="inlineStr">
        <is>
          <t>4.1%</t>
        </is>
      </c>
    </row>
    <row r="5" ht="60" customHeight="1">
      <c r="A5" s="6" t="inlineStr">
        <is>
          <t>Note: BASIS: Standard Chartered Bank on the SOLO-CONSOLIDATED basis, which is the basis on which the PRA sets this entity's capital requirements. It comprises Standard Chartered Bank (Company) plus the full consolidation of four subsidiaries (Standard Chartered Holdings (International) B.V., Standard Chartered Grindlays PTY Limited, SCMB Overseas Limited and Corrasi Covered Bonds LLP). This is a regulatory perimeter headed by this entity, NOT the Standard Chartered PLC listed group. It is therefore a different basis from the Balance Sheet, Cash Flow and Statement of Changes in Equity sheets in this workbook, which use the narrower standalone Bank Company column - do not divide figures across the two bases. Row 25 of the UK LR2 template is reported as 'Leverage ratio EXCLUDING claims on central banks' - that is the only leverage ratio the UK template discloses, not a variant chosen here.</t>
        </is>
      </c>
    </row>
    <row r="7" ht="300" customHeight="1">
      <c r="A7" s="8" t="inlineStr">
        <is>
          <t>SOLO-CONSOLIDATION REGULATORY SOURCES (added 2026-09-15). Each year is taken from that year's OWN Pillar 3 edition, and every year was additionally cross-checked against the following edition's comparative column:
FY2025: Standard Chartered PLC Full Year 2025 Pillar 3 Disclosure, Table 109 'Composition of regulatory own funds (UK CC1) - Solo consolidation', rows 29/45/59/60/61/62/63 - https://www.sc.com/en/uploads/sites/66/content/docs/standard-chartered-plc-full-year-2025-pillar3-disclosure.pdf
FY2024: Standard Chartered PLC Full Year 2024 Pillar 3 Disclosure, Table 113 (same UK CC1 solo template) - https://www.sc.com/en/uploads/sites/66/content/docs/standard-chartered-plc-full-year-2024-pillar3-disclosure.pdf
FY2023: Standard Chartered PLC Full Year 2023 Pillar 3 Disclosure, Table 110 (same UK CC1 solo template) - https://www.sc.com/en/uploads/sites/66/content/docs/standard_chartered_plc_pillar3_full_year_2023_report.pdf
FY2022: Standard Chartered PLC Full Year 2022 Pillar 3 Disclosure, Table 106 (same UK CC1 solo template) - https://www.sc.com/en/uploads/sites/66/content/docs/standard_chartered_plc_pillar3_full_year_2022_report.pdf
FY2021: the FY2022 edition's 2021 comparative column (Table 106). The FY2021 Pillar 3 edition contains NO solo-consolidation section at all - the section was introduced in the FY2022 edition - so the comparative is the only source for that year.
SOURCE DEFECT FOUND AND AVOIDED: the FY2025 edition's 2024 comparative column misprints the three capital RATIO rows, showing 12.0%/15.2%/22.6% - which are FY2023's ratios - against FY2024 amounts. Those ratios do not reconcile with the amounts printed beside them (14,730/126,383 = 11.7%, not 12.0%). FY2024's ratios here are taken from the FY2024 edition's own column (11.7%/15.0%/21.5%), which reconcile exactly and whose FY2023 comparative reproduces the FY2023 edition line for line. Do not 'correct' these to the FY2025 edition's comparative.
ENTITY CHECK: Standard Chartered PLC group total RWA at FY2023 is 244,151 $m (group UK KM1) against 122,408 $m on this solo-consolidated basis, confirming these are the Bank entity's figures and not the listed parent's.
LEVERAGE: Table 'LRCom: Leverage ratio common disclosure (UK LR2) - Solo consolidation', row 25, in each edition (FY2025 Table 114; FY2024 Table 118; FY2023 Table 115; FY2022 Table 111; FY2021 from the FY2022 edition's comparative). Every year appears in two consecutive editions and agrees in both.</t>
        </is>
      </c>
    </row>
  </sheetData>
  <mergeCells count="2">
    <mergeCell ref="A5:F5"/>
    <mergeCell ref="A7:F7"/>
  </mergeCell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58" customWidth="1" min="1" max="1"/>
    <col width="15" customWidth="1" min="2" max="2"/>
    <col width="15" customWidth="1" min="3" max="3"/>
    <col width="15" customWidth="1" min="4" max="4"/>
    <col width="15" customWidth="1" min="5" max="5"/>
    <col width="15" customWidth="1" min="6" max="6"/>
  </cols>
  <sheetData>
    <row r="1">
      <c r="A1" s="1" t="inlineStr">
        <is>
          <t>Standard Chartered Bank (standalone Company basis) — LCR</t>
        </is>
      </c>
    </row>
    <row r="2">
      <c r="A2" s="2" t="inlineStr">
        <is>
          <t>% (12-month average)</t>
        </is>
      </c>
    </row>
    <row r="3">
      <c r="A3" s="4" t="inlineStr">
        <is>
          <t>Metric</t>
        </is>
      </c>
      <c r="B3" s="4" t="inlineStr">
        <is>
          <t>FY2025</t>
        </is>
      </c>
      <c r="C3" s="4" t="inlineStr">
        <is>
          <t>FY2024</t>
        </is>
      </c>
      <c r="D3" s="4" t="inlineStr">
        <is>
          <t>FY2023</t>
        </is>
      </c>
      <c r="E3" s="4" t="inlineStr">
        <is>
          <t>FY2022</t>
        </is>
      </c>
      <c r="F3" s="4" t="inlineStr">
        <is>
          <t>FY2021</t>
        </is>
      </c>
    </row>
    <row r="4">
      <c r="A4" s="7" t="inlineStr">
        <is>
          <t>Liquidity coverage ratio — solo-consolidated basis, 12-month average to 31 December</t>
        </is>
      </c>
      <c r="B4" s="7" t="inlineStr">
        <is>
          <t>169.2%</t>
        </is>
      </c>
      <c r="C4" s="7" t="inlineStr">
        <is>
          <t>152.7%</t>
        </is>
      </c>
      <c r="D4" s="7" t="inlineStr">
        <is>
          <t>162.1%</t>
        </is>
      </c>
      <c r="E4" s="7" t="inlineStr">
        <is>
          <t>154%</t>
        </is>
      </c>
      <c r="F4" s="7" t="inlineStr">
        <is>
          <t>Not publicly disclosed</t>
        </is>
      </c>
    </row>
    <row r="5" ht="60" customHeight="1">
      <c r="A5" s="6" t="inlineStr">
        <is>
          <t>Note: BASIS: Standard Chartered Bank on the SOLO-CONSOLIDATED basis, which is the basis on which the PRA sets this entity's capital requirements. It comprises Standard Chartered Bank (Company) plus the full consolidation of four subsidiaries (Standard Chartered Holdings (International) B.V., Standard Chartered Grindlays PTY Limited, SCMB Overseas Limited and Corrasi Covered Bonds LLP). This is a regulatory perimeter headed by this entity, NOT the Standard Chartered PLC listed group. It is therefore a different basis from the Balance Sheet, Cash Flow and Statement of Changes in Equity sheets in this workbook, which use the narrower standalone Bank Company column - do not divide figures across the two bases. This is a 12-month AVERAGE, not a point-in-time year-end ratio - the two are not interchangeable.</t>
        </is>
      </c>
    </row>
    <row r="7" ht="300" customHeight="1">
      <c r="A7" s="8" t="inlineStr">
        <is>
          <t>SOLO-CONSOLIDATION REGULATORY SOURCES (added 2026-09-15). Each year is taken from that year's OWN Pillar 3 edition, and every year was additionally cross-checked against the following edition's comparative column:
FY2025: Standard Chartered PLC Full Year 2025 Pillar 3 Disclosure, Table 109 'Composition of regulatory own funds (UK CC1) - Solo consolidation', rows 29/45/59/60/61/62/63 - https://www.sc.com/en/uploads/sites/66/content/docs/standard-chartered-plc-full-year-2025-pillar3-disclosure.pdf
FY2024: Standard Chartered PLC Full Year 2024 Pillar 3 Disclosure, Table 113 (same UK CC1 solo template) - https://www.sc.com/en/uploads/sites/66/content/docs/standard-chartered-plc-full-year-2024-pillar3-disclosure.pdf
FY2023: Standard Chartered PLC Full Year 2023 Pillar 3 Disclosure, Table 110 (same UK CC1 solo template) - https://www.sc.com/en/uploads/sites/66/content/docs/standard_chartered_plc_pillar3_full_year_2023_report.pdf
FY2022: Standard Chartered PLC Full Year 2022 Pillar 3 Disclosure, Table 106 (same UK CC1 solo template) - https://www.sc.com/en/uploads/sites/66/content/docs/standard_chartered_plc_pillar3_full_year_2022_report.pdf
FY2021: the FY2022 edition's 2021 comparative column (Table 106). The FY2021 Pillar 3 edition contains NO solo-consolidation section at all - the section was introduced in the FY2022 edition - so the comparative is the only source for that year.
SOURCE DEFECT FOUND AND AVOIDED: the FY2025 edition's 2024 comparative column misprints the three capital RATIO rows, showing 12.0%/15.2%/22.6% - which are FY2023's ratios - against FY2024 amounts. Those ratios do not reconcile with the amounts printed beside them (14,730/126,383 = 11.7%, not 12.0%). FY2024's ratios here are taken from the FY2024 edition's own column (11.7%/15.0%/21.5%), which reconcile exactly and whose FY2023 comparative reproduces the FY2023 edition line for line. Do not 'correct' these to the FY2025 edition's comparative.
ENTITY CHECK: Standard Chartered PLC group total RWA at FY2023 is 244,151 $m (group UK KM1) against 122,408 $m on this solo-consolidated basis, confirming these are the Bank entity's figures and not the listed parent's.
LCR: Table 'Liquidity Coverage Ratio (LCR) (UK LIQ1) - Solo consolidation', row 23, in each edition (FY2025 Table 125; FY2024; FY2023 Table 126; FY2022). The template reports four quarterly columns, each a 12-month average; the figure carried here is the 31 December column, i.e. the average of the 12 months to the year end. FY2021: the FY2021 Pillar 3 edition has no solo-consolidation section (that section begins with the FY2022 edition) and the FY2022 edition's LIQ1 solo table covers only 2022's own four quarters, so no solo FY2021 LCR exists. Not derived.</t>
        </is>
      </c>
    </row>
  </sheetData>
  <mergeCells count="2">
    <mergeCell ref="A5:F5"/>
    <mergeCell ref="A7:F7"/>
  </mergeCell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58" customWidth="1" min="1" max="1"/>
    <col width="15" customWidth="1" min="2" max="2"/>
    <col width="15" customWidth="1" min="3" max="3"/>
    <col width="15" customWidth="1" min="4" max="4"/>
    <col width="15" customWidth="1" min="5" max="5"/>
    <col width="15" customWidth="1" min="6" max="6"/>
  </cols>
  <sheetData>
    <row r="1">
      <c r="A1" s="1" t="inlineStr">
        <is>
          <t>Standard Chartered Bank (standalone Company basis) — NSFR</t>
        </is>
      </c>
    </row>
    <row r="2">
      <c r="A2" s="2" t="inlineStr">
        <is>
          <t>% (average)</t>
        </is>
      </c>
    </row>
    <row r="3">
      <c r="A3" s="4" t="inlineStr">
        <is>
          <t>Metric</t>
        </is>
      </c>
      <c r="B3" s="4" t="inlineStr">
        <is>
          <t>FY2025</t>
        </is>
      </c>
      <c r="C3" s="4" t="inlineStr">
        <is>
          <t>FY2024</t>
        </is>
      </c>
      <c r="D3" s="4" t="inlineStr">
        <is>
          <t>FY2023</t>
        </is>
      </c>
      <c r="E3" s="4" t="inlineStr">
        <is>
          <t>FY2022</t>
        </is>
      </c>
      <c r="F3" s="4" t="inlineStr">
        <is>
          <t>FY2021</t>
        </is>
      </c>
    </row>
    <row r="4">
      <c r="A4" s="7" t="inlineStr">
        <is>
          <t>Net stable funding ratio — solo-consolidated basis</t>
        </is>
      </c>
      <c r="B4" s="7" t="inlineStr">
        <is>
          <t>122.7%</t>
        </is>
      </c>
      <c r="C4" s="7" t="inlineStr">
        <is>
          <t>121.4%</t>
        </is>
      </c>
      <c r="D4" s="7" t="inlineStr">
        <is>
          <t>121.9%</t>
        </is>
      </c>
      <c r="E4" s="7" t="inlineStr">
        <is>
          <t>117.6%</t>
        </is>
      </c>
      <c r="F4" s="7" t="inlineStr">
        <is>
          <t>Not applicable</t>
        </is>
      </c>
    </row>
    <row r="5" ht="60" customHeight="1">
      <c r="A5" s="6" t="inlineStr">
        <is>
          <t>Note: BASIS: Standard Chartered Bank on the SOLO-CONSOLIDATED basis, which is the basis on which the PRA sets this entity's capital requirements. It comprises Standard Chartered Bank (Company) plus the full consolidation of four subsidiaries (Standard Chartered Holdings (International) B.V., Standard Chartered Grindlays PTY Limited, SCMB Overseas Limited and Corrasi Covered Bonds LLP). This is a regulatory perimeter headed by this entity, NOT the Standard Chartered PLC listed group. It is therefore a different basis from the Balance Sheet, Cash Flow and Statement of Changes in Equity sheets in this workbook, which use the narrower standalone Bank Company column - do not divide figures across the two bases.</t>
        </is>
      </c>
    </row>
    <row r="7" ht="300" customHeight="1">
      <c r="A7" s="8" t="inlineStr">
        <is>
          <t>SOLO-CONSOLIDATION REGULATORY SOURCES (added 2026-09-15). Each year is taken from that year's OWN Pillar 3 edition, and every year was additionally cross-checked against the following edition's comparative column:
FY2025: Standard Chartered PLC Full Year 2025 Pillar 3 Disclosure, Table 109 'Composition of regulatory own funds (UK CC1) - Solo consolidation', rows 29/45/59/60/61/62/63 - https://www.sc.com/en/uploads/sites/66/content/docs/standard-chartered-plc-full-year-2025-pillar3-disclosure.pdf
FY2024: Standard Chartered PLC Full Year 2024 Pillar 3 Disclosure, Table 113 (same UK CC1 solo template) - https://www.sc.com/en/uploads/sites/66/content/docs/standard-chartered-plc-full-year-2024-pillar3-disclosure.pdf
FY2023: Standard Chartered PLC Full Year 2023 Pillar 3 Disclosure, Table 110 (same UK CC1 solo template) - https://www.sc.com/en/uploads/sites/66/content/docs/standard_chartered_plc_pillar3_full_year_2023_report.pdf
FY2022: Standard Chartered PLC Full Year 2022 Pillar 3 Disclosure, Table 106 (same UK CC1 solo template) - https://www.sc.com/en/uploads/sites/66/content/docs/standard_chartered_plc_pillar3_full_year_2022_report.pdf
FY2021: the FY2022 edition's 2021 comparative column (Table 106). The FY2021 Pillar 3 edition contains NO solo-consolidation section at all - the section was introduced in the FY2022 edition - so the comparative is the only source for that year.
SOURCE DEFECT FOUND AND AVOIDED: the FY2025 edition's 2024 comparative column misprints the three capital RATIO rows, showing 12.0%/15.2%/22.6% - which are FY2023's ratios - against FY2024 amounts. Those ratios do not reconcile with the amounts printed beside them (14,730/126,383 = 11.7%, not 12.0%). FY2024's ratios here are taken from the FY2024 edition's own column (11.7%/15.0%/21.5%), which reconcile exactly and whose FY2023 comparative reproduces the FY2023 edition line for line. Do not 'correct' these to the FY2025 edition's comparative.
ENTITY CHECK: Standard Chartered PLC group total RWA at FY2023 is 244,151 $m (group UK KM1) against 122,408 $m on this solo-consolidated basis, confirming these are the Bank entity's figures and not the listed parent's.
NSFR: Table 'Net Stable Funding Ratio (UK LIQ2) - Solo consolidation', row 34, in each edition (FY2025 Table 126; FY2024 Table 130; FY2023 Table 127; FY2022 Table 123). Each edition prints row 34 twice - the first occurrence is that edition's own year and the second is the prior-year comparative - which gives a complete cross-check: FY2024 reads 121.4% in both the FY2024 edition's own column and the FY2025 edition's comparative; FY2023 reads 121.9% in both the FY2023 and FY2024 editions; FY2022 reads 117.6% in both the FY2022 and FY2023 editions.
FY2021 is 'Not applicable' rather than blank: the UK had no NSFR requirement and no NSFR disclosure template before 1 January 2022 (PRA PS17/21 / PS22/21, 'Implementation of Basel standards'), and the FY2021 Pillar 3 edition accordingly contains no solo-consolidation section or NSFR table.</t>
        </is>
      </c>
    </row>
  </sheetData>
  <mergeCells count="2">
    <mergeCell ref="A5:F5"/>
    <mergeCell ref="A7:F7"/>
  </mergeCell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58" customWidth="1" min="1" max="1"/>
    <col width="15" customWidth="1" min="2" max="2"/>
    <col width="15" customWidth="1" min="3" max="3"/>
    <col width="15" customWidth="1" min="4" max="4"/>
    <col width="15" customWidth="1" min="5" max="5"/>
    <col width="15" customWidth="1" min="6" max="6"/>
  </cols>
  <sheetData>
    <row r="1">
      <c r="A1" s="1" t="inlineStr">
        <is>
          <t>Standard Chartered Bank (standalone Company basis) — MREL Ratio</t>
        </is>
      </c>
    </row>
    <row r="2">
      <c r="A2" s="2" t="inlineStr">
        <is>
          <t>$million / %</t>
        </is>
      </c>
    </row>
    <row r="3">
      <c r="A3" s="4" t="inlineStr">
        <is>
          <t>Metric</t>
        </is>
      </c>
      <c r="B3" s="4" t="inlineStr">
        <is>
          <t>FY2025</t>
        </is>
      </c>
      <c r="C3" s="4" t="inlineStr">
        <is>
          <t>FY2024</t>
        </is>
      </c>
      <c r="D3" s="4" t="inlineStr">
        <is>
          <t>FY2023</t>
        </is>
      </c>
      <c r="E3" s="4" t="inlineStr">
        <is>
          <t>FY2022</t>
        </is>
      </c>
      <c r="F3" s="4" t="inlineStr">
        <is>
          <t>FY2021</t>
        </is>
      </c>
    </row>
    <row r="4">
      <c r="A4" s="7" t="inlineStr">
        <is>
          <t>MREL Ratio — standalone Bank Company basis</t>
        </is>
      </c>
      <c r="B4" s="7" t="inlineStr">
        <is>
          <t>Not publicly disclosed</t>
        </is>
      </c>
      <c r="C4" s="7" t="inlineStr">
        <is>
          <t>Not publicly disclosed</t>
        </is>
      </c>
      <c r="D4" s="7" t="inlineStr">
        <is>
          <t>Not publicly disclosed</t>
        </is>
      </c>
      <c r="E4" s="7" t="inlineStr">
        <is>
          <t>Not publicly disclosed</t>
        </is>
      </c>
      <c r="F4" s="7" t="inlineStr">
        <is>
          <t>Not publicly disclosed</t>
        </is>
      </c>
    </row>
    <row r="5" ht="60" customHeight="1">
      <c r="A5" s="6" t="inlineStr">
        <is>
          <t>Note: No solo-consolidated MREL ratio is disclosed. MREL requirements are set for UK resolution entities; the resolution entity in this group is Standard Chartered PLC, not this Bank entity, so a group MREL figure would not be an entity-level substitute.</t>
        </is>
      </c>
    </row>
    <row r="7" ht="230" customHeight="1">
      <c r="A7" s="8" t="inlineStr">
        <is>
          <t>Sources - standalone Standard Chartered Bank Company cash flows, $million:
FY2025: Directors' Report and Financial Statements 2025, cash flow statement p.89 - https://www.sc.com/en/uploads/sites/66/content/docs/sc-bank-2025-report.pdf
FY2024: Directors' Report and Financial Statements 2024, cash flow statement p.89 - https://www.sc.com/en/uploads/sites/66/content/docs/sc-bank-2024-results.pdf
FY2023: Directors' Report and Financial Statements 2023, cash flow statements p.165 - https://www.sc.com/EN/uploads/sites/66/content/docs/sc-bank-2023-annual-report.pdf
FY2022: Directors' Report and Financial Statements 2022, cash flow statements p.172 - https://www.sc.com/en/uploads/sites/66/content/docs/sc-bank-2022-annual-report.pdf
FY2021: Directors' Report and Financial Statements 2021, cash flow statements p.172 - https://www.sc.com/EN/uploads/sites/66/content/docs/sc-bank-2021-results.pdf
Entity filing history and identity: Companies House ZC000018 - https://find-and-update.company-information.service.gov.uk/company/ZC000018/filing-history
ENTITY AND BASIS: Standard Chartered Bank (Companies House Royal Charter reference ZC000018, FRN 114276) is incorporated in England with limited liability by Royal Charter 1853. The source reports distinguish Standard Chartered Bank Group (the Bank and subsidiaries) from Standard Chartered Bank Company (the standalone legal entity). All cash-flow rows in this workbook use the Company column only.
REGULATORY BASIS: no standalone Company KM1 series exists, because the PRA sets this entity's capital requirements on a SOLO-CONSOLIDATED basis - the Company plus four subsidiaries (Standard Chartered Holdings (International) B.V., Standard Chartered Grindlays Pty Limited, SCMB Overseas Limited and Corrasi Covered Bonds LLP). The Pillar 3 metric sheets and the RWA Breakdown sheet in this workbook therefore carry solo-consolidated figures, taken from the solo-consolidation section of Standard Chartered PLC's Pillar 3 reports (added 2026-09-15). Standard Chartered PLC GROUP figures are a different and much larger basis and have NOT been substituted anywhere. The balance sheet, cash flow, equity and asset quality sheets remain on the standalone Company basis, so figures must not be divided across the two.</t>
        </is>
      </c>
    </row>
  </sheetData>
  <mergeCells count="2">
    <mergeCell ref="A5:F5"/>
    <mergeCell ref="A7:F7"/>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2026-09-15T16:37:30Z</dcterms:created>
  <dcterms:modified xmlns:dcterms="http://purl.org/dc/terms/" xmlns:xsi="http://www.w3.org/2001/XMLSchema-instance" xsi:type="dcterms:W3CDTF">2026-09-15T16:37:30Z</dcterms:modified>
</cp:coreProperties>
</file>