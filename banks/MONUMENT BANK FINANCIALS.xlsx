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B2C6F"/>
        <bgColor rgb="005B2C6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Monument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Monument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ser>
          <idx val="3"/>
          <order val="3"/>
          <tx>
            <strRef>
              <f>'Overview'!S16</f>
            </strRef>
          </tx>
          <spPr>
            <a:ln xmlns:a="http://schemas.openxmlformats.org/drawingml/2006/main">
              <a:prstDash val="solid"/>
            </a:ln>
          </spPr>
          <cat>
            <numRef>
              <f>'Overview'!$T$12:$Y$12</f>
            </numRef>
          </cat>
          <val>
            <numRef>
              <f>'Overview'!$T$16:$Y$16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Monument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'Overview'!AB20</f>
            </strRef>
          </tx>
          <spPr>
            <a:ln xmlns:a="http://schemas.openxmlformats.org/drawingml/2006/main">
              <a:prstDash val="solid"/>
            </a:ln>
          </spPr>
          <cat>
            <numRef>
              <f>'Overview'!$AC$19:$AH$19</f>
            </numRef>
          </cat>
          <val>
            <numRef>
              <f>'Overview'!$AC$20:$AH$20</f>
            </numRef>
          </val>
        </ser>
        <ser>
          <idx val="1"/>
          <order val="1"/>
          <tx>
            <strRef>
              <f>'Overview'!AB21</f>
            </strRef>
          </tx>
          <spPr>
            <a:ln xmlns:a="http://schemas.openxmlformats.org/drawingml/2006/main">
              <a:prstDash val="solid"/>
            </a:ln>
          </spPr>
          <cat>
            <numRef>
              <f>'Overview'!$AC$19:$AH$19</f>
            </numRef>
          </cat>
          <val>
            <numRef>
              <f>'Overview'!$AC$21:$AH$21</f>
            </numRef>
          </val>
        </ser>
        <ser>
          <idx val="2"/>
          <order val="2"/>
          <tx>
            <strRef>
              <f>'Overview'!AB22</f>
            </strRef>
          </tx>
          <spPr>
            <a:ln xmlns:a="http://schemas.openxmlformats.org/drawingml/2006/main">
              <a:prstDash val="solid"/>
            </a:ln>
          </spPr>
          <cat>
            <numRef>
              <f>'Overview'!$AC$19:$AH$19</f>
            </numRef>
          </cat>
          <val>
            <numRef>
              <f>'Overview'!$AC$22:$AH$22</f>
            </numRef>
          </val>
        </ser>
        <ser>
          <idx val="3"/>
          <order val="3"/>
          <tx>
            <strRef>
              <f>'Overview'!AB23</f>
            </strRef>
          </tx>
          <spPr>
            <a:ln xmlns:a="http://schemas.openxmlformats.org/drawingml/2006/main">
              <a:prstDash val="solid"/>
            </a:ln>
          </spPr>
          <cat>
            <numRef>
              <f>'Overview'!$AC$19:$AH$19</f>
            </numRef>
          </cat>
          <val>
            <numRef>
              <f>'Overview'!$AC$23:$AH$23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Monument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'Overview'!AK27</f>
            </strRef>
          </tx>
          <spPr>
            <a:ln xmlns:a="http://schemas.openxmlformats.org/drawingml/2006/main">
              <a:prstDash val="solid"/>
            </a:ln>
          </spPr>
          <cat>
            <numRef>
              <f>'Overview'!$AL$26:$AQ$26</f>
            </numRef>
          </cat>
          <val>
            <numRef>
              <f>'Overview'!$AL$27:$AQ$27</f>
            </numRef>
          </val>
        </ser>
        <ser>
          <idx val="1"/>
          <order val="1"/>
          <tx>
            <strRef>
              <f>'Overview'!AK28</f>
            </strRef>
          </tx>
          <spPr>
            <a:ln xmlns:a="http://schemas.openxmlformats.org/drawingml/2006/main">
              <a:prstDash val="solid"/>
            </a:ln>
          </spPr>
          <cat>
            <numRef>
              <f>'Overview'!$AL$26:$AQ$26</f>
            </numRef>
          </cat>
          <val>
            <numRef>
              <f>'Overview'!$AL$28:$AQ$28</f>
            </numRef>
          </val>
        </ser>
        <ser>
          <idx val="2"/>
          <order val="2"/>
          <tx>
            <strRef>
              <f>'Overview'!AK29</f>
            </strRef>
          </tx>
          <spPr>
            <a:ln xmlns:a="http://schemas.openxmlformats.org/drawingml/2006/main">
              <a:prstDash val="solid"/>
            </a:ln>
          </spPr>
          <cat>
            <numRef>
              <f>'Overview'!$AL$26:$AQ$26</f>
            </numRef>
          </cat>
          <val>
            <numRef>
              <f>'Overview'!$AL$29:$AQ$29</f>
            </numRef>
          </val>
        </ser>
        <ser>
          <idx val="3"/>
          <order val="3"/>
          <tx>
            <strRef>
              <f>'Overview'!AK30</f>
            </strRef>
          </tx>
          <spPr>
            <a:ln xmlns:a="http://schemas.openxmlformats.org/drawingml/2006/main">
              <a:prstDash val="solid"/>
            </a:ln>
          </spPr>
          <cat>
            <numRef>
              <f>'Overview'!$AL$26:$AQ$26</f>
            </numRef>
          </cat>
          <val>
            <numRef>
              <f>'Overview'!$AL$30:$AQ$30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Monument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Monument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5142928</v>
      </c>
      <c r="D6" s="5" t="n">
        <v>1047790</v>
      </c>
      <c r="E6" s="5" t="n">
        <v>185059.901</v>
      </c>
      <c r="F6" s="5" t="n">
        <v>45557.014</v>
      </c>
      <c r="G6" s="5" t="n">
        <v>26744.658</v>
      </c>
      <c r="J6" t="inlineStr">
        <is>
          <t>Total assets</t>
        </is>
      </c>
      <c r="K6" t="n">
        <v>26744.658</v>
      </c>
      <c r="L6" t="n">
        <v>45557.014</v>
      </c>
      <c r="M6" t="n">
        <v>185059.901</v>
      </c>
      <c r="N6" t="n">
        <v>1047790</v>
      </c>
      <c r="O6" t="n">
        <v>5142928</v>
      </c>
      <c r="AT6" t="inlineStr">
        <is>
          <t>CET1 Ratio</t>
        </is>
      </c>
      <c r="AX6" t="n">
        <v>22</v>
      </c>
      <c r="AY6" t="n">
        <v>20</v>
      </c>
    </row>
    <row r="7">
      <c r="A7" s="5" t="inlineStr">
        <is>
          <t>Loans and advances to customers</t>
        </is>
      </c>
      <c r="B7" s="5" t="n"/>
      <c r="C7" s="5" t="n">
        <v>173839</v>
      </c>
      <c r="D7" s="5" t="n">
        <v>139689</v>
      </c>
      <c r="E7" s="5" t="n">
        <v>93371.11500000001</v>
      </c>
      <c r="F7" s="5" t="n">
        <v>759.085</v>
      </c>
      <c r="G7" s="5" t="n"/>
      <c r="J7" t="inlineStr">
        <is>
          <t>Loans and advances to customers</t>
        </is>
      </c>
      <c r="L7" t="n">
        <v>759.085</v>
      </c>
      <c r="M7" t="n">
        <v>93371.11500000001</v>
      </c>
      <c r="N7" t="n">
        <v>139689</v>
      </c>
      <c r="O7" t="n">
        <v>173839</v>
      </c>
      <c r="AT7" t="inlineStr">
        <is>
          <t>Total Capital Ratio</t>
        </is>
      </c>
      <c r="AU7" t="n">
        <v>359</v>
      </c>
      <c r="AV7" t="n">
        <v>529</v>
      </c>
      <c r="AW7" t="n">
        <v>44</v>
      </c>
    </row>
    <row r="8">
      <c r="A8" s="5" t="inlineStr">
        <is>
          <t>Customer deposits</t>
        </is>
      </c>
      <c r="B8" s="5" t="n"/>
      <c r="C8" s="5" t="n">
        <v>5069724</v>
      </c>
      <c r="D8" s="5" t="n">
        <v>990502</v>
      </c>
      <c r="E8" s="5" t="n">
        <v>147657.857</v>
      </c>
      <c r="F8" s="5" t="n">
        <v>2093.036</v>
      </c>
      <c r="G8" s="5" t="n"/>
      <c r="J8" t="inlineStr">
        <is>
          <t>Customer deposits</t>
        </is>
      </c>
      <c r="L8" t="n">
        <v>2093.036</v>
      </c>
      <c r="M8" t="n">
        <v>147657.857</v>
      </c>
      <c r="N8" t="n">
        <v>990502</v>
      </c>
      <c r="O8" t="n">
        <v>5069724</v>
      </c>
      <c r="AT8" t="inlineStr">
        <is>
          <t>Leverage Ratio</t>
        </is>
      </c>
      <c r="AX8" t="n">
        <v>4.1</v>
      </c>
      <c r="AY8" t="n">
        <v>3.9</v>
      </c>
    </row>
    <row r="9">
      <c r="A9" s="5" t="inlineStr">
        <is>
          <t>Total equity</t>
        </is>
      </c>
      <c r="B9" s="5" t="n"/>
      <c r="C9" s="5" t="n">
        <v>69749</v>
      </c>
      <c r="D9" s="5" t="n">
        <v>53693</v>
      </c>
      <c r="E9" s="5" t="n">
        <v>34656.556</v>
      </c>
      <c r="F9" s="5" t="n">
        <v>42123.273</v>
      </c>
      <c r="G9" s="5" t="n">
        <v>25197.089</v>
      </c>
      <c r="J9" t="inlineStr">
        <is>
          <t>Total equity</t>
        </is>
      </c>
      <c r="K9" t="n">
        <v>25197.089</v>
      </c>
      <c r="L9" t="n">
        <v>42123.273</v>
      </c>
      <c r="M9" t="n">
        <v>34656.556</v>
      </c>
      <c r="N9" t="n">
        <v>53693</v>
      </c>
      <c r="O9" t="n">
        <v>69749</v>
      </c>
      <c r="AT9" t="inlineStr">
        <is>
          <t>LCR</t>
        </is>
      </c>
      <c r="AV9" t="n">
        <v>2861111111</v>
      </c>
      <c r="AW9" t="n">
        <v>10128</v>
      </c>
      <c r="AX9" t="n">
        <v>1093</v>
      </c>
      <c r="AY9" t="n">
        <v>589</v>
      </c>
    </row>
    <row r="10">
      <c r="AT10" t="inlineStr">
        <is>
          <t>NSFR</t>
        </is>
      </c>
      <c r="AX10" t="n">
        <v>228</v>
      </c>
      <c r="AY10" t="n">
        <v>560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net income/(expense)</t>
        </is>
      </c>
      <c r="B13" s="5" t="n"/>
      <c r="C13" s="5" t="n">
        <v>13680</v>
      </c>
      <c r="D13" s="5" t="n">
        <v>925</v>
      </c>
      <c r="E13" s="5" t="n">
        <v>3808.266</v>
      </c>
      <c r="F13" s="5" t="n">
        <v>-0.372</v>
      </c>
      <c r="G13" s="5" t="n">
        <v>8.26</v>
      </c>
      <c r="S13" t="inlineStr">
        <is>
          <t>Total net income/(expense)</t>
        </is>
      </c>
      <c r="T13" t="n">
        <v>8.26</v>
      </c>
      <c r="U13" t="n">
        <v>-0.372</v>
      </c>
      <c r="V13" t="n">
        <v>3808.266</v>
      </c>
      <c r="W13" t="n">
        <v>925</v>
      </c>
      <c r="X13" t="n">
        <v>13680</v>
      </c>
    </row>
    <row r="14">
      <c r="A14" s="5" t="inlineStr">
        <is>
          <t>Administrative expenses</t>
        </is>
      </c>
      <c r="B14" s="5" t="n"/>
      <c r="C14" s="5" t="n">
        <v>-26926</v>
      </c>
      <c r="D14" s="5" t="n">
        <v>-20895</v>
      </c>
      <c r="E14" s="5" t="n">
        <v>-18474.978</v>
      </c>
      <c r="F14" s="5" t="n">
        <v>-9970.281999999999</v>
      </c>
      <c r="G14" s="5" t="n">
        <v>-5743.261</v>
      </c>
      <c r="S14" t="inlineStr">
        <is>
          <t>Administrative expenses</t>
        </is>
      </c>
      <c r="T14" t="n">
        <v>-5743.261</v>
      </c>
      <c r="U14" t="n">
        <v>-9970.281999999999</v>
      </c>
      <c r="V14" t="n">
        <v>-18474.978</v>
      </c>
      <c r="W14" t="n">
        <v>-20895</v>
      </c>
      <c r="X14" t="n">
        <v>-26926</v>
      </c>
    </row>
    <row r="15">
      <c r="A15" s="5" t="inlineStr">
        <is>
          <t>Operating loss before taxation</t>
        </is>
      </c>
      <c r="B15" s="5" t="n"/>
      <c r="C15" s="5" t="n">
        <v>-13325</v>
      </c>
      <c r="D15" s="5" t="n">
        <v>-20053</v>
      </c>
      <c r="E15" s="5" t="n">
        <v>-14768.692</v>
      </c>
      <c r="F15" s="5" t="n">
        <v>-9973.317999999999</v>
      </c>
      <c r="G15" s="5" t="n">
        <v>-5735.001</v>
      </c>
      <c r="S15" t="inlineStr">
        <is>
          <t>Operating loss before taxation</t>
        </is>
      </c>
      <c r="T15" t="n">
        <v>-5735.001</v>
      </c>
      <c r="U15" t="n">
        <v>-9973.317999999999</v>
      </c>
      <c r="V15" t="n">
        <v>-14768.692</v>
      </c>
      <c r="W15" t="n">
        <v>-20053</v>
      </c>
      <c r="X15" t="n">
        <v>-13325</v>
      </c>
    </row>
    <row r="16">
      <c r="A16" s="5" t="inlineStr">
        <is>
          <t>Loss for the financial year</t>
        </is>
      </c>
      <c r="B16" s="5" t="n"/>
      <c r="C16" s="5" t="n">
        <v>-13086</v>
      </c>
      <c r="D16" s="5" t="n">
        <v>-19360</v>
      </c>
      <c r="E16" s="5" t="n">
        <v>-12709.555</v>
      </c>
      <c r="F16" s="5" t="n">
        <v>-9973.317999999999</v>
      </c>
      <c r="G16" s="5" t="n">
        <v>-5735.001</v>
      </c>
      <c r="S16" t="inlineStr">
        <is>
          <t>Loss for the financial year</t>
        </is>
      </c>
      <c r="T16" t="n">
        <v>-5735.001</v>
      </c>
      <c r="U16" t="n">
        <v>-9973.317999999999</v>
      </c>
      <c r="V16" t="n">
        <v>-12709.555</v>
      </c>
      <c r="W16" t="n">
        <v>-19360</v>
      </c>
      <c r="X16" t="n">
        <v>-13086</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AC19" t="inlineStr">
        <is>
          <t>FY2020</t>
        </is>
      </c>
      <c r="AD19" t="inlineStr">
        <is>
          <t>FY2021</t>
        </is>
      </c>
      <c r="AE19" t="inlineStr">
        <is>
          <t>FY2022</t>
        </is>
      </c>
      <c r="AF19" t="inlineStr">
        <is>
          <t>FY2023</t>
        </is>
      </c>
      <c r="AG19" t="inlineStr">
        <is>
          <t>FY2024</t>
        </is>
      </c>
      <c r="AH19" t="inlineStr">
        <is>
          <t>FY2025</t>
        </is>
      </c>
    </row>
    <row r="20">
      <c r="A20" s="5" t="inlineStr">
        <is>
          <t>Opening equity</t>
        </is>
      </c>
      <c r="B20" s="5" t="n"/>
      <c r="C20" s="5" t="n">
        <v>53693.527</v>
      </c>
      <c r="D20" s="5" t="n">
        <v>34656.556</v>
      </c>
      <c r="E20" s="5" t="n">
        <v>42123.273</v>
      </c>
      <c r="F20" s="5" t="n">
        <v>25197.089</v>
      </c>
      <c r="G20" s="5" t="n">
        <v>5578.186</v>
      </c>
      <c r="AB20" t="inlineStr">
        <is>
          <t>Opening equity</t>
        </is>
      </c>
      <c r="AC20" t="n">
        <v>5578.186</v>
      </c>
      <c r="AD20" t="n">
        <v>25197.089</v>
      </c>
      <c r="AE20" t="n">
        <v>42123.273</v>
      </c>
      <c r="AF20" t="n">
        <v>34656.556</v>
      </c>
      <c r="AG20" t="n">
        <v>53693.527</v>
      </c>
    </row>
    <row r="21">
      <c r="A21" s="5" t="inlineStr">
        <is>
          <t>Total comprehensive loss for the year</t>
        </is>
      </c>
      <c r="B21" s="5" t="n"/>
      <c r="C21" s="5" t="n">
        <v>-13878</v>
      </c>
      <c r="D21" s="5" t="n">
        <v>-18784.372</v>
      </c>
      <c r="E21" s="5" t="n">
        <v>-12709.555</v>
      </c>
      <c r="F21" s="5" t="n">
        <v>-9973.317999999999</v>
      </c>
      <c r="G21" s="5" t="n">
        <v>-5735.001</v>
      </c>
      <c r="AB21" t="inlineStr">
        <is>
          <t>Total comprehensive loss for the year</t>
        </is>
      </c>
      <c r="AC21" t="n">
        <v>-5735.001</v>
      </c>
      <c r="AD21" t="n">
        <v>-9973.317999999999</v>
      </c>
      <c r="AE21" t="n">
        <v>-12709.555</v>
      </c>
      <c r="AF21" t="n">
        <v>-18784.372</v>
      </c>
      <c r="AG21" t="n">
        <v>-13878</v>
      </c>
    </row>
    <row r="22">
      <c r="A22" s="5" t="inlineStr">
        <is>
          <t>Other equity movements, net</t>
        </is>
      </c>
      <c r="B22" s="5" t="n"/>
      <c r="C22" s="5" t="n">
        <v>29933.473</v>
      </c>
      <c r="D22" s="5" t="n">
        <v>37821.343</v>
      </c>
      <c r="E22" s="5" t="n">
        <v>5242.838</v>
      </c>
      <c r="F22" s="5" t="n">
        <v>26899.502</v>
      </c>
      <c r="G22" s="5" t="n">
        <v>25353.904</v>
      </c>
      <c r="AB22" t="inlineStr">
        <is>
          <t>Other equity movements, net</t>
        </is>
      </c>
      <c r="AC22" t="n">
        <v>25353.904</v>
      </c>
      <c r="AD22" t="n">
        <v>26899.502</v>
      </c>
      <c r="AE22" t="n">
        <v>5242.838</v>
      </c>
      <c r="AF22" t="n">
        <v>37821.343</v>
      </c>
      <c r="AG22" t="n">
        <v>29933.473</v>
      </c>
    </row>
    <row r="23">
      <c r="A23" s="5" t="inlineStr">
        <is>
          <t>Closing equity</t>
        </is>
      </c>
      <c r="B23" s="5" t="n"/>
      <c r="C23" s="5" t="n">
        <v>69749</v>
      </c>
      <c r="D23" s="5" t="n">
        <v>53693.527</v>
      </c>
      <c r="E23" s="5" t="n">
        <v>34656.556</v>
      </c>
      <c r="F23" s="5" t="n">
        <v>42123.273</v>
      </c>
      <c r="G23" s="5" t="n">
        <v>25197.089</v>
      </c>
      <c r="AB23" t="inlineStr">
        <is>
          <t>Closing equity</t>
        </is>
      </c>
      <c r="AC23" t="n">
        <v>25197.089</v>
      </c>
      <c r="AD23" t="n">
        <v>42123.273</v>
      </c>
      <c r="AE23" t="n">
        <v>34656.556</v>
      </c>
      <c r="AF23" t="n">
        <v>53693.527</v>
      </c>
      <c r="AG23" t="n">
        <v>69749</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AL26" t="inlineStr">
        <is>
          <t>FY2020</t>
        </is>
      </c>
      <c r="AM26" t="inlineStr">
        <is>
          <t>FY2021</t>
        </is>
      </c>
      <c r="AN26" t="inlineStr">
        <is>
          <t>FY2022</t>
        </is>
      </c>
      <c r="AO26" t="inlineStr">
        <is>
          <t>FY2023</t>
        </is>
      </c>
      <c r="AP26" t="inlineStr">
        <is>
          <t>FY2024</t>
        </is>
      </c>
      <c r="AQ26" t="inlineStr">
        <is>
          <t>FY2025</t>
        </is>
      </c>
    </row>
    <row r="27">
      <c r="A27" s="5" t="inlineStr">
        <is>
          <t>Net cash from/(used in) operating activities</t>
        </is>
      </c>
      <c r="B27" s="5" t="n"/>
      <c r="C27" s="5" t="n">
        <v>3323920</v>
      </c>
      <c r="D27" s="5" t="n">
        <v>277818.774</v>
      </c>
      <c r="E27" s="5" t="n">
        <v>40838.421</v>
      </c>
      <c r="F27" s="5" t="n">
        <v>-8763.915000000001</v>
      </c>
      <c r="G27" s="5" t="n">
        <v>-4078.796</v>
      </c>
      <c r="AK27" t="inlineStr">
        <is>
          <t>Net cash from/(used in) operating activities</t>
        </is>
      </c>
      <c r="AL27" t="n">
        <v>-4078.796</v>
      </c>
      <c r="AM27" t="n">
        <v>-8763.915000000001</v>
      </c>
      <c r="AN27" t="n">
        <v>40838.421</v>
      </c>
      <c r="AO27" t="n">
        <v>277818.774</v>
      </c>
      <c r="AP27" t="n">
        <v>3323920</v>
      </c>
    </row>
    <row r="28">
      <c r="A28" s="5" t="inlineStr">
        <is>
          <t>Net cash used in investing activities</t>
        </is>
      </c>
      <c r="B28" s="5" t="n"/>
      <c r="C28" s="5" t="n">
        <v>-4699</v>
      </c>
      <c r="D28" s="5" t="n">
        <v>-3490.041</v>
      </c>
      <c r="E28" s="5" t="n">
        <v>-3577.142</v>
      </c>
      <c r="F28" s="5" t="n">
        <v>-18746.678</v>
      </c>
      <c r="G28" s="5" t="n">
        <v>-1321.486</v>
      </c>
      <c r="AK28" t="inlineStr">
        <is>
          <t>Net cash used in investing activities</t>
        </is>
      </c>
      <c r="AL28" t="n">
        <v>-1321.486</v>
      </c>
      <c r="AM28" t="n">
        <v>-18746.678</v>
      </c>
      <c r="AN28" t="n">
        <v>-3577.142</v>
      </c>
      <c r="AO28" t="n">
        <v>-3490.041</v>
      </c>
      <c r="AP28" t="n">
        <v>-4699</v>
      </c>
    </row>
    <row r="29">
      <c r="A29" s="5" t="inlineStr">
        <is>
          <t>Net cash from financing activities</t>
        </is>
      </c>
      <c r="B29" s="5" t="n"/>
      <c r="C29" s="5" t="n">
        <v>28544</v>
      </c>
      <c r="D29" s="5" t="n">
        <v>37213.294</v>
      </c>
      <c r="E29" s="5" t="n">
        <v>4524.142</v>
      </c>
      <c r="F29" s="5" t="n">
        <v>26285.941</v>
      </c>
      <c r="G29" s="5" t="n">
        <v>25006.73</v>
      </c>
      <c r="AK29" t="inlineStr">
        <is>
          <t>Net cash from financing activities</t>
        </is>
      </c>
      <c r="AL29" t="n">
        <v>25006.73</v>
      </c>
      <c r="AM29" t="n">
        <v>26285.941</v>
      </c>
      <c r="AN29" t="n">
        <v>4524.142</v>
      </c>
      <c r="AO29" t="n">
        <v>37213.294</v>
      </c>
      <c r="AP29" t="n">
        <v>28544</v>
      </c>
    </row>
    <row r="30">
      <c r="A30" s="5" t="inlineStr">
        <is>
          <t>Cash and cash equivalents at end of year</t>
        </is>
      </c>
      <c r="B30" s="5" t="n"/>
      <c r="C30" s="5" t="n">
        <v>3724980</v>
      </c>
      <c r="D30" s="5" t="n">
        <v>377215.785</v>
      </c>
      <c r="E30" s="5" t="n">
        <v>65673.758</v>
      </c>
      <c r="F30" s="5" t="n">
        <v>23888.337</v>
      </c>
      <c r="G30" s="5" t="n">
        <v>25112.989</v>
      </c>
      <c r="AK30" t="inlineStr">
        <is>
          <t>Cash and cash equivalents at end of year</t>
        </is>
      </c>
      <c r="AL30" t="n">
        <v>25112.989</v>
      </c>
      <c r="AM30" t="n">
        <v>23888.337</v>
      </c>
      <c r="AN30" t="n">
        <v>65673.758</v>
      </c>
      <c r="AO30" t="n">
        <v>377215.785</v>
      </c>
      <c r="AP30" t="n">
        <v>3724980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row>
    <row r="34">
      <c r="A34" s="6" t="inlineStr">
        <is>
          <t>CET1 Ratio</t>
        </is>
      </c>
      <c r="B34" s="6" t="n"/>
      <c r="C34" s="6" t="inlineStr">
        <is>
          <t>20%</t>
        </is>
      </c>
      <c r="D34" s="6" t="inlineStr">
        <is>
          <t>22%</t>
        </is>
      </c>
      <c r="E34" s="6" t="n"/>
      <c r="F34" s="6" t="n"/>
      <c r="G34" s="6" t="n"/>
    </row>
    <row r="35">
      <c r="A35" s="6" t="inlineStr">
        <is>
          <t>Total Capital Ratio</t>
        </is>
      </c>
      <c r="B35" s="6" t="n"/>
      <c r="C35" s="6" t="n"/>
      <c r="D35" s="6" t="n"/>
      <c r="E35" s="6" t="inlineStr">
        <is>
          <t>44%</t>
        </is>
      </c>
      <c r="F35" s="6" t="inlineStr">
        <is>
          <t>529%</t>
        </is>
      </c>
      <c r="G35" s="6" t="inlineStr">
        <is>
          <t>359%</t>
        </is>
      </c>
    </row>
    <row r="36">
      <c r="A36" s="6" t="inlineStr">
        <is>
          <t>Leverage Ratio</t>
        </is>
      </c>
      <c r="B36" s="6" t="n"/>
      <c r="C36" s="6" t="inlineStr">
        <is>
          <t>3.9%</t>
        </is>
      </c>
      <c r="D36" s="6" t="inlineStr">
        <is>
          <t>4.1%</t>
        </is>
      </c>
      <c r="E36" s="6" t="n"/>
      <c r="F36" s="6" t="n"/>
      <c r="G36" s="6" t="n"/>
    </row>
    <row r="37">
      <c r="A37" s="6" t="inlineStr">
        <is>
          <t>LCR</t>
        </is>
      </c>
      <c r="B37" s="6" t="n"/>
      <c r="C37" s="6" t="inlineStr">
        <is>
          <t>589%</t>
        </is>
      </c>
      <c r="D37" s="6" t="inlineStr">
        <is>
          <t>1,093%</t>
        </is>
      </c>
      <c r="E37" s="6" t="inlineStr">
        <is>
          <t>10,128%</t>
        </is>
      </c>
      <c r="F37" s="6" t="inlineStr">
        <is>
          <t>2,861,111,111%</t>
        </is>
      </c>
      <c r="G37" s="6" t="n"/>
    </row>
    <row r="38">
      <c r="A38" s="6" t="inlineStr">
        <is>
          <t>NSFR</t>
        </is>
      </c>
      <c r="B38" s="6" t="n"/>
      <c r="C38" s="6" t="inlineStr">
        <is>
          <t>560%</t>
        </is>
      </c>
      <c r="D38" s="6" t="inlineStr">
        <is>
          <t>228%</t>
        </is>
      </c>
      <c r="E38" s="6" t="n"/>
      <c r="F38" s="6" t="n"/>
      <c r="G38" s="6" t="n"/>
    </row>
    <row r="40" ht="45" customHeight="1">
      <c r="A40" s="7" t="inlineStr">
        <is>
          <t>Note: Monument Bank Limited standalone/Company basis. FY2025 is blank because the latest available Companies House accounts cover 31 December 2024. FY2020 is the Bank's real historical floor (first full annual report, post-Banking Licence, pre-revenue) - FY2017-FY2019 are self-skipped in full because the entity was a pre-authorisation shell company with no bank-relevant disclosure (see Balance Sheet sheet's source note). Pillar 3 sheets contain only explicitly disclosed annual regulatory values; blank cells mean not disclosed.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Balance Sheet</t>
        </is>
      </c>
    </row>
    <row r="2">
      <c r="A2" s="2" t="inlineStr">
        <is>
          <t>Company/standalone basis, £'000; 31 December year-end.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 / with banks</t>
        </is>
      </c>
      <c r="B5" s="6" t="n"/>
      <c r="C5" s="6" t="n">
        <v>3685561</v>
      </c>
      <c r="D5" s="6" t="n">
        <v>354658</v>
      </c>
      <c r="E5" s="6" t="n">
        <v>60337.153</v>
      </c>
      <c r="F5" s="6" t="n">
        <v>23888.337</v>
      </c>
      <c r="G5" s="6" t="n">
        <v>25112.989</v>
      </c>
    </row>
    <row r="6">
      <c r="A6" s="6" t="inlineStr">
        <is>
          <t>Loans and advances to credit institutions</t>
        </is>
      </c>
      <c r="B6" s="6" t="n"/>
      <c r="C6" s="6" t="n">
        <v>39419</v>
      </c>
      <c r="D6" s="6" t="n">
        <v>22557</v>
      </c>
      <c r="E6" s="6" t="n">
        <v>5336.605</v>
      </c>
      <c r="F6" s="6" t="n"/>
      <c r="G6" s="6" t="n"/>
    </row>
    <row r="7">
      <c r="A7" s="6" t="inlineStr">
        <is>
          <t>Treasury bills</t>
        </is>
      </c>
      <c r="B7" s="6" t="n"/>
      <c r="C7" s="6" t="n"/>
      <c r="D7" s="6" t="n">
        <v>130102</v>
      </c>
      <c r="E7" s="6" t="n"/>
      <c r="F7" s="6" t="n">
        <v>10300</v>
      </c>
      <c r="G7" s="6" t="n"/>
    </row>
    <row r="8">
      <c r="A8" s="6" t="inlineStr">
        <is>
          <t>Debt securities</t>
        </is>
      </c>
      <c r="B8" s="6" t="n"/>
      <c r="C8" s="6" t="n">
        <v>1227659</v>
      </c>
      <c r="D8" s="6" t="n">
        <v>384491</v>
      </c>
      <c r="E8" s="6" t="n">
        <v>10542.496</v>
      </c>
      <c r="F8" s="6" t="n"/>
      <c r="G8" s="6" t="n"/>
    </row>
    <row r="9">
      <c r="A9" s="6" t="inlineStr">
        <is>
          <t>Derivative financial instruments</t>
        </is>
      </c>
      <c r="B9" s="6" t="n"/>
      <c r="C9" s="6" t="n">
        <v>1460</v>
      </c>
      <c r="D9" s="6" t="n">
        <v>2423</v>
      </c>
      <c r="E9" s="6" t="n">
        <v>3648.55</v>
      </c>
      <c r="F9" s="6" t="n"/>
      <c r="G9" s="6" t="n"/>
    </row>
    <row r="10">
      <c r="A10" s="6" t="inlineStr">
        <is>
          <t>Loans and advances to customers</t>
        </is>
      </c>
      <c r="B10" s="6" t="n"/>
      <c r="C10" s="6" t="n">
        <v>173839</v>
      </c>
      <c r="D10" s="6" t="n">
        <v>139689</v>
      </c>
      <c r="E10" s="6" t="n">
        <v>93371.11500000001</v>
      </c>
      <c r="F10" s="6" t="n">
        <v>759.085</v>
      </c>
      <c r="G10" s="6" t="n"/>
    </row>
    <row r="11">
      <c r="A11" s="6" t="inlineStr">
        <is>
          <t>Other assets</t>
        </is>
      </c>
      <c r="B11" s="6" t="n"/>
      <c r="C11" s="6" t="n">
        <v>2576</v>
      </c>
      <c r="D11" s="6" t="n">
        <v>2522</v>
      </c>
      <c r="E11" s="6" t="n">
        <v>1102.443</v>
      </c>
      <c r="F11" s="6" t="n">
        <v>989.827</v>
      </c>
      <c r="G11" s="6" t="n">
        <v>301.406</v>
      </c>
    </row>
    <row r="12">
      <c r="A12" s="6" t="inlineStr">
        <is>
          <t>Tangible fixed assets</t>
        </is>
      </c>
      <c r="B12" s="6" t="n"/>
      <c r="C12" s="6" t="n">
        <v>261</v>
      </c>
      <c r="D12" s="6" t="n">
        <v>164</v>
      </c>
      <c r="E12" s="6" t="n">
        <v>160.952</v>
      </c>
      <c r="F12" s="6" t="n">
        <v>140.03</v>
      </c>
      <c r="G12" s="6" t="n">
        <v>28.978</v>
      </c>
    </row>
    <row r="13">
      <c r="A13" s="6" t="inlineStr">
        <is>
          <t>Intangible fixed assets</t>
        </is>
      </c>
      <c r="B13" s="6" t="n"/>
      <c r="C13" s="6" t="n">
        <v>12153</v>
      </c>
      <c r="D13" s="6" t="n">
        <v>11184</v>
      </c>
      <c r="E13" s="6" t="n">
        <v>10560.587</v>
      </c>
      <c r="F13" s="6" t="n">
        <v>9479.735000000001</v>
      </c>
      <c r="G13" s="6" t="n">
        <v>1301.285</v>
      </c>
    </row>
    <row r="14">
      <c r="A14" s="5" t="inlineStr">
        <is>
          <t>Total assets</t>
        </is>
      </c>
      <c r="B14" s="5" t="n"/>
      <c r="C14" s="5" t="n">
        <v>5142928</v>
      </c>
      <c r="D14" s="5" t="n">
        <v>1047790</v>
      </c>
      <c r="E14" s="5" t="n">
        <v>185059.901</v>
      </c>
      <c r="F14" s="5" t="n">
        <v>45557.014</v>
      </c>
      <c r="G14" s="5" t="n">
        <v>26744.658</v>
      </c>
    </row>
    <row r="15">
      <c r="A15" s="5" t="inlineStr">
        <is>
          <t>Liabilities</t>
        </is>
      </c>
      <c r="B15" s="6" t="n"/>
      <c r="C15" s="6" t="n"/>
      <c r="D15" s="6" t="n"/>
      <c r="E15" s="6" t="n"/>
      <c r="F15" s="6" t="n"/>
      <c r="G15" s="6" t="n"/>
    </row>
    <row r="16">
      <c r="A16" s="6" t="inlineStr">
        <is>
          <t>Customer deposits</t>
        </is>
      </c>
      <c r="B16" s="6" t="n"/>
      <c r="C16" s="6" t="n">
        <v>5069724</v>
      </c>
      <c r="D16" s="6" t="n">
        <v>990502</v>
      </c>
      <c r="E16" s="6" t="n">
        <v>147657.857</v>
      </c>
      <c r="F16" s="6" t="n">
        <v>2093.036</v>
      </c>
      <c r="G16" s="6" t="n"/>
    </row>
    <row r="17">
      <c r="A17" s="6" t="inlineStr">
        <is>
          <t>Derivative financial instruments</t>
        </is>
      </c>
      <c r="B17" s="6" t="n"/>
      <c r="C17" s="6" t="n">
        <v>573</v>
      </c>
      <c r="D17" s="6" t="n">
        <v>2178</v>
      </c>
      <c r="E17" s="6" t="n">
        <v>1072.413</v>
      </c>
      <c r="F17" s="6" t="n"/>
      <c r="G17" s="6" t="n"/>
    </row>
    <row r="18">
      <c r="A18" s="6" t="inlineStr">
        <is>
          <t>Other liabilities and accruals</t>
        </is>
      </c>
      <c r="B18" s="6" t="n"/>
      <c r="C18" s="6" t="n">
        <v>2882</v>
      </c>
      <c r="D18" s="6" t="n">
        <v>1417</v>
      </c>
      <c r="E18" s="6" t="n">
        <v>1673.075</v>
      </c>
      <c r="F18" s="6" t="n">
        <v>1340.705</v>
      </c>
      <c r="G18" s="6" t="n">
        <v>1547.569</v>
      </c>
    </row>
    <row r="19">
      <c r="A19" s="5" t="inlineStr">
        <is>
          <t>Total liabilities</t>
        </is>
      </c>
      <c r="B19" s="5" t="n"/>
      <c r="C19" s="5" t="n">
        <v>5073179</v>
      </c>
      <c r="D19" s="5" t="n">
        <v>994097</v>
      </c>
      <c r="E19" s="5" t="n">
        <v>150403.345</v>
      </c>
      <c r="F19" s="5" t="n">
        <v>3433.741</v>
      </c>
      <c r="G19" s="5" t="n">
        <v>1547.569</v>
      </c>
    </row>
    <row r="20">
      <c r="A20" s="5" t="inlineStr">
        <is>
          <t>Equity</t>
        </is>
      </c>
      <c r="B20" s="6" t="n"/>
      <c r="C20" s="6" t="n"/>
      <c r="D20" s="6" t="n"/>
      <c r="E20" s="6" t="n"/>
      <c r="F20" s="6" t="n"/>
      <c r="G20" s="6" t="n"/>
    </row>
    <row r="21">
      <c r="A21" s="6" t="inlineStr">
        <is>
          <t>Called up share capital</t>
        </is>
      </c>
      <c r="B21" s="6" t="n"/>
      <c r="C21" s="6" t="n">
        <v>39</v>
      </c>
      <c r="D21" s="6" t="n">
        <v>32</v>
      </c>
      <c r="E21" s="6" t="n">
        <v>27.256</v>
      </c>
      <c r="F21" s="6" t="n">
        <v>25.73</v>
      </c>
      <c r="G21" s="6" t="n">
        <v>16.354</v>
      </c>
    </row>
    <row r="22">
      <c r="A22" s="6" t="inlineStr">
        <is>
          <t>Share premium reserve</t>
        </is>
      </c>
      <c r="B22" s="6" t="n"/>
      <c r="C22" s="6" t="n">
        <v>129928</v>
      </c>
      <c r="D22" s="6" t="n">
        <v>87459</v>
      </c>
      <c r="E22" s="6" t="n">
        <v>61434.408</v>
      </c>
      <c r="F22" s="6" t="n">
        <v>58982.976</v>
      </c>
      <c r="G22" s="6" t="n">
        <v>18397.07</v>
      </c>
    </row>
    <row r="23">
      <c r="A23" s="6" t="inlineStr">
        <is>
          <t>Shares to be issued</t>
        </is>
      </c>
      <c r="B23" s="6" t="n"/>
      <c r="C23" s="6" t="n">
        <v>48</v>
      </c>
      <c r="D23" s="6" t="n">
        <v>13980</v>
      </c>
      <c r="E23" s="6" t="n">
        <v>2796</v>
      </c>
      <c r="F23" s="6" t="n">
        <v>724.816</v>
      </c>
      <c r="G23" s="6" t="n">
        <v>15034.157</v>
      </c>
    </row>
    <row r="24">
      <c r="A24" s="6" t="inlineStr">
        <is>
          <t>Available-for-sale reserve</t>
        </is>
      </c>
      <c r="B24" s="6" t="n"/>
      <c r="C24" s="6" t="n">
        <v>-216</v>
      </c>
      <c r="D24" s="6" t="n">
        <v>575</v>
      </c>
      <c r="E24" s="6" t="n">
        <v>0</v>
      </c>
      <c r="F24" s="6" t="n"/>
      <c r="G24" s="6" t="n"/>
    </row>
    <row r="25">
      <c r="A25" s="6" t="inlineStr">
        <is>
          <t>Accumulated losses</t>
        </is>
      </c>
      <c r="B25" s="6" t="n"/>
      <c r="C25" s="6" t="n">
        <v>-60050</v>
      </c>
      <c r="D25" s="6" t="n">
        <v>-48353</v>
      </c>
      <c r="E25" s="6" t="n">
        <v>-29601.108</v>
      </c>
      <c r="F25" s="6" t="n">
        <v>-17610.249</v>
      </c>
      <c r="G25" s="6" t="n">
        <v>-8250.492</v>
      </c>
    </row>
    <row r="26">
      <c r="A26" s="5" t="inlineStr">
        <is>
          <t>Total equity</t>
        </is>
      </c>
      <c r="B26" s="5" t="n"/>
      <c r="C26" s="5" t="n">
        <v>69749</v>
      </c>
      <c r="D26" s="5" t="n">
        <v>53693</v>
      </c>
      <c r="E26" s="5" t="n">
        <v>34656.556</v>
      </c>
      <c r="F26" s="5" t="n">
        <v>42123.273</v>
      </c>
      <c r="G26" s="5" t="n">
        <v>25197.089</v>
      </c>
    </row>
    <row r="27">
      <c r="A27" s="5" t="inlineStr">
        <is>
          <t>Total liabilities and equity</t>
        </is>
      </c>
      <c r="B27" s="5" t="n"/>
      <c r="C27" s="5" t="n">
        <v>5142928</v>
      </c>
      <c r="D27" s="5" t="n">
        <v>1047790</v>
      </c>
      <c r="E27" s="5" t="n">
        <v>185059.901</v>
      </c>
      <c r="F27" s="5" t="n">
        <v>45557.014</v>
      </c>
      <c r="G27" s="5" t="n">
        <v>26744.658</v>
      </c>
    </row>
    <row r="29" ht="340" customHeight="1">
      <c r="A29"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9:G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Profit &amp; Loss</t>
        </is>
      </c>
    </row>
    <row r="2">
      <c r="A2" s="2" t="inlineStr">
        <is>
          <t>Company/standalone basis, £'000. FY2023 Company Net fee income/Total net income figures are identical to Group (no fee income that year); FY2021 predates derivative and fee income lines; FY2020 is pre-revenue (mobilisation phase, no interest payable/fee/impairment lines existed yet).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receivable and similar income</t>
        </is>
      </c>
      <c r="B5" s="6" t="n"/>
      <c r="C5" s="6" t="n">
        <v>148993</v>
      </c>
      <c r="D5" s="6" t="n">
        <v>20705</v>
      </c>
      <c r="E5" s="6" t="n">
        <v>2128.074</v>
      </c>
      <c r="F5" s="6" t="n">
        <v>0.73</v>
      </c>
      <c r="G5" s="6" t="n">
        <v>8.26</v>
      </c>
    </row>
    <row r="6">
      <c r="A6" s="6" t="inlineStr">
        <is>
          <t>Interest payable and similar charges</t>
        </is>
      </c>
      <c r="B6" s="6" t="n"/>
      <c r="C6" s="6" t="n">
        <v>-136868</v>
      </c>
      <c r="D6" s="6" t="n">
        <v>-17400</v>
      </c>
      <c r="E6" s="6" t="n">
        <v>-1784.745</v>
      </c>
      <c r="F6" s="6" t="n">
        <v>-1.102</v>
      </c>
      <c r="G6" s="6" t="n"/>
    </row>
    <row r="7">
      <c r="A7" s="5" t="inlineStr">
        <is>
          <t>Net interest income/(expense)</t>
        </is>
      </c>
      <c r="B7" s="5" t="n"/>
      <c r="C7" s="5" t="n">
        <v>12125</v>
      </c>
      <c r="D7" s="5" t="n">
        <v>3305</v>
      </c>
      <c r="E7" s="5" t="n">
        <v>343.329</v>
      </c>
      <c r="F7" s="5" t="n">
        <v>-0.372</v>
      </c>
      <c r="G7" s="5" t="n">
        <v>8.26</v>
      </c>
    </row>
    <row r="8">
      <c r="A8" s="6" t="inlineStr">
        <is>
          <t>Net fee income</t>
        </is>
      </c>
      <c r="B8" s="6" t="n"/>
      <c r="C8" s="6" t="n">
        <v>14</v>
      </c>
      <c r="D8" s="6" t="n"/>
      <c r="E8" s="6" t="n"/>
      <c r="F8" s="6" t="n"/>
      <c r="G8" s="6" t="n"/>
    </row>
    <row r="9">
      <c r="A9" s="6" t="inlineStr">
        <is>
          <t>Net gains/(losses) from derivative financial instruments</t>
        </is>
      </c>
      <c r="B9" s="6" t="n"/>
      <c r="C9" s="6" t="n">
        <v>1726</v>
      </c>
      <c r="D9" s="6" t="n">
        <v>-2331</v>
      </c>
      <c r="E9" s="6" t="n">
        <v>3464.937</v>
      </c>
      <c r="F9" s="6" t="n"/>
      <c r="G9" s="6" t="n"/>
    </row>
    <row r="10">
      <c r="A10" s="6" t="inlineStr">
        <is>
          <t>Other operating expense</t>
        </is>
      </c>
      <c r="B10" s="6" t="n"/>
      <c r="C10" s="6" t="n">
        <v>-185</v>
      </c>
      <c r="D10" s="6" t="n">
        <v>-49</v>
      </c>
      <c r="E10" s="6" t="n"/>
      <c r="F10" s="6" t="n"/>
      <c r="G10" s="6" t="n"/>
    </row>
    <row r="11">
      <c r="A11" s="5" t="inlineStr">
        <is>
          <t>Total net income/(expense)</t>
        </is>
      </c>
      <c r="B11" s="5" t="n"/>
      <c r="C11" s="5" t="n">
        <v>13680</v>
      </c>
      <c r="D11" s="5" t="n">
        <v>925</v>
      </c>
      <c r="E11" s="5" t="n">
        <v>3808.266</v>
      </c>
      <c r="F11" s="5" t="n">
        <v>-0.372</v>
      </c>
      <c r="G11" s="5" t="n">
        <v>8.26</v>
      </c>
    </row>
    <row r="12">
      <c r="A12" s="6" t="inlineStr">
        <is>
          <t>Administrative expenses</t>
        </is>
      </c>
      <c r="B12" s="6" t="n"/>
      <c r="C12" s="6" t="n">
        <v>-26926</v>
      </c>
      <c r="D12" s="6" t="n">
        <v>-20895</v>
      </c>
      <c r="E12" s="6" t="n">
        <v>-18474.978</v>
      </c>
      <c r="F12" s="6" t="n">
        <v>-9970.281999999999</v>
      </c>
      <c r="G12" s="6" t="n">
        <v>-5743.261</v>
      </c>
    </row>
    <row r="13">
      <c r="A13" s="6" t="inlineStr">
        <is>
          <t>Impairment charge on loans and advances to customers</t>
        </is>
      </c>
      <c r="B13" s="6" t="n"/>
      <c r="C13" s="6" t="n">
        <v>-79</v>
      </c>
      <c r="D13" s="6" t="n">
        <v>-83</v>
      </c>
      <c r="E13" s="6" t="n">
        <v>-101.98</v>
      </c>
      <c r="F13" s="6" t="n">
        <v>-2.664</v>
      </c>
      <c r="G13" s="6" t="n"/>
    </row>
    <row r="14">
      <c r="A14" s="5" t="inlineStr">
        <is>
          <t>Operating loss before taxation</t>
        </is>
      </c>
      <c r="B14" s="5" t="n"/>
      <c r="C14" s="5" t="n">
        <v>-13325</v>
      </c>
      <c r="D14" s="5" t="n">
        <v>-20053</v>
      </c>
      <c r="E14" s="5" t="n">
        <v>-14768.692</v>
      </c>
      <c r="F14" s="5" t="n">
        <v>-9973.317999999999</v>
      </c>
      <c r="G14" s="5" t="n">
        <v>-5735.001</v>
      </c>
    </row>
    <row r="15">
      <c r="A15" s="6" t="inlineStr">
        <is>
          <t>Taxation credit/(expense)</t>
        </is>
      </c>
      <c r="B15" s="6" t="n"/>
      <c r="C15" s="6" t="n">
        <v>239</v>
      </c>
      <c r="D15" s="6" t="n">
        <v>693</v>
      </c>
      <c r="E15" s="6" t="n">
        <v>2059.137</v>
      </c>
      <c r="F15" s="6" t="n">
        <v>0</v>
      </c>
      <c r="G15" s="6" t="n">
        <v>0</v>
      </c>
    </row>
    <row r="16">
      <c r="A16" s="5" t="inlineStr">
        <is>
          <t>Loss for the financial year</t>
        </is>
      </c>
      <c r="B16" s="5" t="n"/>
      <c r="C16" s="5" t="n">
        <v>-13086</v>
      </c>
      <c r="D16" s="5" t="n">
        <v>-19360</v>
      </c>
      <c r="E16" s="5" t="n">
        <v>-12709.555</v>
      </c>
      <c r="F16" s="5" t="n">
        <v>-9973.317999999999</v>
      </c>
      <c r="G16" s="5" t="n">
        <v>-5735.001</v>
      </c>
    </row>
    <row r="17">
      <c r="A17" s="5" t="inlineStr">
        <is>
          <t>Other comprehensive income</t>
        </is>
      </c>
      <c r="B17" s="6" t="n"/>
      <c r="C17" s="6" t="n"/>
      <c r="D17" s="6" t="n"/>
      <c r="E17" s="6" t="n"/>
      <c r="F17" s="6" t="n"/>
      <c r="G17" s="6" t="n"/>
    </row>
    <row r="18">
      <c r="A18" s="6" t="inlineStr">
        <is>
          <t>Fair value movements taken to reserves</t>
        </is>
      </c>
      <c r="B18" s="6" t="n"/>
      <c r="C18" s="6" t="n">
        <v>-813</v>
      </c>
      <c r="D18" s="6" t="n">
        <v>553</v>
      </c>
      <c r="E18" s="6" t="n"/>
      <c r="F18" s="6" t="n"/>
      <c r="G18" s="6" t="n"/>
    </row>
    <row r="19">
      <c r="A19" s="6" t="inlineStr">
        <is>
          <t>Amount transferred to income statement</t>
        </is>
      </c>
      <c r="B19" s="6" t="n"/>
      <c r="C19" s="6" t="n">
        <v>21</v>
      </c>
      <c r="D19" s="6" t="n">
        <v>23</v>
      </c>
      <c r="E19" s="6" t="n"/>
      <c r="F19" s="6" t="n"/>
      <c r="G19" s="6" t="n"/>
    </row>
    <row r="20">
      <c r="A20" s="5" t="inlineStr">
        <is>
          <t>Other comprehensive income for the year</t>
        </is>
      </c>
      <c r="B20" s="5" t="n"/>
      <c r="C20" s="5" t="n">
        <v>-792</v>
      </c>
      <c r="D20" s="5" t="n">
        <v>576</v>
      </c>
      <c r="E20" s="5" t="n">
        <v>0</v>
      </c>
      <c r="F20" s="5" t="n">
        <v>0</v>
      </c>
      <c r="G20" s="5" t="n">
        <v>0</v>
      </c>
    </row>
    <row r="21">
      <c r="A21" s="5" t="inlineStr">
        <is>
          <t>Total comprehensive loss for the year</t>
        </is>
      </c>
      <c r="B21" s="5" t="n"/>
      <c r="C21" s="5" t="n">
        <v>-13878</v>
      </c>
      <c r="D21" s="5" t="n">
        <v>-18784</v>
      </c>
      <c r="E21" s="5" t="n">
        <v>-12709.555</v>
      </c>
      <c r="F21" s="5" t="n">
        <v>-9973.317999999999</v>
      </c>
      <c r="G21" s="5" t="n">
        <v>-5735.001</v>
      </c>
    </row>
    <row r="23" ht="340" customHeight="1">
      <c r="A2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Statement of Changes in Equity</t>
        </is>
      </c>
    </row>
    <row r="2">
      <c r="A2" s="2" t="inlineStr">
        <is>
          <t>Chronological roll-forward, oldest to newest, Company/standalone basis, £'000. Equity reconciliation ladder confirmed exactly across all 5 years - each year's own closing balance ties to both the next year's own opening balance and that year's own Balance Sheet Total equity, with zero plug rows.</t>
        </is>
      </c>
    </row>
    <row r="3">
      <c r="A3" s="4" t="inlineStr">
        <is>
          <t>Movement</t>
        </is>
      </c>
      <c r="B3" s="4" t="inlineStr">
        <is>
          <t>Called up share capital</t>
        </is>
      </c>
      <c r="C3" s="4" t="inlineStr">
        <is>
          <t>Share premium</t>
        </is>
      </c>
      <c r="D3" s="4" t="inlineStr">
        <is>
          <t>Shares to be issued</t>
        </is>
      </c>
      <c r="E3" s="4" t="inlineStr">
        <is>
          <t>Available-for-sale reserve</t>
        </is>
      </c>
      <c r="F3" s="4" t="inlineStr">
        <is>
          <t>Accumulated losses</t>
        </is>
      </c>
      <c r="G3" s="4" t="inlineStr">
        <is>
          <t>Total equity</t>
        </is>
      </c>
    </row>
    <row r="4">
      <c r="A4" s="5" t="inlineStr">
        <is>
          <t>At 1 January 2020 (FY2020 opening)</t>
        </is>
      </c>
      <c r="B4" s="5" t="n">
        <v>13.099</v>
      </c>
      <c r="C4" s="5" t="n">
        <v>6928.158</v>
      </c>
      <c r="D4" s="5" t="n">
        <v>1499.595</v>
      </c>
      <c r="E4" s="5" t="n">
        <v>0</v>
      </c>
      <c r="F4" s="5" t="n">
        <v>-2862.666</v>
      </c>
      <c r="G4" s="5" t="n">
        <v>5578.186</v>
      </c>
    </row>
    <row r="5">
      <c r="A5" s="6" t="inlineStr">
        <is>
          <t>Loss for the year</t>
        </is>
      </c>
      <c r="B5" s="6" t="n"/>
      <c r="C5" s="6" t="n"/>
      <c r="D5" s="6" t="n"/>
      <c r="E5" s="6" t="n"/>
      <c r="F5" s="6" t="n">
        <v>-5735.001</v>
      </c>
      <c r="G5" s="6" t="n">
        <v>-5735.001</v>
      </c>
    </row>
    <row r="6">
      <c r="A6" s="6" t="inlineStr">
        <is>
          <t>Employee share scheme charge</t>
        </is>
      </c>
      <c r="B6" s="6" t="n"/>
      <c r="C6" s="6" t="n"/>
      <c r="D6" s="6" t="n"/>
      <c r="E6" s="6" t="n"/>
      <c r="F6" s="6" t="n">
        <v>347.175</v>
      </c>
      <c r="G6" s="6" t="n">
        <v>347.175</v>
      </c>
    </row>
    <row r="7">
      <c r="A7" s="6" t="inlineStr">
        <is>
          <t>Issue of share capital</t>
        </is>
      </c>
      <c r="B7" s="6" t="n">
        <v>3.255</v>
      </c>
      <c r="C7" s="6" t="n">
        <v>11468.912</v>
      </c>
      <c r="D7" s="6" t="n">
        <v>-1499.595</v>
      </c>
      <c r="E7" s="6" t="n"/>
      <c r="F7" s="6" t="n"/>
      <c r="G7" s="6" t="n">
        <v>9972.572</v>
      </c>
    </row>
    <row r="8">
      <c r="A8" s="6" t="inlineStr">
        <is>
          <t>Shares to be issued</t>
        </is>
      </c>
      <c r="B8" s="6" t="n"/>
      <c r="C8" s="6" t="n"/>
      <c r="D8" s="6" t="n">
        <v>15034.157</v>
      </c>
      <c r="E8" s="6" t="n"/>
      <c r="F8" s="6" t="n"/>
      <c r="G8" s="6" t="n">
        <v>15034.157</v>
      </c>
    </row>
    <row r="9">
      <c r="A9" s="5" t="inlineStr">
        <is>
          <t>At 31 December 2020 (FY2020 closing / FY2021 opening)</t>
        </is>
      </c>
      <c r="B9" s="5" t="n">
        <v>16.354</v>
      </c>
      <c r="C9" s="5" t="n">
        <v>18397.07</v>
      </c>
      <c r="D9" s="5" t="n">
        <v>15034.157</v>
      </c>
      <c r="E9" s="5" t="n">
        <v>0</v>
      </c>
      <c r="F9" s="5" t="n">
        <v>-8250.492</v>
      </c>
      <c r="G9" s="5" t="n">
        <v>25197.089</v>
      </c>
    </row>
    <row r="10">
      <c r="A10" s="6" t="inlineStr">
        <is>
          <t>Loss for the year</t>
        </is>
      </c>
      <c r="B10" s="6" t="n"/>
      <c r="C10" s="6" t="n"/>
      <c r="D10" s="6" t="n"/>
      <c r="E10" s="6" t="n"/>
      <c r="F10" s="6" t="n">
        <v>-9973.317999999999</v>
      </c>
      <c r="G10" s="6" t="n">
        <v>-9973.317999999999</v>
      </c>
    </row>
    <row r="11">
      <c r="A11" s="6" t="inlineStr">
        <is>
          <t>Employee share scheme charge</t>
        </is>
      </c>
      <c r="B11" s="6" t="n"/>
      <c r="C11" s="6" t="n"/>
      <c r="D11" s="6" t="n"/>
      <c r="E11" s="6" t="n"/>
      <c r="F11" s="6" t="n">
        <v>613.561</v>
      </c>
      <c r="G11" s="6" t="n">
        <v>613.561</v>
      </c>
    </row>
    <row r="12">
      <c r="A12" s="6" t="inlineStr">
        <is>
          <t>Issue of share capital</t>
        </is>
      </c>
      <c r="B12" s="6" t="n">
        <v>9.375999999999999</v>
      </c>
      <c r="C12" s="6" t="n">
        <v>40585.906</v>
      </c>
      <c r="D12" s="6" t="n">
        <v>-15034.157</v>
      </c>
      <c r="E12" s="6" t="n"/>
      <c r="F12" s="6" t="n"/>
      <c r="G12" s="6" t="n">
        <v>25561.125</v>
      </c>
    </row>
    <row r="13">
      <c r="A13" s="6" t="inlineStr">
        <is>
          <t>Shares to be issued</t>
        </is>
      </c>
      <c r="B13" s="6" t="n"/>
      <c r="C13" s="6" t="n"/>
      <c r="D13" s="6" t="n">
        <v>724.816</v>
      </c>
      <c r="E13" s="6" t="n"/>
      <c r="F13" s="6" t="n"/>
      <c r="G13" s="6" t="n">
        <v>724.816</v>
      </c>
    </row>
    <row r="14">
      <c r="A14" s="5" t="inlineStr">
        <is>
          <t>At 31 December 2021 (FY2021 closing)</t>
        </is>
      </c>
      <c r="B14" s="5" t="n">
        <v>25.73</v>
      </c>
      <c r="C14" s="5" t="n">
        <v>58982.976</v>
      </c>
      <c r="D14" s="5" t="n">
        <v>724.816</v>
      </c>
      <c r="E14" s="5" t="n">
        <v>0</v>
      </c>
      <c r="F14" s="5" t="n">
        <v>-17610.249</v>
      </c>
      <c r="G14" s="5" t="n">
        <v>42123.273</v>
      </c>
    </row>
    <row r="15">
      <c r="A15" s="6" t="inlineStr">
        <is>
          <t>Loss for the year</t>
        </is>
      </c>
      <c r="B15" s="6" t="n"/>
      <c r="C15" s="6" t="n"/>
      <c r="D15" s="6" t="n"/>
      <c r="E15" s="6" t="n"/>
      <c r="F15" s="6" t="n">
        <v>-12709.555</v>
      </c>
      <c r="G15" s="6" t="n">
        <v>-12709.555</v>
      </c>
    </row>
    <row r="16">
      <c r="A16" s="6" t="inlineStr">
        <is>
          <t>Employee share scheme charge</t>
        </is>
      </c>
      <c r="B16" s="6" t="n"/>
      <c r="C16" s="6" t="n"/>
      <c r="D16" s="6" t="n"/>
      <c r="E16" s="6" t="n"/>
      <c r="F16" s="6" t="n">
        <v>718.696</v>
      </c>
      <c r="G16" s="6" t="n">
        <v>718.696</v>
      </c>
    </row>
    <row r="17">
      <c r="A17" s="6" t="inlineStr">
        <is>
          <t>Issue of share capital</t>
        </is>
      </c>
      <c r="B17" s="6" t="n">
        <v>1.526</v>
      </c>
      <c r="C17" s="6" t="n">
        <v>2451.432</v>
      </c>
      <c r="D17" s="6" t="n">
        <v>-724.816</v>
      </c>
      <c r="E17" s="6" t="n"/>
      <c r="F17" s="6" t="n"/>
      <c r="G17" s="6" t="n">
        <v>1728.142</v>
      </c>
    </row>
    <row r="18">
      <c r="A18" s="6" t="inlineStr">
        <is>
          <t>Shares to be issued</t>
        </is>
      </c>
      <c r="B18" s="6" t="n"/>
      <c r="C18" s="6" t="n"/>
      <c r="D18" s="6" t="n">
        <v>2796</v>
      </c>
      <c r="E18" s="6" t="n"/>
      <c r="F18" s="6" t="n"/>
      <c r="G18" s="6" t="n">
        <v>2796</v>
      </c>
    </row>
    <row r="19">
      <c r="A19" s="5" t="inlineStr">
        <is>
          <t>At 31 December 2022 (FY2022 closing)</t>
        </is>
      </c>
      <c r="B19" s="5" t="n">
        <v>27.256</v>
      </c>
      <c r="C19" s="5" t="n">
        <v>61434.408</v>
      </c>
      <c r="D19" s="5" t="n">
        <v>2796</v>
      </c>
      <c r="E19" s="5" t="n">
        <v>0</v>
      </c>
      <c r="F19" s="5" t="n">
        <v>-29601.108</v>
      </c>
      <c r="G19" s="5" t="n">
        <v>34656.556</v>
      </c>
    </row>
    <row r="20">
      <c r="A20" s="6" t="inlineStr">
        <is>
          <t>Loss for the year</t>
        </is>
      </c>
      <c r="B20" s="6" t="n"/>
      <c r="C20" s="6" t="n"/>
      <c r="D20" s="6" t="n"/>
      <c r="E20" s="6" t="n"/>
      <c r="F20" s="6" t="n">
        <v>-19359.604</v>
      </c>
      <c r="G20" s="6" t="n">
        <v>-19359.604</v>
      </c>
    </row>
    <row r="21">
      <c r="A21" s="6" t="inlineStr">
        <is>
          <t>Movement in available-for-sale reserve</t>
        </is>
      </c>
      <c r="B21" s="6" t="n"/>
      <c r="C21" s="6" t="n"/>
      <c r="D21" s="6" t="n"/>
      <c r="E21" s="6" t="n">
        <v>575.232</v>
      </c>
      <c r="F21" s="6" t="n"/>
      <c r="G21" s="6" t="n">
        <v>575.232</v>
      </c>
    </row>
    <row r="22">
      <c r="A22" s="6" t="inlineStr">
        <is>
          <t>Employee share scheme charge</t>
        </is>
      </c>
      <c r="B22" s="6" t="n"/>
      <c r="C22" s="6" t="n"/>
      <c r="D22" s="6" t="n"/>
      <c r="E22" s="6" t="n"/>
      <c r="F22" s="6" t="n">
        <v>608.05</v>
      </c>
      <c r="G22" s="6" t="n">
        <v>608.05</v>
      </c>
    </row>
    <row r="23">
      <c r="A23" s="6" t="inlineStr">
        <is>
          <t>Issue of share capital</t>
        </is>
      </c>
      <c r="B23" s="6" t="n">
        <v>4.809</v>
      </c>
      <c r="C23" s="6" t="n">
        <v>26024.34</v>
      </c>
      <c r="D23" s="6" t="n">
        <v>-2796</v>
      </c>
      <c r="E23" s="6" t="n"/>
      <c r="F23" s="6" t="n"/>
      <c r="G23" s="6" t="n">
        <v>23233.149</v>
      </c>
    </row>
    <row r="24">
      <c r="A24" s="6" t="inlineStr">
        <is>
          <t>Shares to be issued</t>
        </is>
      </c>
      <c r="B24" s="6" t="n"/>
      <c r="C24" s="6" t="n"/>
      <c r="D24" s="6" t="n">
        <v>13980.144</v>
      </c>
      <c r="E24" s="6" t="n"/>
      <c r="F24" s="6" t="n"/>
      <c r="G24" s="6" t="n">
        <v>13980.144</v>
      </c>
    </row>
    <row r="25">
      <c r="A25" s="5" t="inlineStr">
        <is>
          <t>At 31 December 2023 (FY2023 closing)</t>
        </is>
      </c>
      <c r="B25" s="5" t="n">
        <v>32.065</v>
      </c>
      <c r="C25" s="5" t="n">
        <v>87458.74800000001</v>
      </c>
      <c r="D25" s="5" t="n">
        <v>13980.144</v>
      </c>
      <c r="E25" s="5" t="n">
        <v>575.232</v>
      </c>
      <c r="F25" s="5" t="n">
        <v>-48352.662</v>
      </c>
      <c r="G25" s="5" t="n">
        <v>53693.527</v>
      </c>
    </row>
    <row r="26">
      <c r="A26" s="6" t="inlineStr">
        <is>
          <t>Loss for the year</t>
        </is>
      </c>
      <c r="B26" s="6" t="n"/>
      <c r="C26" s="6" t="n"/>
      <c r="D26" s="6" t="n"/>
      <c r="E26" s="6" t="n"/>
      <c r="F26" s="6" t="n">
        <v>-13086</v>
      </c>
      <c r="G26" s="6" t="n">
        <v>-13086</v>
      </c>
    </row>
    <row r="27">
      <c r="A27" s="6" t="inlineStr">
        <is>
          <t>Movement in available-for-sale reserve</t>
        </is>
      </c>
      <c r="B27" s="6" t="n"/>
      <c r="C27" s="6" t="n"/>
      <c r="D27" s="6" t="n"/>
      <c r="E27" s="6" t="n">
        <v>-791</v>
      </c>
      <c r="F27" s="6" t="n"/>
      <c r="G27" s="6" t="n">
        <v>-791</v>
      </c>
    </row>
    <row r="28">
      <c r="A28" s="6" t="inlineStr">
        <is>
          <t>Employee share scheme charge</t>
        </is>
      </c>
      <c r="B28" s="6" t="n"/>
      <c r="C28" s="6" t="n"/>
      <c r="D28" s="6" t="n"/>
      <c r="E28" s="6" t="n"/>
      <c r="F28" s="6" t="n">
        <v>1389</v>
      </c>
      <c r="G28" s="6" t="n">
        <v>1389</v>
      </c>
    </row>
    <row r="29">
      <c r="A29" s="6" t="inlineStr">
        <is>
          <t>Issue of share capital</t>
        </is>
      </c>
      <c r="B29" s="6" t="n">
        <v>7</v>
      </c>
      <c r="C29" s="6" t="n">
        <v>42469</v>
      </c>
      <c r="D29" s="6" t="n">
        <v>-13980</v>
      </c>
      <c r="E29" s="6" t="n"/>
      <c r="F29" s="6" t="n"/>
      <c r="G29" s="6" t="n">
        <v>28496</v>
      </c>
    </row>
    <row r="30">
      <c r="A30" s="6" t="inlineStr">
        <is>
          <t>Shares to be issued</t>
        </is>
      </c>
      <c r="B30" s="6" t="n"/>
      <c r="C30" s="6" t="n"/>
      <c r="D30" s="6" t="n">
        <v>48</v>
      </c>
      <c r="E30" s="6" t="n"/>
      <c r="F30" s="6" t="n"/>
      <c r="G30" s="6" t="n">
        <v>48</v>
      </c>
    </row>
    <row r="31">
      <c r="A31" s="5" t="inlineStr">
        <is>
          <t>At 31 December 2024 (FY2024 closing)</t>
        </is>
      </c>
      <c r="B31" s="5" t="n">
        <v>39</v>
      </c>
      <c r="C31" s="5" t="n">
        <v>129928</v>
      </c>
      <c r="D31" s="5" t="n">
        <v>48</v>
      </c>
      <c r="E31" s="5" t="n">
        <v>-216</v>
      </c>
      <c r="F31" s="5" t="n">
        <v>-60050</v>
      </c>
      <c r="G31" s="5" t="n">
        <v>69749</v>
      </c>
    </row>
    <row r="33" ht="150" customHeight="1">
      <c r="A33"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33:G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Company Cash Flow Statement</t>
        </is>
      </c>
    </row>
    <row r="2">
      <c r="A2" s="2" t="inlineStr">
        <is>
          <t>Company/standalone basis, £'000; 31 December year-end. FY2025 not yet filed. FY2020 is the Bank's first full annual report, filed post-Banking Licence (6 Oct 2020) in its pre-revenue mobilisation phase - 'Finance income' and 'Interest received' are that year's own reconciling items (interest accrued vs. received), not used in later years'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Loss for the financial year</t>
        </is>
      </c>
      <c r="B5" s="6" t="n"/>
      <c r="C5" s="6" t="n">
        <v>-13086</v>
      </c>
      <c r="D5" s="6" t="n">
        <v>-19360</v>
      </c>
      <c r="E5" s="6" t="n">
        <v>-12709.555</v>
      </c>
      <c r="F5" s="6" t="n">
        <v>-9973.317999999999</v>
      </c>
      <c r="G5" s="6" t="n">
        <v>-5735.001</v>
      </c>
    </row>
    <row r="6">
      <c r="A6" s="6" t="inlineStr">
        <is>
          <t>Amortisation charges</t>
        </is>
      </c>
      <c r="B6" s="6" t="n"/>
      <c r="C6" s="6" t="n">
        <v>3538</v>
      </c>
      <c r="D6" s="6" t="n">
        <v>2793.918</v>
      </c>
      <c r="E6" s="6" t="n">
        <v>2175.212</v>
      </c>
      <c r="F6" s="6" t="n">
        <v>128.659</v>
      </c>
      <c r="G6" s="6" t="n"/>
    </row>
    <row r="7">
      <c r="A7" s="6" t="inlineStr">
        <is>
          <t>Depreciation charges</t>
        </is>
      </c>
      <c r="B7" s="6" t="n"/>
      <c r="C7" s="6" t="n">
        <v>95</v>
      </c>
      <c r="D7" s="6" t="n">
        <v>69.739</v>
      </c>
      <c r="E7" s="6" t="n">
        <v>57.66</v>
      </c>
      <c r="F7" s="6" t="n">
        <v>28.517</v>
      </c>
      <c r="G7" s="6" t="n">
        <v>11.655</v>
      </c>
    </row>
    <row r="8">
      <c r="A8" s="6" t="inlineStr">
        <is>
          <t>Finance income</t>
        </is>
      </c>
      <c r="B8" s="6" t="n"/>
      <c r="C8" s="6" t="n"/>
      <c r="D8" s="6" t="n"/>
      <c r="E8" s="6" t="n"/>
      <c r="F8" s="6" t="n"/>
      <c r="G8" s="6" t="n">
        <v>-8.419</v>
      </c>
    </row>
    <row r="9">
      <c r="A9" s="6" t="inlineStr">
        <is>
          <t>Impairment charge on loans and advances to customers</t>
        </is>
      </c>
      <c r="B9" s="6" t="n"/>
      <c r="C9" s="6" t="n">
        <v>79</v>
      </c>
      <c r="D9" s="6" t="n">
        <v>82.581</v>
      </c>
      <c r="E9" s="6" t="n">
        <v>101.98</v>
      </c>
      <c r="F9" s="6" t="n">
        <v>2.664</v>
      </c>
      <c r="G9" s="6" t="n"/>
    </row>
    <row r="10">
      <c r="A10" s="6" t="inlineStr">
        <is>
          <t>Employee share scheme charge</t>
        </is>
      </c>
      <c r="B10" s="6" t="n"/>
      <c r="C10" s="6" t="n">
        <v>1389</v>
      </c>
      <c r="D10" s="6" t="n">
        <v>608.05</v>
      </c>
      <c r="E10" s="6" t="n">
        <v>718.696</v>
      </c>
      <c r="F10" s="6" t="n">
        <v>613.561</v>
      </c>
      <c r="G10" s="6" t="n">
        <v>347.175</v>
      </c>
    </row>
    <row r="11">
      <c r="A11" s="6" t="inlineStr">
        <is>
          <t>Increase in loans and advances to customers</t>
        </is>
      </c>
      <c r="B11" s="6" t="n"/>
      <c r="C11" s="6" t="n">
        <v>-34229</v>
      </c>
      <c r="D11" s="6" t="n">
        <v>-46400.642</v>
      </c>
      <c r="E11" s="6" t="n">
        <v>-92714.00999999999</v>
      </c>
      <c r="F11" s="6" t="n">
        <v>-761.749</v>
      </c>
      <c r="G11" s="6" t="n"/>
    </row>
    <row r="12">
      <c r="A12" s="6" t="inlineStr">
        <is>
          <t>Increase in customer deposits</t>
        </is>
      </c>
      <c r="B12" s="6" t="n"/>
      <c r="C12" s="6" t="n">
        <v>4079222</v>
      </c>
      <c r="D12" s="6" t="n">
        <v>842843.947</v>
      </c>
      <c r="E12" s="6" t="n">
        <v>145564.821</v>
      </c>
      <c r="F12" s="6" t="n">
        <v>2093.036</v>
      </c>
      <c r="G12" s="6" t="n"/>
    </row>
    <row r="13">
      <c r="A13" s="6" t="inlineStr">
        <is>
          <t>Increase in other assets</t>
        </is>
      </c>
      <c r="B13" s="6" t="n"/>
      <c r="C13" s="6" t="n">
        <v>-54</v>
      </c>
      <c r="D13" s="6" t="n">
        <v>-1418.529</v>
      </c>
      <c r="E13" s="6" t="n">
        <v>-112.616</v>
      </c>
      <c r="F13" s="6" t="n">
        <v>-688.421</v>
      </c>
      <c r="G13" s="6" t="n">
        <v>-182.842</v>
      </c>
    </row>
    <row r="14">
      <c r="A14" s="6" t="inlineStr">
        <is>
          <t>Increase/(decrease) in other liabilities</t>
        </is>
      </c>
      <c r="B14" s="6" t="n"/>
      <c r="C14" s="6" t="n">
        <v>1465</v>
      </c>
      <c r="D14" s="6" t="n">
        <v>-256.431</v>
      </c>
      <c r="E14" s="6" t="n">
        <v>332.37</v>
      </c>
      <c r="F14" s="6" t="n">
        <v>-206.864</v>
      </c>
      <c r="G14" s="6" t="n">
        <v>1488.636</v>
      </c>
    </row>
    <row r="15">
      <c r="A15" s="6" t="inlineStr">
        <is>
          <t>Decrease/(increase) in derivative financial instruments</t>
        </is>
      </c>
      <c r="B15" s="6" t="n"/>
      <c r="C15" s="6" t="n">
        <v>-642</v>
      </c>
      <c r="D15" s="6" t="n">
        <v>2331.057</v>
      </c>
      <c r="E15" s="6" t="n">
        <v>-2576.137</v>
      </c>
      <c r="F15" s="6" t="n"/>
      <c r="G15" s="6" t="n"/>
    </row>
    <row r="16">
      <c r="A16" s="6" t="inlineStr">
        <is>
          <t>Decrease/(increase) in treasury bills</t>
        </is>
      </c>
      <c r="B16" s="6" t="n"/>
      <c r="C16" s="6" t="n">
        <v>130102</v>
      </c>
      <c r="D16" s="6" t="n">
        <v>-130101.59</v>
      </c>
      <c r="E16" s="6" t="n"/>
      <c r="F16" s="6" t="n"/>
      <c r="G16" s="6" t="n"/>
    </row>
    <row r="17">
      <c r="A17" s="6" t="inlineStr">
        <is>
          <t>Increase in debt securities</t>
        </is>
      </c>
      <c r="B17" s="6" t="n"/>
      <c r="C17" s="6" t="n">
        <v>-843959</v>
      </c>
      <c r="D17" s="6" t="n">
        <v>-373373.722</v>
      </c>
      <c r="E17" s="6" t="n"/>
      <c r="F17" s="6" t="n"/>
      <c r="G17" s="6" t="n"/>
    </row>
    <row r="18">
      <c r="A18" s="5" t="inlineStr">
        <is>
          <t>Net cash from/(used in) operating activities</t>
        </is>
      </c>
      <c r="B18" s="5" t="n"/>
      <c r="C18" s="5" t="n">
        <v>3323920</v>
      </c>
      <c r="D18" s="5" t="n">
        <v>277818.774</v>
      </c>
      <c r="E18" s="5" t="n">
        <v>40838.421</v>
      </c>
      <c r="F18" s="5" t="n">
        <v>-8763.915000000001</v>
      </c>
      <c r="G18" s="5" t="n">
        <v>-4078.796</v>
      </c>
    </row>
    <row r="19">
      <c r="A19" s="5" t="inlineStr">
        <is>
          <t>Cash flows from investing activities</t>
        </is>
      </c>
      <c r="B19" s="6" t="n"/>
      <c r="C19" s="6" t="n"/>
      <c r="D19" s="6" t="n"/>
      <c r="E19" s="6" t="n"/>
      <c r="F19" s="6" t="n"/>
      <c r="G19" s="6" t="n"/>
    </row>
    <row r="20">
      <c r="A20" s="6" t="inlineStr">
        <is>
          <t>Expenditure on internally generated intangible assets</t>
        </is>
      </c>
      <c r="B20" s="6" t="n"/>
      <c r="C20" s="6" t="n">
        <v>-4507</v>
      </c>
      <c r="D20" s="6" t="n">
        <v>-3417.546</v>
      </c>
      <c r="E20" s="6" t="n">
        <v>-3256.064</v>
      </c>
      <c r="F20" s="6" t="n">
        <v>-8307.109</v>
      </c>
      <c r="G20" s="6" t="n">
        <v>-1301.285</v>
      </c>
    </row>
    <row r="21">
      <c r="A21" s="6" t="inlineStr">
        <is>
          <t>Purchase of tangible fixed assets</t>
        </is>
      </c>
      <c r="B21" s="6" t="n"/>
      <c r="C21" s="6" t="n">
        <v>-192</v>
      </c>
      <c r="D21" s="6" t="n">
        <v>-72.485</v>
      </c>
      <c r="E21" s="6" t="n">
        <v>-78.58199999999999</v>
      </c>
      <c r="F21" s="6" t="n">
        <v>-139.569</v>
      </c>
      <c r="G21" s="6" t="n">
        <v>-28.62</v>
      </c>
    </row>
    <row r="22">
      <c r="A22" s="6" t="inlineStr">
        <is>
          <t>Purchase of financial investments</t>
        </is>
      </c>
      <c r="B22" s="6" t="n"/>
      <c r="C22" s="6" t="n"/>
      <c r="D22" s="6" t="n"/>
      <c r="E22" s="6" t="n">
        <v>-242.496</v>
      </c>
      <c r="F22" s="6" t="n">
        <v>-10300</v>
      </c>
      <c r="G22" s="6" t="n"/>
    </row>
    <row r="23">
      <c r="A23" s="6" t="inlineStr">
        <is>
          <t>Interest received</t>
        </is>
      </c>
      <c r="B23" s="6" t="n"/>
      <c r="C23" s="6" t="n"/>
      <c r="D23" s="6" t="n"/>
      <c r="E23" s="6" t="n"/>
      <c r="F23" s="6" t="n"/>
      <c r="G23" s="6" t="n">
        <v>8.419</v>
      </c>
    </row>
    <row r="24">
      <c r="A24" s="5" t="inlineStr">
        <is>
          <t>Net cash used in investing activities</t>
        </is>
      </c>
      <c r="B24" s="5" t="n"/>
      <c r="C24" s="5" t="n">
        <v>-4699</v>
      </c>
      <c r="D24" s="5" t="n">
        <v>-3490.041</v>
      </c>
      <c r="E24" s="5" t="n">
        <v>-3577.142</v>
      </c>
      <c r="F24" s="5" t="n">
        <v>-18746.678</v>
      </c>
      <c r="G24" s="5" t="n">
        <v>-1321.486</v>
      </c>
    </row>
    <row r="25">
      <c r="A25" s="5" t="inlineStr">
        <is>
          <t>Cash flows from financing activities</t>
        </is>
      </c>
      <c r="B25" s="6" t="n"/>
      <c r="C25" s="6" t="n"/>
      <c r="D25" s="6" t="n"/>
      <c r="E25" s="6" t="n"/>
      <c r="F25" s="6" t="n"/>
      <c r="G25" s="6" t="n"/>
    </row>
    <row r="26">
      <c r="A26" s="6" t="inlineStr">
        <is>
          <t>Share issuance</t>
        </is>
      </c>
      <c r="B26" s="6" t="n"/>
      <c r="C26" s="6" t="n">
        <v>31183</v>
      </c>
      <c r="D26" s="6" t="n">
        <v>23233.15</v>
      </c>
      <c r="E26" s="6" t="n">
        <v>1728.142</v>
      </c>
      <c r="F26" s="6" t="n">
        <v>25561.125</v>
      </c>
      <c r="G26" s="6" t="n">
        <v>9972.572</v>
      </c>
    </row>
    <row r="27">
      <c r="A27" s="6" t="inlineStr">
        <is>
          <t>Cost of share issuance</t>
        </is>
      </c>
      <c r="B27" s="6" t="n"/>
      <c r="C27" s="6" t="n">
        <v>-2687</v>
      </c>
      <c r="D27" s="6" t="n">
        <v>0</v>
      </c>
      <c r="E27" s="6" t="n">
        <v>0</v>
      </c>
      <c r="F27" s="6" t="n">
        <v>0</v>
      </c>
      <c r="G27" s="6" t="n">
        <v>0</v>
      </c>
    </row>
    <row r="28">
      <c r="A28" s="6" t="inlineStr">
        <is>
          <t>Cash inflows from shares to be issued</t>
        </is>
      </c>
      <c r="B28" s="6" t="n"/>
      <c r="C28" s="6" t="n">
        <v>48</v>
      </c>
      <c r="D28" s="6" t="n">
        <v>13980.144</v>
      </c>
      <c r="E28" s="6" t="n">
        <v>2796</v>
      </c>
      <c r="F28" s="6" t="n">
        <v>724.816</v>
      </c>
      <c r="G28" s="6" t="n">
        <v>15034.157</v>
      </c>
    </row>
    <row r="29">
      <c r="A29" s="5" t="inlineStr">
        <is>
          <t>Net cash from financing activities</t>
        </is>
      </c>
      <c r="B29" s="5" t="n"/>
      <c r="C29" s="5" t="n">
        <v>28544</v>
      </c>
      <c r="D29" s="5" t="n">
        <v>37213.294</v>
      </c>
      <c r="E29" s="5" t="n">
        <v>4524.142</v>
      </c>
      <c r="F29" s="5" t="n">
        <v>26285.941</v>
      </c>
      <c r="G29" s="5" t="n">
        <v>25006.73</v>
      </c>
    </row>
    <row r="30">
      <c r="A30" s="5" t="inlineStr">
        <is>
          <t>Increase/(decrease) in cash and cash equivalents</t>
        </is>
      </c>
      <c r="B30" s="5" t="n"/>
      <c r="C30" s="5" t="n">
        <v>3347765</v>
      </c>
      <c r="D30" s="5" t="n">
        <v>311542.027</v>
      </c>
      <c r="E30" s="5" t="n">
        <v>41785.421</v>
      </c>
      <c r="F30" s="5" t="n">
        <v>-1224.652</v>
      </c>
      <c r="G30" s="5" t="n">
        <v>19606.448</v>
      </c>
    </row>
    <row r="31">
      <c r="A31" s="6" t="inlineStr">
        <is>
          <t>Cash and cash equivalents at beginning of year</t>
        </is>
      </c>
      <c r="B31" s="6" t="n"/>
      <c r="C31" s="6" t="n">
        <v>377215</v>
      </c>
      <c r="D31" s="6" t="n">
        <v>65673.758</v>
      </c>
      <c r="E31" s="6" t="n">
        <v>23888.337</v>
      </c>
      <c r="F31" s="6" t="n">
        <v>25112.989</v>
      </c>
      <c r="G31" s="6" t="n">
        <v>5506.541</v>
      </c>
    </row>
    <row r="32">
      <c r="A32" s="5" t="inlineStr">
        <is>
          <t>Cash and cash equivalents at end of year</t>
        </is>
      </c>
      <c r="B32" s="5" t="n"/>
      <c r="C32" s="5" t="n">
        <v>3724980</v>
      </c>
      <c r="D32" s="5" t="n">
        <v>377215.785</v>
      </c>
      <c r="E32" s="5" t="n">
        <v>65673.758</v>
      </c>
      <c r="F32" s="5" t="n">
        <v>23888.337</v>
      </c>
      <c r="G32" s="5" t="n">
        <v>25112.989</v>
      </c>
    </row>
    <row r="34" ht="240" customHeight="1">
      <c r="A34" s="8" t="inlineStr">
        <is>
          <t>Sources - Monument Bank Limited Company/standalone cash flows, £'000:
FY2024 &amp; FY2023: Financial Statements for the year ended 31 December 2024, pp.74-75 (Company columns) - https://find-and-update.company-information.service.gov.uk/company/10921940/filing-history/MzQ3Njc0NjA3MmFkaXF6a2N4/document?download=0&amp;format=pdf
FY2023 &amp; FY2022: Financial Statements for the year ended 31 December 2023, p.35 (Company figures; FY2022 comparative) - https://find-and-update.company-information.service.gov.uk/company/10921940/filing-history/MzQzNjUxODg2NmFkaXF6a2N4/document?download=0&amp;format=pdf
FY2022 &amp; FY2021: Financial Statements for the year ended 31 December 2022, p.29 - https://find-and-update.company-information.service.gov.uk/company/10921940/filing-history/MzM5NDQyODAwN2FkaXF6a2N4/document?download=0&amp;format=pdf
FY2021: Financial Statements for the year ended 31 December 2021, p.25 - https://find-and-update.company-information.service.gov.uk/company/10921940/filing-history/MzM1Mjc4MTU2M2FkaXF6a2N4/document?download=0&amp;format=pdf
FY2020: Financial Statements for the year ended 31 December 2020, Statement of Cash Flows, p.30 -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t>
        </is>
      </c>
    </row>
  </sheetData>
  <mergeCells count="1">
    <mergeCell ref="A34:G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Asset Quality</t>
        </is>
      </c>
    </row>
    <row r="2">
      <c r="A2" s="2" t="inlineStr">
        <is>
          <t>Company basis, £'000. This Bank applies FRS 102/IAS 39's incurred-loss model, not IFRS 9 - no Stage 1/2/3 split is disclosed in any year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Company basis</t>
        </is>
      </c>
      <c r="B4" s="6" t="n"/>
      <c r="C4" s="6" t="n"/>
      <c r="D4" s="6" t="n"/>
      <c r="E4" s="6" t="n"/>
      <c r="F4" s="6" t="n"/>
      <c r="G4" s="6" t="n"/>
    </row>
    <row r="5">
      <c r="A5" s="6" t="inlineStr">
        <is>
          <t>Gross loans and advances</t>
        </is>
      </c>
      <c r="B5" s="6" t="n"/>
      <c r="C5" s="6" t="n">
        <v>174105</v>
      </c>
      <c r="D5" s="6" t="n">
        <v>139876</v>
      </c>
      <c r="E5" s="6" t="n">
        <v>93475.75900000001</v>
      </c>
      <c r="F5" s="6" t="n">
        <v>761.749</v>
      </c>
      <c r="G5" s="6" t="n"/>
    </row>
    <row r="6">
      <c r="A6" s="6" t="inlineStr">
        <is>
          <t>Less: allowance for impairment on loans and advances</t>
        </is>
      </c>
      <c r="B6" s="6" t="n"/>
      <c r="C6" s="6" t="n">
        <v>-266</v>
      </c>
      <c r="D6" s="6" t="n">
        <v>-187</v>
      </c>
      <c r="E6" s="6" t="n">
        <v>-104.644</v>
      </c>
      <c r="F6" s="6" t="n">
        <v>-2.664</v>
      </c>
      <c r="G6" s="6" t="n"/>
    </row>
    <row r="7">
      <c r="A7" s="5" t="inlineStr">
        <is>
          <t>Net loans and advances to customers</t>
        </is>
      </c>
      <c r="B7" s="5" t="n"/>
      <c r="C7" s="5" t="n">
        <v>173839</v>
      </c>
      <c r="D7" s="5" t="n">
        <v>139689</v>
      </c>
      <c r="E7" s="5" t="n">
        <v>93371.11500000001</v>
      </c>
      <c r="F7" s="5" t="n">
        <v>759.085</v>
      </c>
      <c r="G7" s="5" t="n"/>
    </row>
    <row r="8">
      <c r="A8" s="5" t="inlineStr">
        <is>
          <t>Impairment provision (IAS 39 incurred-loss model - no IFRS 9 stage split disclosed)</t>
        </is>
      </c>
      <c r="B8" s="6" t="n"/>
      <c r="C8" s="6" t="n"/>
      <c r="D8" s="6" t="n"/>
      <c r="E8" s="6" t="n"/>
      <c r="F8" s="6" t="n"/>
      <c r="G8" s="6" t="n"/>
    </row>
    <row r="9">
      <c r="A9" s="6" t="inlineStr">
        <is>
          <t>Individual impairment provision</t>
        </is>
      </c>
      <c r="B9" s="6" t="n"/>
      <c r="C9" s="6" t="n">
        <v>0</v>
      </c>
      <c r="D9" s="6" t="n">
        <v>0</v>
      </c>
      <c r="E9" s="6" t="n">
        <v>0</v>
      </c>
      <c r="F9" s="6" t="n">
        <v>0</v>
      </c>
      <c r="G9" s="6" t="n"/>
    </row>
    <row r="10">
      <c r="A10" s="6" t="inlineStr">
        <is>
          <t>Collective impairment provision</t>
        </is>
      </c>
      <c r="B10" s="6" t="n"/>
      <c r="C10" s="6" t="n">
        <v>266</v>
      </c>
      <c r="D10" s="6" t="n">
        <v>187</v>
      </c>
      <c r="E10" s="6" t="n">
        <v>104.644</v>
      </c>
      <c r="F10" s="6" t="n">
        <v>2.664</v>
      </c>
      <c r="G10" s="6" t="n"/>
    </row>
    <row r="11">
      <c r="A11" s="5" t="inlineStr">
        <is>
          <t>Total impairment provision</t>
        </is>
      </c>
      <c r="B11" s="5" t="n"/>
      <c r="C11" s="5" t="n">
        <v>266</v>
      </c>
      <c r="D11" s="5" t="n">
        <v>187</v>
      </c>
      <c r="E11" s="5" t="n">
        <v>104.644</v>
      </c>
      <c r="F11" s="5" t="n">
        <v>2.664</v>
      </c>
      <c r="G11" s="5" t="n"/>
    </row>
    <row r="12">
      <c r="A12" s="6" t="inlineStr">
        <is>
          <t>Impairment charge/(release) recognised in the income statement</t>
        </is>
      </c>
      <c r="B12" s="6" t="n"/>
      <c r="C12" s="6" t="n">
        <v>79</v>
      </c>
      <c r="D12" s="6" t="n">
        <v>82.581</v>
      </c>
      <c r="E12" s="6" t="n">
        <v>101.98</v>
      </c>
      <c r="F12" s="6" t="n">
        <v>2.664</v>
      </c>
      <c r="G12" s="6" t="n"/>
    </row>
    <row r="13">
      <c r="A13" s="6" t="inlineStr">
        <is>
          <t>Coverage ratio (impairment provision / gross loans and advances)</t>
        </is>
      </c>
      <c r="B13" s="6" t="n"/>
      <c r="C13" s="6" t="inlineStr">
        <is>
          <t>0.15%</t>
        </is>
      </c>
      <c r="D13" s="6" t="inlineStr">
        <is>
          <t>0.13%</t>
        </is>
      </c>
      <c r="E13" s="6" t="inlineStr">
        <is>
          <t>0.11%</t>
        </is>
      </c>
      <c r="F13" s="6" t="inlineStr">
        <is>
          <t>0.35%</t>
        </is>
      </c>
      <c r="G13" s="6" t="n"/>
    </row>
    <row r="15" ht="340" customHeight="1">
      <c r="A15" s="8" t="inlineStr">
        <is>
          <t>Sources - Monument Bank Limited Company/standalone Balance Sheet, Profit &amp; Loss, Statement of Changes in Equity, and Asset Quality, £'000:
FY2024 &amp; FY2023: Financial Statements for the year ended 31 December 2024, Statement of financial position/Statement of total comprehensive income/Statement of changes in equity, pp.52-55, and Note 16 Loans and advances to customers, p.68 - https://find-and-update.company-information.service.gov.uk/company/10921940/filing-history/MzQ3Njc0NjA3MmFkaXF6a2N4/document?download=0&amp;format=pdf
FY2023 &amp; FY2022: Financial Statements for the year ended 31 December 2023, Statement of financial position/Statement of total comprehensive income/Statement of changes in equity, pp.32-34, and Note 15 Loans and advances to customers, p.51 - https://find-and-update.company-information.service.gov.uk/company/10921940/filing-history/MzQzNjUxODg2NmFkaXF6a2N4/document?download=0&amp;format=pdf
FY2022: Financial Statements for the year ended 31 December 2022, Statement of financial position/Statement of total comprehensive income, pp.27-28 (own-year figures - confirmed identical to the FY2023 report's FY2022 comparative, no restatement) - https://find-and-update.company-information.service.gov.uk/company/10921940/filing-history/MzM5NDQyODAwN2FkaXF6a2N4/document?download=0&amp;format=pdf
FY2021: Financial Statements for the year ended 31 December 2021, Statement of financial position/Statement of total comprehensive income/Statement of changes in equity, pp.23-26, and Note 13 Loans and advances to customers, pp.37-38 - https://find-and-update.company-information.service.gov.uk/company/10921940/filing-history/MzM1Mjc4MTU2M2FkaXF6a2N4/document?download=0&amp;format=pdf
FY2020: Financial Statements for the year ended 31 December 2020, Statement of Financial Position p.28, Income Statement p.26, Statement of Comprehensive Income p.27, Statement of Changes in Equity p.29 - https://find-and-update.company-information.service.gov.uk/company/10921940/filing-history/MzMxNjk5NzI2OGFkaXF6a2N4/document?download=0&amp;format=pdf
ENTITY/BASIS NOTE: Monument Bank Limited (Companies House 10921940; FRN 849724; LEI 213800OLF8OE1I3HVY91) is the matched legal entity in Banks List 2608.xlsx. Cash flows are the Company/standalone figures in £'000. The latest available filing is the report for the year ended 31 December 2024; FY2025 is blank because no FY2025 accounts were available in the Companies House filing history reviewed. The accounts are scanned filings and were OCR-processed and cross-checked against rendered pages (the FY2020 filing was re-OCR'd with layout-preserving column extraction to resolve a multi-column table). Blank cells mean not publicly disclosed, not zero.
HISTORICAL FLOOR NOTE: the entity (Companies House 10921940) was incorporated on 18 August 2017 as 'Monument Principal Capital Ltd.', renamed 'Monument Corporation Ltd.' on 26 January 2018, and only renamed 'Monument Bank Limited' on 9 November 2020 after receiving its PRA/FCA Banking Licence on 6 October 2020 (entering the 'Authorisation with Restriction' mobilisation phase). Two micro-entity accounts were filed for the pre-bank shell company - for the period to 31 August 2018 (Companies House filing 13 Apr 2019) and the shortened period to 31 December 2018 (filing 3 Jul 2019), plus a further micro-entity filing for FY2019 (filing 27 Apr 2020) - all three were independently retrieved, OCR'd and read in full: none discloses any banking business (no loans, no deposits, no P&amp;L is even filed under the micro-entity exemption - only a bare shell-company balance sheet: total shareholders' funds of £52,101 at 31 Aug 2018, £5,042,885 at 31 Dec 2018, £5,578,186 at 31 Dec 2019, all cash/debtors/share-capital with no line item this workbook's shape could populate). FY2017-FY2019 are therefore self-skipped in full as a genuine non-disclosure of any bank-relevant figures, not a convenience skip - the ticket's claimed 'FY2017 floor' (from HD-001's generic entity-incorporation-year filter) does not hold for this bank, the same pattern already found for Griffin Bank Ltd in this batch. FY2020 is the real floor: the first full, audited annual report (45 pages, filed 15 Oct 2021), covering the Bank's first year in the mobilisation/pre-revenue phase post-licence. FY2020's own Asset Quality is genuinely blank (no loans and advances to customers existed yet - the Bank had not begun lending), and only the Total Capital Ratio (359%) is disclosed among the Pillar 3 metrics for that year - both are self-skips at the metric/sheet-cell level for that one year, not the whole bank.
BASIS NOTE: all 4 statement sheets are shown on the same Company/standalone basis as the Cash Flow Statement. Whole-£ source figures for FY2022, FY2021 and FY2020 have been converted to £'000 (division by 1,000, decimals retained) - FY2024/FY2023 are already reported in £'000 by the source document.
PRESENTATION NOTE: FY2021's Balance Sheet used a different line structure to later years - a single combined 'Cash and balances with banks' line (no separate 'Loans and advances to credit institutions' split), no Treasury bills/Debt securities/Derivative financial instruments lines (the Bank had none that year), and no Available-for-sale reserve line (introduced only once AFS investments were held, from FY2023). These are left blank for FY2021 rather than estimated, per this project's standing 'blank cells mean not disclosed, not zero' convention - except where the source explicitly states nil ('-'), which is shown as 0. FY2020's Balance Sheet is simpler still: 'Cash and balances at central banks / with banks' is Cash at Bank, 'Other assets' is Debtors, and 'Other liabilities and accruals' is Creditors falling due within one year - the Bank had no loan book, no customer deposits, no derivatives and no treasury/debt securities that year (pre-launch mobilisation phase), so those lines are blank, not zero.
EQUITY LADDER: confirmed exactly across all 5 years - each year's own closing balance ties to both the next year's own opening balance and that year's own Balance Sheet Total equity, with zero plug rows. All equity movements (share issuances, shares to be issued, employee share scheme charge, available-for-sale reserve movements) are genuinely disclosed line items, not derived.
ASSET QUALITY NOTE: this Bank applies FRS 102 in conjunction with IAS 39's incurred-loss impairment model (not IFRS 9), so no Stage 1/2/3 split is disclosed in any year - Asset Quality is built instead from the Bank's own individual/collective impairment provision note, which is the finest granularity disclosed. FY2020 is blank on this one sheet only (self-skipped at the year level, not the whole sheet/bank): the Bank had not begun lending as of 31 December 2020 (pre-revenue mobilisation phase following its 6 October 2020 Banking Licence), so no loan book or impairment provision existed to disclose that year - confirmed by the FY2020 Statement of Financial Position, which has no loans and advances to customers line at all.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t>
        </is>
      </c>
    </row>
  </sheetData>
  <mergeCells count="1">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56324</v>
      </c>
      <c r="D4" s="6" t="n">
        <v>28035.733</v>
      </c>
      <c r="E4" s="6" t="n">
        <v>21299.969</v>
      </c>
      <c r="F4" s="6" t="n">
        <v>32643.538</v>
      </c>
      <c r="G4" s="6" t="n"/>
    </row>
    <row r="6" ht="18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20%</t>
        </is>
      </c>
      <c r="D4" s="6" t="inlineStr">
        <is>
          <t>22%</t>
        </is>
      </c>
      <c r="E4" s="6" t="n"/>
      <c r="F4" s="6" t="n"/>
      <c r="G4" s="6" t="n"/>
    </row>
    <row r="5" ht="60" customHeight="1">
      <c r="A5" s="7" t="inlineStr">
        <is>
          <t>Note: The annual reports disclose CET1 capital and, from 2023 onward, the CET1 ratio; earlier ratios were not separately disclosed.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c r="D4" s="6" t="n"/>
      <c r="E4" s="6" t="n"/>
      <c r="F4" s="6" t="n"/>
      <c r="G4" s="6" t="n"/>
    </row>
    <row r="5" ht="60" customHeight="1">
      <c r="A5" s="7" t="inlineStr">
        <is>
          <t>Note: No standalone Tier 1 capital amount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n"/>
      <c r="D4" s="6" t="n"/>
      <c r="E4" s="6" t="n"/>
      <c r="F4" s="6" t="n"/>
      <c r="G4" s="6" t="n"/>
    </row>
    <row r="5" ht="60" customHeight="1">
      <c r="A5" s="7" t="inlineStr">
        <is>
          <t>Note: No standalone Tier 1 ratio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c r="D4" s="6" t="n"/>
      <c r="E4" s="6" t="n"/>
      <c r="F4" s="6" t="n"/>
      <c r="G4" s="6" t="n"/>
    </row>
    <row r="5" ht="60" customHeight="1">
      <c r="A5" s="7" t="inlineStr">
        <is>
          <t>Note: No standalone total capital amount was separately disclosed in the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n"/>
      <c r="D4" s="6" t="n"/>
      <c r="E4" s="6" t="inlineStr">
        <is>
          <t>44%</t>
        </is>
      </c>
      <c r="F4" s="6" t="inlineStr">
        <is>
          <t>529%</t>
        </is>
      </c>
      <c r="G4" s="6" t="inlineStr">
        <is>
          <t>359%</t>
        </is>
      </c>
    </row>
    <row r="5" ht="60" customHeight="1">
      <c r="A5" s="7" t="inlineStr">
        <is>
          <t>Note: The 2023 report states 44% for FY2022 and the 2024 report does not repeat a total capital ratio for FY2023/FY2024; FY2021 is reported as 529%; FY2020's Strategic Report states 359%.</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t>
        </is>
      </c>
      <c r="B4" s="6" t="n"/>
      <c r="C4" s="6" t="n">
        <v>281756</v>
      </c>
      <c r="D4" s="6" t="n">
        <v>126528</v>
      </c>
      <c r="E4" s="6" t="n"/>
      <c r="F4" s="6" t="n"/>
      <c r="G4" s="6" t="n"/>
    </row>
    <row r="5" ht="60" customHeight="1">
      <c r="A5" s="7" t="inlineStr">
        <is>
          <t>Note: Total RWAs were disclosed in the 2024 report’s regulatory metrics table; earlier totals were not separately disclosed.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RWA Breakdown</t>
        </is>
      </c>
    </row>
    <row r="2">
      <c r="A2" s="2" t="inlineStr">
        <is>
          <t>Company basis, £'000.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Not publicly disclosed</t>
        </is>
      </c>
      <c r="B4" s="6" t="n"/>
      <c r="C4" s="6" t="n"/>
      <c r="D4" s="6" t="n"/>
      <c r="E4" s="6" t="n"/>
      <c r="F4" s="6" t="n"/>
      <c r="G4" s="6" t="n"/>
    </row>
    <row r="6" ht="19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
RWA BREAKDOWN NOTE: no breakdown of Total RWAs by risk category (credit/market/operational risk) was found in any of the 4 filings' risk management or capital sections reviewed - only the aggregate Total Tier 1 capital and (via the Total Capital Ratio) an implied Total RWAs figure are disclosed. Confirmed as a genuine non-disclosure, not an access gap - all 4 filings were fully read through their risk management notes (see Note 26 'Risk management'/'Capital risk management' in the FY2024 report).</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n"/>
      <c r="C4" s="6" t="inlineStr">
        <is>
          <t>3.9%</t>
        </is>
      </c>
      <c r="D4" s="6" t="inlineStr">
        <is>
          <t>4.1%</t>
        </is>
      </c>
      <c r="E4" s="6" t="n"/>
      <c r="F4" s="6" t="n"/>
      <c r="G4" s="6" t="n"/>
    </row>
    <row r="6" ht="180" customHeight="1">
      <c r="A6"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n"/>
      <c r="C4" s="6" t="inlineStr">
        <is>
          <t>589%</t>
        </is>
      </c>
      <c r="D4" s="6" t="inlineStr">
        <is>
          <t>1,093%</t>
        </is>
      </c>
      <c r="E4" s="6" t="inlineStr">
        <is>
          <t>10,128%</t>
        </is>
      </c>
      <c r="F4" s="6" t="inlineStr">
        <is>
          <t>2,861,111,111%</t>
        </is>
      </c>
      <c r="G4" s="6" t="n"/>
    </row>
    <row r="5" ht="60" customHeight="1">
      <c r="A5" s="7" t="inlineStr">
        <is>
          <t>Note: FY2021’s unusually high percentage is reproduced exactly as printed in the 2021 accounts; it is not normalised or inferred.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inlineStr">
        <is>
          <t>560%</t>
        </is>
      </c>
      <c r="D4" s="6" t="inlineStr">
        <is>
          <t>228%</t>
        </is>
      </c>
      <c r="E4" s="6" t="n"/>
      <c r="F4" s="6" t="n"/>
      <c r="G4" s="6" t="n"/>
    </row>
    <row r="5" ht="60" customHeight="1">
      <c r="A5" s="7" t="inlineStr">
        <is>
          <t>Note: NSFR was disclosed in the FY2024 report’s regulatory metrics table; no earlier standalone figure was located.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Monument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n"/>
      <c r="C4" s="6" t="n"/>
      <c r="D4" s="6" t="n"/>
      <c r="E4" s="6" t="n"/>
      <c r="F4" s="6" t="n"/>
      <c r="G4" s="6" t="n"/>
    </row>
    <row r="5" ht="60" customHeight="1">
      <c r="A5" s="7" t="inlineStr">
        <is>
          <t>Note: No quantitative MREL ratio was located in the official annual reports reviewed.</t>
        </is>
      </c>
    </row>
    <row r="7" ht="180" customHeight="1">
      <c r="A7" s="8" t="inlineStr">
        <is>
          <t>Sources - Monument Bank Limited annual regulatory KPIs and risk disclosures:
FY2024 &amp; FY2023: Financial Statements for the year ended 31 December 2024, pp.11-12 and 74 - https://find-and-update.company-information.service.gov.uk/company/10921940/filing-history/MzQ3Njc0NjA3MmFkaXF6a2N4/document?download=0&amp;format=pdf
FY2023 &amp; FY2022: Financial Statements for the year ended 31 December 2023, pp.8-9 and 60-61 - https://find-and-update.company-information.service.gov.uk/company/10921940/filing-history/MzQzNjUxODg2NmFkaXF6a2N4/document?download=0&amp;format=pdf
FY2022 &amp; FY2021: Financial Statements for the year ended 31 December 2022, pp.10 and 51 - https://find-and-update.company-information.service.gov.uk/company/10921940/filing-history/MzM5NDQyODAwN2FkaXF6a2N4/document?download=0&amp;format=pdf
FY2021: Financial Statements for the year ended 31 December 2021, pp.9 and 41 - https://find-and-update.company-information.service.gov.uk/company/10921940/filing-history/MzM1Mjc4MTU2M2FkaXF6a2N4/document?download=0&amp;format=pdf
FY2020: Financial Statements for the year ended 31 December 2020, Strategic Report - Financial Review, p.9 - https://find-and-update.company-information.service.gov.uk/company/10921940/filing-history/MzMxNjk5NzI2OGFkaXF6a2N4/document?download=0&amp;format=pdf
The reports do not provide a complete UK KM1 table for every year. Only explicitly disclosed entity-level values are populated; unavailable capital components and ratios remain blank. FY2020 only discloses a Total Capital Ratio (359%, per the Strategic Report) - the Bank had not yet begun regulatory reporting of the other KM1 components at that stage of mobilisation.</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2026-09-05T21:16:20Z</dcterms:created>
  <dcterms:modified xmlns:dcterms="http://purl.org/dc/terms/" xmlns:xsi="http://www.w3.org/2001/XMLSchema-instance" xsi:type="dcterms:W3CDTF">2026-09-05T21:16:20Z</dcterms:modified>
</cp:coreProperties>
</file>