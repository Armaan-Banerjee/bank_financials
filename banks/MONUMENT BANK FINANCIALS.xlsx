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5B2C6F"/>
        <bgColor rgb="005B2C6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Monument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Monument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Monument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/>
      <c r="C6" s="5" t="n">
        <v>3323920</v>
      </c>
      <c r="D6" s="5" t="n">
        <v>277818.774</v>
      </c>
      <c r="E6" s="5" t="n">
        <v>40838.421</v>
      </c>
      <c r="F6" s="5" t="n">
        <v>-8763.915000000001</v>
      </c>
      <c r="I6" t="inlineStr">
        <is>
          <t>Net cash from/(used in) operating activities</t>
        </is>
      </c>
      <c r="J6" t="n">
        <v>-8763.915000000001</v>
      </c>
      <c r="K6" t="n">
        <v>40838.421</v>
      </c>
      <c r="L6" t="n">
        <v>277818.774</v>
      </c>
      <c r="M6" t="n">
        <v>3323920</v>
      </c>
      <c r="Q6" t="inlineStr">
        <is>
          <t>CET1 Ratio</t>
        </is>
      </c>
      <c r="T6" t="n">
        <v>22</v>
      </c>
      <c r="U6" t="n">
        <v>20</v>
      </c>
    </row>
    <row r="7">
      <c r="A7" s="5" t="inlineStr">
        <is>
          <t>Net cash used in investing activities</t>
        </is>
      </c>
      <c r="B7" s="5" t="n"/>
      <c r="C7" s="5" t="n">
        <v>-4699</v>
      </c>
      <c r="D7" s="5" t="n">
        <v>-3490.041</v>
      </c>
      <c r="E7" s="5" t="n">
        <v>-3577.142</v>
      </c>
      <c r="F7" s="5" t="n">
        <v>-18746.678</v>
      </c>
      <c r="I7" t="inlineStr">
        <is>
          <t>Net cash used in investing activities</t>
        </is>
      </c>
      <c r="J7" t="n">
        <v>-18746.678</v>
      </c>
      <c r="K7" t="n">
        <v>-3577.142</v>
      </c>
      <c r="L7" t="n">
        <v>-3490.041</v>
      </c>
      <c r="M7" t="n">
        <v>-4699</v>
      </c>
      <c r="Q7" t="inlineStr">
        <is>
          <t>Total Capital Ratio</t>
        </is>
      </c>
      <c r="R7" t="n">
        <v>529</v>
      </c>
      <c r="S7" t="n">
        <v>44</v>
      </c>
    </row>
    <row r="8">
      <c r="A8" s="5" t="inlineStr">
        <is>
          <t>Net cash from financing activities</t>
        </is>
      </c>
      <c r="B8" s="5" t="n"/>
      <c r="C8" s="5" t="n">
        <v>28544</v>
      </c>
      <c r="D8" s="5" t="n">
        <v>37213.294</v>
      </c>
      <c r="E8" s="5" t="n">
        <v>4524.142</v>
      </c>
      <c r="F8" s="5" t="n">
        <v>26285.941</v>
      </c>
      <c r="I8" t="inlineStr">
        <is>
          <t>Net cash from financing activities</t>
        </is>
      </c>
      <c r="J8" t="n">
        <v>26285.941</v>
      </c>
      <c r="K8" t="n">
        <v>4524.142</v>
      </c>
      <c r="L8" t="n">
        <v>37213.294</v>
      </c>
      <c r="M8" t="n">
        <v>28544</v>
      </c>
      <c r="Q8" t="inlineStr">
        <is>
          <t>Leverage Ratio</t>
        </is>
      </c>
      <c r="T8" t="n">
        <v>4.1</v>
      </c>
      <c r="U8" t="n">
        <v>3.9</v>
      </c>
    </row>
    <row r="9">
      <c r="A9" s="5" t="inlineStr">
        <is>
          <t>Cash and cash equivalents at end of year</t>
        </is>
      </c>
      <c r="B9" s="5" t="n"/>
      <c r="C9" s="5" t="n">
        <v>3724980</v>
      </c>
      <c r="D9" s="5" t="n">
        <v>377215.785</v>
      </c>
      <c r="E9" s="5" t="n">
        <v>65673.758</v>
      </c>
      <c r="F9" s="5" t="n">
        <v>23888.337</v>
      </c>
      <c r="I9" t="inlineStr">
        <is>
          <t>Cash and cash equivalents at end of year</t>
        </is>
      </c>
      <c r="J9" t="n">
        <v>23888.337</v>
      </c>
      <c r="K9" t="n">
        <v>65673.758</v>
      </c>
      <c r="L9" t="n">
        <v>377215.785</v>
      </c>
      <c r="M9" t="n">
        <v>3724980</v>
      </c>
      <c r="Q9" t="inlineStr">
        <is>
          <t>LCR</t>
        </is>
      </c>
      <c r="R9" t="n">
        <v>2861111111</v>
      </c>
      <c r="S9" t="n">
        <v>10128</v>
      </c>
      <c r="T9" t="n">
        <v>1093</v>
      </c>
      <c r="U9" t="n">
        <v>589</v>
      </c>
    </row>
    <row r="10">
      <c r="Q10" t="inlineStr">
        <is>
          <t>NSFR</t>
        </is>
      </c>
      <c r="T10" t="n">
        <v>228</v>
      </c>
      <c r="U10" t="n">
        <v>560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n"/>
      <c r="C13" s="6" t="inlineStr">
        <is>
          <t>20%</t>
        </is>
      </c>
      <c r="D13" s="6" t="inlineStr">
        <is>
          <t>22%</t>
        </is>
      </c>
      <c r="E13" s="6" t="n"/>
      <c r="F13" s="6" t="n"/>
    </row>
    <row r="14">
      <c r="A14" s="6" t="inlineStr">
        <is>
          <t>Total Capital Ratio</t>
        </is>
      </c>
      <c r="B14" s="6" t="n"/>
      <c r="C14" s="6" t="n"/>
      <c r="D14" s="6" t="n"/>
      <c r="E14" s="6" t="inlineStr">
        <is>
          <t>44%</t>
        </is>
      </c>
      <c r="F14" s="6" t="inlineStr">
        <is>
          <t>529%</t>
        </is>
      </c>
    </row>
    <row r="15">
      <c r="A15" s="6" t="inlineStr">
        <is>
          <t>Leverage Ratio</t>
        </is>
      </c>
      <c r="B15" s="6" t="n"/>
      <c r="C15" s="6" t="inlineStr">
        <is>
          <t>3.9%</t>
        </is>
      </c>
      <c r="D15" s="6" t="inlineStr">
        <is>
          <t>4.1%</t>
        </is>
      </c>
      <c r="E15" s="6" t="n"/>
      <c r="F15" s="6" t="n"/>
    </row>
    <row r="16">
      <c r="A16" s="6" t="inlineStr">
        <is>
          <t>LCR</t>
        </is>
      </c>
      <c r="B16" s="6" t="n"/>
      <c r="C16" s="6" t="inlineStr">
        <is>
          <t>589%</t>
        </is>
      </c>
      <c r="D16" s="6" t="inlineStr">
        <is>
          <t>1,093%</t>
        </is>
      </c>
      <c r="E16" s="6" t="inlineStr">
        <is>
          <t>10,128%</t>
        </is>
      </c>
      <c r="F16" s="6" t="inlineStr">
        <is>
          <t>2,861,111,111%</t>
        </is>
      </c>
    </row>
    <row r="17">
      <c r="A17" s="6" t="inlineStr">
        <is>
          <t>NSFR</t>
        </is>
      </c>
      <c r="B17" s="6" t="n"/>
      <c r="C17" s="6" t="inlineStr">
        <is>
          <t>560%</t>
        </is>
      </c>
      <c r="D17" s="6" t="inlineStr">
        <is>
          <t>228%</t>
        </is>
      </c>
      <c r="E17" s="6" t="n"/>
      <c r="F17" s="6" t="n"/>
    </row>
    <row r="19" ht="45" customHeight="1">
      <c r="A19" s="7" t="inlineStr">
        <is>
          <t>Note: Monument Bank Limited standalone/Company basis. FY2025 is blank because the latest available Companies House accounts cover 31 December 2024. Pillar 3 sheets contain only explicitly disclosed annual regulatory values; blank cells mean not disclosed.</t>
        </is>
      </c>
    </row>
  </sheetData>
  <mergeCells count="1">
    <mergeCell ref="A19:F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- Company Cash Flow Statement</t>
        </is>
      </c>
    </row>
    <row r="2">
      <c r="A2" s="2" t="inlineStr">
        <is>
          <t>Company/standalone basis, £'000; 31 December year-end. FY2025 not yet filed.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Loss for the financial year</t>
        </is>
      </c>
      <c r="B5" s="6" t="n"/>
      <c r="C5" s="6" t="n">
        <v>-13086</v>
      </c>
      <c r="D5" s="6" t="n">
        <v>-19360</v>
      </c>
      <c r="E5" s="6" t="n">
        <v>-12709.555</v>
      </c>
      <c r="F5" s="6" t="n">
        <v>-9973.317999999999</v>
      </c>
    </row>
    <row r="6">
      <c r="A6" s="6" t="inlineStr">
        <is>
          <t>Amortisation charges</t>
        </is>
      </c>
      <c r="B6" s="6" t="n"/>
      <c r="C6" s="6" t="n">
        <v>3538</v>
      </c>
      <c r="D6" s="6" t="n">
        <v>2793.918</v>
      </c>
      <c r="E6" s="6" t="n">
        <v>2175.212</v>
      </c>
      <c r="F6" s="6" t="n">
        <v>128.659</v>
      </c>
    </row>
    <row r="7">
      <c r="A7" s="6" t="inlineStr">
        <is>
          <t>Depreciation charges</t>
        </is>
      </c>
      <c r="B7" s="6" t="n"/>
      <c r="C7" s="6" t="n">
        <v>95</v>
      </c>
      <c r="D7" s="6" t="n">
        <v>69.739</v>
      </c>
      <c r="E7" s="6" t="n">
        <v>57.66</v>
      </c>
      <c r="F7" s="6" t="n">
        <v>28.517</v>
      </c>
    </row>
    <row r="8">
      <c r="A8" s="6" t="inlineStr">
        <is>
          <t>Impairment charge on loans and advances to customers</t>
        </is>
      </c>
      <c r="B8" s="6" t="n"/>
      <c r="C8" s="6" t="n">
        <v>79</v>
      </c>
      <c r="D8" s="6" t="n">
        <v>82.581</v>
      </c>
      <c r="E8" s="6" t="n">
        <v>101.98</v>
      </c>
      <c r="F8" s="6" t="n">
        <v>2.664</v>
      </c>
    </row>
    <row r="9">
      <c r="A9" s="6" t="inlineStr">
        <is>
          <t>Employee share scheme charge</t>
        </is>
      </c>
      <c r="B9" s="6" t="n"/>
      <c r="C9" s="6" t="n">
        <v>1389</v>
      </c>
      <c r="D9" s="6" t="n">
        <v>608.05</v>
      </c>
      <c r="E9" s="6" t="n">
        <v>718.696</v>
      </c>
      <c r="F9" s="6" t="n">
        <v>613.561</v>
      </c>
    </row>
    <row r="10">
      <c r="A10" s="6" t="inlineStr">
        <is>
          <t>Increase in loans and advances to customers</t>
        </is>
      </c>
      <c r="B10" s="6" t="n"/>
      <c r="C10" s="6" t="n">
        <v>-34229</v>
      </c>
      <c r="D10" s="6" t="n">
        <v>-46400.642</v>
      </c>
      <c r="E10" s="6" t="n">
        <v>-92714.00999999999</v>
      </c>
      <c r="F10" s="6" t="n">
        <v>-761.749</v>
      </c>
    </row>
    <row r="11">
      <c r="A11" s="6" t="inlineStr">
        <is>
          <t>Increase in customer deposits</t>
        </is>
      </c>
      <c r="B11" s="6" t="n"/>
      <c r="C11" s="6" t="n">
        <v>4079222</v>
      </c>
      <c r="D11" s="6" t="n">
        <v>842843.947</v>
      </c>
      <c r="E11" s="6" t="n">
        <v>145564.821</v>
      </c>
      <c r="F11" s="6" t="n">
        <v>2093.036</v>
      </c>
    </row>
    <row r="12">
      <c r="A12" s="6" t="inlineStr">
        <is>
          <t>Increase in other assets</t>
        </is>
      </c>
      <c r="B12" s="6" t="n"/>
      <c r="C12" s="6" t="n">
        <v>-54</v>
      </c>
      <c r="D12" s="6" t="n">
        <v>-1418.529</v>
      </c>
      <c r="E12" s="6" t="n">
        <v>-112.616</v>
      </c>
      <c r="F12" s="6" t="n">
        <v>-688.421</v>
      </c>
    </row>
    <row r="13">
      <c r="A13" s="6" t="inlineStr">
        <is>
          <t>Increase/(decrease) in other liabilities</t>
        </is>
      </c>
      <c r="B13" s="6" t="n"/>
      <c r="C13" s="6" t="n">
        <v>1465</v>
      </c>
      <c r="D13" s="6" t="n">
        <v>-256.431</v>
      </c>
      <c r="E13" s="6" t="n">
        <v>332.37</v>
      </c>
      <c r="F13" s="6" t="n">
        <v>-206.864</v>
      </c>
    </row>
    <row r="14">
      <c r="A14" s="6" t="inlineStr">
        <is>
          <t>Decrease/(increase) in derivative financial instruments</t>
        </is>
      </c>
      <c r="B14" s="6" t="n"/>
      <c r="C14" s="6" t="n">
        <v>-642</v>
      </c>
      <c r="D14" s="6" t="n">
        <v>2331.057</v>
      </c>
      <c r="E14" s="6" t="n">
        <v>-2576.137</v>
      </c>
      <c r="F14" s="6" t="n"/>
    </row>
    <row r="15">
      <c r="A15" s="6" t="inlineStr">
        <is>
          <t>Decrease/(increase) in treasury bills</t>
        </is>
      </c>
      <c r="B15" s="6" t="n"/>
      <c r="C15" s="6" t="n">
        <v>130102</v>
      </c>
      <c r="D15" s="6" t="n">
        <v>-130101.59</v>
      </c>
      <c r="E15" s="6" t="n"/>
      <c r="F15" s="6" t="n"/>
    </row>
    <row r="16">
      <c r="A16" s="6" t="inlineStr">
        <is>
          <t>Increase in debt securities</t>
        </is>
      </c>
      <c r="B16" s="6" t="n"/>
      <c r="C16" s="6" t="n">
        <v>-843959</v>
      </c>
      <c r="D16" s="6" t="n">
        <v>-373373.722</v>
      </c>
      <c r="E16" s="6" t="n"/>
      <c r="F16" s="6" t="n"/>
    </row>
    <row r="17">
      <c r="A17" s="5" t="inlineStr">
        <is>
          <t>Net cash from/(used in) operating activities</t>
        </is>
      </c>
      <c r="B17" s="5" t="n"/>
      <c r="C17" s="5" t="n">
        <v>3323920</v>
      </c>
      <c r="D17" s="5" t="n">
        <v>277818.774</v>
      </c>
      <c r="E17" s="5" t="n">
        <v>40838.421</v>
      </c>
      <c r="F17" s="5" t="n">
        <v>-8763.915000000001</v>
      </c>
    </row>
    <row r="18">
      <c r="A18" s="5" t="inlineStr">
        <is>
          <t>Cash flows from investing activities</t>
        </is>
      </c>
      <c r="B18" s="6" t="n"/>
      <c r="C18" s="6" t="n"/>
      <c r="D18" s="6" t="n"/>
      <c r="E18" s="6" t="n"/>
      <c r="F18" s="6" t="n"/>
    </row>
    <row r="19">
      <c r="A19" s="6" t="inlineStr">
        <is>
          <t>Expenditure on internally generated intangible assets</t>
        </is>
      </c>
      <c r="B19" s="6" t="n"/>
      <c r="C19" s="6" t="n">
        <v>-4507</v>
      </c>
      <c r="D19" s="6" t="n">
        <v>-3417.546</v>
      </c>
      <c r="E19" s="6" t="n">
        <v>-3256.064</v>
      </c>
      <c r="F19" s="6" t="n">
        <v>-8307.109</v>
      </c>
    </row>
    <row r="20">
      <c r="A20" s="6" t="inlineStr">
        <is>
          <t>Purchase of tangible fixed assets</t>
        </is>
      </c>
      <c r="B20" s="6" t="n"/>
      <c r="C20" s="6" t="n">
        <v>-192</v>
      </c>
      <c r="D20" s="6" t="n">
        <v>-72.485</v>
      </c>
      <c r="E20" s="6" t="n">
        <v>-78.58199999999999</v>
      </c>
      <c r="F20" s="6" t="n">
        <v>-139.569</v>
      </c>
    </row>
    <row r="21">
      <c r="A21" s="6" t="inlineStr">
        <is>
          <t>Purchase of financial investments</t>
        </is>
      </c>
      <c r="B21" s="6" t="n"/>
      <c r="C21" s="6" t="n"/>
      <c r="D21" s="6" t="n"/>
      <c r="E21" s="6" t="n">
        <v>-242.496</v>
      </c>
      <c r="F21" s="6" t="n">
        <v>-10300</v>
      </c>
    </row>
    <row r="22">
      <c r="A22" s="5" t="inlineStr">
        <is>
          <t>Net cash used in investing activities</t>
        </is>
      </c>
      <c r="B22" s="5" t="n"/>
      <c r="C22" s="5" t="n">
        <v>-4699</v>
      </c>
      <c r="D22" s="5" t="n">
        <v>-3490.041</v>
      </c>
      <c r="E22" s="5" t="n">
        <v>-3577.142</v>
      </c>
      <c r="F22" s="5" t="n">
        <v>-18746.678</v>
      </c>
    </row>
    <row r="23">
      <c r="A23" s="5" t="inlineStr">
        <is>
          <t>Cash flows from financing activities</t>
        </is>
      </c>
      <c r="B23" s="6" t="n"/>
      <c r="C23" s="6" t="n"/>
      <c r="D23" s="6" t="n"/>
      <c r="E23" s="6" t="n"/>
      <c r="F23" s="6" t="n"/>
    </row>
    <row r="24">
      <c r="A24" s="6" t="inlineStr">
        <is>
          <t>Share issuance</t>
        </is>
      </c>
      <c r="B24" s="6" t="n"/>
      <c r="C24" s="6" t="n">
        <v>31183</v>
      </c>
      <c r="D24" s="6" t="n">
        <v>23233.15</v>
      </c>
      <c r="E24" s="6" t="n">
        <v>1728.142</v>
      </c>
      <c r="F24" s="6" t="n">
        <v>25561.125</v>
      </c>
    </row>
    <row r="25">
      <c r="A25" s="6" t="inlineStr">
        <is>
          <t>Cost of share issuance</t>
        </is>
      </c>
      <c r="B25" s="6" t="n"/>
      <c r="C25" s="6" t="n">
        <v>-2687</v>
      </c>
      <c r="D25" s="6" t="n">
        <v>0</v>
      </c>
      <c r="E25" s="6" t="n">
        <v>0</v>
      </c>
      <c r="F25" s="6" t="n">
        <v>0</v>
      </c>
    </row>
    <row r="26">
      <c r="A26" s="6" t="inlineStr">
        <is>
          <t>Cash inflows from shares to be issued</t>
        </is>
      </c>
      <c r="B26" s="6" t="n"/>
      <c r="C26" s="6" t="n">
        <v>48</v>
      </c>
      <c r="D26" s="6" t="n">
        <v>13980.144</v>
      </c>
      <c r="E26" s="6" t="n">
        <v>2796</v>
      </c>
      <c r="F26" s="6" t="n">
        <v>724.816</v>
      </c>
    </row>
    <row r="27">
      <c r="A27" s="5" t="inlineStr">
        <is>
          <t>Net cash from financing activities</t>
        </is>
      </c>
      <c r="B27" s="5" t="n"/>
      <c r="C27" s="5" t="n">
        <v>28544</v>
      </c>
      <c r="D27" s="5" t="n">
        <v>37213.294</v>
      </c>
      <c r="E27" s="5" t="n">
        <v>4524.142</v>
      </c>
      <c r="F27" s="5" t="n">
        <v>26285.941</v>
      </c>
    </row>
    <row r="28">
      <c r="A28" s="5" t="inlineStr">
        <is>
          <t>Increase/(decrease) in cash and cash equivalents</t>
        </is>
      </c>
      <c r="B28" s="5" t="n"/>
      <c r="C28" s="5" t="n">
        <v>3347765</v>
      </c>
      <c r="D28" s="5" t="n">
        <v>311542.027</v>
      </c>
      <c r="E28" s="5" t="n">
        <v>41785.421</v>
      </c>
      <c r="F28" s="5" t="n">
        <v>-1224.652</v>
      </c>
    </row>
    <row r="29">
      <c r="A29" s="6" t="inlineStr">
        <is>
          <t>Cash and cash equivalents at beginning of year</t>
        </is>
      </c>
      <c r="B29" s="6" t="n"/>
      <c r="C29" s="6" t="n">
        <v>377215</v>
      </c>
      <c r="D29" s="6" t="n">
        <v>65673.758</v>
      </c>
      <c r="E29" s="6" t="n">
        <v>23888.337</v>
      </c>
      <c r="F29" s="6" t="n">
        <v>25112.989</v>
      </c>
    </row>
    <row r="30">
      <c r="A30" s="5" t="inlineStr">
        <is>
          <t>Cash and cash equivalents at end of year</t>
        </is>
      </c>
      <c r="B30" s="5" t="n"/>
      <c r="C30" s="5" t="n">
        <v>3724980</v>
      </c>
      <c r="D30" s="5" t="n">
        <v>377215.785</v>
      </c>
      <c r="E30" s="5" t="n">
        <v>65673.758</v>
      </c>
      <c r="F30" s="5" t="n">
        <v>23888.337</v>
      </c>
    </row>
    <row r="32" ht="240" customHeight="1">
      <c r="A32" s="8" t="inlineStr">
        <is>
          <t>Sources - Monument Bank Limited Company/standalone cash flows, £'000:
FY2024 &amp; FY2023: Financial Statements for the year ended 31 December 2024, pp.74-75 (Company columns) - https://find-and-update.company-information.service.gov.uk/company/10921940/filing-history/MzQ3Njc0NjA3MmFkaXF6a2N4/document?download=0&amp;format=pdf
FY2023 &amp; FY2022: Financial Statements for the year ended 31 December 2023, p.35 (Company figures; FY2022 comparative) - https://find-and-update.company-information.service.gov.uk/company/10921940/filing-history/MzQzNjUxODg2NmFkaXF6a2N4/document?download=0&amp;format=pdf
FY2022 &amp; FY2021: Financial Statements for the year ended 31 December 2022, p.29 - https://find-and-update.company-information.service.gov.uk/company/10921940/filing-history/MzM5NDQyODAwN2FkaXF6a2N4/document?download=0&amp;format=pdf
FY2021: Financial Statements for the year ended 31 December 2021, p.25 - https://find-and-update.company-information.service.gov.uk/company/10921940/filing-history/MzM1Mjc4MTU2M2FkaXF6a2N4/document?download=0&amp;format=pdf
ENTITY/BASIS NOTE: Monument Bank Limited (Companies House 10921940; FRN 849724; LEI 213800OLF8OE1I3HVY91) is the matched legal entity in Banks List 2608.xlsx. Cash flows are the Company/standalone figures in £'000. The latest available filing is the report for the year ended 31 December 2024; FY2025 is blank because no FY2025 accounts were available in the Companies House filing history reviewed. The accounts are scanned filings and were OCR-processed and cross-checked against rendered pages. Blank cells mean not publicly disclosed, not zero.</t>
        </is>
      </c>
    </row>
  </sheetData>
  <mergeCells count="1">
    <mergeCell ref="A32:F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/>
      <c r="C4" s="6" t="n">
        <v>56324</v>
      </c>
      <c r="D4" s="6" t="n">
        <v>28035.733</v>
      </c>
      <c r="E4" s="6" t="n">
        <v>21299.969</v>
      </c>
      <c r="F4" s="6" t="n">
        <v>32643.538</v>
      </c>
    </row>
    <row r="6" ht="180" customHeight="1">
      <c r="A6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n"/>
      <c r="C4" s="6" t="inlineStr">
        <is>
          <t>20%</t>
        </is>
      </c>
      <c r="D4" s="6" t="inlineStr">
        <is>
          <t>22%</t>
        </is>
      </c>
      <c r="E4" s="6" t="n"/>
      <c r="F4" s="6" t="n"/>
    </row>
    <row r="5" ht="60" customHeight="1">
      <c r="A5" s="7" t="inlineStr">
        <is>
          <t>Note: The annual reports disclose CET1 capital and, from 2023 onward, the CET1 ratio; earlier ratios were not separately disclosed.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 standalone Tier 1 capital amount was separately disclosed in the reports reviewed.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 standalone Tier 1 ratio was separately disclosed in the reports reviewed.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 standalone total capital amount was separately disclosed in the reports reviewed.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n"/>
      <c r="C4" s="6" t="n"/>
      <c r="D4" s="6" t="n"/>
      <c r="E4" s="6" t="inlineStr">
        <is>
          <t>44%</t>
        </is>
      </c>
      <c r="F4" s="6" t="inlineStr">
        <is>
          <t>529%</t>
        </is>
      </c>
    </row>
    <row r="5" ht="60" customHeight="1">
      <c r="A5" s="7" t="inlineStr">
        <is>
          <t>Note: The 2023 report states 44% for FY2022 and the 2024 report does not repeat a total capital ratio for FY2023/FY2024; FY2021 is reported as 529%.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n"/>
      <c r="C4" s="6" t="n">
        <v>281756</v>
      </c>
      <c r="D4" s="6" t="n">
        <v>126528</v>
      </c>
      <c r="E4" s="6" t="n"/>
      <c r="F4" s="6" t="n"/>
    </row>
    <row r="5" ht="60" customHeight="1">
      <c r="A5" s="7" t="inlineStr">
        <is>
          <t>Note: Total RWAs were disclosed in the 2024 report’s regulatory metrics table; earlier totals were not separately disclosed.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n"/>
      <c r="C4" s="6" t="inlineStr">
        <is>
          <t>3.9%</t>
        </is>
      </c>
      <c r="D4" s="6" t="inlineStr">
        <is>
          <t>4.1%</t>
        </is>
      </c>
      <c r="E4" s="6" t="n"/>
      <c r="F4" s="6" t="n"/>
    </row>
    <row r="6" ht="180" customHeight="1">
      <c r="A6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n"/>
      <c r="C4" s="6" t="inlineStr">
        <is>
          <t>589%</t>
        </is>
      </c>
      <c r="D4" s="6" t="inlineStr">
        <is>
          <t>1,093%</t>
        </is>
      </c>
      <c r="E4" s="6" t="inlineStr">
        <is>
          <t>10,128%</t>
        </is>
      </c>
      <c r="F4" s="6" t="inlineStr">
        <is>
          <t>2,861,111,111%</t>
        </is>
      </c>
    </row>
    <row r="5" ht="60" customHeight="1">
      <c r="A5" s="7" t="inlineStr">
        <is>
          <t>Note: FY2021’s unusually high percentage is reproduced exactly as printed in the 2021 accounts; it is not normalised or inferred.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n"/>
      <c r="C4" s="6" t="inlineStr">
        <is>
          <t>560%</t>
        </is>
      </c>
      <c r="D4" s="6" t="inlineStr">
        <is>
          <t>228%</t>
        </is>
      </c>
      <c r="E4" s="6" t="n"/>
      <c r="F4" s="6" t="n"/>
    </row>
    <row r="5" ht="60" customHeight="1">
      <c r="A5" s="7" t="inlineStr">
        <is>
          <t>Note: NSFR was disclosed in the FY2024 report’s regulatory metrics table; no earlier standalone figure was located.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Monument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 quantitative MREL ratio was located in the official annual reports reviewed.</t>
        </is>
      </c>
    </row>
    <row r="7" ht="180" customHeight="1">
      <c r="A7" s="8" t="inlineStr">
        <is>
          <t>Sources - Monument Bank Limited annual regulatory KPIs and risk disclosures:
FY2024 &amp; FY2023: Financial Statements for the year ended 31 December 2024, pp.11-12 and 74 - https://find-and-update.company-information.service.gov.uk/company/10921940/filing-history/MzQ3Njc0NjA3MmFkaXF6a2N4/document?download=0&amp;format=pdf
FY2023 &amp; FY2022: Financial Statements for the year ended 31 December 2023, pp.8-9 and 60-61 - https://find-and-update.company-information.service.gov.uk/company/10921940/filing-history/MzQzNjUxODg2NmFkaXF6a2N4/document?download=0&amp;format=pdf
FY2022 &amp; FY2021: Financial Statements for the year ended 31 December 2022, pp.10 and 51 - https://find-and-update.company-information.service.gov.uk/company/10921940/filing-history/MzM5NDQyODAwN2FkaXF6a2N4/document?download=0&amp;format=pdf
FY2021: Financial Statements for the year ended 31 December 2021, pp.9 and 41 - https://find-and-update.company-information.service.gov.uk/company/10921940/filing-history/MzM1Mjc4MTU2M2FkaXF6a2N4/document?download=0&amp;format=pdf
The reports do not provide a complete UK KM1 table for every year. Only explicitly disclosed entity-level values are populated; unavailable capital components and ratios remain blank.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2026-08-29T10:21:20Z</dcterms:created>
  <dcterms:modified xmlns:dcterms="http://purl.org/dc/terms/" xmlns:xsi="http://www.w3.org/2001/XMLSchema-instance" xsi:type="dcterms:W3CDTF">2026-08-29T10:21:20Z</dcterms:modified>
</cp:coreProperties>
</file>