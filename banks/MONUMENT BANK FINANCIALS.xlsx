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X6" t="n">
        <v>22</v>
      </c>
      <c r="AY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U7" t="n">
        <v>359</v>
      </c>
      <c r="AV7" t="n">
        <v>529</v>
      </c>
      <c r="AW7" t="n">
        <v>44</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X8" t="n">
        <v>4.1</v>
      </c>
      <c r="AY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V9" t="n">
        <v>2861111111</v>
      </c>
      <c r="AW9" t="n">
        <v>10128</v>
      </c>
      <c r="AX9" t="n">
        <v>1093</v>
      </c>
      <c r="AY9" t="n">
        <v>589</v>
      </c>
    </row>
    <row r="10">
      <c r="AT10" t="inlineStr">
        <is>
          <t>NSFR</t>
        </is>
      </c>
      <c r="AX10" t="n">
        <v>228</v>
      </c>
      <c r="AY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row>
    <row r="34">
      <c r="A34" s="6" t="inlineStr">
        <is>
          <t>CET1 Ratio</t>
        </is>
      </c>
      <c r="B34" s="6" t="n"/>
      <c r="C34" s="6" t="inlineStr">
        <is>
          <t>20%</t>
        </is>
      </c>
      <c r="D34" s="6" t="inlineStr">
        <is>
          <t>22%</t>
        </is>
      </c>
      <c r="E34" s="6" t="n"/>
      <c r="F34" s="6" t="n"/>
      <c r="G34" s="6" t="n"/>
    </row>
    <row r="35">
      <c r="A35" s="6" t="inlineStr">
        <is>
          <t>Total Capital Ratio</t>
        </is>
      </c>
      <c r="B35" s="6" t="n"/>
      <c r="C35" s="6" t="n"/>
      <c r="D35" s="6" t="n"/>
      <c r="E35" s="6" t="inlineStr">
        <is>
          <t>44%</t>
        </is>
      </c>
      <c r="F35" s="6" t="inlineStr">
        <is>
          <t>529%</t>
        </is>
      </c>
      <c r="G35" s="6" t="inlineStr">
        <is>
          <t>359%</t>
        </is>
      </c>
    </row>
    <row r="36">
      <c r="A36" s="6" t="inlineStr">
        <is>
          <t>Leverage Ratio</t>
        </is>
      </c>
      <c r="B36" s="6" t="n"/>
      <c r="C36" s="6" t="inlineStr">
        <is>
          <t>3.9%</t>
        </is>
      </c>
      <c r="D36" s="6" t="inlineStr">
        <is>
          <t>4.1%</t>
        </is>
      </c>
      <c r="E36" s="6" t="n"/>
      <c r="F36" s="6" t="n"/>
      <c r="G36" s="6" t="n"/>
    </row>
    <row r="37">
      <c r="A37" s="6" t="inlineStr">
        <is>
          <t>LCR</t>
        </is>
      </c>
      <c r="B37" s="6" t="n"/>
      <c r="C37" s="6" t="inlineStr">
        <is>
          <t>589%</t>
        </is>
      </c>
      <c r="D37" s="6" t="inlineStr">
        <is>
          <t>1,093%</t>
        </is>
      </c>
      <c r="E37" s="6" t="inlineStr">
        <is>
          <t>10,128%</t>
        </is>
      </c>
      <c r="F37" s="6" t="inlineStr">
        <is>
          <t>2,861,111,111%</t>
        </is>
      </c>
      <c r="G37" s="6" t="n"/>
    </row>
    <row r="38">
      <c r="A38" s="6" t="inlineStr">
        <is>
          <t>NSFR</t>
        </is>
      </c>
      <c r="B38" s="6" t="n"/>
      <c r="C38" s="6" t="inlineStr">
        <is>
          <t>560%</t>
        </is>
      </c>
      <c r="D38" s="6" t="inlineStr">
        <is>
          <t>228%</t>
        </is>
      </c>
      <c r="E38" s="6" t="n"/>
      <c r="F38" s="6" t="n"/>
      <c r="G38" s="6" t="n"/>
    </row>
    <row r="40" ht="45" customHeight="1">
      <c r="A40" s="7" t="inlineStr">
        <is>
          <t>Note: Monument Bank Limited standalone/Company basis. FY2025 is blank because the latest available Companies House accounts cover 31 December 2024.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 / with banks</t>
        </is>
      </c>
      <c r="B5" s="6" t="n"/>
      <c r="C5" s="6" t="n">
        <v>3685561</v>
      </c>
      <c r="D5" s="6" t="n">
        <v>354658</v>
      </c>
      <c r="E5" s="6" t="n">
        <v>60337.153</v>
      </c>
      <c r="F5" s="6" t="n">
        <v>23888.337</v>
      </c>
      <c r="G5" s="6" t="n">
        <v>25112.989</v>
      </c>
    </row>
    <row r="6">
      <c r="A6" s="6" t="inlineStr">
        <is>
          <t>Loans and advances to credit institutions</t>
        </is>
      </c>
      <c r="B6" s="6" t="n"/>
      <c r="C6" s="6" t="n">
        <v>39419</v>
      </c>
      <c r="D6" s="6" t="n">
        <v>22557</v>
      </c>
      <c r="E6" s="6" t="n">
        <v>5336.605</v>
      </c>
      <c r="F6" s="6" t="n"/>
      <c r="G6" s="6" t="n"/>
    </row>
    <row r="7">
      <c r="A7" s="6" t="inlineStr">
        <is>
          <t>Treasury bills</t>
        </is>
      </c>
      <c r="B7" s="6" t="n"/>
      <c r="C7" s="6" t="n"/>
      <c r="D7" s="6" t="n">
        <v>130102</v>
      </c>
      <c r="E7" s="6" t="n"/>
      <c r="F7" s="6" t="n">
        <v>10300</v>
      </c>
      <c r="G7" s="6" t="n"/>
    </row>
    <row r="8">
      <c r="A8" s="6" t="inlineStr">
        <is>
          <t>Debt securities</t>
        </is>
      </c>
      <c r="B8" s="6" t="n"/>
      <c r="C8" s="6" t="n">
        <v>1227659</v>
      </c>
      <c r="D8" s="6" t="n">
        <v>384491</v>
      </c>
      <c r="E8" s="6" t="n">
        <v>10542.496</v>
      </c>
      <c r="F8" s="6" t="n"/>
      <c r="G8" s="6" t="n"/>
    </row>
    <row r="9">
      <c r="A9" s="6" t="inlineStr">
        <is>
          <t>Derivative financial instruments</t>
        </is>
      </c>
      <c r="B9" s="6" t="n"/>
      <c r="C9" s="6" t="n">
        <v>1460</v>
      </c>
      <c r="D9" s="6" t="n">
        <v>2423</v>
      </c>
      <c r="E9" s="6" t="n">
        <v>3648.55</v>
      </c>
      <c r="F9" s="6" t="n"/>
      <c r="G9" s="6" t="n"/>
    </row>
    <row r="10">
      <c r="A10" s="6" t="inlineStr">
        <is>
          <t>Loans and advances to customers</t>
        </is>
      </c>
      <c r="B10" s="6" t="n"/>
      <c r="C10" s="6" t="n">
        <v>173839</v>
      </c>
      <c r="D10" s="6" t="n">
        <v>139689</v>
      </c>
      <c r="E10" s="6" t="n">
        <v>93371.11500000001</v>
      </c>
      <c r="F10" s="6" t="n">
        <v>759.085</v>
      </c>
      <c r="G10" s="6" t="n"/>
    </row>
    <row r="11">
      <c r="A11" s="6" t="inlineStr">
        <is>
          <t>Other assets</t>
        </is>
      </c>
      <c r="B11" s="6" t="n"/>
      <c r="C11" s="6" t="n">
        <v>2576</v>
      </c>
      <c r="D11" s="6" t="n">
        <v>2522</v>
      </c>
      <c r="E11" s="6" t="n">
        <v>1102.443</v>
      </c>
      <c r="F11" s="6" t="n">
        <v>989.827</v>
      </c>
      <c r="G11" s="6" t="n">
        <v>301.406</v>
      </c>
    </row>
    <row r="12">
      <c r="A12" s="6" t="inlineStr">
        <is>
          <t>Tangible fixed assets</t>
        </is>
      </c>
      <c r="B12" s="6" t="n"/>
      <c r="C12" s="6" t="n">
        <v>261</v>
      </c>
      <c r="D12" s="6" t="n">
        <v>164</v>
      </c>
      <c r="E12" s="6" t="n">
        <v>160.952</v>
      </c>
      <c r="F12" s="6" t="n">
        <v>140.03</v>
      </c>
      <c r="G12" s="6" t="n">
        <v>28.978</v>
      </c>
    </row>
    <row r="13">
      <c r="A13" s="6" t="inlineStr">
        <is>
          <t>Intangible fixed assets</t>
        </is>
      </c>
      <c r="B13" s="6" t="n"/>
      <c r="C13" s="6" t="n">
        <v>12153</v>
      </c>
      <c r="D13" s="6" t="n">
        <v>11184</v>
      </c>
      <c r="E13" s="6" t="n">
        <v>10560.587</v>
      </c>
      <c r="F13" s="6" t="n">
        <v>9479.735000000001</v>
      </c>
      <c r="G13" s="6" t="n">
        <v>1301.285</v>
      </c>
    </row>
    <row r="14">
      <c r="A14" s="5" t="inlineStr">
        <is>
          <t>Total assets</t>
        </is>
      </c>
      <c r="B14" s="5" t="n"/>
      <c r="C14" s="5" t="n">
        <v>5142928</v>
      </c>
      <c r="D14" s="5" t="n">
        <v>1047790</v>
      </c>
      <c r="E14" s="5" t="n">
        <v>185059.901</v>
      </c>
      <c r="F14" s="5" t="n">
        <v>45557.014</v>
      </c>
      <c r="G14" s="5" t="n">
        <v>26744.658</v>
      </c>
    </row>
    <row r="15">
      <c r="A15" s="5" t="inlineStr">
        <is>
          <t>Liabilities</t>
        </is>
      </c>
      <c r="B15" s="6" t="n"/>
      <c r="C15" s="6" t="n"/>
      <c r="D15" s="6" t="n"/>
      <c r="E15" s="6" t="n"/>
      <c r="F15" s="6" t="n"/>
      <c r="G15" s="6" t="n"/>
    </row>
    <row r="16">
      <c r="A16" s="6" t="inlineStr">
        <is>
          <t>Customer deposits</t>
        </is>
      </c>
      <c r="B16" s="6" t="n"/>
      <c r="C16" s="6" t="n">
        <v>5069724</v>
      </c>
      <c r="D16" s="6" t="n">
        <v>990502</v>
      </c>
      <c r="E16" s="6" t="n">
        <v>147657.857</v>
      </c>
      <c r="F16" s="6" t="n">
        <v>2093.036</v>
      </c>
      <c r="G16" s="6" t="n"/>
    </row>
    <row r="17">
      <c r="A17" s="6" t="inlineStr">
        <is>
          <t>Derivative financial instruments</t>
        </is>
      </c>
      <c r="B17" s="6" t="n"/>
      <c r="C17" s="6" t="n">
        <v>573</v>
      </c>
      <c r="D17" s="6" t="n">
        <v>2178</v>
      </c>
      <c r="E17" s="6" t="n">
        <v>1072.413</v>
      </c>
      <c r="F17" s="6" t="n"/>
      <c r="G17" s="6" t="n"/>
    </row>
    <row r="18">
      <c r="A18" s="6" t="inlineStr">
        <is>
          <t>Other liabilities and accruals</t>
        </is>
      </c>
      <c r="B18" s="6" t="n"/>
      <c r="C18" s="6" t="n">
        <v>2882</v>
      </c>
      <c r="D18" s="6" t="n">
        <v>1417</v>
      </c>
      <c r="E18" s="6" t="n">
        <v>1673.075</v>
      </c>
      <c r="F18" s="6" t="n">
        <v>1340.705</v>
      </c>
      <c r="G18" s="6" t="n">
        <v>1547.569</v>
      </c>
    </row>
    <row r="19">
      <c r="A19" s="5" t="inlineStr">
        <is>
          <t>Total liabilities</t>
        </is>
      </c>
      <c r="B19" s="5" t="n"/>
      <c r="C19" s="5" t="n">
        <v>5073179</v>
      </c>
      <c r="D19" s="5" t="n">
        <v>994097</v>
      </c>
      <c r="E19" s="5" t="n">
        <v>150403.345</v>
      </c>
      <c r="F19" s="5" t="n">
        <v>3433.741</v>
      </c>
      <c r="G19" s="5" t="n">
        <v>1547.569</v>
      </c>
    </row>
    <row r="20">
      <c r="A20" s="5" t="inlineStr">
        <is>
          <t>Equity</t>
        </is>
      </c>
      <c r="B20" s="6" t="n"/>
      <c r="C20" s="6" t="n"/>
      <c r="D20" s="6" t="n"/>
      <c r="E20" s="6" t="n"/>
      <c r="F20" s="6" t="n"/>
      <c r="G20" s="6" t="n"/>
    </row>
    <row r="21">
      <c r="A21" s="6" t="inlineStr">
        <is>
          <t>Called up share capital</t>
        </is>
      </c>
      <c r="B21" s="6" t="n"/>
      <c r="C21" s="6" t="n">
        <v>39</v>
      </c>
      <c r="D21" s="6" t="n">
        <v>32</v>
      </c>
      <c r="E21" s="6" t="n">
        <v>27.256</v>
      </c>
      <c r="F21" s="6" t="n">
        <v>25.73</v>
      </c>
      <c r="G21" s="6" t="n">
        <v>16.354</v>
      </c>
    </row>
    <row r="22">
      <c r="A22" s="6" t="inlineStr">
        <is>
          <t>Share premium reserve</t>
        </is>
      </c>
      <c r="B22" s="6" t="n"/>
      <c r="C22" s="6" t="n">
        <v>129928</v>
      </c>
      <c r="D22" s="6" t="n">
        <v>87459</v>
      </c>
      <c r="E22" s="6" t="n">
        <v>61434.408</v>
      </c>
      <c r="F22" s="6" t="n">
        <v>58982.976</v>
      </c>
      <c r="G22" s="6" t="n">
        <v>18397.07</v>
      </c>
    </row>
    <row r="23">
      <c r="A23" s="6" t="inlineStr">
        <is>
          <t>Shares to be issued</t>
        </is>
      </c>
      <c r="B23" s="6" t="n"/>
      <c r="C23" s="6" t="n">
        <v>48</v>
      </c>
      <c r="D23" s="6" t="n">
        <v>13980</v>
      </c>
      <c r="E23" s="6" t="n">
        <v>2796</v>
      </c>
      <c r="F23" s="6" t="n">
        <v>724.816</v>
      </c>
      <c r="G23" s="6" t="n">
        <v>15034.157</v>
      </c>
    </row>
    <row r="24">
      <c r="A24" s="6" t="inlineStr">
        <is>
          <t>Available-for-sale reserve</t>
        </is>
      </c>
      <c r="B24" s="6" t="n"/>
      <c r="C24" s="6" t="n">
        <v>-216</v>
      </c>
      <c r="D24" s="6" t="n">
        <v>575</v>
      </c>
      <c r="E24" s="6" t="n">
        <v>0</v>
      </c>
      <c r="F24" s="6" t="n"/>
      <c r="G24" s="6" t="n"/>
    </row>
    <row r="25">
      <c r="A25" s="6" t="inlineStr">
        <is>
          <t>Accumulated losses</t>
        </is>
      </c>
      <c r="B25" s="6" t="n"/>
      <c r="C25" s="6" t="n">
        <v>-60050</v>
      </c>
      <c r="D25" s="6" t="n">
        <v>-48353</v>
      </c>
      <c r="E25" s="6" t="n">
        <v>-29601.108</v>
      </c>
      <c r="F25" s="6" t="n">
        <v>-17610.249</v>
      </c>
      <c r="G25" s="6" t="n">
        <v>-8250.492</v>
      </c>
    </row>
    <row r="26">
      <c r="A26" s="5" t="inlineStr">
        <is>
          <t>Total equity</t>
        </is>
      </c>
      <c r="B26" s="5" t="n"/>
      <c r="C26" s="5" t="n">
        <v>69749</v>
      </c>
      <c r="D26" s="5" t="n">
        <v>53693</v>
      </c>
      <c r="E26" s="5" t="n">
        <v>34656.556</v>
      </c>
      <c r="F26" s="5" t="n">
        <v>42123.273</v>
      </c>
      <c r="G26" s="5" t="n">
        <v>25197.089</v>
      </c>
    </row>
    <row r="27">
      <c r="A27" s="5" t="inlineStr">
        <is>
          <t>Total liabilities and equity</t>
        </is>
      </c>
      <c r="B27" s="5" t="n"/>
      <c r="C27" s="5" t="n">
        <v>5142928</v>
      </c>
      <c r="D27" s="5" t="n">
        <v>1047790</v>
      </c>
      <c r="E27" s="5" t="n">
        <v>185059.901</v>
      </c>
      <c r="F27" s="5" t="n">
        <v>45557.014</v>
      </c>
      <c r="G27" s="5" t="n">
        <v>26744.658</v>
      </c>
    </row>
    <row r="29" ht="340" customHeight="1">
      <c r="A29"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 and similar income</t>
        </is>
      </c>
      <c r="B5" s="6" t="n"/>
      <c r="C5" s="6" t="n">
        <v>148993</v>
      </c>
      <c r="D5" s="6" t="n">
        <v>20705</v>
      </c>
      <c r="E5" s="6" t="n">
        <v>2128.074</v>
      </c>
      <c r="F5" s="6" t="n">
        <v>0.73</v>
      </c>
      <c r="G5" s="6" t="n">
        <v>8.26</v>
      </c>
    </row>
    <row r="6">
      <c r="A6" s="6" t="inlineStr">
        <is>
          <t>Interest payable and similar charges</t>
        </is>
      </c>
      <c r="B6" s="6" t="n"/>
      <c r="C6" s="6" t="n">
        <v>-136868</v>
      </c>
      <c r="D6" s="6" t="n">
        <v>-17400</v>
      </c>
      <c r="E6" s="6" t="n">
        <v>-1784.745</v>
      </c>
      <c r="F6" s="6" t="n">
        <v>-1.102</v>
      </c>
      <c r="G6" s="6" t="n"/>
    </row>
    <row r="7">
      <c r="A7" s="5" t="inlineStr">
        <is>
          <t>Net interest income/(expense)</t>
        </is>
      </c>
      <c r="B7" s="5" t="n"/>
      <c r="C7" s="5" t="n">
        <v>12125</v>
      </c>
      <c r="D7" s="5" t="n">
        <v>3305</v>
      </c>
      <c r="E7" s="5" t="n">
        <v>343.329</v>
      </c>
      <c r="F7" s="5" t="n">
        <v>-0.372</v>
      </c>
      <c r="G7" s="5" t="n">
        <v>8.26</v>
      </c>
    </row>
    <row r="8">
      <c r="A8" s="6" t="inlineStr">
        <is>
          <t>Net fee income</t>
        </is>
      </c>
      <c r="B8" s="6" t="n"/>
      <c r="C8" s="6" t="n">
        <v>14</v>
      </c>
      <c r="D8" s="6" t="n"/>
      <c r="E8" s="6" t="n"/>
      <c r="F8" s="6" t="n"/>
      <c r="G8" s="6" t="n"/>
    </row>
    <row r="9">
      <c r="A9" s="6" t="inlineStr">
        <is>
          <t>Net gains/(losses) from derivative financial instruments</t>
        </is>
      </c>
      <c r="B9" s="6" t="n"/>
      <c r="C9" s="6" t="n">
        <v>1726</v>
      </c>
      <c r="D9" s="6" t="n">
        <v>-2331</v>
      </c>
      <c r="E9" s="6" t="n">
        <v>3464.937</v>
      </c>
      <c r="F9" s="6" t="n"/>
      <c r="G9" s="6" t="n"/>
    </row>
    <row r="10">
      <c r="A10" s="6" t="inlineStr">
        <is>
          <t>Other operating expense</t>
        </is>
      </c>
      <c r="B10" s="6" t="n"/>
      <c r="C10" s="6" t="n">
        <v>-185</v>
      </c>
      <c r="D10" s="6" t="n">
        <v>-49</v>
      </c>
      <c r="E10" s="6" t="n"/>
      <c r="F10" s="6" t="n"/>
      <c r="G10" s="6" t="n"/>
    </row>
    <row r="11">
      <c r="A11" s="5" t="inlineStr">
        <is>
          <t>Total net income/(expense)</t>
        </is>
      </c>
      <c r="B11" s="5" t="n"/>
      <c r="C11" s="5" t="n">
        <v>13680</v>
      </c>
      <c r="D11" s="5" t="n">
        <v>925</v>
      </c>
      <c r="E11" s="5" t="n">
        <v>3808.266</v>
      </c>
      <c r="F11" s="5" t="n">
        <v>-0.372</v>
      </c>
      <c r="G11" s="5" t="n">
        <v>8.26</v>
      </c>
    </row>
    <row r="12">
      <c r="A12" s="6" t="inlineStr">
        <is>
          <t>Administrative expenses</t>
        </is>
      </c>
      <c r="B12" s="6" t="n"/>
      <c r="C12" s="6" t="n">
        <v>-26926</v>
      </c>
      <c r="D12" s="6" t="n">
        <v>-20895</v>
      </c>
      <c r="E12" s="6" t="n">
        <v>-18474.978</v>
      </c>
      <c r="F12" s="6" t="n">
        <v>-9970.281999999999</v>
      </c>
      <c r="G12" s="6" t="n">
        <v>-5743.261</v>
      </c>
    </row>
    <row r="13">
      <c r="A13" s="6" t="inlineStr">
        <is>
          <t>Impairment charge on loans and advances to customers</t>
        </is>
      </c>
      <c r="B13" s="6" t="n"/>
      <c r="C13" s="6" t="n">
        <v>-79</v>
      </c>
      <c r="D13" s="6" t="n">
        <v>-83</v>
      </c>
      <c r="E13" s="6" t="n">
        <v>-101.98</v>
      </c>
      <c r="F13" s="6" t="n">
        <v>-2.664</v>
      </c>
      <c r="G13" s="6" t="n"/>
    </row>
    <row r="14">
      <c r="A14" s="5" t="inlineStr">
        <is>
          <t>Operating loss before taxation</t>
        </is>
      </c>
      <c r="B14" s="5" t="n"/>
      <c r="C14" s="5" t="n">
        <v>-13325</v>
      </c>
      <c r="D14" s="5" t="n">
        <v>-20053</v>
      </c>
      <c r="E14" s="5" t="n">
        <v>-14768.692</v>
      </c>
      <c r="F14" s="5" t="n">
        <v>-9973.317999999999</v>
      </c>
      <c r="G14" s="5" t="n">
        <v>-5735.001</v>
      </c>
    </row>
    <row r="15">
      <c r="A15" s="6" t="inlineStr">
        <is>
          <t>Taxation credit/(expense)</t>
        </is>
      </c>
      <c r="B15" s="6" t="n"/>
      <c r="C15" s="6" t="n">
        <v>239</v>
      </c>
      <c r="D15" s="6" t="n">
        <v>693</v>
      </c>
      <c r="E15" s="6" t="n">
        <v>2059.137</v>
      </c>
      <c r="F15" s="6" t="n">
        <v>0</v>
      </c>
      <c r="G15" s="6" t="n">
        <v>0</v>
      </c>
    </row>
    <row r="16">
      <c r="A16" s="5" t="inlineStr">
        <is>
          <t>Loss for the financial year</t>
        </is>
      </c>
      <c r="B16" s="5" t="n"/>
      <c r="C16" s="5" t="n">
        <v>-13086</v>
      </c>
      <c r="D16" s="5" t="n">
        <v>-19360</v>
      </c>
      <c r="E16" s="5" t="n">
        <v>-12709.555</v>
      </c>
      <c r="F16" s="5" t="n">
        <v>-9973.317999999999</v>
      </c>
      <c r="G16" s="5" t="n">
        <v>-5735.001</v>
      </c>
    </row>
    <row r="17">
      <c r="A17" s="5" t="inlineStr">
        <is>
          <t>Other comprehensive income</t>
        </is>
      </c>
      <c r="B17" s="6" t="n"/>
      <c r="C17" s="6" t="n"/>
      <c r="D17" s="6" t="n"/>
      <c r="E17" s="6" t="n"/>
      <c r="F17" s="6" t="n"/>
      <c r="G17" s="6" t="n"/>
    </row>
    <row r="18">
      <c r="A18" s="6" t="inlineStr">
        <is>
          <t>Fair value movements taken to reserves</t>
        </is>
      </c>
      <c r="B18" s="6" t="n"/>
      <c r="C18" s="6" t="n">
        <v>-813</v>
      </c>
      <c r="D18" s="6" t="n">
        <v>553</v>
      </c>
      <c r="E18" s="6" t="n"/>
      <c r="F18" s="6" t="n"/>
      <c r="G18" s="6" t="n"/>
    </row>
    <row r="19">
      <c r="A19" s="6" t="inlineStr">
        <is>
          <t>Amount transferred to income statement</t>
        </is>
      </c>
      <c r="B19" s="6" t="n"/>
      <c r="C19" s="6" t="n">
        <v>21</v>
      </c>
      <c r="D19" s="6" t="n">
        <v>23</v>
      </c>
      <c r="E19" s="6" t="n"/>
      <c r="F19" s="6" t="n"/>
      <c r="G19" s="6" t="n"/>
    </row>
    <row r="20">
      <c r="A20" s="5" t="inlineStr">
        <is>
          <t>Other comprehensive income for the year</t>
        </is>
      </c>
      <c r="B20" s="5" t="n"/>
      <c r="C20" s="5" t="n">
        <v>-792</v>
      </c>
      <c r="D20" s="5" t="n">
        <v>576</v>
      </c>
      <c r="E20" s="5" t="n">
        <v>0</v>
      </c>
      <c r="F20" s="5" t="n">
        <v>0</v>
      </c>
      <c r="G20" s="5" t="n">
        <v>0</v>
      </c>
    </row>
    <row r="21">
      <c r="A21" s="5" t="inlineStr">
        <is>
          <t>Total comprehensive loss for the year</t>
        </is>
      </c>
      <c r="B21" s="5" t="n"/>
      <c r="C21" s="5" t="n">
        <v>-13878</v>
      </c>
      <c r="D21" s="5" t="n">
        <v>-18784</v>
      </c>
      <c r="E21" s="5" t="n">
        <v>-12709.555</v>
      </c>
      <c r="F21" s="5" t="n">
        <v>-9973.317999999999</v>
      </c>
      <c r="G21" s="5" t="n">
        <v>-5735.001</v>
      </c>
    </row>
    <row r="23" ht="340" customHeight="1">
      <c r="A2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150"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filed.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Loss for the financial year</t>
        </is>
      </c>
      <c r="B5" s="6" t="n"/>
      <c r="C5" s="6" t="n">
        <v>-13086</v>
      </c>
      <c r="D5" s="6" t="n">
        <v>-19360</v>
      </c>
      <c r="E5" s="6" t="n">
        <v>-12709.555</v>
      </c>
      <c r="F5" s="6" t="n">
        <v>-9973.317999999999</v>
      </c>
      <c r="G5" s="6" t="n">
        <v>-5735.001</v>
      </c>
    </row>
    <row r="6">
      <c r="A6" s="6" t="inlineStr">
        <is>
          <t>Amortisation charges</t>
        </is>
      </c>
      <c r="B6" s="6" t="n"/>
      <c r="C6" s="6" t="n">
        <v>3538</v>
      </c>
      <c r="D6" s="6" t="n">
        <v>2793.918</v>
      </c>
      <c r="E6" s="6" t="n">
        <v>2175.212</v>
      </c>
      <c r="F6" s="6" t="n">
        <v>128.659</v>
      </c>
      <c r="G6" s="6" t="n"/>
    </row>
    <row r="7">
      <c r="A7" s="6" t="inlineStr">
        <is>
          <t>Depreciation charges</t>
        </is>
      </c>
      <c r="B7" s="6" t="n"/>
      <c r="C7" s="6" t="n">
        <v>95</v>
      </c>
      <c r="D7" s="6" t="n">
        <v>69.739</v>
      </c>
      <c r="E7" s="6" t="n">
        <v>57.66</v>
      </c>
      <c r="F7" s="6" t="n">
        <v>28.517</v>
      </c>
      <c r="G7" s="6" t="n">
        <v>11.655</v>
      </c>
    </row>
    <row r="8">
      <c r="A8" s="6" t="inlineStr">
        <is>
          <t>Finance income</t>
        </is>
      </c>
      <c r="B8" s="6" t="n"/>
      <c r="C8" s="6" t="n"/>
      <c r="D8" s="6" t="n"/>
      <c r="E8" s="6" t="n"/>
      <c r="F8" s="6" t="n"/>
      <c r="G8" s="6" t="n">
        <v>-8.419</v>
      </c>
    </row>
    <row r="9">
      <c r="A9" s="6" t="inlineStr">
        <is>
          <t>Impairment charge on loans and advances to customers</t>
        </is>
      </c>
      <c r="B9" s="6" t="n"/>
      <c r="C9" s="6" t="n">
        <v>79</v>
      </c>
      <c r="D9" s="6" t="n">
        <v>82.581</v>
      </c>
      <c r="E9" s="6" t="n">
        <v>101.98</v>
      </c>
      <c r="F9" s="6" t="n">
        <v>2.664</v>
      </c>
      <c r="G9" s="6" t="n"/>
    </row>
    <row r="10">
      <c r="A10" s="6" t="inlineStr">
        <is>
          <t>Employee share scheme charge</t>
        </is>
      </c>
      <c r="B10" s="6" t="n"/>
      <c r="C10" s="6" t="n">
        <v>1389</v>
      </c>
      <c r="D10" s="6" t="n">
        <v>608.05</v>
      </c>
      <c r="E10" s="6" t="n">
        <v>718.696</v>
      </c>
      <c r="F10" s="6" t="n">
        <v>613.561</v>
      </c>
      <c r="G10" s="6" t="n">
        <v>347.175</v>
      </c>
    </row>
    <row r="11">
      <c r="A11" s="6" t="inlineStr">
        <is>
          <t>Increase in loans and advances to customers</t>
        </is>
      </c>
      <c r="B11" s="6" t="n"/>
      <c r="C11" s="6" t="n">
        <v>-34229</v>
      </c>
      <c r="D11" s="6" t="n">
        <v>-46400.642</v>
      </c>
      <c r="E11" s="6" t="n">
        <v>-92714.00999999999</v>
      </c>
      <c r="F11" s="6" t="n">
        <v>-761.749</v>
      </c>
      <c r="G11" s="6" t="n"/>
    </row>
    <row r="12">
      <c r="A12" s="6" t="inlineStr">
        <is>
          <t>Increase in customer deposits</t>
        </is>
      </c>
      <c r="B12" s="6" t="n"/>
      <c r="C12" s="6" t="n">
        <v>4079222</v>
      </c>
      <c r="D12" s="6" t="n">
        <v>842843.947</v>
      </c>
      <c r="E12" s="6" t="n">
        <v>145564.821</v>
      </c>
      <c r="F12" s="6" t="n">
        <v>2093.036</v>
      </c>
      <c r="G12" s="6" t="n"/>
    </row>
    <row r="13">
      <c r="A13" s="6" t="inlineStr">
        <is>
          <t>Increase in other assets</t>
        </is>
      </c>
      <c r="B13" s="6" t="n"/>
      <c r="C13" s="6" t="n">
        <v>-54</v>
      </c>
      <c r="D13" s="6" t="n">
        <v>-1418.529</v>
      </c>
      <c r="E13" s="6" t="n">
        <v>-112.616</v>
      </c>
      <c r="F13" s="6" t="n">
        <v>-688.421</v>
      </c>
      <c r="G13" s="6" t="n">
        <v>-182.842</v>
      </c>
    </row>
    <row r="14">
      <c r="A14" s="6" t="inlineStr">
        <is>
          <t>Increase/(decrease) in other liabilities</t>
        </is>
      </c>
      <c r="B14" s="6" t="n"/>
      <c r="C14" s="6" t="n">
        <v>1465</v>
      </c>
      <c r="D14" s="6" t="n">
        <v>-256.431</v>
      </c>
      <c r="E14" s="6" t="n">
        <v>332.37</v>
      </c>
      <c r="F14" s="6" t="n">
        <v>-206.864</v>
      </c>
      <c r="G14" s="6" t="n">
        <v>1488.636</v>
      </c>
    </row>
    <row r="15">
      <c r="A15" s="6" t="inlineStr">
        <is>
          <t>Decrease/(increase) in derivative financial instruments</t>
        </is>
      </c>
      <c r="B15" s="6" t="n"/>
      <c r="C15" s="6" t="n">
        <v>-642</v>
      </c>
      <c r="D15" s="6" t="n">
        <v>2331.057</v>
      </c>
      <c r="E15" s="6" t="n">
        <v>-2576.137</v>
      </c>
      <c r="F15" s="6" t="n"/>
      <c r="G15" s="6" t="n"/>
    </row>
    <row r="16">
      <c r="A16" s="6" t="inlineStr">
        <is>
          <t>Decrease/(increase) in treasury bills</t>
        </is>
      </c>
      <c r="B16" s="6" t="n"/>
      <c r="C16" s="6" t="n">
        <v>130102</v>
      </c>
      <c r="D16" s="6" t="n">
        <v>-130101.59</v>
      </c>
      <c r="E16" s="6" t="n"/>
      <c r="F16" s="6" t="n"/>
      <c r="G16" s="6" t="n"/>
    </row>
    <row r="17">
      <c r="A17" s="6" t="inlineStr">
        <is>
          <t>Increase in debt securities</t>
        </is>
      </c>
      <c r="B17" s="6" t="n"/>
      <c r="C17" s="6" t="n">
        <v>-843959</v>
      </c>
      <c r="D17" s="6" t="n">
        <v>-373373.722</v>
      </c>
      <c r="E17" s="6" t="n"/>
      <c r="F17" s="6" t="n"/>
      <c r="G17" s="6" t="n"/>
    </row>
    <row r="18">
      <c r="A18" s="5" t="inlineStr">
        <is>
          <t>Net cash from/(used in) operating activities</t>
        </is>
      </c>
      <c r="B18" s="5" t="n"/>
      <c r="C18" s="5" t="n">
        <v>3323920</v>
      </c>
      <c r="D18" s="5" t="n">
        <v>277818.774</v>
      </c>
      <c r="E18" s="5" t="n">
        <v>40838.421</v>
      </c>
      <c r="F18" s="5" t="n">
        <v>-8763.915000000001</v>
      </c>
      <c r="G18" s="5" t="n">
        <v>-4078.796</v>
      </c>
    </row>
    <row r="19">
      <c r="A19" s="5" t="inlineStr">
        <is>
          <t>Cash flows from investing activities</t>
        </is>
      </c>
      <c r="B19" s="6" t="n"/>
      <c r="C19" s="6" t="n"/>
      <c r="D19" s="6" t="n"/>
      <c r="E19" s="6" t="n"/>
      <c r="F19" s="6" t="n"/>
      <c r="G19" s="6" t="n"/>
    </row>
    <row r="20">
      <c r="A20" s="6" t="inlineStr">
        <is>
          <t>Expenditure on internally generated intangible assets</t>
        </is>
      </c>
      <c r="B20" s="6" t="n"/>
      <c r="C20" s="6" t="n">
        <v>-4507</v>
      </c>
      <c r="D20" s="6" t="n">
        <v>-3417.546</v>
      </c>
      <c r="E20" s="6" t="n">
        <v>-3256.064</v>
      </c>
      <c r="F20" s="6" t="n">
        <v>-8307.109</v>
      </c>
      <c r="G20" s="6" t="n">
        <v>-1301.285</v>
      </c>
    </row>
    <row r="21">
      <c r="A21" s="6" t="inlineStr">
        <is>
          <t>Purchase of tangible fixed assets</t>
        </is>
      </c>
      <c r="B21" s="6" t="n"/>
      <c r="C21" s="6" t="n">
        <v>-192</v>
      </c>
      <c r="D21" s="6" t="n">
        <v>-72.485</v>
      </c>
      <c r="E21" s="6" t="n">
        <v>-78.58199999999999</v>
      </c>
      <c r="F21" s="6" t="n">
        <v>-139.569</v>
      </c>
      <c r="G21" s="6" t="n">
        <v>-28.62</v>
      </c>
    </row>
    <row r="22">
      <c r="A22" s="6" t="inlineStr">
        <is>
          <t>Purchase of financial investments</t>
        </is>
      </c>
      <c r="B22" s="6" t="n"/>
      <c r="C22" s="6" t="n"/>
      <c r="D22" s="6" t="n"/>
      <c r="E22" s="6" t="n">
        <v>-242.496</v>
      </c>
      <c r="F22" s="6" t="n">
        <v>-10300</v>
      </c>
      <c r="G22" s="6" t="n"/>
    </row>
    <row r="23">
      <c r="A23" s="6" t="inlineStr">
        <is>
          <t>Interest received</t>
        </is>
      </c>
      <c r="B23" s="6" t="n"/>
      <c r="C23" s="6" t="n"/>
      <c r="D23" s="6" t="n"/>
      <c r="E23" s="6" t="n"/>
      <c r="F23" s="6" t="n"/>
      <c r="G23" s="6" t="n">
        <v>8.419</v>
      </c>
    </row>
    <row r="24">
      <c r="A24" s="5" t="inlineStr">
        <is>
          <t>Net cash used in investing activities</t>
        </is>
      </c>
      <c r="B24" s="5" t="n"/>
      <c r="C24" s="5" t="n">
        <v>-4699</v>
      </c>
      <c r="D24" s="5" t="n">
        <v>-3490.041</v>
      </c>
      <c r="E24" s="5" t="n">
        <v>-3577.142</v>
      </c>
      <c r="F24" s="5" t="n">
        <v>-18746.678</v>
      </c>
      <c r="G24" s="5" t="n">
        <v>-1321.486</v>
      </c>
    </row>
    <row r="25">
      <c r="A25" s="5" t="inlineStr">
        <is>
          <t>Cash flows from financing activities</t>
        </is>
      </c>
      <c r="B25" s="6" t="n"/>
      <c r="C25" s="6" t="n"/>
      <c r="D25" s="6" t="n"/>
      <c r="E25" s="6" t="n"/>
      <c r="F25" s="6" t="n"/>
      <c r="G25" s="6" t="n"/>
    </row>
    <row r="26">
      <c r="A26" s="6" t="inlineStr">
        <is>
          <t>Share issuance</t>
        </is>
      </c>
      <c r="B26" s="6" t="n"/>
      <c r="C26" s="6" t="n">
        <v>31183</v>
      </c>
      <c r="D26" s="6" t="n">
        <v>23233.15</v>
      </c>
      <c r="E26" s="6" t="n">
        <v>1728.142</v>
      </c>
      <c r="F26" s="6" t="n">
        <v>25561.125</v>
      </c>
      <c r="G26" s="6" t="n">
        <v>9972.572</v>
      </c>
    </row>
    <row r="27">
      <c r="A27" s="6" t="inlineStr">
        <is>
          <t>Cost of share issuance</t>
        </is>
      </c>
      <c r="B27" s="6" t="n"/>
      <c r="C27" s="6" t="n">
        <v>-2687</v>
      </c>
      <c r="D27" s="6" t="n">
        <v>0</v>
      </c>
      <c r="E27" s="6" t="n">
        <v>0</v>
      </c>
      <c r="F27" s="6" t="n">
        <v>0</v>
      </c>
      <c r="G27" s="6" t="n">
        <v>0</v>
      </c>
    </row>
    <row r="28">
      <c r="A28" s="6" t="inlineStr">
        <is>
          <t>Cash inflows from shares to be issued</t>
        </is>
      </c>
      <c r="B28" s="6" t="n"/>
      <c r="C28" s="6" t="n">
        <v>48</v>
      </c>
      <c r="D28" s="6" t="n">
        <v>13980.144</v>
      </c>
      <c r="E28" s="6" t="n">
        <v>2796</v>
      </c>
      <c r="F28" s="6" t="n">
        <v>724.816</v>
      </c>
      <c r="G28" s="6" t="n">
        <v>15034.157</v>
      </c>
    </row>
    <row r="29">
      <c r="A29" s="5" t="inlineStr">
        <is>
          <t>Net cash from financing activities</t>
        </is>
      </c>
      <c r="B29" s="5" t="n"/>
      <c r="C29" s="5" t="n">
        <v>28544</v>
      </c>
      <c r="D29" s="5" t="n">
        <v>37213.294</v>
      </c>
      <c r="E29" s="5" t="n">
        <v>4524.142</v>
      </c>
      <c r="F29" s="5" t="n">
        <v>26285.941</v>
      </c>
      <c r="G29" s="5" t="n">
        <v>25006.73</v>
      </c>
    </row>
    <row r="30">
      <c r="A30" s="5" t="inlineStr">
        <is>
          <t>Increase/(decrease) in cash and cash equivalents</t>
        </is>
      </c>
      <c r="B30" s="5" t="n"/>
      <c r="C30" s="5" t="n">
        <v>3347765</v>
      </c>
      <c r="D30" s="5" t="n">
        <v>311542.027</v>
      </c>
      <c r="E30" s="5" t="n">
        <v>41785.421</v>
      </c>
      <c r="F30" s="5" t="n">
        <v>-1224.652</v>
      </c>
      <c r="G30" s="5" t="n">
        <v>19606.448</v>
      </c>
    </row>
    <row r="31">
      <c r="A31" s="6" t="inlineStr">
        <is>
          <t>Cash and cash equivalents at beginning of year</t>
        </is>
      </c>
      <c r="B31" s="6" t="n"/>
      <c r="C31" s="6" t="n">
        <v>377215</v>
      </c>
      <c r="D31" s="6" t="n">
        <v>65673.758</v>
      </c>
      <c r="E31" s="6" t="n">
        <v>23888.337</v>
      </c>
      <c r="F31" s="6" t="n">
        <v>25112.989</v>
      </c>
      <c r="G31" s="6" t="n">
        <v>5506.541</v>
      </c>
    </row>
    <row r="32">
      <c r="A32" s="5" t="inlineStr">
        <is>
          <t>Cash and cash equivalents at end of year</t>
        </is>
      </c>
      <c r="B32" s="5" t="n"/>
      <c r="C32" s="5" t="n">
        <v>3724980</v>
      </c>
      <c r="D32" s="5" t="n">
        <v>377215.785</v>
      </c>
      <c r="E32" s="5" t="n">
        <v>65673.758</v>
      </c>
      <c r="F32" s="5" t="n">
        <v>23888.337</v>
      </c>
      <c r="G32" s="5" t="n">
        <v>25112.989</v>
      </c>
    </row>
    <row r="34" ht="240" customHeight="1">
      <c r="A34"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t>
        </is>
      </c>
    </row>
  </sheetData>
  <mergeCells count="1">
    <mergeCell ref="A34:G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Company basis</t>
        </is>
      </c>
      <c r="B4" s="6" t="n"/>
      <c r="C4" s="6" t="n"/>
      <c r="D4" s="6" t="n"/>
      <c r="E4" s="6" t="n"/>
      <c r="F4" s="6" t="n"/>
      <c r="G4" s="6" t="n"/>
    </row>
    <row r="5">
      <c r="A5" s="6" t="inlineStr">
        <is>
          <t>Gross loans and advances</t>
        </is>
      </c>
      <c r="B5" s="6" t="n"/>
      <c r="C5" s="6" t="n">
        <v>174105</v>
      </c>
      <c r="D5" s="6" t="n">
        <v>139876</v>
      </c>
      <c r="E5" s="6" t="n">
        <v>93475.75900000001</v>
      </c>
      <c r="F5" s="6" t="n">
        <v>761.749</v>
      </c>
      <c r="G5" s="6" t="n"/>
    </row>
    <row r="6">
      <c r="A6" s="6" t="inlineStr">
        <is>
          <t>Less: allowance for impairment on loans and advances</t>
        </is>
      </c>
      <c r="B6" s="6" t="n"/>
      <c r="C6" s="6" t="n">
        <v>-266</v>
      </c>
      <c r="D6" s="6" t="n">
        <v>-187</v>
      </c>
      <c r="E6" s="6" t="n">
        <v>-104.644</v>
      </c>
      <c r="F6" s="6" t="n">
        <v>-2.664</v>
      </c>
      <c r="G6" s="6" t="n"/>
    </row>
    <row r="7">
      <c r="A7" s="5" t="inlineStr">
        <is>
          <t>Net loans and advances to customers</t>
        </is>
      </c>
      <c r="B7" s="5" t="n"/>
      <c r="C7" s="5" t="n">
        <v>173839</v>
      </c>
      <c r="D7" s="5" t="n">
        <v>139689</v>
      </c>
      <c r="E7" s="5" t="n">
        <v>93371.11500000001</v>
      </c>
      <c r="F7" s="5" t="n">
        <v>759.085</v>
      </c>
      <c r="G7" s="5" t="n"/>
    </row>
    <row r="8">
      <c r="A8" s="5" t="inlineStr">
        <is>
          <t>Impairment provision (IAS 39 incurred-loss model - no IFRS 9 stage split disclosed)</t>
        </is>
      </c>
      <c r="B8" s="6" t="n"/>
      <c r="C8" s="6" t="n"/>
      <c r="D8" s="6" t="n"/>
      <c r="E8" s="6" t="n"/>
      <c r="F8" s="6" t="n"/>
      <c r="G8" s="6" t="n"/>
    </row>
    <row r="9">
      <c r="A9" s="6" t="inlineStr">
        <is>
          <t>Individual impairment provision</t>
        </is>
      </c>
      <c r="B9" s="6" t="n"/>
      <c r="C9" s="6" t="n">
        <v>0</v>
      </c>
      <c r="D9" s="6" t="n">
        <v>0</v>
      </c>
      <c r="E9" s="6" t="n">
        <v>0</v>
      </c>
      <c r="F9" s="6" t="n">
        <v>0</v>
      </c>
      <c r="G9" s="6" t="n"/>
    </row>
    <row r="10">
      <c r="A10" s="6" t="inlineStr">
        <is>
          <t>Collective impairment provision</t>
        </is>
      </c>
      <c r="B10" s="6" t="n"/>
      <c r="C10" s="6" t="n">
        <v>266</v>
      </c>
      <c r="D10" s="6" t="n">
        <v>187</v>
      </c>
      <c r="E10" s="6" t="n">
        <v>104.644</v>
      </c>
      <c r="F10" s="6" t="n">
        <v>2.664</v>
      </c>
      <c r="G10" s="6" t="n"/>
    </row>
    <row r="11">
      <c r="A11" s="5" t="inlineStr">
        <is>
          <t>Total impairment provision</t>
        </is>
      </c>
      <c r="B11" s="5" t="n"/>
      <c r="C11" s="5" t="n">
        <v>266</v>
      </c>
      <c r="D11" s="5" t="n">
        <v>187</v>
      </c>
      <c r="E11" s="5" t="n">
        <v>104.644</v>
      </c>
      <c r="F11" s="5" t="n">
        <v>2.664</v>
      </c>
      <c r="G11" s="5" t="n"/>
    </row>
    <row r="12">
      <c r="A12" s="6" t="inlineStr">
        <is>
          <t>Impairment charge/(release) recognised in the income statement</t>
        </is>
      </c>
      <c r="B12" s="6" t="n"/>
      <c r="C12" s="6" t="n">
        <v>79</v>
      </c>
      <c r="D12" s="6" t="n">
        <v>82.581</v>
      </c>
      <c r="E12" s="6" t="n">
        <v>101.98</v>
      </c>
      <c r="F12" s="6" t="n">
        <v>2.664</v>
      </c>
      <c r="G12" s="6" t="n"/>
    </row>
    <row r="13">
      <c r="A13" s="6" t="inlineStr">
        <is>
          <t>Coverage ratio (impairment provision / gross loans and advances)</t>
        </is>
      </c>
      <c r="B13" s="6" t="n"/>
      <c r="C13" s="6" t="inlineStr">
        <is>
          <t>0.15%</t>
        </is>
      </c>
      <c r="D13" s="6" t="inlineStr">
        <is>
          <t>0.13%</t>
        </is>
      </c>
      <c r="E13" s="6" t="inlineStr">
        <is>
          <t>0.11%</t>
        </is>
      </c>
      <c r="F13" s="6" t="inlineStr">
        <is>
          <t>0.35%</t>
        </is>
      </c>
      <c r="G13" s="6" t="n"/>
    </row>
    <row r="15" ht="340" customHeight="1">
      <c r="A15"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56324</v>
      </c>
      <c r="D4" s="6" t="n">
        <v>28035.733</v>
      </c>
      <c r="E4" s="6" t="n">
        <v>21299.969</v>
      </c>
      <c r="F4" s="6" t="n">
        <v>32643.538</v>
      </c>
      <c r="G4" s="6" t="n"/>
    </row>
    <row r="6" ht="18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20%</t>
        </is>
      </c>
      <c r="D4" s="6" t="inlineStr">
        <is>
          <t>22%</t>
        </is>
      </c>
      <c r="E4" s="6" t="n"/>
      <c r="F4" s="6" t="n"/>
      <c r="G4" s="6" t="n"/>
    </row>
    <row r="5" ht="60" customHeight="1">
      <c r="A5" s="7" t="inlineStr">
        <is>
          <t>Note: The annual reports disclose CET1 capital and, from 2023 onward, the CET1 ratio; earlier ratios were not separately disclosed.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c r="D4" s="6" t="n"/>
      <c r="E4" s="6" t="n"/>
      <c r="F4" s="6" t="n"/>
      <c r="G4" s="6" t="n"/>
    </row>
    <row r="5" ht="60" customHeight="1">
      <c r="A5" s="7" t="inlineStr">
        <is>
          <t>Note: No standalone Tier 1 capital amount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n"/>
      <c r="D4" s="6" t="n"/>
      <c r="E4" s="6" t="n"/>
      <c r="F4" s="6" t="n"/>
      <c r="G4" s="6" t="n"/>
    </row>
    <row r="5" ht="60" customHeight="1">
      <c r="A5" s="7" t="inlineStr">
        <is>
          <t>Note: No standalone Tier 1 ratio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c r="D4" s="6" t="n"/>
      <c r="E4" s="6" t="n"/>
      <c r="F4" s="6" t="n"/>
      <c r="G4" s="6" t="n"/>
    </row>
    <row r="5" ht="60" customHeight="1">
      <c r="A5" s="7" t="inlineStr">
        <is>
          <t>Note: No standalone total capital amount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n"/>
      <c r="D4" s="6" t="n"/>
      <c r="E4" s="6" t="inlineStr">
        <is>
          <t>44%</t>
        </is>
      </c>
      <c r="F4" s="6" t="inlineStr">
        <is>
          <t>529%</t>
        </is>
      </c>
      <c r="G4" s="6" t="inlineStr">
        <is>
          <t>359%</t>
        </is>
      </c>
    </row>
    <row r="5" ht="60" customHeight="1">
      <c r="A5" s="7" t="inlineStr">
        <is>
          <t>Note: The 2023 report states 44% for FY2022 and the 2024 report does not repeat a total capital ratio for FY2023/FY2024; FY2021 is reported as 529%; FY2020's Strategic Report states 359%.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c r="C4" s="6" t="n">
        <v>281756</v>
      </c>
      <c r="D4" s="6" t="n">
        <v>126528</v>
      </c>
      <c r="E4" s="6" t="n"/>
      <c r="F4" s="6" t="n"/>
      <c r="G4" s="6" t="n"/>
    </row>
    <row r="5" ht="60" customHeight="1">
      <c r="A5" s="7" t="inlineStr">
        <is>
          <t>Note: Total RWAs were disclosed in the 2024 report’s regulatory metrics table; earlier totals were not separately disclosed.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RWA Breakdown</t>
        </is>
      </c>
    </row>
    <row r="2">
      <c r="A2" s="2" t="inlineStr">
        <is>
          <t>Company basis, £'000.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Not publicly disclosed</t>
        </is>
      </c>
      <c r="B4" s="6" t="n"/>
      <c r="C4" s="6" t="n"/>
      <c r="D4" s="6" t="n"/>
      <c r="E4" s="6" t="n"/>
      <c r="F4" s="6" t="n"/>
      <c r="G4" s="6" t="n"/>
    </row>
    <row r="6" ht="19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 (see Note 26 'Risk management'/'Capital risk management' in the FY2024 report).</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n"/>
      <c r="C4" s="6" t="inlineStr">
        <is>
          <t>3.9%</t>
        </is>
      </c>
      <c r="D4" s="6" t="inlineStr">
        <is>
          <t>4.1%</t>
        </is>
      </c>
      <c r="E4" s="6" t="n"/>
      <c r="F4" s="6" t="n"/>
      <c r="G4" s="6" t="n"/>
    </row>
    <row r="6" ht="18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n"/>
      <c r="C4" s="6" t="inlineStr">
        <is>
          <t>589%</t>
        </is>
      </c>
      <c r="D4" s="6" t="inlineStr">
        <is>
          <t>1,093%</t>
        </is>
      </c>
      <c r="E4" s="6" t="inlineStr">
        <is>
          <t>10,128%</t>
        </is>
      </c>
      <c r="F4" s="6" t="inlineStr">
        <is>
          <t>2,861,111,111%</t>
        </is>
      </c>
      <c r="G4" s="6" t="n"/>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inlineStr">
        <is>
          <t>560%</t>
        </is>
      </c>
      <c r="D4" s="6" t="inlineStr">
        <is>
          <t>228%</t>
        </is>
      </c>
      <c r="E4" s="6" t="n"/>
      <c r="F4" s="6" t="n"/>
      <c r="G4" s="6" t="n"/>
    </row>
    <row r="5" ht="60" customHeight="1">
      <c r="A5" s="7" t="inlineStr">
        <is>
          <t>Note: NSFR was disclosed in the FY2024 report’s regulatory metrics table; no earlier standalone figure was located.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n"/>
      <c r="C4" s="6" t="n"/>
      <c r="D4" s="6" t="n"/>
      <c r="E4" s="6" t="n"/>
      <c r="F4" s="6" t="n"/>
      <c r="G4" s="6" t="n"/>
    </row>
    <row r="5" ht="60" customHeight="1">
      <c r="A5" s="7" t="inlineStr">
        <is>
          <t>Note: No quantitative MREL ratio was located in the official annual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2026-09-07T01:44:25Z</dcterms:created>
  <dcterms:modified xmlns:dcterms="http://purl.org/dc/terms/" xmlns:xsi="http://www.w3.org/2001/XMLSchema-instance" xsi:type="dcterms:W3CDTF">2026-09-07T01:44:25Z</dcterms:modified>
</cp:coreProperties>
</file>