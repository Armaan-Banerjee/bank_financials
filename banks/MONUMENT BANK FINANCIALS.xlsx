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Monument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Monument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Monument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Monument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ser>
          <idx val="3"/>
          <order val="3"/>
          <tx>
            <strRef>
              <f>'Overview'!AK30</f>
            </strRef>
          </tx>
          <spPr>
            <a:ln xmlns:a="http://schemas.openxmlformats.org/drawingml/2006/main">
              <a:prstDash val="solid"/>
            </a:ln>
          </spPr>
          <cat>
            <numRef>
              <f>'Overview'!$AL$26:$AQ$26</f>
            </numRef>
          </cat>
          <val>
            <numRef>
              <f>'Overview'!$AL$30:$AQ$30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Monument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Monument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c r="C6" s="5" t="n">
        <v>5142928</v>
      </c>
      <c r="D6" s="5" t="n">
        <v>1047790</v>
      </c>
      <c r="E6" s="5" t="n">
        <v>185059.901</v>
      </c>
      <c r="F6" s="5" t="n">
        <v>45557.014</v>
      </c>
      <c r="G6" s="5" t="n">
        <v>26744.658</v>
      </c>
      <c r="J6" t="inlineStr">
        <is>
          <t>Total assets</t>
        </is>
      </c>
      <c r="K6" t="n">
        <v>26744.658</v>
      </c>
      <c r="L6" t="n">
        <v>45557.014</v>
      </c>
      <c r="M6" t="n">
        <v>185059.901</v>
      </c>
      <c r="N6" t="n">
        <v>1047790</v>
      </c>
      <c r="O6" t="n">
        <v>5142928</v>
      </c>
      <c r="AT6" t="inlineStr">
        <is>
          <t>CET1 Ratio</t>
        </is>
      </c>
      <c r="AV6" t="n">
        <v>108.99</v>
      </c>
      <c r="AW6" t="n">
        <v>43.99</v>
      </c>
      <c r="AX6" t="n">
        <v>22</v>
      </c>
      <c r="AY6" t="n">
        <v>20</v>
      </c>
    </row>
    <row r="7">
      <c r="A7" s="5" t="inlineStr">
        <is>
          <t>Loans and advances to customers</t>
        </is>
      </c>
      <c r="B7" s="5" t="n"/>
      <c r="C7" s="5" t="n">
        <v>173839</v>
      </c>
      <c r="D7" s="5" t="n">
        <v>139689</v>
      </c>
      <c r="E7" s="5" t="n">
        <v>93371.11500000001</v>
      </c>
      <c r="F7" s="5" t="n">
        <v>759.085</v>
      </c>
      <c r="G7" s="5" t="n"/>
      <c r="J7" t="inlineStr">
        <is>
          <t>Loans and advances to customers</t>
        </is>
      </c>
      <c r="L7" t="n">
        <v>759.085</v>
      </c>
      <c r="M7" t="n">
        <v>93371.11500000001</v>
      </c>
      <c r="N7" t="n">
        <v>139689</v>
      </c>
      <c r="O7" t="n">
        <v>173839</v>
      </c>
      <c r="AT7" t="inlineStr">
        <is>
          <t>Total Capital Ratio</t>
        </is>
      </c>
      <c r="AV7" t="n">
        <v>108.99</v>
      </c>
      <c r="AW7" t="n">
        <v>43.99</v>
      </c>
      <c r="AX7" t="n">
        <v>22.12</v>
      </c>
    </row>
    <row r="8">
      <c r="A8" s="5" t="inlineStr">
        <is>
          <t>Customer deposits</t>
        </is>
      </c>
      <c r="B8" s="5" t="n"/>
      <c r="C8" s="5" t="n">
        <v>5069724</v>
      </c>
      <c r="D8" s="5" t="n">
        <v>990502</v>
      </c>
      <c r="E8" s="5" t="n">
        <v>147657.857</v>
      </c>
      <c r="F8" s="5" t="n">
        <v>2093.036</v>
      </c>
      <c r="G8" s="5" t="n"/>
      <c r="J8" t="inlineStr">
        <is>
          <t>Customer deposits</t>
        </is>
      </c>
      <c r="L8" t="n">
        <v>2093.036</v>
      </c>
      <c r="M8" t="n">
        <v>147657.857</v>
      </c>
      <c r="N8" t="n">
        <v>990502</v>
      </c>
      <c r="O8" t="n">
        <v>5069724</v>
      </c>
      <c r="AT8" t="inlineStr">
        <is>
          <t>Leverage Ratio</t>
        </is>
      </c>
      <c r="AV8" t="n">
        <v>90.48</v>
      </c>
      <c r="AW8" t="n">
        <v>12</v>
      </c>
      <c r="AX8" t="n">
        <v>4.1</v>
      </c>
      <c r="AY8" t="n">
        <v>3.9</v>
      </c>
    </row>
    <row r="9">
      <c r="A9" s="5" t="inlineStr">
        <is>
          <t>Total equity</t>
        </is>
      </c>
      <c r="B9" s="5" t="n"/>
      <c r="C9" s="5" t="n">
        <v>69749</v>
      </c>
      <c r="D9" s="5" t="n">
        <v>53693</v>
      </c>
      <c r="E9" s="5" t="n">
        <v>34656.556</v>
      </c>
      <c r="F9" s="5" t="n">
        <v>42123.273</v>
      </c>
      <c r="G9" s="5" t="n">
        <v>25197.089</v>
      </c>
      <c r="J9" t="inlineStr">
        <is>
          <t>Total equity</t>
        </is>
      </c>
      <c r="K9" t="n">
        <v>25197.089</v>
      </c>
      <c r="L9" t="n">
        <v>42123.273</v>
      </c>
      <c r="M9" t="n">
        <v>34656.556</v>
      </c>
      <c r="N9" t="n">
        <v>53693</v>
      </c>
      <c r="O9" t="n">
        <v>69749</v>
      </c>
      <c r="AT9" t="inlineStr">
        <is>
          <t>LCR</t>
        </is>
      </c>
      <c r="AV9" t="n">
        <v>2861111111</v>
      </c>
      <c r="AW9" t="n">
        <v>10128</v>
      </c>
      <c r="AX9" t="n">
        <v>1093</v>
      </c>
      <c r="AY9" t="n">
        <v>589</v>
      </c>
    </row>
    <row r="10">
      <c r="AT10" t="inlineStr">
        <is>
          <t>NSFR</t>
        </is>
      </c>
      <c r="AV10" t="n">
        <v>153.4</v>
      </c>
      <c r="AW10" t="n">
        <v>242.85</v>
      </c>
      <c r="AX10" t="n">
        <v>228</v>
      </c>
      <c r="AY10" t="n">
        <v>560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net income/(expense)</t>
        </is>
      </c>
      <c r="B13" s="5" t="n"/>
      <c r="C13" s="5" t="n">
        <v>13680</v>
      </c>
      <c r="D13" s="5" t="n">
        <v>925</v>
      </c>
      <c r="E13" s="5" t="n">
        <v>3808.266</v>
      </c>
      <c r="F13" s="5" t="n">
        <v>-0.372</v>
      </c>
      <c r="G13" s="5" t="n">
        <v>8.26</v>
      </c>
      <c r="S13" t="inlineStr">
        <is>
          <t>Total net income/(expense)</t>
        </is>
      </c>
      <c r="T13" t="n">
        <v>8.26</v>
      </c>
      <c r="U13" t="n">
        <v>-0.372</v>
      </c>
      <c r="V13" t="n">
        <v>3808.266</v>
      </c>
      <c r="W13" t="n">
        <v>925</v>
      </c>
      <c r="X13" t="n">
        <v>13680</v>
      </c>
    </row>
    <row r="14">
      <c r="A14" s="5" t="inlineStr">
        <is>
          <t>Administrative expenses</t>
        </is>
      </c>
      <c r="B14" s="5" t="n"/>
      <c r="C14" s="5" t="n">
        <v>-26926</v>
      </c>
      <c r="D14" s="5" t="n">
        <v>-20895</v>
      </c>
      <c r="E14" s="5" t="n">
        <v>-18474.978</v>
      </c>
      <c r="F14" s="5" t="n">
        <v>-9970.281999999999</v>
      </c>
      <c r="G14" s="5" t="n">
        <v>-5743.261</v>
      </c>
      <c r="S14" t="inlineStr">
        <is>
          <t>Administrative expenses</t>
        </is>
      </c>
      <c r="T14" t="n">
        <v>-5743.261</v>
      </c>
      <c r="U14" t="n">
        <v>-9970.281999999999</v>
      </c>
      <c r="V14" t="n">
        <v>-18474.978</v>
      </c>
      <c r="W14" t="n">
        <v>-20895</v>
      </c>
      <c r="X14" t="n">
        <v>-26926</v>
      </c>
    </row>
    <row r="15">
      <c r="A15" s="5" t="inlineStr">
        <is>
          <t>Operating loss before taxation</t>
        </is>
      </c>
      <c r="B15" s="5" t="n"/>
      <c r="C15" s="5" t="n">
        <v>-13325</v>
      </c>
      <c r="D15" s="5" t="n">
        <v>-20053</v>
      </c>
      <c r="E15" s="5" t="n">
        <v>-14768.692</v>
      </c>
      <c r="F15" s="5" t="n">
        <v>-9973.317999999999</v>
      </c>
      <c r="G15" s="5" t="n">
        <v>-5735.001</v>
      </c>
      <c r="S15" t="inlineStr">
        <is>
          <t>Operating loss before taxation</t>
        </is>
      </c>
      <c r="T15" t="n">
        <v>-5735.001</v>
      </c>
      <c r="U15" t="n">
        <v>-9973.317999999999</v>
      </c>
      <c r="V15" t="n">
        <v>-14768.692</v>
      </c>
      <c r="W15" t="n">
        <v>-20053</v>
      </c>
      <c r="X15" t="n">
        <v>-13325</v>
      </c>
    </row>
    <row r="16">
      <c r="A16" s="5" t="inlineStr">
        <is>
          <t>Loss for the financial year</t>
        </is>
      </c>
      <c r="B16" s="5" t="n"/>
      <c r="C16" s="5" t="n">
        <v>-13086</v>
      </c>
      <c r="D16" s="5" t="n">
        <v>-19360</v>
      </c>
      <c r="E16" s="5" t="n">
        <v>-12709.555</v>
      </c>
      <c r="F16" s="5" t="n">
        <v>-9973.317999999999</v>
      </c>
      <c r="G16" s="5" t="n">
        <v>-5735.001</v>
      </c>
      <c r="S16" t="inlineStr">
        <is>
          <t>Loss for the financial year</t>
        </is>
      </c>
      <c r="T16" t="n">
        <v>-5735.001</v>
      </c>
      <c r="U16" t="n">
        <v>-9973.317999999999</v>
      </c>
      <c r="V16" t="n">
        <v>-12709.555</v>
      </c>
      <c r="W16" t="n">
        <v>-19360</v>
      </c>
      <c r="X16" t="n">
        <v>-13086</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AC19" t="inlineStr">
        <is>
          <t>FY2020</t>
        </is>
      </c>
      <c r="AD19" t="inlineStr">
        <is>
          <t>FY2021</t>
        </is>
      </c>
      <c r="AE19" t="inlineStr">
        <is>
          <t>FY2022</t>
        </is>
      </c>
      <c r="AF19" t="inlineStr">
        <is>
          <t>FY2023</t>
        </is>
      </c>
      <c r="AG19" t="inlineStr">
        <is>
          <t>FY2024</t>
        </is>
      </c>
      <c r="AH19" t="inlineStr">
        <is>
          <t>FY2025</t>
        </is>
      </c>
    </row>
    <row r="20">
      <c r="A20" s="5" t="inlineStr">
        <is>
          <t>Opening equity</t>
        </is>
      </c>
      <c r="B20" s="5" t="n"/>
      <c r="C20" s="5" t="n">
        <v>53693.527</v>
      </c>
      <c r="D20" s="5" t="n">
        <v>34656.556</v>
      </c>
      <c r="E20" s="5" t="n">
        <v>42123.273</v>
      </c>
      <c r="F20" s="5" t="n">
        <v>25197.089</v>
      </c>
      <c r="G20" s="5" t="n">
        <v>5578.186</v>
      </c>
      <c r="AB20" t="inlineStr">
        <is>
          <t>Opening equity</t>
        </is>
      </c>
      <c r="AC20" t="n">
        <v>5578.186</v>
      </c>
      <c r="AD20" t="n">
        <v>25197.089</v>
      </c>
      <c r="AE20" t="n">
        <v>42123.273</v>
      </c>
      <c r="AF20" t="n">
        <v>34656.556</v>
      </c>
      <c r="AG20" t="n">
        <v>53693.527</v>
      </c>
    </row>
    <row r="21">
      <c r="A21" s="5" t="inlineStr">
        <is>
          <t>Total comprehensive loss for the year</t>
        </is>
      </c>
      <c r="B21" s="5" t="n"/>
      <c r="C21" s="5" t="n">
        <v>-13878</v>
      </c>
      <c r="D21" s="5" t="n">
        <v>-18784.372</v>
      </c>
      <c r="E21" s="5" t="n">
        <v>-12709.555</v>
      </c>
      <c r="F21" s="5" t="n">
        <v>-9973.317999999999</v>
      </c>
      <c r="G21" s="5" t="n">
        <v>-5735.001</v>
      </c>
      <c r="AB21" t="inlineStr">
        <is>
          <t>Total comprehensive loss for the year</t>
        </is>
      </c>
      <c r="AC21" t="n">
        <v>-5735.001</v>
      </c>
      <c r="AD21" t="n">
        <v>-9973.317999999999</v>
      </c>
      <c r="AE21" t="n">
        <v>-12709.555</v>
      </c>
      <c r="AF21" t="n">
        <v>-18784.372</v>
      </c>
      <c r="AG21" t="n">
        <v>-13878</v>
      </c>
    </row>
    <row r="22">
      <c r="A22" s="5" t="inlineStr">
        <is>
          <t>Other equity movements, net</t>
        </is>
      </c>
      <c r="B22" s="5" t="n"/>
      <c r="C22" s="5" t="n">
        <v>29933.473</v>
      </c>
      <c r="D22" s="5" t="n">
        <v>37821.343</v>
      </c>
      <c r="E22" s="5" t="n">
        <v>5242.838</v>
      </c>
      <c r="F22" s="5" t="n">
        <v>26899.502</v>
      </c>
      <c r="G22" s="5" t="n">
        <v>25353.904</v>
      </c>
      <c r="AB22" t="inlineStr">
        <is>
          <t>Other equity movements, net</t>
        </is>
      </c>
      <c r="AC22" t="n">
        <v>25353.904</v>
      </c>
      <c r="AD22" t="n">
        <v>26899.502</v>
      </c>
      <c r="AE22" t="n">
        <v>5242.838</v>
      </c>
      <c r="AF22" t="n">
        <v>37821.343</v>
      </c>
      <c r="AG22" t="n">
        <v>29933.473</v>
      </c>
    </row>
    <row r="23">
      <c r="A23" s="5" t="inlineStr">
        <is>
          <t>Closing equity</t>
        </is>
      </c>
      <c r="B23" s="5" t="n"/>
      <c r="C23" s="5" t="n">
        <v>69749</v>
      </c>
      <c r="D23" s="5" t="n">
        <v>53693.527</v>
      </c>
      <c r="E23" s="5" t="n">
        <v>34656.556</v>
      </c>
      <c r="F23" s="5" t="n">
        <v>42123.273</v>
      </c>
      <c r="G23" s="5" t="n">
        <v>25197.089</v>
      </c>
      <c r="AB23" t="inlineStr">
        <is>
          <t>Closing equity</t>
        </is>
      </c>
      <c r="AC23" t="n">
        <v>25197.089</v>
      </c>
      <c r="AD23" t="n">
        <v>42123.273</v>
      </c>
      <c r="AE23" t="n">
        <v>34656.556</v>
      </c>
      <c r="AF23" t="n">
        <v>53693.527</v>
      </c>
      <c r="AG23" t="n">
        <v>69749</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AL26" t="inlineStr">
        <is>
          <t>FY2020</t>
        </is>
      </c>
      <c r="AM26" t="inlineStr">
        <is>
          <t>FY2021</t>
        </is>
      </c>
      <c r="AN26" t="inlineStr">
        <is>
          <t>FY2022</t>
        </is>
      </c>
      <c r="AO26" t="inlineStr">
        <is>
          <t>FY2023</t>
        </is>
      </c>
      <c r="AP26" t="inlineStr">
        <is>
          <t>FY2024</t>
        </is>
      </c>
      <c r="AQ26" t="inlineStr">
        <is>
          <t>FY2025</t>
        </is>
      </c>
    </row>
    <row r="27">
      <c r="A27" s="5" t="inlineStr">
        <is>
          <t>Net cash from/(used in) operating activities</t>
        </is>
      </c>
      <c r="B27" s="5" t="n"/>
      <c r="C27" s="5" t="n">
        <v>3323920</v>
      </c>
      <c r="D27" s="5" t="n">
        <v>277818.774</v>
      </c>
      <c r="E27" s="5" t="n">
        <v>40838.421</v>
      </c>
      <c r="F27" s="5" t="n">
        <v>-8763.915000000001</v>
      </c>
      <c r="G27" s="5" t="n">
        <v>-4078.796</v>
      </c>
      <c r="AK27" t="inlineStr">
        <is>
          <t>Net cash from/(used in) operating activities</t>
        </is>
      </c>
      <c r="AL27" t="n">
        <v>-4078.796</v>
      </c>
      <c r="AM27" t="n">
        <v>-8763.915000000001</v>
      </c>
      <c r="AN27" t="n">
        <v>40838.421</v>
      </c>
      <c r="AO27" t="n">
        <v>277818.774</v>
      </c>
      <c r="AP27" t="n">
        <v>3323920</v>
      </c>
    </row>
    <row r="28">
      <c r="A28" s="5" t="inlineStr">
        <is>
          <t>Net cash used in investing activities</t>
        </is>
      </c>
      <c r="B28" s="5" t="n"/>
      <c r="C28" s="5" t="n">
        <v>-4699</v>
      </c>
      <c r="D28" s="5" t="n">
        <v>-3490.041</v>
      </c>
      <c r="E28" s="5" t="n">
        <v>-3577.142</v>
      </c>
      <c r="F28" s="5" t="n">
        <v>-18746.678</v>
      </c>
      <c r="G28" s="5" t="n">
        <v>-1321.486</v>
      </c>
      <c r="AK28" t="inlineStr">
        <is>
          <t>Net cash used in investing activities</t>
        </is>
      </c>
      <c r="AL28" t="n">
        <v>-1321.486</v>
      </c>
      <c r="AM28" t="n">
        <v>-18746.678</v>
      </c>
      <c r="AN28" t="n">
        <v>-3577.142</v>
      </c>
      <c r="AO28" t="n">
        <v>-3490.041</v>
      </c>
      <c r="AP28" t="n">
        <v>-4699</v>
      </c>
    </row>
    <row r="29">
      <c r="A29" s="5" t="inlineStr">
        <is>
          <t>Net cash from financing activities</t>
        </is>
      </c>
      <c r="B29" s="5" t="n"/>
      <c r="C29" s="5" t="n">
        <v>28544</v>
      </c>
      <c r="D29" s="5" t="n">
        <v>37213.294</v>
      </c>
      <c r="E29" s="5" t="n">
        <v>4524.142</v>
      </c>
      <c r="F29" s="5" t="n">
        <v>26285.941</v>
      </c>
      <c r="G29" s="5" t="n">
        <v>25006.73</v>
      </c>
      <c r="AK29" t="inlineStr">
        <is>
          <t>Net cash from financing activities</t>
        </is>
      </c>
      <c r="AL29" t="n">
        <v>25006.73</v>
      </c>
      <c r="AM29" t="n">
        <v>26285.941</v>
      </c>
      <c r="AN29" t="n">
        <v>4524.142</v>
      </c>
      <c r="AO29" t="n">
        <v>37213.294</v>
      </c>
      <c r="AP29" t="n">
        <v>28544</v>
      </c>
    </row>
    <row r="30">
      <c r="A30" s="5" t="inlineStr">
        <is>
          <t>Cash and cash equivalents at end of year</t>
        </is>
      </c>
      <c r="B30" s="5" t="n"/>
      <c r="C30" s="5" t="n">
        <v>3724980</v>
      </c>
      <c r="D30" s="5" t="n">
        <v>377215.785</v>
      </c>
      <c r="E30" s="5" t="n">
        <v>65673.758</v>
      </c>
      <c r="F30" s="5" t="n">
        <v>23888.337</v>
      </c>
      <c r="G30" s="5" t="n">
        <v>25112.989</v>
      </c>
      <c r="AK30" t="inlineStr">
        <is>
          <t>Cash and cash equivalents at end of year</t>
        </is>
      </c>
      <c r="AL30" t="n">
        <v>25112.989</v>
      </c>
      <c r="AM30" t="n">
        <v>23888.337</v>
      </c>
      <c r="AN30" t="n">
        <v>65673.758</v>
      </c>
      <c r="AO30" t="n">
        <v>377215.785</v>
      </c>
      <c r="AP30" t="n">
        <v>3724980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row>
    <row r="34">
      <c r="A34" s="6" t="inlineStr">
        <is>
          <t>CET1 Ratio</t>
        </is>
      </c>
      <c r="B34" s="6" t="n"/>
      <c r="C34" s="6" t="inlineStr">
        <is>
          <t>20%</t>
        </is>
      </c>
      <c r="D34" s="6" t="inlineStr">
        <is>
          <t>22%</t>
        </is>
      </c>
      <c r="E34" s="6" t="inlineStr">
        <is>
          <t>43.99%</t>
        </is>
      </c>
      <c r="F34" s="6" t="inlineStr">
        <is>
          <t>108.99%</t>
        </is>
      </c>
      <c r="G34" s="6" t="n"/>
    </row>
    <row r="35">
      <c r="A35" s="6" t="inlineStr">
        <is>
          <t>Total Capital Ratio</t>
        </is>
      </c>
      <c r="B35" s="6" t="n"/>
      <c r="C35" s="6" t="n"/>
      <c r="D35" s="6" t="inlineStr">
        <is>
          <t>22.12%</t>
        </is>
      </c>
      <c r="E35" s="6" t="inlineStr">
        <is>
          <t>43.99%</t>
        </is>
      </c>
      <c r="F35" s="6" t="inlineStr">
        <is>
          <t>108.99%</t>
        </is>
      </c>
      <c r="G35" s="6" t="n"/>
    </row>
    <row r="36">
      <c r="A36" s="6" t="inlineStr">
        <is>
          <t>Leverage Ratio</t>
        </is>
      </c>
      <c r="B36" s="6" t="n"/>
      <c r="C36" s="6" t="inlineStr">
        <is>
          <t>3.9%</t>
        </is>
      </c>
      <c r="D36" s="6" t="inlineStr">
        <is>
          <t>4.1%</t>
        </is>
      </c>
      <c r="E36" s="6" t="inlineStr">
        <is>
          <t>12.00%</t>
        </is>
      </c>
      <c r="F36" s="6" t="inlineStr">
        <is>
          <t>90.48%</t>
        </is>
      </c>
      <c r="G36" s="6" t="n"/>
    </row>
    <row r="37">
      <c r="A37" s="6" t="inlineStr">
        <is>
          <t>LCR</t>
        </is>
      </c>
      <c r="B37" s="6" t="n"/>
      <c r="C37" s="6" t="inlineStr">
        <is>
          <t>589%</t>
        </is>
      </c>
      <c r="D37" s="6" t="inlineStr">
        <is>
          <t>1,093%</t>
        </is>
      </c>
      <c r="E37" s="6" t="inlineStr">
        <is>
          <t>10,128%</t>
        </is>
      </c>
      <c r="F37" s="6" t="inlineStr">
        <is>
          <t>2,861,111,111%</t>
        </is>
      </c>
      <c r="G37" s="6" t="n"/>
    </row>
    <row r="38">
      <c r="A38" s="6" t="inlineStr">
        <is>
          <t>NSFR</t>
        </is>
      </c>
      <c r="B38" s="6" t="n"/>
      <c r="C38" s="6" t="inlineStr">
        <is>
          <t>560%</t>
        </is>
      </c>
      <c r="D38" s="6" t="inlineStr">
        <is>
          <t>228%</t>
        </is>
      </c>
      <c r="E38" s="6" t="inlineStr">
        <is>
          <t>242.85%</t>
        </is>
      </c>
      <c r="F38" s="6" t="inlineStr">
        <is>
          <t>153.40%</t>
        </is>
      </c>
      <c r="G38" s="6" t="n"/>
    </row>
    <row r="40" ht="45" customHeight="1">
      <c r="A40" s="7" t="inlineStr">
        <is>
          <t>Note: Monument Bank Limited standalone/Company basis. FY2025 is blank because the latest available Companies House accounts cover 31 December 2024. FY2020 is the Bank's real historical floor (first full annual report, post-Banking Licence, pre-revenue) - FY2017-FY2019 are self-skipped in full because the entity was a pre-authorisation shell company with no bank-relevant disclosure (see Balance Sheet sheet's source note). Pillar 3 sheets contain only explicitly disclosed annual regulatory values; blank cells mean not disclosed. FY2021-FY2023 ratios are from Monument's own standalone Pillar 3 documents (found 2026-09-15), FY2024 from the annual report - the two sources diverge on FY2023 NSFR and Total RWAs and both figures are kept, on the relevant detail sheets. The FY2021 and FY2020 Total Capital Ratio figures previously shown here (529% and 359%) were capital-cover ratios, not CRR ratios, and have been withdrawn or replaced - see the Total Capital Ratio sheet.</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Balance Sheet</t>
        </is>
      </c>
    </row>
    <row r="2">
      <c r="A2" s="2" t="inlineStr">
        <is>
          <t>Company/standalone basis, £'000; 31 December year-end.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 / with banks</t>
        </is>
      </c>
      <c r="B5" s="6" t="n"/>
      <c r="C5" s="6" t="n">
        <v>3685561</v>
      </c>
      <c r="D5" s="6" t="n">
        <v>354658</v>
      </c>
      <c r="E5" s="6" t="n">
        <v>60337.153</v>
      </c>
      <c r="F5" s="6" t="n">
        <v>23888.337</v>
      </c>
      <c r="G5" s="6" t="n">
        <v>25112.989</v>
      </c>
    </row>
    <row r="6">
      <c r="A6" s="6" t="inlineStr">
        <is>
          <t>Loans and advances to credit institutions</t>
        </is>
      </c>
      <c r="B6" s="6" t="n"/>
      <c r="C6" s="6" t="n">
        <v>39419</v>
      </c>
      <c r="D6" s="6" t="n">
        <v>22557</v>
      </c>
      <c r="E6" s="6" t="n">
        <v>5336.605</v>
      </c>
      <c r="F6" s="6" t="n"/>
      <c r="G6" s="6" t="n"/>
    </row>
    <row r="7">
      <c r="A7" s="6" t="inlineStr">
        <is>
          <t>Treasury bills</t>
        </is>
      </c>
      <c r="B7" s="6" t="n"/>
      <c r="C7" s="6" t="n"/>
      <c r="D7" s="6" t="n">
        <v>130102</v>
      </c>
      <c r="E7" s="6" t="n"/>
      <c r="F7" s="6" t="n">
        <v>10300</v>
      </c>
      <c r="G7" s="6" t="n"/>
    </row>
    <row r="8">
      <c r="A8" s="6" t="inlineStr">
        <is>
          <t>Debt securities</t>
        </is>
      </c>
      <c r="B8" s="6" t="n"/>
      <c r="C8" s="6" t="n">
        <v>1227659</v>
      </c>
      <c r="D8" s="6" t="n">
        <v>384491</v>
      </c>
      <c r="E8" s="6" t="n">
        <v>10542.496</v>
      </c>
      <c r="F8" s="6" t="n"/>
      <c r="G8" s="6" t="n"/>
    </row>
    <row r="9">
      <c r="A9" s="6" t="inlineStr">
        <is>
          <t>Derivative financial instruments</t>
        </is>
      </c>
      <c r="B9" s="6" t="n"/>
      <c r="C9" s="6" t="n">
        <v>1460</v>
      </c>
      <c r="D9" s="6" t="n">
        <v>2423</v>
      </c>
      <c r="E9" s="6" t="n">
        <v>3648.55</v>
      </c>
      <c r="F9" s="6" t="n"/>
      <c r="G9" s="6" t="n"/>
    </row>
    <row r="10">
      <c r="A10" s="6" t="inlineStr">
        <is>
          <t>Loans and advances to customers</t>
        </is>
      </c>
      <c r="B10" s="6" t="n"/>
      <c r="C10" s="6" t="n">
        <v>173839</v>
      </c>
      <c r="D10" s="6" t="n">
        <v>139689</v>
      </c>
      <c r="E10" s="6" t="n">
        <v>93371.11500000001</v>
      </c>
      <c r="F10" s="6" t="n">
        <v>759.085</v>
      </c>
      <c r="G10" s="6" t="n"/>
    </row>
    <row r="11">
      <c r="A11" s="6" t="inlineStr">
        <is>
          <t>Other assets</t>
        </is>
      </c>
      <c r="B11" s="6" t="n"/>
      <c r="C11" s="6" t="n">
        <v>2576</v>
      </c>
      <c r="D11" s="6" t="n">
        <v>2522</v>
      </c>
      <c r="E11" s="6" t="n">
        <v>1102.443</v>
      </c>
      <c r="F11" s="6" t="n">
        <v>989.827</v>
      </c>
      <c r="G11" s="6" t="n">
        <v>301.406</v>
      </c>
    </row>
    <row r="12">
      <c r="A12" s="6" t="inlineStr">
        <is>
          <t>Tangible fixed assets</t>
        </is>
      </c>
      <c r="B12" s="6" t="n"/>
      <c r="C12" s="6" t="n">
        <v>261</v>
      </c>
      <c r="D12" s="6" t="n">
        <v>164</v>
      </c>
      <c r="E12" s="6" t="n">
        <v>160.952</v>
      </c>
      <c r="F12" s="6" t="n">
        <v>140.03</v>
      </c>
      <c r="G12" s="6" t="n">
        <v>28.978</v>
      </c>
    </row>
    <row r="13">
      <c r="A13" s="6" t="inlineStr">
        <is>
          <t>Intangible fixed assets</t>
        </is>
      </c>
      <c r="B13" s="6" t="n"/>
      <c r="C13" s="6" t="n">
        <v>12153</v>
      </c>
      <c r="D13" s="6" t="n">
        <v>11184</v>
      </c>
      <c r="E13" s="6" t="n">
        <v>10560.587</v>
      </c>
      <c r="F13" s="6" t="n">
        <v>9479.735000000001</v>
      </c>
      <c r="G13" s="6" t="n">
        <v>1301.285</v>
      </c>
    </row>
    <row r="14">
      <c r="A14" s="5" t="inlineStr">
        <is>
          <t>Total assets</t>
        </is>
      </c>
      <c r="B14" s="5" t="n"/>
      <c r="C14" s="5" t="n">
        <v>5142928</v>
      </c>
      <c r="D14" s="5" t="n">
        <v>1047790</v>
      </c>
      <c r="E14" s="5" t="n">
        <v>185059.901</v>
      </c>
      <c r="F14" s="5" t="n">
        <v>45557.014</v>
      </c>
      <c r="G14" s="5" t="n">
        <v>26744.658</v>
      </c>
    </row>
    <row r="15">
      <c r="A15" s="5" t="inlineStr">
        <is>
          <t>Liabilities</t>
        </is>
      </c>
      <c r="B15" s="6" t="n"/>
      <c r="C15" s="6" t="n"/>
      <c r="D15" s="6" t="n"/>
      <c r="E15" s="6" t="n"/>
      <c r="F15" s="6" t="n"/>
      <c r="G15" s="6" t="n"/>
    </row>
    <row r="16">
      <c r="A16" s="6" t="inlineStr">
        <is>
          <t>Customer deposits</t>
        </is>
      </c>
      <c r="B16" s="6" t="n"/>
      <c r="C16" s="6" t="n">
        <v>5069724</v>
      </c>
      <c r="D16" s="6" t="n">
        <v>990502</v>
      </c>
      <c r="E16" s="6" t="n">
        <v>147657.857</v>
      </c>
      <c r="F16" s="6" t="n">
        <v>2093.036</v>
      </c>
      <c r="G16" s="6" t="n"/>
    </row>
    <row r="17">
      <c r="A17" s="6" t="inlineStr">
        <is>
          <t>Derivative financial instruments</t>
        </is>
      </c>
      <c r="B17" s="6" t="n"/>
      <c r="C17" s="6" t="n">
        <v>573</v>
      </c>
      <c r="D17" s="6" t="n">
        <v>2178</v>
      </c>
      <c r="E17" s="6" t="n">
        <v>1072.413</v>
      </c>
      <c r="F17" s="6" t="n"/>
      <c r="G17" s="6" t="n"/>
    </row>
    <row r="18">
      <c r="A18" s="6" t="inlineStr">
        <is>
          <t>Other liabilities and accruals</t>
        </is>
      </c>
      <c r="B18" s="6" t="n"/>
      <c r="C18" s="6" t="n">
        <v>2882</v>
      </c>
      <c r="D18" s="6" t="n">
        <v>1417</v>
      </c>
      <c r="E18" s="6" t="n">
        <v>1673.075</v>
      </c>
      <c r="F18" s="6" t="n">
        <v>1340.705</v>
      </c>
      <c r="G18" s="6" t="n">
        <v>1547.569</v>
      </c>
    </row>
    <row r="19">
      <c r="A19" s="5" t="inlineStr">
        <is>
          <t>Total liabilities</t>
        </is>
      </c>
      <c r="B19" s="5" t="n"/>
      <c r="C19" s="5" t="n">
        <v>5073179</v>
      </c>
      <c r="D19" s="5" t="n">
        <v>994097</v>
      </c>
      <c r="E19" s="5" t="n">
        <v>150403.345</v>
      </c>
      <c r="F19" s="5" t="n">
        <v>3433.741</v>
      </c>
      <c r="G19" s="5" t="n">
        <v>1547.569</v>
      </c>
    </row>
    <row r="20">
      <c r="A20" s="5" t="inlineStr">
        <is>
          <t>Equity</t>
        </is>
      </c>
      <c r="B20" s="6" t="n"/>
      <c r="C20" s="6" t="n"/>
      <c r="D20" s="6" t="n"/>
      <c r="E20" s="6" t="n"/>
      <c r="F20" s="6" t="n"/>
      <c r="G20" s="6" t="n"/>
    </row>
    <row r="21">
      <c r="A21" s="6" t="inlineStr">
        <is>
          <t>Called up share capital</t>
        </is>
      </c>
      <c r="B21" s="6" t="n"/>
      <c r="C21" s="6" t="n">
        <v>39</v>
      </c>
      <c r="D21" s="6" t="n">
        <v>32</v>
      </c>
      <c r="E21" s="6" t="n">
        <v>27.256</v>
      </c>
      <c r="F21" s="6" t="n">
        <v>25.73</v>
      </c>
      <c r="G21" s="6" t="n">
        <v>16.354</v>
      </c>
    </row>
    <row r="22">
      <c r="A22" s="6" t="inlineStr">
        <is>
          <t>Share premium reserve</t>
        </is>
      </c>
      <c r="B22" s="6" t="n"/>
      <c r="C22" s="6" t="n">
        <v>129928</v>
      </c>
      <c r="D22" s="6" t="n">
        <v>87459</v>
      </c>
      <c r="E22" s="6" t="n">
        <v>61434.408</v>
      </c>
      <c r="F22" s="6" t="n">
        <v>58982.976</v>
      </c>
      <c r="G22" s="6" t="n">
        <v>18397.07</v>
      </c>
    </row>
    <row r="23">
      <c r="A23" s="6" t="inlineStr">
        <is>
          <t>Shares to be issued</t>
        </is>
      </c>
      <c r="B23" s="6" t="n"/>
      <c r="C23" s="6" t="n">
        <v>48</v>
      </c>
      <c r="D23" s="6" t="n">
        <v>13980</v>
      </c>
      <c r="E23" s="6" t="n">
        <v>2796</v>
      </c>
      <c r="F23" s="6" t="n">
        <v>724.816</v>
      </c>
      <c r="G23" s="6" t="n">
        <v>15034.157</v>
      </c>
    </row>
    <row r="24">
      <c r="A24" s="6" t="inlineStr">
        <is>
          <t>Available-for-sale reserve</t>
        </is>
      </c>
      <c r="B24" s="6" t="n"/>
      <c r="C24" s="6" t="n">
        <v>-216</v>
      </c>
      <c r="D24" s="6" t="n">
        <v>575</v>
      </c>
      <c r="E24" s="6" t="n">
        <v>0</v>
      </c>
      <c r="F24" s="6" t="n"/>
      <c r="G24" s="6" t="n"/>
    </row>
    <row r="25">
      <c r="A25" s="6" t="inlineStr">
        <is>
          <t>Accumulated losses</t>
        </is>
      </c>
      <c r="B25" s="6" t="n"/>
      <c r="C25" s="6" t="n">
        <v>-60050</v>
      </c>
      <c r="D25" s="6" t="n">
        <v>-48353</v>
      </c>
      <c r="E25" s="6" t="n">
        <v>-29601.108</v>
      </c>
      <c r="F25" s="6" t="n">
        <v>-17610.249</v>
      </c>
      <c r="G25" s="6" t="n">
        <v>-8250.492</v>
      </c>
    </row>
    <row r="26">
      <c r="A26" s="5" t="inlineStr">
        <is>
          <t>Total equity</t>
        </is>
      </c>
      <c r="B26" s="5" t="n"/>
      <c r="C26" s="5" t="n">
        <v>69749</v>
      </c>
      <c r="D26" s="5" t="n">
        <v>53693</v>
      </c>
      <c r="E26" s="5" t="n">
        <v>34656.556</v>
      </c>
      <c r="F26" s="5" t="n">
        <v>42123.273</v>
      </c>
      <c r="G26" s="5" t="n">
        <v>25197.089</v>
      </c>
    </row>
    <row r="27">
      <c r="A27" s="5" t="inlineStr">
        <is>
          <t>Total liabilities and equity</t>
        </is>
      </c>
      <c r="B27" s="5" t="n"/>
      <c r="C27" s="5" t="n">
        <v>5142928</v>
      </c>
      <c r="D27" s="5" t="n">
        <v>1047790</v>
      </c>
      <c r="E27" s="5" t="n">
        <v>185059.901</v>
      </c>
      <c r="F27" s="5" t="n">
        <v>45557.014</v>
      </c>
      <c r="G27" s="5" t="n">
        <v>26744.658</v>
      </c>
    </row>
    <row r="29" ht="340" customHeight="1">
      <c r="A29"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29:G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Profit &amp; Loss</t>
        </is>
      </c>
    </row>
    <row r="2">
      <c r="A2" s="2" t="inlineStr">
        <is>
          <t>Company/standalone basis, £'000. FY2023 Company Net fee income/Total net income figures are identical to Group (no fee income that year); FY2021 predates derivative and fee income lines; FY2020 is pre-revenue (mobilisation phase, no interest payable/fee/impairment lines existed yet).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receivable and similar income</t>
        </is>
      </c>
      <c r="B5" s="6" t="n"/>
      <c r="C5" s="6" t="n">
        <v>148993</v>
      </c>
      <c r="D5" s="6" t="n">
        <v>20705</v>
      </c>
      <c r="E5" s="6" t="n">
        <v>2128.074</v>
      </c>
      <c r="F5" s="6" t="n">
        <v>0.73</v>
      </c>
      <c r="G5" s="6" t="n">
        <v>8.26</v>
      </c>
    </row>
    <row r="6">
      <c r="A6" s="6" t="inlineStr">
        <is>
          <t>Interest payable and similar charges</t>
        </is>
      </c>
      <c r="B6" s="6" t="n"/>
      <c r="C6" s="6" t="n">
        <v>-136868</v>
      </c>
      <c r="D6" s="6" t="n">
        <v>-17400</v>
      </c>
      <c r="E6" s="6" t="n">
        <v>-1784.745</v>
      </c>
      <c r="F6" s="6" t="n">
        <v>-1.102</v>
      </c>
      <c r="G6" s="6" t="n"/>
    </row>
    <row r="7">
      <c r="A7" s="5" t="inlineStr">
        <is>
          <t>Net interest income/(expense)</t>
        </is>
      </c>
      <c r="B7" s="5" t="n"/>
      <c r="C7" s="5" t="n">
        <v>12125</v>
      </c>
      <c r="D7" s="5" t="n">
        <v>3305</v>
      </c>
      <c r="E7" s="5" t="n">
        <v>343.329</v>
      </c>
      <c r="F7" s="5" t="n">
        <v>-0.372</v>
      </c>
      <c r="G7" s="5" t="n">
        <v>8.26</v>
      </c>
    </row>
    <row r="8">
      <c r="A8" s="6" t="inlineStr">
        <is>
          <t>Net fee income</t>
        </is>
      </c>
      <c r="B8" s="6" t="n"/>
      <c r="C8" s="6" t="n">
        <v>14</v>
      </c>
      <c r="D8" s="6" t="n"/>
      <c r="E8" s="6" t="n"/>
      <c r="F8" s="6" t="n"/>
      <c r="G8" s="6" t="n"/>
    </row>
    <row r="9">
      <c r="A9" s="6" t="inlineStr">
        <is>
          <t>Net gains/(losses) from derivative financial instruments</t>
        </is>
      </c>
      <c r="B9" s="6" t="n"/>
      <c r="C9" s="6" t="n">
        <v>1726</v>
      </c>
      <c r="D9" s="6" t="n">
        <v>-2331</v>
      </c>
      <c r="E9" s="6" t="n">
        <v>3464.937</v>
      </c>
      <c r="F9" s="6" t="n"/>
      <c r="G9" s="6" t="n"/>
    </row>
    <row r="10">
      <c r="A10" s="6" t="inlineStr">
        <is>
          <t>Other operating expense</t>
        </is>
      </c>
      <c r="B10" s="6" t="n"/>
      <c r="C10" s="6" t="n">
        <v>-185</v>
      </c>
      <c r="D10" s="6" t="n">
        <v>-49</v>
      </c>
      <c r="E10" s="6" t="n"/>
      <c r="F10" s="6" t="n"/>
      <c r="G10" s="6" t="n"/>
    </row>
    <row r="11">
      <c r="A11" s="5" t="inlineStr">
        <is>
          <t>Total net income/(expense)</t>
        </is>
      </c>
      <c r="B11" s="5" t="n"/>
      <c r="C11" s="5" t="n">
        <v>13680</v>
      </c>
      <c r="D11" s="5" t="n">
        <v>925</v>
      </c>
      <c r="E11" s="5" t="n">
        <v>3808.266</v>
      </c>
      <c r="F11" s="5" t="n">
        <v>-0.372</v>
      </c>
      <c r="G11" s="5" t="n">
        <v>8.26</v>
      </c>
    </row>
    <row r="12">
      <c r="A12" s="6" t="inlineStr">
        <is>
          <t>Administrative expenses</t>
        </is>
      </c>
      <c r="B12" s="6" t="n"/>
      <c r="C12" s="6" t="n">
        <v>-26926</v>
      </c>
      <c r="D12" s="6" t="n">
        <v>-20895</v>
      </c>
      <c r="E12" s="6" t="n">
        <v>-18474.978</v>
      </c>
      <c r="F12" s="6" t="n">
        <v>-9970.281999999999</v>
      </c>
      <c r="G12" s="6" t="n">
        <v>-5743.261</v>
      </c>
    </row>
    <row r="13">
      <c r="A13" s="6" t="inlineStr">
        <is>
          <t>Impairment charge on loans and advances to customers</t>
        </is>
      </c>
      <c r="B13" s="6" t="n"/>
      <c r="C13" s="6" t="n">
        <v>-79</v>
      </c>
      <c r="D13" s="6" t="n">
        <v>-83</v>
      </c>
      <c r="E13" s="6" t="n">
        <v>-101.98</v>
      </c>
      <c r="F13" s="6" t="n">
        <v>-2.664</v>
      </c>
      <c r="G13" s="6" t="n"/>
    </row>
    <row r="14">
      <c r="A14" s="5" t="inlineStr">
        <is>
          <t>Operating loss before taxation</t>
        </is>
      </c>
      <c r="B14" s="5" t="n"/>
      <c r="C14" s="5" t="n">
        <v>-13325</v>
      </c>
      <c r="D14" s="5" t="n">
        <v>-20053</v>
      </c>
      <c r="E14" s="5" t="n">
        <v>-14768.692</v>
      </c>
      <c r="F14" s="5" t="n">
        <v>-9973.317999999999</v>
      </c>
      <c r="G14" s="5" t="n">
        <v>-5735.001</v>
      </c>
    </row>
    <row r="15">
      <c r="A15" s="6" t="inlineStr">
        <is>
          <t>Taxation credit/(expense)</t>
        </is>
      </c>
      <c r="B15" s="6" t="n"/>
      <c r="C15" s="6" t="n">
        <v>239</v>
      </c>
      <c r="D15" s="6" t="n">
        <v>693</v>
      </c>
      <c r="E15" s="6" t="n">
        <v>2059.137</v>
      </c>
      <c r="F15" s="6" t="n">
        <v>0</v>
      </c>
      <c r="G15" s="6" t="n">
        <v>0</v>
      </c>
    </row>
    <row r="16">
      <c r="A16" s="5" t="inlineStr">
        <is>
          <t>Loss for the financial year</t>
        </is>
      </c>
      <c r="B16" s="5" t="n"/>
      <c r="C16" s="5" t="n">
        <v>-13086</v>
      </c>
      <c r="D16" s="5" t="n">
        <v>-19360</v>
      </c>
      <c r="E16" s="5" t="n">
        <v>-12709.555</v>
      </c>
      <c r="F16" s="5" t="n">
        <v>-9973.317999999999</v>
      </c>
      <c r="G16" s="5" t="n">
        <v>-5735.001</v>
      </c>
    </row>
    <row r="17">
      <c r="A17" s="5" t="inlineStr">
        <is>
          <t>Other comprehensive income</t>
        </is>
      </c>
      <c r="B17" s="6" t="n"/>
      <c r="C17" s="6" t="n"/>
      <c r="D17" s="6" t="n"/>
      <c r="E17" s="6" t="n"/>
      <c r="F17" s="6" t="n"/>
      <c r="G17" s="6" t="n"/>
    </row>
    <row r="18">
      <c r="A18" s="6" t="inlineStr">
        <is>
          <t>Fair value movements taken to reserves</t>
        </is>
      </c>
      <c r="B18" s="6" t="n"/>
      <c r="C18" s="6" t="n">
        <v>-813</v>
      </c>
      <c r="D18" s="6" t="n">
        <v>553</v>
      </c>
      <c r="E18" s="6" t="n"/>
      <c r="F18" s="6" t="n"/>
      <c r="G18" s="6" t="n"/>
    </row>
    <row r="19">
      <c r="A19" s="6" t="inlineStr">
        <is>
          <t>Amount transferred to income statement</t>
        </is>
      </c>
      <c r="B19" s="6" t="n"/>
      <c r="C19" s="6" t="n">
        <v>21</v>
      </c>
      <c r="D19" s="6" t="n">
        <v>23</v>
      </c>
      <c r="E19" s="6" t="n"/>
      <c r="F19" s="6" t="n"/>
      <c r="G19" s="6" t="n"/>
    </row>
    <row r="20">
      <c r="A20" s="5" t="inlineStr">
        <is>
          <t>Other comprehensive income for the year</t>
        </is>
      </c>
      <c r="B20" s="5" t="n"/>
      <c r="C20" s="5" t="n">
        <v>-792</v>
      </c>
      <c r="D20" s="5" t="n">
        <v>576</v>
      </c>
      <c r="E20" s="5" t="n">
        <v>0</v>
      </c>
      <c r="F20" s="5" t="n">
        <v>0</v>
      </c>
      <c r="G20" s="5" t="n">
        <v>0</v>
      </c>
    </row>
    <row r="21">
      <c r="A21" s="5" t="inlineStr">
        <is>
          <t>Total comprehensive loss for the year</t>
        </is>
      </c>
      <c r="B21" s="5" t="n"/>
      <c r="C21" s="5" t="n">
        <v>-13878</v>
      </c>
      <c r="D21" s="5" t="n">
        <v>-18784</v>
      </c>
      <c r="E21" s="5" t="n">
        <v>-12709.555</v>
      </c>
      <c r="F21" s="5" t="n">
        <v>-9973.317999999999</v>
      </c>
      <c r="G21" s="5" t="n">
        <v>-5735.001</v>
      </c>
    </row>
    <row r="23" ht="340" customHeight="1">
      <c r="A23"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Statement of Changes in Equity</t>
        </is>
      </c>
    </row>
    <row r="2">
      <c r="A2" s="2" t="inlineStr">
        <is>
          <t>Chronological roll-forward, oldest to newest, Company/standalone basis, £'000. Equity reconciliation ladder confirmed exactly across all 5 years - each year's own closing balance ties to both the next year's own opening balance and that year's own Balance Sheet Total equity, with zero plug rows.</t>
        </is>
      </c>
    </row>
    <row r="3">
      <c r="A3" s="4" t="inlineStr">
        <is>
          <t>Movement</t>
        </is>
      </c>
      <c r="B3" s="4" t="inlineStr">
        <is>
          <t>Called up share capital</t>
        </is>
      </c>
      <c r="C3" s="4" t="inlineStr">
        <is>
          <t>Share premium</t>
        </is>
      </c>
      <c r="D3" s="4" t="inlineStr">
        <is>
          <t>Shares to be issued</t>
        </is>
      </c>
      <c r="E3" s="4" t="inlineStr">
        <is>
          <t>Available-for-sale reserve</t>
        </is>
      </c>
      <c r="F3" s="4" t="inlineStr">
        <is>
          <t>Accumulated losses</t>
        </is>
      </c>
      <c r="G3" s="4" t="inlineStr">
        <is>
          <t>Total equity</t>
        </is>
      </c>
    </row>
    <row r="4">
      <c r="A4" s="5" t="inlineStr">
        <is>
          <t>At 1 January 2020 (FY2020 opening)</t>
        </is>
      </c>
      <c r="B4" s="5" t="n">
        <v>13.099</v>
      </c>
      <c r="C4" s="5" t="n">
        <v>6928.158</v>
      </c>
      <c r="D4" s="5" t="n">
        <v>1499.595</v>
      </c>
      <c r="E4" s="5" t="n">
        <v>0</v>
      </c>
      <c r="F4" s="5" t="n">
        <v>-2862.666</v>
      </c>
      <c r="G4" s="5" t="n">
        <v>5578.186</v>
      </c>
    </row>
    <row r="5">
      <c r="A5" s="6" t="inlineStr">
        <is>
          <t>Loss for the year</t>
        </is>
      </c>
      <c r="B5" s="6" t="n"/>
      <c r="C5" s="6" t="n"/>
      <c r="D5" s="6" t="n"/>
      <c r="E5" s="6" t="n"/>
      <c r="F5" s="6" t="n">
        <v>-5735.001</v>
      </c>
      <c r="G5" s="6" t="n">
        <v>-5735.001</v>
      </c>
    </row>
    <row r="6">
      <c r="A6" s="6" t="inlineStr">
        <is>
          <t>Employee share scheme charge</t>
        </is>
      </c>
      <c r="B6" s="6" t="n"/>
      <c r="C6" s="6" t="n"/>
      <c r="D6" s="6" t="n"/>
      <c r="E6" s="6" t="n"/>
      <c r="F6" s="6" t="n">
        <v>347.175</v>
      </c>
      <c r="G6" s="6" t="n">
        <v>347.175</v>
      </c>
    </row>
    <row r="7">
      <c r="A7" s="6" t="inlineStr">
        <is>
          <t>Issue of share capital</t>
        </is>
      </c>
      <c r="B7" s="6" t="n">
        <v>3.255</v>
      </c>
      <c r="C7" s="6" t="n">
        <v>11468.912</v>
      </c>
      <c r="D7" s="6" t="n">
        <v>-1499.595</v>
      </c>
      <c r="E7" s="6" t="n"/>
      <c r="F7" s="6" t="n"/>
      <c r="G7" s="6" t="n">
        <v>9972.572</v>
      </c>
    </row>
    <row r="8">
      <c r="A8" s="6" t="inlineStr">
        <is>
          <t>Shares to be issued</t>
        </is>
      </c>
      <c r="B8" s="6" t="n"/>
      <c r="C8" s="6" t="n"/>
      <c r="D8" s="6" t="n">
        <v>15034.157</v>
      </c>
      <c r="E8" s="6" t="n"/>
      <c r="F8" s="6" t="n"/>
      <c r="G8" s="6" t="n">
        <v>15034.157</v>
      </c>
    </row>
    <row r="9">
      <c r="A9" s="5" t="inlineStr">
        <is>
          <t>At 31 December 2020 (FY2020 closing / FY2021 opening)</t>
        </is>
      </c>
      <c r="B9" s="5" t="n">
        <v>16.354</v>
      </c>
      <c r="C9" s="5" t="n">
        <v>18397.07</v>
      </c>
      <c r="D9" s="5" t="n">
        <v>15034.157</v>
      </c>
      <c r="E9" s="5" t="n">
        <v>0</v>
      </c>
      <c r="F9" s="5" t="n">
        <v>-8250.492</v>
      </c>
      <c r="G9" s="5" t="n">
        <v>25197.089</v>
      </c>
    </row>
    <row r="10">
      <c r="A10" s="6" t="inlineStr">
        <is>
          <t>Loss for the year</t>
        </is>
      </c>
      <c r="B10" s="6" t="n"/>
      <c r="C10" s="6" t="n"/>
      <c r="D10" s="6" t="n"/>
      <c r="E10" s="6" t="n"/>
      <c r="F10" s="6" t="n">
        <v>-9973.317999999999</v>
      </c>
      <c r="G10" s="6" t="n">
        <v>-9973.317999999999</v>
      </c>
    </row>
    <row r="11">
      <c r="A11" s="6" t="inlineStr">
        <is>
          <t>Employee share scheme charge</t>
        </is>
      </c>
      <c r="B11" s="6" t="n"/>
      <c r="C11" s="6" t="n"/>
      <c r="D11" s="6" t="n"/>
      <c r="E11" s="6" t="n"/>
      <c r="F11" s="6" t="n">
        <v>613.561</v>
      </c>
      <c r="G11" s="6" t="n">
        <v>613.561</v>
      </c>
    </row>
    <row r="12">
      <c r="A12" s="6" t="inlineStr">
        <is>
          <t>Issue of share capital</t>
        </is>
      </c>
      <c r="B12" s="6" t="n">
        <v>9.375999999999999</v>
      </c>
      <c r="C12" s="6" t="n">
        <v>40585.906</v>
      </c>
      <c r="D12" s="6" t="n">
        <v>-15034.157</v>
      </c>
      <c r="E12" s="6" t="n"/>
      <c r="F12" s="6" t="n"/>
      <c r="G12" s="6" t="n">
        <v>25561.125</v>
      </c>
    </row>
    <row r="13">
      <c r="A13" s="6" t="inlineStr">
        <is>
          <t>Shares to be issued</t>
        </is>
      </c>
      <c r="B13" s="6" t="n"/>
      <c r="C13" s="6" t="n"/>
      <c r="D13" s="6" t="n">
        <v>724.816</v>
      </c>
      <c r="E13" s="6" t="n"/>
      <c r="F13" s="6" t="n"/>
      <c r="G13" s="6" t="n">
        <v>724.816</v>
      </c>
    </row>
    <row r="14">
      <c r="A14" s="5" t="inlineStr">
        <is>
          <t>At 31 December 2021 (FY2021 closing)</t>
        </is>
      </c>
      <c r="B14" s="5" t="n">
        <v>25.73</v>
      </c>
      <c r="C14" s="5" t="n">
        <v>58982.976</v>
      </c>
      <c r="D14" s="5" t="n">
        <v>724.816</v>
      </c>
      <c r="E14" s="5" t="n">
        <v>0</v>
      </c>
      <c r="F14" s="5" t="n">
        <v>-17610.249</v>
      </c>
      <c r="G14" s="5" t="n">
        <v>42123.273</v>
      </c>
    </row>
    <row r="15">
      <c r="A15" s="6" t="inlineStr">
        <is>
          <t>Loss for the year</t>
        </is>
      </c>
      <c r="B15" s="6" t="n"/>
      <c r="C15" s="6" t="n"/>
      <c r="D15" s="6" t="n"/>
      <c r="E15" s="6" t="n"/>
      <c r="F15" s="6" t="n">
        <v>-12709.555</v>
      </c>
      <c r="G15" s="6" t="n">
        <v>-12709.555</v>
      </c>
    </row>
    <row r="16">
      <c r="A16" s="6" t="inlineStr">
        <is>
          <t>Employee share scheme charge</t>
        </is>
      </c>
      <c r="B16" s="6" t="n"/>
      <c r="C16" s="6" t="n"/>
      <c r="D16" s="6" t="n"/>
      <c r="E16" s="6" t="n"/>
      <c r="F16" s="6" t="n">
        <v>718.696</v>
      </c>
      <c r="G16" s="6" t="n">
        <v>718.696</v>
      </c>
    </row>
    <row r="17">
      <c r="A17" s="6" t="inlineStr">
        <is>
          <t>Issue of share capital</t>
        </is>
      </c>
      <c r="B17" s="6" t="n">
        <v>1.526</v>
      </c>
      <c r="C17" s="6" t="n">
        <v>2451.432</v>
      </c>
      <c r="D17" s="6" t="n">
        <v>-724.816</v>
      </c>
      <c r="E17" s="6" t="n"/>
      <c r="F17" s="6" t="n"/>
      <c r="G17" s="6" t="n">
        <v>1728.142</v>
      </c>
    </row>
    <row r="18">
      <c r="A18" s="6" t="inlineStr">
        <is>
          <t>Shares to be issued</t>
        </is>
      </c>
      <c r="B18" s="6" t="n"/>
      <c r="C18" s="6" t="n"/>
      <c r="D18" s="6" t="n">
        <v>2796</v>
      </c>
      <c r="E18" s="6" t="n"/>
      <c r="F18" s="6" t="n"/>
      <c r="G18" s="6" t="n">
        <v>2796</v>
      </c>
    </row>
    <row r="19">
      <c r="A19" s="5" t="inlineStr">
        <is>
          <t>At 31 December 2022 (FY2022 closing)</t>
        </is>
      </c>
      <c r="B19" s="5" t="n">
        <v>27.256</v>
      </c>
      <c r="C19" s="5" t="n">
        <v>61434.408</v>
      </c>
      <c r="D19" s="5" t="n">
        <v>2796</v>
      </c>
      <c r="E19" s="5" t="n">
        <v>0</v>
      </c>
      <c r="F19" s="5" t="n">
        <v>-29601.108</v>
      </c>
      <c r="G19" s="5" t="n">
        <v>34656.556</v>
      </c>
    </row>
    <row r="20">
      <c r="A20" s="6" t="inlineStr">
        <is>
          <t>Loss for the year</t>
        </is>
      </c>
      <c r="B20" s="6" t="n"/>
      <c r="C20" s="6" t="n"/>
      <c r="D20" s="6" t="n"/>
      <c r="E20" s="6" t="n"/>
      <c r="F20" s="6" t="n">
        <v>-19359.604</v>
      </c>
      <c r="G20" s="6" t="n">
        <v>-19359.604</v>
      </c>
    </row>
    <row r="21">
      <c r="A21" s="6" t="inlineStr">
        <is>
          <t>Movement in available-for-sale reserve</t>
        </is>
      </c>
      <c r="B21" s="6" t="n"/>
      <c r="C21" s="6" t="n"/>
      <c r="D21" s="6" t="n"/>
      <c r="E21" s="6" t="n">
        <v>575.232</v>
      </c>
      <c r="F21" s="6" t="n"/>
      <c r="G21" s="6" t="n">
        <v>575.232</v>
      </c>
    </row>
    <row r="22">
      <c r="A22" s="6" t="inlineStr">
        <is>
          <t>Employee share scheme charge</t>
        </is>
      </c>
      <c r="B22" s="6" t="n"/>
      <c r="C22" s="6" t="n"/>
      <c r="D22" s="6" t="n"/>
      <c r="E22" s="6" t="n"/>
      <c r="F22" s="6" t="n">
        <v>608.05</v>
      </c>
      <c r="G22" s="6" t="n">
        <v>608.05</v>
      </c>
    </row>
    <row r="23">
      <c r="A23" s="6" t="inlineStr">
        <is>
          <t>Issue of share capital</t>
        </is>
      </c>
      <c r="B23" s="6" t="n">
        <v>4.809</v>
      </c>
      <c r="C23" s="6" t="n">
        <v>26024.34</v>
      </c>
      <c r="D23" s="6" t="n">
        <v>-2796</v>
      </c>
      <c r="E23" s="6" t="n"/>
      <c r="F23" s="6" t="n"/>
      <c r="G23" s="6" t="n">
        <v>23233.149</v>
      </c>
    </row>
    <row r="24">
      <c r="A24" s="6" t="inlineStr">
        <is>
          <t>Shares to be issued</t>
        </is>
      </c>
      <c r="B24" s="6" t="n"/>
      <c r="C24" s="6" t="n"/>
      <c r="D24" s="6" t="n">
        <v>13980.144</v>
      </c>
      <c r="E24" s="6" t="n"/>
      <c r="F24" s="6" t="n"/>
      <c r="G24" s="6" t="n">
        <v>13980.144</v>
      </c>
    </row>
    <row r="25">
      <c r="A25" s="5" t="inlineStr">
        <is>
          <t>At 31 December 2023 (FY2023 closing)</t>
        </is>
      </c>
      <c r="B25" s="5" t="n">
        <v>32.065</v>
      </c>
      <c r="C25" s="5" t="n">
        <v>87458.74800000001</v>
      </c>
      <c r="D25" s="5" t="n">
        <v>13980.144</v>
      </c>
      <c r="E25" s="5" t="n">
        <v>575.232</v>
      </c>
      <c r="F25" s="5" t="n">
        <v>-48352.662</v>
      </c>
      <c r="G25" s="5" t="n">
        <v>53693.527</v>
      </c>
    </row>
    <row r="26">
      <c r="A26" s="6" t="inlineStr">
        <is>
          <t>Loss for the year</t>
        </is>
      </c>
      <c r="B26" s="6" t="n"/>
      <c r="C26" s="6" t="n"/>
      <c r="D26" s="6" t="n"/>
      <c r="E26" s="6" t="n"/>
      <c r="F26" s="6" t="n">
        <v>-13086</v>
      </c>
      <c r="G26" s="6" t="n">
        <v>-13086</v>
      </c>
    </row>
    <row r="27">
      <c r="A27" s="6" t="inlineStr">
        <is>
          <t>Movement in available-for-sale reserve</t>
        </is>
      </c>
      <c r="B27" s="6" t="n"/>
      <c r="C27" s="6" t="n"/>
      <c r="D27" s="6" t="n"/>
      <c r="E27" s="6" t="n">
        <v>-791</v>
      </c>
      <c r="F27" s="6" t="n"/>
      <c r="G27" s="6" t="n">
        <v>-791</v>
      </c>
    </row>
    <row r="28">
      <c r="A28" s="6" t="inlineStr">
        <is>
          <t>Employee share scheme charge</t>
        </is>
      </c>
      <c r="B28" s="6" t="n"/>
      <c r="C28" s="6" t="n"/>
      <c r="D28" s="6" t="n"/>
      <c r="E28" s="6" t="n"/>
      <c r="F28" s="6" t="n">
        <v>1389</v>
      </c>
      <c r="G28" s="6" t="n">
        <v>1389</v>
      </c>
    </row>
    <row r="29">
      <c r="A29" s="6" t="inlineStr">
        <is>
          <t>Issue of share capital</t>
        </is>
      </c>
      <c r="B29" s="6" t="n">
        <v>7</v>
      </c>
      <c r="C29" s="6" t="n">
        <v>42469</v>
      </c>
      <c r="D29" s="6" t="n">
        <v>-13980</v>
      </c>
      <c r="E29" s="6" t="n"/>
      <c r="F29" s="6" t="n"/>
      <c r="G29" s="6" t="n">
        <v>28496</v>
      </c>
    </row>
    <row r="30">
      <c r="A30" s="6" t="inlineStr">
        <is>
          <t>Shares to be issued</t>
        </is>
      </c>
      <c r="B30" s="6" t="n"/>
      <c r="C30" s="6" t="n"/>
      <c r="D30" s="6" t="n">
        <v>48</v>
      </c>
      <c r="E30" s="6" t="n"/>
      <c r="F30" s="6" t="n"/>
      <c r="G30" s="6" t="n">
        <v>48</v>
      </c>
    </row>
    <row r="31">
      <c r="A31" s="5" t="inlineStr">
        <is>
          <t>At 31 December 2024 (FY2024 closing)</t>
        </is>
      </c>
      <c r="B31" s="5" t="n">
        <v>39</v>
      </c>
      <c r="C31" s="5" t="n">
        <v>129928</v>
      </c>
      <c r="D31" s="5" t="n">
        <v>48</v>
      </c>
      <c r="E31" s="5" t="n">
        <v>-216</v>
      </c>
      <c r="F31" s="5" t="n">
        <v>-60050</v>
      </c>
      <c r="G31" s="5" t="n">
        <v>69749</v>
      </c>
    </row>
    <row r="33" ht="150" customHeight="1">
      <c r="A33"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33:G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Company Cash Flow Statement</t>
        </is>
      </c>
    </row>
    <row r="2">
      <c r="A2" s="2" t="inlineStr">
        <is>
          <t>Company/standalone basis, £'000; 31 December year-end. FY2025 not yet filed. FY2020 is the Bank's first full annual report, filed post-Banking Licence (6 Oct 2020) in its pre-revenue mobilisation phase - 'Finance income' and 'Interest received' are that year's own reconciling items (interest accrued vs. received), not used in later years'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Loss for the financial year</t>
        </is>
      </c>
      <c r="B5" s="6" t="n"/>
      <c r="C5" s="6" t="n">
        <v>-13086</v>
      </c>
      <c r="D5" s="6" t="n">
        <v>-19360</v>
      </c>
      <c r="E5" s="6" t="n">
        <v>-12709.555</v>
      </c>
      <c r="F5" s="6" t="n">
        <v>-9973.317999999999</v>
      </c>
      <c r="G5" s="6" t="n">
        <v>-5735.001</v>
      </c>
    </row>
    <row r="6">
      <c r="A6" s="6" t="inlineStr">
        <is>
          <t>Amortisation charges</t>
        </is>
      </c>
      <c r="B6" s="6" t="n"/>
      <c r="C6" s="6" t="n">
        <v>3538</v>
      </c>
      <c r="D6" s="6" t="n">
        <v>2793.918</v>
      </c>
      <c r="E6" s="6" t="n">
        <v>2175.212</v>
      </c>
      <c r="F6" s="6" t="n">
        <v>128.659</v>
      </c>
      <c r="G6" s="6" t="n"/>
    </row>
    <row r="7">
      <c r="A7" s="6" t="inlineStr">
        <is>
          <t>Depreciation charges</t>
        </is>
      </c>
      <c r="B7" s="6" t="n"/>
      <c r="C7" s="6" t="n">
        <v>95</v>
      </c>
      <c r="D7" s="6" t="n">
        <v>69.739</v>
      </c>
      <c r="E7" s="6" t="n">
        <v>57.66</v>
      </c>
      <c r="F7" s="6" t="n">
        <v>28.517</v>
      </c>
      <c r="G7" s="6" t="n">
        <v>11.655</v>
      </c>
    </row>
    <row r="8">
      <c r="A8" s="6" t="inlineStr">
        <is>
          <t>Finance income</t>
        </is>
      </c>
      <c r="B8" s="6" t="n"/>
      <c r="C8" s="6" t="n"/>
      <c r="D8" s="6" t="n"/>
      <c r="E8" s="6" t="n"/>
      <c r="F8" s="6" t="n"/>
      <c r="G8" s="6" t="n">
        <v>-8.419</v>
      </c>
    </row>
    <row r="9">
      <c r="A9" s="6" t="inlineStr">
        <is>
          <t>Impairment charge on loans and advances to customers</t>
        </is>
      </c>
      <c r="B9" s="6" t="n"/>
      <c r="C9" s="6" t="n">
        <v>79</v>
      </c>
      <c r="D9" s="6" t="n">
        <v>82.581</v>
      </c>
      <c r="E9" s="6" t="n">
        <v>101.98</v>
      </c>
      <c r="F9" s="6" t="n">
        <v>2.664</v>
      </c>
      <c r="G9" s="6" t="n"/>
    </row>
    <row r="10">
      <c r="A10" s="6" t="inlineStr">
        <is>
          <t>Employee share scheme charge</t>
        </is>
      </c>
      <c r="B10" s="6" t="n"/>
      <c r="C10" s="6" t="n">
        <v>1389</v>
      </c>
      <c r="D10" s="6" t="n">
        <v>608.05</v>
      </c>
      <c r="E10" s="6" t="n">
        <v>718.696</v>
      </c>
      <c r="F10" s="6" t="n">
        <v>613.561</v>
      </c>
      <c r="G10" s="6" t="n">
        <v>347.175</v>
      </c>
    </row>
    <row r="11">
      <c r="A11" s="6" t="inlineStr">
        <is>
          <t>Increase in loans and advances to customers</t>
        </is>
      </c>
      <c r="B11" s="6" t="n"/>
      <c r="C11" s="6" t="n">
        <v>-34229</v>
      </c>
      <c r="D11" s="6" t="n">
        <v>-46400.642</v>
      </c>
      <c r="E11" s="6" t="n">
        <v>-92714.00999999999</v>
      </c>
      <c r="F11" s="6" t="n">
        <v>-761.749</v>
      </c>
      <c r="G11" s="6" t="n"/>
    </row>
    <row r="12">
      <c r="A12" s="6" t="inlineStr">
        <is>
          <t>Increase in customer deposits</t>
        </is>
      </c>
      <c r="B12" s="6" t="n"/>
      <c r="C12" s="6" t="n">
        <v>4079222</v>
      </c>
      <c r="D12" s="6" t="n">
        <v>842843.947</v>
      </c>
      <c r="E12" s="6" t="n">
        <v>145564.821</v>
      </c>
      <c r="F12" s="6" t="n">
        <v>2093.036</v>
      </c>
      <c r="G12" s="6" t="n"/>
    </row>
    <row r="13">
      <c r="A13" s="6" t="inlineStr">
        <is>
          <t>Increase in other assets</t>
        </is>
      </c>
      <c r="B13" s="6" t="n"/>
      <c r="C13" s="6" t="n">
        <v>-54</v>
      </c>
      <c r="D13" s="6" t="n">
        <v>-1418.529</v>
      </c>
      <c r="E13" s="6" t="n">
        <v>-112.616</v>
      </c>
      <c r="F13" s="6" t="n">
        <v>-688.421</v>
      </c>
      <c r="G13" s="6" t="n">
        <v>-182.842</v>
      </c>
    </row>
    <row r="14">
      <c r="A14" s="6" t="inlineStr">
        <is>
          <t>Increase/(decrease) in other liabilities</t>
        </is>
      </c>
      <c r="B14" s="6" t="n"/>
      <c r="C14" s="6" t="n">
        <v>1465</v>
      </c>
      <c r="D14" s="6" t="n">
        <v>-256.431</v>
      </c>
      <c r="E14" s="6" t="n">
        <v>332.37</v>
      </c>
      <c r="F14" s="6" t="n">
        <v>-206.864</v>
      </c>
      <c r="G14" s="6" t="n">
        <v>1488.636</v>
      </c>
    </row>
    <row r="15">
      <c r="A15" s="6" t="inlineStr">
        <is>
          <t>Decrease/(increase) in derivative financial instruments</t>
        </is>
      </c>
      <c r="B15" s="6" t="n"/>
      <c r="C15" s="6" t="n">
        <v>-642</v>
      </c>
      <c r="D15" s="6" t="n">
        <v>2331.057</v>
      </c>
      <c r="E15" s="6" t="n">
        <v>-2576.137</v>
      </c>
      <c r="F15" s="6" t="n"/>
      <c r="G15" s="6" t="n"/>
    </row>
    <row r="16">
      <c r="A16" s="6" t="inlineStr">
        <is>
          <t>Decrease/(increase) in treasury bills</t>
        </is>
      </c>
      <c r="B16" s="6" t="n"/>
      <c r="C16" s="6" t="n">
        <v>130102</v>
      </c>
      <c r="D16" s="6" t="n">
        <v>-130101.59</v>
      </c>
      <c r="E16" s="6" t="n"/>
      <c r="F16" s="6" t="n"/>
      <c r="G16" s="6" t="n"/>
    </row>
    <row r="17">
      <c r="A17" s="6" t="inlineStr">
        <is>
          <t>Increase in debt securities</t>
        </is>
      </c>
      <c r="B17" s="6" t="n"/>
      <c r="C17" s="6" t="n">
        <v>-843959</v>
      </c>
      <c r="D17" s="6" t="n">
        <v>-373373.722</v>
      </c>
      <c r="E17" s="6" t="n"/>
      <c r="F17" s="6" t="n"/>
      <c r="G17" s="6" t="n"/>
    </row>
    <row r="18">
      <c r="A18" s="5" t="inlineStr">
        <is>
          <t>Net cash from/(used in) operating activities</t>
        </is>
      </c>
      <c r="B18" s="5" t="n"/>
      <c r="C18" s="5" t="n">
        <v>3323920</v>
      </c>
      <c r="D18" s="5" t="n">
        <v>277818.774</v>
      </c>
      <c r="E18" s="5" t="n">
        <v>40838.421</v>
      </c>
      <c r="F18" s="5" t="n">
        <v>-8763.915000000001</v>
      </c>
      <c r="G18" s="5" t="n">
        <v>-4078.796</v>
      </c>
    </row>
    <row r="19">
      <c r="A19" s="5" t="inlineStr">
        <is>
          <t>Cash flows from investing activities</t>
        </is>
      </c>
      <c r="B19" s="6" t="n"/>
      <c r="C19" s="6" t="n"/>
      <c r="D19" s="6" t="n"/>
      <c r="E19" s="6" t="n"/>
      <c r="F19" s="6" t="n"/>
      <c r="G19" s="6" t="n"/>
    </row>
    <row r="20">
      <c r="A20" s="6" t="inlineStr">
        <is>
          <t>Expenditure on internally generated intangible assets</t>
        </is>
      </c>
      <c r="B20" s="6" t="n"/>
      <c r="C20" s="6" t="n">
        <v>-4507</v>
      </c>
      <c r="D20" s="6" t="n">
        <v>-3417.546</v>
      </c>
      <c r="E20" s="6" t="n">
        <v>-3256.064</v>
      </c>
      <c r="F20" s="6" t="n">
        <v>-8307.109</v>
      </c>
      <c r="G20" s="6" t="n">
        <v>-1301.285</v>
      </c>
    </row>
    <row r="21">
      <c r="A21" s="6" t="inlineStr">
        <is>
          <t>Purchase of tangible fixed assets</t>
        </is>
      </c>
      <c r="B21" s="6" t="n"/>
      <c r="C21" s="6" t="n">
        <v>-192</v>
      </c>
      <c r="D21" s="6" t="n">
        <v>-72.485</v>
      </c>
      <c r="E21" s="6" t="n">
        <v>-78.58199999999999</v>
      </c>
      <c r="F21" s="6" t="n">
        <v>-139.569</v>
      </c>
      <c r="G21" s="6" t="n">
        <v>-28.62</v>
      </c>
    </row>
    <row r="22">
      <c r="A22" s="6" t="inlineStr">
        <is>
          <t>Purchase of financial investments</t>
        </is>
      </c>
      <c r="B22" s="6" t="n"/>
      <c r="C22" s="6" t="n"/>
      <c r="D22" s="6" t="n"/>
      <c r="E22" s="6" t="n">
        <v>-242.496</v>
      </c>
      <c r="F22" s="6" t="n">
        <v>-10300</v>
      </c>
      <c r="G22" s="6" t="n"/>
    </row>
    <row r="23">
      <c r="A23" s="6" t="inlineStr">
        <is>
          <t>Interest received</t>
        </is>
      </c>
      <c r="B23" s="6" t="n"/>
      <c r="C23" s="6" t="n"/>
      <c r="D23" s="6" t="n"/>
      <c r="E23" s="6" t="n"/>
      <c r="F23" s="6" t="n"/>
      <c r="G23" s="6" t="n">
        <v>8.419</v>
      </c>
    </row>
    <row r="24">
      <c r="A24" s="5" t="inlineStr">
        <is>
          <t>Net cash used in investing activities</t>
        </is>
      </c>
      <c r="B24" s="5" t="n"/>
      <c r="C24" s="5" t="n">
        <v>-4699</v>
      </c>
      <c r="D24" s="5" t="n">
        <v>-3490.041</v>
      </c>
      <c r="E24" s="5" t="n">
        <v>-3577.142</v>
      </c>
      <c r="F24" s="5" t="n">
        <v>-18746.678</v>
      </c>
      <c r="G24" s="5" t="n">
        <v>-1321.486</v>
      </c>
    </row>
    <row r="25">
      <c r="A25" s="5" t="inlineStr">
        <is>
          <t>Cash flows from financing activities</t>
        </is>
      </c>
      <c r="B25" s="6" t="n"/>
      <c r="C25" s="6" t="n"/>
      <c r="D25" s="6" t="n"/>
      <c r="E25" s="6" t="n"/>
      <c r="F25" s="6" t="n"/>
      <c r="G25" s="6" t="n"/>
    </row>
    <row r="26">
      <c r="A26" s="6" t="inlineStr">
        <is>
          <t>Share issuance</t>
        </is>
      </c>
      <c r="B26" s="6" t="n"/>
      <c r="C26" s="6" t="n">
        <v>31183</v>
      </c>
      <c r="D26" s="6" t="n">
        <v>23233.15</v>
      </c>
      <c r="E26" s="6" t="n">
        <v>1728.142</v>
      </c>
      <c r="F26" s="6" t="n">
        <v>25561.125</v>
      </c>
      <c r="G26" s="6" t="n">
        <v>9972.572</v>
      </c>
    </row>
    <row r="27">
      <c r="A27" s="6" t="inlineStr">
        <is>
          <t>Cost of share issuance</t>
        </is>
      </c>
      <c r="B27" s="6" t="n"/>
      <c r="C27" s="6" t="n">
        <v>-2687</v>
      </c>
      <c r="D27" s="6" t="n">
        <v>0</v>
      </c>
      <c r="E27" s="6" t="n">
        <v>0</v>
      </c>
      <c r="F27" s="6" t="n">
        <v>0</v>
      </c>
      <c r="G27" s="6" t="n">
        <v>0</v>
      </c>
    </row>
    <row r="28">
      <c r="A28" s="6" t="inlineStr">
        <is>
          <t>Cash inflows from shares to be issued</t>
        </is>
      </c>
      <c r="B28" s="6" t="n"/>
      <c r="C28" s="6" t="n">
        <v>48</v>
      </c>
      <c r="D28" s="6" t="n">
        <v>13980.144</v>
      </c>
      <c r="E28" s="6" t="n">
        <v>2796</v>
      </c>
      <c r="F28" s="6" t="n">
        <v>724.816</v>
      </c>
      <c r="G28" s="6" t="n">
        <v>15034.157</v>
      </c>
    </row>
    <row r="29">
      <c r="A29" s="5" t="inlineStr">
        <is>
          <t>Net cash from financing activities</t>
        </is>
      </c>
      <c r="B29" s="5" t="n"/>
      <c r="C29" s="5" t="n">
        <v>28544</v>
      </c>
      <c r="D29" s="5" t="n">
        <v>37213.294</v>
      </c>
      <c r="E29" s="5" t="n">
        <v>4524.142</v>
      </c>
      <c r="F29" s="5" t="n">
        <v>26285.941</v>
      </c>
      <c r="G29" s="5" t="n">
        <v>25006.73</v>
      </c>
    </row>
    <row r="30">
      <c r="A30" s="5" t="inlineStr">
        <is>
          <t>Increase/(decrease) in cash and cash equivalents</t>
        </is>
      </c>
      <c r="B30" s="5" t="n"/>
      <c r="C30" s="5" t="n">
        <v>3347765</v>
      </c>
      <c r="D30" s="5" t="n">
        <v>311542.027</v>
      </c>
      <c r="E30" s="5" t="n">
        <v>41785.421</v>
      </c>
      <c r="F30" s="5" t="n">
        <v>-1224.652</v>
      </c>
      <c r="G30" s="5" t="n">
        <v>19606.448</v>
      </c>
    </row>
    <row r="31">
      <c r="A31" s="6" t="inlineStr">
        <is>
          <t>Cash and cash equivalents at beginning of year</t>
        </is>
      </c>
      <c r="B31" s="6" t="n"/>
      <c r="C31" s="6" t="n">
        <v>377215</v>
      </c>
      <c r="D31" s="6" t="n">
        <v>65673.758</v>
      </c>
      <c r="E31" s="6" t="n">
        <v>23888.337</v>
      </c>
      <c r="F31" s="6" t="n">
        <v>25112.989</v>
      </c>
      <c r="G31" s="6" t="n">
        <v>5506.541</v>
      </c>
    </row>
    <row r="32">
      <c r="A32" s="5" t="inlineStr">
        <is>
          <t>Cash and cash equivalents at end of year</t>
        </is>
      </c>
      <c r="B32" s="5" t="n"/>
      <c r="C32" s="5" t="n">
        <v>3724980</v>
      </c>
      <c r="D32" s="5" t="n">
        <v>377215.785</v>
      </c>
      <c r="E32" s="5" t="n">
        <v>65673.758</v>
      </c>
      <c r="F32" s="5" t="n">
        <v>23888.337</v>
      </c>
      <c r="G32" s="5" t="n">
        <v>25112.989</v>
      </c>
    </row>
    <row r="34" ht="240" customHeight="1">
      <c r="A34" s="8" t="inlineStr">
        <is>
          <t>Sources - Monument Bank Limited Company/standalone cash flows, £'000:
FY2024 &amp; FY2023: Financial Statements for the year ended 31 December 2024, pp.74-75 (Company columns) - https://find-and-update.company-information.service.gov.uk/company/10921940/filing-history/MzQ3Njc0NjA3MmFkaXF6a2N4/document?download=0&amp;format=pdf
FY2023 &amp; FY2022: Financial Statements for the year ended 31 December 2023, p.35 (Company figures; FY2022 comparative) - https://find-and-update.company-information.service.gov.uk/company/10921940/filing-history/MzQzNjUxODg2NmFkaXF6a2N4/document?download=0&amp;format=pdf
FY2022 &amp; FY2021: Financial Statements for the year ended 31 December 2022, p.29 - https://find-and-update.company-information.service.gov.uk/company/10921940/filing-history/MzM5NDQyODAwN2FkaXF6a2N4/document?download=0&amp;format=pdf
FY2021: Financial Statements for the year ended 31 December 2021, p.25 - https://find-and-update.company-information.service.gov.uk/company/10921940/filing-history/MzM1Mjc4MTU2M2FkaXF6a2N4/document?download=0&amp;format=pdf
FY2020: Financial Statements for the year ended 31 December 2020, Statement of Cash Flows, p.30 -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t>
        </is>
      </c>
    </row>
  </sheetData>
  <mergeCells count="1">
    <mergeCell ref="A34:G3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Asset Quality</t>
        </is>
      </c>
    </row>
    <row r="2">
      <c r="A2" s="2" t="inlineStr">
        <is>
          <t>Company basis, £'000. This Bank applies FRS 102/IAS 39's incurred-loss model, not IFRS 9 - no Stage 1/2/3 split is disclosed in any year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Company basis</t>
        </is>
      </c>
      <c r="B4" s="6" t="n"/>
      <c r="C4" s="6" t="n"/>
      <c r="D4" s="6" t="n"/>
      <c r="E4" s="6" t="n"/>
      <c r="F4" s="6" t="n"/>
      <c r="G4" s="6" t="n"/>
    </row>
    <row r="5">
      <c r="A5" s="6" t="inlineStr">
        <is>
          <t>Gross loans and advances</t>
        </is>
      </c>
      <c r="B5" s="6" t="n"/>
      <c r="C5" s="6" t="n">
        <v>174105</v>
      </c>
      <c r="D5" s="6" t="n">
        <v>139876</v>
      </c>
      <c r="E5" s="6" t="n">
        <v>93475.75900000001</v>
      </c>
      <c r="F5" s="6" t="n">
        <v>761.749</v>
      </c>
      <c r="G5" s="6" t="n"/>
    </row>
    <row r="6">
      <c r="A6" s="6" t="inlineStr">
        <is>
          <t>Less: allowance for impairment on loans and advances</t>
        </is>
      </c>
      <c r="B6" s="6" t="n"/>
      <c r="C6" s="6" t="n">
        <v>-266</v>
      </c>
      <c r="D6" s="6" t="n">
        <v>-187</v>
      </c>
      <c r="E6" s="6" t="n">
        <v>-104.644</v>
      </c>
      <c r="F6" s="6" t="n">
        <v>-2.664</v>
      </c>
      <c r="G6" s="6" t="n"/>
    </row>
    <row r="7">
      <c r="A7" s="5" t="inlineStr">
        <is>
          <t>Net loans and advances to customers</t>
        </is>
      </c>
      <c r="B7" s="5" t="n"/>
      <c r="C7" s="5" t="n">
        <v>173839</v>
      </c>
      <c r="D7" s="5" t="n">
        <v>139689</v>
      </c>
      <c r="E7" s="5" t="n">
        <v>93371.11500000001</v>
      </c>
      <c r="F7" s="5" t="n">
        <v>759.085</v>
      </c>
      <c r="G7" s="5" t="n"/>
    </row>
    <row r="8">
      <c r="A8" s="5" t="inlineStr">
        <is>
          <t>Impairment provision (IAS 39 incurred-loss model - no IFRS 9 stage split disclosed)</t>
        </is>
      </c>
      <c r="B8" s="6" t="n"/>
      <c r="C8" s="6" t="n"/>
      <c r="D8" s="6" t="n"/>
      <c r="E8" s="6" t="n"/>
      <c r="F8" s="6" t="n"/>
      <c r="G8" s="6" t="n"/>
    </row>
    <row r="9">
      <c r="A9" s="6" t="inlineStr">
        <is>
          <t>Individual impairment provision</t>
        </is>
      </c>
      <c r="B9" s="6" t="n"/>
      <c r="C9" s="6" t="n">
        <v>0</v>
      </c>
      <c r="D9" s="6" t="n">
        <v>0</v>
      </c>
      <c r="E9" s="6" t="n">
        <v>0</v>
      </c>
      <c r="F9" s="6" t="n">
        <v>0</v>
      </c>
      <c r="G9" s="6" t="n"/>
    </row>
    <row r="10">
      <c r="A10" s="6" t="inlineStr">
        <is>
          <t>Collective impairment provision</t>
        </is>
      </c>
      <c r="B10" s="6" t="n"/>
      <c r="C10" s="6" t="n">
        <v>266</v>
      </c>
      <c r="D10" s="6" t="n">
        <v>187</v>
      </c>
      <c r="E10" s="6" t="n">
        <v>104.644</v>
      </c>
      <c r="F10" s="6" t="n">
        <v>2.664</v>
      </c>
      <c r="G10" s="6" t="n"/>
    </row>
    <row r="11">
      <c r="A11" s="5" t="inlineStr">
        <is>
          <t>Total impairment provision</t>
        </is>
      </c>
      <c r="B11" s="5" t="n"/>
      <c r="C11" s="5" t="n">
        <v>266</v>
      </c>
      <c r="D11" s="5" t="n">
        <v>187</v>
      </c>
      <c r="E11" s="5" t="n">
        <v>104.644</v>
      </c>
      <c r="F11" s="5" t="n">
        <v>2.664</v>
      </c>
      <c r="G11" s="5" t="n"/>
    </row>
    <row r="12">
      <c r="A12" s="6" t="inlineStr">
        <is>
          <t>Impairment charge/(release) recognised in the income statement</t>
        </is>
      </c>
      <c r="B12" s="6" t="n"/>
      <c r="C12" s="6" t="n">
        <v>79</v>
      </c>
      <c r="D12" s="6" t="n">
        <v>82.581</v>
      </c>
      <c r="E12" s="6" t="n">
        <v>101.98</v>
      </c>
      <c r="F12" s="6" t="n">
        <v>2.664</v>
      </c>
      <c r="G12" s="6" t="n"/>
    </row>
    <row r="13">
      <c r="A13" s="6" t="inlineStr">
        <is>
          <t>Coverage ratio (impairment provision / gross loans and advances)</t>
        </is>
      </c>
      <c r="B13" s="6" t="n"/>
      <c r="C13" s="6" t="inlineStr">
        <is>
          <t>0.15%</t>
        </is>
      </c>
      <c r="D13" s="6" t="inlineStr">
        <is>
          <t>0.13%</t>
        </is>
      </c>
      <c r="E13" s="6" t="inlineStr">
        <is>
          <t>0.11%</t>
        </is>
      </c>
      <c r="F13" s="6" t="inlineStr">
        <is>
          <t>0.35%</t>
        </is>
      </c>
      <c r="G13" s="6" t="n"/>
    </row>
    <row r="15" ht="340" customHeight="1">
      <c r="A15"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KM1 Key Metrics</t>
        </is>
      </c>
    </row>
    <row r="2">
      <c r="A2" s="2" t="inlineStr">
        <is>
          <t>Monument's own published key-metrics template (section 11 'Key Metrics' of each Pillar 3 document), reproduced whole in the bank's own row order, row numbers, labels and precision. AMOUNTS ARE IN SINGLE POUNDS, as printed - the source column header is a bare '£', not £'000 - so each amount row carries that unit in its own label; ratio rows are percentages. Only FY2023, FY2022 and FY2021 are populated, and each comes from the edition in which that year is the reporting year, never from a later edition's comparative column. FY2024, FY2025 and FY2020 are blank because no KM1 column for those dates exists in any edition anywhere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capital</t>
        </is>
      </c>
      <c r="B4" s="6" t="n"/>
      <c r="C4" s="6" t="n"/>
      <c r="D4" s="6" t="n"/>
      <c r="E4" s="6" t="n"/>
      <c r="F4" s="6" t="n"/>
      <c r="G4" s="6" t="n"/>
    </row>
    <row r="5">
      <c r="A5" s="6" t="inlineStr">
        <is>
          <t>1 Common Equity Tier 1 (CET1) (£, single pounds as printed)</t>
        </is>
      </c>
      <c r="B5" s="6" t="n"/>
      <c r="C5" s="6" t="n"/>
      <c r="D5" s="6" t="n">
        <v>28035733</v>
      </c>
      <c r="E5" s="6" t="n">
        <v>21299969</v>
      </c>
      <c r="F5" s="6" t="n">
        <v>32643538</v>
      </c>
      <c r="G5" s="6" t="n"/>
    </row>
    <row r="6">
      <c r="A6" s="6" t="inlineStr">
        <is>
          <t>1a Fully loaded ECL accounting model CET1 (£, single pounds as printed)</t>
        </is>
      </c>
      <c r="B6" s="6" t="n"/>
      <c r="C6" s="6" t="n"/>
      <c r="D6" s="6" t="n">
        <v>28035733</v>
      </c>
      <c r="E6" s="6" t="n">
        <v>21299969</v>
      </c>
      <c r="F6" s="6" t="n">
        <v>32643538</v>
      </c>
      <c r="G6" s="6" t="n"/>
    </row>
    <row r="7">
      <c r="A7" s="6" t="inlineStr">
        <is>
          <t>2 Tier 1 (£, single pounds as printed)</t>
        </is>
      </c>
      <c r="B7" s="6" t="n"/>
      <c r="C7" s="6" t="n"/>
      <c r="D7" s="6" t="n">
        <v>28035733</v>
      </c>
      <c r="E7" s="6" t="n">
        <v>21299969</v>
      </c>
      <c r="F7" s="6" t="n">
        <v>32643538</v>
      </c>
      <c r="G7" s="6" t="n"/>
    </row>
    <row r="8">
      <c r="A8" s="6" t="inlineStr">
        <is>
          <t>2a Fully loaded ECL accounting model Tier 1 (£, single pounds as printed)</t>
        </is>
      </c>
      <c r="B8" s="6" t="n"/>
      <c r="C8" s="6" t="n"/>
      <c r="D8" s="6" t="n">
        <v>28035733</v>
      </c>
      <c r="E8" s="6" t="n">
        <v>21299969</v>
      </c>
      <c r="F8" s="6" t="n">
        <v>32643538</v>
      </c>
      <c r="G8" s="6" t="n"/>
    </row>
    <row r="9">
      <c r="A9" s="6" t="inlineStr">
        <is>
          <t>3 Total capital (£, single pounds as printed)</t>
        </is>
      </c>
      <c r="B9" s="6" t="n"/>
      <c r="C9" s="6" t="n"/>
      <c r="D9" s="6" t="n">
        <v>28035733</v>
      </c>
      <c r="E9" s="6" t="n">
        <v>21299969</v>
      </c>
      <c r="F9" s="6" t="n">
        <v>32643538</v>
      </c>
      <c r="G9" s="6" t="n"/>
    </row>
    <row r="10">
      <c r="A10" s="6" t="inlineStr">
        <is>
          <t>3a Fully loaded ECL accounting model total capital (£, single pounds as printed)</t>
        </is>
      </c>
      <c r="B10" s="6" t="n"/>
      <c r="C10" s="6" t="n"/>
      <c r="D10" s="6" t="n">
        <v>28035733</v>
      </c>
      <c r="E10" s="6" t="n">
        <v>21299969</v>
      </c>
      <c r="F10" s="6" t="n">
        <v>32643538</v>
      </c>
      <c r="G10" s="6" t="n"/>
    </row>
    <row r="11">
      <c r="A11" s="5" t="inlineStr">
        <is>
          <t>Risk-weighted assets</t>
        </is>
      </c>
      <c r="B11" s="6" t="n"/>
      <c r="C11" s="6" t="n"/>
      <c r="D11" s="6" t="n"/>
      <c r="E11" s="6" t="n"/>
      <c r="F11" s="6" t="n"/>
      <c r="G11" s="6" t="n"/>
    </row>
    <row r="12">
      <c r="A12" s="6" t="inlineStr">
        <is>
          <t>4 Total risk-weighted assets (RWA) (£, single pounds as printed)</t>
        </is>
      </c>
      <c r="B12" s="6" t="n"/>
      <c r="C12" s="6" t="n"/>
      <c r="D12" s="6" t="n">
        <v>126732992</v>
      </c>
      <c r="E12" s="6" t="n">
        <v>48417473</v>
      </c>
      <c r="F12" s="6" t="n">
        <v>29951235</v>
      </c>
      <c r="G12" s="6" t="n"/>
    </row>
    <row r="13">
      <c r="A13" s="5" t="inlineStr">
        <is>
          <t>Risk-based capital ratios as a percentage of RWA</t>
        </is>
      </c>
      <c r="B13" s="6" t="n"/>
      <c r="C13" s="6" t="n"/>
      <c r="D13" s="6" t="n"/>
      <c r="E13" s="6" t="n"/>
      <c r="F13" s="6" t="n"/>
      <c r="G13" s="6" t="n"/>
    </row>
    <row r="14">
      <c r="A14" s="6" t="inlineStr">
        <is>
          <t>5 Common Equity Tier 1 ratio (%)</t>
        </is>
      </c>
      <c r="B14" s="6" t="n"/>
      <c r="C14" s="6" t="n"/>
      <c r="D14" s="6" t="inlineStr">
        <is>
          <t>22.12%</t>
        </is>
      </c>
      <c r="E14" s="6" t="inlineStr">
        <is>
          <t>43.99%</t>
        </is>
      </c>
      <c r="F14" s="6" t="inlineStr">
        <is>
          <t>108.99%</t>
        </is>
      </c>
      <c r="G14" s="6" t="n"/>
    </row>
    <row r="15">
      <c r="A15" s="6" t="inlineStr">
        <is>
          <t>5a Fully loaded ECL accounting model Common Equity Tier 1 (%)</t>
        </is>
      </c>
      <c r="B15" s="6" t="n"/>
      <c r="C15" s="6" t="n"/>
      <c r="D15" s="6" t="inlineStr">
        <is>
          <t>22.12%</t>
        </is>
      </c>
      <c r="E15" s="6" t="inlineStr">
        <is>
          <t>43.99%</t>
        </is>
      </c>
      <c r="F15" s="6" t="inlineStr">
        <is>
          <t>108.99%</t>
        </is>
      </c>
      <c r="G15" s="6" t="n"/>
    </row>
    <row r="16">
      <c r="A16" s="6" t="inlineStr">
        <is>
          <t>6 Tier 1 ratio (%)</t>
        </is>
      </c>
      <c r="B16" s="6" t="n"/>
      <c r="C16" s="6" t="n"/>
      <c r="D16" s="6" t="inlineStr">
        <is>
          <t>22.12%</t>
        </is>
      </c>
      <c r="E16" s="6" t="inlineStr">
        <is>
          <t>43.99%</t>
        </is>
      </c>
      <c r="F16" s="6" t="inlineStr">
        <is>
          <t>108.99%</t>
        </is>
      </c>
      <c r="G16" s="6" t="n"/>
    </row>
    <row r="17">
      <c r="A17" s="6" t="inlineStr">
        <is>
          <t>6a Fully loaded ECL accounting model Tier 1 ratio (%)</t>
        </is>
      </c>
      <c r="B17" s="6" t="n"/>
      <c r="C17" s="6" t="n"/>
      <c r="D17" s="6" t="inlineStr">
        <is>
          <t>22.12%</t>
        </is>
      </c>
      <c r="E17" s="6" t="inlineStr">
        <is>
          <t>43.99%</t>
        </is>
      </c>
      <c r="F17" s="6" t="inlineStr">
        <is>
          <t>108.99%</t>
        </is>
      </c>
      <c r="G17" s="6" t="n"/>
    </row>
    <row r="18">
      <c r="A18" s="6" t="inlineStr">
        <is>
          <t>7 Total capital ratio (%)</t>
        </is>
      </c>
      <c r="B18" s="6" t="n"/>
      <c r="C18" s="6" t="n"/>
      <c r="D18" s="6" t="inlineStr">
        <is>
          <t>22.12%</t>
        </is>
      </c>
      <c r="E18" s="6" t="inlineStr">
        <is>
          <t>43.99%</t>
        </is>
      </c>
      <c r="F18" s="6" t="inlineStr">
        <is>
          <t>108.99%</t>
        </is>
      </c>
      <c r="G18" s="6" t="n"/>
    </row>
    <row r="19">
      <c r="A19" s="6" t="inlineStr">
        <is>
          <t>7a Fully loaded ECL accounting model total capital ratio (%)</t>
        </is>
      </c>
      <c r="B19" s="6" t="n"/>
      <c r="C19" s="6" t="n"/>
      <c r="D19" s="6" t="inlineStr">
        <is>
          <t>22.12%</t>
        </is>
      </c>
      <c r="E19" s="6" t="inlineStr">
        <is>
          <t>43.99%</t>
        </is>
      </c>
      <c r="F19" s="6" t="inlineStr">
        <is>
          <t>108.99%</t>
        </is>
      </c>
      <c r="G19" s="6" t="n"/>
    </row>
    <row r="20">
      <c r="A20" s="5" t="inlineStr">
        <is>
          <t>Additional CET1 buffer requirements as a percentage of RWA</t>
        </is>
      </c>
      <c r="B20" s="6" t="n"/>
      <c r="C20" s="6" t="n"/>
      <c r="D20" s="6" t="n"/>
      <c r="E20" s="6" t="n"/>
      <c r="F20" s="6" t="n"/>
      <c r="G20" s="6" t="n"/>
    </row>
    <row r="21">
      <c r="A21" s="6" t="inlineStr">
        <is>
          <t>8 Capital conservation buffer requirement (2.5% from 2019) (%)</t>
        </is>
      </c>
      <c r="B21" s="6" t="n"/>
      <c r="C21" s="6" t="n"/>
      <c r="D21" s="6" t="inlineStr">
        <is>
          <t>2.50%</t>
        </is>
      </c>
      <c r="E21" s="6" t="inlineStr">
        <is>
          <t>2.50%</t>
        </is>
      </c>
      <c r="F21" s="6" t="inlineStr">
        <is>
          <t>2.50%</t>
        </is>
      </c>
      <c r="G21" s="6" t="n"/>
    </row>
    <row r="22">
      <c r="A22" s="6" t="inlineStr">
        <is>
          <t>9 Countercyclical buffer requirement (%)</t>
        </is>
      </c>
      <c r="B22" s="6" t="n"/>
      <c r="C22" s="6" t="n"/>
      <c r="D22" s="6" t="inlineStr">
        <is>
          <t>2.00%</t>
        </is>
      </c>
      <c r="E22" s="6" t="inlineStr">
        <is>
          <t>0%</t>
        </is>
      </c>
      <c r="F22" s="6" t="inlineStr">
        <is>
          <t>0%</t>
        </is>
      </c>
      <c r="G22" s="6" t="n"/>
    </row>
    <row r="23">
      <c r="A23" s="6" t="inlineStr">
        <is>
          <t>10 Bank specific buffer requirement (%)</t>
        </is>
      </c>
      <c r="B23" s="6" t="n"/>
      <c r="C23" s="6" t="n"/>
      <c r="D23" s="6" t="inlineStr">
        <is>
          <t>0.00%</t>
        </is>
      </c>
      <c r="E23" s="6" t="inlineStr">
        <is>
          <t>0.28%</t>
        </is>
      </c>
      <c r="F23" s="6" t="n"/>
      <c r="G23" s="6" t="n"/>
    </row>
    <row r="24">
      <c r="A24" s="6" t="inlineStr">
        <is>
          <t>10 Bank G-SIB and/or D-SIB additional requirements (%)</t>
        </is>
      </c>
      <c r="B24" s="6" t="n"/>
      <c r="C24" s="6" t="n"/>
      <c r="D24" s="6" t="n"/>
      <c r="E24" s="6" t="n"/>
      <c r="F24" s="6" t="inlineStr">
        <is>
          <t>0%</t>
        </is>
      </c>
      <c r="G24" s="6" t="n"/>
    </row>
    <row r="25">
      <c r="A25" s="6" t="inlineStr">
        <is>
          <t>11 Total of bank CET1 specific buffer requirements (%)</t>
        </is>
      </c>
      <c r="B25" s="6" t="n"/>
      <c r="C25" s="6" t="n"/>
      <c r="D25" s="6" t="inlineStr">
        <is>
          <t>4.50%</t>
        </is>
      </c>
      <c r="E25" s="6" t="inlineStr">
        <is>
          <t>2.78%</t>
        </is>
      </c>
      <c r="F25" s="6" t="inlineStr">
        <is>
          <t>2.50%</t>
        </is>
      </c>
      <c r="G25" s="6" t="n"/>
    </row>
    <row r="26">
      <c r="A26" s="6" t="inlineStr">
        <is>
          <t>12 CET1 available after meeting the bank's minimum capital requirements (%)</t>
        </is>
      </c>
      <c r="B26" s="6" t="n"/>
      <c r="C26" s="6" t="n"/>
      <c r="D26" s="6" t="inlineStr">
        <is>
          <t>18.32%</t>
        </is>
      </c>
      <c r="E26" s="6" t="inlineStr">
        <is>
          <t>35.99%</t>
        </is>
      </c>
      <c r="F26" s="6" t="inlineStr">
        <is>
          <t>100.99%</t>
        </is>
      </c>
      <c r="G26" s="6" t="n"/>
    </row>
    <row r="27">
      <c r="A27" s="5" t="inlineStr">
        <is>
          <t>Basel III leverage ratio</t>
        </is>
      </c>
      <c r="B27" s="6" t="n"/>
      <c r="C27" s="6" t="n"/>
      <c r="D27" s="6" t="n"/>
      <c r="E27" s="6" t="n"/>
      <c r="F27" s="6" t="n"/>
      <c r="G27" s="6" t="n"/>
    </row>
    <row r="28">
      <c r="A28" s="6" t="inlineStr">
        <is>
          <t>13 Total Basel III leverage ratio exposure measure (£, single pounds as printed)</t>
        </is>
      </c>
      <c r="B28" s="6" t="n"/>
      <c r="C28" s="6" t="n"/>
      <c r="D28" s="6" t="n">
        <v>1040727012</v>
      </c>
      <c r="E28" s="6" t="n">
        <v>177552754</v>
      </c>
      <c r="F28" s="6" t="n">
        <v>36077278</v>
      </c>
      <c r="G28" s="6" t="n"/>
    </row>
    <row r="29">
      <c r="A29" s="6" t="inlineStr">
        <is>
          <t>14 Basel III leverage ratio (%) (row 2 / row 13)</t>
        </is>
      </c>
      <c r="B29" s="6" t="n"/>
      <c r="C29" s="6" t="n"/>
      <c r="D29" s="6" t="inlineStr">
        <is>
          <t>4.08%</t>
        </is>
      </c>
      <c r="E29" s="6" t="inlineStr">
        <is>
          <t>12.00%</t>
        </is>
      </c>
      <c r="F29" s="6" t="inlineStr">
        <is>
          <t>90.48%</t>
        </is>
      </c>
      <c r="G29" s="6" t="n"/>
    </row>
    <row r="30">
      <c r="A30" s="6" t="inlineStr">
        <is>
          <t>14a Fully loaded ECL accounting model Basel III leverage ratio (%)</t>
        </is>
      </c>
      <c r="B30" s="6" t="n"/>
      <c r="C30" s="6" t="n"/>
      <c r="D30" s="6" t="inlineStr">
        <is>
          <t>4.08%</t>
        </is>
      </c>
      <c r="E30" s="6" t="inlineStr">
        <is>
          <t>12.00%</t>
        </is>
      </c>
      <c r="F30" s="6" t="inlineStr">
        <is>
          <t>90.48%</t>
        </is>
      </c>
      <c r="G30" s="6" t="n"/>
    </row>
    <row r="31">
      <c r="A31" s="5" t="inlineStr">
        <is>
          <t>Liquidity Coverage Ratio</t>
        </is>
      </c>
      <c r="B31" s="6" t="n"/>
      <c r="C31" s="6" t="n"/>
      <c r="D31" s="6" t="n"/>
      <c r="E31" s="6" t="n"/>
      <c r="F31" s="6" t="n"/>
      <c r="G31" s="6" t="n"/>
    </row>
    <row r="32">
      <c r="A32" s="6" t="inlineStr">
        <is>
          <t>15 Total high-quality liquid assets (HQLA) (£, single pounds as printed)</t>
        </is>
      </c>
      <c r="B32" s="6" t="n"/>
      <c r="C32" s="6" t="n"/>
      <c r="D32" s="6" t="n">
        <v>489275319</v>
      </c>
      <c r="E32" s="6" t="n">
        <v>70879649</v>
      </c>
      <c r="F32" s="6" t="n">
        <v>10300000</v>
      </c>
      <c r="G32" s="6" t="n"/>
    </row>
    <row r="33">
      <c r="A33" s="6" t="inlineStr">
        <is>
          <t>16 Total net cash outflow (£, single pounds as printed)</t>
        </is>
      </c>
      <c r="B33" s="6" t="n"/>
      <c r="C33" s="6" t="n"/>
      <c r="D33" s="6" t="n">
        <v>44771829</v>
      </c>
      <c r="E33" s="6" t="n">
        <v>699861</v>
      </c>
      <c r="F33" s="6" t="n">
        <v>0.36</v>
      </c>
      <c r="G33" s="6" t="n"/>
    </row>
    <row r="34">
      <c r="A34" s="6" t="inlineStr">
        <is>
          <t>17 LCR (%)</t>
        </is>
      </c>
      <c r="B34" s="6" t="n"/>
      <c r="C34" s="6" t="n"/>
      <c r="D34" s="6" t="inlineStr">
        <is>
          <t>1,093%</t>
        </is>
      </c>
      <c r="E34" s="6" t="inlineStr">
        <is>
          <t>10,128%</t>
        </is>
      </c>
      <c r="F34" s="6" t="inlineStr">
        <is>
          <t>2,861,111,111.11%</t>
        </is>
      </c>
      <c r="G34" s="6" t="n"/>
    </row>
    <row r="35">
      <c r="A35" s="5" t="inlineStr">
        <is>
          <t>Net Stable Funding Ratio</t>
        </is>
      </c>
      <c r="B35" s="6" t="n"/>
      <c r="C35" s="6" t="n"/>
      <c r="D35" s="6" t="n"/>
      <c r="E35" s="6" t="n"/>
      <c r="F35" s="6" t="n"/>
      <c r="G35" s="6" t="n"/>
    </row>
    <row r="36">
      <c r="A36" s="6" t="inlineStr">
        <is>
          <t>18 Total available stable funding (£, single pounds as printed)</t>
        </is>
      </c>
      <c r="B36" s="6" t="n"/>
      <c r="C36" s="6" t="n"/>
      <c r="D36" s="6" t="n">
        <v>914948708</v>
      </c>
      <c r="E36" s="6" t="n">
        <v>160835001</v>
      </c>
      <c r="F36" s="6" t="n">
        <v>34625872</v>
      </c>
      <c r="G36" s="6" t="n"/>
    </row>
    <row r="37">
      <c r="A37" s="6" t="inlineStr">
        <is>
          <t>19 Total required stable funding (£, single pounds as printed)</t>
        </is>
      </c>
      <c r="B37" s="6" t="n"/>
      <c r="C37" s="6" t="n"/>
      <c r="D37" s="6" t="n">
        <v>385273385</v>
      </c>
      <c r="E37" s="6" t="n">
        <v>66227130</v>
      </c>
      <c r="F37" s="6" t="n">
        <v>22572338</v>
      </c>
      <c r="G37" s="6" t="n"/>
    </row>
    <row r="38">
      <c r="A38" s="6" t="inlineStr">
        <is>
          <t>20 NSFR (%)</t>
        </is>
      </c>
      <c r="B38" s="6" t="n"/>
      <c r="C38" s="6" t="n"/>
      <c r="D38" s="6" t="inlineStr">
        <is>
          <t>237.48%</t>
        </is>
      </c>
      <c r="E38" s="6" t="inlineStr">
        <is>
          <t>242.85%</t>
        </is>
      </c>
      <c r="F38" s="6" t="inlineStr">
        <is>
          <t>153.40%</t>
        </is>
      </c>
      <c r="G38" s="6" t="n"/>
    </row>
    <row r="40" ht="300" customHeight="1">
      <c r="A40"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KM1 SHEET SOURCES - one edition per column, per this project's own-year sourcing rule:
FY2023: Monument Bank Pillar 3 Disclosures for the year ended 31 December 2023, section 11 'Key Metrics', p.28 - https://cdn.prod.website-files.com/6435124ea79f72c265f72807/66f410fafb215ace68a82827_Monument%20Bank%20Pillar%203%20Report.pdf
FY2022: Monument Bank Pillar 3 Disclosures for the Year Ended 31 December 2022, section 11 'Key Metrics', p.28 - https://cdn.prod.website-files.com/6435124ea79f72c265f72807/65168a20ee9b129fb0cb9fe3_Monument%20Bank%20Pillar%203%20Report.pdf
FY2021: Monument Bank Pillar 3 Disclosures for the year ended 31 December 2021, section 11 'Key Metrics', pp.30-31 (the table breaks across two pages: rows 1-12 on p.30, rows 13-20 on p.31) - https://assets.ctfassets.net/056oa4qkl0n4/3IhfDT5SeXi0hEaeG4qX3P/066a72110553dbd149a1e9e27c095ffb/2021_Pillar_3_Disclosures_document.pdf
WHY FY2024, FY2025 AND FY2020 ARE BLANK - three different reasons, none of them a sourcing gap.
FY2024 and FY2025: Monument became a Small Domestic Deposit Taker on 15 January 2025 (PRA register, Rule 3.1 of the SDDT Regime - General Application Part; see the SDDT note above), which removed the obligation to publish Pillar 3 disclosures as at 31 December 2024. No FY2024 or FY2025 Pillar 3 document exists or will exist, Monument's own annual-reports page lists none, and no later edition prints a comparative column for either date - so there is no published KM1 column for those years on any basis.
FY2020: predates Monument's first Pillar 3 document entirely (the Bank was in its post-licence mobilisation phase), and the FY2021 edition is a SINGLE-COLUMN table carrying 2021 only, so it prints no 2020 comparative either. Nothing has been back-filled from the annual reports, which are a different basis.
TWO ROWS NUMBERED 10, DELIBERATELY NOT MERGED. The FY2023 and FY2022 editions print row 10 as 'Bank specific buffer requirement'; the FY2021 edition prints row 10 as 'Bank G-SIB and/or D-SIB additional requirements (%)'. Same row number, different captions and different metrics, so they are kept as two rows rather than combined into one series.
PRECISION IS THE BANK'S OWN. Row 17's FY2021 value is printed as 2,861,111,111.11% in the FY2021 edition and as 2,861,111,111% in the FY2022 edition's comparative column; this sheet carries the FY2021 edition's own two-decimal figure, and the LCR metric sheet carries the whole-number form. Neither is adjusted to match the other. The extreme value is genuine and is explained on the Leverage Ratio and LCR sheets: the Bank held a full capital base against an almost empty balance sheet, with a total net cash outflow of £0.36.
KNOWN DISAGREEMENTS WITH THE SINGLE-METRIC SHEETS, all pre-existing and all documented rather than reconciled. This sheet reproduces the Pillar 3 documents; the Total RWAs, CET1 Ratio and NSFR sheets carry the FY2024 annual report's restated FY2023 figures so that FY2023 sits on the same basis as FY2024 beside it. So for FY2023 this sheet shows RWA 126,732,992 against the Total RWAs sheet's 126,528 (£'000), CET1 ratio 22.12% against 22%, and NSFR 237.48% against 228%. Each pair is two correctly-transcribed figures from two different documents - see those sheets' own notes, which carry the same divergence in the other direction.</t>
        </is>
      </c>
    </row>
  </sheetData>
  <mergeCells count="1">
    <mergeCell ref="A40:G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c r="C4" s="6" t="n">
        <v>56324</v>
      </c>
      <c r="D4" s="6" t="n">
        <v>28035.733</v>
      </c>
      <c r="E4" s="6" t="n">
        <v>21299.969</v>
      </c>
      <c r="F4" s="6" t="n">
        <v>32643.538</v>
      </c>
      <c r="G4" s="6" t="n">
        <v>23895.804</v>
      </c>
    </row>
    <row r="5" ht="60" customHeight="1">
      <c r="A5" s="7" t="inlineStr">
        <is>
          <t>Note: FY2020 is the 2020 comparative column of the FY2021 report's own 'Regulatory capital' table (Note 20) and its Strategic Report KPI table, which labels the same figure 'Common Equity Tier 1 (CET1) capital'.</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n"/>
      <c r="C4" s="6" t="inlineStr">
        <is>
          <t>20%</t>
        </is>
      </c>
      <c r="D4" s="6" t="inlineStr">
        <is>
          <t>22%</t>
        </is>
      </c>
      <c r="E4" s="6" t="inlineStr">
        <is>
          <t>43.99%</t>
        </is>
      </c>
      <c r="F4" s="6" t="inlineStr">
        <is>
          <t>108.99%</t>
        </is>
      </c>
      <c r="G4" s="6" t="n"/>
    </row>
    <row r="5" ht="60" customHeight="1">
      <c r="A5" s="7" t="inlineStr">
        <is>
          <t>Note: FY2024 is the FY2024 annual report's regulatory metrics table ('CET 1 %', p.9). FY2023 is the same table's 2023 comparative; the FY2023 Pillar 3 states the same ratio to two decimals as 22.12% (KM1 item 5), the small difference coming from the FY2024 report's restated FY2023 RWA denominator - see the Total RWAs sheet. FY2022 and FY2021 are KM1 item 5 of the FY2022 and FY2021 Pillar 3 documents, added 2026-09-15; the previous note's claim that 'earlier ratios were not separately disclosed' was a Companies-House-only search artefact. Both Pillar 3 ratios reproduce exactly from that year's own disclosed capital and RWA: 21,299,969/48,417,473 = 43.99% and 32,643,538/29,951,235 = 108.99%.</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Tier 1 capital</t>
        </is>
      </c>
      <c r="B4" s="6" t="n"/>
      <c r="C4" s="6" t="n">
        <v>56324</v>
      </c>
      <c r="D4" s="6" t="n">
        <v>28035.733</v>
      </c>
      <c r="E4" s="6" t="n">
        <v>21299.969</v>
      </c>
      <c r="F4" s="6" t="n">
        <v>32643.538</v>
      </c>
      <c r="G4" s="6" t="n">
        <v>23895.804</v>
      </c>
    </row>
    <row r="5" ht="60" customHeight="1">
      <c r="A5" s="7" t="inlineStr">
        <is>
          <t>Note: Directly disclosed: every annual report from FY2020 onward carries a 'Regulatory capital' table whose bottom line is labelled 'Total Tier 1 capital'. The amounts equal the CET1 Capital sheet's figures because the table builds Tier 1 solely from ordinary share capital and share premium (plus, from FY2023, the AFS reserve less PruVal adjustment) less accumulated losses and intangible-asset deductions - no Additional Tier 1 instrument is disclosed in any year.</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n"/>
      <c r="C4" s="6" t="n"/>
      <c r="D4" s="6" t="inlineStr">
        <is>
          <t>22.12%</t>
        </is>
      </c>
      <c r="E4" s="6" t="inlineStr">
        <is>
          <t>43.99%</t>
        </is>
      </c>
      <c r="F4" s="6" t="inlineStr">
        <is>
          <t>108.99%</t>
        </is>
      </c>
      <c r="G4" s="6" t="n"/>
    </row>
    <row r="5" ht="60" customHeight="1">
      <c r="A5" s="7" t="inlineStr">
        <is>
          <t>Note: Added 2026-09-15, overturning the previous 'no standalone Tier 1 ratio was separately disclosed in the reports reviewed' - that was true of the annual reports but the standalone Pillar 3 documents carry the ratio explicitly as KM1 item 6, 'Tier 1 ratio (%)', for all three years they cover. The figures equal the CET1 ratios because Monument's capital base is entirely CET1 in every year (no Additional Tier 1 and no Tier 2 instrument is disclosed anywhere), which the Pillar 3 KM1 tables show directly by printing identical values for items 5, 6 and 7 - this is the disclosed position, not a derivation. FY2024 and FY2020 remain blank: neither year has a Pillar 3 document and neither annual report states a Tier 1 ratio.</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c r="C4" s="6" t="n">
        <v>56324</v>
      </c>
      <c r="D4" s="6" t="n">
        <v>28035.733</v>
      </c>
      <c r="E4" s="6" t="n">
        <v>21299.969</v>
      </c>
      <c r="F4" s="6" t="n">
        <v>32643.538</v>
      </c>
      <c r="G4" s="6" t="n">
        <v>23895.804</v>
      </c>
    </row>
    <row r="5" ht="60" customHeight="1">
      <c r="A5" s="7" t="inlineStr">
        <is>
          <t>Note: Shown equal to Total Tier 1 capital on the strength of the reports' own explicit statement, repeated verbatim each year, that the capital base consists entirely of Tier 1 - e.g. 'As at 31 December 2024, our capital base was made up of £56.3 million of Tier 1 capital (2023: £28.0 million)'. No Tier 2 row appears in any year's 'Regulatory capital' table and no Tier 2 instrument is disclosed anywhere in the reports, although the Bank's stated capital policy permits Tier 2 up to 25% of total capital. This is the disclosed composition, not a derived figure.</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n"/>
      <c r="C4" s="6" t="n"/>
      <c r="D4" s="6" t="inlineStr">
        <is>
          <t>22.12%</t>
        </is>
      </c>
      <c r="E4" s="6" t="inlineStr">
        <is>
          <t>43.99%</t>
        </is>
      </c>
      <c r="F4" s="6" t="inlineStr">
        <is>
          <t>108.99%</t>
        </is>
      </c>
      <c r="G4" s="6" t="n"/>
    </row>
    <row r="5" ht="60" customHeight="1">
      <c r="A5" s="7" t="inlineStr">
        <is>
          <t>Note: CORRECTED 2026-09-15 - this sheet previously read FY2022 44%, FY2021 529%, FY2020 359%. The FY2021 and FY2020 values were not CRR total capital ratios at all and have been withdrawn. Monument's annual reports use the abbreviation 'TCR' for two different things in different years, and the two earlier reports use it in the PRA sense of Total Capital Requirement. The FY2020 report states 'As at 31st December 2020, our Total Capital Ratio (TCR) was 359% (2019 453%)' and the FY2021 report's KPI table prints 'Total capital ratio (TCR) 529% 359%' - these are capital-resources-to-capital-requirement cover ratios, not capital as a percentage of RWA. The FY2021 Pillar 3, KM1 item 7, gives the actual CRR total capital ratio for FY2021 as 108.99%, which reproduces exactly from that document's own figures (32,643,538 total capital / 29,951,235 total RWA) and is what now sits in the FY2021 cell. From the FY2022 report onward 'TCR' reverts to the CRR meaning: the FY2023 report's '22% (2022: 44%)' agrees with KM1 item 7 of the FY2023 and FY2022 Pillar 3 documents (22.12% and 43.99%), and those two-decimal Pillar 3 values are used here. FY2020 is now blank: Monument published no Pillar 3 for FY2020, the FY2020 report discloses no RWA figure at all, and the only ratio it gives is the cover ratio - so no CRR total capital ratio exists for that year and none may be computed. FY2024 is blank for the same reason on the other end: no FY2024 Pillar 3 (SDDT) and the FY2024 report states only the CET1 ratio.</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t>
        </is>
      </c>
      <c r="B4" s="6" t="n"/>
      <c r="C4" s="6" t="n">
        <v>281756</v>
      </c>
      <c r="D4" s="6" t="n">
        <v>126528</v>
      </c>
      <c r="E4" s="6" t="n">
        <v>48417.473</v>
      </c>
      <c r="F4" s="6" t="n">
        <v>29951.235</v>
      </c>
      <c r="G4" s="6" t="n"/>
    </row>
    <row r="5" ht="60" customHeight="1">
      <c r="A5" s="7" t="inlineStr">
        <is>
          <t>Note: FY2024 and FY2023 are the FY2024 report's regulatory metrics table (p.9). FY2022 and FY2021 are KM1 item 4 of the FY2022 and FY2021 Pillar 3 documents, added 2026-09-15 - the previous note's 'earlier totals were not separately disclosed' was wrong, they are disclosed, just not at Companies House. TWO-SOURCE DIVERGENCE ON FY2023, recorded rather than resolved: the FY2023 Pillar 3 states Total RWA of 126,732.992 (£'000), while the FY2024 annual report's 2023 comparative states 126,528 - a difference of 205, or 0.16%. The cell holds the annual report figure so that it stays on the same basis as FY2024 beside it, and because the Pillar 3 components behind 126,732.992 differ from the annual report's by risk category as well as in total (see the RWA Breakdown sheet, which carries both splits side by side in separate blocks rather than mixing them in one row). The divergence is a restatement in the later document, not a transcription error: both figures were read from their own source and both reconcile internally to their own components. Neither has been adjusted.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RWA Breakdown</t>
        </is>
      </c>
    </row>
    <row r="2">
      <c r="A2" s="2" t="inlineStr">
        <is>
          <t>Company basis, £'000. Two blocks, deliberately kept separate because they are two different disclosures on two different bases, and the years they cover overlap. The first block is the three-way risk-type split (counterparty &amp; credit / operational / credit valuation adjustment) from the FY2024 annual report's own regulatory metrics table, covering FY2024 and FY2023. The second block is the full standardised-approach exposure-class breakdown from section 6.1 of the FY2023, FY2022 and FY2021 Pillar 3 documents, added 2026-09-15. Each block sums exactly to its own total in every year it covers, and no market risk RWA line appears in either - so both are complete breakdowns, not partial ones. The two blocks disagree about FY2023 and that disagreement is shown rather than reconciled away: see the source note. FY2020 has no breakdown on either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Annual report basis - 'Balance sheet and regulatory metrics' table (Company, as disclosed)</t>
        </is>
      </c>
      <c r="B4" s="6" t="n"/>
      <c r="C4" s="6" t="n"/>
      <c r="D4" s="6" t="n"/>
      <c r="E4" s="6" t="n"/>
      <c r="F4" s="6" t="n"/>
      <c r="G4" s="6" t="n"/>
    </row>
    <row r="5">
      <c r="A5" s="6" t="inlineStr">
        <is>
          <t>Counterparty and credit risk weighted assets (RWA)</t>
        </is>
      </c>
      <c r="B5" s="6" t="n"/>
      <c r="C5" s="6" t="n">
        <v>270331</v>
      </c>
      <c r="D5" s="6" t="n">
        <v>112159</v>
      </c>
      <c r="E5" s="6" t="n"/>
      <c r="F5" s="6" t="n"/>
      <c r="G5" s="6" t="n"/>
    </row>
    <row r="6">
      <c r="A6" s="6" t="inlineStr">
        <is>
          <t>Operational RWA</t>
        </is>
      </c>
      <c r="B6" s="6" t="n"/>
      <c r="C6" s="6" t="n">
        <v>9755</v>
      </c>
      <c r="D6" s="6" t="n">
        <v>11500</v>
      </c>
      <c r="E6" s="6" t="n"/>
      <c r="F6" s="6" t="n"/>
      <c r="G6" s="6" t="n"/>
    </row>
    <row r="7">
      <c r="A7" s="6" t="inlineStr">
        <is>
          <t>Credit valuation adjustment RWA</t>
        </is>
      </c>
      <c r="B7" s="6" t="n"/>
      <c r="C7" s="6" t="n">
        <v>1670</v>
      </c>
      <c r="D7" s="6" t="n">
        <v>2869</v>
      </c>
      <c r="E7" s="6" t="n"/>
      <c r="F7" s="6" t="n"/>
      <c r="G7" s="6" t="n"/>
    </row>
    <row r="8">
      <c r="A8" s="5" t="inlineStr">
        <is>
          <t>Total RWAs (annual report basis)</t>
        </is>
      </c>
      <c r="B8" s="5" t="n"/>
      <c r="C8" s="5" t="n">
        <v>281756</v>
      </c>
      <c r="D8" s="5" t="n">
        <v>126528</v>
      </c>
      <c r="E8" s="5" t="n"/>
      <c r="F8" s="5" t="n"/>
      <c r="G8" s="5" t="n"/>
    </row>
    <row r="9">
      <c r="A9" s="5" t="inlineStr">
        <is>
          <t>Pillar 3 basis - section 6.1 'Pillar 1 Capital requirements', standardised approach exposure classes</t>
        </is>
      </c>
      <c r="B9" s="6" t="n"/>
      <c r="C9" s="6" t="n"/>
      <c r="D9" s="6" t="n"/>
      <c r="E9" s="6" t="n"/>
      <c r="F9" s="6" t="n"/>
      <c r="G9" s="6" t="n"/>
    </row>
    <row r="10">
      <c r="A10" s="6" t="inlineStr">
        <is>
          <t>Central governments or central banks</t>
        </is>
      </c>
      <c r="B10" s="6" t="n"/>
      <c r="C10" s="6" t="n"/>
      <c r="D10" s="6" t="n"/>
      <c r="E10" s="6" t="n"/>
      <c r="F10" s="6" t="n">
        <v>0</v>
      </c>
      <c r="G10" s="6" t="n"/>
    </row>
    <row r="11">
      <c r="A11" s="6" t="inlineStr">
        <is>
          <t>Regional governments or local authorities</t>
        </is>
      </c>
      <c r="B11" s="6" t="n"/>
      <c r="C11" s="6" t="n"/>
      <c r="D11" s="6" t="n"/>
      <c r="E11" s="6" t="n"/>
      <c r="F11" s="6" t="n">
        <v>0</v>
      </c>
      <c r="G11" s="6" t="n"/>
    </row>
    <row r="12">
      <c r="A12" s="6" t="inlineStr">
        <is>
          <t>Public sector entities</t>
        </is>
      </c>
      <c r="B12" s="6" t="n"/>
      <c r="C12" s="6" t="n"/>
      <c r="D12" s="6" t="n"/>
      <c r="E12" s="6" t="n"/>
      <c r="F12" s="6" t="n">
        <v>0</v>
      </c>
      <c r="G12" s="6" t="n"/>
    </row>
    <row r="13">
      <c r="A13" s="6" t="inlineStr">
        <is>
          <t>Multilateral development banks</t>
        </is>
      </c>
      <c r="B13" s="6" t="n"/>
      <c r="C13" s="6" t="n"/>
      <c r="D13" s="6" t="n"/>
      <c r="E13" s="6" t="n"/>
      <c r="F13" s="6" t="n">
        <v>0</v>
      </c>
      <c r="G13" s="6" t="n"/>
    </row>
    <row r="14">
      <c r="A14" s="6" t="inlineStr">
        <is>
          <t>International organisations</t>
        </is>
      </c>
      <c r="B14" s="6" t="n"/>
      <c r="C14" s="6" t="n"/>
      <c r="D14" s="6" t="n"/>
      <c r="E14" s="6" t="n"/>
      <c r="F14" s="6" t="n">
        <v>0</v>
      </c>
      <c r="G14" s="6" t="n"/>
    </row>
    <row r="15">
      <c r="A15" s="6" t="inlineStr">
        <is>
          <t>Institutions</t>
        </is>
      </c>
      <c r="B15" s="6" t="n"/>
      <c r="C15" s="6" t="n"/>
      <c r="D15" s="6" t="n">
        <v>5453.118</v>
      </c>
      <c r="E15" s="6" t="n">
        <v>957.321</v>
      </c>
      <c r="F15" s="6" t="n">
        <v>3322.447</v>
      </c>
      <c r="G15" s="6" t="n"/>
    </row>
    <row r="16">
      <c r="A16" s="6" t="inlineStr">
        <is>
          <t>Corporates</t>
        </is>
      </c>
      <c r="B16" s="6" t="n"/>
      <c r="C16" s="6" t="n"/>
      <c r="D16" s="6" t="n">
        <v>0</v>
      </c>
      <c r="E16" s="6" t="n">
        <v>0</v>
      </c>
      <c r="F16" s="6" t="n">
        <v>1455.22</v>
      </c>
      <c r="G16" s="6" t="n"/>
    </row>
    <row r="17">
      <c r="A17" s="6" t="inlineStr">
        <is>
          <t>Retail</t>
        </is>
      </c>
      <c r="B17" s="6" t="n"/>
      <c r="C17" s="6" t="n"/>
      <c r="D17" s="6" t="n">
        <v>0</v>
      </c>
      <c r="E17" s="6" t="n">
        <v>0</v>
      </c>
      <c r="F17" s="6" t="n">
        <v>0</v>
      </c>
      <c r="G17" s="6" t="n"/>
    </row>
    <row r="18">
      <c r="A18" s="6" t="inlineStr">
        <is>
          <t>Secured by mortgages on immovable property</t>
        </is>
      </c>
      <c r="B18" s="6" t="n"/>
      <c r="C18" s="6" t="n"/>
      <c r="D18" s="6" t="n">
        <v>51992.602</v>
      </c>
      <c r="E18" s="6" t="n">
        <v>32877.923</v>
      </c>
      <c r="F18" s="6" t="n">
        <v>265.68</v>
      </c>
      <c r="G18" s="6" t="n"/>
    </row>
    <row r="19">
      <c r="A19" s="6" t="inlineStr">
        <is>
          <t>Exposures in default</t>
        </is>
      </c>
      <c r="B19" s="6" t="n"/>
      <c r="C19" s="6" t="n"/>
      <c r="D19" s="6" t="n">
        <v>0</v>
      </c>
      <c r="E19" s="6" t="n">
        <v>0</v>
      </c>
      <c r="F19" s="6" t="n">
        <v>0</v>
      </c>
      <c r="G19" s="6" t="n"/>
    </row>
    <row r="20">
      <c r="A20" s="6" t="inlineStr">
        <is>
          <t>Items associated with particular high risk</t>
        </is>
      </c>
      <c r="B20" s="6" t="n"/>
      <c r="C20" s="6" t="n"/>
      <c r="D20" s="6" t="n">
        <v>0</v>
      </c>
      <c r="E20" s="6" t="n">
        <v>0</v>
      </c>
      <c r="F20" s="6" t="n">
        <v>0</v>
      </c>
      <c r="G20" s="6" t="n"/>
    </row>
    <row r="21">
      <c r="A21" s="6" t="inlineStr">
        <is>
          <t>Covered bonds</t>
        </is>
      </c>
      <c r="B21" s="6" t="n"/>
      <c r="C21" s="6" t="n"/>
      <c r="D21" s="6" t="n">
        <v>2946.049</v>
      </c>
      <c r="E21" s="6" t="n">
        <v>0</v>
      </c>
      <c r="F21" s="6" t="n">
        <v>0</v>
      </c>
      <c r="G21" s="6" t="n"/>
    </row>
    <row r="22">
      <c r="A22" s="6" t="inlineStr">
        <is>
          <t>Securitisations</t>
        </is>
      </c>
      <c r="B22" s="6" t="n"/>
      <c r="C22" s="6" t="n"/>
      <c r="D22" s="6" t="n">
        <v>47763.684</v>
      </c>
      <c r="E22" s="6" t="n">
        <v>0</v>
      </c>
      <c r="F22" s="6" t="n"/>
      <c r="G22" s="6" t="n"/>
    </row>
    <row r="23">
      <c r="A23" s="6" t="inlineStr">
        <is>
          <t>Claims on institutions and corporates with a short-term credit assessment</t>
        </is>
      </c>
      <c r="B23" s="6" t="n"/>
      <c r="C23" s="6" t="n"/>
      <c r="D23" s="6" t="n">
        <v>0</v>
      </c>
      <c r="E23" s="6" t="n">
        <v>0</v>
      </c>
      <c r="F23" s="6" t="n">
        <v>0</v>
      </c>
      <c r="G23" s="6" t="n"/>
    </row>
    <row r="24">
      <c r="A24" s="6" t="inlineStr">
        <is>
          <t>Collective investment undertakings (CIU)</t>
        </is>
      </c>
      <c r="B24" s="6" t="n"/>
      <c r="C24" s="6" t="n"/>
      <c r="D24" s="6" t="n">
        <v>0</v>
      </c>
      <c r="E24" s="6" t="n">
        <v>0</v>
      </c>
      <c r="F24" s="6" t="n">
        <v>0</v>
      </c>
      <c r="G24" s="6" t="n"/>
    </row>
    <row r="25">
      <c r="A25" s="6" t="inlineStr">
        <is>
          <t>Equity</t>
        </is>
      </c>
      <c r="B25" s="6" t="n"/>
      <c r="C25" s="6" t="n"/>
      <c r="D25" s="6" t="n">
        <v>0</v>
      </c>
      <c r="E25" s="6" t="n">
        <v>0</v>
      </c>
      <c r="F25" s="6" t="n">
        <v>0</v>
      </c>
      <c r="G25" s="6" t="n"/>
    </row>
    <row r="26">
      <c r="A26" s="6" t="inlineStr">
        <is>
          <t>Other items</t>
        </is>
      </c>
      <c r="B26" s="6" t="n"/>
      <c r="C26" s="6" t="n"/>
      <c r="D26" s="6" t="n">
        <v>4273.789</v>
      </c>
      <c r="E26" s="6" t="n">
        <v>3083.899</v>
      </c>
      <c r="F26" s="6" t="n">
        <v>1129.857</v>
      </c>
      <c r="G26" s="6" t="n"/>
    </row>
    <row r="27">
      <c r="A27" s="5" t="inlineStr">
        <is>
          <t>Total credit risk RWA</t>
        </is>
      </c>
      <c r="B27" s="5" t="n"/>
      <c r="C27" s="5" t="n"/>
      <c r="D27" s="5" t="n">
        <v>112429.242</v>
      </c>
      <c r="E27" s="5" t="n">
        <v>36919.143</v>
      </c>
      <c r="F27" s="5" t="n">
        <v>6173.204</v>
      </c>
      <c r="G27" s="5" t="n"/>
    </row>
    <row r="28">
      <c r="A28" s="6" t="inlineStr">
        <is>
          <t>Credit valuation adjustment</t>
        </is>
      </c>
      <c r="B28" s="6" t="n"/>
      <c r="C28" s="6" t="n"/>
      <c r="D28" s="6" t="n">
        <v>1785</v>
      </c>
      <c r="E28" s="6" t="n">
        <v>0</v>
      </c>
      <c r="F28" s="6" t="n"/>
      <c r="G28" s="6" t="n"/>
    </row>
    <row r="29">
      <c r="A29" s="6" t="inlineStr">
        <is>
          <t>Operational risk - basic indicator approach</t>
        </is>
      </c>
      <c r="B29" s="6" t="n"/>
      <c r="C29" s="6" t="n"/>
      <c r="D29" s="6" t="n">
        <v>12518.75</v>
      </c>
      <c r="E29" s="6" t="n">
        <v>11498.33</v>
      </c>
      <c r="F29" s="6" t="n">
        <v>23778.032</v>
      </c>
      <c r="G29" s="6" t="n"/>
    </row>
    <row r="30">
      <c r="A30" s="5" t="inlineStr">
        <is>
          <t>Total Pillar 1 risk-weighted assets (Pillar 3 basis)</t>
        </is>
      </c>
      <c r="B30" s="5" t="n"/>
      <c r="C30" s="5" t="n"/>
      <c r="D30" s="5" t="n">
        <v>126732.992</v>
      </c>
      <c r="E30" s="5" t="n">
        <v>48417.473</v>
      </c>
      <c r="F30" s="5" t="n">
        <v>29951.235</v>
      </c>
      <c r="G30" s="5" t="n"/>
    </row>
    <row r="32" ht="220" customHeight="1">
      <c r="A32"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RWA BREAKDOWN SOURCES:
FY2024 &amp; FY2023 (Company basis, matching the Total RWAs sheet's own FY2024/FY2023 figures exactly: 270,331 + 9,755 + 1,670 = 281,756 for FY2024; 112,159 + 11,500 + 2,869 = 126,528 for FY2023): Financial Statements for the year ended 31 December 2024, Strategic Report, 'Balance sheet and regulatory metrics' table, p.9 - https://find-and-update.company-information.service.gov.uk/company/10921940/filing-history/MzQ3Njc0NjA3MmFkaXF6a2N4/document?download=0&amp;format=pdf
PILLAR 3 BLOCK - exposure-class breakdown, section 6.1 'Pillar 1 Capital requirements' (the Risk Weighted Assets column; the adjacent Capital Requirements column is 8% of it and is not reproduced here). Figures are printed in whole pounds in the source and are shown here in £'000:
FY2023 (and its FY2022 comparative), p.24 - https://cdn.prod.website-files.com/6435124ea79f72c265f72807/66f410fafb215ace68a82827_Monument%20Bank%20Pillar%203%20Report.pdf
FY2022 (and its FY2021 comparative), p.23 - https://cdn.prod.website-files.com/6435124ea79f72c265f72807/65168a20ee9b129fb0cb9fe3_Monument%20Bank%20Pillar%203%20Report.pdf
FY2021, p.25 - https://assets.ctfassets.net/056oa4qkl0n4/3IhfDT5SeXi0hEaeG4qX3P/066a72110553dbd149a1e9e27c095ffb/2021_Pillar_3_Disclosures_document.pdf
Each year reconciles to KM1 item 4 in the same document: FY2023 112,429,242 + 1,785,000 + 12,518,750 = 126,732,992; FY2022 36,919,143 + 11,498,330 = 48,417,473; FY2021 6,173,204 + 23,778,032 = 29,951,236 against a printed total of 29,951,235 (a £1 rounding in the source, reproduced as printed, not adjusted).
A zero in this block means the source prints a dash for that exposure class in that year, i.e. a disclosed nil. A blank means the row does not appear in that year's table at all: the FY2021 table has no Securitisations line and no Credit Valuation Adjustment line, and the FY2022 table has no Securitisations line - the FY2022 figures for those two rows come from the FY2023 document's 2022 comparative column, where both are printed as nil. Conversely the five sovereign-type classes at the top of the block are printed only in the FY2021 table, all nil; the FY2022 and FY2023 tables drop them. No value in this block has been inferred from a total.
WHY THE TWO BLOCKS DISAGREE ABOUT FY2023. The FY2024 annual report restates FY2023, and its restated split does not match the FY2023 Pillar 3's. Total RWA: 126,528 (annual report) against 126,732.992 (Pillar 3), 0.16% apart. The components move more than the total does - credit 112,159 against 112,429.242, operational 11,500 against 12,518.750, CVA 2,869 against 1,785.000 - so this is not a rounding difference but a genuine restatement, with the largest single move being CVA. Both figures were read from their own primary source and each reconciles internally to its own total. Neither has been adjusted, averaged or dropped, and the two are not mixed within any row. The Total RWAs sheet carries the annual report figure for FY2023 so that it sits on the same basis as FY2024 next to it; this sheet shows both.
CORRECTION 2026-09-15: this note previously stated that 'no breakdown of Total RWAs by risk category was found for FY2022 or earlier' and called it 'a genuine non-disclosure for FY2022 and earlier, not an access gap'. Both claims were wrong. The breakdown is disclosed for FY2021, FY2022 and FY2023, in more detail than the annual report's three-way split, in standalone Pillar 3 documents published on Monument's own website rather than filed at Companies House. The earlier pass read the Companies House filings exhaustively, which is why it found nothing - the documents it needed were never going to be there.</t>
        </is>
      </c>
    </row>
  </sheetData>
  <mergeCells count="1">
    <mergeCell ref="A32:G3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n"/>
      <c r="C4" s="6" t="inlineStr">
        <is>
          <t>3.9%</t>
        </is>
      </c>
      <c r="D4" s="6" t="inlineStr">
        <is>
          <t>4.1%</t>
        </is>
      </c>
      <c r="E4" s="6" t="inlineStr">
        <is>
          <t>12.00%</t>
        </is>
      </c>
      <c r="F4" s="6" t="inlineStr">
        <is>
          <t>90.48%</t>
        </is>
      </c>
      <c r="G4" s="6" t="n"/>
    </row>
    <row r="5" ht="60" customHeight="1">
      <c r="A5" s="7" t="inlineStr">
        <is>
          <t>Note: FY2024 and FY2023 are the FY2024 report's regulatory metrics table (p.9). FY2022 and FY2021 are KM1 item 14, 'Basel III leverage ratio (%) (row 2 / row 13)', of the FY2022 and FY2021 Pillar 3 documents, added 2026-09-15. Same definition throughout - Tier 1 capital over the Basel III total leverage exposure measure - and the FY2023 Pillar 3 states 4.08% against the annual report's 4.1%, i.e. the same figure at a different rounding, which is what confirms the two sources share a basis here. The very high FY2021 ratio is as printed: the Bank had a £36.1m exposure measure against £32.6m of Tier 1 capital, having received its banking licence on 4 November 2021 and taken its first deposit on 6 December 2021, so it was carrying a full capital base against almost no balance sheet. FY2020 is blank - no leverage ratio is stated in that year's report and there is no FY2020 Pillar 3.</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n"/>
      <c r="C4" s="6" t="inlineStr">
        <is>
          <t>589%</t>
        </is>
      </c>
      <c r="D4" s="6" t="inlineStr">
        <is>
          <t>1,093%</t>
        </is>
      </c>
      <c r="E4" s="6" t="inlineStr">
        <is>
          <t>10,128%</t>
        </is>
      </c>
      <c r="F4" s="6" t="inlineStr">
        <is>
          <t>2,861,111,111%</t>
        </is>
      </c>
      <c r="G4" s="6" t="n"/>
    </row>
    <row r="5" ht="60" customHeight="1">
      <c r="A5" s="7" t="inlineStr">
        <is>
          <t>Note: FY2021’s unusually high percentage is reproduced exactly as printed in the 2021 accounts; it is not normalised or inferred.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n"/>
      <c r="C4" s="6" t="inlineStr">
        <is>
          <t>560%</t>
        </is>
      </c>
      <c r="D4" s="6" t="inlineStr">
        <is>
          <t>228%</t>
        </is>
      </c>
      <c r="E4" s="6" t="inlineStr">
        <is>
          <t>242.85%</t>
        </is>
      </c>
      <c r="F4" s="6" t="inlineStr">
        <is>
          <t>153.40%</t>
        </is>
      </c>
      <c r="G4" s="6" t="n"/>
    </row>
    <row r="5" ht="60" customHeight="1">
      <c r="A5" s="7" t="inlineStr">
        <is>
          <t>Note: FY2024 and FY2023 are the FY2024 report's regulatory metrics table (p.9). FY2022 and FY2021 are KM1 item 20 of the FY2022 and FY2021 Pillar 3 documents, added 2026-09-15, each supported in the same table by its own available and required stable funding amounts (FY2022 160,835,001/66,227,130; FY2021 34,625,872/22,572,338), which reproduce the printed ratios. FY2021 predates the UK NSFR requirement, which came into force on 1 January 2022 under PRA PS17/21 - Monument disclosed the ratio voluntarily a year early, so this is a real disclosure rather than the structural blank that FY2021 NSFR usually is across this workbook set. TWO-SOURCE DIVERGENCE ON FY2023, recorded rather than resolved: the FY2023 Pillar 3 states 237.48% where the FY2024 annual report's 2023 comparative states 228%, a gap of 9.5 percentage points that is too large to be rounding. Neither document states which convention it uses, so the divergence cannot be attributed with confidence - point-in-time against four-quarter-average is the usual cause of a gap this shape, and the later document restates FY2023 RWA too (see the Total RWAs sheet), so a restatement is equally possible. The cell holds the annual report figure to stay on the same basis as FY2024 beside it; the Pillar 3 figure is recorded here and neither is adjusted.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n"/>
      <c r="C4" s="6" t="n"/>
      <c r="D4" s="6" t="inlineStr">
        <is>
          <t>Not applicable</t>
        </is>
      </c>
      <c r="E4" s="6" t="inlineStr">
        <is>
          <t>Not applicable</t>
        </is>
      </c>
      <c r="F4" s="6" t="inlineStr">
        <is>
          <t>Not applicable</t>
        </is>
      </c>
      <c r="G4" s="6" t="n"/>
    </row>
    <row r="5" ht="60" customHeight="1">
      <c r="A5" s="7" t="inlineStr">
        <is>
          <t>Note: CHANGED 2026-09-15 from blank to an explicit 'Not applicable' for the three years Monument published a Pillar 3 document, because those documents answer the question directly rather than leaving it open. Section 10 of each, 'Minimum Requirement for Own Funds and Eligible Liabilities', states that Monument falls under a Modified Insolvency process - the Bank of England applies this where a firm provides fewer than roughly 40,000 to 80,000 transactional accounts and its failure would not disrupt the wider financial system - and that 'under [which] minimum requirement for own funds and eligible liabilities (MREL) is set at the same level as regulatory capital requirements and so the Bank will meet its MREL by meeting existing regulatory capital requirements as described in Section 6 Capital Requirements.' Monument therefore has no MREL requirement distinct from its capital requirement and no separate MREL ratio exists to disclose. This is a structural non-applicability, not a sourcing gap: the earlier note, 'no quantitative MREL ratio was located in the official annual reports reviewed', was accurate about the annual reports but left the reader unable to tell an unresearched blank from a real absence. FY2024, FY2025 and FY2020 are left blank rather than marked not applicable, because no document covering those years makes the statement - although nothing suggests Monument's resolution strategy has changed.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2026-09-17T18:10:17Z</dcterms:created>
  <dcterms:modified xmlns:dcterms="http://purl.org/dc/terms/" xmlns:xsi="http://www.w3.org/2001/XMLSchema-instance" xsi:type="dcterms:W3CDTF">2026-09-17T18:10:17Z</dcterms:modified>
</cp:coreProperties>
</file>