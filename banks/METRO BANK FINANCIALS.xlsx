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ser>
          <idx val="4"/>
          <order val="4"/>
          <tx>
            <strRef>
              <f>'Overview'!BF24</f>
            </strRef>
          </tx>
          <spPr>
            <a:ln xmlns:a="http://schemas.openxmlformats.org/drawingml/2006/main">
              <a:prstDash val="solid"/>
            </a:ln>
          </spPr>
          <cat>
            <numRef>
              <f>'Overview'!$BG$19:$BV$19</f>
            </numRef>
          </cat>
          <val>
            <numRef>
              <f>'Overview'!$BG$24:$BV$24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'Overview'!BY28</f>
            </strRef>
          </tx>
          <spPr>
            <a:ln xmlns:a="http://schemas.openxmlformats.org/drawingml/2006/main">
              <a:prstDash val="solid"/>
            </a:ln>
          </spPr>
          <cat>
            <numRef>
              <f>'Overview'!$BZ$27:$CO$27</f>
            </numRef>
          </cat>
          <val>
            <numRef>
              <f>'Overview'!$BZ$28:$CO$28</f>
            </numRef>
          </val>
        </ser>
        <ser>
          <idx val="1"/>
          <order val="1"/>
          <tx>
            <strRef>
              <f>'Overview'!BY29</f>
            </strRef>
          </tx>
          <spPr>
            <a:ln xmlns:a="http://schemas.openxmlformats.org/drawingml/2006/main">
              <a:prstDash val="solid"/>
            </a:ln>
          </spPr>
          <cat>
            <numRef>
              <f>'Overview'!$BZ$27:$CO$27</f>
            </numRef>
          </cat>
          <val>
            <numRef>
              <f>'Overview'!$BZ$29:$CO$29</f>
            </numRef>
          </val>
        </ser>
        <ser>
          <idx val="2"/>
          <order val="2"/>
          <tx>
            <strRef>
              <f>'Overview'!BY30</f>
            </strRef>
          </tx>
          <spPr>
            <a:ln xmlns:a="http://schemas.openxmlformats.org/drawingml/2006/main">
              <a:prstDash val="solid"/>
            </a:ln>
          </spPr>
          <cat>
            <numRef>
              <f>'Overview'!$BZ$27:$CO$27</f>
            </numRef>
          </cat>
          <val>
            <numRef>
              <f>'Overview'!$BZ$30:$CO$30</f>
            </numRef>
          </val>
        </ser>
        <ser>
          <idx val="3"/>
          <order val="3"/>
          <tx>
            <strRef>
              <f>'Overview'!BY31</f>
            </strRef>
          </tx>
          <spPr>
            <a:ln xmlns:a="http://schemas.openxmlformats.org/drawingml/2006/main">
              <a:prstDash val="solid"/>
            </a:ln>
          </spPr>
          <cat>
            <numRef>
              <f>'Overview'!$BZ$27:$CO$27</f>
            </numRef>
          </cat>
          <val>
            <numRef>
              <f>'Overview'!$BZ$31:$CO$31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 (16m)</t>
        </is>
      </c>
      <c r="U5" t="inlineStr">
        <is>
          <t>FY2010 (16m)</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 (16m)</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c r="C6" s="5" t="n"/>
      <c r="D6" s="5" t="n">
        <v>22257</v>
      </c>
      <c r="E6" s="5" t="n">
        <v>22126</v>
      </c>
      <c r="F6" s="5" t="n">
        <v>22583</v>
      </c>
      <c r="G6" s="5" t="n">
        <v>22579</v>
      </c>
      <c r="H6" s="5" t="n">
        <v>21400</v>
      </c>
      <c r="I6" s="5" t="n">
        <v>21647</v>
      </c>
      <c r="J6" s="5" t="n">
        <v>16355</v>
      </c>
      <c r="K6" s="5" t="n">
        <v>10057</v>
      </c>
      <c r="L6" s="5" t="n">
        <v>6148</v>
      </c>
      <c r="M6" s="5" t="n">
        <v>3661</v>
      </c>
      <c r="N6" s="5" t="n">
        <v>1891.6</v>
      </c>
      <c r="O6" s="5" t="n">
        <v>771.2</v>
      </c>
      <c r="P6" s="5" t="n">
        <v>240.3</v>
      </c>
      <c r="Q6" s="5" t="n">
        <v>119.1</v>
      </c>
      <c r="T6" t="inlineStr">
        <is>
          <t>Total assets</t>
        </is>
      </c>
      <c r="U6" t="n">
        <v>119.1</v>
      </c>
      <c r="V6" t="n">
        <v>240.3</v>
      </c>
      <c r="W6" t="n">
        <v>771.2</v>
      </c>
      <c r="X6" t="n">
        <v>1891.6</v>
      </c>
      <c r="Y6" t="n">
        <v>3661</v>
      </c>
      <c r="Z6" t="n">
        <v>6148</v>
      </c>
      <c r="AA6" t="n">
        <v>10057</v>
      </c>
      <c r="AB6" t="n">
        <v>16355</v>
      </c>
      <c r="AC6" t="n">
        <v>21647</v>
      </c>
      <c r="AD6" t="n">
        <v>21400</v>
      </c>
      <c r="AE6" t="n">
        <v>22579</v>
      </c>
      <c r="AF6" t="n">
        <v>22583</v>
      </c>
      <c r="AG6" t="n">
        <v>22126</v>
      </c>
      <c r="AH6" t="n">
        <v>22257</v>
      </c>
      <c r="CR6" t="inlineStr">
        <is>
          <t>CET1 Ratio</t>
        </is>
      </c>
      <c r="CW6" t="n">
        <v>28</v>
      </c>
      <c r="CX6" t="n">
        <v>13</v>
      </c>
      <c r="CY6" t="n">
        <v>18.16</v>
      </c>
      <c r="CZ6" t="n">
        <v>15.25</v>
      </c>
      <c r="DA6" t="n">
        <v>13.1</v>
      </c>
      <c r="DB6" t="n">
        <v>15.6</v>
      </c>
      <c r="DC6" t="n">
        <v>15</v>
      </c>
      <c r="DD6" t="n">
        <v>12.6</v>
      </c>
      <c r="DE6" t="n">
        <v>10.3</v>
      </c>
      <c r="DF6" t="n">
        <v>13.1</v>
      </c>
      <c r="DG6" t="n">
        <v>12.5</v>
      </c>
      <c r="DH6" t="n">
        <v>12.5</v>
      </c>
    </row>
    <row r="7">
      <c r="A7" s="5" t="inlineStr">
        <is>
          <t>Loans and advances to customers</t>
        </is>
      </c>
      <c r="B7" s="5" t="n"/>
      <c r="C7" s="5" t="n"/>
      <c r="D7" s="5" t="n">
        <v>11844</v>
      </c>
      <c r="E7" s="5" t="n">
        <v>12698</v>
      </c>
      <c r="F7" s="5" t="n">
        <v>11976</v>
      </c>
      <c r="G7" s="5" t="n">
        <v>12090</v>
      </c>
      <c r="H7" s="5" t="n">
        <v>14681</v>
      </c>
      <c r="I7" s="5" t="n">
        <v>14235</v>
      </c>
      <c r="J7" s="5" t="n">
        <v>9620</v>
      </c>
      <c r="K7" s="5" t="n">
        <v>5865</v>
      </c>
      <c r="L7" s="5" t="n">
        <v>3543</v>
      </c>
      <c r="M7" s="5" t="n">
        <v>1590</v>
      </c>
      <c r="N7" s="5" t="n">
        <v>751.1</v>
      </c>
      <c r="O7" s="5" t="n">
        <v>167.8</v>
      </c>
      <c r="P7" s="5" t="n">
        <v>42.1</v>
      </c>
      <c r="Q7" s="5" t="n">
        <v>0.1</v>
      </c>
      <c r="T7" t="inlineStr">
        <is>
          <t>Loans and advances to customers</t>
        </is>
      </c>
      <c r="U7" t="n">
        <v>0.1</v>
      </c>
      <c r="V7" t="n">
        <v>42.1</v>
      </c>
      <c r="W7" t="n">
        <v>167.8</v>
      </c>
      <c r="X7" t="n">
        <v>751.1</v>
      </c>
      <c r="Y7" t="n">
        <v>1590</v>
      </c>
      <c r="Z7" t="n">
        <v>3543</v>
      </c>
      <c r="AA7" t="n">
        <v>5865</v>
      </c>
      <c r="AB7" t="n">
        <v>9620</v>
      </c>
      <c r="AC7" t="n">
        <v>14235</v>
      </c>
      <c r="AD7" t="n">
        <v>14681</v>
      </c>
      <c r="AE7" t="n">
        <v>12090</v>
      </c>
      <c r="AF7" t="n">
        <v>11976</v>
      </c>
      <c r="AG7" t="n">
        <v>12698</v>
      </c>
      <c r="AH7" t="n">
        <v>11844</v>
      </c>
      <c r="CR7" t="inlineStr">
        <is>
          <t>Total Capital Ratio</t>
        </is>
      </c>
      <c r="CW7" t="n">
        <v>28</v>
      </c>
      <c r="CX7" t="n">
        <v>13</v>
      </c>
      <c r="CY7" t="n">
        <v>18.16</v>
      </c>
      <c r="CZ7" t="n">
        <v>15.25</v>
      </c>
      <c r="DA7" t="n">
        <v>15.9</v>
      </c>
      <c r="DB7" t="n">
        <v>18.3</v>
      </c>
      <c r="DC7" t="n">
        <v>18.1</v>
      </c>
      <c r="DD7" t="n">
        <v>15.9</v>
      </c>
      <c r="DE7" t="n">
        <v>13.4</v>
      </c>
      <c r="DF7" t="n">
        <v>15.1</v>
      </c>
      <c r="DG7" t="n">
        <v>14.9</v>
      </c>
      <c r="DH7" t="n">
        <v>18.4</v>
      </c>
    </row>
    <row r="8">
      <c r="A8" s="5" t="inlineStr">
        <is>
          <t>Deposits from customers</t>
        </is>
      </c>
      <c r="B8" s="5" t="n"/>
      <c r="C8" s="5" t="n"/>
      <c r="D8" s="5" t="n">
        <v>15623</v>
      </c>
      <c r="E8" s="5" t="n">
        <v>16014</v>
      </c>
      <c r="F8" s="5" t="n">
        <v>16448</v>
      </c>
      <c r="G8" s="5" t="n">
        <v>16072</v>
      </c>
      <c r="H8" s="5" t="n">
        <v>14477</v>
      </c>
      <c r="I8" s="5" t="n">
        <v>15661</v>
      </c>
      <c r="J8" s="5" t="n">
        <v>11669</v>
      </c>
      <c r="K8" s="5" t="n">
        <v>7951</v>
      </c>
      <c r="L8" s="5" t="n">
        <v>5108</v>
      </c>
      <c r="M8" s="5" t="n">
        <v>2867</v>
      </c>
      <c r="N8" s="5" t="n">
        <v>1315.4</v>
      </c>
      <c r="O8" s="5" t="n">
        <v>576.3</v>
      </c>
      <c r="P8" s="5" t="n">
        <v>151.6</v>
      </c>
      <c r="Q8" s="5" t="n">
        <v>17.9</v>
      </c>
      <c r="T8" t="inlineStr">
        <is>
          <t>Deposits from customers</t>
        </is>
      </c>
      <c r="U8" t="n">
        <v>17.9</v>
      </c>
      <c r="V8" t="n">
        <v>151.6</v>
      </c>
      <c r="W8" t="n">
        <v>576.3</v>
      </c>
      <c r="X8" t="n">
        <v>1315.4</v>
      </c>
      <c r="Y8" t="n">
        <v>2867</v>
      </c>
      <c r="Z8" t="n">
        <v>5108</v>
      </c>
      <c r="AA8" t="n">
        <v>7951</v>
      </c>
      <c r="AB8" t="n">
        <v>11669</v>
      </c>
      <c r="AC8" t="n">
        <v>15661</v>
      </c>
      <c r="AD8" t="n">
        <v>14477</v>
      </c>
      <c r="AE8" t="n">
        <v>16072</v>
      </c>
      <c r="AF8" t="n">
        <v>16448</v>
      </c>
      <c r="AG8" t="n">
        <v>16014</v>
      </c>
      <c r="AH8" t="n">
        <v>15623</v>
      </c>
      <c r="CR8" t="inlineStr">
        <is>
          <t>Leverage Ratio</t>
        </is>
      </c>
      <c r="CW8" t="n">
        <v>10</v>
      </c>
      <c r="CX8" t="n">
        <v>4.9</v>
      </c>
      <c r="CY8" t="n">
        <v>6.5</v>
      </c>
      <c r="CZ8" t="n">
        <v>5.5</v>
      </c>
      <c r="DA8" t="n">
        <v>5.4</v>
      </c>
      <c r="DB8" t="n">
        <v>6.6</v>
      </c>
      <c r="DC8" t="n">
        <v>5.6</v>
      </c>
      <c r="DD8" t="n">
        <v>5.2</v>
      </c>
      <c r="DE8" t="n">
        <v>4.2</v>
      </c>
      <c r="DF8" t="n">
        <v>5.3</v>
      </c>
      <c r="DG8" t="n">
        <v>5.6</v>
      </c>
      <c r="DH8" t="n">
        <v>7.8</v>
      </c>
    </row>
    <row r="9">
      <c r="A9" s="5" t="inlineStr">
        <is>
          <t>Total equity</t>
        </is>
      </c>
      <c r="B9" s="5" t="n"/>
      <c r="C9" s="5" t="n"/>
      <c r="D9" s="5" t="n">
        <v>1152</v>
      </c>
      <c r="E9" s="5" t="n">
        <v>957</v>
      </c>
      <c r="F9" s="5" t="n">
        <v>1036</v>
      </c>
      <c r="G9" s="5" t="n">
        <v>1289</v>
      </c>
      <c r="H9" s="5" t="n">
        <v>1583</v>
      </c>
      <c r="I9" s="5" t="n">
        <v>1403</v>
      </c>
      <c r="J9" s="5" t="n">
        <v>1096</v>
      </c>
      <c r="K9" s="5" t="n">
        <v>805</v>
      </c>
      <c r="L9" s="5" t="n">
        <v>407</v>
      </c>
      <c r="M9" s="5" t="n">
        <v>462</v>
      </c>
      <c r="N9" s="5" t="n">
        <v>405</v>
      </c>
      <c r="O9" s="5" t="n">
        <v>178.2</v>
      </c>
      <c r="P9" s="5" t="n">
        <v>78</v>
      </c>
      <c r="Q9" s="5" t="n">
        <v>96.8</v>
      </c>
      <c r="T9" t="inlineStr">
        <is>
          <t>Total equity</t>
        </is>
      </c>
      <c r="U9" t="n">
        <v>96.8</v>
      </c>
      <c r="V9" t="n">
        <v>78</v>
      </c>
      <c r="W9" t="n">
        <v>178.2</v>
      </c>
      <c r="X9" t="n">
        <v>405</v>
      </c>
      <c r="Y9" t="n">
        <v>462</v>
      </c>
      <c r="Z9" t="n">
        <v>407</v>
      </c>
      <c r="AA9" t="n">
        <v>805</v>
      </c>
      <c r="AB9" t="n">
        <v>1096</v>
      </c>
      <c r="AC9" t="n">
        <v>1403</v>
      </c>
      <c r="AD9" t="n">
        <v>1583</v>
      </c>
      <c r="AE9" t="n">
        <v>1289</v>
      </c>
      <c r="AF9" t="n">
        <v>1036</v>
      </c>
      <c r="AG9" t="n">
        <v>957</v>
      </c>
      <c r="AH9" t="n">
        <v>1152</v>
      </c>
      <c r="CR9" t="inlineStr">
        <is>
          <t>LCR</t>
        </is>
      </c>
      <c r="CY9" t="n">
        <v>136</v>
      </c>
      <c r="CZ9" t="n">
        <v>141</v>
      </c>
      <c r="DA9" t="n">
        <v>139</v>
      </c>
      <c r="DB9" t="n">
        <v>197</v>
      </c>
      <c r="DC9" t="n">
        <v>187</v>
      </c>
      <c r="DD9" t="n">
        <v>281</v>
      </c>
      <c r="DE9" t="n">
        <v>246</v>
      </c>
      <c r="DF9" t="n">
        <v>244</v>
      </c>
      <c r="DG9" t="n">
        <v>444</v>
      </c>
      <c r="DH9" t="n">
        <v>314</v>
      </c>
    </row>
    <row r="10">
      <c r="CR10" t="inlineStr">
        <is>
          <t>NSFR</t>
        </is>
      </c>
      <c r="DE10" t="n">
        <v>143</v>
      </c>
      <c r="DF10" t="n">
        <v>136</v>
      </c>
      <c r="DG10" t="n">
        <v>160</v>
      </c>
      <c r="DH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 (16m)</t>
        </is>
      </c>
      <c r="AN12" t="inlineStr">
        <is>
          <t>FY2010 (16m)</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N13" s="5" t="n">
        <v>31.5</v>
      </c>
      <c r="O13" s="5" t="n">
        <v>11</v>
      </c>
      <c r="P13" s="5" t="n">
        <v>4.5</v>
      </c>
      <c r="Q13" s="5" t="n">
        <v>0.2</v>
      </c>
      <c r="AM13" t="inlineStr">
        <is>
          <t>Total income</t>
        </is>
      </c>
      <c r="AN13" t="n">
        <v>0.2</v>
      </c>
      <c r="AO13" t="n">
        <v>4.5</v>
      </c>
      <c r="AP13" t="n">
        <v>11</v>
      </c>
      <c r="AQ13" t="n">
        <v>31.5</v>
      </c>
      <c r="AR13" t="n">
        <v>75.40000000000001</v>
      </c>
      <c r="AS13" t="n">
        <v>120.2</v>
      </c>
      <c r="AT13" t="n">
        <v>195.1</v>
      </c>
      <c r="AU13" t="n">
        <v>293.8</v>
      </c>
      <c r="AV13" t="n">
        <v>404.1</v>
      </c>
      <c r="AW13" t="n">
        <v>415.6</v>
      </c>
      <c r="AX13" t="n">
        <v>432.6</v>
      </c>
      <c r="AY13" t="n">
        <v>418.5</v>
      </c>
      <c r="AZ13" t="n">
        <v>523.5</v>
      </c>
      <c r="BA13" t="n">
        <v>648.9</v>
      </c>
      <c r="BB13" t="n">
        <v>405.3</v>
      </c>
      <c r="BC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N14" s="5" t="n">
        <v>-82.7</v>
      </c>
      <c r="O14" s="5" t="n">
        <v>-56.6</v>
      </c>
      <c r="P14" s="5" t="n">
        <v>-37.4</v>
      </c>
      <c r="Q14" s="5" t="n">
        <v>-23.6</v>
      </c>
      <c r="AM14" t="inlineStr">
        <is>
          <t>Total operating expenses</t>
        </is>
      </c>
      <c r="AN14" t="n">
        <v>-23.6</v>
      </c>
      <c r="AO14" t="n">
        <v>-37.4</v>
      </c>
      <c r="AP14" t="n">
        <v>-56.6</v>
      </c>
      <c r="AQ14" t="n">
        <v>-82.7</v>
      </c>
      <c r="AR14" t="n">
        <v>-122.2</v>
      </c>
      <c r="AS14" t="n">
        <v>-170</v>
      </c>
      <c r="AT14" t="n">
        <v>-207.6</v>
      </c>
      <c r="AU14" t="n">
        <v>-266.9</v>
      </c>
      <c r="AV14" t="n">
        <v>-355.5</v>
      </c>
      <c r="AW14" t="n">
        <v>-534.7</v>
      </c>
      <c r="AX14" t="n">
        <v>-617.3</v>
      </c>
      <c r="AY14" t="n">
        <v>-641.2</v>
      </c>
      <c r="AZ14" t="n">
        <v>-554.3</v>
      </c>
      <c r="BA14" t="n">
        <v>-566.4</v>
      </c>
      <c r="BB14" t="n">
        <v>-610.3</v>
      </c>
      <c r="BC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N15" s="5" t="n">
        <v>-52.2</v>
      </c>
      <c r="O15" s="5" t="n">
        <v>-45.7</v>
      </c>
      <c r="P15" s="5" t="n">
        <v>-33.1</v>
      </c>
      <c r="Q15" s="5" t="n">
        <v>-23.4</v>
      </c>
      <c r="AM15" t="inlineStr">
        <is>
          <t>Profit/(loss) before tax</t>
        </is>
      </c>
      <c r="AN15" t="n">
        <v>-23.4</v>
      </c>
      <c r="AO15" t="n">
        <v>-33.1</v>
      </c>
      <c r="AP15" t="n">
        <v>-45.7</v>
      </c>
      <c r="AQ15" t="n">
        <v>-52.2</v>
      </c>
      <c r="AR15" t="n">
        <v>-48.9</v>
      </c>
      <c r="AS15" t="n">
        <v>-56.8</v>
      </c>
      <c r="AT15" t="n">
        <v>-17.2</v>
      </c>
      <c r="AU15" t="n">
        <v>18.7</v>
      </c>
      <c r="AV15" t="n">
        <v>40.6</v>
      </c>
      <c r="AW15" t="n">
        <v>-130.8</v>
      </c>
      <c r="AX15" t="n">
        <v>-311.4</v>
      </c>
      <c r="AY15" t="n">
        <v>-245.1</v>
      </c>
      <c r="AZ15" t="n">
        <v>-70.7</v>
      </c>
      <c r="BA15" t="n">
        <v>49.3</v>
      </c>
      <c r="BB15" t="n">
        <v>-212.1</v>
      </c>
      <c r="BC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N16" s="5" t="n">
        <v>-41.8</v>
      </c>
      <c r="O16" s="5" t="n">
        <v>-34.6</v>
      </c>
      <c r="P16" s="5" t="n">
        <v>-19</v>
      </c>
      <c r="Q16" s="5" t="n">
        <v>-23.4</v>
      </c>
      <c r="AM16" t="inlineStr">
        <is>
          <t>Profit/(loss) for the year</t>
        </is>
      </c>
      <c r="AN16" t="n">
        <v>-23.4</v>
      </c>
      <c r="AO16" t="n">
        <v>-19</v>
      </c>
      <c r="AP16" t="n">
        <v>-34.6</v>
      </c>
      <c r="AQ16" t="n">
        <v>-41.8</v>
      </c>
      <c r="AR16" t="n">
        <v>-41.1</v>
      </c>
      <c r="AS16" t="n">
        <v>-49.2</v>
      </c>
      <c r="AT16" t="n">
        <v>-16.8</v>
      </c>
      <c r="AU16" t="n">
        <v>10.8</v>
      </c>
      <c r="AV16" t="n">
        <v>27.1</v>
      </c>
      <c r="AW16" t="n">
        <v>-182.6</v>
      </c>
      <c r="AX16" t="n">
        <v>-301.7</v>
      </c>
      <c r="AY16" t="n">
        <v>-248.2</v>
      </c>
      <c r="AZ16" t="n">
        <v>-72.7</v>
      </c>
      <c r="BA16" t="n">
        <v>48.3</v>
      </c>
      <c r="BB16" t="n">
        <v>42.5</v>
      </c>
      <c r="BC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 (16m)</t>
        </is>
      </c>
      <c r="BG19" t="inlineStr">
        <is>
          <t>FY2010 (16m)</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N20" s="5" t="n"/>
      <c r="O20" s="5" t="n"/>
      <c r="P20" s="5" t="n"/>
      <c r="Q20" s="5" t="n"/>
      <c r="BF20" t="inlineStr">
        <is>
          <t>Opening equity</t>
        </is>
      </c>
      <c r="BK20" t="n">
        <v>401</v>
      </c>
      <c r="BL20" t="n">
        <v>462</v>
      </c>
      <c r="BM20" t="n">
        <v>407</v>
      </c>
      <c r="BN20" t="n">
        <v>805</v>
      </c>
      <c r="BO20" t="n">
        <v>1096</v>
      </c>
      <c r="BP20" t="n">
        <v>1403</v>
      </c>
      <c r="BQ20" t="n">
        <v>1583</v>
      </c>
      <c r="BR20" t="n">
        <v>1294</v>
      </c>
      <c r="BS20" t="n">
        <v>1036</v>
      </c>
      <c r="BT20" t="n">
        <v>957</v>
      </c>
    </row>
    <row r="21">
      <c r="A21" s="5" t="inlineStr">
        <is>
          <t>Total comprehensive income for the year</t>
        </is>
      </c>
      <c r="B21" s="5" t="n"/>
      <c r="C21" s="5" t="n"/>
      <c r="D21" s="5" t="n">
        <v>48</v>
      </c>
      <c r="E21" s="5" t="n"/>
      <c r="F21" s="5" t="n"/>
      <c r="G21" s="5" t="n"/>
      <c r="H21" s="5" t="n"/>
      <c r="I21" s="5" t="n">
        <v>23</v>
      </c>
      <c r="J21" s="5" t="n">
        <v>10</v>
      </c>
      <c r="K21" s="5" t="n"/>
      <c r="L21" s="5" t="n"/>
      <c r="M21" s="5" t="n"/>
      <c r="N21" s="5" t="n"/>
      <c r="O21" s="5" t="n"/>
      <c r="P21" s="5" t="n"/>
      <c r="Q21" s="5" t="n"/>
      <c r="BF21" t="inlineStr">
        <is>
          <t>Total comprehensive income for the year</t>
        </is>
      </c>
      <c r="BN21" t="n">
        <v>10</v>
      </c>
      <c r="BO21" t="n">
        <v>23</v>
      </c>
      <c r="BT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N22" s="5" t="n"/>
      <c r="O22" s="5" t="n"/>
      <c r="P22" s="5" t="n"/>
      <c r="Q22" s="5" t="n"/>
      <c r="BF22" t="inlineStr">
        <is>
          <t>Total comprehensive loss for the year</t>
        </is>
      </c>
      <c r="BK22" t="n">
        <v>-38</v>
      </c>
      <c r="BL22" t="n">
        <v>-57</v>
      </c>
      <c r="BM22" t="n">
        <v>-8</v>
      </c>
      <c r="BP22" t="n">
        <v>-183</v>
      </c>
      <c r="BQ22" t="n">
        <v>-296</v>
      </c>
      <c r="BR22" t="n">
        <v>-260</v>
      </c>
      <c r="BS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N23" s="5" t="n"/>
      <c r="O23" s="5" t="n"/>
      <c r="P23" s="5" t="n"/>
      <c r="Q23" s="5" t="n"/>
      <c r="BF23" t="inlineStr">
        <is>
          <t>Other equity movements, net</t>
        </is>
      </c>
      <c r="BK23" t="n">
        <v>100</v>
      </c>
      <c r="BL23" t="n">
        <v>2</v>
      </c>
      <c r="BM23" t="n">
        <v>406</v>
      </c>
      <c r="BN23" t="n">
        <v>282</v>
      </c>
      <c r="BO23" t="n">
        <v>283</v>
      </c>
      <c r="BP23" t="n">
        <v>363</v>
      </c>
      <c r="BQ23" t="n">
        <v>2</v>
      </c>
      <c r="BR23" t="n">
        <v>2</v>
      </c>
      <c r="BS23" t="n">
        <v>2</v>
      </c>
      <c r="BT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N24" s="5" t="n"/>
      <c r="O24" s="5" t="n"/>
      <c r="P24" s="5" t="n"/>
      <c r="Q24" s="5" t="n"/>
      <c r="BF24" t="inlineStr">
        <is>
          <t>Closing equity</t>
        </is>
      </c>
      <c r="BK24" t="n">
        <v>462</v>
      </c>
      <c r="BL24" t="n">
        <v>407</v>
      </c>
      <c r="BM24" t="n">
        <v>805</v>
      </c>
      <c r="BN24" t="n">
        <v>1096</v>
      </c>
      <c r="BO24" t="n">
        <v>1403</v>
      </c>
      <c r="BP24" t="n">
        <v>1583</v>
      </c>
      <c r="BQ24" t="n">
        <v>1289</v>
      </c>
      <c r="BR24" t="n">
        <v>1036</v>
      </c>
      <c r="BS24" t="n">
        <v>957</v>
      </c>
      <c r="BT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 (16m)</t>
        </is>
      </c>
      <c r="BZ27" t="inlineStr">
        <is>
          <t>FY2010 (16m)</t>
        </is>
      </c>
      <c r="CA27" t="inlineStr">
        <is>
          <t>FY2011</t>
        </is>
      </c>
      <c r="CB27" t="inlineStr">
        <is>
          <t>FY2012</t>
        </is>
      </c>
      <c r="CC27" t="inlineStr">
        <is>
          <t>FY2013</t>
        </is>
      </c>
      <c r="CD27" t="inlineStr">
        <is>
          <t>FY2014</t>
        </is>
      </c>
      <c r="CE27" t="inlineStr">
        <is>
          <t>FY2015</t>
        </is>
      </c>
      <c r="CF27" t="inlineStr">
        <is>
          <t>FY2016</t>
        </is>
      </c>
      <c r="CG27" t="inlineStr">
        <is>
          <t>FY2017</t>
        </is>
      </c>
      <c r="CH27" t="inlineStr">
        <is>
          <t>FY2018</t>
        </is>
      </c>
      <c r="CI27" t="inlineStr">
        <is>
          <t>FY2019</t>
        </is>
      </c>
      <c r="CJ27" t="inlineStr">
        <is>
          <t>FY2020</t>
        </is>
      </c>
      <c r="CK27" t="inlineStr">
        <is>
          <t>FY2021</t>
        </is>
      </c>
      <c r="CL27" t="inlineStr">
        <is>
          <t>FY2022</t>
        </is>
      </c>
      <c r="CM27" t="inlineStr">
        <is>
          <t>FY2023</t>
        </is>
      </c>
      <c r="CN27" t="inlineStr">
        <is>
          <t>FY2024</t>
        </is>
      </c>
      <c r="CO27" t="inlineStr">
        <is>
          <t>FY2025</t>
        </is>
      </c>
    </row>
    <row r="28">
      <c r="A28" s="5" t="inlineStr">
        <is>
          <t>Net cash inflows/(outflows) from operating activities</t>
        </is>
      </c>
      <c r="B28" s="5" t="n"/>
      <c r="C28" s="5" t="n"/>
      <c r="D28" s="5" t="n">
        <v>612</v>
      </c>
      <c r="E28" s="5" t="n">
        <v>-1167</v>
      </c>
      <c r="F28" s="5" t="n">
        <v>2874</v>
      </c>
      <c r="G28" s="5" t="n">
        <v>1041</v>
      </c>
      <c r="H28" s="5" t="n">
        <v>-1655</v>
      </c>
      <c r="I28" s="5" t="n">
        <v>153</v>
      </c>
      <c r="J28" s="5" t="n">
        <v>2294</v>
      </c>
      <c r="K28" s="5" t="n">
        <v>1169</v>
      </c>
      <c r="L28" s="5" t="n">
        <v>546</v>
      </c>
      <c r="M28" s="5" t="n">
        <v>810</v>
      </c>
      <c r="N28" s="5" t="n">
        <v>249.3</v>
      </c>
      <c r="O28" s="5" t="n">
        <v>255.8</v>
      </c>
      <c r="P28" s="5" t="n">
        <v>63.7</v>
      </c>
      <c r="Q28" s="5" t="n">
        <v>-6.5</v>
      </c>
      <c r="BY28" t="inlineStr">
        <is>
          <t>Net cash inflows/(outflows) from operating activities</t>
        </is>
      </c>
      <c r="BZ28" t="n">
        <v>-6.5</v>
      </c>
      <c r="CA28" t="n">
        <v>63.7</v>
      </c>
      <c r="CB28" t="n">
        <v>255.8</v>
      </c>
      <c r="CC28" t="n">
        <v>249.3</v>
      </c>
      <c r="CD28" t="n">
        <v>810</v>
      </c>
      <c r="CE28" t="n">
        <v>546</v>
      </c>
      <c r="CF28" t="n">
        <v>1169</v>
      </c>
      <c r="CG28" t="n">
        <v>2294</v>
      </c>
      <c r="CH28" t="n">
        <v>153</v>
      </c>
      <c r="CI28" t="n">
        <v>-1655</v>
      </c>
      <c r="CJ28" t="n">
        <v>1041</v>
      </c>
      <c r="CK28" t="n">
        <v>2874</v>
      </c>
      <c r="CL28" t="n">
        <v>-1167</v>
      </c>
      <c r="CM28" t="n">
        <v>612</v>
      </c>
    </row>
    <row r="29">
      <c r="A29" s="5" t="inlineStr">
        <is>
          <t>Net cash inflows/(outflows) from investing activities</t>
        </is>
      </c>
      <c r="B29" s="5" t="n"/>
      <c r="C29" s="5" t="n"/>
      <c r="D29" s="5" t="n">
        <v>1028</v>
      </c>
      <c r="E29" s="5" t="n">
        <v>-402</v>
      </c>
      <c r="F29" s="5" t="n">
        <v>-2274</v>
      </c>
      <c r="G29" s="5" t="n">
        <v>-956</v>
      </c>
      <c r="H29" s="5" t="n">
        <v>1376</v>
      </c>
      <c r="I29" s="5" t="n">
        <v>-443</v>
      </c>
      <c r="J29" s="5" t="n">
        <v>-858</v>
      </c>
      <c r="K29" s="5" t="n">
        <v>-1349</v>
      </c>
      <c r="L29" s="5" t="n">
        <v>-480</v>
      </c>
      <c r="M29" s="5" t="n">
        <v>-957</v>
      </c>
      <c r="N29" s="5" t="n">
        <v>-344.6</v>
      </c>
      <c r="O29" s="5" t="n">
        <v>-365.3</v>
      </c>
      <c r="P29" s="5" t="n">
        <v>-59.1</v>
      </c>
      <c r="Q29" s="5" t="n">
        <v>-62</v>
      </c>
      <c r="BY29" t="inlineStr">
        <is>
          <t>Net cash inflows/(outflows) from investing activities</t>
        </is>
      </c>
      <c r="BZ29" t="n">
        <v>-62</v>
      </c>
      <c r="CA29" t="n">
        <v>-59.1</v>
      </c>
      <c r="CB29" t="n">
        <v>-365.3</v>
      </c>
      <c r="CC29" t="n">
        <v>-344.6</v>
      </c>
      <c r="CD29" t="n">
        <v>-957</v>
      </c>
      <c r="CE29" t="n">
        <v>-480</v>
      </c>
      <c r="CF29" t="n">
        <v>-1349</v>
      </c>
      <c r="CG29" t="n">
        <v>-858</v>
      </c>
      <c r="CH29" t="n">
        <v>-443</v>
      </c>
      <c r="CI29" t="n">
        <v>1376</v>
      </c>
      <c r="CJ29" t="n">
        <v>-956</v>
      </c>
      <c r="CK29" t="n">
        <v>-2274</v>
      </c>
      <c r="CL29" t="n">
        <v>-402</v>
      </c>
      <c r="CM29" t="n">
        <v>1028</v>
      </c>
    </row>
    <row r="30">
      <c r="A30" s="5" t="inlineStr">
        <is>
          <t>Net cash inflows/(outflows) from financing activities</t>
        </is>
      </c>
      <c r="B30" s="5" t="n"/>
      <c r="C30" s="5" t="n"/>
      <c r="D30" s="5" t="n">
        <v>296</v>
      </c>
      <c r="E30" s="5" t="n">
        <v>-25</v>
      </c>
      <c r="F30" s="5" t="n">
        <v>-27</v>
      </c>
      <c r="G30" s="5" t="n">
        <v>-81</v>
      </c>
      <c r="H30" s="5" t="n">
        <v>796</v>
      </c>
      <c r="I30" s="5" t="n">
        <v>550</v>
      </c>
      <c r="J30" s="5" t="n">
        <v>276</v>
      </c>
      <c r="K30" s="5" t="n">
        <v>398</v>
      </c>
      <c r="L30" s="5" t="n">
        <v>0</v>
      </c>
      <c r="M30" s="5" t="n">
        <v>99</v>
      </c>
      <c r="N30" s="5" t="n">
        <v>284.3</v>
      </c>
      <c r="O30" s="5" t="n">
        <v>126</v>
      </c>
      <c r="P30" s="5" t="n">
        <v>0</v>
      </c>
      <c r="Q30" s="5" t="n">
        <v>120.1</v>
      </c>
      <c r="BY30" t="inlineStr">
        <is>
          <t>Net cash inflows/(outflows) from financing activities</t>
        </is>
      </c>
      <c r="BZ30" t="n">
        <v>120.1</v>
      </c>
      <c r="CA30" t="n">
        <v>0</v>
      </c>
      <c r="CB30" t="n">
        <v>126</v>
      </c>
      <c r="CC30" t="n">
        <v>284.3</v>
      </c>
      <c r="CD30" t="n">
        <v>99</v>
      </c>
      <c r="CE30" t="n">
        <v>0</v>
      </c>
      <c r="CF30" t="n">
        <v>398</v>
      </c>
      <c r="CG30" t="n">
        <v>276</v>
      </c>
      <c r="CH30" t="n">
        <v>550</v>
      </c>
      <c r="CI30" t="n">
        <v>796</v>
      </c>
      <c r="CJ30" t="n">
        <v>-81</v>
      </c>
      <c r="CK30" t="n">
        <v>-27</v>
      </c>
      <c r="CL30" t="n">
        <v>-25</v>
      </c>
      <c r="CM30" t="n">
        <v>296</v>
      </c>
    </row>
    <row r="31">
      <c r="A31" s="5" t="inlineStr">
        <is>
          <t>Cash and cash equivalents at end of year</t>
        </is>
      </c>
      <c r="B31" s="5" t="n"/>
      <c r="C31" s="5" t="n"/>
      <c r="D31" s="5" t="n">
        <v>3889</v>
      </c>
      <c r="E31" s="5" t="n">
        <v>1953</v>
      </c>
      <c r="F31" s="5" t="n">
        <v>3547</v>
      </c>
      <c r="G31" s="5" t="n">
        <v>2993</v>
      </c>
      <c r="H31" s="5" t="n">
        <v>2989</v>
      </c>
      <c r="I31" s="5" t="n">
        <v>2472</v>
      </c>
      <c r="J31" s="5" t="n">
        <v>2212</v>
      </c>
      <c r="K31" s="5" t="n">
        <v>500</v>
      </c>
      <c r="L31" s="5" t="n">
        <v>282</v>
      </c>
      <c r="M31" s="5" t="n">
        <v>216</v>
      </c>
      <c r="N31" s="5" t="n">
        <v>263.2</v>
      </c>
      <c r="O31" s="5" t="n">
        <v>74.09999999999999</v>
      </c>
      <c r="P31" s="5" t="n">
        <v>57.6</v>
      </c>
      <c r="Q31" s="5" t="n">
        <v>52.9</v>
      </c>
      <c r="BY31" t="inlineStr">
        <is>
          <t>Cash and cash equivalents at end of year</t>
        </is>
      </c>
      <c r="BZ31" t="n">
        <v>52.9</v>
      </c>
      <c r="CA31" t="n">
        <v>57.6</v>
      </c>
      <c r="CB31" t="n">
        <v>74.09999999999999</v>
      </c>
      <c r="CC31" t="n">
        <v>263.2</v>
      </c>
      <c r="CD31" t="n">
        <v>216</v>
      </c>
      <c r="CE31" t="n">
        <v>282</v>
      </c>
      <c r="CF31" t="n">
        <v>500</v>
      </c>
      <c r="CG31" t="n">
        <v>2212</v>
      </c>
      <c r="CH31" t="n">
        <v>2472</v>
      </c>
      <c r="CI31" t="n">
        <v>2989</v>
      </c>
      <c r="CJ31" t="n">
        <v>2993</v>
      </c>
      <c r="CK31" t="n">
        <v>3547</v>
      </c>
      <c r="CL31" t="n">
        <v>1953</v>
      </c>
      <c r="CM31" t="n">
        <v>3889</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c r="N34" s="4" t="inlineStr">
        <is>
          <t>FY2013</t>
        </is>
      </c>
      <c r="O34" s="4" t="inlineStr">
        <is>
          <t>FY2012</t>
        </is>
      </c>
      <c r="P34" s="4" t="inlineStr">
        <is>
          <t>FY2011</t>
        </is>
      </c>
      <c r="Q34" s="4" t="inlineStr">
        <is>
          <t>FY2010 (16m)</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c r="N35" s="6" t="n"/>
      <c r="O35" s="6" t="n"/>
      <c r="P35" s="6" t="n"/>
      <c r="Q35" s="6" t="n"/>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c r="N36" s="6" t="n"/>
      <c r="O36" s="6" t="n"/>
      <c r="P36" s="6" t="n"/>
      <c r="Q36" s="6" t="n"/>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c r="N37" s="6" t="n"/>
      <c r="O37" s="6" t="n"/>
      <c r="P37" s="6" t="n"/>
      <c r="Q37" s="6" t="n"/>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c r="N38" s="6" t="n"/>
      <c r="O38" s="6" t="n"/>
      <c r="P38" s="6" t="n"/>
      <c r="Q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c r="N39" s="6" t="n"/>
      <c r="O39" s="6" t="n"/>
      <c r="P39" s="6" t="n"/>
      <c r="Q39" s="6" t="n"/>
    </row>
    <row r="41" ht="45" customHeight="1">
      <c r="A41" s="7" t="inlineStr">
        <is>
          <t>Note: Metro Bank PLC entity basis. Balance Sheet/Equity Changes summaries are Company/standalone (FY2024-FY2025 blank - no standalone Metro Bank PLC accounts located); Profit &amp; Loss summary is Group/consolidated (Metro Bank PLC does not publish its own income statement); cash-flow is Company/standalone with the same FY2024-FY2025 gap.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 2026-09-15 HISTORICAL PILLAR 3: four Metro Bank PLC Basel II Pillar 3 editions (FY2010, FY2011, FY2013, FY2014) were recovered and transcribed, so the Pillar 3, Asset Quality and RWA Breakdown sheets now run to FY2010 alongside the statutory statements. NOTHING FROM THOSE EDITIONS APPEARS ON THIS OVERVIEW: they disclose no capital ratio, no leverage ratio and no liquidity metric of any kind, and their Basel II capital and credit-risk RWA figures sit on their own separate rows on the detail sheets precisely because they are not continuous with the CRR series summarised here. The FY2010-FY2013 ratio cells above are therefore blank by design. FY2012 is recorded on the detail sheets as a genuinely absent edition, not an open gap.</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Balance Sheet</t>
        </is>
      </c>
    </row>
    <row r="2">
      <c r="A2" s="2" t="inlineStr">
        <is>
          <t>Company/standalone basis, £m; 31 December year-end (FY2013-FY2020 shown on a Group/consolidated basis instead - see HD-049/HD-074 notes). FY2010 is a 16-month first accounting period. FY2024-FY2025 not located (see source note) - same basis and gap as the Cash Flow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the Bank of England</t>
        </is>
      </c>
      <c r="B5" s="6" t="n"/>
      <c r="C5" s="6" t="n"/>
      <c r="D5" s="6" t="n">
        <v>3889</v>
      </c>
      <c r="E5" s="6" t="n">
        <v>1953</v>
      </c>
      <c r="F5" s="6" t="n">
        <v>3547</v>
      </c>
      <c r="G5" s="6" t="n">
        <v>2993</v>
      </c>
      <c r="H5" s="6" t="n">
        <v>2989</v>
      </c>
      <c r="I5" s="6" t="n">
        <v>2286</v>
      </c>
      <c r="J5" s="6" t="n">
        <v>2112</v>
      </c>
      <c r="K5" s="6" t="n">
        <v>435</v>
      </c>
      <c r="L5" s="6" t="n">
        <v>218</v>
      </c>
      <c r="M5" s="6" t="n">
        <v>181</v>
      </c>
      <c r="N5" s="6" t="n">
        <v>239</v>
      </c>
      <c r="O5" s="6" t="n">
        <v>46.7</v>
      </c>
      <c r="P5" s="6" t="n">
        <v>35.3</v>
      </c>
      <c r="Q5" s="6" t="n">
        <v>48.4</v>
      </c>
    </row>
    <row r="6">
      <c r="A6" s="6" t="inlineStr">
        <is>
          <t>Loans and advances to banks</t>
        </is>
      </c>
      <c r="B6" s="6" t="n"/>
      <c r="C6" s="6" t="n"/>
      <c r="D6" s="6" t="n"/>
      <c r="E6" s="6" t="n"/>
      <c r="F6" s="6" t="n"/>
      <c r="G6" s="6" t="n"/>
      <c r="H6" s="6" t="n"/>
      <c r="I6" s="6" t="n">
        <v>186</v>
      </c>
      <c r="J6" s="6" t="n">
        <v>100</v>
      </c>
      <c r="K6" s="6" t="n">
        <v>66</v>
      </c>
      <c r="L6" s="6" t="n">
        <v>64</v>
      </c>
      <c r="M6" s="6" t="n">
        <v>35</v>
      </c>
      <c r="N6" s="6" t="n">
        <v>24.2</v>
      </c>
      <c r="O6" s="6" t="n">
        <v>27.4</v>
      </c>
      <c r="P6" s="6" t="n">
        <v>22.2</v>
      </c>
      <c r="Q6" s="6" t="n">
        <v>4.5</v>
      </c>
    </row>
    <row r="7">
      <c r="A7" s="6" t="inlineStr">
        <is>
          <t>Loans and advances to customers</t>
        </is>
      </c>
      <c r="B7" s="6" t="n"/>
      <c r="C7" s="6" t="n"/>
      <c r="D7" s="6" t="n">
        <v>11844</v>
      </c>
      <c r="E7" s="6" t="n">
        <v>12698</v>
      </c>
      <c r="F7" s="6" t="n">
        <v>11976</v>
      </c>
      <c r="G7" s="6" t="n">
        <v>12090</v>
      </c>
      <c r="H7" s="6" t="n">
        <v>14681</v>
      </c>
      <c r="I7" s="6" t="n">
        <v>14235</v>
      </c>
      <c r="J7" s="6" t="n">
        <v>9620</v>
      </c>
      <c r="K7" s="6" t="n">
        <v>5865</v>
      </c>
      <c r="L7" s="6" t="n">
        <v>3543</v>
      </c>
      <c r="M7" s="6" t="n">
        <v>1590</v>
      </c>
      <c r="N7" s="6" t="n">
        <v>751.1</v>
      </c>
      <c r="O7" s="6" t="n">
        <v>167.8</v>
      </c>
      <c r="P7" s="6" t="n">
        <v>42.1</v>
      </c>
      <c r="Q7" s="6" t="n">
        <v>0.1</v>
      </c>
    </row>
    <row r="8">
      <c r="A8" s="6" t="inlineStr">
        <is>
          <t>Investment securities held at FVOCI</t>
        </is>
      </c>
      <c r="B8" s="6" t="n"/>
      <c r="C8" s="6" t="n"/>
      <c r="D8" s="6" t="n">
        <v>476</v>
      </c>
      <c r="E8" s="6" t="n">
        <v>571</v>
      </c>
      <c r="F8" s="6" t="n">
        <v>798</v>
      </c>
      <c r="G8" s="6" t="n">
        <v>773</v>
      </c>
      <c r="H8" s="6" t="n">
        <v>411</v>
      </c>
      <c r="I8" s="6" t="n">
        <v>674</v>
      </c>
      <c r="J8" s="6" t="n"/>
      <c r="K8" s="6" t="n"/>
      <c r="L8" s="6" t="n"/>
      <c r="M8" s="6" t="n"/>
      <c r="N8" s="6" t="n"/>
      <c r="O8" s="6" t="n"/>
      <c r="P8" s="6" t="n"/>
      <c r="Q8" s="6" t="n"/>
    </row>
    <row r="9">
      <c r="A9" s="6" t="inlineStr">
        <is>
          <t>Investment securities held at amortised cost</t>
        </is>
      </c>
      <c r="B9" s="6" t="n"/>
      <c r="C9" s="6" t="n"/>
      <c r="D9" s="6" t="n">
        <v>4403</v>
      </c>
      <c r="E9" s="6" t="n">
        <v>5343</v>
      </c>
      <c r="F9" s="6" t="n">
        <v>4776</v>
      </c>
      <c r="G9" s="6" t="n">
        <v>2640</v>
      </c>
      <c r="H9" s="6" t="n">
        <v>2154</v>
      </c>
      <c r="I9" s="6" t="n">
        <v>3458</v>
      </c>
      <c r="J9" s="6" t="n"/>
      <c r="K9" s="6" t="n"/>
      <c r="L9" s="6" t="n"/>
      <c r="M9" s="6" t="n"/>
      <c r="N9" s="6" t="n"/>
      <c r="O9" s="6" t="n"/>
      <c r="P9" s="6" t="n"/>
      <c r="Q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c r="N10" s="6" t="n"/>
      <c r="O10" s="6" t="n"/>
      <c r="P10" s="6" t="n"/>
      <c r="Q10" s="6" t="n"/>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c r="N11" s="6" t="n"/>
      <c r="O11" s="6" t="n"/>
      <c r="P11" s="6" t="n"/>
      <c r="Q11" s="6" t="n">
        <v>40.3</v>
      </c>
    </row>
    <row r="12">
      <c r="A12" s="6" t="inlineStr">
        <is>
          <t>Investment securities (undifferentiated basis, HD-074: FY2011-FY2013 note-level AFS/HTM split not sourced this session)</t>
        </is>
      </c>
      <c r="B12" s="6" t="n"/>
      <c r="C12" s="6" t="n"/>
      <c r="D12" s="6" t="n"/>
      <c r="E12" s="6" t="n"/>
      <c r="F12" s="6" t="n"/>
      <c r="G12" s="6" t="n"/>
      <c r="H12" s="6" t="n"/>
      <c r="I12" s="6" t="n"/>
      <c r="J12" s="6" t="n"/>
      <c r="K12" s="6" t="n"/>
      <c r="L12" s="6" t="n"/>
      <c r="M12" s="6" t="n"/>
      <c r="N12" s="6" t="n">
        <v>696.4</v>
      </c>
      <c r="O12" s="6" t="n">
        <v>431.2</v>
      </c>
      <c r="P12" s="6" t="n">
        <v>81.3</v>
      </c>
      <c r="Q12" s="6" t="n"/>
    </row>
    <row r="13">
      <c r="A13" s="6" t="inlineStr">
        <is>
          <t>Financial assets held at fair value through profit and loss</t>
        </is>
      </c>
      <c r="B13" s="6" t="n"/>
      <c r="C13" s="6" t="n"/>
      <c r="D13" s="6" t="n"/>
      <c r="E13" s="6" t="n">
        <v>1</v>
      </c>
      <c r="F13" s="6" t="n">
        <v>3</v>
      </c>
      <c r="G13" s="6" t="n">
        <v>30</v>
      </c>
      <c r="H13" s="6" t="n"/>
      <c r="I13" s="6" t="n"/>
      <c r="J13" s="6" t="n"/>
      <c r="K13" s="6" t="n"/>
      <c r="L13" s="6" t="n"/>
      <c r="M13" s="6" t="n"/>
      <c r="N13" s="6" t="n"/>
      <c r="O13" s="6" t="n"/>
      <c r="P13" s="6" t="n"/>
      <c r="Q13" s="6" t="n"/>
    </row>
    <row r="14">
      <c r="A14" s="6" t="inlineStr">
        <is>
          <t>Derivative financial assets</t>
        </is>
      </c>
      <c r="B14" s="6" t="n"/>
      <c r="C14" s="6" t="n"/>
      <c r="D14" s="6" t="n">
        <v>36</v>
      </c>
      <c r="E14" s="6" t="n">
        <v>23</v>
      </c>
      <c r="F14" s="6" t="n"/>
      <c r="G14" s="6" t="n"/>
      <c r="H14" s="6" t="n"/>
      <c r="I14" s="6" t="n"/>
      <c r="J14" s="6" t="n"/>
      <c r="K14" s="6" t="n"/>
      <c r="L14" s="6" t="n"/>
      <c r="M14" s="6" t="n"/>
      <c r="N14" s="6" t="n"/>
      <c r="O14" s="6" t="n"/>
      <c r="P14" s="6" t="n"/>
      <c r="Q14" s="6" t="n"/>
    </row>
    <row r="15">
      <c r="A15" s="6" t="inlineStr">
        <is>
          <t>Property, plant and equipment</t>
        </is>
      </c>
      <c r="B15" s="6" t="n"/>
      <c r="C15" s="6" t="n"/>
      <c r="D15" s="6" t="n">
        <v>723</v>
      </c>
      <c r="E15" s="6" t="n">
        <v>748</v>
      </c>
      <c r="F15" s="6" t="n">
        <v>765</v>
      </c>
      <c r="G15" s="6" t="n">
        <v>806</v>
      </c>
      <c r="H15" s="6" t="n">
        <v>856</v>
      </c>
      <c r="I15" s="6" t="n">
        <v>454</v>
      </c>
      <c r="J15" s="6" t="n">
        <v>328</v>
      </c>
      <c r="K15" s="6" t="n">
        <v>247</v>
      </c>
      <c r="L15" s="6" t="n">
        <v>165</v>
      </c>
      <c r="M15" s="6" t="n">
        <v>132</v>
      </c>
      <c r="N15" s="6" t="n">
        <v>104.5</v>
      </c>
      <c r="O15" s="6" t="n">
        <v>53.6</v>
      </c>
      <c r="P15" s="6" t="n">
        <v>32.3</v>
      </c>
      <c r="Q15" s="6" t="n">
        <v>17.3</v>
      </c>
    </row>
    <row r="16">
      <c r="A16" s="6" t="inlineStr">
        <is>
          <t>Investment in subsidiaries</t>
        </is>
      </c>
      <c r="B16" s="6" t="n"/>
      <c r="C16" s="6" t="n"/>
      <c r="D16" s="6" t="n">
        <v>15</v>
      </c>
      <c r="E16" s="6" t="n">
        <v>31</v>
      </c>
      <c r="F16" s="6" t="n">
        <v>31</v>
      </c>
      <c r="G16" s="6" t="n"/>
      <c r="H16" s="6" t="n"/>
      <c r="I16" s="6" t="n"/>
      <c r="J16" s="6" t="n"/>
      <c r="K16" s="6" t="n"/>
      <c r="L16" s="6" t="n"/>
      <c r="M16" s="6" t="n"/>
      <c r="N16" s="6" t="n"/>
      <c r="O16" s="6" t="n"/>
      <c r="P16" s="6" t="n"/>
      <c r="Q16" s="6" t="n"/>
    </row>
    <row r="17">
      <c r="A17" s="6" t="inlineStr">
        <is>
          <t>Intangible assets</t>
        </is>
      </c>
      <c r="B17" s="6" t="n"/>
      <c r="C17" s="6" t="n"/>
      <c r="D17" s="6" t="n">
        <v>188</v>
      </c>
      <c r="E17" s="6" t="n">
        <v>204</v>
      </c>
      <c r="F17" s="6" t="n">
        <v>231</v>
      </c>
      <c r="G17" s="6" t="n">
        <v>254</v>
      </c>
      <c r="H17" s="6" t="n">
        <v>168</v>
      </c>
      <c r="I17" s="6" t="n">
        <v>197</v>
      </c>
      <c r="J17" s="6" t="n">
        <v>148</v>
      </c>
      <c r="K17" s="6" t="n">
        <v>93</v>
      </c>
      <c r="L17" s="6" t="n">
        <v>54</v>
      </c>
      <c r="M17" s="6" t="n">
        <v>35</v>
      </c>
      <c r="N17" s="6" t="n">
        <v>23.8</v>
      </c>
      <c r="O17" s="6" t="n">
        <v>10.9</v>
      </c>
      <c r="P17" s="6" t="n">
        <v>8.800000000000001</v>
      </c>
      <c r="Q17" s="6" t="n">
        <v>7</v>
      </c>
    </row>
    <row r="18">
      <c r="A18" s="6" t="inlineStr">
        <is>
          <t>Deferred tax asset</t>
        </is>
      </c>
      <c r="B18" s="6" t="n"/>
      <c r="C18" s="6" t="n"/>
      <c r="D18" s="6" t="n"/>
      <c r="E18" s="6" t="n"/>
      <c r="F18" s="6" t="n"/>
      <c r="G18" s="6" t="n"/>
      <c r="H18" s="6" t="n"/>
      <c r="I18" s="6" t="n">
        <v>41</v>
      </c>
      <c r="J18" s="6" t="n">
        <v>54</v>
      </c>
      <c r="K18" s="6" t="n">
        <v>56</v>
      </c>
      <c r="L18" s="6" t="n">
        <v>53</v>
      </c>
      <c r="M18" s="6" t="n">
        <v>44</v>
      </c>
      <c r="N18" s="6" t="n">
        <v>35.8</v>
      </c>
      <c r="O18" s="6" t="n">
        <v>25.3</v>
      </c>
      <c r="P18" s="6" t="n">
        <v>14.1</v>
      </c>
      <c r="Q18" s="6" t="n"/>
    </row>
    <row r="19">
      <c r="A19" s="6" t="inlineStr">
        <is>
          <t>Prepayments and accrued income</t>
        </is>
      </c>
      <c r="B19" s="6" t="n"/>
      <c r="C19" s="6" t="n"/>
      <c r="D19" s="6" t="n">
        <v>111</v>
      </c>
      <c r="E19" s="6" t="n">
        <v>80</v>
      </c>
      <c r="F19" s="6" t="n">
        <v>64</v>
      </c>
      <c r="G19" s="6" t="n">
        <v>77</v>
      </c>
      <c r="H19" s="6" t="n">
        <v>66</v>
      </c>
      <c r="I19" s="6" t="n">
        <v>66</v>
      </c>
      <c r="J19" s="6" t="n">
        <v>53</v>
      </c>
      <c r="K19" s="6" t="n">
        <v>43</v>
      </c>
      <c r="L19" s="6" t="n">
        <v>30</v>
      </c>
      <c r="M19" s="6" t="n">
        <v>19</v>
      </c>
      <c r="N19" s="6" t="n">
        <v>5</v>
      </c>
      <c r="O19" s="6" t="n">
        <v>1.9</v>
      </c>
      <c r="P19" s="6" t="n">
        <v>0.8</v>
      </c>
      <c r="Q19" s="6" t="n">
        <v>0.4</v>
      </c>
    </row>
    <row r="20">
      <c r="A20" s="6" t="inlineStr">
        <is>
          <t>Assets classified as held for sale</t>
        </is>
      </c>
      <c r="B20" s="6" t="n"/>
      <c r="C20" s="6" t="n"/>
      <c r="D20" s="6" t="n"/>
      <c r="E20" s="6" t="n">
        <v>1</v>
      </c>
      <c r="F20" s="6" t="n"/>
      <c r="G20" s="6" t="n">
        <v>295</v>
      </c>
      <c r="H20" s="6" t="n"/>
      <c r="I20" s="6" t="n"/>
      <c r="J20" s="6" t="n"/>
      <c r="K20" s="6" t="n"/>
      <c r="L20" s="6" t="n"/>
      <c r="M20" s="6" t="n"/>
      <c r="N20" s="6" t="n"/>
      <c r="O20" s="6" t="n"/>
      <c r="P20" s="6" t="n"/>
      <c r="Q20" s="6" t="n"/>
    </row>
    <row r="21">
      <c r="A21" s="6" t="inlineStr">
        <is>
          <t>Other assets</t>
        </is>
      </c>
      <c r="B21" s="6" t="n"/>
      <c r="C21" s="6" t="n"/>
      <c r="D21" s="6" t="n">
        <v>572</v>
      </c>
      <c r="E21" s="6" t="n">
        <v>473</v>
      </c>
      <c r="F21" s="6" t="n">
        <v>392</v>
      </c>
      <c r="G21" s="6" t="n">
        <v>2621</v>
      </c>
      <c r="H21" s="6" t="n">
        <v>75</v>
      </c>
      <c r="I21" s="6" t="n">
        <v>50</v>
      </c>
      <c r="J21" s="6" t="n">
        <v>26</v>
      </c>
      <c r="K21" s="6" t="n">
        <v>26</v>
      </c>
      <c r="L21" s="6" t="n">
        <v>21</v>
      </c>
      <c r="M21" s="6" t="n">
        <v>14</v>
      </c>
      <c r="N21" s="6" t="n">
        <v>11.8</v>
      </c>
      <c r="O21" s="6" t="n">
        <v>6.4</v>
      </c>
      <c r="P21" s="6" t="n">
        <v>3.3</v>
      </c>
      <c r="Q21" s="6" t="n">
        <v>1</v>
      </c>
    </row>
    <row r="22">
      <c r="A22" s="5" t="inlineStr">
        <is>
          <t>Total assets</t>
        </is>
      </c>
      <c r="B22" s="5" t="n"/>
      <c r="C22" s="5" t="n"/>
      <c r="D22" s="5" t="n">
        <v>22257</v>
      </c>
      <c r="E22" s="5" t="n">
        <v>22126</v>
      </c>
      <c r="F22" s="5" t="n">
        <v>22583</v>
      </c>
      <c r="G22" s="5" t="n">
        <v>22579</v>
      </c>
      <c r="H22" s="5" t="n">
        <v>21400</v>
      </c>
      <c r="I22" s="5" t="n">
        <v>21647</v>
      </c>
      <c r="J22" s="5" t="n">
        <v>16355</v>
      </c>
      <c r="K22" s="5" t="n">
        <v>10057</v>
      </c>
      <c r="L22" s="5" t="n">
        <v>6148</v>
      </c>
      <c r="M22" s="5" t="n">
        <v>3661</v>
      </c>
      <c r="N22" s="5" t="n">
        <v>1891.6</v>
      </c>
      <c r="O22" s="5" t="n">
        <v>771.2</v>
      </c>
      <c r="P22" s="5" t="n">
        <v>240.3</v>
      </c>
      <c r="Q22" s="5" t="n">
        <v>119.1</v>
      </c>
    </row>
    <row r="23">
      <c r="A23" s="5" t="inlineStr">
        <is>
          <t>Liabilities</t>
        </is>
      </c>
      <c r="B23" s="6" t="n"/>
      <c r="C23" s="6" t="n"/>
      <c r="D23" s="6" t="n"/>
      <c r="E23" s="6" t="n"/>
      <c r="F23" s="6" t="n"/>
      <c r="G23" s="6" t="n"/>
      <c r="H23" s="6" t="n"/>
      <c r="I23" s="6" t="n"/>
      <c r="J23" s="6" t="n"/>
      <c r="K23" s="6" t="n"/>
      <c r="L23" s="6" t="n"/>
      <c r="M23" s="6" t="n"/>
      <c r="N23" s="6" t="n"/>
      <c r="O23" s="6" t="n"/>
      <c r="P23" s="6" t="n"/>
      <c r="Q23" s="6" t="n"/>
    </row>
    <row r="24">
      <c r="A24" s="6" t="inlineStr">
        <is>
          <t>Deposits from customers</t>
        </is>
      </c>
      <c r="B24" s="6" t="n"/>
      <c r="C24" s="6" t="n"/>
      <c r="D24" s="6" t="n">
        <v>15623</v>
      </c>
      <c r="E24" s="6" t="n">
        <v>16014</v>
      </c>
      <c r="F24" s="6" t="n">
        <v>16448</v>
      </c>
      <c r="G24" s="6" t="n">
        <v>16072</v>
      </c>
      <c r="H24" s="6" t="n">
        <v>14477</v>
      </c>
      <c r="I24" s="6" t="n">
        <v>15661</v>
      </c>
      <c r="J24" s="6" t="n">
        <v>11669</v>
      </c>
      <c r="K24" s="6" t="n">
        <v>7951</v>
      </c>
      <c r="L24" s="6" t="n">
        <v>5108</v>
      </c>
      <c r="M24" s="6" t="n">
        <v>2867</v>
      </c>
      <c r="N24" s="6" t="n">
        <v>1315.4</v>
      </c>
      <c r="O24" s="6" t="n">
        <v>576.3</v>
      </c>
      <c r="P24" s="6" t="n">
        <v>151.6</v>
      </c>
      <c r="Q24" s="6" t="n">
        <v>17.9</v>
      </c>
    </row>
    <row r="25">
      <c r="A25" s="6" t="inlineStr">
        <is>
          <t>Deposits from central banks</t>
        </is>
      </c>
      <c r="B25" s="6" t="n"/>
      <c r="C25" s="6" t="n"/>
      <c r="D25" s="6" t="n">
        <v>3050</v>
      </c>
      <c r="E25" s="6" t="n">
        <v>3800</v>
      </c>
      <c r="F25" s="6" t="n">
        <v>3800</v>
      </c>
      <c r="G25" s="6" t="n">
        <v>3808</v>
      </c>
      <c r="H25" s="6" t="n">
        <v>3801</v>
      </c>
      <c r="I25" s="6" t="n">
        <v>3801</v>
      </c>
      <c r="J25" s="6" t="n">
        <v>3321</v>
      </c>
      <c r="K25" s="6" t="n">
        <v>543</v>
      </c>
      <c r="L25" s="6" t="n"/>
      <c r="M25" s="6" t="n"/>
      <c r="N25" s="6" t="n"/>
      <c r="O25" s="6" t="n"/>
      <c r="P25" s="6" t="n"/>
      <c r="Q25" s="6" t="n"/>
    </row>
    <row r="26">
      <c r="A26" s="6" t="inlineStr">
        <is>
          <t>Debt securities</t>
        </is>
      </c>
      <c r="B26" s="6" t="n"/>
      <c r="C26" s="6" t="n"/>
      <c r="D26" s="6" t="n">
        <v>699</v>
      </c>
      <c r="E26" s="6" t="n">
        <v>571</v>
      </c>
      <c r="F26" s="6" t="n">
        <v>588</v>
      </c>
      <c r="G26" s="6" t="n">
        <v>600</v>
      </c>
      <c r="H26" s="6" t="n">
        <v>591</v>
      </c>
      <c r="I26" s="6" t="n">
        <v>249</v>
      </c>
      <c r="J26" s="6" t="n"/>
      <c r="K26" s="6" t="n"/>
      <c r="L26" s="6" t="n"/>
      <c r="M26" s="6" t="n"/>
      <c r="N26" s="6" t="n"/>
      <c r="O26" s="6" t="n"/>
      <c r="P26" s="6" t="n"/>
      <c r="Q26" s="6" t="n"/>
    </row>
    <row r="27">
      <c r="A27" s="6" t="inlineStr">
        <is>
          <t>Financial liabilities held at fair value through profit and loss</t>
        </is>
      </c>
      <c r="B27" s="6" t="n"/>
      <c r="C27" s="6" t="n"/>
      <c r="D27" s="6" t="n"/>
      <c r="E27" s="6" t="n"/>
      <c r="F27" s="6" t="n"/>
      <c r="G27" s="6" t="n">
        <v>30</v>
      </c>
      <c r="H27" s="6" t="n"/>
      <c r="I27" s="6" t="n"/>
      <c r="J27" s="6" t="n"/>
      <c r="K27" s="6" t="n"/>
      <c r="L27" s="6" t="n"/>
      <c r="M27" s="6" t="n"/>
      <c r="N27" s="6" t="n"/>
      <c r="O27" s="6" t="n"/>
      <c r="P27" s="6" t="n"/>
      <c r="Q27" s="6" t="n"/>
    </row>
    <row r="28">
      <c r="A28" s="6" t="inlineStr">
        <is>
          <t>Repurchase agreements</t>
        </is>
      </c>
      <c r="B28" s="6" t="n"/>
      <c r="C28" s="6" t="n"/>
      <c r="D28" s="6" t="n">
        <v>1191</v>
      </c>
      <c r="E28" s="6" t="n">
        <v>238</v>
      </c>
      <c r="F28" s="6" t="n">
        <v>169</v>
      </c>
      <c r="G28" s="6" t="n">
        <v>196</v>
      </c>
      <c r="H28" s="6" t="n">
        <v>250</v>
      </c>
      <c r="I28" s="6" t="n">
        <v>344</v>
      </c>
      <c r="J28" s="6" t="n">
        <v>122</v>
      </c>
      <c r="K28" s="6" t="n">
        <v>653</v>
      </c>
      <c r="L28" s="6" t="n">
        <v>562</v>
      </c>
      <c r="M28" s="6" t="n">
        <v>283</v>
      </c>
      <c r="N28" s="6" t="n"/>
      <c r="O28" s="6" t="n"/>
      <c r="P28" s="6" t="n"/>
      <c r="Q28" s="6" t="n"/>
    </row>
    <row r="29">
      <c r="A29" s="6" t="inlineStr">
        <is>
          <t>Derivative financial liabilities</t>
        </is>
      </c>
      <c r="B29" s="6" t="n"/>
      <c r="C29" s="6" t="n"/>
      <c r="D29" s="6" t="n"/>
      <c r="E29" s="6" t="n">
        <v>26</v>
      </c>
      <c r="F29" s="6" t="n">
        <v>10</v>
      </c>
      <c r="G29" s="6" t="n">
        <v>8</v>
      </c>
      <c r="H29" s="6" t="n">
        <v>8</v>
      </c>
      <c r="I29" s="6" t="n"/>
      <c r="J29" s="6" t="n"/>
      <c r="K29" s="6" t="n"/>
      <c r="L29" s="6" t="n"/>
      <c r="M29" s="6" t="n"/>
      <c r="N29" s="6" t="n"/>
      <c r="O29" s="6" t="n"/>
      <c r="P29" s="6" t="n"/>
      <c r="Q29" s="6" t="n"/>
    </row>
    <row r="30">
      <c r="A30" s="6" t="inlineStr">
        <is>
          <t>Lease liabilities</t>
        </is>
      </c>
      <c r="B30" s="6" t="n"/>
      <c r="C30" s="6" t="n"/>
      <c r="D30" s="6" t="n">
        <v>234</v>
      </c>
      <c r="E30" s="6" t="n">
        <v>248</v>
      </c>
      <c r="F30" s="6" t="n">
        <v>269</v>
      </c>
      <c r="G30" s="6" t="n">
        <v>327</v>
      </c>
      <c r="H30" s="6" t="n">
        <v>341</v>
      </c>
      <c r="I30" s="6" t="n"/>
      <c r="J30" s="6" t="n"/>
      <c r="K30" s="6" t="n"/>
      <c r="L30" s="6" t="n"/>
      <c r="M30" s="6" t="n"/>
      <c r="N30" s="6" t="n"/>
      <c r="O30" s="6" t="n"/>
      <c r="P30" s="6" t="n"/>
      <c r="Q30" s="6" t="n"/>
    </row>
    <row r="31">
      <c r="A31" s="6" t="inlineStr">
        <is>
          <t>Deferred grants</t>
        </is>
      </c>
      <c r="B31" s="6" t="n"/>
      <c r="C31" s="6" t="n"/>
      <c r="D31" s="6" t="n">
        <v>16</v>
      </c>
      <c r="E31" s="6" t="n">
        <v>17</v>
      </c>
      <c r="F31" s="6" t="n">
        <v>19</v>
      </c>
      <c r="G31" s="6" t="n">
        <v>28</v>
      </c>
      <c r="H31" s="6" t="n">
        <v>50</v>
      </c>
      <c r="I31" s="6" t="n"/>
      <c r="J31" s="6" t="n"/>
      <c r="K31" s="6" t="n"/>
      <c r="L31" s="6" t="n"/>
      <c r="M31" s="6" t="n"/>
      <c r="N31" s="6" t="n"/>
      <c r="O31" s="6" t="n"/>
      <c r="P31" s="6" t="n"/>
      <c r="Q31" s="6" t="n"/>
    </row>
    <row r="32">
      <c r="A32" s="6" t="inlineStr">
        <is>
          <t>Provisions</t>
        </is>
      </c>
      <c r="B32" s="6" t="n"/>
      <c r="C32" s="6" t="n"/>
      <c r="D32" s="6" t="n">
        <v>23</v>
      </c>
      <c r="E32" s="6" t="n">
        <v>7</v>
      </c>
      <c r="F32" s="6" t="n">
        <v>15</v>
      </c>
      <c r="G32" s="6" t="n">
        <v>11</v>
      </c>
      <c r="H32" s="6" t="n">
        <v>17</v>
      </c>
      <c r="I32" s="6" t="n"/>
      <c r="J32" s="6" t="n"/>
      <c r="K32" s="6" t="n"/>
      <c r="L32" s="6" t="n"/>
      <c r="M32" s="6" t="n"/>
      <c r="N32" s="6" t="n"/>
      <c r="O32" s="6" t="n"/>
      <c r="P32" s="6" t="n"/>
      <c r="Q32" s="6" t="n"/>
    </row>
    <row r="33">
      <c r="A33" s="6" t="inlineStr">
        <is>
          <t>Deferred tax liability</t>
        </is>
      </c>
      <c r="B33" s="6" t="n"/>
      <c r="C33" s="6" t="n"/>
      <c r="D33" s="6" t="n">
        <v>13</v>
      </c>
      <c r="E33" s="6" t="n">
        <v>12</v>
      </c>
      <c r="F33" s="6" t="n">
        <v>12</v>
      </c>
      <c r="G33" s="6" t="n">
        <v>12</v>
      </c>
      <c r="H33" s="6" t="n">
        <v>15</v>
      </c>
      <c r="I33" s="6" t="n"/>
      <c r="J33" s="6" t="n"/>
      <c r="K33" s="6" t="n"/>
      <c r="L33" s="6" t="n"/>
      <c r="M33" s="6" t="n"/>
      <c r="N33" s="6" t="n"/>
      <c r="O33" s="6" t="n"/>
      <c r="P33" s="6" t="n"/>
      <c r="Q33" s="6" t="n"/>
    </row>
    <row r="34">
      <c r="A34" s="6" t="inlineStr">
        <is>
          <t>Other liabilities</t>
        </is>
      </c>
      <c r="B34" s="6" t="n"/>
      <c r="C34" s="6" t="n"/>
      <c r="D34" s="6" t="n">
        <v>256</v>
      </c>
      <c r="E34" s="6" t="n">
        <v>236</v>
      </c>
      <c r="F34" s="6" t="n">
        <v>217</v>
      </c>
      <c r="G34" s="6" t="n">
        <v>198</v>
      </c>
      <c r="H34" s="6" t="n">
        <v>267</v>
      </c>
      <c r="I34" s="6" t="n">
        <v>189</v>
      </c>
      <c r="J34" s="6" t="n">
        <v>148</v>
      </c>
      <c r="K34" s="6" t="n">
        <v>106</v>
      </c>
      <c r="L34" s="6" t="n">
        <v>71</v>
      </c>
      <c r="M34" s="6" t="n">
        <v>49</v>
      </c>
      <c r="N34" s="6" t="n">
        <v>171.2</v>
      </c>
      <c r="O34" s="6" t="n">
        <v>16.7</v>
      </c>
      <c r="P34" s="6" t="n">
        <v>10.7</v>
      </c>
      <c r="Q34" s="6" t="n">
        <v>4.5</v>
      </c>
    </row>
    <row r="35">
      <c r="A35" s="5" t="inlineStr">
        <is>
          <t>Total liabilities</t>
        </is>
      </c>
      <c r="B35" s="5" t="n"/>
      <c r="C35" s="5" t="n"/>
      <c r="D35" s="5" t="n">
        <v>21105</v>
      </c>
      <c r="E35" s="5" t="n">
        <v>21169</v>
      </c>
      <c r="F35" s="5" t="n">
        <v>21547</v>
      </c>
      <c r="G35" s="5" t="n">
        <v>21290</v>
      </c>
      <c r="H35" s="5" t="n">
        <v>19817</v>
      </c>
      <c r="I35" s="5" t="n">
        <v>20244</v>
      </c>
      <c r="J35" s="5" t="n">
        <v>15259</v>
      </c>
      <c r="K35" s="5" t="n">
        <v>9253</v>
      </c>
      <c r="L35" s="5" t="n">
        <v>5741</v>
      </c>
      <c r="M35" s="5" t="n">
        <v>3198</v>
      </c>
      <c r="N35" s="5" t="n">
        <v>1486.6</v>
      </c>
      <c r="O35" s="5" t="n">
        <v>593</v>
      </c>
      <c r="P35" s="5" t="n">
        <v>162.3</v>
      </c>
      <c r="Q35" s="5" t="n">
        <v>22.3</v>
      </c>
    </row>
    <row r="36">
      <c r="A36" s="5" t="inlineStr">
        <is>
          <t>Equity</t>
        </is>
      </c>
      <c r="B36" s="6" t="n"/>
      <c r="C36" s="6" t="n"/>
      <c r="D36" s="6" t="n"/>
      <c r="E36" s="6" t="n"/>
      <c r="F36" s="6" t="n"/>
      <c r="G36" s="6" t="n"/>
      <c r="H36" s="6" t="n"/>
      <c r="I36" s="6" t="n"/>
      <c r="J36" s="6" t="n"/>
      <c r="K36" s="6" t="n"/>
      <c r="L36" s="6" t="n"/>
      <c r="M36" s="6" t="n"/>
      <c r="N36" s="6" t="n"/>
      <c r="O36" s="6" t="n"/>
      <c r="P36" s="6" t="n"/>
      <c r="Q36" s="6" t="n"/>
    </row>
    <row r="37">
      <c r="A37" s="6" t="inlineStr">
        <is>
          <t>Called-up share capital</t>
        </is>
      </c>
      <c r="B37" s="6" t="n"/>
      <c r="C37" s="6" t="n"/>
      <c r="D37" s="6" t="n"/>
      <c r="E37" s="6" t="n"/>
      <c r="F37" s="6" t="n"/>
      <c r="G37" s="6" t="n"/>
      <c r="H37" s="6" t="n"/>
      <c r="I37" s="6" t="n"/>
      <c r="J37" s="6" t="n"/>
      <c r="K37" s="6" t="n"/>
      <c r="L37" s="6" t="n"/>
      <c r="M37" s="6" t="n"/>
      <c r="N37" s="6" t="n"/>
      <c r="O37" s="6" t="n"/>
      <c r="P37" s="6" t="n"/>
      <c r="Q37" s="6" t="n"/>
    </row>
    <row r="38">
      <c r="A38" s="6" t="inlineStr">
        <is>
          <t>Share premium</t>
        </is>
      </c>
      <c r="B38" s="6" t="n"/>
      <c r="C38" s="6" t="n"/>
      <c r="D38" s="6" t="n">
        <v>144</v>
      </c>
      <c r="E38" s="6" t="n">
        <v>1964</v>
      </c>
      <c r="F38" s="6" t="n">
        <v>1964</v>
      </c>
      <c r="G38" s="6" t="n">
        <v>1964</v>
      </c>
      <c r="H38" s="6" t="n">
        <v>1964</v>
      </c>
      <c r="I38" s="6" t="n">
        <v>1605</v>
      </c>
      <c r="J38" s="6" t="n">
        <v>1304</v>
      </c>
      <c r="K38" s="6" t="n">
        <v>1028</v>
      </c>
      <c r="L38" s="6" t="n">
        <v>629</v>
      </c>
      <c r="M38" s="6" t="n">
        <v>629</v>
      </c>
      <c r="N38" s="6" t="n">
        <v>530.5</v>
      </c>
      <c r="O38" s="6" t="n">
        <v>246.2</v>
      </c>
      <c r="P38" s="6" t="n">
        <v>120.1</v>
      </c>
      <c r="Q38" s="6" t="n">
        <v>120.1</v>
      </c>
    </row>
    <row r="39">
      <c r="A39" s="6" t="inlineStr">
        <is>
          <t>Retained earnings/(losses)</t>
        </is>
      </c>
      <c r="B39" s="6" t="n"/>
      <c r="C39" s="6" t="n"/>
      <c r="D39" s="6" t="n">
        <v>996</v>
      </c>
      <c r="E39" s="6" t="n">
        <v>-1014</v>
      </c>
      <c r="F39" s="6" t="n">
        <v>-941</v>
      </c>
      <c r="G39" s="6" t="n">
        <v>-694</v>
      </c>
      <c r="H39" s="6" t="n">
        <v>-392</v>
      </c>
      <c r="I39" s="6" t="n">
        <v>-209</v>
      </c>
      <c r="J39" s="6" t="n">
        <v>-219</v>
      </c>
      <c r="K39" s="6" t="n">
        <v>-230</v>
      </c>
      <c r="L39" s="6" t="n">
        <v>-213</v>
      </c>
      <c r="M39" s="6" t="n">
        <v>-164</v>
      </c>
      <c r="N39" s="6" t="n">
        <v>-118.7</v>
      </c>
      <c r="O39" s="6" t="n">
        <v>-76.90000000000001</v>
      </c>
      <c r="P39" s="6" t="n">
        <v>-42.3</v>
      </c>
      <c r="Q39" s="6" t="n">
        <v>-23.3</v>
      </c>
    </row>
    <row r="40">
      <c r="A40" s="6" t="inlineStr">
        <is>
          <t>Other reserves</t>
        </is>
      </c>
      <c r="B40" s="6" t="n"/>
      <c r="C40" s="6" t="n"/>
      <c r="D40" s="6" t="n">
        <v>12</v>
      </c>
      <c r="E40" s="6" t="n">
        <v>7</v>
      </c>
      <c r="F40" s="6" t="n">
        <v>13</v>
      </c>
      <c r="G40" s="6" t="n">
        <v>19</v>
      </c>
      <c r="H40" s="6" t="n">
        <v>11</v>
      </c>
      <c r="I40" s="6" t="n">
        <v>7</v>
      </c>
      <c r="J40" s="6" t="n">
        <v>12</v>
      </c>
      <c r="K40" s="6" t="n">
        <v>7</v>
      </c>
      <c r="L40" s="6" t="n">
        <v>-9</v>
      </c>
      <c r="M40" s="6" t="n">
        <v>-3</v>
      </c>
      <c r="N40" s="6" t="n">
        <v>-6.8</v>
      </c>
      <c r="O40" s="6" t="n">
        <v>8.9</v>
      </c>
      <c r="P40" s="6" t="n">
        <v>0.2</v>
      </c>
      <c r="Q40" s="6" t="n"/>
    </row>
    <row r="41">
      <c r="A41" s="5" t="inlineStr">
        <is>
          <t>Total equity</t>
        </is>
      </c>
      <c r="B41" s="5" t="n"/>
      <c r="C41" s="5" t="n"/>
      <c r="D41" s="5" t="n">
        <v>1152</v>
      </c>
      <c r="E41" s="5" t="n">
        <v>957</v>
      </c>
      <c r="F41" s="5" t="n">
        <v>1036</v>
      </c>
      <c r="G41" s="5" t="n">
        <v>1289</v>
      </c>
      <c r="H41" s="5" t="n">
        <v>1583</v>
      </c>
      <c r="I41" s="5" t="n">
        <v>1403</v>
      </c>
      <c r="J41" s="5" t="n">
        <v>1096</v>
      </c>
      <c r="K41" s="5" t="n">
        <v>805</v>
      </c>
      <c r="L41" s="5" t="n">
        <v>407</v>
      </c>
      <c r="M41" s="5" t="n">
        <v>462</v>
      </c>
      <c r="N41" s="5" t="n">
        <v>405</v>
      </c>
      <c r="O41" s="5" t="n">
        <v>178.2</v>
      </c>
      <c r="P41" s="5" t="n">
        <v>78</v>
      </c>
      <c r="Q41" s="5" t="n">
        <v>96.8</v>
      </c>
    </row>
    <row r="42">
      <c r="A42" s="5" t="inlineStr">
        <is>
          <t>Total equity and liabilities</t>
        </is>
      </c>
      <c r="B42" s="5" t="n"/>
      <c r="C42" s="5" t="n"/>
      <c r="D42" s="5" t="n">
        <v>22257</v>
      </c>
      <c r="E42" s="5" t="n">
        <v>22126</v>
      </c>
      <c r="F42" s="5" t="n">
        <v>22583</v>
      </c>
      <c r="G42" s="5" t="n">
        <v>22579</v>
      </c>
      <c r="H42" s="5" t="n">
        <v>21400</v>
      </c>
      <c r="I42" s="5" t="n">
        <v>21647</v>
      </c>
      <c r="J42" s="5" t="n">
        <v>16355</v>
      </c>
      <c r="K42" s="5" t="n">
        <v>10057</v>
      </c>
      <c r="L42" s="5" t="n">
        <v>6148</v>
      </c>
      <c r="M42" s="5" t="n">
        <v>3661</v>
      </c>
      <c r="N42" s="5" t="n">
        <v>1891.6</v>
      </c>
      <c r="O42" s="5" t="n">
        <v>771.2</v>
      </c>
      <c r="P42" s="5" t="n">
        <v>240.3</v>
      </c>
      <c r="Q42" s="5" t="n">
        <v>119.1</v>
      </c>
    </row>
    <row r="44" ht="340" customHeight="1">
      <c r="A44"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44:Q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Profit &amp; Loss</t>
        </is>
      </c>
    </row>
    <row r="2">
      <c r="A2" s="2" t="inlineStr">
        <is>
          <t>Group/consolidated basis, £m (Metro Bank PLC does not publish its own standalone income statement in any year reviewed - see source note). FY2010-FY2012 had no subsidiaries yet, so Company and Group are identical for those years; FY2010 is a 16-month first accounting period (see HD-074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c r="N5" s="6" t="n">
        <v>27.7</v>
      </c>
      <c r="O5" s="6" t="n">
        <v>10.7</v>
      </c>
      <c r="P5" s="6" t="n">
        <v>2</v>
      </c>
      <c r="Q5" s="6" t="n">
        <v>0.2</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c r="N6" s="6" t="n">
        <v>-11.5</v>
      </c>
      <c r="O6" s="6" t="n">
        <v>-4.7</v>
      </c>
      <c r="P6" s="6" t="n">
        <v>-0.6</v>
      </c>
      <c r="Q6" s="6" t="n">
        <v>0</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c r="N7" s="5" t="n">
        <v>16.2</v>
      </c>
      <c r="O7" s="5" t="n">
        <v>6</v>
      </c>
      <c r="P7" s="5" t="n">
        <v>1.4</v>
      </c>
      <c r="Q7" s="5" t="n">
        <v>0.2</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c r="N8" s="6" t="n">
        <v>5.7</v>
      </c>
      <c r="O8" s="6" t="n">
        <v>2.4</v>
      </c>
      <c r="P8" s="6" t="n">
        <v>0.6</v>
      </c>
      <c r="Q8" s="6" t="n">
        <v>0</v>
      </c>
    </row>
    <row r="9">
      <c r="A9" s="6" t="inlineStr">
        <is>
          <t>Fee and commission expense</t>
        </is>
      </c>
      <c r="B9" s="6" t="n">
        <v>-5.6</v>
      </c>
      <c r="C9" s="6" t="n">
        <v>-4.8</v>
      </c>
      <c r="D9" s="6" t="n">
        <v>-4.6</v>
      </c>
      <c r="E9" s="6" t="n">
        <v>-2.6</v>
      </c>
      <c r="F9" s="6" t="n">
        <v>-1.6</v>
      </c>
      <c r="G9" s="6" t="n">
        <v>-1.2</v>
      </c>
      <c r="H9" s="6" t="n">
        <v>-6.4</v>
      </c>
      <c r="I9" s="6" t="n">
        <v>-4.9</v>
      </c>
      <c r="J9" s="6" t="n"/>
      <c r="K9" s="6" t="n"/>
      <c r="L9" s="6" t="n"/>
      <c r="M9" s="6" t="n"/>
      <c r="N9" s="6" t="n">
        <v>-0.2</v>
      </c>
      <c r="O9" s="6" t="n">
        <v>-0.2</v>
      </c>
      <c r="P9" s="6" t="n">
        <v>-0.1</v>
      </c>
      <c r="Q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c r="N10" s="5" t="n">
        <v>5.5</v>
      </c>
      <c r="O10" s="5" t="n">
        <v>2.2</v>
      </c>
      <c r="P10" s="5" t="n">
        <v>0.5</v>
      </c>
      <c r="Q10" s="5" t="n">
        <v>0</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c r="N11" s="6" t="n">
        <v>6.5</v>
      </c>
      <c r="O11" s="6" t="n">
        <v>1.7</v>
      </c>
      <c r="P11" s="6" t="n">
        <v>2.3</v>
      </c>
      <c r="Q11" s="6" t="n"/>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c r="N12" s="6" t="n">
        <v>3.3</v>
      </c>
      <c r="O12" s="6" t="n">
        <v>1.1</v>
      </c>
      <c r="P12" s="6" t="n">
        <v>0.2</v>
      </c>
      <c r="Q12" s="6" t="n">
        <v>0</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c r="N13" s="6" t="n"/>
      <c r="O13" s="6" t="n"/>
      <c r="P13" s="6" t="n"/>
      <c r="Q13" s="6" t="n"/>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c r="N14" s="5" t="n">
        <v>31.5</v>
      </c>
      <c r="O14" s="5" t="n">
        <v>11</v>
      </c>
      <c r="P14" s="5" t="n">
        <v>4.5</v>
      </c>
      <c r="Q14" s="5" t="n">
        <v>0.2</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c r="N15" s="6" t="n">
        <v>-72.3</v>
      </c>
      <c r="O15" s="6" t="n">
        <v>-50.3</v>
      </c>
      <c r="P15" s="6" t="n">
        <v>-33.7</v>
      </c>
      <c r="Q15" s="6" t="n">
        <v>-22</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c r="N16" s="6" t="n">
        <v>-10.4</v>
      </c>
      <c r="O16" s="6" t="n">
        <v>-6.2</v>
      </c>
      <c r="P16" s="6" t="n">
        <v>-3.7</v>
      </c>
      <c r="Q16" s="6" t="n">
        <v>-1.5</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c r="N17" s="6" t="n"/>
      <c r="O17" s="6" t="n"/>
      <c r="P17" s="6" t="n"/>
      <c r="Q17" s="6" t="n"/>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c r="N18" s="5" t="n">
        <v>-82.7</v>
      </c>
      <c r="O18" s="5" t="n">
        <v>-56.6</v>
      </c>
      <c r="P18" s="5" t="n">
        <v>-37.4</v>
      </c>
      <c r="Q18" s="5" t="n">
        <v>-23.6</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c r="N19" s="6" t="n"/>
      <c r="O19" s="6" t="n"/>
      <c r="P19" s="6" t="n"/>
      <c r="Q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c r="N20" s="6" t="n">
        <v>-1</v>
      </c>
      <c r="O20" s="6" t="n">
        <v>-0.2</v>
      </c>
      <c r="P20" s="6" t="n">
        <v>-0.2</v>
      </c>
      <c r="Q20" s="6" t="n"/>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c r="N21" s="5" t="n">
        <v>-52.2</v>
      </c>
      <c r="O21" s="5" t="n">
        <v>-45.7</v>
      </c>
      <c r="P21" s="5" t="n">
        <v>-33.1</v>
      </c>
      <c r="Q21" s="5" t="n">
        <v>-23.4</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c r="N22" s="6" t="n">
        <v>10.4</v>
      </c>
      <c r="O22" s="6" t="n">
        <v>11.2</v>
      </c>
      <c r="P22" s="6" t="n">
        <v>14.1</v>
      </c>
      <c r="Q22" s="6" t="n">
        <v>0</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c r="N23" s="5" t="n">
        <v>-41.8</v>
      </c>
      <c r="O23" s="5" t="n">
        <v>-34.6</v>
      </c>
      <c r="P23" s="5" t="n">
        <v>-19</v>
      </c>
      <c r="Q23" s="5" t="n">
        <v>-23.4</v>
      </c>
    </row>
    <row r="24">
      <c r="A24" s="5" t="inlineStr">
        <is>
          <t>Other comprehensive income/(expense) for the year</t>
        </is>
      </c>
      <c r="B24" s="6" t="n"/>
      <c r="C24" s="6" t="n"/>
      <c r="D24" s="6" t="n"/>
      <c r="E24" s="6" t="n"/>
      <c r="F24" s="6" t="n"/>
      <c r="G24" s="6" t="n"/>
      <c r="H24" s="6" t="n"/>
      <c r="I24" s="6" t="n"/>
      <c r="J24" s="6" t="n"/>
      <c r="K24" s="6" t="n"/>
      <c r="L24" s="6" t="n"/>
      <c r="M24" s="6" t="n"/>
      <c r="N24" s="6" t="n"/>
      <c r="O24" s="6" t="n"/>
      <c r="P24" s="6" t="n"/>
      <c r="Q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c r="N25" s="6" t="n">
        <v>-16.1</v>
      </c>
      <c r="O25" s="6" t="n">
        <v>8.5</v>
      </c>
      <c r="P25" s="6" t="n">
        <v>0.1</v>
      </c>
      <c r="Q25" s="6" t="n"/>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c r="N26" s="6" t="n"/>
      <c r="O26" s="6" t="n"/>
      <c r="P26" s="6" t="n"/>
      <c r="Q26" s="6" t="n"/>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c r="N27" s="5" t="n">
        <v>-16.1</v>
      </c>
      <c r="O27" s="5" t="n">
        <v>8.5</v>
      </c>
      <c r="P27" s="5" t="n">
        <v>0.1</v>
      </c>
      <c r="Q27" s="5" t="n">
        <v>0</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c r="N28" s="5" t="n">
        <v>-57.9</v>
      </c>
      <c r="O28" s="5" t="n">
        <v>-26.1</v>
      </c>
      <c r="P28" s="5" t="n">
        <v>-18.9</v>
      </c>
      <c r="Q28" s="5" t="n">
        <v>-23.4</v>
      </c>
    </row>
    <row r="30" ht="340" customHeight="1">
      <c r="A30"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30:Q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Metro Bank PLC - Statement of Changes in Equity</t>
        </is>
      </c>
    </row>
    <row r="2">
      <c r="A2" s="2" t="inlineStr">
        <is>
          <t>Chronological roll-forward, oldest to newest, £m. FY2010-FY2013 are Company basis (HD-074; FY2010 is a 16-month first accounting period); FY2013's closing is nonetheless Group/consolidated, Metro Bank's first subsidiary having been acquired that July - see HD-074 note. FY2014-FY2020 are Group/consolidated basis; FY2021-FY2023 are Company/standalone basis (see HD-049 basis note); FY2024-FY2025 not located - same gap as the Balance Sheet and Cash Flow Statement. Equity reconciliation ladder confirmed: each year's own closing balance ties exactly to both the next year's own opening balance and that year's own Balance Sheet Total equity within each basis, EXCEPT at the FY2013/FY2014 boundary, where the pre-existing FY2014 opening row uses the FY2015 Annual Report's own 'restated' FY2014 comparative rather than FY2013's own contemporaneous closing figures - a genuine restatement discontinuity, flagged in place rather than silently blended (see the note on that row).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FY2010-FY2017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Total equity</t>
        </is>
      </c>
    </row>
    <row r="4">
      <c r="A4" s="5" t="inlineStr">
        <is>
          <t>Balance at 19 September 2009 (opening, Company basis - conversion to PLC)</t>
        </is>
      </c>
      <c r="B4" s="5" t="n">
        <v>0.1</v>
      </c>
      <c r="C4" s="5" t="n">
        <v>0</v>
      </c>
      <c r="D4" s="5" t="n">
        <v>0</v>
      </c>
      <c r="E4" s="5" t="n"/>
      <c r="F4" s="5" t="n"/>
      <c r="G4" s="5" t="n"/>
      <c r="H4" s="5" t="n">
        <v>0.1</v>
      </c>
    </row>
    <row r="5">
      <c r="A5" s="6" t="inlineStr">
        <is>
          <t>Net loss for the period (16 months to 31 December 2010)</t>
        </is>
      </c>
      <c r="B5" s="6" t="n"/>
      <c r="C5" s="6" t="n"/>
      <c r="D5" s="6" t="n">
        <v>-23.4</v>
      </c>
      <c r="E5" s="6" t="n"/>
      <c r="F5" s="6" t="n"/>
      <c r="G5" s="6" t="n"/>
      <c r="H5" s="6" t="n">
        <v>-23.4</v>
      </c>
    </row>
    <row r="6">
      <c r="A6" s="6" t="inlineStr">
        <is>
          <t>Issue of new ordinary shares</t>
        </is>
      </c>
      <c r="B6" s="6" t="n"/>
      <c r="C6" s="6" t="n">
        <v>120.1</v>
      </c>
      <c r="D6" s="6" t="n"/>
      <c r="E6" s="6" t="n"/>
      <c r="F6" s="6" t="n"/>
      <c r="G6" s="6" t="n"/>
      <c r="H6" s="6" t="n">
        <v>120.1</v>
      </c>
    </row>
    <row r="7">
      <c r="A7" s="6" t="inlineStr">
        <is>
          <t>Repayment of preference shares</t>
        </is>
      </c>
      <c r="B7" s="6" t="n">
        <v>-0.1</v>
      </c>
      <c r="C7" s="6" t="n"/>
      <c r="D7" s="6" t="n"/>
      <c r="E7" s="6" t="n"/>
      <c r="F7" s="6" t="n"/>
      <c r="G7" s="6" t="n"/>
      <c r="H7" s="6" t="n">
        <v>-0.1</v>
      </c>
    </row>
    <row r="8">
      <c r="A8" s="5" t="inlineStr">
        <is>
          <t>Balance as at 31 December 2010 (FY2010 closing, 16-month first accounts, Company basis)</t>
        </is>
      </c>
      <c r="B8" s="5" t="n">
        <v>0</v>
      </c>
      <c r="C8" s="5" t="n">
        <v>120.1</v>
      </c>
      <c r="D8" s="5" t="n">
        <v>-23.3</v>
      </c>
      <c r="E8" s="5" t="n"/>
      <c r="F8" s="5" t="n"/>
      <c r="G8" s="5" t="n"/>
      <c r="H8" s="5" t="n">
        <v>96.8</v>
      </c>
    </row>
    <row r="9">
      <c r="A9" s="6" t="inlineStr">
        <is>
          <t>Net loss for the year</t>
        </is>
      </c>
      <c r="B9" s="6" t="n"/>
      <c r="C9" s="6" t="n"/>
      <c r="D9" s="6" t="n">
        <v>-19</v>
      </c>
      <c r="E9" s="6" t="n"/>
      <c r="F9" s="6" t="n"/>
      <c r="G9" s="6" t="n"/>
      <c r="H9" s="6" t="n">
        <v>-19</v>
      </c>
    </row>
    <row r="10">
      <c r="A10" s="6" t="inlineStr">
        <is>
          <t>Other comprehensive income relating to available-for-sale investments, net of tax</t>
        </is>
      </c>
      <c r="B10" s="6" t="n"/>
      <c r="C10" s="6" t="n"/>
      <c r="D10" s="6" t="n"/>
      <c r="E10" s="6" t="n">
        <v>0.1</v>
      </c>
      <c r="F10" s="6" t="n"/>
      <c r="G10" s="6" t="n"/>
      <c r="H10" s="6" t="n">
        <v>0.1</v>
      </c>
    </row>
    <row r="11">
      <c r="A11" s="6" t="inlineStr">
        <is>
          <t>Share options at fair value</t>
        </is>
      </c>
      <c r="B11" s="6" t="n"/>
      <c r="C11" s="6" t="n"/>
      <c r="D11" s="6" t="n"/>
      <c r="E11" s="6" t="n"/>
      <c r="F11" s="6" t="n">
        <v>0.1</v>
      </c>
      <c r="G11" s="6" t="n"/>
      <c r="H11" s="6" t="n">
        <v>0.1</v>
      </c>
    </row>
    <row r="12">
      <c r="A12" s="5" t="inlineStr">
        <is>
          <t>Balance as at 31 December 2011 (FY2011 closing, Company basis)</t>
        </is>
      </c>
      <c r="B12" s="5" t="n">
        <v>0</v>
      </c>
      <c r="C12" s="5" t="n">
        <v>120.1</v>
      </c>
      <c r="D12" s="5" t="n">
        <v>-42.3</v>
      </c>
      <c r="E12" s="5" t="n">
        <v>0.1</v>
      </c>
      <c r="F12" s="5" t="n">
        <v>0.1</v>
      </c>
      <c r="G12" s="5" t="n"/>
      <c r="H12" s="5" t="n">
        <v>78</v>
      </c>
    </row>
    <row r="13">
      <c r="A13" s="6" t="inlineStr">
        <is>
          <t>Share issue</t>
        </is>
      </c>
      <c r="B13" s="6" t="n"/>
      <c r="C13" s="6" t="n">
        <v>126</v>
      </c>
      <c r="D13" s="6" t="n"/>
      <c r="E13" s="6" t="n"/>
      <c r="F13" s="6" t="n"/>
      <c r="G13" s="6" t="n"/>
      <c r="H13" s="6" t="n">
        <v>126</v>
      </c>
    </row>
    <row r="14">
      <c r="A14" s="6" t="inlineStr">
        <is>
          <t>Net loss for the year</t>
        </is>
      </c>
      <c r="B14" s="6" t="n"/>
      <c r="C14" s="6" t="n"/>
      <c r="D14" s="6" t="n">
        <v>-34.6</v>
      </c>
      <c r="E14" s="6" t="n"/>
      <c r="F14" s="6" t="n"/>
      <c r="G14" s="6" t="n"/>
      <c r="H14" s="6" t="n">
        <v>-34.6</v>
      </c>
    </row>
    <row r="15">
      <c r="A15" s="6" t="inlineStr">
        <is>
          <t>Other comprehensive income relating to available-for-sale investments, net of tax</t>
        </is>
      </c>
      <c r="B15" s="6" t="n"/>
      <c r="C15" s="6" t="n"/>
      <c r="D15" s="6" t="n"/>
      <c r="E15" s="6" t="n">
        <v>8.5</v>
      </c>
      <c r="F15" s="6" t="n"/>
      <c r="G15" s="6" t="n"/>
      <c r="H15" s="6" t="n">
        <v>8.5</v>
      </c>
    </row>
    <row r="16">
      <c r="A16" s="6" t="inlineStr">
        <is>
          <t>Share options at fair value</t>
        </is>
      </c>
      <c r="B16" s="6" t="n"/>
      <c r="C16" s="6" t="n"/>
      <c r="D16" s="6" t="n"/>
      <c r="E16" s="6" t="n"/>
      <c r="F16" s="6" t="n">
        <v>0.3</v>
      </c>
      <c r="G16" s="6" t="n"/>
      <c r="H16" s="6" t="n">
        <v>0.3</v>
      </c>
    </row>
    <row r="17">
      <c r="A17" s="5" t="inlineStr">
        <is>
          <t>Balance as at 31 December 2012 (FY2012 closing, Company basis)</t>
        </is>
      </c>
      <c r="B17" s="5" t="n">
        <v>0</v>
      </c>
      <c r="C17" s="5" t="n">
        <v>246.2</v>
      </c>
      <c r="D17" s="5" t="n">
        <v>-76.90000000000001</v>
      </c>
      <c r="E17" s="5" t="n">
        <v>8.6</v>
      </c>
      <c r="F17" s="5" t="n">
        <v>0.4</v>
      </c>
      <c r="G17" s="5" t="n"/>
      <c r="H17" s="5" t="n">
        <v>178.2</v>
      </c>
    </row>
    <row r="18">
      <c r="A18" s="6" t="inlineStr">
        <is>
          <t>Share issue</t>
        </is>
      </c>
      <c r="B18" s="6" t="n"/>
      <c r="C18" s="6" t="n">
        <v>284.3</v>
      </c>
      <c r="D18" s="6" t="n"/>
      <c r="E18" s="6" t="n"/>
      <c r="F18" s="6" t="n"/>
      <c r="G18" s="6" t="n"/>
      <c r="H18" s="6" t="n">
        <v>284.3</v>
      </c>
    </row>
    <row r="19">
      <c r="A19" s="6" t="inlineStr">
        <is>
          <t>Net loss for the year</t>
        </is>
      </c>
      <c r="B19" s="6" t="n"/>
      <c r="C19" s="6" t="n"/>
      <c r="D19" s="6" t="n">
        <v>-41.8</v>
      </c>
      <c r="E19" s="6" t="n"/>
      <c r="F19" s="6" t="n"/>
      <c r="G19" s="6" t="n"/>
      <c r="H19" s="6" t="n">
        <v>-41.8</v>
      </c>
    </row>
    <row r="20">
      <c r="A20" s="6" t="inlineStr">
        <is>
          <t>Other comprehensive expense relating to available-for-sale investments, net of tax</t>
        </is>
      </c>
      <c r="B20" s="6" t="n"/>
      <c r="C20" s="6" t="n"/>
      <c r="D20" s="6" t="n"/>
      <c r="E20" s="6" t="n">
        <v>-16.1</v>
      </c>
      <c r="F20" s="6" t="n"/>
      <c r="G20" s="6" t="n"/>
      <c r="H20" s="6" t="n">
        <v>-16.1</v>
      </c>
    </row>
    <row r="21">
      <c r="A21" s="6" t="inlineStr">
        <is>
          <t>Share options at fair value</t>
        </is>
      </c>
      <c r="B21" s="6" t="n"/>
      <c r="C21" s="6" t="n"/>
      <c r="D21" s="6" t="n"/>
      <c r="E21" s="6" t="n"/>
      <c r="F21" s="6" t="n">
        <v>0.4</v>
      </c>
      <c r="G21" s="6" t="n"/>
      <c r="H21" s="6" t="n">
        <v>0.4</v>
      </c>
    </row>
    <row r="22">
      <c r="A22" s="5" t="inlineStr">
        <is>
          <t>Balance as at 31 December 2013 (FY2013 closing, own contemporaneous figures, Group basis)</t>
        </is>
      </c>
      <c r="B22" s="5" t="n">
        <v>0</v>
      </c>
      <c r="C22" s="5" t="n">
        <v>530.5</v>
      </c>
      <c r="D22" s="5" t="n">
        <v>-118.7</v>
      </c>
      <c r="E22" s="5" t="n">
        <v>-7.5</v>
      </c>
      <c r="F22" s="5" t="n">
        <v>0.8</v>
      </c>
      <c r="G22" s="5" t="n"/>
      <c r="H22" s="5" t="n">
        <v>405</v>
      </c>
    </row>
    <row r="23">
      <c r="A23" s="5" t="inlineStr">
        <is>
          <t>At 1 January 2014 (FY2014 opening, restated, Group basis)</t>
        </is>
      </c>
      <c r="B23" s="5" t="n">
        <v>0</v>
      </c>
      <c r="C23" s="5" t="n">
        <v>530</v>
      </c>
      <c r="D23" s="5" t="n">
        <v>-123</v>
      </c>
      <c r="E23" s="5" t="n">
        <v>-8</v>
      </c>
      <c r="F23" s="5" t="n">
        <v>1</v>
      </c>
      <c r="G23" s="5" t="n"/>
      <c r="H23" s="5" t="n">
        <v>401</v>
      </c>
    </row>
    <row r="24">
      <c r="A24" s="6" t="inlineStr">
        <is>
          <t>Loss for the year</t>
        </is>
      </c>
      <c r="B24" s="6" t="n"/>
      <c r="C24" s="6" t="n"/>
      <c r="D24" s="6" t="n">
        <v>-41</v>
      </c>
      <c r="E24" s="6" t="n"/>
      <c r="F24" s="6" t="n"/>
      <c r="G24" s="6" t="n"/>
      <c r="H24" s="6" t="n">
        <v>-41</v>
      </c>
    </row>
    <row r="25">
      <c r="A25" s="6" t="inlineStr">
        <is>
          <t>Other comprehensive income relating to available-for-sale investments, net of tax</t>
        </is>
      </c>
      <c r="B25" s="6" t="n"/>
      <c r="C25" s="6" t="n"/>
      <c r="D25" s="6" t="n"/>
      <c r="E25" s="6" t="n">
        <v>3</v>
      </c>
      <c r="F25" s="6" t="n"/>
      <c r="G25" s="6" t="n"/>
      <c r="H25" s="6" t="n">
        <v>3</v>
      </c>
    </row>
    <row r="26">
      <c r="A26" s="6" t="inlineStr">
        <is>
          <t>Share issue</t>
        </is>
      </c>
      <c r="B26" s="6" t="n"/>
      <c r="C26" s="6" t="n">
        <v>99</v>
      </c>
      <c r="D26" s="6" t="n"/>
      <c r="E26" s="6" t="n"/>
      <c r="F26" s="6" t="n"/>
      <c r="G26" s="6" t="n"/>
      <c r="H26" s="6" t="n">
        <v>99</v>
      </c>
    </row>
    <row r="27">
      <c r="A27" s="6" t="inlineStr">
        <is>
          <t>Share options at fair value</t>
        </is>
      </c>
      <c r="B27" s="6" t="n"/>
      <c r="C27" s="6" t="n"/>
      <c r="D27" s="6" t="n"/>
      <c r="E27" s="6" t="n"/>
      <c r="F27" s="6" t="n">
        <v>1</v>
      </c>
      <c r="G27" s="6" t="n"/>
      <c r="H27" s="6" t="n">
        <v>1</v>
      </c>
    </row>
    <row r="28">
      <c r="A28" s="5" t="inlineStr">
        <is>
          <t>At 31 December 2014 (FY2014 closing, restated)</t>
        </is>
      </c>
      <c r="B28" s="5" t="n">
        <v>0</v>
      </c>
      <c r="C28" s="5" t="n">
        <v>629</v>
      </c>
      <c r="D28" s="5" t="n">
        <v>-164</v>
      </c>
      <c r="E28" s="5" t="n">
        <v>-4</v>
      </c>
      <c r="F28" s="5" t="n">
        <v>2</v>
      </c>
      <c r="G28" s="5" t="n"/>
      <c r="H28" s="5" t="n">
        <v>462</v>
      </c>
    </row>
    <row r="29">
      <c r="A29" s="6" t="inlineStr">
        <is>
          <t>Loss for the year</t>
        </is>
      </c>
      <c r="B29" s="6" t="n"/>
      <c r="C29" s="6" t="n"/>
      <c r="D29" s="6" t="n">
        <v>-49</v>
      </c>
      <c r="E29" s="6" t="n"/>
      <c r="F29" s="6" t="n"/>
      <c r="G29" s="6" t="n"/>
      <c r="H29" s="6" t="n">
        <v>-49</v>
      </c>
    </row>
    <row r="30">
      <c r="A30" s="6" t="inlineStr">
        <is>
          <t>Other comprehensive expense relating to available-for-sale investments, net of tax</t>
        </is>
      </c>
      <c r="B30" s="6" t="n"/>
      <c r="C30" s="6" t="n"/>
      <c r="D30" s="6" t="n"/>
      <c r="E30" s="6" t="n">
        <v>-8</v>
      </c>
      <c r="F30" s="6" t="n"/>
      <c r="G30" s="6" t="n"/>
      <c r="H30" s="6" t="n">
        <v>-8</v>
      </c>
    </row>
    <row r="31">
      <c r="A31" s="6" t="inlineStr">
        <is>
          <t>Share options at fair value</t>
        </is>
      </c>
      <c r="B31" s="6" t="n"/>
      <c r="C31" s="6" t="n"/>
      <c r="D31" s="6" t="n"/>
      <c r="E31" s="6" t="n"/>
      <c r="F31" s="6" t="n">
        <v>2</v>
      </c>
      <c r="G31" s="6" t="n"/>
      <c r="H31" s="6" t="n">
        <v>2</v>
      </c>
    </row>
    <row r="32">
      <c r="A32" s="5" t="inlineStr">
        <is>
          <t>At 31 December 2015 (FY2015 closing)</t>
        </is>
      </c>
      <c r="B32" s="5" t="n">
        <v>0</v>
      </c>
      <c r="C32" s="5" t="n">
        <v>629</v>
      </c>
      <c r="D32" s="5" t="n">
        <v>-213</v>
      </c>
      <c r="E32" s="5" t="n">
        <v>-12</v>
      </c>
      <c r="F32" s="5" t="n">
        <v>3</v>
      </c>
      <c r="G32" s="5" t="n"/>
      <c r="H32" s="5" t="n">
        <v>407</v>
      </c>
    </row>
    <row r="33">
      <c r="A33" s="6" t="inlineStr">
        <is>
          <t>Loss for the year</t>
        </is>
      </c>
      <c r="B33" s="6" t="n"/>
      <c r="C33" s="6" t="n"/>
      <c r="D33" s="6" t="n">
        <v>-17</v>
      </c>
      <c r="E33" s="6" t="n"/>
      <c r="F33" s="6" t="n"/>
      <c r="G33" s="6" t="n"/>
      <c r="H33" s="6" t="n">
        <v>-17</v>
      </c>
    </row>
    <row r="34">
      <c r="A34" s="6" t="inlineStr">
        <is>
          <t>Other comprehensive income relating to available-for-sale investments, net of tax</t>
        </is>
      </c>
      <c r="B34" s="6" t="n"/>
      <c r="C34" s="6" t="n"/>
      <c r="D34" s="6" t="n"/>
      <c r="E34" s="6" t="n">
        <v>9</v>
      </c>
      <c r="F34" s="6" t="n"/>
      <c r="G34" s="6" t="n"/>
      <c r="H34" s="6" t="n">
        <v>9</v>
      </c>
    </row>
    <row r="35">
      <c r="A35" s="6" t="inlineStr">
        <is>
          <t>Share issue</t>
        </is>
      </c>
      <c r="B35" s="6" t="n"/>
      <c r="C35" s="6" t="n">
        <v>404</v>
      </c>
      <c r="D35" s="6" t="n"/>
      <c r="E35" s="6" t="n"/>
      <c r="F35" s="6" t="n"/>
      <c r="G35" s="6" t="n"/>
      <c r="H35" s="6" t="n">
        <v>404</v>
      </c>
    </row>
    <row r="36">
      <c r="A36" s="6" t="inlineStr">
        <is>
          <t>Cost of share issue</t>
        </is>
      </c>
      <c r="B36" s="6" t="n"/>
      <c r="C36" s="6" t="n">
        <v>-5</v>
      </c>
      <c r="D36" s="6" t="n"/>
      <c r="E36" s="6" t="n"/>
      <c r="F36" s="6" t="n"/>
      <c r="G36" s="6" t="n"/>
      <c r="H36" s="6" t="n">
        <v>-5</v>
      </c>
    </row>
    <row r="37">
      <c r="A37" s="6" t="inlineStr">
        <is>
          <t>Share options at fair value</t>
        </is>
      </c>
      <c r="B37" s="6" t="n"/>
      <c r="C37" s="6" t="n"/>
      <c r="D37" s="6" t="n"/>
      <c r="E37" s="6" t="n"/>
      <c r="F37" s="6" t="n">
        <v>7</v>
      </c>
      <c r="G37" s="6" t="n"/>
      <c r="H37" s="6" t="n">
        <v>7</v>
      </c>
    </row>
    <row r="38">
      <c r="A38" s="5" t="inlineStr">
        <is>
          <t>At 31 December 2016 (FY2016 closing)</t>
        </is>
      </c>
      <c r="B38" s="5" t="n">
        <v>0</v>
      </c>
      <c r="C38" s="5" t="n">
        <v>1028</v>
      </c>
      <c r="D38" s="5" t="n">
        <v>-230</v>
      </c>
      <c r="E38" s="5" t="n">
        <v>-3</v>
      </c>
      <c r="F38" s="5" t="n">
        <v>11</v>
      </c>
      <c r="G38" s="5" t="n"/>
      <c r="H38" s="5" t="n">
        <v>805</v>
      </c>
    </row>
    <row r="39">
      <c r="A39" s="6" t="inlineStr">
        <is>
          <t>Profit for the year</t>
        </is>
      </c>
      <c r="B39" s="6" t="n"/>
      <c r="C39" s="6" t="n"/>
      <c r="D39" s="6" t="n">
        <v>11</v>
      </c>
      <c r="E39" s="6" t="n"/>
      <c r="F39" s="6" t="n"/>
      <c r="G39" s="6" t="n"/>
      <c r="H39" s="6" t="n">
        <v>11</v>
      </c>
    </row>
    <row r="40">
      <c r="A40" s="6" t="inlineStr">
        <is>
          <t>Other comprehensive expense relating to available-for-sale investments, net of tax</t>
        </is>
      </c>
      <c r="B40" s="6" t="n"/>
      <c r="C40" s="6" t="n"/>
      <c r="D40" s="6" t="n"/>
      <c r="E40" s="6" t="n">
        <v>-1</v>
      </c>
      <c r="F40" s="6" t="n"/>
      <c r="G40" s="6" t="n"/>
      <c r="H40" s="6" t="n">
        <v>-1</v>
      </c>
    </row>
    <row r="41">
      <c r="A41" s="6" t="inlineStr">
        <is>
          <t>Share issue</t>
        </is>
      </c>
      <c r="B41" s="6" t="n"/>
      <c r="C41" s="6" t="n">
        <v>279</v>
      </c>
      <c r="D41" s="6" t="n"/>
      <c r="E41" s="6" t="n"/>
      <c r="F41" s="6" t="n"/>
      <c r="G41" s="6" t="n"/>
      <c r="H41" s="6" t="n">
        <v>279</v>
      </c>
    </row>
    <row r="42">
      <c r="A42" s="6" t="inlineStr">
        <is>
          <t>Cost of share issue</t>
        </is>
      </c>
      <c r="B42" s="6" t="n"/>
      <c r="C42" s="6" t="n">
        <v>-3</v>
      </c>
      <c r="D42" s="6" t="n"/>
      <c r="E42" s="6" t="n"/>
      <c r="F42" s="6" t="n"/>
      <c r="G42" s="6" t="n"/>
      <c r="H42" s="6" t="n">
        <v>-3</v>
      </c>
    </row>
    <row r="43">
      <c r="A43" s="6" t="inlineStr">
        <is>
          <t>Net share option movements</t>
        </is>
      </c>
      <c r="B43" s="6" t="n"/>
      <c r="C43" s="6" t="n"/>
      <c r="D43" s="6" t="n"/>
      <c r="E43" s="6" t="n"/>
      <c r="F43" s="6" t="n">
        <v>6</v>
      </c>
      <c r="G43" s="6" t="n"/>
      <c r="H43" s="6" t="n">
        <v>6</v>
      </c>
    </row>
    <row r="44">
      <c r="A44" s="5" t="inlineStr">
        <is>
          <t>At 31 December 2017 (FY2017 closing)</t>
        </is>
      </c>
      <c r="B44" s="5" t="n">
        <v>0</v>
      </c>
      <c r="C44" s="5" t="n">
        <v>1304</v>
      </c>
      <c r="D44" s="5" t="n">
        <v>-219</v>
      </c>
      <c r="E44" s="5" t="n">
        <v>-4</v>
      </c>
      <c r="F44" s="5" t="n">
        <v>16</v>
      </c>
      <c r="G44" s="5" t="n"/>
      <c r="H44" s="5" t="n">
        <v>1096</v>
      </c>
    </row>
    <row r="45">
      <c r="A45" s="6" t="inlineStr">
        <is>
          <t>IFRS 9 transition adjustment, net of tax (AFS reserve replaced by FVOCI reserve)</t>
        </is>
      </c>
      <c r="B45" s="6" t="n"/>
      <c r="C45" s="6" t="n"/>
      <c r="D45" s="6" t="n">
        <v>-17</v>
      </c>
      <c r="E45" s="6" t="n">
        <v>5</v>
      </c>
      <c r="F45" s="6" t="n"/>
      <c r="G45" s="6" t="n"/>
      <c r="H45" s="6" t="n">
        <v>-12</v>
      </c>
    </row>
    <row r="46">
      <c r="A46" s="6" t="inlineStr">
        <is>
          <t>Profit for the year</t>
        </is>
      </c>
      <c r="B46" s="6" t="n"/>
      <c r="C46" s="6" t="n"/>
      <c r="D46" s="6" t="n">
        <v>27</v>
      </c>
      <c r="E46" s="6" t="n"/>
      <c r="F46" s="6" t="n"/>
      <c r="G46" s="6" t="n"/>
      <c r="H46" s="6" t="n">
        <v>27</v>
      </c>
    </row>
    <row r="47">
      <c r="A47" s="6" t="inlineStr">
        <is>
          <t>Other comprehensive expense relating to investment securities designated at FVOCI, net of tax</t>
        </is>
      </c>
      <c r="B47" s="6" t="n"/>
      <c r="C47" s="6" t="n"/>
      <c r="D47" s="6" t="n"/>
      <c r="E47" s="6" t="n">
        <v>-4</v>
      </c>
      <c r="F47" s="6" t="n"/>
      <c r="G47" s="6" t="n"/>
      <c r="H47" s="6" t="n">
        <v>-4</v>
      </c>
    </row>
    <row r="48">
      <c r="A48" s="6" t="inlineStr">
        <is>
          <t>Shares issued</t>
        </is>
      </c>
      <c r="B48" s="6" t="n"/>
      <c r="C48" s="6" t="n">
        <v>304</v>
      </c>
      <c r="D48" s="6" t="n"/>
      <c r="E48" s="6" t="n"/>
      <c r="F48" s="6" t="n"/>
      <c r="G48" s="6" t="n"/>
      <c r="H48" s="6" t="n">
        <v>304</v>
      </c>
    </row>
    <row r="49">
      <c r="A49" s="6" t="inlineStr">
        <is>
          <t>Cost of shares issued</t>
        </is>
      </c>
      <c r="B49" s="6" t="n"/>
      <c r="C49" s="6" t="n">
        <v>-3</v>
      </c>
      <c r="D49" s="6" t="n"/>
      <c r="E49" s="6" t="n"/>
      <c r="F49" s="6" t="n"/>
      <c r="G49" s="6" t="n"/>
      <c r="H49" s="6" t="n">
        <v>-3</v>
      </c>
    </row>
    <row r="50">
      <c r="A50" s="6" t="inlineStr">
        <is>
          <t>Net share option movements</t>
        </is>
      </c>
      <c r="B50" s="6" t="n"/>
      <c r="C50" s="6" t="n"/>
      <c r="D50" s="6" t="n"/>
      <c r="E50" s="6" t="n"/>
      <c r="F50" s="6" t="n">
        <v>-6</v>
      </c>
      <c r="G50" s="6" t="n"/>
      <c r="H50" s="6" t="n">
        <v>-6</v>
      </c>
    </row>
    <row r="51">
      <c r="A51" s="5" t="inlineStr">
        <is>
          <t>At 31 December 2018 (FY2018 closing)</t>
        </is>
      </c>
      <c r="B51" s="5" t="n">
        <v>0</v>
      </c>
      <c r="C51" s="5" t="n">
        <v>1605</v>
      </c>
      <c r="D51" s="5" t="n">
        <v>-209</v>
      </c>
      <c r="E51" s="5" t="n">
        <v>-3</v>
      </c>
      <c r="F51" s="5" t="n">
        <v>10</v>
      </c>
      <c r="G51" s="5" t="n"/>
      <c r="H51" s="5" t="n">
        <v>1403</v>
      </c>
    </row>
    <row r="52">
      <c r="A52" s="6" t="inlineStr">
        <is>
          <t>Loss for the year</t>
        </is>
      </c>
      <c r="B52" s="6" t="n"/>
      <c r="C52" s="6" t="n"/>
      <c r="D52" s="6" t="n">
        <v>-183</v>
      </c>
      <c r="E52" s="6" t="n"/>
      <c r="F52" s="6" t="n"/>
      <c r="G52" s="6" t="n"/>
      <c r="H52" s="6" t="n">
        <v>-183</v>
      </c>
    </row>
    <row r="53">
      <c r="A53" s="6" t="inlineStr">
        <is>
          <t>Shares issued</t>
        </is>
      </c>
      <c r="B53" s="6" t="n"/>
      <c r="C53" s="6" t="n">
        <v>375</v>
      </c>
      <c r="D53" s="6" t="n"/>
      <c r="E53" s="6" t="n"/>
      <c r="F53" s="6" t="n"/>
      <c r="G53" s="6" t="n"/>
      <c r="H53" s="6" t="n">
        <v>375</v>
      </c>
    </row>
    <row r="54">
      <c r="A54" s="6" t="inlineStr">
        <is>
          <t>Cost of shares issued</t>
        </is>
      </c>
      <c r="B54" s="6" t="n"/>
      <c r="C54" s="6" t="n">
        <v>-16</v>
      </c>
      <c r="D54" s="6" t="n"/>
      <c r="E54" s="6" t="n"/>
      <c r="F54" s="6" t="n"/>
      <c r="G54" s="6" t="n"/>
      <c r="H54" s="6" t="n">
        <v>-16</v>
      </c>
    </row>
    <row r="55">
      <c r="A55" s="6" t="inlineStr">
        <is>
          <t>Net share option movements</t>
        </is>
      </c>
      <c r="B55" s="6" t="n"/>
      <c r="C55" s="6" t="n"/>
      <c r="D55" s="6" t="n"/>
      <c r="E55" s="6" t="n"/>
      <c r="F55" s="6" t="n">
        <v>4</v>
      </c>
      <c r="G55" s="6" t="n"/>
      <c r="H55" s="6" t="n">
        <v>4</v>
      </c>
    </row>
    <row r="56">
      <c r="A56" s="5" t="inlineStr">
        <is>
          <t>At 31 December 2019 (FY2019 closing)</t>
        </is>
      </c>
      <c r="B56" s="5" t="n">
        <v>0</v>
      </c>
      <c r="C56" s="5" t="n">
        <v>1964</v>
      </c>
      <c r="D56" s="5" t="n">
        <v>-392</v>
      </c>
      <c r="E56" s="5" t="n">
        <v>-3</v>
      </c>
      <c r="F56" s="5" t="n">
        <v>14</v>
      </c>
      <c r="G56" s="5" t="n"/>
      <c r="H56" s="5" t="n">
        <v>1583</v>
      </c>
    </row>
    <row r="57">
      <c r="A57" s="6" t="inlineStr">
        <is>
          <t>Loss for the year</t>
        </is>
      </c>
      <c r="B57" s="6" t="n"/>
      <c r="C57" s="6" t="n"/>
      <c r="D57" s="6" t="n">
        <v>-302</v>
      </c>
      <c r="E57" s="6" t="n"/>
      <c r="F57" s="6" t="n"/>
      <c r="G57" s="6" t="n"/>
      <c r="H57" s="6" t="n">
        <v>-302</v>
      </c>
    </row>
    <row r="58">
      <c r="A58" s="6" t="inlineStr">
        <is>
          <t>Other comprehensive income relating to investment securities designated at FVOCI, net of tax</t>
        </is>
      </c>
      <c r="B58" s="6" t="n"/>
      <c r="C58" s="6" t="n"/>
      <c r="D58" s="6" t="n"/>
      <c r="E58" s="6" t="n">
        <v>6</v>
      </c>
      <c r="F58" s="6" t="n"/>
      <c r="G58" s="6" t="n"/>
      <c r="H58" s="6" t="n">
        <v>6</v>
      </c>
    </row>
    <row r="59">
      <c r="A59" s="6" t="inlineStr">
        <is>
          <t>Net share option movements</t>
        </is>
      </c>
      <c r="B59" s="6" t="n"/>
      <c r="C59" s="6" t="n"/>
      <c r="D59" s="6" t="n"/>
      <c r="E59" s="6" t="n"/>
      <c r="F59" s="6" t="n">
        <v>2</v>
      </c>
      <c r="G59" s="6" t="n"/>
      <c r="H59" s="6" t="n">
        <v>2</v>
      </c>
    </row>
    <row r="60">
      <c r="A60" s="5" t="inlineStr">
        <is>
          <t>At 31 December 2020 (FY2020 closing, Group basis)</t>
        </is>
      </c>
      <c r="B60" s="5" t="n">
        <v>0</v>
      </c>
      <c r="C60" s="5" t="n">
        <v>1964</v>
      </c>
      <c r="D60" s="5" t="n">
        <v>-694</v>
      </c>
      <c r="E60" s="5" t="n">
        <v>3</v>
      </c>
      <c r="F60" s="5" t="n">
        <v>16</v>
      </c>
      <c r="G60" s="5" t="n"/>
      <c r="H60" s="5" t="n">
        <v>1289</v>
      </c>
    </row>
    <row r="61">
      <c r="A61" s="5" t="inlineStr">
        <is>
          <t>At 1 January 2021 (FY2021 opening)</t>
        </is>
      </c>
      <c r="B61" s="5" t="n">
        <v>0</v>
      </c>
      <c r="C61" s="5" t="n">
        <v>1964</v>
      </c>
      <c r="D61" s="5" t="n">
        <v>-689</v>
      </c>
      <c r="E61" s="5" t="n">
        <v>3</v>
      </c>
      <c r="F61" s="5" t="n">
        <v>16</v>
      </c>
      <c r="G61" s="5" t="n"/>
      <c r="H61" s="5" t="n">
        <v>1294</v>
      </c>
    </row>
    <row r="62">
      <c r="A62" s="6" t="inlineStr">
        <is>
          <t>Loss for the year</t>
        </is>
      </c>
      <c r="B62" s="6" t="n"/>
      <c r="C62" s="6" t="n"/>
      <c r="D62" s="6" t="n">
        <v>-252</v>
      </c>
      <c r="E62" s="6" t="n"/>
      <c r="F62" s="6" t="n"/>
      <c r="G62" s="6" t="n"/>
      <c r="H62" s="6" t="n">
        <v>-252</v>
      </c>
    </row>
    <row r="63">
      <c r="A63" s="6" t="inlineStr">
        <is>
          <t>Other comprehensive expense relating to investment securities designated at FVOCI, net of tax</t>
        </is>
      </c>
      <c r="B63" s="6" t="n"/>
      <c r="C63" s="6" t="n"/>
      <c r="D63" s="6" t="n"/>
      <c r="E63" s="6" t="n">
        <v>-8</v>
      </c>
      <c r="F63" s="6" t="n"/>
      <c r="G63" s="6" t="n"/>
      <c r="H63" s="6" t="n">
        <v>-8</v>
      </c>
    </row>
    <row r="64">
      <c r="A64" s="6" t="inlineStr">
        <is>
          <t>Net share option movements</t>
        </is>
      </c>
      <c r="B64" s="6" t="n"/>
      <c r="C64" s="6" t="n"/>
      <c r="D64" s="6" t="n"/>
      <c r="E64" s="6" t="n"/>
      <c r="F64" s="6" t="n">
        <v>2</v>
      </c>
      <c r="G64" s="6" t="n"/>
      <c r="H64" s="6" t="n">
        <v>2</v>
      </c>
    </row>
    <row r="65">
      <c r="A65" s="5" t="inlineStr">
        <is>
          <t>At 31 December 2021 (FY2021 closing)</t>
        </is>
      </c>
      <c r="B65" s="5" t="n">
        <v>0</v>
      </c>
      <c r="C65" s="5" t="n">
        <v>1964</v>
      </c>
      <c r="D65" s="5" t="n">
        <v>-941</v>
      </c>
      <c r="E65" s="5" t="n">
        <v>-5</v>
      </c>
      <c r="F65" s="5" t="n">
        <v>18</v>
      </c>
      <c r="G65" s="5" t="n"/>
      <c r="H65" s="5" t="n">
        <v>1036</v>
      </c>
    </row>
    <row r="66">
      <c r="A66" s="6" t="inlineStr">
        <is>
          <t>Loss for the year</t>
        </is>
      </c>
      <c r="B66" s="6" t="n"/>
      <c r="C66" s="6" t="n"/>
      <c r="D66" s="6" t="n">
        <v>-73</v>
      </c>
      <c r="E66" s="6" t="n"/>
      <c r="F66" s="6" t="n"/>
      <c r="G66" s="6" t="n"/>
      <c r="H66" s="6" t="n">
        <v>-73</v>
      </c>
    </row>
    <row r="67">
      <c r="A67" s="6" t="inlineStr">
        <is>
          <t>Other comprehensive expense relating to investment securities designated at FVOCI, net of tax</t>
        </is>
      </c>
      <c r="B67" s="6" t="n"/>
      <c r="C67" s="6" t="n"/>
      <c r="D67" s="6" t="n"/>
      <c r="E67" s="6" t="n">
        <v>-8</v>
      </c>
      <c r="F67" s="6" t="n"/>
      <c r="G67" s="6" t="n"/>
      <c r="H67" s="6" t="n">
        <v>-8</v>
      </c>
    </row>
    <row r="68">
      <c r="A68" s="6" t="inlineStr">
        <is>
          <t>Net share option movements</t>
        </is>
      </c>
      <c r="B68" s="6" t="n"/>
      <c r="C68" s="6" t="n"/>
      <c r="D68" s="6" t="n"/>
      <c r="E68" s="6" t="n"/>
      <c r="F68" s="6" t="n">
        <v>2</v>
      </c>
      <c r="G68" s="6" t="n"/>
      <c r="H68" s="6" t="n">
        <v>2</v>
      </c>
    </row>
    <row r="69">
      <c r="A69" s="5" t="inlineStr">
        <is>
          <t>At 31 December 2022 (FY2022 closing)</t>
        </is>
      </c>
      <c r="B69" s="5" t="n">
        <v>0</v>
      </c>
      <c r="C69" s="5" t="n">
        <v>1964</v>
      </c>
      <c r="D69" s="5" t="n">
        <v>-1014</v>
      </c>
      <c r="E69" s="5" t="n">
        <v>-13</v>
      </c>
      <c r="F69" s="5" t="n">
        <v>20</v>
      </c>
      <c r="G69" s="5" t="n"/>
      <c r="H69" s="5" t="n">
        <v>957</v>
      </c>
    </row>
    <row r="70">
      <c r="A70" s="6" t="inlineStr">
        <is>
          <t>Profit for the year</t>
        </is>
      </c>
      <c r="B70" s="6" t="n"/>
      <c r="C70" s="6" t="n"/>
      <c r="D70" s="6" t="n">
        <v>46</v>
      </c>
      <c r="E70" s="6" t="n"/>
      <c r="F70" s="6" t="n"/>
      <c r="G70" s="6" t="n"/>
      <c r="H70" s="6" t="n">
        <v>46</v>
      </c>
    </row>
    <row r="71">
      <c r="A71" s="6" t="inlineStr">
        <is>
          <t>Other comprehensive income relating to investment securities designated at FVOCI, net of tax</t>
        </is>
      </c>
      <c r="B71" s="6" t="n"/>
      <c r="C71" s="6" t="n"/>
      <c r="D71" s="6" t="n"/>
      <c r="E71" s="6" t="n">
        <v>2</v>
      </c>
      <c r="F71" s="6" t="n"/>
      <c r="G71" s="6" t="n"/>
      <c r="H71" s="6" t="n">
        <v>2</v>
      </c>
    </row>
    <row r="72">
      <c r="A72" s="6" t="inlineStr">
        <is>
          <t>Net share option movements</t>
        </is>
      </c>
      <c r="B72" s="6" t="n"/>
      <c r="C72" s="6" t="n"/>
      <c r="D72" s="6" t="n"/>
      <c r="E72" s="6" t="n"/>
      <c r="F72" s="6" t="n">
        <v>3</v>
      </c>
      <c r="G72" s="6" t="n"/>
      <c r="H72" s="6" t="n">
        <v>3</v>
      </c>
    </row>
    <row r="73">
      <c r="A73" s="6" t="inlineStr">
        <is>
          <t>Transfer of share option reserve upon insertion of new holding company</t>
        </is>
      </c>
      <c r="B73" s="6" t="n"/>
      <c r="C73" s="6" t="n"/>
      <c r="D73" s="6" t="n"/>
      <c r="E73" s="6" t="n"/>
      <c r="F73" s="6" t="n">
        <v>-23</v>
      </c>
      <c r="G73" s="6" t="n">
        <v>23</v>
      </c>
      <c r="H73" s="6" t="n">
        <v>0</v>
      </c>
    </row>
    <row r="74">
      <c r="A74" s="6" t="inlineStr">
        <is>
          <t>Cancellation of Metro Bank PLC share capital and share premium</t>
        </is>
      </c>
      <c r="B74" s="6" t="n"/>
      <c r="C74" s="6" t="n">
        <v>-1964</v>
      </c>
      <c r="D74" s="6" t="n">
        <v>1964</v>
      </c>
      <c r="E74" s="6" t="n"/>
      <c r="F74" s="6" t="n"/>
      <c r="G74" s="6" t="n"/>
      <c r="H74" s="6" t="n">
        <v>0</v>
      </c>
    </row>
    <row r="75">
      <c r="A75" s="6" t="inlineStr">
        <is>
          <t>Shares issued</t>
        </is>
      </c>
      <c r="B75" s="6" t="n"/>
      <c r="C75" s="6" t="n">
        <v>144</v>
      </c>
      <c r="D75" s="6" t="n"/>
      <c r="E75" s="6" t="n"/>
      <c r="F75" s="6" t="n"/>
      <c r="G75" s="6" t="n"/>
      <c r="H75" s="6" t="n">
        <v>144</v>
      </c>
    </row>
    <row r="76">
      <c r="A76" s="5" t="inlineStr">
        <is>
          <t>At 31 December 2023 (FY2023 closing)</t>
        </is>
      </c>
      <c r="B76" s="5" t="n">
        <v>0</v>
      </c>
      <c r="C76" s="5" t="n">
        <v>144</v>
      </c>
      <c r="D76" s="5" t="n">
        <v>996</v>
      </c>
      <c r="E76" s="5" t="n">
        <v>-11</v>
      </c>
      <c r="F76" s="5" t="n">
        <v>0</v>
      </c>
      <c r="G76" s="5" t="n">
        <v>23</v>
      </c>
      <c r="H76" s="5" t="n">
        <v>1152</v>
      </c>
    </row>
    <row r="78" ht="150" customHeight="1">
      <c r="A78"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78:H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Cash Flow Statement</t>
        </is>
      </c>
    </row>
    <row r="2">
      <c r="A2" s="2" t="inlineStr">
        <is>
          <t>£m; 31 December year-end. FY2010-FY2012 are Company (own, pre-subsidiary); FY2013 is Group (HD-074); FY2014-FY2020 are Group/consolidated (as reported, itemized adjustments); FY2021-FY2023 are Company/standalone (as reported, collapsed to 'Adjustments for non-cash items' plus memo interest received/paid) - see HD-049 basis note. FY2024-FY2025 standalone accounts not located.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Reconciliation of profit/(loss) before tax to net cash flows from operating activities</t>
        </is>
      </c>
      <c r="B4" s="6" t="n"/>
      <c r="C4" s="6" t="n"/>
      <c r="D4" s="6" t="n"/>
      <c r="E4" s="6" t="n"/>
      <c r="F4" s="6" t="n"/>
      <c r="G4" s="6" t="n"/>
      <c r="H4" s="6" t="n"/>
      <c r="I4" s="6" t="n"/>
      <c r="J4" s="6" t="n"/>
      <c r="K4" s="6" t="n"/>
      <c r="L4" s="6" t="n"/>
      <c r="M4" s="6" t="n"/>
      <c r="N4" s="6" t="n"/>
      <c r="O4" s="6" t="n"/>
      <c r="P4" s="6" t="n"/>
      <c r="Q4" s="6" t="n"/>
    </row>
    <row r="5">
      <c r="A5" s="6" t="inlineStr">
        <is>
          <t>Profit/(loss) before tax</t>
        </is>
      </c>
      <c r="B5" s="6" t="n"/>
      <c r="C5" s="6" t="n"/>
      <c r="D5" s="6" t="n">
        <v>46</v>
      </c>
      <c r="E5" s="6" t="n">
        <v>-71</v>
      </c>
      <c r="F5" s="6" t="n">
        <v>-245</v>
      </c>
      <c r="G5" s="6" t="n">
        <v>-311</v>
      </c>
      <c r="H5" s="6" t="n">
        <v>-131</v>
      </c>
      <c r="I5" s="6" t="n">
        <v>41</v>
      </c>
      <c r="J5" s="6" t="n">
        <v>19</v>
      </c>
      <c r="K5" s="6" t="n">
        <v>-17</v>
      </c>
      <c r="L5" s="6" t="n">
        <v>-57</v>
      </c>
      <c r="M5" s="6" t="n">
        <v>-49</v>
      </c>
      <c r="N5" s="6" t="n">
        <v>-52.2</v>
      </c>
      <c r="O5" s="6" t="n">
        <v>-45.7</v>
      </c>
      <c r="P5" s="6" t="n">
        <v>-33.1</v>
      </c>
      <c r="Q5" s="6" t="n">
        <v>-23.4</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c r="N6" s="6" t="n"/>
      <c r="O6" s="6" t="n"/>
      <c r="P6" s="6" t="n"/>
      <c r="Q6" s="6" t="n"/>
    </row>
    <row r="7">
      <c r="A7" s="6" t="inlineStr">
        <is>
          <t>Interest on lease liabilities</t>
        </is>
      </c>
      <c r="B7" s="6" t="n"/>
      <c r="C7" s="6" t="n"/>
      <c r="D7" s="6" t="n"/>
      <c r="E7" s="6" t="n"/>
      <c r="F7" s="6" t="n"/>
      <c r="G7" s="6" t="n">
        <v>19</v>
      </c>
      <c r="H7" s="6" t="n">
        <v>18</v>
      </c>
      <c r="I7" s="6" t="n"/>
      <c r="J7" s="6" t="n"/>
      <c r="K7" s="6" t="n"/>
      <c r="L7" s="6" t="n"/>
      <c r="M7" s="6" t="n"/>
      <c r="N7" s="6" t="n"/>
      <c r="O7" s="6" t="n"/>
      <c r="P7" s="6" t="n"/>
      <c r="Q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c r="N8" s="6" t="n">
        <v>10.4</v>
      </c>
      <c r="O8" s="6" t="n">
        <v>6.2</v>
      </c>
      <c r="P8" s="6" t="n">
        <v>3.7</v>
      </c>
      <c r="Q8" s="6" t="n">
        <v>1.5</v>
      </c>
    </row>
    <row r="9">
      <c r="A9" s="6" t="inlineStr">
        <is>
          <t>Share option charge</t>
        </is>
      </c>
      <c r="B9" s="6" t="n"/>
      <c r="C9" s="6" t="n"/>
      <c r="D9" s="6" t="n"/>
      <c r="E9" s="6" t="n"/>
      <c r="F9" s="6" t="n"/>
      <c r="G9" s="6" t="n">
        <v>2</v>
      </c>
      <c r="H9" s="6" t="n">
        <v>4</v>
      </c>
      <c r="I9" s="6" t="n">
        <v>5</v>
      </c>
      <c r="J9" s="6" t="n">
        <v>3</v>
      </c>
      <c r="K9" s="6" t="n">
        <v>2</v>
      </c>
      <c r="L9" s="6" t="n">
        <v>1</v>
      </c>
      <c r="M9" s="6" t="n">
        <v>1</v>
      </c>
      <c r="N9" s="6" t="n">
        <v>0.4</v>
      </c>
      <c r="O9" s="6" t="n">
        <v>0.3</v>
      </c>
      <c r="P9" s="6" t="n">
        <v>0.1</v>
      </c>
      <c r="Q9" s="6" t="n"/>
    </row>
    <row r="10">
      <c r="A10" s="6" t="inlineStr">
        <is>
          <t>Grant income recognised in the income statement</t>
        </is>
      </c>
      <c r="B10" s="6" t="n"/>
      <c r="C10" s="6" t="n"/>
      <c r="D10" s="6" t="n"/>
      <c r="E10" s="6" t="n"/>
      <c r="F10" s="6" t="n"/>
      <c r="G10" s="6" t="n">
        <v>-24</v>
      </c>
      <c r="H10" s="6" t="n">
        <v>-16</v>
      </c>
      <c r="I10" s="6" t="n"/>
      <c r="J10" s="6" t="n"/>
      <c r="K10" s="6" t="n"/>
      <c r="L10" s="6" t="n"/>
      <c r="M10" s="6" t="n"/>
      <c r="N10" s="6" t="n"/>
      <c r="O10" s="6" t="n"/>
      <c r="P10" s="6" t="n"/>
      <c r="Q10" s="6" t="n"/>
    </row>
    <row r="11">
      <c r="A11" s="6" t="inlineStr">
        <is>
          <t>Amounts provided for (net of amounts released)</t>
        </is>
      </c>
      <c r="B11" s="6" t="n"/>
      <c r="C11" s="6" t="n"/>
      <c r="D11" s="6" t="n"/>
      <c r="E11" s="6" t="n"/>
      <c r="F11" s="6" t="n"/>
      <c r="G11" s="6" t="n">
        <v>8</v>
      </c>
      <c r="H11" s="6" t="n">
        <v>12</v>
      </c>
      <c r="I11" s="6" t="n"/>
      <c r="J11" s="6" t="n"/>
      <c r="K11" s="6" t="n"/>
      <c r="L11" s="6" t="n"/>
      <c r="M11" s="6" t="n"/>
      <c r="N11" s="6" t="n"/>
      <c r="O11" s="6" t="n"/>
      <c r="P11" s="6" t="n"/>
      <c r="Q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c r="N12" s="6" t="n">
        <v>-6.5</v>
      </c>
      <c r="O12" s="6" t="n">
        <v>-1.7</v>
      </c>
      <c r="P12" s="6" t="n">
        <v>-2.3</v>
      </c>
      <c r="Q12" s="6" t="n"/>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c r="N13" s="6" t="n">
        <v>-4.4</v>
      </c>
      <c r="O13" s="6" t="n">
        <v>-4.1</v>
      </c>
      <c r="P13" s="6" t="n"/>
      <c r="Q13" s="6" t="n"/>
    </row>
    <row r="14">
      <c r="A14" s="6" t="inlineStr">
        <is>
          <t>Adjustments for non-cash items</t>
        </is>
      </c>
      <c r="B14" s="6" t="n"/>
      <c r="C14" s="6" t="n"/>
      <c r="D14" s="6" t="n">
        <v>-376</v>
      </c>
      <c r="E14" s="6" t="n">
        <v>-259</v>
      </c>
      <c r="F14" s="6" t="n">
        <v>-132</v>
      </c>
      <c r="G14" s="6" t="n"/>
      <c r="H14" s="6" t="n"/>
      <c r="I14" s="6" t="n"/>
      <c r="J14" s="6" t="n"/>
      <c r="K14" s="6" t="n"/>
      <c r="L14" s="6" t="n"/>
      <c r="M14" s="6" t="n"/>
      <c r="N14" s="6" t="n"/>
      <c r="O14" s="6" t="n"/>
      <c r="P14" s="6" t="n"/>
      <c r="Q14" s="6" t="n"/>
    </row>
    <row r="15">
      <c r="A15" s="6" t="inlineStr">
        <is>
          <t>Interest received</t>
        </is>
      </c>
      <c r="B15" s="6" t="n"/>
      <c r="C15" s="6" t="n"/>
      <c r="D15" s="6" t="n">
        <v>834</v>
      </c>
      <c r="E15" s="6" t="n">
        <v>538</v>
      </c>
      <c r="F15" s="6" t="n">
        <v>394</v>
      </c>
      <c r="G15" s="6" t="n"/>
      <c r="H15" s="6" t="n"/>
      <c r="I15" s="6" t="n"/>
      <c r="J15" s="6" t="n"/>
      <c r="K15" s="6" t="n"/>
      <c r="L15" s="6" t="n"/>
      <c r="M15" s="6" t="n"/>
      <c r="N15" s="6" t="n"/>
      <c r="O15" s="6" t="n"/>
      <c r="P15" s="6" t="n"/>
      <c r="Q15" s="6" t="n"/>
    </row>
    <row r="16">
      <c r="A16" s="6" t="inlineStr">
        <is>
          <t>Interest paid</t>
        </is>
      </c>
      <c r="B16" s="6" t="n"/>
      <c r="C16" s="6" t="n"/>
      <c r="D16" s="6" t="n">
        <v>-370</v>
      </c>
      <c r="E16" s="6" t="n">
        <v>-124</v>
      </c>
      <c r="F16" s="6" t="n">
        <v>-126</v>
      </c>
      <c r="G16" s="6" t="n"/>
      <c r="H16" s="6" t="n"/>
      <c r="I16" s="6" t="n"/>
      <c r="J16" s="6" t="n"/>
      <c r="K16" s="6" t="n"/>
      <c r="L16" s="6" t="n"/>
      <c r="M16" s="6" t="n"/>
      <c r="N16" s="6" t="n"/>
      <c r="O16" s="6" t="n"/>
      <c r="P16" s="6" t="n"/>
      <c r="Q16" s="6" t="n"/>
    </row>
    <row r="17">
      <c r="A17" s="6" t="inlineStr">
        <is>
          <t>Changes in loans and advances to customers</t>
        </is>
      </c>
      <c r="B17" s="6" t="n"/>
      <c r="C17" s="6" t="n"/>
      <c r="D17" s="6" t="n"/>
      <c r="E17" s="6" t="n"/>
      <c r="F17" s="6" t="n"/>
      <c r="G17" s="6" t="n">
        <v>2591</v>
      </c>
      <c r="H17" s="6" t="n">
        <v>-445</v>
      </c>
      <c r="I17" s="6" t="n"/>
      <c r="J17" s="6" t="n"/>
      <c r="K17" s="6" t="n"/>
      <c r="L17" s="6" t="n"/>
      <c r="M17" s="6" t="n"/>
      <c r="N17" s="6" t="n"/>
      <c r="O17" s="6" t="n"/>
      <c r="P17" s="6" t="n"/>
      <c r="Q17" s="6" t="n"/>
    </row>
    <row r="18">
      <c r="A18" s="6" t="inlineStr">
        <is>
          <t>Changes in deposits from customers</t>
        </is>
      </c>
      <c r="B18" s="6" t="n"/>
      <c r="C18" s="6" t="n"/>
      <c r="D18" s="6" t="n"/>
      <c r="E18" s="6" t="n"/>
      <c r="F18" s="6" t="n"/>
      <c r="G18" s="6" t="n">
        <v>1595</v>
      </c>
      <c r="H18" s="6" t="n">
        <v>-1184</v>
      </c>
      <c r="I18" s="6" t="n"/>
      <c r="J18" s="6" t="n"/>
      <c r="K18" s="6" t="n"/>
      <c r="L18" s="6" t="n"/>
      <c r="M18" s="6" t="n"/>
      <c r="N18" s="6" t="n"/>
      <c r="O18" s="6" t="n"/>
      <c r="P18" s="6" t="n"/>
      <c r="Q18" s="6" t="n"/>
    </row>
    <row r="19">
      <c r="A19" s="6" t="inlineStr">
        <is>
          <t>Changes in other operating assets</t>
        </is>
      </c>
      <c r="B19" s="6" t="n"/>
      <c r="C19" s="6" t="n"/>
      <c r="D19" s="6" t="n">
        <v>729</v>
      </c>
      <c r="E19" s="6" t="n">
        <v>-842</v>
      </c>
      <c r="F19" s="6" t="n">
        <v>2613</v>
      </c>
      <c r="G19" s="6" t="n">
        <v>-2820</v>
      </c>
      <c r="H19" s="6" t="n">
        <v>-26</v>
      </c>
      <c r="I19" s="6" t="n">
        <v>-4651</v>
      </c>
      <c r="J19" s="6" t="n">
        <v>-3755</v>
      </c>
      <c r="K19" s="6" t="n">
        <v>-2341</v>
      </c>
      <c r="L19" s="6" t="n">
        <v>-1971</v>
      </c>
      <c r="M19" s="6" t="n">
        <v>-856</v>
      </c>
      <c r="N19" s="6" t="n">
        <v>-591.9</v>
      </c>
      <c r="O19" s="6" t="n">
        <v>-129.9</v>
      </c>
      <c r="P19" s="6" t="n">
        <v>-44.6</v>
      </c>
      <c r="Q19" s="6" t="n">
        <v>-1.6</v>
      </c>
    </row>
    <row r="20">
      <c r="A20" s="6" t="inlineStr">
        <is>
          <t>Changes in other operating liabilities</t>
        </is>
      </c>
      <c r="B20" s="6" t="n"/>
      <c r="C20" s="6" t="n"/>
      <c r="D20" s="6" t="n">
        <v>-251</v>
      </c>
      <c r="E20" s="6" t="n">
        <v>-409</v>
      </c>
      <c r="F20" s="6" t="n">
        <v>370</v>
      </c>
      <c r="G20" s="6" t="n">
        <v>-64</v>
      </c>
      <c r="H20" s="6" t="n">
        <v>-31</v>
      </c>
      <c r="I20" s="6" t="n">
        <v>4726</v>
      </c>
      <c r="J20" s="6" t="n">
        <v>5994</v>
      </c>
      <c r="K20" s="6" t="n">
        <v>3512</v>
      </c>
      <c r="L20" s="6" t="n">
        <v>2543</v>
      </c>
      <c r="M20" s="6" t="n">
        <v>1709</v>
      </c>
      <c r="N20" s="6" t="n">
        <v>893.6</v>
      </c>
      <c r="O20" s="6" t="n">
        <v>430.6</v>
      </c>
      <c r="P20" s="6" t="n">
        <v>140</v>
      </c>
      <c r="Q20" s="6" t="n">
        <v>17</v>
      </c>
    </row>
    <row r="21">
      <c r="A21" s="5" t="inlineStr">
        <is>
          <t>Net cash inflows/(outflows) from operating activities</t>
        </is>
      </c>
      <c r="B21" s="5" t="n"/>
      <c r="C21" s="5" t="n"/>
      <c r="D21" s="5" t="n">
        <v>612</v>
      </c>
      <c r="E21" s="5" t="n">
        <v>-1167</v>
      </c>
      <c r="F21" s="5" t="n">
        <v>2874</v>
      </c>
      <c r="G21" s="5" t="n">
        <v>1041</v>
      </c>
      <c r="H21" s="5" t="n">
        <v>-1655</v>
      </c>
      <c r="I21" s="5" t="n">
        <v>153</v>
      </c>
      <c r="J21" s="5" t="n">
        <v>2294</v>
      </c>
      <c r="K21" s="5" t="n">
        <v>1169</v>
      </c>
      <c r="L21" s="5" t="n">
        <v>546</v>
      </c>
      <c r="M21" s="5" t="n">
        <v>810</v>
      </c>
      <c r="N21" s="5" t="n">
        <v>249.3</v>
      </c>
      <c r="O21" s="5" t="n">
        <v>255.8</v>
      </c>
      <c r="P21" s="5" t="n">
        <v>63.7</v>
      </c>
      <c r="Q21" s="5" t="n">
        <v>-6.5</v>
      </c>
    </row>
    <row r="22">
      <c r="A22" s="5" t="inlineStr">
        <is>
          <t>Cash flows from investing activities</t>
        </is>
      </c>
      <c r="B22" s="6" t="n"/>
      <c r="C22" s="6" t="n"/>
      <c r="D22" s="6" t="n"/>
      <c r="E22" s="6" t="n"/>
      <c r="F22" s="6" t="n"/>
      <c r="G22" s="6" t="n"/>
      <c r="H22" s="6" t="n"/>
      <c r="I22" s="6" t="n"/>
      <c r="J22" s="6" t="n"/>
      <c r="K22" s="6" t="n"/>
      <c r="L22" s="6" t="n"/>
      <c r="M22" s="6" t="n"/>
      <c r="N22" s="6" t="n"/>
      <c r="O22" s="6" t="n"/>
      <c r="P22" s="6" t="n"/>
      <c r="Q22" s="6" t="n"/>
    </row>
    <row r="23">
      <c r="A23" s="6" t="inlineStr">
        <is>
          <t>Sales of investment securities</t>
        </is>
      </c>
      <c r="B23" s="6" t="n"/>
      <c r="C23" s="6" t="n"/>
      <c r="D23" s="6" t="n">
        <v>1870</v>
      </c>
      <c r="E23" s="6" t="n">
        <v>857</v>
      </c>
      <c r="F23" s="6" t="n">
        <v>1269</v>
      </c>
      <c r="G23" s="6" t="n">
        <v>615</v>
      </c>
      <c r="H23" s="6" t="n">
        <v>2193</v>
      </c>
      <c r="I23" s="6" t="n">
        <v>1522</v>
      </c>
      <c r="J23" s="6" t="n">
        <v>309</v>
      </c>
      <c r="K23" s="6" t="n">
        <v>2197</v>
      </c>
      <c r="L23" s="6" t="n">
        <v>911</v>
      </c>
      <c r="M23" s="6" t="n">
        <v>474</v>
      </c>
      <c r="N23" s="6" t="n">
        <v>368.1</v>
      </c>
      <c r="O23" s="6" t="n"/>
      <c r="P23" s="6" t="n"/>
      <c r="Q23" s="6" t="n"/>
    </row>
    <row r="24">
      <c r="A24" s="6" t="inlineStr">
        <is>
          <t>Purchase of investment securities</t>
        </is>
      </c>
      <c r="B24" s="6" t="n"/>
      <c r="C24" s="6" t="n"/>
      <c r="D24" s="6" t="n">
        <v>-816</v>
      </c>
      <c r="E24" s="6" t="n">
        <v>-1206</v>
      </c>
      <c r="F24" s="6" t="n">
        <v>-3438</v>
      </c>
      <c r="G24" s="6" t="n">
        <v>-1460</v>
      </c>
      <c r="H24" s="6" t="n">
        <v>-618</v>
      </c>
      <c r="I24" s="6" t="n">
        <v>-1740</v>
      </c>
      <c r="J24" s="6" t="n">
        <v>-997</v>
      </c>
      <c r="K24" s="6" t="n">
        <v>-3403</v>
      </c>
      <c r="L24" s="6" t="n">
        <v>-1311</v>
      </c>
      <c r="M24" s="6" t="n">
        <v>-1376</v>
      </c>
      <c r="N24" s="6" t="n">
        <v>-638.5</v>
      </c>
      <c r="O24" s="6" t="n">
        <v>-335.7</v>
      </c>
      <c r="P24" s="6" t="n">
        <v>-38.7</v>
      </c>
      <c r="Q24" s="6" t="n">
        <v>-40.3</v>
      </c>
    </row>
    <row r="25">
      <c r="A25" s="6" t="inlineStr">
        <is>
          <t>Purchase of property, plant and equipment</t>
        </is>
      </c>
      <c r="B25" s="6" t="n"/>
      <c r="C25" s="6" t="n"/>
      <c r="D25" s="6" t="n">
        <v>-12</v>
      </c>
      <c r="E25" s="6" t="n">
        <v>-29</v>
      </c>
      <c r="F25" s="6" t="n">
        <v>-41</v>
      </c>
      <c r="G25" s="6" t="n">
        <v>-29</v>
      </c>
      <c r="H25" s="6" t="n">
        <v>-120</v>
      </c>
      <c r="I25" s="6" t="n">
        <v>-150</v>
      </c>
      <c r="J25" s="6" t="n">
        <v>-100</v>
      </c>
      <c r="K25" s="6" t="n">
        <v>-98</v>
      </c>
      <c r="L25" s="6" t="n">
        <v>-50</v>
      </c>
      <c r="M25" s="6" t="n">
        <v>-41</v>
      </c>
      <c r="N25" s="6" t="n">
        <v>-60</v>
      </c>
      <c r="O25" s="6" t="n">
        <v>-26.8</v>
      </c>
      <c r="P25" s="6" t="n">
        <v>-17.8</v>
      </c>
      <c r="Q25" s="6" t="n">
        <v>-15.3</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c r="N26" s="6" t="n"/>
      <c r="O26" s="6" t="n"/>
      <c r="P26" s="6" t="n"/>
      <c r="Q26" s="6" t="n"/>
    </row>
    <row r="27">
      <c r="A27" s="6" t="inlineStr">
        <is>
          <t>Purchase and development of intangible assets</t>
        </is>
      </c>
      <c r="B27" s="6" t="n"/>
      <c r="C27" s="6" t="n"/>
      <c r="D27" s="6" t="n">
        <v>-26</v>
      </c>
      <c r="E27" s="6" t="n">
        <v>-24</v>
      </c>
      <c r="F27" s="6" t="n">
        <v>-64</v>
      </c>
      <c r="G27" s="6" t="n">
        <v>-81</v>
      </c>
      <c r="H27" s="6" t="n">
        <v>-79</v>
      </c>
      <c r="I27" s="6" t="n">
        <v>-75</v>
      </c>
      <c r="J27" s="6" t="n">
        <v>-70</v>
      </c>
      <c r="K27" s="6" t="n">
        <v>-45</v>
      </c>
      <c r="L27" s="6" t="n">
        <v>-30</v>
      </c>
      <c r="M27" s="6" t="n">
        <v>-13</v>
      </c>
      <c r="N27" s="6" t="n">
        <v>-14.2</v>
      </c>
      <c r="O27" s="6" t="n">
        <v>-2.9</v>
      </c>
      <c r="P27" s="6" t="n">
        <v>-2.7</v>
      </c>
      <c r="Q27" s="6" t="n">
        <v>-6.4</v>
      </c>
    </row>
    <row r="28">
      <c r="A28" s="6" t="inlineStr">
        <is>
          <t>Acquisition of subsidiary, net of cash acquired</t>
        </is>
      </c>
      <c r="B28" s="6" t="n"/>
      <c r="C28" s="6" t="n"/>
      <c r="D28" s="6" t="n"/>
      <c r="E28" s="6" t="n"/>
      <c r="F28" s="6" t="n"/>
      <c r="G28" s="6" t="n">
        <v>-1</v>
      </c>
      <c r="H28" s="6" t="n"/>
      <c r="I28" s="6" t="n"/>
      <c r="J28" s="6" t="n"/>
      <c r="K28" s="6" t="n"/>
      <c r="L28" s="6" t="n"/>
      <c r="M28" s="6" t="n"/>
      <c r="N28" s="6" t="n"/>
      <c r="O28" s="6" t="n"/>
      <c r="P28" s="6" t="n"/>
      <c r="Q28" s="6" t="n"/>
    </row>
    <row r="29">
      <c r="A29" s="6" t="inlineStr">
        <is>
          <t>Dividends received from subsidiaries</t>
        </is>
      </c>
      <c r="B29" s="6" t="n"/>
      <c r="C29" s="6" t="n"/>
      <c r="D29" s="6" t="n">
        <v>12</v>
      </c>
      <c r="E29" s="6" t="n"/>
      <c r="F29" s="6" t="n"/>
      <c r="G29" s="6" t="n"/>
      <c r="H29" s="6" t="n"/>
      <c r="I29" s="6" t="n"/>
      <c r="J29" s="6" t="n"/>
      <c r="K29" s="6" t="n"/>
      <c r="L29" s="6" t="n"/>
      <c r="M29" s="6" t="n"/>
      <c r="N29" s="6" t="n"/>
      <c r="O29" s="6" t="n"/>
      <c r="P29" s="6" t="n"/>
      <c r="Q29" s="6" t="n"/>
    </row>
    <row r="30">
      <c r="A30" s="5" t="inlineStr">
        <is>
          <t>Net cash inflows/(outflows) from investing activities</t>
        </is>
      </c>
      <c r="B30" s="5" t="n"/>
      <c r="C30" s="5" t="n"/>
      <c r="D30" s="5" t="n">
        <v>1028</v>
      </c>
      <c r="E30" s="5" t="n">
        <v>-402</v>
      </c>
      <c r="F30" s="5" t="n">
        <v>-2274</v>
      </c>
      <c r="G30" s="5" t="n">
        <v>-956</v>
      </c>
      <c r="H30" s="5" t="n">
        <v>1376</v>
      </c>
      <c r="I30" s="5" t="n">
        <v>-443</v>
      </c>
      <c r="J30" s="5" t="n">
        <v>-858</v>
      </c>
      <c r="K30" s="5" t="n">
        <v>-1349</v>
      </c>
      <c r="L30" s="5" t="n">
        <v>-480</v>
      </c>
      <c r="M30" s="5" t="n">
        <v>-957</v>
      </c>
      <c r="N30" s="5" t="n">
        <v>-344.6</v>
      </c>
      <c r="O30" s="5" t="n">
        <v>-365.3</v>
      </c>
      <c r="P30" s="5" t="n">
        <v>-59.1</v>
      </c>
      <c r="Q30" s="5" t="n">
        <v>-62</v>
      </c>
    </row>
    <row r="31">
      <c r="A31" s="5" t="inlineStr">
        <is>
          <t>Cash flows from 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 of preference shares</t>
        </is>
      </c>
      <c r="B32" s="6" t="n"/>
      <c r="C32" s="6" t="n"/>
      <c r="D32" s="6" t="n"/>
      <c r="E32" s="6" t="n"/>
      <c r="F32" s="6" t="n"/>
      <c r="G32" s="6" t="n"/>
      <c r="H32" s="6" t="n"/>
      <c r="I32" s="6" t="n"/>
      <c r="J32" s="6" t="n"/>
      <c r="K32" s="6" t="n"/>
      <c r="L32" s="6" t="n"/>
      <c r="M32" s="6" t="n"/>
      <c r="N32" s="6" t="n"/>
      <c r="O32" s="6" t="n"/>
      <c r="P32" s="6" t="n"/>
      <c r="Q32" s="6" t="n">
        <v>-0.1</v>
      </c>
    </row>
    <row r="33">
      <c r="A33" s="6" t="inlineStr">
        <is>
          <t>Repayment of capital elements of leases</t>
        </is>
      </c>
      <c r="B33" s="6" t="n"/>
      <c r="C33" s="6" t="n"/>
      <c r="D33" s="6" t="n">
        <v>-23</v>
      </c>
      <c r="E33" s="6" t="n">
        <v>-25</v>
      </c>
      <c r="F33" s="6" t="n">
        <v>-27</v>
      </c>
      <c r="G33" s="6" t="n">
        <v>-31</v>
      </c>
      <c r="H33" s="6" t="n">
        <v>-25</v>
      </c>
      <c r="I33" s="6" t="n"/>
      <c r="J33" s="6" t="n"/>
      <c r="K33" s="6" t="n"/>
      <c r="L33" s="6" t="n"/>
      <c r="M33" s="6" t="n"/>
      <c r="N33" s="6" t="n"/>
      <c r="O33" s="6" t="n"/>
      <c r="P33" s="6" t="n"/>
      <c r="Q33" s="6" t="n"/>
    </row>
    <row r="34">
      <c r="A34" s="6" t="inlineStr">
        <is>
          <t>Issuance of new shares</t>
        </is>
      </c>
      <c r="B34" s="6" t="n"/>
      <c r="C34" s="6" t="n"/>
      <c r="D34" s="6" t="n">
        <v>144</v>
      </c>
      <c r="E34" s="6" t="n"/>
      <c r="F34" s="6" t="n"/>
      <c r="G34" s="6" t="n"/>
      <c r="H34" s="6" t="n">
        <v>375</v>
      </c>
      <c r="I34" s="6" t="n">
        <v>304</v>
      </c>
      <c r="J34" s="6" t="n">
        <v>279</v>
      </c>
      <c r="K34" s="6" t="n">
        <v>404</v>
      </c>
      <c r="L34" s="6" t="n"/>
      <c r="M34" s="6" t="n">
        <v>99</v>
      </c>
      <c r="N34" s="6" t="n">
        <v>284.3</v>
      </c>
      <c r="O34" s="6" t="n">
        <v>126</v>
      </c>
      <c r="P34" s="6" t="n"/>
      <c r="Q34" s="6" t="n">
        <v>120.1</v>
      </c>
    </row>
    <row r="35">
      <c r="A35" s="6" t="inlineStr">
        <is>
          <t>Cost of share/debt issues</t>
        </is>
      </c>
      <c r="B35" s="6" t="n"/>
      <c r="C35" s="6" t="n"/>
      <c r="D35" s="6" t="n"/>
      <c r="E35" s="6" t="n"/>
      <c r="F35" s="6" t="n"/>
      <c r="G35" s="6" t="n"/>
      <c r="H35" s="6" t="n">
        <v>-16</v>
      </c>
      <c r="I35" s="6" t="n">
        <v>-3</v>
      </c>
      <c r="J35" s="6" t="n">
        <v>-3</v>
      </c>
      <c r="K35" s="6" t="n">
        <v>-5</v>
      </c>
      <c r="L35" s="6" t="n"/>
      <c r="M35" s="6" t="n">
        <v>-1</v>
      </c>
      <c r="N35" s="6" t="n"/>
      <c r="O35" s="6" t="n"/>
      <c r="P35" s="6" t="n"/>
      <c r="Q35" s="6" t="n"/>
    </row>
    <row r="36">
      <c r="A36" s="6" t="inlineStr">
        <is>
          <t>Issuance of medium-term notes/subordinated debt (net of costs)</t>
        </is>
      </c>
      <c r="B36" s="6" t="n"/>
      <c r="C36" s="6" t="n"/>
      <c r="D36" s="6" t="n">
        <v>175</v>
      </c>
      <c r="E36" s="6" t="n"/>
      <c r="F36" s="6" t="n"/>
      <c r="G36" s="6" t="n"/>
      <c r="H36" s="6" t="n">
        <v>350</v>
      </c>
      <c r="I36" s="6" t="n">
        <v>250</v>
      </c>
      <c r="J36" s="6" t="n"/>
      <c r="K36" s="6" t="n"/>
      <c r="L36" s="6" t="n"/>
      <c r="M36" s="6" t="n"/>
      <c r="N36" s="6" t="n"/>
      <c r="O36" s="6" t="n"/>
      <c r="P36" s="6" t="n"/>
      <c r="Q36" s="6" t="n"/>
    </row>
    <row r="37">
      <c r="A37" s="6" t="inlineStr">
        <is>
          <t>Cost of debt issued</t>
        </is>
      </c>
      <c r="B37" s="6" t="n"/>
      <c r="C37" s="6" t="n"/>
      <c r="D37" s="6" t="n"/>
      <c r="E37" s="6" t="n"/>
      <c r="F37" s="6" t="n"/>
      <c r="G37" s="6" t="n"/>
      <c r="H37" s="6" t="n">
        <v>-8</v>
      </c>
      <c r="I37" s="6" t="n">
        <v>-1</v>
      </c>
      <c r="J37" s="6" t="n"/>
      <c r="K37" s="6" t="n"/>
      <c r="L37" s="6" t="n"/>
      <c r="M37" s="6" t="n"/>
      <c r="N37" s="6" t="n"/>
      <c r="O37" s="6" t="n"/>
      <c r="P37" s="6" t="n"/>
      <c r="Q37" s="6" t="n"/>
    </row>
    <row r="38">
      <c r="A38" s="6" t="inlineStr">
        <is>
          <t>Grant (repaid)/received</t>
        </is>
      </c>
      <c r="B38" s="6" t="n"/>
      <c r="C38" s="6" t="n"/>
      <c r="D38" s="6" t="n"/>
      <c r="E38" s="6" t="n"/>
      <c r="F38" s="6" t="n"/>
      <c r="G38" s="6" t="n">
        <v>-50</v>
      </c>
      <c r="H38" s="6" t="n">
        <v>120</v>
      </c>
      <c r="I38" s="6" t="n"/>
      <c r="J38" s="6" t="n"/>
      <c r="K38" s="6" t="n"/>
      <c r="L38" s="6" t="n"/>
      <c r="M38" s="6" t="n"/>
      <c r="N38" s="6" t="n"/>
      <c r="O38" s="6" t="n"/>
      <c r="P38" s="6" t="n"/>
      <c r="Q38" s="6" t="n"/>
    </row>
    <row r="39">
      <c r="A39" s="5" t="inlineStr">
        <is>
          <t>Net cash inflows/(outflows) from financing activities</t>
        </is>
      </c>
      <c r="B39" s="5" t="n"/>
      <c r="C39" s="5" t="n"/>
      <c r="D39" s="5" t="n">
        <v>296</v>
      </c>
      <c r="E39" s="5" t="n">
        <v>-25</v>
      </c>
      <c r="F39" s="5" t="n">
        <v>-27</v>
      </c>
      <c r="G39" s="5" t="n">
        <v>-81</v>
      </c>
      <c r="H39" s="5" t="n">
        <v>796</v>
      </c>
      <c r="I39" s="5" t="n">
        <v>550</v>
      </c>
      <c r="J39" s="5" t="n">
        <v>276</v>
      </c>
      <c r="K39" s="5" t="n">
        <v>398</v>
      </c>
      <c r="L39" s="5" t="n">
        <v>0</v>
      </c>
      <c r="M39" s="5" t="n">
        <v>99</v>
      </c>
      <c r="N39" s="5" t="n">
        <v>284.3</v>
      </c>
      <c r="O39" s="5" t="n">
        <v>126</v>
      </c>
      <c r="P39" s="5" t="n">
        <v>0</v>
      </c>
      <c r="Q39" s="5" t="n">
        <v>120.1</v>
      </c>
    </row>
    <row r="40">
      <c r="A40" s="5" t="inlineStr">
        <is>
          <t>Net increase/(decrease) in cash and cash equivalents</t>
        </is>
      </c>
      <c r="B40" s="5" t="n"/>
      <c r="C40" s="5" t="n"/>
      <c r="D40" s="5" t="n">
        <v>1936</v>
      </c>
      <c r="E40" s="5" t="n">
        <v>-1594</v>
      </c>
      <c r="F40" s="5" t="n">
        <v>573</v>
      </c>
      <c r="G40" s="5" t="n">
        <v>4</v>
      </c>
      <c r="H40" s="5" t="n">
        <v>517</v>
      </c>
      <c r="I40" s="5" t="n">
        <v>260</v>
      </c>
      <c r="J40" s="5" t="n">
        <v>1712</v>
      </c>
      <c r="K40" s="5" t="n">
        <v>218</v>
      </c>
      <c r="L40" s="5" t="n">
        <v>66</v>
      </c>
      <c r="M40" s="5" t="n">
        <v>-47</v>
      </c>
      <c r="N40" s="5" t="n">
        <v>189.1</v>
      </c>
      <c r="O40" s="5" t="n">
        <v>16.5</v>
      </c>
      <c r="P40" s="5" t="n">
        <v>4.7</v>
      </c>
      <c r="Q40" s="5" t="n">
        <v>51.6</v>
      </c>
    </row>
    <row r="41">
      <c r="A41" s="6" t="inlineStr">
        <is>
          <t>Cash and cash equivalents at start of year</t>
        </is>
      </c>
      <c r="B41" s="6" t="n"/>
      <c r="C41" s="6" t="n"/>
      <c r="D41" s="6" t="n">
        <v>1953</v>
      </c>
      <c r="E41" s="6" t="n">
        <v>3547</v>
      </c>
      <c r="F41" s="6" t="n">
        <v>2974</v>
      </c>
      <c r="G41" s="6" t="n">
        <v>2989</v>
      </c>
      <c r="H41" s="6" t="n">
        <v>2472</v>
      </c>
      <c r="I41" s="6" t="n">
        <v>2212</v>
      </c>
      <c r="J41" s="6" t="n">
        <v>500</v>
      </c>
      <c r="K41" s="6" t="n">
        <v>282</v>
      </c>
      <c r="L41" s="6" t="n">
        <v>216</v>
      </c>
      <c r="M41" s="6" t="n">
        <v>263</v>
      </c>
      <c r="N41" s="6" t="n">
        <v>74.09999999999999</v>
      </c>
      <c r="O41" s="6" t="n">
        <v>57.6</v>
      </c>
      <c r="P41" s="6" t="n">
        <v>52.9</v>
      </c>
      <c r="Q41" s="6" t="n">
        <v>1.3</v>
      </c>
    </row>
    <row r="42">
      <c r="A42" s="5" t="inlineStr">
        <is>
          <t>Cash and cash equivalents at end of year</t>
        </is>
      </c>
      <c r="B42" s="5" t="n"/>
      <c r="C42" s="5" t="n"/>
      <c r="D42" s="5" t="n">
        <v>3889</v>
      </c>
      <c r="E42" s="5" t="n">
        <v>1953</v>
      </c>
      <c r="F42" s="5" t="n">
        <v>3547</v>
      </c>
      <c r="G42" s="5" t="n">
        <v>2993</v>
      </c>
      <c r="H42" s="5" t="n">
        <v>2989</v>
      </c>
      <c r="I42" s="5" t="n">
        <v>2472</v>
      </c>
      <c r="J42" s="5" t="n">
        <v>2212</v>
      </c>
      <c r="K42" s="5" t="n">
        <v>500</v>
      </c>
      <c r="L42" s="5" t="n">
        <v>282</v>
      </c>
      <c r="M42" s="5" t="n">
        <v>216</v>
      </c>
      <c r="N42" s="5" t="n">
        <v>263.2</v>
      </c>
      <c r="O42" s="5" t="n">
        <v>74.09999999999999</v>
      </c>
      <c r="P42" s="5" t="n">
        <v>57.6</v>
      </c>
      <c r="Q42" s="5" t="n">
        <v>52.9</v>
      </c>
    </row>
    <row r="44" ht="260" customHeight="1">
      <c r="A44"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FY2013: Metro Bank PLC Full Accounts, year ended 31 December 2013, Consolidated Cash flow statement, p.13 - https://find-and-update.company-information.service.gov.uk/company/06419578/filing-history/MzEwMzEwOTEwMGFkaXF6a2N4/document?format=pdf&amp;download=0
FY2012: Metro Bank PLC Full Accounts, year ended 31 December 2012, Cash flow statement, p.11 - https://find-and-update.company-information.service.gov.uk/company/06419578/filing-history/MzA3OTE2MjcwMGFkaXF6a2N4/document?format=pdf&amp;download=0
FY2011: Metro Bank PLC Full Accounts, year ended 31 December 2011, Cash flow statement, p.11 - https://find-and-update.company-information.service.gov.uk/company/06419578/filing-history/MzA2MDE4MDA3NWFkaXF6a2N4/document?format=pdf&amp;download=0
FY2010 (16m): Metro Bank PLC Financial Statements, period ended 31 December 2010, Cash flow statement, p.10 - https://find-and-update.company-information.service.gov.uk/company/06419578/filing-history/MzAzOTgzODAwMGFkaXF6a2N4/document?format=pdf&amp;download=0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
HD-074: FY2010-FY2013 similarly reproduce each year's own reported line items - see the HD-074 note above for the net-vs-gross investment-securities purchase distinction across these years.</t>
        </is>
      </c>
    </row>
  </sheetData>
  <mergeCells count="1">
    <mergeCell ref="A44:Q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 The FY2010-FY2014 block at the bottom is pre-IFRS 9 incurred-loss provisioning on a separate basis - see its section header.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Gross carrying amount by portfolio, Group basis</t>
        </is>
      </c>
      <c r="B4" s="6" t="n"/>
      <c r="C4" s="6" t="n"/>
      <c r="D4" s="6" t="n"/>
      <c r="E4" s="6" t="n"/>
      <c r="F4" s="6" t="n"/>
      <c r="G4" s="6" t="n"/>
      <c r="H4" s="6" t="n"/>
      <c r="I4" s="6" t="n"/>
      <c r="J4" s="6" t="n"/>
      <c r="K4" s="6" t="n"/>
      <c r="L4" s="6" t="n"/>
      <c r="M4" s="6" t="n"/>
      <c r="N4" s="6" t="n"/>
      <c r="O4" s="6" t="n"/>
      <c r="P4" s="6" t="n"/>
      <c r="Q4" s="6" t="n"/>
    </row>
    <row r="5">
      <c r="A5" s="6" t="inlineStr">
        <is>
          <t>Retail mortgages</t>
        </is>
      </c>
      <c r="B5" s="6" t="n">
        <v>4940</v>
      </c>
      <c r="C5" s="6" t="n">
        <v>5145</v>
      </c>
      <c r="D5" s="6" t="n">
        <v>7817</v>
      </c>
      <c r="E5" s="6" t="n">
        <v>7649</v>
      </c>
      <c r="F5" s="6" t="n">
        <v>6723</v>
      </c>
      <c r="G5" s="6" t="n"/>
      <c r="H5" s="6" t="n"/>
      <c r="I5" s="6" t="n"/>
      <c r="J5" s="6" t="n"/>
      <c r="K5" s="6" t="n"/>
      <c r="L5" s="6" t="n"/>
      <c r="M5" s="6" t="n"/>
      <c r="N5" s="6" t="n"/>
      <c r="O5" s="6" t="n"/>
      <c r="P5" s="6" t="n"/>
      <c r="Q5" s="6" t="n"/>
    </row>
    <row r="6">
      <c r="A6" s="6" t="inlineStr">
        <is>
          <t>Consumer lending</t>
        </is>
      </c>
      <c r="B6" s="6" t="n">
        <v>114</v>
      </c>
      <c r="C6" s="6" t="n">
        <v>745</v>
      </c>
      <c r="D6" s="6" t="n">
        <v>1297</v>
      </c>
      <c r="E6" s="6" t="n">
        <v>1480</v>
      </c>
      <c r="F6" s="6" t="n">
        <v>890</v>
      </c>
      <c r="G6" s="6" t="n"/>
      <c r="H6" s="6" t="n"/>
      <c r="I6" s="6" t="n"/>
      <c r="J6" s="6" t="n"/>
      <c r="K6" s="6" t="n"/>
      <c r="L6" s="6" t="n"/>
      <c r="M6" s="6" t="n"/>
      <c r="N6" s="6" t="n"/>
      <c r="O6" s="6" t="n"/>
      <c r="P6" s="6" t="n"/>
      <c r="Q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c r="N7" s="6" t="n"/>
      <c r="O7" s="6" t="n"/>
      <c r="P7" s="6" t="n"/>
      <c r="Q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c r="N8" s="5" t="n"/>
      <c r="O8" s="5" t="n"/>
      <c r="P8" s="5" t="n"/>
      <c r="Q8" s="5" t="n"/>
    </row>
    <row r="9">
      <c r="A9" s="6" t="inlineStr">
        <is>
          <t>ECL allowance - retail mortgages</t>
        </is>
      </c>
      <c r="B9" s="6" t="n">
        <v>-16</v>
      </c>
      <c r="C9" s="6" t="n">
        <v>-15</v>
      </c>
      <c r="D9" s="6" t="n">
        <v>-19</v>
      </c>
      <c r="E9" s="6" t="n">
        <v>-20</v>
      </c>
      <c r="F9" s="6" t="n">
        <v>-19</v>
      </c>
      <c r="G9" s="6" t="n"/>
      <c r="H9" s="6" t="n"/>
      <c r="I9" s="6" t="n"/>
      <c r="J9" s="6" t="n"/>
      <c r="K9" s="6" t="n"/>
      <c r="L9" s="6" t="n"/>
      <c r="M9" s="6" t="n"/>
      <c r="N9" s="6" t="n"/>
      <c r="O9" s="6" t="n"/>
      <c r="P9" s="6" t="n"/>
      <c r="Q9" s="6" t="n"/>
    </row>
    <row r="10">
      <c r="A10" s="6" t="inlineStr">
        <is>
          <t>ECL allowance - consumer lending</t>
        </is>
      </c>
      <c r="B10" s="6" t="n">
        <v>-67</v>
      </c>
      <c r="C10" s="6" t="n">
        <v>-108</v>
      </c>
      <c r="D10" s="6" t="n">
        <v>-108</v>
      </c>
      <c r="E10" s="6" t="n">
        <v>-75</v>
      </c>
      <c r="F10" s="6" t="n">
        <v>-42</v>
      </c>
      <c r="G10" s="6" t="n"/>
      <c r="H10" s="6" t="n"/>
      <c r="I10" s="6" t="n"/>
      <c r="J10" s="6" t="n"/>
      <c r="K10" s="6" t="n"/>
      <c r="L10" s="6" t="n"/>
      <c r="M10" s="6" t="n"/>
      <c r="N10" s="6" t="n"/>
      <c r="O10" s="6" t="n"/>
      <c r="P10" s="6" t="n"/>
      <c r="Q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c r="N11" s="6" t="n"/>
      <c r="O11" s="6" t="n"/>
      <c r="P11" s="6" t="n"/>
      <c r="Q11" s="6" t="n"/>
    </row>
    <row r="12">
      <c r="A12" s="5" t="inlineStr">
        <is>
          <t>Total ECL allowance</t>
        </is>
      </c>
      <c r="B12" s="5" t="n">
        <v>-170</v>
      </c>
      <c r="C12" s="5" t="n">
        <v>-191</v>
      </c>
      <c r="D12" s="5" t="n">
        <v>-199</v>
      </c>
      <c r="E12" s="5" t="n">
        <v>-187</v>
      </c>
      <c r="F12" s="5" t="n">
        <v>-169</v>
      </c>
      <c r="G12" s="5" t="n"/>
      <c r="H12" s="5" t="n">
        <v>-34</v>
      </c>
      <c r="I12" s="5" t="n">
        <v>-34</v>
      </c>
      <c r="J12" s="5" t="n"/>
      <c r="K12" s="5" t="n"/>
      <c r="L12" s="5" t="n"/>
      <c r="M12" s="5" t="n"/>
      <c r="N12" s="5" t="n"/>
      <c r="O12" s="5" t="n"/>
      <c r="P12" s="5" t="n"/>
      <c r="Q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c r="N13" s="5" t="n"/>
      <c r="O13" s="5" t="n"/>
      <c r="P13" s="5" t="n"/>
      <c r="Q13" s="5" t="n"/>
    </row>
    <row r="14">
      <c r="A14" s="5" t="inlineStr">
        <is>
          <t>IFRS 9 stage split and coverage, portfolio-total level</t>
        </is>
      </c>
      <c r="B14" s="6" t="n"/>
      <c r="C14" s="6" t="n"/>
      <c r="D14" s="6" t="n"/>
      <c r="E14" s="6" t="n"/>
      <c r="F14" s="6" t="n"/>
      <c r="G14" s="6" t="n"/>
      <c r="H14" s="6" t="n"/>
      <c r="I14" s="6" t="n"/>
      <c r="J14" s="6" t="n"/>
      <c r="K14" s="6" t="n"/>
      <c r="L14" s="6" t="n"/>
      <c r="M14" s="6" t="n"/>
      <c r="N14" s="6" t="n"/>
      <c r="O14" s="6" t="n"/>
      <c r="P14" s="6" t="n"/>
      <c r="Q14" s="6" t="n"/>
    </row>
    <row r="15">
      <c r="A15" s="6" t="inlineStr">
        <is>
          <t>Stage 1, gross carrying amount</t>
        </is>
      </c>
      <c r="B15" s="6" t="n">
        <v>7819</v>
      </c>
      <c r="C15" s="6" t="n">
        <v>7723</v>
      </c>
      <c r="D15" s="6" t="n"/>
      <c r="E15" s="6" t="n"/>
      <c r="F15" s="6" t="n"/>
      <c r="G15" s="6" t="n"/>
      <c r="H15" s="6" t="n"/>
      <c r="I15" s="6" t="n"/>
      <c r="J15" s="6" t="n"/>
      <c r="K15" s="6" t="n"/>
      <c r="L15" s="6" t="n"/>
      <c r="M15" s="6" t="n"/>
      <c r="N15" s="6" t="n"/>
      <c r="O15" s="6" t="n"/>
      <c r="P15" s="6" t="n"/>
      <c r="Q15" s="6" t="n"/>
    </row>
    <row r="16">
      <c r="A16" s="6" t="inlineStr">
        <is>
          <t>Stage 2, gross carrying amount</t>
        </is>
      </c>
      <c r="B16" s="6" t="n">
        <v>713</v>
      </c>
      <c r="C16" s="6" t="n">
        <v>978</v>
      </c>
      <c r="D16" s="6" t="n"/>
      <c r="E16" s="6" t="n"/>
      <c r="F16" s="6" t="n"/>
      <c r="G16" s="6" t="n"/>
      <c r="H16" s="6" t="n"/>
      <c r="I16" s="6" t="n"/>
      <c r="J16" s="6" t="n"/>
      <c r="K16" s="6" t="n"/>
      <c r="L16" s="6" t="n"/>
      <c r="M16" s="6" t="n"/>
      <c r="N16" s="6" t="n"/>
      <c r="O16" s="6" t="n"/>
      <c r="P16" s="6" t="n"/>
      <c r="Q16" s="6" t="n"/>
    </row>
    <row r="17">
      <c r="A17" s="6" t="inlineStr">
        <is>
          <t>Stage 3, gross carrying amount</t>
        </is>
      </c>
      <c r="B17" s="6" t="n">
        <v>462</v>
      </c>
      <c r="C17" s="6" t="n">
        <v>504</v>
      </c>
      <c r="D17" s="6" t="n"/>
      <c r="E17" s="6" t="n"/>
      <c r="F17" s="6" t="n"/>
      <c r="G17" s="6" t="n"/>
      <c r="H17" s="6" t="n"/>
      <c r="I17" s="6" t="n"/>
      <c r="J17" s="6" t="n"/>
      <c r="K17" s="6" t="n"/>
      <c r="L17" s="6" t="n"/>
      <c r="M17" s="6" t="n"/>
      <c r="N17" s="6" t="n"/>
      <c r="O17" s="6" t="n"/>
      <c r="P17" s="6" t="n"/>
      <c r="Q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c r="N18" s="6" t="n"/>
      <c r="O18" s="6" t="n"/>
      <c r="P18" s="6" t="n"/>
      <c r="Q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c r="N19" s="6" t="n"/>
      <c r="O19" s="6" t="n"/>
      <c r="P19" s="6" t="n"/>
      <c r="Q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c r="N20" s="6" t="n"/>
      <c r="O20" s="6" t="n"/>
      <c r="P20" s="6" t="n"/>
      <c r="Q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c r="N21" s="6" t="n"/>
      <c r="O21" s="6" t="n"/>
      <c r="P21" s="6" t="n"/>
      <c r="Q21" s="6" t="n"/>
    </row>
    <row r="22">
      <c r="A22" s="5" t="inlineStr">
        <is>
          <t>Non-performing loans (NPLs) by portfolio</t>
        </is>
      </c>
      <c r="B22" s="6" t="n"/>
      <c r="C22" s="6" t="n"/>
      <c r="D22" s="6" t="n"/>
      <c r="E22" s="6" t="n"/>
      <c r="F22" s="6" t="n"/>
      <c r="G22" s="6" t="n"/>
      <c r="H22" s="6" t="n"/>
      <c r="I22" s="6" t="n"/>
      <c r="J22" s="6" t="n"/>
      <c r="K22" s="6" t="n"/>
      <c r="L22" s="6" t="n"/>
      <c r="M22" s="6" t="n"/>
      <c r="N22" s="6" t="n"/>
      <c r="O22" s="6" t="n"/>
      <c r="P22" s="6" t="n"/>
      <c r="Q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c r="N23" s="6" t="n"/>
      <c r="O23" s="6" t="n"/>
      <c r="P23" s="6" t="n"/>
      <c r="Q23" s="6" t="n"/>
    </row>
    <row r="24">
      <c r="A24" s="6" t="inlineStr">
        <is>
          <t>Consumer NPLs</t>
        </is>
      </c>
      <c r="B24" s="6" t="n">
        <v>74</v>
      </c>
      <c r="C24" s="6" t="n">
        <v>97</v>
      </c>
      <c r="D24" s="6" t="n">
        <v>77</v>
      </c>
      <c r="E24" s="6" t="n">
        <v>50</v>
      </c>
      <c r="F24" s="6" t="n">
        <v>21</v>
      </c>
      <c r="G24" s="6" t="n">
        <v>13</v>
      </c>
      <c r="H24" s="6" t="n">
        <v>10</v>
      </c>
      <c r="I24" s="6" t="n">
        <v>5</v>
      </c>
      <c r="J24" s="6" t="n"/>
      <c r="K24" s="6" t="n"/>
      <c r="L24" s="6" t="n"/>
      <c r="M24" s="6" t="n"/>
      <c r="N24" s="6" t="n"/>
      <c r="O24" s="6" t="n"/>
      <c r="P24" s="6" t="n"/>
      <c r="Q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c r="N25" s="6" t="n"/>
      <c r="O25" s="6" t="n"/>
      <c r="P25" s="6" t="n"/>
      <c r="Q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c r="N26" s="5" t="n"/>
      <c r="O26" s="5" t="n"/>
      <c r="P26" s="5" t="n"/>
      <c r="Q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c r="N27" s="6" t="n"/>
      <c r="O27" s="6" t="n"/>
      <c r="P27" s="6" t="n"/>
      <c r="Q27" s="6" t="n"/>
    </row>
    <row r="28">
      <c r="A28" s="5" t="inlineStr">
        <is>
          <t>Basel II incurred-loss provisioning (FY2010-FY2014) - separate basis, NOT comparable with the IFRS 9 ECL rows above</t>
        </is>
      </c>
      <c r="B28" s="6" t="n"/>
      <c r="C28" s="6" t="n"/>
      <c r="D28" s="6" t="n"/>
      <c r="E28" s="6" t="n"/>
      <c r="F28" s="6" t="n"/>
      <c r="G28" s="6" t="n"/>
      <c r="H28" s="6" t="n"/>
      <c r="I28" s="6" t="n"/>
      <c r="J28" s="6" t="n"/>
      <c r="K28" s="6" t="n"/>
      <c r="L28" s="6" t="n"/>
      <c r="M28" s="6" t="n"/>
      <c r="N28" s="6" t="n"/>
      <c r="O28" s="6" t="n"/>
      <c r="P28" s="6" t="n"/>
      <c r="Q28" s="6" t="n"/>
    </row>
    <row r="29">
      <c r="A29" s="6" t="inlineStr">
        <is>
          <t>General doubtful debt provision, as stated in that year's Pillar 3</t>
        </is>
      </c>
      <c r="B29" s="6" t="n"/>
      <c r="C29" s="6" t="n"/>
      <c r="D29" s="6" t="n"/>
      <c r="E29" s="6" t="n"/>
      <c r="F29" s="6" t="n"/>
      <c r="G29" s="6" t="n"/>
      <c r="H29" s="6" t="n"/>
      <c r="I29" s="6" t="n"/>
      <c r="J29" s="6" t="n"/>
      <c r="K29" s="6" t="n"/>
      <c r="L29" s="6" t="n"/>
      <c r="M29" s="6" t="n">
        <v>3.5</v>
      </c>
      <c r="N29" s="6" t="n">
        <v>1.09</v>
      </c>
      <c r="O29" s="6" t="inlineStr">
        <is>
          <t>FY2012 Pillar 3 not located</t>
        </is>
      </c>
      <c r="P29" s="6" t="n">
        <v>0.186</v>
      </c>
      <c r="Q29" s="6" t="n">
        <v>0</v>
      </c>
    </row>
    <row r="30">
      <c r="A30" s="6" t="inlineStr">
        <is>
          <t>Past due &gt;20% impaired secured exposure (Basel II credit risk table)</t>
        </is>
      </c>
      <c r="B30" s="6" t="n"/>
      <c r="C30" s="6" t="n"/>
      <c r="D30" s="6" t="n"/>
      <c r="E30" s="6" t="n"/>
      <c r="F30" s="6" t="n"/>
      <c r="G30" s="6" t="n"/>
      <c r="H30" s="6" t="n"/>
      <c r="I30" s="6" t="n"/>
      <c r="J30" s="6" t="n"/>
      <c r="K30" s="6" t="n"/>
      <c r="L30" s="6" t="n"/>
      <c r="M30" s="6" t="n">
        <v>2.2</v>
      </c>
      <c r="N30" s="6" t="n">
        <v>1.1</v>
      </c>
      <c r="O30" s="6" t="n"/>
      <c r="P30" s="6" t="n"/>
      <c r="Q30" s="6" t="n"/>
    </row>
    <row r="32" ht="340" customHeight="1">
      <c r="A32"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
2026-09-15 (Pillar 3 2019 pass): FY2019/FY2018 Total ECL allowance (-34 both years) is now sourced from the Pillar 3 2019's own narrative under Table 16 (p.39) and Table 18 Loss allowance under IFRS 9 (p.41). The FY2019/FY2018 Stage 1/2/3 gross carrying amounts remain blank on purpose: Table 18 discloses loss allowance BY STAGE (FY2019: Stage 1 -9, Stage 2 -5, Stage 3 -20, POCI 0) but the document contains no gross carrying amount by stage, and the coverage ratio is likewise not stated - both would have to be back-solved, which this project does not do. Separately, Table 17 EU CR1-A reports a regulatory defaulted exposure of GBP 92m (FY2018: GBP 59m); that is a different definition from the Annual Report's non-performing loan measure of GBP 77m (FY2018: GBP 21m) already recorded above, so the two are NOT merged and the NPL rows are left as the Annual Report reported them.
2026-09-15 BASEL II BLOCK (FY2010-FY2014): the general doubtful-debt provision figures are the single narrative sentence each recovered Pillar 3 edition devotes to provisioning, in its section 5.4 'Non-performing Loans and Provisioning' - verbatim: FY2014 'At the end of 2014 there was a general doubtful debt provision of GBP 3.5m'; FY2013 'a general doubtful debt provision of GBP 1.09m'; FY2011 'a general doubtful debt provision of GBP 186k'; FY2010 'At the end of 2010 there were no specific and general doubtful debt provisions required', which is an explicitly stated nil and is recorded as 0, not left blank. BASIS WARNING: these are INCURRED-LOSS provisions under the pre-IFRS 9 regime described in those documents ('A general provision is raised against performing balances and a specific provision is raised against non-performing or defaulted agreements'), which is a fundamentally different measurement basis from the IFRS 9 expected-credit-loss allowance in the rows above. They are on their own labelled rows and must not be spliced onto the ECL series. The past-due row is the 'Past Due &gt;20% Impaired Secured' exposure line in the FY2013/FY2014 credit-risk tables (FY2013 1,093.08 GBP'000, FY2014 2,165 GBP'000); FY2010 and FY2011 have no such line. Note that the FY2013 general provision (GBP 1.09m) and the FY2013 past-due exposure (GBP 1.09m) are the same number - that is what both places in the source document say, and it is reproduced rather than treated as a transcription error. No NPL, stage or coverage data of any kind exists in the Basel II editions, so those rows stay blank for FY2010-FY2014.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t>
        </is>
      </c>
    </row>
  </sheetData>
  <mergeCells count="1">
    <mergeCell ref="A32:Q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are marked 'Not applicable (Basel II)': Metro Bank's Pillar 3 disclosures for those years pre-date CRD IV entirely and contain no CET1 concept at all (a full-text search of the FY2010/FY2011/FY2013 editions returns zero hits for 'CET1' and 'Common Equity'). The Basel II Tier 1 / Total Regulatory Capital those editions DO disclose is carried on the Tier 1 Capital and Total Capital sheets, on its own separate row.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'Not applicable (Basel II)' - no CET1 concept existed in those editions (see CET1 Capital sheet's note). CORRECTED 2026-09-03 (ST-026): FY2023-FY2025 previously showed the 30 June interim column instead of 31 December year-end (see CET1 Capital sheet's note). HD-049: FY2014/FY2015 from the Annual Report (not Pillar 3)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capital (CRR/CRD IV basis)</t>
        </is>
      </c>
      <c r="B4" s="6" t="n">
        <v>1082</v>
      </c>
      <c r="C4" s="6" t="n">
        <v>808</v>
      </c>
      <c r="D4" s="6" t="n">
        <v>985</v>
      </c>
      <c r="E4" s="6" t="n">
        <v>819</v>
      </c>
      <c r="F4" s="6" t="n">
        <v>936</v>
      </c>
      <c r="G4" s="6" t="n">
        <v>1192</v>
      </c>
      <c r="H4" s="6" t="n">
        <v>1427</v>
      </c>
      <c r="I4" s="6" t="n">
        <v>1171</v>
      </c>
      <c r="J4" s="6" t="n">
        <v>897</v>
      </c>
      <c r="K4" s="6" t="n">
        <v>651</v>
      </c>
      <c r="L4" s="6" t="n">
        <v>300</v>
      </c>
      <c r="M4" s="6" t="n">
        <v>384</v>
      </c>
      <c r="N4" s="6" t="n"/>
      <c r="O4" s="6" t="n"/>
      <c r="P4" s="6" t="n"/>
      <c r="Q4" s="6" t="n"/>
    </row>
    <row r="5">
      <c r="A5" s="6" t="inlineStr">
        <is>
          <t>Tier 1 capital, Basel II / GENPRU 2.2 basis - as disclosed in that year's own Pillar 3 (NOT continuous with the CRR row above)</t>
        </is>
      </c>
      <c r="B5" s="6" t="n"/>
      <c r="C5" s="6" t="n"/>
      <c r="D5" s="6" t="n"/>
      <c r="E5" s="6" t="n"/>
      <c r="F5" s="6" t="n"/>
      <c r="G5" s="6" t="n"/>
      <c r="H5" s="6" t="n"/>
      <c r="I5" s="6" t="n"/>
      <c r="J5" s="6" t="n"/>
      <c r="K5" s="6" t="n"/>
      <c r="L5" s="6" t="n"/>
      <c r="M5" s="6" t="n">
        <v>387.3</v>
      </c>
      <c r="N5" s="6" t="n">
        <v>381.5</v>
      </c>
      <c r="O5" s="6" t="inlineStr">
        <is>
          <t>FY2012 Pillar 3 not located</t>
        </is>
      </c>
      <c r="P5" s="6" t="n">
        <v>69.09999999999999</v>
      </c>
      <c r="Q5" s="6" t="n">
        <v>89.8</v>
      </c>
    </row>
    <row r="6" ht="60" customHeight="1">
      <c r="A6" s="7" t="inlineStr">
        <is>
          <t>Note: SECOND ROW ADDED 2026-09-15 (historical Pillar 3 recovery). The four recovered Metro Bank PLC Pillar 3 editions (FY2010, FY2011, FY2013, FY2014) each state a single 'Tier 1 capital based on the [year] audited accounts' figure computed under the FSA's/PRA's GENPRU 2.2 definition, i.e. Basel II. That is a different definition from the CRR/CRD IV Tier 1 capital on the first row and the two are deliberately NOT merged into one series. FY2014 APPEARS ON BOTH ROWS AND THE TWO DISAGREE, ON PURPOSE: 384 on the CRR row is the FY2015 Annual Report's Capital management note; 387.3 on the Basel II row is the FY2014 Pillar 3's own printed Total Regulatory Capital of 387,261 (its narrative rounds this to 'GBP 388m'). The GBP 3.3m gap between two different documents on two different bases is documented, not reconciled, and the pre-existing figure was not overwritten. See the source note for the FY2014 table's own GBP 630k internal footing error. CORRECTED 2026-09-03 (ST-026): FY2023-FY2025 previously showed the 30 June interim column instead of 31 December year-end (see CET1 Capital sheet's note). HD-049: FY2014-FY2017 Tier 1 = CET1 (no AT1 disclosed) - see CET1 Capital sheet's note.</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publicly disclosed</t>
        </is>
      </c>
      <c r="O4" s="6" t="inlineStr">
        <is>
          <t>FY2012 Pillar 3 not located</t>
        </is>
      </c>
      <c r="P4" s="6" t="inlineStr">
        <is>
          <t>Not publicly disclosed</t>
        </is>
      </c>
      <c r="Q4" s="6" t="inlineStr">
        <is>
          <t>Not publicly disclosed</t>
        </is>
      </c>
    </row>
    <row r="5" ht="60" customHeight="1">
      <c r="A5" s="7" t="inlineStr">
        <is>
          <t>Note: FY2010/FY2011/FY2013 'Not publicly disclosed' (2026-09-15): a Tier 1 ratio was a Basel II concept and could in principle have been disclosed, but none of the three recovered editions states one anywhere. It is deliberately NOT computed from the Basel II capital and credit-risk RWA figures elsewhere in this workbook - that would be back-solving, and the denominator would in any case be a credit-risk-only subtotal. FY2012's edition was never located. CORRECTED 2026-09-03 (ST-026): FY2023-FY2025 previously showed the 30 June interim column instead of 31 December year-end (see CET1 Capital sheet's note). HD-049: FY2014-FY2017 Tier 1 ratio = CET1 ratio (no AT1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(CRR/CRD IV basis)</t>
        </is>
      </c>
      <c r="B4" s="6" t="n">
        <v>1232</v>
      </c>
      <c r="C4" s="6" t="n">
        <v>958</v>
      </c>
      <c r="D4" s="6" t="n">
        <v>1135</v>
      </c>
      <c r="E4" s="6" t="n">
        <v>1069</v>
      </c>
      <c r="F4" s="6" t="n">
        <v>1184</v>
      </c>
      <c r="G4" s="6" t="n">
        <v>1441</v>
      </c>
      <c r="H4" s="6" t="n">
        <v>1676</v>
      </c>
      <c r="I4" s="6" t="n">
        <v>1420</v>
      </c>
      <c r="J4" s="6" t="n">
        <v>897</v>
      </c>
      <c r="K4" s="6" t="n">
        <v>651</v>
      </c>
      <c r="L4" s="6" t="n">
        <v>300</v>
      </c>
      <c r="M4" s="6" t="n">
        <v>384</v>
      </c>
      <c r="N4" s="6" t="n"/>
      <c r="O4" s="6" t="n"/>
      <c r="P4" s="6" t="n"/>
      <c r="Q4" s="6" t="n"/>
    </row>
    <row r="5">
      <c r="A5" s="6" t="inlineStr">
        <is>
          <t>Total Regulatory Capital, Basel II / GENPRU 2.2 basis - equals Tier 1, no Tier 2 held (NOT continuous with the CRR row above)</t>
        </is>
      </c>
      <c r="B5" s="6" t="n"/>
      <c r="C5" s="6" t="n"/>
      <c r="D5" s="6" t="n"/>
      <c r="E5" s="6" t="n"/>
      <c r="F5" s="6" t="n"/>
      <c r="G5" s="6" t="n"/>
      <c r="H5" s="6" t="n"/>
      <c r="I5" s="6" t="n"/>
      <c r="J5" s="6" t="n"/>
      <c r="K5" s="6" t="n"/>
      <c r="L5" s="6" t="n"/>
      <c r="M5" s="6" t="n">
        <v>387.3</v>
      </c>
      <c r="N5" s="6" t="n">
        <v>381.5</v>
      </c>
      <c r="O5" s="6" t="inlineStr">
        <is>
          <t>FY2012 Pillar 3 not located</t>
        </is>
      </c>
      <c r="P5" s="6" t="n">
        <v>69.09999999999999</v>
      </c>
      <c r="Q5" s="6" t="n">
        <v>89.8</v>
      </c>
    </row>
    <row r="6" ht="60" customHeight="1">
      <c r="A6" s="7" t="inlineStr">
        <is>
          <t>Note: SECOND ROW ADDED 2026-09-15: the Basel II bottom line printed in each recovered Pillar 3 edition's capital table. These editions describe the entire capital base as Tier 1 ('the Bank's capital base was made up of GBP Xm of Tier 1 capital') and contain no occurrence of 'Tier 2' at all, so Total Regulatory Capital equals Tier 1 for FY2010-FY2014 as a matter of what the documents state, not by inference. The FY2014 disagreement between the two rows (384 vs 387.3) is explained on the Tier 1 Capital sheet.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c r="N4" s="6" t="inlineStr">
        <is>
          <t>Not publicly disclosed</t>
        </is>
      </c>
      <c r="O4" s="6" t="inlineStr">
        <is>
          <t>FY2012 Pillar 3 not located</t>
        </is>
      </c>
      <c r="P4" s="6" t="inlineStr">
        <is>
          <t>Not publicly disclosed</t>
        </is>
      </c>
      <c r="Q4" s="6" t="inlineStr">
        <is>
          <t>Not publicly disclosed</t>
        </is>
      </c>
    </row>
    <row r="5" ht="60" customHeight="1">
      <c r="A5" s="7" t="inlineStr">
        <is>
          <t>Note: FY2010/FY2011/FY2013 'Not publicly disclosed' - no capital ratio of any kind appears in the recovered Basel II editions, and none is back-solved here (see the Tier 1 Ratio sheet's note). FY2012's edition was never located. CORRECTED 2026-09-03 (ST-026): FY2023-FY2025 previously showed the 30 June interim column instead of 31 December year-end (see CET1 Capital sheet's note). HD-049: FY2014-FY2017 Total capital ratio = CET1 ratio (no Tier 2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c r="M4" s="6" t="inlineStr">
        <is>
          <t>Not publicly disclosed</t>
        </is>
      </c>
      <c r="N4" s="6" t="inlineStr">
        <is>
          <t>Not publicly disclosed</t>
        </is>
      </c>
      <c r="O4" s="6" t="inlineStr">
        <is>
          <t>FY2012 Pillar 3 not located</t>
        </is>
      </c>
      <c r="P4" s="6" t="inlineStr">
        <is>
          <t>Not publicly disclosed</t>
        </is>
      </c>
      <c r="Q4" s="6" t="inlineStr">
        <is>
          <t>Not publicly disclosed</t>
        </is>
      </c>
    </row>
    <row r="5">
      <c r="A5" s="6" t="inlineStr">
        <is>
          <t>Credit risk RWA only, Basel II standardised approach - the sole RWA figure these editions disclose (NOT a total RWA)</t>
        </is>
      </c>
      <c r="B5" s="6" t="n"/>
      <c r="C5" s="6" t="n"/>
      <c r="D5" s="6" t="n"/>
      <c r="E5" s="6" t="n"/>
      <c r="F5" s="6" t="n"/>
      <c r="G5" s="6" t="n"/>
      <c r="H5" s="6" t="n"/>
      <c r="I5" s="6" t="n"/>
      <c r="J5" s="6" t="n"/>
      <c r="K5" s="6" t="n"/>
      <c r="L5" s="6" t="n"/>
      <c r="M5" s="6" t="n">
        <v>1415.9</v>
      </c>
      <c r="N5" s="6" t="n">
        <v>775.3</v>
      </c>
      <c r="O5" s="6" t="inlineStr">
        <is>
          <t>FY2012 Pillar 3 not located</t>
        </is>
      </c>
      <c r="P5" s="6" t="n">
        <v>93.2</v>
      </c>
      <c r="Q5" s="6" t="n">
        <v>19</v>
      </c>
    </row>
    <row r="6" ht="60" customHeight="1">
      <c r="A6" s="7" t="inlineStr">
        <is>
          <t>Note: SECOND ROW ADDED 2026-09-15. The recovered Basel II editions each print an RWA column in their credit-risk exposure table, totalled on the bottom row (captioned 'TOTAL Risk Weighted Assets' in FY2011/FY2013, 'TOTAL' in FY2014, and sitting on the 'Total assets' row in FY2010). Despite the FY2011/FY2013 caption, that figure is NOT a total RWA: the table covers credit-risk exposures only, and each edition states that operational risk is measured under the Basic Indicator Approach without ever quantifying the resulting RWA. It is therefore carried on its own row and never added to, or continued into, the CRR total above. FY2010-FY2013 read 'Not publicly disclosed' on the first row rather than 'Not applicable': a total Pillar 1 RWA (credit plus market plus operational) WAS a defined Basel II concept, so this is a genuine disclosure gap in those editions, not a structurally inapplicable metric. FY2014's cell now reads 'Not publicly disclosed' rather than being left blank: the FY2014 Pillar 3 has now been read cover to cover and confirms no total RWA exists to find, which closes that cell instead of leaving it to be re-chased. FY2015 stays blank - no FY2015 Pillar 3 edition has been located and the point has not been settled for that year.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FY2014/FY2015 RWAs were not disclosed in the Annual Report (only capital and ratios) and are left blank rather than derived by dividing capital by the ratio.</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 The FY2010-FY2014 block at the bottom is a SEPARATE Basel II standardised-approach credit-risk table on a different basis - read it on its own, never as a continuation of the OV1 rows above.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c r="N4" s="6" t="n"/>
      <c r="O4" s="6" t="n"/>
      <c r="P4" s="6" t="n"/>
      <c r="Q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c r="N5" s="6" t="n"/>
      <c r="O5" s="6" t="n"/>
      <c r="P5" s="6" t="n"/>
      <c r="Q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c r="N6" s="6" t="n"/>
      <c r="O6" s="6" t="n"/>
      <c r="P6" s="6" t="n"/>
      <c r="Q6" s="6" t="n"/>
    </row>
    <row r="7">
      <c r="A7" s="6" t="inlineStr">
        <is>
          <t>Market risk</t>
        </is>
      </c>
      <c r="B7" s="6" t="n"/>
      <c r="C7" s="6" t="n"/>
      <c r="D7" s="6" t="n"/>
      <c r="E7" s="6" t="n">
        <v>0</v>
      </c>
      <c r="F7" s="6" t="n">
        <v>9</v>
      </c>
      <c r="G7" s="6" t="n">
        <v>14</v>
      </c>
      <c r="H7" s="6" t="n">
        <v>5</v>
      </c>
      <c r="I7" s="6" t="n">
        <v>4</v>
      </c>
      <c r="J7" s="6" t="n">
        <v>2</v>
      </c>
      <c r="K7" s="6" t="n">
        <v>1</v>
      </c>
      <c r="L7" s="6" t="n"/>
      <c r="M7" s="6" t="n"/>
      <c r="N7" s="6" t="n"/>
      <c r="O7" s="6" t="n"/>
      <c r="P7" s="6" t="n"/>
      <c r="Q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c r="N8" s="6" t="n"/>
      <c r="O8" s="6" t="n"/>
      <c r="P8" s="6" t="n"/>
      <c r="Q8" s="6" t="n"/>
    </row>
    <row r="9">
      <c r="A9" s="6" t="inlineStr">
        <is>
          <t>Amounts below the thresholds for deduction (subject to 250% risk weight)</t>
        </is>
      </c>
      <c r="B9" s="6" t="n">
        <v>16</v>
      </c>
      <c r="C9" s="6" t="n">
        <v>7</v>
      </c>
      <c r="D9" s="6" t="n">
        <v>8</v>
      </c>
      <c r="E9" s="6" t="n">
        <v>5</v>
      </c>
      <c r="F9" s="6" t="n">
        <v>5</v>
      </c>
      <c r="G9" s="6" t="n"/>
      <c r="H9" s="6" t="n">
        <v>0</v>
      </c>
      <c r="I9" s="6" t="n">
        <v>0</v>
      </c>
      <c r="J9" s="6" t="n"/>
      <c r="K9" s="6" t="n"/>
      <c r="L9" s="6" t="n"/>
      <c r="M9" s="6" t="n"/>
      <c r="N9" s="6" t="n"/>
      <c r="O9" s="6" t="n"/>
      <c r="P9" s="6" t="n"/>
      <c r="Q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c r="N10" s="5" t="n"/>
      <c r="O10" s="5" t="n"/>
      <c r="P10" s="5" t="n"/>
      <c r="Q10" s="5" t="n"/>
    </row>
    <row r="11">
      <c r="A11" s="5" t="inlineStr">
        <is>
          <t>Basel II standardised approach, credit risk only (FY2010-FY2014) - separate basis, NOT part of the UK/EU OV1 total above</t>
        </is>
      </c>
      <c r="B11" s="6" t="n"/>
      <c r="C11" s="6" t="n"/>
      <c r="D11" s="6" t="n"/>
      <c r="E11" s="6" t="n"/>
      <c r="F11" s="6" t="n"/>
      <c r="G11" s="6" t="n"/>
      <c r="H11" s="6" t="n"/>
      <c r="I11" s="6" t="n"/>
      <c r="J11" s="6" t="n"/>
      <c r="K11" s="6" t="n"/>
      <c r="L11" s="6" t="n"/>
      <c r="M11" s="6" t="n"/>
      <c r="N11" s="6" t="n"/>
      <c r="O11" s="6" t="n"/>
      <c r="P11" s="6" t="n"/>
      <c r="Q11" s="6" t="n"/>
    </row>
    <row r="12">
      <c r="A12" s="6" t="inlineStr">
        <is>
          <t>Loans and advances to banks (20% risk weight)</t>
        </is>
      </c>
      <c r="B12" s="6" t="n"/>
      <c r="C12" s="6" t="n"/>
      <c r="D12" s="6" t="n"/>
      <c r="E12" s="6" t="n"/>
      <c r="F12" s="6" t="n"/>
      <c r="G12" s="6" t="n"/>
      <c r="H12" s="6" t="n"/>
      <c r="I12" s="6" t="n"/>
      <c r="J12" s="6" t="n"/>
      <c r="K12" s="6" t="n"/>
      <c r="L12" s="6" t="n"/>
      <c r="M12" s="6" t="n">
        <v>6.8</v>
      </c>
      <c r="N12" s="6" t="n">
        <v>5</v>
      </c>
      <c r="O12" s="6" t="n"/>
      <c r="P12" s="6" t="n">
        <v>5.7</v>
      </c>
      <c r="Q12" s="6" t="n">
        <v>1.1</v>
      </c>
    </row>
    <row r="13">
      <c r="A13" s="6" t="inlineStr">
        <is>
          <t>Investments (10%-100% risk weight)</t>
        </is>
      </c>
      <c r="B13" s="6" t="n"/>
      <c r="C13" s="6" t="n"/>
      <c r="D13" s="6" t="n"/>
      <c r="E13" s="6" t="n"/>
      <c r="F13" s="6" t="n"/>
      <c r="G13" s="6" t="n"/>
      <c r="H13" s="6" t="n"/>
      <c r="I13" s="6" t="n"/>
      <c r="J13" s="6" t="n"/>
      <c r="K13" s="6" t="n"/>
      <c r="L13" s="6" t="n"/>
      <c r="M13" s="6" t="n">
        <v>406.3</v>
      </c>
      <c r="N13" s="6" t="n">
        <v>155.3</v>
      </c>
      <c r="O13" s="6" t="n"/>
      <c r="P13" s="6" t="n">
        <v>7.8</v>
      </c>
      <c r="Q13" s="6" t="n"/>
    </row>
    <row r="14">
      <c r="A14" s="6" t="inlineStr">
        <is>
          <t>Secured residential lending (35%-75% risk weight)</t>
        </is>
      </c>
      <c r="B14" s="6" t="n"/>
      <c r="C14" s="6" t="n"/>
      <c r="D14" s="6" t="n"/>
      <c r="E14" s="6" t="n"/>
      <c r="F14" s="6" t="n"/>
      <c r="G14" s="6" t="n"/>
      <c r="H14" s="6" t="n"/>
      <c r="I14" s="6" t="n"/>
      <c r="J14" s="6" t="n"/>
      <c r="K14" s="6" t="n"/>
      <c r="L14" s="6" t="n"/>
      <c r="M14" s="6" t="n"/>
      <c r="N14" s="6" t="n">
        <v>138.2</v>
      </c>
      <c r="O14" s="6" t="n"/>
      <c r="P14" s="6" t="n">
        <v>8.699999999999999</v>
      </c>
      <c r="Q14" s="6" t="n"/>
    </row>
    <row r="15">
      <c r="A15" s="6" t="inlineStr">
        <is>
          <t>Retail lending (35%-75% risk weight; FY2014 label)</t>
        </is>
      </c>
      <c r="B15" s="6" t="n"/>
      <c r="C15" s="6" t="n"/>
      <c r="D15" s="6" t="n"/>
      <c r="E15" s="6" t="n"/>
      <c r="F15" s="6" t="n"/>
      <c r="G15" s="6" t="n"/>
      <c r="H15" s="6" t="n"/>
      <c r="I15" s="6" t="n"/>
      <c r="J15" s="6" t="n"/>
      <c r="K15" s="6" t="n"/>
      <c r="L15" s="6" t="n"/>
      <c r="M15" s="6" t="n">
        <v>344.8</v>
      </c>
      <c r="N15" s="6" t="n"/>
      <c r="O15" s="6" t="n"/>
      <c r="P15" s="6" t="n"/>
      <c r="Q15" s="6" t="n"/>
    </row>
    <row r="16">
      <c r="A16" s="6" t="inlineStr">
        <is>
          <t>Retail and commercial lending (75%-100% risk weight; FY2011/FY2013 label)</t>
        </is>
      </c>
      <c r="B16" s="6" t="n"/>
      <c r="C16" s="6" t="n"/>
      <c r="D16" s="6" t="n"/>
      <c r="E16" s="6" t="n"/>
      <c r="F16" s="6" t="n"/>
      <c r="G16" s="6" t="n"/>
      <c r="H16" s="6" t="n"/>
      <c r="I16" s="6" t="n"/>
      <c r="J16" s="6" t="n"/>
      <c r="K16" s="6" t="n"/>
      <c r="L16" s="6" t="n"/>
      <c r="M16" s="6" t="n"/>
      <c r="N16" s="6" t="n">
        <v>285.5</v>
      </c>
      <c r="O16" s="6" t="n"/>
      <c r="P16" s="6" t="n">
        <v>17.6</v>
      </c>
      <c r="Q16" s="6" t="n"/>
    </row>
    <row r="17">
      <c r="A17" s="6" t="inlineStr">
        <is>
          <t>SME and commercial (35%-100% risk weight; FY2014 label)</t>
        </is>
      </c>
      <c r="B17" s="6" t="n"/>
      <c r="C17" s="6" t="n"/>
      <c r="D17" s="6" t="n"/>
      <c r="E17" s="6" t="n"/>
      <c r="F17" s="6" t="n"/>
      <c r="G17" s="6" t="n"/>
      <c r="H17" s="6" t="n"/>
      <c r="I17" s="6" t="n"/>
      <c r="J17" s="6" t="n"/>
      <c r="K17" s="6" t="n"/>
      <c r="L17" s="6" t="n"/>
      <c r="M17" s="6" t="n">
        <v>426</v>
      </c>
      <c r="N17" s="6" t="n"/>
      <c r="O17" s="6" t="n"/>
      <c r="P17" s="6" t="n"/>
      <c r="Q17" s="6" t="n"/>
    </row>
    <row r="18">
      <c r="A18" s="6" t="inlineStr">
        <is>
          <t>Loans and advances to customers (75% risk weight; FY2010 label)</t>
        </is>
      </c>
      <c r="B18" s="6" t="n"/>
      <c r="C18" s="6" t="n"/>
      <c r="D18" s="6" t="n"/>
      <c r="E18" s="6" t="n"/>
      <c r="F18" s="6" t="n"/>
      <c r="G18" s="6" t="n"/>
      <c r="H18" s="6" t="n"/>
      <c r="I18" s="6" t="n"/>
      <c r="J18" s="6" t="n"/>
      <c r="K18" s="6" t="n"/>
      <c r="L18" s="6" t="n"/>
      <c r="M18" s="6" t="n"/>
      <c r="N18" s="6" t="n"/>
      <c r="O18" s="6" t="n"/>
      <c r="P18" s="6" t="n"/>
      <c r="Q18" s="6" t="n">
        <v>0.1</v>
      </c>
    </row>
    <row r="19">
      <c r="A19" s="6" t="inlineStr">
        <is>
          <t>Fixed and other assets (100% risk weight)</t>
        </is>
      </c>
      <c r="B19" s="6" t="n"/>
      <c r="C19" s="6" t="n"/>
      <c r="D19" s="6" t="n"/>
      <c r="E19" s="6" t="n"/>
      <c r="F19" s="6" t="n"/>
      <c r="G19" s="6" t="n"/>
      <c r="H19" s="6" t="n"/>
      <c r="I19" s="6" t="n"/>
      <c r="J19" s="6" t="n"/>
      <c r="K19" s="6" t="n"/>
      <c r="L19" s="6" t="n"/>
      <c r="M19" s="6" t="n">
        <v>166.6</v>
      </c>
      <c r="N19" s="6" t="n">
        <v>160.3</v>
      </c>
      <c r="O19" s="6" t="n"/>
      <c r="P19" s="6" t="n">
        <v>50.3</v>
      </c>
      <c r="Q19" s="6" t="n"/>
    </row>
    <row r="20">
      <c r="A20" s="6" t="inlineStr">
        <is>
          <t>Tangible fixed assets (100% risk weight; FY2010 label)</t>
        </is>
      </c>
      <c r="B20" s="6" t="n"/>
      <c r="C20" s="6" t="n"/>
      <c r="D20" s="6" t="n"/>
      <c r="E20" s="6" t="n"/>
      <c r="F20" s="6" t="n"/>
      <c r="G20" s="6" t="n"/>
      <c r="H20" s="6" t="n"/>
      <c r="I20" s="6" t="n"/>
      <c r="J20" s="6" t="n"/>
      <c r="K20" s="6" t="n"/>
      <c r="L20" s="6" t="n"/>
      <c r="M20" s="6" t="n"/>
      <c r="N20" s="6" t="n"/>
      <c r="O20" s="6" t="n"/>
      <c r="P20" s="6" t="n"/>
      <c r="Q20" s="6" t="n">
        <v>17.3</v>
      </c>
    </row>
    <row r="21">
      <c r="A21" s="6" t="inlineStr">
        <is>
          <t>Prepayments and accrued income (100% risk weight; FY2010 label)</t>
        </is>
      </c>
      <c r="B21" s="6" t="n"/>
      <c r="C21" s="6" t="n"/>
      <c r="D21" s="6" t="n"/>
      <c r="E21" s="6" t="n"/>
      <c r="F21" s="6" t="n"/>
      <c r="G21" s="6" t="n"/>
      <c r="H21" s="6" t="n"/>
      <c r="I21" s="6" t="n"/>
      <c r="J21" s="6" t="n"/>
      <c r="K21" s="6" t="n"/>
      <c r="L21" s="6" t="n"/>
      <c r="M21" s="6" t="n"/>
      <c r="N21" s="6" t="n"/>
      <c r="O21" s="6" t="n"/>
      <c r="P21" s="6" t="n"/>
      <c r="Q21" s="6" t="n">
        <v>0.4</v>
      </c>
    </row>
    <row r="22">
      <c r="A22" s="6" t="inlineStr">
        <is>
          <t>Past due &gt;20% impaired secured (50% risk weight)</t>
        </is>
      </c>
      <c r="B22" s="6" t="n"/>
      <c r="C22" s="6" t="n"/>
      <c r="D22" s="6" t="n"/>
      <c r="E22" s="6" t="n"/>
      <c r="F22" s="6" t="n"/>
      <c r="G22" s="6" t="n"/>
      <c r="H22" s="6" t="n"/>
      <c r="I22" s="6" t="n"/>
      <c r="J22" s="6" t="n"/>
      <c r="K22" s="6" t="n"/>
      <c r="L22" s="6" t="n"/>
      <c r="M22" s="6" t="n">
        <v>1.1</v>
      </c>
      <c r="N22" s="6" t="n">
        <v>0.5</v>
      </c>
      <c r="O22" s="6" t="n"/>
      <c r="P22" s="6" t="n"/>
      <c r="Q22" s="6" t="n"/>
    </row>
    <row r="23">
      <c r="A23" s="6" t="inlineStr">
        <is>
          <t>Contingent assets - secured and unsecured lending facilities</t>
        </is>
      </c>
      <c r="B23" s="6" t="n"/>
      <c r="C23" s="6" t="n"/>
      <c r="D23" s="6" t="n"/>
      <c r="E23" s="6" t="n"/>
      <c r="F23" s="6" t="n"/>
      <c r="G23" s="6" t="n"/>
      <c r="H23" s="6" t="n"/>
      <c r="I23" s="6" t="n"/>
      <c r="J23" s="6" t="n"/>
      <c r="K23" s="6" t="n"/>
      <c r="L23" s="6" t="n"/>
      <c r="M23" s="6" t="n">
        <v>64.3</v>
      </c>
      <c r="N23" s="6" t="n">
        <v>30.5</v>
      </c>
      <c r="O23" s="6" t="n"/>
      <c r="P23" s="6" t="n">
        <v>3.2</v>
      </c>
      <c r="Q23" s="6" t="n"/>
    </row>
    <row r="24">
      <c r="A24" s="6" t="inlineStr">
        <is>
          <t>Cash and balances with the Bank of England, and UK government bonds (0% risk weight)</t>
        </is>
      </c>
      <c r="B24" s="6" t="n"/>
      <c r="C24" s="6" t="n"/>
      <c r="D24" s="6" t="n"/>
      <c r="E24" s="6" t="n"/>
      <c r="F24" s="6" t="n"/>
      <c r="G24" s="6" t="n"/>
      <c r="H24" s="6" t="n"/>
      <c r="I24" s="6" t="n"/>
      <c r="J24" s="6" t="n"/>
      <c r="K24" s="6" t="n"/>
      <c r="L24" s="6" t="n"/>
      <c r="M24" s="6" t="n">
        <v>0</v>
      </c>
      <c r="N24" s="6" t="n">
        <v>0</v>
      </c>
      <c r="O24" s="6" t="n"/>
      <c r="P24" s="6" t="n">
        <v>0</v>
      </c>
      <c r="Q24" s="6" t="n">
        <v>0</v>
      </c>
    </row>
    <row r="25">
      <c r="A25" s="5" t="inlineStr">
        <is>
          <t>Total credit risk RWA, Basel II standardised approach (excludes operational risk, which is never quantified)</t>
        </is>
      </c>
      <c r="B25" s="5" t="n"/>
      <c r="C25" s="5" t="n"/>
      <c r="D25" s="5" t="n"/>
      <c r="E25" s="5" t="n"/>
      <c r="F25" s="5" t="n"/>
      <c r="G25" s="5" t="n"/>
      <c r="H25" s="5" t="n"/>
      <c r="I25" s="5" t="n"/>
      <c r="J25" s="5" t="n"/>
      <c r="K25" s="5" t="n"/>
      <c r="L25" s="5" t="n"/>
      <c r="M25" s="5" t="n">
        <v>1415.9</v>
      </c>
      <c r="N25" s="5" t="n">
        <v>775.3</v>
      </c>
      <c r="O25" s="5" t="inlineStr">
        <is>
          <t>FY2012 Pillar 3 not located</t>
        </is>
      </c>
      <c r="P25" s="5" t="n">
        <v>93.2</v>
      </c>
      <c r="Q25" s="5" t="n">
        <v>19</v>
      </c>
    </row>
    <row r="27" ht="250" customHeight="1">
      <c r="A2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
2026-09-15 (FY2019 re-verification against the Pillar 3 2019 PDF, Table 8 EU OV1, p.30): the FY2019/FY2018 securitisation cells are blank because that template contains NO securitisation row at all - its rows run 1, 2, 6, 7, 12, 19, 20, 23, 24, 27, 29, with securitisation exposures folded into credit risk. The blank is therefore correct and is deliberately NOT filled with 0, which would falsely assert nil securitisation RWA. 'Amounts below the thresholds for deduction' IS present as row 27 and prints an explicit en-dash for both FY2019 and FY2018, so those two cells are recorded as a stated 0. All other FY2019/FY2018 lines on this sheet reproduce Table 8 exactly.
2026-09-15 BASEL II BLOCK (FY2010-FY2014): these rows reproduce the 'Credit Risk Exposures' table in each recovered Pillar 3 edition (FY2014 p.13, FY2013 p.14-15, FY2011 p.12, FY2010 p.12), converted from the source GBP'000 to GBP'm. They are a different template on a different regulatory basis from the UK/EU OV1 rows above and are placed in their own section for that reason. EXPOSURE CLASS LABELS CHANGED BETWEEN EDITIONS and are NOT silently merged: FY2010 uses 'Loans and advances to customers'/'Tangible fixed assets'/'Prepayments and accrued income'; FY2011 and FY2013 use 'Secured residential lending'/'Retail and commercial lending'/'Fixed and other assets'; FY2014 re-cuts the lending split into 'Retail lending' and 'SME and Commercial'. Each label therefore gets its own row and populates only the years that actually used it. FY2010's table has no securities/investments RWA line because its gilt and held-to-maturity holdings are 0% risk weighted; the 0% rows are recorded as a stated 0, since the source prints an explicit zero or dash for them.
ROUNDING AND SOURCE-FOOTING NOTE for that block: converting independently-rounded GBP'000 components to GBP'm makes the displayed rows sum to up to GBP 0.1m away from the stated total (FY2010 18.9 vs 19.0; FY2011 93.3 vs 93.2) - a conversion artifact, not a data error. Separately, the FY2011 and FY2014 source tables are themselves off by GBP 1k in their own units (FY2011 components sum to 93,153 against a printed 93,152; FY2014 to 1,415,880 against a printed 1,415,881). The printed totals are what is carried on the TOTAL row, as stated, and the source's own arithmetic is not corrected.</t>
        </is>
      </c>
    </row>
  </sheetData>
  <mergeCells count="1">
    <mergeCell ref="A27:Q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c r="N4" s="6" t="n"/>
      <c r="O4" s="6" t="n"/>
      <c r="P4" s="6" t="n"/>
      <c r="Q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c r="N5" s="6" t="n"/>
      <c r="O5" s="6" t="n"/>
      <c r="P5" s="6" t="n"/>
      <c r="Q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c r="N6" s="6" t="n"/>
      <c r="O6" s="6" t="n"/>
      <c r="P6" s="6" t="n"/>
      <c r="Q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c r="N7" s="6" t="inlineStr">
        <is>
          <t>Not applicable (Basel II)</t>
        </is>
      </c>
      <c r="O7" s="6" t="inlineStr">
        <is>
          <t>Not applicable (Basel II)</t>
        </is>
      </c>
      <c r="P7" s="6" t="inlineStr">
        <is>
          <t>Not applicable (Basel II)</t>
        </is>
      </c>
      <c r="Q7" s="6" t="inlineStr">
        <is>
          <t>Not applicable (Basel II)</t>
        </is>
      </c>
    </row>
    <row r="8" ht="60" customHeight="1">
      <c r="A8" s="7" t="inlineStr">
        <is>
          <t>Note: FY2010-FY2013 'Not applicable (Basel II)' (2026-09-15): the regulatory leverage ratio is a CRD IV construct with no Basel II counterpart, and the word 'leverage' does not appear anywhere in any of the recovered FY2010/FY2011/FY2013 Pillar 3 editions. Marked structurally inapplicable rather than left blank.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190" customHeight="1">
      <c r="A10"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10:Q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c r="N4" s="6" t="n"/>
      <c r="O4" s="6" t="n"/>
      <c r="P4" s="6" t="n"/>
      <c r="Q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c r="N5" s="6" t="n"/>
      <c r="O5" s="6" t="n"/>
      <c r="P5" s="6" t="n"/>
      <c r="Q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n"/>
      <c r="M6" s="6" t="n"/>
      <c r="N6" s="6" t="inlineStr">
        <is>
          <t>Not applicable (Basel II)</t>
        </is>
      </c>
      <c r="O6" s="6" t="inlineStr">
        <is>
          <t>Not applicable (Basel II)</t>
        </is>
      </c>
      <c r="P6" s="6" t="inlineStr">
        <is>
          <t>Not applicable (Basel II)</t>
        </is>
      </c>
      <c r="Q6" s="6" t="inlineStr">
        <is>
          <t>Not applicable (Basel II)</t>
        </is>
      </c>
    </row>
    <row r="7" ht="60" customHeight="1">
      <c r="A7" s="7" t="inlineStr">
        <is>
          <t>Note: FY2010-FY2013 'Not applicable (Basel II)' (2026-09-15): the LCR only became a UK requirement on 1 October 2015. The recovered FY2010/FY2011/FY2013 Pillar 3 editions discuss liquidity risk qualitatively under the pre-LCR Individual Liquidity Adequacy Assessment (ILAA) regime and contain no occurrence of 'LCR' or 'liquidity coverage'; they disclose no quantitative liquidity metric of any kind.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HD-049: FY2020 and FY2014/FY2015 absolute HQLA/net outflow £m were not located (Pillar 3 2020 discloses only the ratio in the executive summary reviewed this session; FY2014/FY2015 have no LCR disclosure at all) and are left blank rather than estimated. BASIS FLAG (2026-09-15): the FY2019/FY2018 HQLA, net-outflow and ratio figures come from Table 26 EU LIQ1 of the Pillar 3 2019 (p.46), which is captioned 'as at 31 December' - a POINT-IN-TIME figure, not the 12-month average that the later UK KM1 rows on this sheet report. The 'average' wording in the first two row labels therefore does not apply to FY2018/FY2019. Flagged rather than merged: the two bases are different series and are not directly comparable year-on-year across the FY2019/FY2021 boundary.</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available stable funding</t>
        </is>
      </c>
      <c r="B4" s="6" t="n">
        <v>13965</v>
      </c>
      <c r="C4" s="6" t="n">
        <v>16676</v>
      </c>
      <c r="D4" s="6" t="n">
        <v>18277</v>
      </c>
      <c r="E4" s="6" t="n">
        <v>18903</v>
      </c>
      <c r="F4" s="6" t="n"/>
      <c r="G4" s="6" t="n"/>
      <c r="H4" s="6" t="n"/>
      <c r="I4" s="6" t="n"/>
      <c r="J4" s="6" t="n"/>
      <c r="K4" s="6" t="n"/>
      <c r="L4" s="6" t="n"/>
      <c r="M4" s="6" t="n"/>
      <c r="N4" s="6" t="n"/>
      <c r="O4" s="6" t="n"/>
      <c r="P4" s="6" t="n"/>
      <c r="Q4" s="6" t="n"/>
    </row>
    <row r="5">
      <c r="A5" s="6" t="inlineStr">
        <is>
          <t>Total required stable funding</t>
        </is>
      </c>
      <c r="B5" s="6" t="n">
        <v>8448</v>
      </c>
      <c r="C5" s="6" t="n">
        <v>10475</v>
      </c>
      <c r="D5" s="6" t="n">
        <v>13442</v>
      </c>
      <c r="E5" s="6" t="n">
        <v>13225</v>
      </c>
      <c r="F5" s="6" t="n"/>
      <c r="G5" s="6" t="n"/>
      <c r="H5" s="6" t="n"/>
      <c r="I5" s="6" t="n"/>
      <c r="J5" s="6" t="n"/>
      <c r="K5" s="6" t="n"/>
      <c r="L5" s="6" t="n"/>
      <c r="M5" s="6" t="n"/>
      <c r="N5" s="6" t="n"/>
      <c r="O5" s="6" t="n"/>
      <c r="P5" s="6" t="n"/>
      <c r="Q5" s="6" t="n"/>
    </row>
    <row r="6">
      <c r="A6" s="6" t="inlineStr">
        <is>
          <t>Net stable funding ratio</t>
        </is>
      </c>
      <c r="B6" s="6" t="inlineStr">
        <is>
          <t>165%</t>
        </is>
      </c>
      <c r="C6" s="6" t="inlineStr">
        <is>
          <t>160%</t>
        </is>
      </c>
      <c r="D6" s="6" t="inlineStr">
        <is>
          <t>136%</t>
        </is>
      </c>
      <c r="E6" s="6" t="inlineStr">
        <is>
          <t>143%</t>
        </is>
      </c>
      <c r="F6" s="6" t="n"/>
      <c r="G6" s="6" t="n"/>
      <c r="H6" s="6" t="n"/>
      <c r="I6" s="6" t="n"/>
      <c r="J6" s="6" t="n"/>
      <c r="K6" s="6" t="n"/>
      <c r="L6" s="6" t="n"/>
      <c r="M6" s="6" t="n"/>
      <c r="N6" s="6" t="inlineStr">
        <is>
          <t>Not applicable</t>
        </is>
      </c>
      <c r="O6" s="6" t="inlineStr">
        <is>
          <t>Not applicable</t>
        </is>
      </c>
      <c r="P6" s="6" t="inlineStr">
        <is>
          <t>Not applicable</t>
        </is>
      </c>
      <c r="Q6" s="6" t="inlineStr">
        <is>
          <t>Not applicable</t>
        </is>
      </c>
    </row>
    <row r="7" ht="60" customHeight="1">
      <c r="A7" s="7" t="inlineStr">
        <is>
          <t>Note: FY2010-FY2013 marked 'Not applicable' (2026-09-15): the NSFR did not exist as a UK requirement until 2022, so those years are structurally inapplicable, not gaps. (They are marked 'Not applicable' rather than 'Not applicable (Basel II)' used elsewhere on these sheets, because the NSFR post-dates CRD IV as well as Basel II.) NSFR disclosures were required from 1 January 2023; FY2014-FY2021 are blank (not yet a UK/EU disclosure requirement).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MREL ratio</t>
        </is>
      </c>
      <c r="B4" s="6" t="inlineStr">
        <is>
          <t>Not disclosed</t>
        </is>
      </c>
      <c r="C4" s="6" t="inlineStr">
        <is>
          <t>Not disclosed</t>
        </is>
      </c>
      <c r="D4" s="6" t="inlineStr">
        <is>
          <t>Not disclosed</t>
        </is>
      </c>
      <c r="E4" s="6" t="inlineStr">
        <is>
          <t>Not disclosed</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c r="N4" s="6" t="inlineStr">
        <is>
          <t>Not applicable (pre-dates MREL requirement)</t>
        </is>
      </c>
      <c r="O4" s="6" t="inlineStr">
        <is>
          <t>Not applicable (pre-dates MREL requirement)</t>
        </is>
      </c>
      <c r="P4" s="6" t="inlineStr">
        <is>
          <t>Not applicable (pre-dates MREL requirement)</t>
        </is>
      </c>
      <c r="Q4" s="6" t="inlineStr">
        <is>
          <t>Not applicable (pre-dates MREL requirement)</t>
        </is>
      </c>
    </row>
    <row r="5" ht="60" customHeight="1">
      <c r="A5" s="7" t="inlineStr">
        <is>
          <t>Note: FY2010-FY2013 marked 'Not applicable (pre-dates MREL requirement)' (2026-09-15): MREL was introduced by BRRD and did not exist as a UK requirement in those years; the recovered Basel II Pillar 3 editions contain no occurrence of 'MREL'. This is the same reasoning already applied to FY2014-FY2018 above, simply extended back over the newly-covered years. The 2021 Pillar 3 report discloses 20.5%. No quantitative MREL ratio was located in the later KM1 tables reviewed; the 2022-2025 cells are therefore not publicly disclosed rather than zero.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 LABEL NOTE (2026-09-15): the FY2019 document uses two captions for the same 22.1% - 'Total capital plus MREL ratio' in Table 2 Key Ratios (p.4), and 'Metro Bank's interim MREL ratio' in section 3 (p.25), against a Bank of England interim MREL requirement of 18% of RWAs plus buffers effective 1 January 2020. Both captions are recorded here; the cell keeps the broader Table 2 wording so it is never silently treated as equivalent to the FY2021 standalone 20.5%.</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2026-09-15T20:43:54Z</dcterms:created>
  <dcterms:modified xmlns:dcterms="http://purl.org/dc/terms/" xmlns:xsi="http://www.w3.org/2001/XMLSchema-instance" xsi:type="dcterms:W3CDTF">2026-09-15T20:43:55Z</dcterms:modified>
</cp:coreProperties>
</file>