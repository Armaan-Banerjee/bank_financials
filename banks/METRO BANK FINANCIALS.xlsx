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'Overview'!$BG$19:$BR$19</f>
            </numRef>
          </cat>
          <val>
            <numRef>
              <f>'Overview'!$BG$20:$BR$20</f>
            </numRef>
          </val>
        </ser>
        <ser>
          <idx val="1"/>
          <order val="1"/>
          <tx>
            <strRef>
              <f>'Overview'!BF21</f>
            </strRef>
          </tx>
          <spPr>
            <a:ln xmlns:a="http://schemas.openxmlformats.org/drawingml/2006/main">
              <a:prstDash val="solid"/>
            </a:ln>
          </spPr>
          <cat>
            <numRef>
              <f>'Overview'!$BG$19:$BR$19</f>
            </numRef>
          </cat>
          <val>
            <numRef>
              <f>'Overview'!$BG$21:$BR$21</f>
            </numRef>
          </val>
        </ser>
        <ser>
          <idx val="2"/>
          <order val="2"/>
          <tx>
            <strRef>
              <f>'Overview'!BF22</f>
            </strRef>
          </tx>
          <spPr>
            <a:ln xmlns:a="http://schemas.openxmlformats.org/drawingml/2006/main">
              <a:prstDash val="solid"/>
            </a:ln>
          </spPr>
          <cat>
            <numRef>
              <f>'Overview'!$BG$19:$BR$19</f>
            </numRef>
          </cat>
          <val>
            <numRef>
              <f>'Overview'!$BG$22:$BR$22</f>
            </numRef>
          </val>
        </ser>
        <ser>
          <idx val="3"/>
          <order val="3"/>
          <tx>
            <strRef>
              <f>'Overview'!BF23</f>
            </strRef>
          </tx>
          <spPr>
            <a:ln xmlns:a="http://schemas.openxmlformats.org/drawingml/2006/main">
              <a:prstDash val="solid"/>
            </a:ln>
          </spPr>
          <cat>
            <numRef>
              <f>'Overview'!$BG$19:$BR$19</f>
            </numRef>
          </cat>
          <val>
            <numRef>
              <f>'Overview'!$BG$23:$BR$23</f>
            </numRef>
          </val>
        </ser>
        <ser>
          <idx val="4"/>
          <order val="4"/>
          <tx>
            <strRef>
              <f>'Overview'!BF24</f>
            </strRef>
          </tx>
          <spPr>
            <a:ln xmlns:a="http://schemas.openxmlformats.org/drawingml/2006/main">
              <a:prstDash val="solid"/>
            </a:ln>
          </spPr>
          <cat>
            <numRef>
              <f>'Overview'!$BG$19:$BR$19</f>
            </numRef>
          </cat>
          <val>
            <numRef>
              <f>'Overview'!$BG$24:$BR$24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'Overview'!BU28</f>
            </strRef>
          </tx>
          <spPr>
            <a:ln xmlns:a="http://schemas.openxmlformats.org/drawingml/2006/main">
              <a:prstDash val="solid"/>
            </a:ln>
          </spPr>
          <cat>
            <numRef>
              <f>'Overview'!$BV$27:$CK$27</f>
            </numRef>
          </cat>
          <val>
            <numRef>
              <f>'Overview'!$BV$28:$CK$28</f>
            </numRef>
          </val>
        </ser>
        <ser>
          <idx val="1"/>
          <order val="1"/>
          <tx>
            <strRef>
              <f>'Overview'!BU29</f>
            </strRef>
          </tx>
          <spPr>
            <a:ln xmlns:a="http://schemas.openxmlformats.org/drawingml/2006/main">
              <a:prstDash val="solid"/>
            </a:ln>
          </spPr>
          <cat>
            <numRef>
              <f>'Overview'!$BV$27:$CK$27</f>
            </numRef>
          </cat>
          <val>
            <numRef>
              <f>'Overview'!$BV$29:$CK$29</f>
            </numRef>
          </val>
        </ser>
        <ser>
          <idx val="2"/>
          <order val="2"/>
          <tx>
            <strRef>
              <f>'Overview'!BU30</f>
            </strRef>
          </tx>
          <spPr>
            <a:ln xmlns:a="http://schemas.openxmlformats.org/drawingml/2006/main">
              <a:prstDash val="solid"/>
            </a:ln>
          </spPr>
          <cat>
            <numRef>
              <f>'Overview'!$BV$27:$CK$27</f>
            </numRef>
          </cat>
          <val>
            <numRef>
              <f>'Overview'!$BV$30:$CK$30</f>
            </numRef>
          </val>
        </ser>
        <ser>
          <idx val="3"/>
          <order val="3"/>
          <tx>
            <strRef>
              <f>'Overview'!BU31</f>
            </strRef>
          </tx>
          <spPr>
            <a:ln xmlns:a="http://schemas.openxmlformats.org/drawingml/2006/main">
              <a:prstDash val="solid"/>
            </a:ln>
          </spPr>
          <cat>
            <numRef>
              <f>'Overview'!$BV$27:$CK$27</f>
            </numRef>
          </cat>
          <val>
            <numRef>
              <f>'Overview'!$BV$31:$CK$31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'Overview'!CN6</f>
            </strRef>
          </tx>
          <spPr>
            <a:ln xmlns:a="http://schemas.openxmlformats.org/drawingml/2006/main">
              <a:prstDash val="solid"/>
            </a:ln>
          </spPr>
          <marker>
            <symbol val="none"/>
            <spPr>
              <a:ln xmlns:a="http://schemas.openxmlformats.org/drawingml/2006/main">
                <a:prstDash val="solid"/>
              </a:ln>
            </spPr>
          </marker>
          <cat>
            <numRef>
              <f>'Overview'!$CO$5:$DD$5</f>
            </numRef>
          </cat>
          <val>
            <numRef>
              <f>'Overview'!$CO$6:$DD$6</f>
            </numRef>
          </val>
          <smooth val="0"/>
        </ser>
        <ser>
          <idx val="1"/>
          <order val="1"/>
          <tx>
            <strRef>
              <f>'Overview'!CN7</f>
            </strRef>
          </tx>
          <spPr>
            <a:ln xmlns:a="http://schemas.openxmlformats.org/drawingml/2006/main">
              <a:prstDash val="solid"/>
            </a:ln>
          </spPr>
          <marker>
            <symbol val="none"/>
            <spPr>
              <a:ln xmlns:a="http://schemas.openxmlformats.org/drawingml/2006/main">
                <a:prstDash val="solid"/>
              </a:ln>
            </spPr>
          </marker>
          <cat>
            <numRef>
              <f>'Overview'!$CO$5:$DD$5</f>
            </numRef>
          </cat>
          <val>
            <numRef>
              <f>'Overview'!$CO$7:$DD$7</f>
            </numRef>
          </val>
          <smooth val="0"/>
        </ser>
        <ser>
          <idx val="2"/>
          <order val="2"/>
          <tx>
            <strRef>
              <f>'Overview'!CN8</f>
            </strRef>
          </tx>
          <spPr>
            <a:ln xmlns:a="http://schemas.openxmlformats.org/drawingml/2006/main">
              <a:prstDash val="solid"/>
            </a:ln>
          </spPr>
          <marker>
            <symbol val="none"/>
            <spPr>
              <a:ln xmlns:a="http://schemas.openxmlformats.org/drawingml/2006/main">
                <a:prstDash val="solid"/>
              </a:ln>
            </spPr>
          </marker>
          <cat>
            <numRef>
              <f>'Overview'!$CO$5:$DD$5</f>
            </numRef>
          </cat>
          <val>
            <numRef>
              <f>'Overview'!$CO$8:$DD$8</f>
            </numRef>
          </val>
          <smooth val="0"/>
        </ser>
        <ser>
          <idx val="3"/>
          <order val="3"/>
          <tx>
            <strRef>
              <f>'Overview'!CN9</f>
            </strRef>
          </tx>
          <spPr>
            <a:ln xmlns:a="http://schemas.openxmlformats.org/drawingml/2006/main">
              <a:prstDash val="solid"/>
            </a:ln>
          </spPr>
          <marker>
            <symbol val="none"/>
            <spPr>
              <a:ln xmlns:a="http://schemas.openxmlformats.org/drawingml/2006/main">
                <a:prstDash val="solid"/>
              </a:ln>
            </spPr>
          </marker>
          <cat>
            <numRef>
              <f>'Overview'!$CO$5:$DD$5</f>
            </numRef>
          </cat>
          <val>
            <numRef>
              <f>'Overview'!$CO$9:$DD$9</f>
            </numRef>
          </val>
          <smooth val="0"/>
        </ser>
        <ser>
          <idx val="4"/>
          <order val="4"/>
          <tx>
            <strRef>
              <f>'Overview'!CN10</f>
            </strRef>
          </tx>
          <spPr>
            <a:ln xmlns:a="http://schemas.openxmlformats.org/drawingml/2006/main">
              <a:prstDash val="solid"/>
            </a:ln>
          </spPr>
          <marker>
            <symbol val="none"/>
            <spPr>
              <a:ln xmlns:a="http://schemas.openxmlformats.org/drawingml/2006/main">
                <a:prstDash val="solid"/>
              </a:ln>
            </spPr>
          </marker>
          <cat>
            <numRef>
              <f>'Overview'!$CO$5:$DD$5</f>
            </numRef>
          </cat>
          <val>
            <numRef>
              <f>'Overview'!$CO$10:$DD$10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D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O5" t="inlineStr">
        <is>
          <t>FY2010 (16m)</t>
        </is>
      </c>
      <c r="CP5" t="inlineStr">
        <is>
          <t>FY2011</t>
        </is>
      </c>
      <c r="CQ5" t="inlineStr">
        <is>
          <t>FY2012</t>
        </is>
      </c>
      <c r="CR5" t="inlineStr">
        <is>
          <t>FY2013</t>
        </is>
      </c>
      <c r="CS5" t="inlineStr">
        <is>
          <t>FY2014</t>
        </is>
      </c>
      <c r="CT5" t="inlineStr">
        <is>
          <t>FY2015</t>
        </is>
      </c>
      <c r="CU5" t="inlineStr">
        <is>
          <t>FY2016</t>
        </is>
      </c>
      <c r="CV5" t="inlineStr">
        <is>
          <t>FY2017</t>
        </is>
      </c>
      <c r="CW5" t="inlineStr">
        <is>
          <t>FY2018</t>
        </is>
      </c>
      <c r="CX5" t="inlineStr">
        <is>
          <t>FY2019</t>
        </is>
      </c>
      <c r="CY5" t="inlineStr">
        <is>
          <t>FY2020</t>
        </is>
      </c>
      <c r="CZ5" t="inlineStr">
        <is>
          <t>FY2021</t>
        </is>
      </c>
      <c r="DA5" t="inlineStr">
        <is>
          <t>FY2022</t>
        </is>
      </c>
      <c r="DB5" t="inlineStr">
        <is>
          <t>FY2023</t>
        </is>
      </c>
      <c r="DC5" t="inlineStr">
        <is>
          <t>FY2024</t>
        </is>
      </c>
      <c r="DD5" t="inlineStr">
        <is>
          <t>FY2025</t>
        </is>
      </c>
    </row>
    <row r="6">
      <c r="A6" s="5" t="inlineStr">
        <is>
          <t>Total assets</t>
        </is>
      </c>
      <c r="B6" s="5" t="n">
        <v>16501</v>
      </c>
      <c r="C6" s="5" t="n">
        <v>17597</v>
      </c>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AI6" t="n">
        <v>17597</v>
      </c>
      <c r="AJ6" t="n">
        <v>16501</v>
      </c>
      <c r="CN6" t="inlineStr">
        <is>
          <t>CET1 Ratio</t>
        </is>
      </c>
      <c r="CS6" t="n">
        <v>28</v>
      </c>
      <c r="CT6" t="n">
        <v>13</v>
      </c>
      <c r="CU6" t="n">
        <v>18.16</v>
      </c>
      <c r="CV6" t="n">
        <v>15.25</v>
      </c>
      <c r="CW6" t="n">
        <v>13.1</v>
      </c>
      <c r="CX6" t="n">
        <v>15.6</v>
      </c>
      <c r="CY6" t="n">
        <v>15</v>
      </c>
      <c r="CZ6" t="n">
        <v>12.6</v>
      </c>
      <c r="DA6" t="n">
        <v>10.3</v>
      </c>
      <c r="DB6" t="n">
        <v>13.1</v>
      </c>
      <c r="DC6" t="n">
        <v>12.5</v>
      </c>
      <c r="DD6" t="n">
        <v>12.5</v>
      </c>
    </row>
    <row r="7">
      <c r="A7" s="5" t="inlineStr">
        <is>
          <t>Loans and advances to customers</t>
        </is>
      </c>
      <c r="B7" s="5" t="n">
        <v>8040</v>
      </c>
      <c r="C7" s="5" t="n">
        <v>8472</v>
      </c>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AI7" t="n">
        <v>8472</v>
      </c>
      <c r="AJ7" t="n">
        <v>8040</v>
      </c>
      <c r="CN7" t="inlineStr">
        <is>
          <t>Total Capital Ratio</t>
        </is>
      </c>
      <c r="CP7" t="n">
        <v>74</v>
      </c>
      <c r="CQ7" t="n">
        <v>55</v>
      </c>
      <c r="CR7" t="n">
        <v>50</v>
      </c>
      <c r="CS7" t="n">
        <v>28</v>
      </c>
      <c r="CT7" t="n">
        <v>13</v>
      </c>
      <c r="CU7" t="n">
        <v>18.16</v>
      </c>
      <c r="CV7" t="n">
        <v>15.25</v>
      </c>
      <c r="CW7" t="n">
        <v>15.9</v>
      </c>
      <c r="CX7" t="n">
        <v>18.3</v>
      </c>
      <c r="CY7" t="n">
        <v>18.1</v>
      </c>
      <c r="CZ7" t="n">
        <v>15.9</v>
      </c>
      <c r="DA7" t="n">
        <v>13.4</v>
      </c>
      <c r="DB7" t="n">
        <v>15.1</v>
      </c>
      <c r="DC7" t="n">
        <v>14.9</v>
      </c>
      <c r="DD7" t="n">
        <v>18.4</v>
      </c>
    </row>
    <row r="8">
      <c r="A8" s="5" t="inlineStr">
        <is>
          <t>Deposits from customers</t>
        </is>
      </c>
      <c r="B8" s="5" t="n">
        <v>13445</v>
      </c>
      <c r="C8" s="5" t="n">
        <v>14458</v>
      </c>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AI8" t="n">
        <v>14458</v>
      </c>
      <c r="AJ8" t="n">
        <v>13445</v>
      </c>
      <c r="CN8" t="inlineStr">
        <is>
          <t>Leverage Ratio</t>
        </is>
      </c>
      <c r="CS8" t="n">
        <v>10</v>
      </c>
      <c r="CT8" t="n">
        <v>4.9</v>
      </c>
      <c r="CU8" t="n">
        <v>6.5</v>
      </c>
      <c r="CV8" t="n">
        <v>5.5</v>
      </c>
      <c r="CW8" t="n">
        <v>5.4</v>
      </c>
      <c r="CX8" t="n">
        <v>6.6</v>
      </c>
      <c r="CY8" t="n">
        <v>5.6</v>
      </c>
      <c r="CZ8" t="n">
        <v>5.2</v>
      </c>
      <c r="DA8" t="n">
        <v>4.2</v>
      </c>
      <c r="DB8" t="n">
        <v>5.3</v>
      </c>
      <c r="DC8" t="n">
        <v>5.6</v>
      </c>
      <c r="DD8" t="n">
        <v>7.8</v>
      </c>
    </row>
    <row r="9">
      <c r="A9" s="5" t="inlineStr">
        <is>
          <t>Total equity</t>
        </is>
      </c>
      <c r="B9" s="5" t="n">
        <v>1513</v>
      </c>
      <c r="C9" s="5" t="n">
        <v>1202</v>
      </c>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AI9" t="n">
        <v>1202</v>
      </c>
      <c r="AJ9" t="n">
        <v>1513</v>
      </c>
      <c r="CN9" t="inlineStr">
        <is>
          <t>LCR</t>
        </is>
      </c>
      <c r="CU9" t="n">
        <v>136</v>
      </c>
      <c r="CV9" t="n">
        <v>141</v>
      </c>
      <c r="CW9" t="n">
        <v>139</v>
      </c>
      <c r="CX9" t="n">
        <v>197</v>
      </c>
      <c r="CY9" t="n">
        <v>187</v>
      </c>
      <c r="CZ9" t="n">
        <v>281</v>
      </c>
      <c r="DA9" t="n">
        <v>246</v>
      </c>
      <c r="DB9" t="n">
        <v>244</v>
      </c>
      <c r="DC9" t="n">
        <v>444</v>
      </c>
      <c r="DD9" t="n">
        <v>314</v>
      </c>
    </row>
    <row r="10">
      <c r="CN10" t="inlineStr">
        <is>
          <t>NSFR</t>
        </is>
      </c>
      <c r="DA10" t="n">
        <v>143</v>
      </c>
      <c r="DB10" t="n">
        <v>136</v>
      </c>
      <c r="DC10" t="n">
        <v>160</v>
      </c>
      <c r="DD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BG19" t="inlineStr">
        <is>
          <t>FY2014</t>
        </is>
      </c>
      <c r="BH19" t="inlineStr">
        <is>
          <t>FY2015</t>
        </is>
      </c>
      <c r="BI19" t="inlineStr">
        <is>
          <t>FY2016</t>
        </is>
      </c>
      <c r="BJ19" t="inlineStr">
        <is>
          <t>FY2017</t>
        </is>
      </c>
      <c r="BK19" t="inlineStr">
        <is>
          <t>FY2018</t>
        </is>
      </c>
      <c r="BL19" t="inlineStr">
        <is>
          <t>FY2019</t>
        </is>
      </c>
      <c r="BM19" t="inlineStr">
        <is>
          <t>FY2020</t>
        </is>
      </c>
      <c r="BN19" t="inlineStr">
        <is>
          <t>FY2021</t>
        </is>
      </c>
      <c r="BO19" t="inlineStr">
        <is>
          <t>FY2022</t>
        </is>
      </c>
      <c r="BP19" t="inlineStr">
        <is>
          <t>FY2023</t>
        </is>
      </c>
      <c r="BQ19" t="inlineStr">
        <is>
          <t>FY2024</t>
        </is>
      </c>
      <c r="BR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BF20" t="inlineStr">
        <is>
          <t>Opening equity</t>
        </is>
      </c>
      <c r="BG20" t="n">
        <v>401</v>
      </c>
      <c r="BH20" t="n">
        <v>462</v>
      </c>
      <c r="BI20" t="n">
        <v>407</v>
      </c>
      <c r="BJ20" t="n">
        <v>805</v>
      </c>
      <c r="BK20" t="n">
        <v>1096</v>
      </c>
      <c r="BL20" t="n">
        <v>1403</v>
      </c>
      <c r="BM20" t="n">
        <v>1583</v>
      </c>
      <c r="BN20" t="n">
        <v>1294</v>
      </c>
      <c r="BO20" t="n">
        <v>1036</v>
      </c>
      <c r="BP20" t="n">
        <v>957</v>
      </c>
    </row>
    <row r="21">
      <c r="A21" s="5" t="inlineStr">
        <is>
          <t>Total comprehensive income for the year</t>
        </is>
      </c>
      <c r="B21" s="5" t="n"/>
      <c r="C21" s="5" t="n"/>
      <c r="D21" s="5" t="n">
        <v>48</v>
      </c>
      <c r="E21" s="5" t="n"/>
      <c r="F21" s="5" t="n"/>
      <c r="G21" s="5" t="n"/>
      <c r="H21" s="5" t="n"/>
      <c r="I21" s="5" t="n">
        <v>23</v>
      </c>
      <c r="J21" s="5" t="n">
        <v>10</v>
      </c>
      <c r="K21" s="5" t="n"/>
      <c r="L21" s="5" t="n"/>
      <c r="M21" s="5" t="n"/>
      <c r="BF21" t="inlineStr">
        <is>
          <t>Total comprehensive income for the year</t>
        </is>
      </c>
      <c r="BJ21" t="n">
        <v>10</v>
      </c>
      <c r="BK21" t="n">
        <v>23</v>
      </c>
      <c r="BP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BF22" t="inlineStr">
        <is>
          <t>Total comprehensive loss for the year</t>
        </is>
      </c>
      <c r="BG22" t="n">
        <v>-38</v>
      </c>
      <c r="BH22" t="n">
        <v>-57</v>
      </c>
      <c r="BI22" t="n">
        <v>-8</v>
      </c>
      <c r="BL22" t="n">
        <v>-183</v>
      </c>
      <c r="BM22" t="n">
        <v>-296</v>
      </c>
      <c r="BN22" t="n">
        <v>-260</v>
      </c>
      <c r="BO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BF23" t="inlineStr">
        <is>
          <t>Other equity movements, net</t>
        </is>
      </c>
      <c r="BG23" t="n">
        <v>100</v>
      </c>
      <c r="BH23" t="n">
        <v>2</v>
      </c>
      <c r="BI23" t="n">
        <v>406</v>
      </c>
      <c r="BJ23" t="n">
        <v>282</v>
      </c>
      <c r="BK23" t="n">
        <v>283</v>
      </c>
      <c r="BL23" t="n">
        <v>363</v>
      </c>
      <c r="BM23" t="n">
        <v>2</v>
      </c>
      <c r="BN23" t="n">
        <v>2</v>
      </c>
      <c r="BO23" t="n">
        <v>2</v>
      </c>
      <c r="BP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BF24" t="inlineStr">
        <is>
          <t>Closing equity</t>
        </is>
      </c>
      <c r="BG24" t="n">
        <v>462</v>
      </c>
      <c r="BH24" t="n">
        <v>407</v>
      </c>
      <c r="BI24" t="n">
        <v>805</v>
      </c>
      <c r="BJ24" t="n">
        <v>1096</v>
      </c>
      <c r="BK24" t="n">
        <v>1403</v>
      </c>
      <c r="BL24" t="n">
        <v>1583</v>
      </c>
      <c r="BM24" t="n">
        <v>1289</v>
      </c>
      <c r="BN24" t="n">
        <v>1036</v>
      </c>
      <c r="BO24" t="n">
        <v>957</v>
      </c>
      <c r="BP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V27" t="inlineStr">
        <is>
          <t>FY2010 (16m)</t>
        </is>
      </c>
      <c r="BW27" t="inlineStr">
        <is>
          <t>FY2011</t>
        </is>
      </c>
      <c r="BX27" t="inlineStr">
        <is>
          <t>FY2012</t>
        </is>
      </c>
      <c r="BY27" t="inlineStr">
        <is>
          <t>FY2013</t>
        </is>
      </c>
      <c r="BZ27" t="inlineStr">
        <is>
          <t>FY2014</t>
        </is>
      </c>
      <c r="CA27" t="inlineStr">
        <is>
          <t>FY2015</t>
        </is>
      </c>
      <c r="CB27" t="inlineStr">
        <is>
          <t>FY2016</t>
        </is>
      </c>
      <c r="CC27" t="inlineStr">
        <is>
          <t>FY2017</t>
        </is>
      </c>
      <c r="CD27" t="inlineStr">
        <is>
          <t>FY2018</t>
        </is>
      </c>
      <c r="CE27" t="inlineStr">
        <is>
          <t>FY2019</t>
        </is>
      </c>
      <c r="CF27" t="inlineStr">
        <is>
          <t>FY2020</t>
        </is>
      </c>
      <c r="CG27" t="inlineStr">
        <is>
          <t>FY2021</t>
        </is>
      </c>
      <c r="CH27" t="inlineStr">
        <is>
          <t>FY2022</t>
        </is>
      </c>
      <c r="CI27" t="inlineStr">
        <is>
          <t>FY2023</t>
        </is>
      </c>
      <c r="CJ27" t="inlineStr">
        <is>
          <t>FY2024</t>
        </is>
      </c>
      <c r="CK27" t="inlineStr">
        <is>
          <t>FY2025</t>
        </is>
      </c>
    </row>
    <row r="28">
      <c r="A28" s="5" t="inlineStr">
        <is>
          <t>Net cash inflows/(outflows) from operating activities</t>
        </is>
      </c>
      <c r="B28" s="5" t="n">
        <v>-1105</v>
      </c>
      <c r="C28" s="5" t="n">
        <v>-1383</v>
      </c>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U28" t="inlineStr">
        <is>
          <t>Net cash inflows/(outflows) from operating activities</t>
        </is>
      </c>
      <c r="BV28" t="n">
        <v>-6.5</v>
      </c>
      <c r="BW28" t="n">
        <v>63.7</v>
      </c>
      <c r="BX28" t="n">
        <v>255.8</v>
      </c>
      <c r="BY28" t="n">
        <v>249.3</v>
      </c>
      <c r="BZ28" t="n">
        <v>810</v>
      </c>
      <c r="CA28" t="n">
        <v>546</v>
      </c>
      <c r="CB28" t="n">
        <v>1169</v>
      </c>
      <c r="CC28" t="n">
        <v>2294</v>
      </c>
      <c r="CD28" t="n">
        <v>153</v>
      </c>
      <c r="CE28" t="n">
        <v>-1655</v>
      </c>
      <c r="CF28" t="n">
        <v>1041</v>
      </c>
      <c r="CG28" t="n">
        <v>2874</v>
      </c>
      <c r="CH28" t="n">
        <v>-1167</v>
      </c>
      <c r="CI28" t="n">
        <v>612</v>
      </c>
      <c r="CJ28" t="n">
        <v>-1383</v>
      </c>
      <c r="CK28" t="n">
        <v>-1105</v>
      </c>
    </row>
    <row r="29">
      <c r="A29" s="5" t="inlineStr">
        <is>
          <t>Net cash inflows/(outflows) from investing activities</t>
        </is>
      </c>
      <c r="B29" s="5" t="n">
        <v>256</v>
      </c>
      <c r="C29" s="5" t="n">
        <v>327</v>
      </c>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U29" t="inlineStr">
        <is>
          <t>Net cash inflows/(outflows) from investing activities</t>
        </is>
      </c>
      <c r="BV29" t="n">
        <v>-62</v>
      </c>
      <c r="BW29" t="n">
        <v>-59.1</v>
      </c>
      <c r="BX29" t="n">
        <v>-365.3</v>
      </c>
      <c r="BY29" t="n">
        <v>-344.6</v>
      </c>
      <c r="BZ29" t="n">
        <v>-957</v>
      </c>
      <c r="CA29" t="n">
        <v>-480</v>
      </c>
      <c r="CB29" t="n">
        <v>-1349</v>
      </c>
      <c r="CC29" t="n">
        <v>-858</v>
      </c>
      <c r="CD29" t="n">
        <v>-443</v>
      </c>
      <c r="CE29" t="n">
        <v>1376</v>
      </c>
      <c r="CF29" t="n">
        <v>-956</v>
      </c>
      <c r="CG29" t="n">
        <v>-2274</v>
      </c>
      <c r="CH29" t="n">
        <v>-402</v>
      </c>
      <c r="CI29" t="n">
        <v>1028</v>
      </c>
      <c r="CJ29" t="n">
        <v>327</v>
      </c>
      <c r="CK29" t="n">
        <v>256</v>
      </c>
    </row>
    <row r="30">
      <c r="A30" s="5" t="inlineStr">
        <is>
          <t>Net cash inflows/(outflows) from financing activities</t>
        </is>
      </c>
      <c r="B30" s="5" t="n">
        <v>214</v>
      </c>
      <c r="C30" s="5" t="n">
        <v>-22</v>
      </c>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U30" t="inlineStr">
        <is>
          <t>Net cash inflows/(outflows) from financing activities</t>
        </is>
      </c>
      <c r="BV30" t="n">
        <v>120.1</v>
      </c>
      <c r="BW30" t="n">
        <v>0</v>
      </c>
      <c r="BX30" t="n">
        <v>126</v>
      </c>
      <c r="BY30" t="n">
        <v>284.3</v>
      </c>
      <c r="BZ30" t="n">
        <v>99</v>
      </c>
      <c r="CA30" t="n">
        <v>0</v>
      </c>
      <c r="CB30" t="n">
        <v>398</v>
      </c>
      <c r="CC30" t="n">
        <v>276</v>
      </c>
      <c r="CD30" t="n">
        <v>550</v>
      </c>
      <c r="CE30" t="n">
        <v>796</v>
      </c>
      <c r="CF30" t="n">
        <v>-81</v>
      </c>
      <c r="CG30" t="n">
        <v>-27</v>
      </c>
      <c r="CH30" t="n">
        <v>-25</v>
      </c>
      <c r="CI30" t="n">
        <v>296</v>
      </c>
      <c r="CJ30" t="n">
        <v>-22</v>
      </c>
      <c r="CK30" t="n">
        <v>214</v>
      </c>
    </row>
    <row r="31">
      <c r="A31" s="5" t="inlineStr">
        <is>
          <t>Cash and cash equivalents at end of year</t>
        </is>
      </c>
      <c r="B31" s="5" t="n">
        <v>2176</v>
      </c>
      <c r="C31" s="5" t="n">
        <v>2811</v>
      </c>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U31" t="inlineStr">
        <is>
          <t>Cash and cash equivalents at end of year</t>
        </is>
      </c>
      <c r="BV31" t="n">
        <v>52.9</v>
      </c>
      <c r="BW31" t="n">
        <v>57.6</v>
      </c>
      <c r="BX31" t="n">
        <v>74.09999999999999</v>
      </c>
      <c r="BY31" t="n">
        <v>263.2</v>
      </c>
      <c r="BZ31" t="n">
        <v>216</v>
      </c>
      <c r="CA31" t="n">
        <v>282</v>
      </c>
      <c r="CB31" t="n">
        <v>500</v>
      </c>
      <c r="CC31" t="n">
        <v>2212</v>
      </c>
      <c r="CD31" t="n">
        <v>2472</v>
      </c>
      <c r="CE31" t="n">
        <v>2989</v>
      </c>
      <c r="CF31" t="n">
        <v>2993</v>
      </c>
      <c r="CG31" t="n">
        <v>3547</v>
      </c>
      <c r="CH31" t="n">
        <v>1953</v>
      </c>
      <c r="CI31" t="n">
        <v>3889</v>
      </c>
      <c r="CJ31" t="n">
        <v>2811</v>
      </c>
      <c r="CK31" t="n">
        <v>2176</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inlineStr">
        <is>
          <t>50% (FY2013 accounts KPI 'Capital as %age of risk weighted assets'; Basel II, RWA basis unstated)</t>
        </is>
      </c>
      <c r="O36" s="6" t="inlineStr">
        <is>
          <t>55% (FY2012 accounts KPI 'Capital as %age of risk weighted assets'; Basel II, RWA basis unstated)</t>
        </is>
      </c>
      <c r="P36" s="6" t="inlineStr">
        <is>
          <t>74% (FY2011 accounts KPI 'Capital as %age of risk weighted assets'; Basel II, RWA basis unstated)</t>
        </is>
      </c>
      <c r="Q36" s="6" t="inlineStr">
        <is>
          <t>Not published – FY2010 accounts and Pillar 3 print no total capital ratio; accounts print 'Tier 1 ratio 474%' (no Tier 2 held) - on Tier 1 Ratio sheet</t>
        </is>
      </c>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65" customHeight="1">
      <c r="A41" s="7" t="inlineStr">
        <is>
          <t>Note: Metro Bank PLC entity basis. Balance Sheet and cash-flow summaries are Company/standalone through FY2025; Profit &amp; Loss summary is Group/consolidated (Metro Bank PLC does not publish its own income statement). The Equity Changes summary remains through FY2023 because adding FY2024-FY2025 roll-forward rows would change the existing worksheet structure.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are from Metro Bank PLC's filed Company statements. 'Other equity instruments' is a row Metro Bank PLC first printed in its FY2025 Company balance sheet (£250m of AT1 securities, FY2024 nil); it is reproduced here in the bank's own position, between Retained earnings and Other reserves. Note that Metro Bank Holdings PLC's consolidated balance sheet carries the same instrument at £242m, net of issuance costs borne at the holding-company level - the two figures are different entities' presentations, not a discrepancy.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v>2176</v>
      </c>
      <c r="C5" s="6" t="n">
        <v>2811</v>
      </c>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v>8040</v>
      </c>
      <c r="C7" s="6" t="n">
        <v>8472</v>
      </c>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v>218</v>
      </c>
      <c r="C8" s="6" t="n">
        <v>377</v>
      </c>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v>3942</v>
      </c>
      <c r="C9" s="6" t="n">
        <v>4113</v>
      </c>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v>23</v>
      </c>
      <c r="C14" s="6" t="n">
        <v>16</v>
      </c>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v>705</v>
      </c>
      <c r="C15" s="6" t="n">
        <v>711</v>
      </c>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v>15</v>
      </c>
      <c r="C16" s="6" t="n">
        <v>15</v>
      </c>
      <c r="D16" s="6" t="n">
        <v>15</v>
      </c>
      <c r="E16" s="6" t="n">
        <v>31</v>
      </c>
      <c r="F16" s="6" t="n">
        <v>31</v>
      </c>
      <c r="G16" s="6" t="n"/>
      <c r="H16" s="6" t="n"/>
      <c r="I16" s="6" t="n"/>
      <c r="J16" s="6" t="n"/>
      <c r="K16" s="6" t="n"/>
      <c r="L16" s="6" t="n"/>
      <c r="M16" s="6" t="n"/>
      <c r="N16" s="6" t="n"/>
      <c r="O16" s="6" t="n"/>
      <c r="P16" s="6" t="n"/>
      <c r="Q16" s="6" t="n"/>
    </row>
    <row r="17">
      <c r="A17" s="6" t="inlineStr">
        <is>
          <t>Intangible assets</t>
        </is>
      </c>
      <c r="B17" s="6" t="n">
        <v>138</v>
      </c>
      <c r="C17" s="6" t="n">
        <v>121</v>
      </c>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v>225</v>
      </c>
      <c r="C18" s="6" t="n">
        <v>237</v>
      </c>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v>70</v>
      </c>
      <c r="C19" s="6" t="n">
        <v>84</v>
      </c>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v>949</v>
      </c>
      <c r="C21" s="6" t="n">
        <v>640</v>
      </c>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v>16501</v>
      </c>
      <c r="C22" s="5" t="n">
        <v>17597</v>
      </c>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v>13445</v>
      </c>
      <c r="C24" s="6" t="n">
        <v>14458</v>
      </c>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v>400</v>
      </c>
      <c r="C25" s="6" t="n">
        <v>400</v>
      </c>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v>688</v>
      </c>
      <c r="C26" s="6" t="n">
        <v>679</v>
      </c>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v>73</v>
      </c>
      <c r="C28" s="6" t="n">
        <v>391</v>
      </c>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v>0</v>
      </c>
      <c r="C29" s="6" t="n">
        <v>1</v>
      </c>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v>185</v>
      </c>
      <c r="C30" s="6" t="n">
        <v>205</v>
      </c>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v>10</v>
      </c>
      <c r="C31" s="6" t="n">
        <v>13</v>
      </c>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v>6</v>
      </c>
      <c r="C32" s="6" t="n">
        <v>11</v>
      </c>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v>181</v>
      </c>
      <c r="C34" s="6" t="n">
        <v>237</v>
      </c>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v>14988</v>
      </c>
      <c r="C35" s="5" t="n">
        <v>16395</v>
      </c>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v>0</v>
      </c>
      <c r="C37" s="6" t="n">
        <v>0</v>
      </c>
      <c r="D37" s="6" t="n"/>
      <c r="E37" s="6" t="n"/>
      <c r="F37" s="6" t="n"/>
      <c r="G37" s="6" t="n"/>
      <c r="H37" s="6" t="n"/>
      <c r="I37" s="6" t="n"/>
      <c r="J37" s="6" t="n"/>
      <c r="K37" s="6" t="n"/>
      <c r="L37" s="6" t="n"/>
      <c r="M37" s="6" t="n"/>
      <c r="N37" s="6" t="n"/>
      <c r="O37" s="6" t="n"/>
      <c r="P37" s="6" t="n"/>
      <c r="Q37" s="6" t="n"/>
    </row>
    <row r="38">
      <c r="A38" s="6" t="inlineStr">
        <is>
          <t>Share premium</t>
        </is>
      </c>
      <c r="B38" s="6" t="n">
        <v>144</v>
      </c>
      <c r="C38" s="6" t="n">
        <v>144</v>
      </c>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v>1096</v>
      </c>
      <c r="C39" s="6" t="n">
        <v>1040</v>
      </c>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equity instruments</t>
        </is>
      </c>
      <c r="B40" s="6" t="n">
        <v>250</v>
      </c>
      <c r="C40" s="6" t="inlineStr">
        <is>
          <t>-</t>
        </is>
      </c>
      <c r="D40" s="6" t="n"/>
      <c r="E40" s="6" t="n"/>
      <c r="F40" s="6" t="n"/>
      <c r="G40" s="6" t="n"/>
      <c r="H40" s="6" t="n"/>
      <c r="I40" s="6" t="n"/>
      <c r="J40" s="6" t="n"/>
      <c r="K40" s="6" t="n"/>
      <c r="L40" s="6" t="n"/>
      <c r="M40" s="6" t="n"/>
      <c r="N40" s="6" t="n"/>
      <c r="O40" s="6" t="n"/>
      <c r="P40" s="6" t="n"/>
      <c r="Q40" s="6" t="n"/>
    </row>
    <row r="41">
      <c r="A41" s="6" t="inlineStr">
        <is>
          <t>Other reserves</t>
        </is>
      </c>
      <c r="B41" s="6" t="n">
        <v>23</v>
      </c>
      <c r="C41" s="6" t="n">
        <v>18</v>
      </c>
      <c r="D41" s="6" t="n">
        <v>12</v>
      </c>
      <c r="E41" s="6" t="n">
        <v>7</v>
      </c>
      <c r="F41" s="6" t="n">
        <v>13</v>
      </c>
      <c r="G41" s="6" t="n">
        <v>19</v>
      </c>
      <c r="H41" s="6" t="n">
        <v>11</v>
      </c>
      <c r="I41" s="6" t="n">
        <v>7</v>
      </c>
      <c r="J41" s="6" t="n">
        <v>12</v>
      </c>
      <c r="K41" s="6" t="n">
        <v>7</v>
      </c>
      <c r="L41" s="6" t="n">
        <v>-9</v>
      </c>
      <c r="M41" s="6" t="n">
        <v>-3</v>
      </c>
      <c r="N41" s="6" t="n">
        <v>-6.8</v>
      </c>
      <c r="O41" s="6" t="n">
        <v>8.9</v>
      </c>
      <c r="P41" s="6" t="n">
        <v>0.2</v>
      </c>
      <c r="Q41" s="6" t="n"/>
    </row>
    <row r="42">
      <c r="A42" s="5" t="inlineStr">
        <is>
          <t>Total equity</t>
        </is>
      </c>
      <c r="B42" s="5" t="n">
        <v>1513</v>
      </c>
      <c r="C42" s="5" t="n">
        <v>1202</v>
      </c>
      <c r="D42" s="5" t="n">
        <v>1152</v>
      </c>
      <c r="E42" s="5" t="n">
        <v>957</v>
      </c>
      <c r="F42" s="5" t="n">
        <v>1036</v>
      </c>
      <c r="G42" s="5" t="n">
        <v>1289</v>
      </c>
      <c r="H42" s="5" t="n">
        <v>1583</v>
      </c>
      <c r="I42" s="5" t="n">
        <v>1403</v>
      </c>
      <c r="J42" s="5" t="n">
        <v>1096</v>
      </c>
      <c r="K42" s="5" t="n">
        <v>805</v>
      </c>
      <c r="L42" s="5" t="n">
        <v>407</v>
      </c>
      <c r="M42" s="5" t="n">
        <v>462</v>
      </c>
      <c r="N42" s="5" t="n">
        <v>405</v>
      </c>
      <c r="O42" s="5" t="n">
        <v>178.2</v>
      </c>
      <c r="P42" s="5" t="n">
        <v>78</v>
      </c>
      <c r="Q42" s="5" t="n">
        <v>96.8</v>
      </c>
    </row>
    <row r="43">
      <c r="A43" s="5" t="inlineStr">
        <is>
          <t>Total equity and liabilities</t>
        </is>
      </c>
      <c r="B43" s="5" t="n">
        <v>16501</v>
      </c>
      <c r="C43" s="5" t="n">
        <v>17597</v>
      </c>
      <c r="D43" s="5" t="n">
        <v>22257</v>
      </c>
      <c r="E43" s="5" t="n">
        <v>22126</v>
      </c>
      <c r="F43" s="5" t="n">
        <v>22583</v>
      </c>
      <c r="G43" s="5" t="n">
        <v>22579</v>
      </c>
      <c r="H43" s="5" t="n">
        <v>21400</v>
      </c>
      <c r="I43" s="5" t="n">
        <v>21647</v>
      </c>
      <c r="J43" s="5" t="n">
        <v>16355</v>
      </c>
      <c r="K43" s="5" t="n">
        <v>10057</v>
      </c>
      <c r="L43" s="5" t="n">
        <v>6148</v>
      </c>
      <c r="M43" s="5" t="n">
        <v>3661</v>
      </c>
      <c r="N43" s="5" t="n">
        <v>1891.6</v>
      </c>
      <c r="O43" s="5" t="n">
        <v>771.2</v>
      </c>
      <c r="P43" s="5" t="n">
        <v>240.3</v>
      </c>
      <c r="Q43" s="5" t="n">
        <v>119.1</v>
      </c>
    </row>
    <row r="45" ht="340" customHeight="1">
      <c r="A45"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t>
        </is>
      </c>
    </row>
    <row r="47" ht="377" customHeight="1">
      <c r="A47" s="8" t="inlineStr">
        <is>
          <t>(continued)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2">
    <mergeCell ref="A47:Q47"/>
    <mergeCell ref="A45:Q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t>
        </is>
      </c>
    </row>
    <row r="32" ht="377" customHeight="1">
      <c r="A32" s="8" t="inlineStr">
        <is>
          <t>(continued)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2">
    <mergeCell ref="A30:Q30"/>
    <mergeCell ref="A32:Q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FY2021-FY2025 are Company/standalone basis (see HD-049 basis note). FY2024 and FY2025 were added 2026-09-18 (GA-006) from Metro Bank PLC's own FY2025 Company statement of changes in equity, which is also the source of the new 'Other equity instruments' column - a component the bank first reported in FY2025 and which is blank, not zero, for every earlier year because it did not exist.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Other equity instruments</t>
        </is>
      </c>
      <c r="I3" s="4" t="inlineStr">
        <is>
          <t>Total equity</t>
        </is>
      </c>
    </row>
    <row r="4">
      <c r="A4" s="5" t="inlineStr">
        <is>
          <t>Balance at 19 September 2009 (opening, Company basis - conversion to PLC)</t>
        </is>
      </c>
      <c r="B4" s="5" t="n">
        <v>0.1</v>
      </c>
      <c r="C4" s="5" t="n">
        <v>0</v>
      </c>
      <c r="D4" s="5" t="n">
        <v>0</v>
      </c>
      <c r="E4" s="5" t="n"/>
      <c r="F4" s="5" t="n"/>
      <c r="G4" s="5" t="n"/>
      <c r="H4" s="5" t="n"/>
      <c r="I4" s="5" t="n">
        <v>0.1</v>
      </c>
    </row>
    <row r="5">
      <c r="A5" s="6" t="inlineStr">
        <is>
          <t>Net loss for the period (16 months to 31 December 2010)</t>
        </is>
      </c>
      <c r="B5" s="6" t="n"/>
      <c r="C5" s="6" t="n"/>
      <c r="D5" s="6" t="n">
        <v>-23.4</v>
      </c>
      <c r="E5" s="6" t="n"/>
      <c r="F5" s="6" t="n"/>
      <c r="G5" s="6" t="n"/>
      <c r="H5" s="6" t="n"/>
      <c r="I5" s="6" t="n">
        <v>-23.4</v>
      </c>
    </row>
    <row r="6">
      <c r="A6" s="6" t="inlineStr">
        <is>
          <t>Issue of new ordinary shares</t>
        </is>
      </c>
      <c r="B6" s="6" t="n"/>
      <c r="C6" s="6" t="n">
        <v>120.1</v>
      </c>
      <c r="D6" s="6" t="n"/>
      <c r="E6" s="6" t="n"/>
      <c r="F6" s="6" t="n"/>
      <c r="G6" s="6" t="n"/>
      <c r="H6" s="6" t="n"/>
      <c r="I6" s="6" t="n">
        <v>120.1</v>
      </c>
    </row>
    <row r="7">
      <c r="A7" s="6" t="inlineStr">
        <is>
          <t>Repayment of preference shares</t>
        </is>
      </c>
      <c r="B7" s="6" t="n">
        <v>-0.1</v>
      </c>
      <c r="C7" s="6" t="n"/>
      <c r="D7" s="6" t="n"/>
      <c r="E7" s="6" t="n"/>
      <c r="F7" s="6" t="n"/>
      <c r="G7" s="6" t="n"/>
      <c r="H7" s="6" t="n"/>
      <c r="I7" s="6" t="n">
        <v>-0.1</v>
      </c>
    </row>
    <row r="8">
      <c r="A8" s="5" t="inlineStr">
        <is>
          <t>Balance as at 31 December 2010 (FY2010 closing, 16-month first accounts, Company basis)</t>
        </is>
      </c>
      <c r="B8" s="5" t="n">
        <v>0</v>
      </c>
      <c r="C8" s="5" t="n">
        <v>120.1</v>
      </c>
      <c r="D8" s="5" t="n">
        <v>-23.3</v>
      </c>
      <c r="E8" s="5" t="n"/>
      <c r="F8" s="5" t="n"/>
      <c r="G8" s="5" t="n"/>
      <c r="H8" s="5" t="n"/>
      <c r="I8" s="5" t="n">
        <v>96.8</v>
      </c>
    </row>
    <row r="9">
      <c r="A9" s="6" t="inlineStr">
        <is>
          <t>Net loss for the year</t>
        </is>
      </c>
      <c r="B9" s="6" t="n"/>
      <c r="C9" s="6" t="n"/>
      <c r="D9" s="6" t="n">
        <v>-19</v>
      </c>
      <c r="E9" s="6" t="n"/>
      <c r="F9" s="6" t="n"/>
      <c r="G9" s="6" t="n"/>
      <c r="H9" s="6" t="n"/>
      <c r="I9" s="6" t="n">
        <v>-19</v>
      </c>
    </row>
    <row r="10">
      <c r="A10" s="6" t="inlineStr">
        <is>
          <t>Other comprehensive income relating to available-for-sale investments, net of tax</t>
        </is>
      </c>
      <c r="B10" s="6" t="n"/>
      <c r="C10" s="6" t="n"/>
      <c r="D10" s="6" t="n"/>
      <c r="E10" s="6" t="n">
        <v>0.1</v>
      </c>
      <c r="F10" s="6" t="n"/>
      <c r="G10" s="6" t="n"/>
      <c r="H10" s="6" t="n"/>
      <c r="I10" s="6" t="n">
        <v>0.1</v>
      </c>
    </row>
    <row r="11">
      <c r="A11" s="6" t="inlineStr">
        <is>
          <t>Share options at fair value</t>
        </is>
      </c>
      <c r="B11" s="6" t="n"/>
      <c r="C11" s="6" t="n"/>
      <c r="D11" s="6" t="n"/>
      <c r="E11" s="6" t="n"/>
      <c r="F11" s="6" t="n">
        <v>0.1</v>
      </c>
      <c r="G11" s="6" t="n"/>
      <c r="H11" s="6" t="n"/>
      <c r="I11" s="6" t="n">
        <v>0.1</v>
      </c>
    </row>
    <row r="12">
      <c r="A12" s="5" t="inlineStr">
        <is>
          <t>Balance as at 31 December 2011 (FY2011 closing, Company basis)</t>
        </is>
      </c>
      <c r="B12" s="5" t="n">
        <v>0</v>
      </c>
      <c r="C12" s="5" t="n">
        <v>120.1</v>
      </c>
      <c r="D12" s="5" t="n">
        <v>-42.3</v>
      </c>
      <c r="E12" s="5" t="n">
        <v>0.1</v>
      </c>
      <c r="F12" s="5" t="n">
        <v>0.1</v>
      </c>
      <c r="G12" s="5" t="n"/>
      <c r="H12" s="5" t="n"/>
      <c r="I12" s="5" t="n">
        <v>78</v>
      </c>
    </row>
    <row r="13">
      <c r="A13" s="6" t="inlineStr">
        <is>
          <t>Share issue</t>
        </is>
      </c>
      <c r="B13" s="6" t="n"/>
      <c r="C13" s="6" t="n">
        <v>126</v>
      </c>
      <c r="D13" s="6" t="n"/>
      <c r="E13" s="6" t="n"/>
      <c r="F13" s="6" t="n"/>
      <c r="G13" s="6" t="n"/>
      <c r="H13" s="6" t="n"/>
      <c r="I13" s="6" t="n">
        <v>126</v>
      </c>
    </row>
    <row r="14">
      <c r="A14" s="6" t="inlineStr">
        <is>
          <t>Net loss for the year</t>
        </is>
      </c>
      <c r="B14" s="6" t="n"/>
      <c r="C14" s="6" t="n"/>
      <c r="D14" s="6" t="n">
        <v>-34.6</v>
      </c>
      <c r="E14" s="6" t="n"/>
      <c r="F14" s="6" t="n"/>
      <c r="G14" s="6" t="n"/>
      <c r="H14" s="6" t="n"/>
      <c r="I14" s="6" t="n">
        <v>-34.6</v>
      </c>
    </row>
    <row r="15">
      <c r="A15" s="6" t="inlineStr">
        <is>
          <t>Other comprehensive income relating to available-for-sale investments, net of tax</t>
        </is>
      </c>
      <c r="B15" s="6" t="n"/>
      <c r="C15" s="6" t="n"/>
      <c r="D15" s="6" t="n"/>
      <c r="E15" s="6" t="n">
        <v>8.5</v>
      </c>
      <c r="F15" s="6" t="n"/>
      <c r="G15" s="6" t="n"/>
      <c r="H15" s="6" t="n"/>
      <c r="I15" s="6" t="n">
        <v>8.5</v>
      </c>
    </row>
    <row r="16">
      <c r="A16" s="6" t="inlineStr">
        <is>
          <t>Share options at fair value</t>
        </is>
      </c>
      <c r="B16" s="6" t="n"/>
      <c r="C16" s="6" t="n"/>
      <c r="D16" s="6" t="n"/>
      <c r="E16" s="6" t="n"/>
      <c r="F16" s="6" t="n">
        <v>0.3</v>
      </c>
      <c r="G16" s="6" t="n"/>
      <c r="H16" s="6" t="n"/>
      <c r="I16" s="6" t="n">
        <v>0.3</v>
      </c>
    </row>
    <row r="17">
      <c r="A17" s="5" t="inlineStr">
        <is>
          <t>Balance as at 31 December 2012 (FY2012 closing, Company basis)</t>
        </is>
      </c>
      <c r="B17" s="5" t="n">
        <v>0</v>
      </c>
      <c r="C17" s="5" t="n">
        <v>246.2</v>
      </c>
      <c r="D17" s="5" t="n">
        <v>-76.90000000000001</v>
      </c>
      <c r="E17" s="5" t="n">
        <v>8.6</v>
      </c>
      <c r="F17" s="5" t="n">
        <v>0.4</v>
      </c>
      <c r="G17" s="5" t="n"/>
      <c r="H17" s="5" t="n"/>
      <c r="I17" s="5" t="n">
        <v>178.2</v>
      </c>
    </row>
    <row r="18">
      <c r="A18" s="6" t="inlineStr">
        <is>
          <t>Share issue</t>
        </is>
      </c>
      <c r="B18" s="6" t="n"/>
      <c r="C18" s="6" t="n">
        <v>284.3</v>
      </c>
      <c r="D18" s="6" t="n"/>
      <c r="E18" s="6" t="n"/>
      <c r="F18" s="6" t="n"/>
      <c r="G18" s="6" t="n"/>
      <c r="H18" s="6" t="n"/>
      <c r="I18" s="6" t="n">
        <v>284.3</v>
      </c>
    </row>
    <row r="19">
      <c r="A19" s="6" t="inlineStr">
        <is>
          <t>Net loss for the year</t>
        </is>
      </c>
      <c r="B19" s="6" t="n"/>
      <c r="C19" s="6" t="n"/>
      <c r="D19" s="6" t="n">
        <v>-41.8</v>
      </c>
      <c r="E19" s="6" t="n"/>
      <c r="F19" s="6" t="n"/>
      <c r="G19" s="6" t="n"/>
      <c r="H19" s="6" t="n"/>
      <c r="I19" s="6" t="n">
        <v>-41.8</v>
      </c>
    </row>
    <row r="20">
      <c r="A20" s="6" t="inlineStr">
        <is>
          <t>Other comprehensive expense relating to available-for-sale investments, net of tax</t>
        </is>
      </c>
      <c r="B20" s="6" t="n"/>
      <c r="C20" s="6" t="n"/>
      <c r="D20" s="6" t="n"/>
      <c r="E20" s="6" t="n">
        <v>-16.1</v>
      </c>
      <c r="F20" s="6" t="n"/>
      <c r="G20" s="6" t="n"/>
      <c r="H20" s="6" t="n"/>
      <c r="I20" s="6" t="n">
        <v>-16.1</v>
      </c>
    </row>
    <row r="21">
      <c r="A21" s="6" t="inlineStr">
        <is>
          <t>Share options at fair value</t>
        </is>
      </c>
      <c r="B21" s="6" t="n"/>
      <c r="C21" s="6" t="n"/>
      <c r="D21" s="6" t="n"/>
      <c r="E21" s="6" t="n"/>
      <c r="F21" s="6" t="n">
        <v>0.4</v>
      </c>
      <c r="G21" s="6" t="n"/>
      <c r="H21" s="6" t="n"/>
      <c r="I21" s="6" t="n">
        <v>0.4</v>
      </c>
    </row>
    <row r="22">
      <c r="A22" s="5" t="inlineStr">
        <is>
          <t>Balance as at 31 December 2013 (FY2013 closing, own contemporaneous figures, Group basis)</t>
        </is>
      </c>
      <c r="B22" s="5" t="n">
        <v>0</v>
      </c>
      <c r="C22" s="5" t="n">
        <v>530.5</v>
      </c>
      <c r="D22" s="5" t="n">
        <v>-118.7</v>
      </c>
      <c r="E22" s="5" t="n">
        <v>-7.5</v>
      </c>
      <c r="F22" s="5" t="n">
        <v>0.8</v>
      </c>
      <c r="G22" s="5" t="n"/>
      <c r="H22" s="5" t="n"/>
      <c r="I22" s="5" t="n">
        <v>405</v>
      </c>
    </row>
    <row r="23">
      <c r="A23" s="5" t="inlineStr">
        <is>
          <t>At 1 January 2014 (FY2014 opening, restated, Group basis)</t>
        </is>
      </c>
      <c r="B23" s="5" t="n">
        <v>0</v>
      </c>
      <c r="C23" s="5" t="n">
        <v>530</v>
      </c>
      <c r="D23" s="5" t="n">
        <v>-123</v>
      </c>
      <c r="E23" s="5" t="n">
        <v>-8</v>
      </c>
      <c r="F23" s="5" t="n">
        <v>1</v>
      </c>
      <c r="G23" s="5" t="n"/>
      <c r="H23" s="5" t="n"/>
      <c r="I23" s="5" t="n">
        <v>401</v>
      </c>
    </row>
    <row r="24">
      <c r="A24" s="6" t="inlineStr">
        <is>
          <t>Loss for the year</t>
        </is>
      </c>
      <c r="B24" s="6" t="n"/>
      <c r="C24" s="6" t="n"/>
      <c r="D24" s="6" t="n">
        <v>-41</v>
      </c>
      <c r="E24" s="6" t="n"/>
      <c r="F24" s="6" t="n"/>
      <c r="G24" s="6" t="n"/>
      <c r="H24" s="6" t="n"/>
      <c r="I24" s="6" t="n">
        <v>-41</v>
      </c>
    </row>
    <row r="25">
      <c r="A25" s="6" t="inlineStr">
        <is>
          <t>Other comprehensive income relating to available-for-sale investments, net of tax</t>
        </is>
      </c>
      <c r="B25" s="6" t="n"/>
      <c r="C25" s="6" t="n"/>
      <c r="D25" s="6" t="n"/>
      <c r="E25" s="6" t="n">
        <v>3</v>
      </c>
      <c r="F25" s="6" t="n"/>
      <c r="G25" s="6" t="n"/>
      <c r="H25" s="6" t="n"/>
      <c r="I25" s="6" t="n">
        <v>3</v>
      </c>
    </row>
    <row r="26">
      <c r="A26" s="6" t="inlineStr">
        <is>
          <t>Share issue</t>
        </is>
      </c>
      <c r="B26" s="6" t="n"/>
      <c r="C26" s="6" t="n">
        <v>99</v>
      </c>
      <c r="D26" s="6" t="n"/>
      <c r="E26" s="6" t="n"/>
      <c r="F26" s="6" t="n"/>
      <c r="G26" s="6" t="n"/>
      <c r="H26" s="6" t="n"/>
      <c r="I26" s="6" t="n">
        <v>99</v>
      </c>
    </row>
    <row r="27">
      <c r="A27" s="6" t="inlineStr">
        <is>
          <t>Share options at fair value</t>
        </is>
      </c>
      <c r="B27" s="6" t="n"/>
      <c r="C27" s="6" t="n"/>
      <c r="D27" s="6" t="n"/>
      <c r="E27" s="6" t="n"/>
      <c r="F27" s="6" t="n">
        <v>1</v>
      </c>
      <c r="G27" s="6" t="n"/>
      <c r="H27" s="6" t="n"/>
      <c r="I27" s="6" t="n">
        <v>1</v>
      </c>
    </row>
    <row r="28">
      <c r="A28" s="5" t="inlineStr">
        <is>
          <t>At 31 December 2014 (FY2014 closing, restated)</t>
        </is>
      </c>
      <c r="B28" s="5" t="n">
        <v>0</v>
      </c>
      <c r="C28" s="5" t="n">
        <v>629</v>
      </c>
      <c r="D28" s="5" t="n">
        <v>-164</v>
      </c>
      <c r="E28" s="5" t="n">
        <v>-4</v>
      </c>
      <c r="F28" s="5" t="n">
        <v>2</v>
      </c>
      <c r="G28" s="5" t="n"/>
      <c r="H28" s="5" t="n"/>
      <c r="I28" s="5" t="n">
        <v>462</v>
      </c>
    </row>
    <row r="29">
      <c r="A29" s="6" t="inlineStr">
        <is>
          <t>Loss for the year</t>
        </is>
      </c>
      <c r="B29" s="6" t="n"/>
      <c r="C29" s="6" t="n"/>
      <c r="D29" s="6" t="n">
        <v>-49</v>
      </c>
      <c r="E29" s="6" t="n"/>
      <c r="F29" s="6" t="n"/>
      <c r="G29" s="6" t="n"/>
      <c r="H29" s="6" t="n"/>
      <c r="I29" s="6" t="n">
        <v>-49</v>
      </c>
    </row>
    <row r="30">
      <c r="A30" s="6" t="inlineStr">
        <is>
          <t>Other comprehensive expense relating to available-for-sale investments, net of tax</t>
        </is>
      </c>
      <c r="B30" s="6" t="n"/>
      <c r="C30" s="6" t="n"/>
      <c r="D30" s="6" t="n"/>
      <c r="E30" s="6" t="n">
        <v>-8</v>
      </c>
      <c r="F30" s="6" t="n"/>
      <c r="G30" s="6" t="n"/>
      <c r="H30" s="6" t="n"/>
      <c r="I30" s="6" t="n">
        <v>-8</v>
      </c>
    </row>
    <row r="31">
      <c r="A31" s="6" t="inlineStr">
        <is>
          <t>Share options at fair value</t>
        </is>
      </c>
      <c r="B31" s="6" t="n"/>
      <c r="C31" s="6" t="n"/>
      <c r="D31" s="6" t="n"/>
      <c r="E31" s="6" t="n"/>
      <c r="F31" s="6" t="n">
        <v>2</v>
      </c>
      <c r="G31" s="6" t="n"/>
      <c r="H31" s="6" t="n"/>
      <c r="I31" s="6" t="n">
        <v>2</v>
      </c>
    </row>
    <row r="32">
      <c r="A32" s="5" t="inlineStr">
        <is>
          <t>At 31 December 2015 (FY2015 closing)</t>
        </is>
      </c>
      <c r="B32" s="5" t="n">
        <v>0</v>
      </c>
      <c r="C32" s="5" t="n">
        <v>629</v>
      </c>
      <c r="D32" s="5" t="n">
        <v>-213</v>
      </c>
      <c r="E32" s="5" t="n">
        <v>-12</v>
      </c>
      <c r="F32" s="5" t="n">
        <v>3</v>
      </c>
      <c r="G32" s="5" t="n"/>
      <c r="H32" s="5" t="n"/>
      <c r="I32" s="5" t="n">
        <v>407</v>
      </c>
    </row>
    <row r="33">
      <c r="A33" s="6" t="inlineStr">
        <is>
          <t>Loss for the year</t>
        </is>
      </c>
      <c r="B33" s="6" t="n"/>
      <c r="C33" s="6" t="n"/>
      <c r="D33" s="6" t="n">
        <v>-17</v>
      </c>
      <c r="E33" s="6" t="n"/>
      <c r="F33" s="6" t="n"/>
      <c r="G33" s="6" t="n"/>
      <c r="H33" s="6" t="n"/>
      <c r="I33" s="6" t="n">
        <v>-17</v>
      </c>
    </row>
    <row r="34">
      <c r="A34" s="6" t="inlineStr">
        <is>
          <t>Other comprehensive income relating to available-for-sale investments, net of tax</t>
        </is>
      </c>
      <c r="B34" s="6" t="n"/>
      <c r="C34" s="6" t="n"/>
      <c r="D34" s="6" t="n"/>
      <c r="E34" s="6" t="n">
        <v>9</v>
      </c>
      <c r="F34" s="6" t="n"/>
      <c r="G34" s="6" t="n"/>
      <c r="H34" s="6" t="n"/>
      <c r="I34" s="6" t="n">
        <v>9</v>
      </c>
    </row>
    <row r="35">
      <c r="A35" s="6" t="inlineStr">
        <is>
          <t>Share issue</t>
        </is>
      </c>
      <c r="B35" s="6" t="n"/>
      <c r="C35" s="6" t="n">
        <v>404</v>
      </c>
      <c r="D35" s="6" t="n"/>
      <c r="E35" s="6" t="n"/>
      <c r="F35" s="6" t="n"/>
      <c r="G35" s="6" t="n"/>
      <c r="H35" s="6" t="n"/>
      <c r="I35" s="6" t="n">
        <v>404</v>
      </c>
    </row>
    <row r="36">
      <c r="A36" s="6" t="inlineStr">
        <is>
          <t>Cost of share issue</t>
        </is>
      </c>
      <c r="B36" s="6" t="n"/>
      <c r="C36" s="6" t="n">
        <v>-5</v>
      </c>
      <c r="D36" s="6" t="n"/>
      <c r="E36" s="6" t="n"/>
      <c r="F36" s="6" t="n"/>
      <c r="G36" s="6" t="n"/>
      <c r="H36" s="6" t="n"/>
      <c r="I36" s="6" t="n">
        <v>-5</v>
      </c>
    </row>
    <row r="37">
      <c r="A37" s="6" t="inlineStr">
        <is>
          <t>Share options at fair value</t>
        </is>
      </c>
      <c r="B37" s="6" t="n"/>
      <c r="C37" s="6" t="n"/>
      <c r="D37" s="6" t="n"/>
      <c r="E37" s="6" t="n"/>
      <c r="F37" s="6" t="n">
        <v>7</v>
      </c>
      <c r="G37" s="6" t="n"/>
      <c r="H37" s="6" t="n"/>
      <c r="I37" s="6" t="n">
        <v>7</v>
      </c>
    </row>
    <row r="38">
      <c r="A38" s="5" t="inlineStr">
        <is>
          <t>At 31 December 2016 (FY2016 closing)</t>
        </is>
      </c>
      <c r="B38" s="5" t="n">
        <v>0</v>
      </c>
      <c r="C38" s="5" t="n">
        <v>1028</v>
      </c>
      <c r="D38" s="5" t="n">
        <v>-230</v>
      </c>
      <c r="E38" s="5" t="n">
        <v>-3</v>
      </c>
      <c r="F38" s="5" t="n">
        <v>11</v>
      </c>
      <c r="G38" s="5" t="n"/>
      <c r="H38" s="5" t="n"/>
      <c r="I38" s="5" t="n">
        <v>805</v>
      </c>
    </row>
    <row r="39">
      <c r="A39" s="6" t="inlineStr">
        <is>
          <t>Profit for the year</t>
        </is>
      </c>
      <c r="B39" s="6" t="n"/>
      <c r="C39" s="6" t="n"/>
      <c r="D39" s="6" t="n">
        <v>11</v>
      </c>
      <c r="E39" s="6" t="n"/>
      <c r="F39" s="6" t="n"/>
      <c r="G39" s="6" t="n"/>
      <c r="H39" s="6" t="n"/>
      <c r="I39" s="6" t="n">
        <v>11</v>
      </c>
    </row>
    <row r="40">
      <c r="A40" s="6" t="inlineStr">
        <is>
          <t>Other comprehensive expense relating to available-for-sale investments, net of tax</t>
        </is>
      </c>
      <c r="B40" s="6" t="n"/>
      <c r="C40" s="6" t="n"/>
      <c r="D40" s="6" t="n"/>
      <c r="E40" s="6" t="n">
        <v>-1</v>
      </c>
      <c r="F40" s="6" t="n"/>
      <c r="G40" s="6" t="n"/>
      <c r="H40" s="6" t="n"/>
      <c r="I40" s="6" t="n">
        <v>-1</v>
      </c>
    </row>
    <row r="41">
      <c r="A41" s="6" t="inlineStr">
        <is>
          <t>Share issue</t>
        </is>
      </c>
      <c r="B41" s="6" t="n"/>
      <c r="C41" s="6" t="n">
        <v>279</v>
      </c>
      <c r="D41" s="6" t="n"/>
      <c r="E41" s="6" t="n"/>
      <c r="F41" s="6" t="n"/>
      <c r="G41" s="6" t="n"/>
      <c r="H41" s="6" t="n"/>
      <c r="I41" s="6" t="n">
        <v>279</v>
      </c>
    </row>
    <row r="42">
      <c r="A42" s="6" t="inlineStr">
        <is>
          <t>Cost of share issue</t>
        </is>
      </c>
      <c r="B42" s="6" t="n"/>
      <c r="C42" s="6" t="n">
        <v>-3</v>
      </c>
      <c r="D42" s="6" t="n"/>
      <c r="E42" s="6" t="n"/>
      <c r="F42" s="6" t="n"/>
      <c r="G42" s="6" t="n"/>
      <c r="H42" s="6" t="n"/>
      <c r="I42" s="6" t="n">
        <v>-3</v>
      </c>
    </row>
    <row r="43">
      <c r="A43" s="6" t="inlineStr">
        <is>
          <t>Net share option movements</t>
        </is>
      </c>
      <c r="B43" s="6" t="n"/>
      <c r="C43" s="6" t="n"/>
      <c r="D43" s="6" t="n"/>
      <c r="E43" s="6" t="n"/>
      <c r="F43" s="6" t="n">
        <v>6</v>
      </c>
      <c r="G43" s="6" t="n"/>
      <c r="H43" s="6" t="n"/>
      <c r="I43" s="6" t="n">
        <v>6</v>
      </c>
    </row>
    <row r="44">
      <c r="A44" s="5" t="inlineStr">
        <is>
          <t>At 31 December 2017 (FY2017 closing)</t>
        </is>
      </c>
      <c r="B44" s="5" t="n">
        <v>0</v>
      </c>
      <c r="C44" s="5" t="n">
        <v>1304</v>
      </c>
      <c r="D44" s="5" t="n">
        <v>-219</v>
      </c>
      <c r="E44" s="5" t="n">
        <v>-4</v>
      </c>
      <c r="F44" s="5" t="n">
        <v>16</v>
      </c>
      <c r="G44" s="5" t="n"/>
      <c r="H44" s="5" t="n"/>
      <c r="I44" s="5" t="n">
        <v>1096</v>
      </c>
    </row>
    <row r="45">
      <c r="A45" s="6" t="inlineStr">
        <is>
          <t>IFRS 9 transition adjustment, net of tax (AFS reserve replaced by FVOCI reserve)</t>
        </is>
      </c>
      <c r="B45" s="6" t="n"/>
      <c r="C45" s="6" t="n"/>
      <c r="D45" s="6" t="n">
        <v>-17</v>
      </c>
      <c r="E45" s="6" t="n">
        <v>5</v>
      </c>
      <c r="F45" s="6" t="n"/>
      <c r="G45" s="6" t="n"/>
      <c r="H45" s="6" t="n"/>
      <c r="I45" s="6" t="n">
        <v>-12</v>
      </c>
    </row>
    <row r="46">
      <c r="A46" s="6" t="inlineStr">
        <is>
          <t>Profit for the year</t>
        </is>
      </c>
      <c r="B46" s="6" t="n"/>
      <c r="C46" s="6" t="n"/>
      <c r="D46" s="6" t="n">
        <v>27</v>
      </c>
      <c r="E46" s="6" t="n"/>
      <c r="F46" s="6" t="n"/>
      <c r="G46" s="6" t="n"/>
      <c r="H46" s="6" t="n"/>
      <c r="I46" s="6" t="n">
        <v>27</v>
      </c>
    </row>
    <row r="47">
      <c r="A47" s="6" t="inlineStr">
        <is>
          <t>Other comprehensive expense relating to investment securities designated at FVOCI, net of tax</t>
        </is>
      </c>
      <c r="B47" s="6" t="n"/>
      <c r="C47" s="6" t="n"/>
      <c r="D47" s="6" t="n"/>
      <c r="E47" s="6" t="n">
        <v>-4</v>
      </c>
      <c r="F47" s="6" t="n"/>
      <c r="G47" s="6" t="n"/>
      <c r="H47" s="6" t="n"/>
      <c r="I47" s="6" t="n">
        <v>-4</v>
      </c>
    </row>
    <row r="48">
      <c r="A48" s="6" t="inlineStr">
        <is>
          <t>Shares issued</t>
        </is>
      </c>
      <c r="B48" s="6" t="n"/>
      <c r="C48" s="6" t="n">
        <v>304</v>
      </c>
      <c r="D48" s="6" t="n"/>
      <c r="E48" s="6" t="n"/>
      <c r="F48" s="6" t="n"/>
      <c r="G48" s="6" t="n"/>
      <c r="H48" s="6" t="n"/>
      <c r="I48" s="6" t="n">
        <v>304</v>
      </c>
    </row>
    <row r="49">
      <c r="A49" s="6" t="inlineStr">
        <is>
          <t>Cost of shares issued</t>
        </is>
      </c>
      <c r="B49" s="6" t="n"/>
      <c r="C49" s="6" t="n">
        <v>-3</v>
      </c>
      <c r="D49" s="6" t="n"/>
      <c r="E49" s="6" t="n"/>
      <c r="F49" s="6" t="n"/>
      <c r="G49" s="6" t="n"/>
      <c r="H49" s="6" t="n"/>
      <c r="I49" s="6" t="n">
        <v>-3</v>
      </c>
    </row>
    <row r="50">
      <c r="A50" s="6" t="inlineStr">
        <is>
          <t>Net share option movements</t>
        </is>
      </c>
      <c r="B50" s="6" t="n"/>
      <c r="C50" s="6" t="n"/>
      <c r="D50" s="6" t="n"/>
      <c r="E50" s="6" t="n"/>
      <c r="F50" s="6" t="n">
        <v>-6</v>
      </c>
      <c r="G50" s="6" t="n"/>
      <c r="H50" s="6" t="n"/>
      <c r="I50" s="6" t="n">
        <v>-6</v>
      </c>
    </row>
    <row r="51">
      <c r="A51" s="5" t="inlineStr">
        <is>
          <t>At 31 December 2018 (FY2018 closing)</t>
        </is>
      </c>
      <c r="B51" s="5" t="n">
        <v>0</v>
      </c>
      <c r="C51" s="5" t="n">
        <v>1605</v>
      </c>
      <c r="D51" s="5" t="n">
        <v>-209</v>
      </c>
      <c r="E51" s="5" t="n">
        <v>-3</v>
      </c>
      <c r="F51" s="5" t="n">
        <v>10</v>
      </c>
      <c r="G51" s="5" t="n"/>
      <c r="H51" s="5" t="n"/>
      <c r="I51" s="5" t="n">
        <v>1403</v>
      </c>
    </row>
    <row r="52">
      <c r="A52" s="6" t="inlineStr">
        <is>
          <t>Loss for the year</t>
        </is>
      </c>
      <c r="B52" s="6" t="n"/>
      <c r="C52" s="6" t="n"/>
      <c r="D52" s="6" t="n">
        <v>-183</v>
      </c>
      <c r="E52" s="6" t="n"/>
      <c r="F52" s="6" t="n"/>
      <c r="G52" s="6" t="n"/>
      <c r="H52" s="6" t="n"/>
      <c r="I52" s="6" t="n">
        <v>-183</v>
      </c>
    </row>
    <row r="53">
      <c r="A53" s="6" t="inlineStr">
        <is>
          <t>Shares issued</t>
        </is>
      </c>
      <c r="B53" s="6" t="n"/>
      <c r="C53" s="6" t="n">
        <v>375</v>
      </c>
      <c r="D53" s="6" t="n"/>
      <c r="E53" s="6" t="n"/>
      <c r="F53" s="6" t="n"/>
      <c r="G53" s="6" t="n"/>
      <c r="H53" s="6" t="n"/>
      <c r="I53" s="6" t="n">
        <v>375</v>
      </c>
    </row>
    <row r="54">
      <c r="A54" s="6" t="inlineStr">
        <is>
          <t>Cost of shares issued</t>
        </is>
      </c>
      <c r="B54" s="6" t="n"/>
      <c r="C54" s="6" t="n">
        <v>-16</v>
      </c>
      <c r="D54" s="6" t="n"/>
      <c r="E54" s="6" t="n"/>
      <c r="F54" s="6" t="n"/>
      <c r="G54" s="6" t="n"/>
      <c r="H54" s="6" t="n"/>
      <c r="I54" s="6" t="n">
        <v>-16</v>
      </c>
    </row>
    <row r="55">
      <c r="A55" s="6" t="inlineStr">
        <is>
          <t>Net share option movements</t>
        </is>
      </c>
      <c r="B55" s="6" t="n"/>
      <c r="C55" s="6" t="n"/>
      <c r="D55" s="6" t="n"/>
      <c r="E55" s="6" t="n"/>
      <c r="F55" s="6" t="n">
        <v>4</v>
      </c>
      <c r="G55" s="6" t="n"/>
      <c r="H55" s="6" t="n"/>
      <c r="I55" s="6" t="n">
        <v>4</v>
      </c>
    </row>
    <row r="56">
      <c r="A56" s="5" t="inlineStr">
        <is>
          <t>At 31 December 2019 (FY2019 closing)</t>
        </is>
      </c>
      <c r="B56" s="5" t="n">
        <v>0</v>
      </c>
      <c r="C56" s="5" t="n">
        <v>1964</v>
      </c>
      <c r="D56" s="5" t="n">
        <v>-392</v>
      </c>
      <c r="E56" s="5" t="n">
        <v>-3</v>
      </c>
      <c r="F56" s="5" t="n">
        <v>14</v>
      </c>
      <c r="G56" s="5" t="n"/>
      <c r="H56" s="5" t="n"/>
      <c r="I56" s="5" t="n">
        <v>1583</v>
      </c>
    </row>
    <row r="57">
      <c r="A57" s="6" t="inlineStr">
        <is>
          <t>Loss for the year</t>
        </is>
      </c>
      <c r="B57" s="6" t="n"/>
      <c r="C57" s="6" t="n"/>
      <c r="D57" s="6" t="n">
        <v>-302</v>
      </c>
      <c r="E57" s="6" t="n"/>
      <c r="F57" s="6" t="n"/>
      <c r="G57" s="6" t="n"/>
      <c r="H57" s="6" t="n"/>
      <c r="I57" s="6" t="n">
        <v>-302</v>
      </c>
    </row>
    <row r="58">
      <c r="A58" s="6" t="inlineStr">
        <is>
          <t>Other comprehensive income relating to investment securities designated at FVOCI, net of tax</t>
        </is>
      </c>
      <c r="B58" s="6" t="n"/>
      <c r="C58" s="6" t="n"/>
      <c r="D58" s="6" t="n"/>
      <c r="E58" s="6" t="n">
        <v>6</v>
      </c>
      <c r="F58" s="6" t="n"/>
      <c r="G58" s="6" t="n"/>
      <c r="H58" s="6" t="n"/>
      <c r="I58" s="6" t="n">
        <v>6</v>
      </c>
    </row>
    <row r="59">
      <c r="A59" s="6" t="inlineStr">
        <is>
          <t>Net share option movements</t>
        </is>
      </c>
      <c r="B59" s="6" t="n"/>
      <c r="C59" s="6" t="n"/>
      <c r="D59" s="6" t="n"/>
      <c r="E59" s="6" t="n"/>
      <c r="F59" s="6" t="n">
        <v>2</v>
      </c>
      <c r="G59" s="6" t="n"/>
      <c r="H59" s="6" t="n"/>
      <c r="I59" s="6" t="n">
        <v>2</v>
      </c>
    </row>
    <row r="60">
      <c r="A60" s="5" t="inlineStr">
        <is>
          <t>At 31 December 2020 (FY2020 closing, Group basis)</t>
        </is>
      </c>
      <c r="B60" s="5" t="n">
        <v>0</v>
      </c>
      <c r="C60" s="5" t="n">
        <v>1964</v>
      </c>
      <c r="D60" s="5" t="n">
        <v>-694</v>
      </c>
      <c r="E60" s="5" t="n">
        <v>3</v>
      </c>
      <c r="F60" s="5" t="n">
        <v>16</v>
      </c>
      <c r="G60" s="5" t="n"/>
      <c r="H60" s="5" t="n"/>
      <c r="I60" s="5" t="n">
        <v>1289</v>
      </c>
    </row>
    <row r="61">
      <c r="A61" s="5" t="inlineStr">
        <is>
          <t>At 1 January 2021 (FY2021 opening)</t>
        </is>
      </c>
      <c r="B61" s="5" t="n">
        <v>0</v>
      </c>
      <c r="C61" s="5" t="n">
        <v>1964</v>
      </c>
      <c r="D61" s="5" t="n">
        <v>-689</v>
      </c>
      <c r="E61" s="5" t="n">
        <v>3</v>
      </c>
      <c r="F61" s="5" t="n">
        <v>16</v>
      </c>
      <c r="G61" s="5" t="n"/>
      <c r="H61" s="5" t="n"/>
      <c r="I61" s="5" t="n">
        <v>1294</v>
      </c>
    </row>
    <row r="62">
      <c r="A62" s="6" t="inlineStr">
        <is>
          <t>Loss for the year</t>
        </is>
      </c>
      <c r="B62" s="6" t="n"/>
      <c r="C62" s="6" t="n"/>
      <c r="D62" s="6" t="n">
        <v>-252</v>
      </c>
      <c r="E62" s="6" t="n"/>
      <c r="F62" s="6" t="n"/>
      <c r="G62" s="6" t="n"/>
      <c r="H62" s="6" t="n"/>
      <c r="I62" s="6" t="n">
        <v>-252</v>
      </c>
    </row>
    <row r="63">
      <c r="A63" s="6" t="inlineStr">
        <is>
          <t>Other comprehensive expense relating to investment securities designated at FVOCI, net of tax</t>
        </is>
      </c>
      <c r="B63" s="6" t="n"/>
      <c r="C63" s="6" t="n"/>
      <c r="D63" s="6" t="n"/>
      <c r="E63" s="6" t="n">
        <v>-8</v>
      </c>
      <c r="F63" s="6" t="n"/>
      <c r="G63" s="6" t="n"/>
      <c r="H63" s="6" t="n"/>
      <c r="I63" s="6" t="n">
        <v>-8</v>
      </c>
    </row>
    <row r="64">
      <c r="A64" s="6" t="inlineStr">
        <is>
          <t>Net share option movements</t>
        </is>
      </c>
      <c r="B64" s="6" t="n"/>
      <c r="C64" s="6" t="n"/>
      <c r="D64" s="6" t="n"/>
      <c r="E64" s="6" t="n"/>
      <c r="F64" s="6" t="n">
        <v>2</v>
      </c>
      <c r="G64" s="6" t="n"/>
      <c r="H64" s="6" t="n"/>
      <c r="I64" s="6" t="n">
        <v>2</v>
      </c>
    </row>
    <row r="65">
      <c r="A65" s="5" t="inlineStr">
        <is>
          <t>At 31 December 2021 (FY2021 closing)</t>
        </is>
      </c>
      <c r="B65" s="5" t="n">
        <v>0</v>
      </c>
      <c r="C65" s="5" t="n">
        <v>1964</v>
      </c>
      <c r="D65" s="5" t="n">
        <v>-941</v>
      </c>
      <c r="E65" s="5" t="n">
        <v>-5</v>
      </c>
      <c r="F65" s="5" t="n">
        <v>18</v>
      </c>
      <c r="G65" s="5" t="n"/>
      <c r="H65" s="5" t="n"/>
      <c r="I65" s="5" t="n">
        <v>1036</v>
      </c>
    </row>
    <row r="66">
      <c r="A66" s="6" t="inlineStr">
        <is>
          <t>Loss for the year</t>
        </is>
      </c>
      <c r="B66" s="6" t="n"/>
      <c r="C66" s="6" t="n"/>
      <c r="D66" s="6" t="n">
        <v>-73</v>
      </c>
      <c r="E66" s="6" t="n"/>
      <c r="F66" s="6" t="n"/>
      <c r="G66" s="6" t="n"/>
      <c r="H66" s="6" t="n"/>
      <c r="I66" s="6" t="n">
        <v>-73</v>
      </c>
    </row>
    <row r="67">
      <c r="A67" s="6" t="inlineStr">
        <is>
          <t>Other comprehensive expense relating to investment securities designated at FVOCI, net of tax</t>
        </is>
      </c>
      <c r="B67" s="6" t="n"/>
      <c r="C67" s="6" t="n"/>
      <c r="D67" s="6" t="n"/>
      <c r="E67" s="6" t="n">
        <v>-8</v>
      </c>
      <c r="F67" s="6" t="n"/>
      <c r="G67" s="6" t="n"/>
      <c r="H67" s="6" t="n"/>
      <c r="I67" s="6" t="n">
        <v>-8</v>
      </c>
    </row>
    <row r="68">
      <c r="A68" s="6" t="inlineStr">
        <is>
          <t>Net share option movements</t>
        </is>
      </c>
      <c r="B68" s="6" t="n"/>
      <c r="C68" s="6" t="n"/>
      <c r="D68" s="6" t="n"/>
      <c r="E68" s="6" t="n"/>
      <c r="F68" s="6" t="n">
        <v>2</v>
      </c>
      <c r="G68" s="6" t="n"/>
      <c r="H68" s="6" t="n"/>
      <c r="I68" s="6" t="n">
        <v>2</v>
      </c>
    </row>
    <row r="69">
      <c r="A69" s="5" t="inlineStr">
        <is>
          <t>At 31 December 2022 (FY2022 closing)</t>
        </is>
      </c>
      <c r="B69" s="5" t="n">
        <v>0</v>
      </c>
      <c r="C69" s="5" t="n">
        <v>1964</v>
      </c>
      <c r="D69" s="5" t="n">
        <v>-1014</v>
      </c>
      <c r="E69" s="5" t="n">
        <v>-13</v>
      </c>
      <c r="F69" s="5" t="n">
        <v>20</v>
      </c>
      <c r="G69" s="5" t="n"/>
      <c r="H69" s="5" t="n"/>
      <c r="I69" s="5" t="n">
        <v>957</v>
      </c>
    </row>
    <row r="70">
      <c r="A70" s="6" t="inlineStr">
        <is>
          <t>Profit for the year</t>
        </is>
      </c>
      <c r="B70" s="6" t="n"/>
      <c r="C70" s="6" t="n"/>
      <c r="D70" s="6" t="n">
        <v>46</v>
      </c>
      <c r="E70" s="6" t="n"/>
      <c r="F70" s="6" t="n"/>
      <c r="G70" s="6" t="n"/>
      <c r="H70" s="6" t="n"/>
      <c r="I70" s="6" t="n">
        <v>46</v>
      </c>
    </row>
    <row r="71">
      <c r="A71" s="6" t="inlineStr">
        <is>
          <t>Other comprehensive income relating to investment securities designated at FVOCI, net of tax</t>
        </is>
      </c>
      <c r="B71" s="6" t="n"/>
      <c r="C71" s="6" t="n"/>
      <c r="D71" s="6" t="n"/>
      <c r="E71" s="6" t="n">
        <v>2</v>
      </c>
      <c r="F71" s="6" t="n"/>
      <c r="G71" s="6" t="n"/>
      <c r="H71" s="6" t="n"/>
      <c r="I71" s="6" t="n">
        <v>2</v>
      </c>
    </row>
    <row r="72">
      <c r="A72" s="6" t="inlineStr">
        <is>
          <t>Net share option movements</t>
        </is>
      </c>
      <c r="B72" s="6" t="n"/>
      <c r="C72" s="6" t="n"/>
      <c r="D72" s="6" t="n"/>
      <c r="E72" s="6" t="n"/>
      <c r="F72" s="6" t="n">
        <v>3</v>
      </c>
      <c r="G72" s="6" t="n"/>
      <c r="H72" s="6" t="n"/>
      <c r="I72" s="6" t="n">
        <v>3</v>
      </c>
    </row>
    <row r="73">
      <c r="A73" s="6" t="inlineStr">
        <is>
          <t>Transfer of share option reserve upon insertion of new holding company</t>
        </is>
      </c>
      <c r="B73" s="6" t="n"/>
      <c r="C73" s="6" t="n"/>
      <c r="D73" s="6" t="n"/>
      <c r="E73" s="6" t="n"/>
      <c r="F73" s="6" t="n">
        <v>-23</v>
      </c>
      <c r="G73" s="6" t="n">
        <v>23</v>
      </c>
      <c r="H73" s="6" t="n"/>
      <c r="I73" s="6" t="n">
        <v>0</v>
      </c>
    </row>
    <row r="74">
      <c r="A74" s="6" t="inlineStr">
        <is>
          <t>Cancellation of Metro Bank PLC share capital and share premium</t>
        </is>
      </c>
      <c r="B74" s="6" t="n"/>
      <c r="C74" s="6" t="n">
        <v>-1964</v>
      </c>
      <c r="D74" s="6" t="n">
        <v>1964</v>
      </c>
      <c r="E74" s="6" t="n"/>
      <c r="F74" s="6" t="n"/>
      <c r="G74" s="6" t="n"/>
      <c r="H74" s="6" t="n"/>
      <c r="I74" s="6" t="n">
        <v>0</v>
      </c>
    </row>
    <row r="75">
      <c r="A75" s="6" t="inlineStr">
        <is>
          <t>Shares issued</t>
        </is>
      </c>
      <c r="B75" s="6" t="n"/>
      <c r="C75" s="6" t="n">
        <v>144</v>
      </c>
      <c r="D75" s="6" t="n"/>
      <c r="E75" s="6" t="n"/>
      <c r="F75" s="6" t="n"/>
      <c r="G75" s="6" t="n"/>
      <c r="H75" s="6" t="n"/>
      <c r="I75" s="6" t="n">
        <v>144</v>
      </c>
    </row>
    <row r="76">
      <c r="A76" s="5" t="inlineStr">
        <is>
          <t>At 31 December 2023 (FY2023 closing)</t>
        </is>
      </c>
      <c r="B76" s="5" t="n">
        <v>0</v>
      </c>
      <c r="C76" s="5" t="n">
        <v>144</v>
      </c>
      <c r="D76" s="5" t="n">
        <v>996</v>
      </c>
      <c r="E76" s="5" t="n">
        <v>-11</v>
      </c>
      <c r="F76" s="5" t="n">
        <v>0</v>
      </c>
      <c r="G76" s="5" t="n">
        <v>23</v>
      </c>
      <c r="H76" s="5" t="n"/>
      <c r="I76" s="5" t="n">
        <v>1152</v>
      </c>
    </row>
    <row r="77">
      <c r="A77" s="6" t="inlineStr">
        <is>
          <t>Profit for the year</t>
        </is>
      </c>
      <c r="B77" s="6" t="n"/>
      <c r="C77" s="6" t="n"/>
      <c r="D77" s="6" t="n">
        <v>44</v>
      </c>
      <c r="E77" s="6" t="n"/>
      <c r="F77" s="6" t="n"/>
      <c r="G77" s="6" t="n"/>
      <c r="H77" s="6" t="n"/>
      <c r="I77" s="6" t="n">
        <v>44</v>
      </c>
    </row>
    <row r="78">
      <c r="A78" s="6" t="inlineStr">
        <is>
          <t>Other comprehensive income relating to investment securities designated at FVOCI, net of tax</t>
        </is>
      </c>
      <c r="B78" s="6" t="n"/>
      <c r="C78" s="6" t="n"/>
      <c r="D78" s="6" t="n"/>
      <c r="E78" s="6" t="n">
        <v>4</v>
      </c>
      <c r="F78" s="6" t="n"/>
      <c r="G78" s="6" t="n"/>
      <c r="H78" s="6" t="n"/>
      <c r="I78" s="6" t="n">
        <v>4</v>
      </c>
    </row>
    <row r="79">
      <c r="A79" s="6" t="inlineStr">
        <is>
          <t>Equity-settled share-based payment charges</t>
        </is>
      </c>
      <c r="B79" s="6" t="n"/>
      <c r="C79" s="6" t="n"/>
      <c r="D79" s="6" t="n"/>
      <c r="E79" s="6" t="n"/>
      <c r="F79" s="6" t="n"/>
      <c r="G79" s="6" t="n">
        <v>2</v>
      </c>
      <c r="H79" s="6" t="n"/>
      <c r="I79" s="6" t="n">
        <v>2</v>
      </c>
    </row>
    <row r="80">
      <c r="A80" s="5" t="inlineStr">
        <is>
          <t>At 31 December 2024 (FY2024 closing)</t>
        </is>
      </c>
      <c r="B80" s="5" t="n">
        <v>0</v>
      </c>
      <c r="C80" s="5" t="n">
        <v>144</v>
      </c>
      <c r="D80" s="5" t="n">
        <v>1040</v>
      </c>
      <c r="E80" s="5" t="n">
        <v>-7</v>
      </c>
      <c r="F80" s="5" t="n">
        <v>0</v>
      </c>
      <c r="G80" s="5" t="n">
        <v>25</v>
      </c>
      <c r="H80" s="5" t="n"/>
      <c r="I80" s="5" t="n">
        <v>1202</v>
      </c>
    </row>
    <row r="81">
      <c r="A81" s="6" t="inlineStr">
        <is>
          <t>Profit for the year</t>
        </is>
      </c>
      <c r="B81" s="6" t="n"/>
      <c r="C81" s="6" t="n"/>
      <c r="D81" s="6" t="n">
        <v>55</v>
      </c>
      <c r="E81" s="6" t="n"/>
      <c r="F81" s="6" t="n"/>
      <c r="G81" s="6" t="n"/>
      <c r="H81" s="6" t="n">
        <v>17</v>
      </c>
      <c r="I81" s="6" t="n">
        <v>72</v>
      </c>
    </row>
    <row r="82">
      <c r="A82" s="6" t="inlineStr">
        <is>
          <t>Other comprehensive income relating to investment securities designated at FVOCI, net of tax</t>
        </is>
      </c>
      <c r="B82" s="6" t="n"/>
      <c r="C82" s="6" t="n"/>
      <c r="D82" s="6" t="n"/>
      <c r="E82" s="6" t="n">
        <v>4</v>
      </c>
      <c r="F82" s="6" t="n"/>
      <c r="G82" s="6" t="n"/>
      <c r="H82" s="6" t="n"/>
      <c r="I82" s="6" t="n">
        <v>4</v>
      </c>
    </row>
    <row r="83">
      <c r="A83" s="6" t="inlineStr">
        <is>
          <t>Issuance of other equity instruments</t>
        </is>
      </c>
      <c r="B83" s="6" t="n"/>
      <c r="C83" s="6" t="n"/>
      <c r="D83" s="6" t="n"/>
      <c r="E83" s="6" t="n"/>
      <c r="F83" s="6" t="n"/>
      <c r="G83" s="6" t="n"/>
      <c r="H83" s="6" t="n">
        <v>250</v>
      </c>
      <c r="I83" s="6" t="n">
        <v>250</v>
      </c>
    </row>
    <row r="84">
      <c r="A84" s="6" t="inlineStr">
        <is>
          <t>Equity-settled share-based payment charges</t>
        </is>
      </c>
      <c r="B84" s="6" t="n"/>
      <c r="C84" s="6" t="n"/>
      <c r="D84" s="6" t="n"/>
      <c r="E84" s="6" t="n"/>
      <c r="F84" s="6" t="n"/>
      <c r="G84" s="6" t="n">
        <v>3</v>
      </c>
      <c r="H84" s="6" t="n"/>
      <c r="I84" s="6" t="n">
        <v>3</v>
      </c>
    </row>
    <row r="85">
      <c r="A85" s="6" t="inlineStr">
        <is>
          <t>Distributions on other equity instruments</t>
        </is>
      </c>
      <c r="B85" s="6" t="n"/>
      <c r="C85" s="6" t="n"/>
      <c r="D85" s="6" t="n"/>
      <c r="E85" s="6" t="n"/>
      <c r="F85" s="6" t="n"/>
      <c r="G85" s="6" t="n"/>
      <c r="H85" s="6" t="n">
        <v>-17</v>
      </c>
      <c r="I85" s="6" t="n">
        <v>-17</v>
      </c>
    </row>
    <row r="86">
      <c r="A86" s="6" t="inlineStr">
        <is>
          <t>Other movements in share option charges</t>
        </is>
      </c>
      <c r="B86" s="6" t="n"/>
      <c r="C86" s="6" t="n"/>
      <c r="D86" s="6" t="n">
        <v>1</v>
      </c>
      <c r="E86" s="6" t="n"/>
      <c r="F86" s="6" t="n"/>
      <c r="G86" s="6" t="n">
        <v>-2</v>
      </c>
      <c r="H86" s="6" t="n"/>
      <c r="I86" s="6" t="n">
        <v>-1</v>
      </c>
    </row>
    <row r="87">
      <c r="A87" s="5" t="inlineStr">
        <is>
          <t>At 31 December 2025 (FY2025 closing)</t>
        </is>
      </c>
      <c r="B87" s="5" t="n">
        <v>0</v>
      </c>
      <c r="C87" s="5" t="n">
        <v>144</v>
      </c>
      <c r="D87" s="5" t="n">
        <v>1096</v>
      </c>
      <c r="E87" s="5" t="n">
        <v>-3</v>
      </c>
      <c r="F87" s="5" t="n">
        <v>0</v>
      </c>
      <c r="G87" s="5" t="n">
        <v>26</v>
      </c>
      <c r="H87" s="5" t="n">
        <v>250</v>
      </c>
      <c r="I87" s="5" t="n">
        <v>1513</v>
      </c>
    </row>
    <row r="89" ht="377" customHeight="1">
      <c r="A89"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t>
        </is>
      </c>
    </row>
    <row r="91" ht="377" customHeight="1">
      <c r="A91" s="8" t="inlineStr">
        <is>
          <t>(continued)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t>
        </is>
      </c>
    </row>
    <row r="93" ht="364" customHeight="1">
      <c r="A93" s="8" t="inlineStr">
        <is>
          <t>(continued)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row r="95" ht="150" customHeight="1">
      <c r="A95" s="8" t="inlineStr">
        <is>
          <t>(continued)
FY2024/FY2025 SOURCE-QUALITY NOTE: Metro Bank PLC's FY2025 Companies House filing (06419578) is a scanned image PDF with no text layer, so its Company statement of changes in equity (printed p.154) was read from rendered page images. Two cells were read inconsistently across two independent renderings - FY2025 profit for the year attributable to ordinary shareholders, and the retained-earnings element of total comprehensive income. Both were settled against figures that do not depend on that page at all: retained earnings of 1,040 opening + 55 + 1 = 1,096 closing, the closing figure being independently printed on the Company balance sheet (p.153), and 55 + 17 attributable to other equity holders = the 72 total. Every other column ties the same way (deemed capital contribution 25 + 3 - 2 = 26; FVOCI (7) + 4 = (3); other equity instruments 17 + 250 - 17 = 250), so the block is arithmetically closed on its own closing balances rather than on the image read alone.</t>
        </is>
      </c>
    </row>
  </sheetData>
  <mergeCells count="4">
    <mergeCell ref="A93:I93"/>
    <mergeCell ref="A95:I95"/>
    <mergeCell ref="A89:I89"/>
    <mergeCell ref="A91:I9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are Company/standalone figures from Metro Bank PLC's statutory accounts.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v>94</v>
      </c>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v>-401</v>
      </c>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v>748</v>
      </c>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v>-319</v>
      </c>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v>96</v>
      </c>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v>-1323</v>
      </c>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v>-1105</v>
      </c>
      <c r="C21" s="5" t="n">
        <v>-1383</v>
      </c>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v>1154</v>
      </c>
      <c r="C23" s="6" t="n">
        <v>1017</v>
      </c>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v>-816</v>
      </c>
      <c r="C24" s="6" t="n">
        <v>-630</v>
      </c>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v>-34</v>
      </c>
      <c r="C25" s="6" t="n">
        <v>-41</v>
      </c>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v>-48</v>
      </c>
      <c r="C27" s="6" t="n">
        <v>-19</v>
      </c>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v>256</v>
      </c>
      <c r="C30" s="5" t="n">
        <v>327</v>
      </c>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v>-19</v>
      </c>
      <c r="C33" s="6" t="n">
        <v>-22</v>
      </c>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shares and other equity instruments</t>
        </is>
      </c>
      <c r="B36" s="6" t="n">
        <v>250</v>
      </c>
      <c r="C36" s="6" t="inlineStr">
        <is>
          <t>-</t>
        </is>
      </c>
      <c r="D36" s="6" t="n"/>
      <c r="E36" s="6" t="n"/>
      <c r="F36" s="6" t="n"/>
      <c r="G36" s="6" t="n"/>
      <c r="H36" s="6" t="n"/>
      <c r="I36" s="6" t="n"/>
      <c r="J36" s="6" t="n"/>
      <c r="K36" s="6" t="n"/>
      <c r="L36" s="6" t="n"/>
      <c r="M36" s="6" t="n"/>
      <c r="N36" s="6" t="n"/>
      <c r="O36" s="6" t="n"/>
      <c r="P36" s="6" t="n"/>
      <c r="Q36" s="6" t="n"/>
    </row>
    <row r="37">
      <c r="A37" s="6" t="inlineStr">
        <is>
          <t>Distributions on other equity instruments</t>
        </is>
      </c>
      <c r="B37" s="6" t="n">
        <v>-17</v>
      </c>
      <c r="C37" s="6" t="inlineStr">
        <is>
          <t>-</t>
        </is>
      </c>
      <c r="D37" s="6" t="n"/>
      <c r="E37" s="6" t="n"/>
      <c r="F37" s="6" t="n"/>
      <c r="G37" s="6" t="n"/>
      <c r="H37" s="6" t="n"/>
      <c r="I37" s="6" t="n"/>
      <c r="J37" s="6" t="n"/>
      <c r="K37" s="6" t="n"/>
      <c r="L37" s="6" t="n"/>
      <c r="M37" s="6" t="n"/>
      <c r="N37" s="6" t="n"/>
      <c r="O37" s="6" t="n"/>
      <c r="P37" s="6" t="n"/>
      <c r="Q37" s="6" t="n"/>
    </row>
    <row r="38">
      <c r="A38" s="6" t="inlineStr">
        <is>
          <t>Issuance of medium-term notes/subordinated debt (net of costs)</t>
        </is>
      </c>
      <c r="B38" s="6" t="n"/>
      <c r="C38" s="6" t="n"/>
      <c r="D38" s="6" t="n">
        <v>175</v>
      </c>
      <c r="E38" s="6" t="n"/>
      <c r="F38" s="6" t="n"/>
      <c r="G38" s="6" t="n"/>
      <c r="H38" s="6" t="n">
        <v>350</v>
      </c>
      <c r="I38" s="6" t="n">
        <v>250</v>
      </c>
      <c r="J38" s="6" t="n"/>
      <c r="K38" s="6" t="n"/>
      <c r="L38" s="6" t="n"/>
      <c r="M38" s="6" t="n"/>
      <c r="N38" s="6" t="n"/>
      <c r="O38" s="6" t="n"/>
      <c r="P38" s="6" t="n"/>
      <c r="Q38" s="6" t="n"/>
    </row>
    <row r="39">
      <c r="A39" s="6" t="inlineStr">
        <is>
          <t>Cost of debt issued</t>
        </is>
      </c>
      <c r="B39" s="6" t="n"/>
      <c r="C39" s="6" t="n"/>
      <c r="D39" s="6" t="n"/>
      <c r="E39" s="6" t="n"/>
      <c r="F39" s="6" t="n"/>
      <c r="G39" s="6" t="n"/>
      <c r="H39" s="6" t="n">
        <v>-8</v>
      </c>
      <c r="I39" s="6" t="n">
        <v>-1</v>
      </c>
      <c r="J39" s="6" t="n"/>
      <c r="K39" s="6" t="n"/>
      <c r="L39" s="6" t="n"/>
      <c r="M39" s="6" t="n"/>
      <c r="N39" s="6" t="n"/>
      <c r="O39" s="6" t="n"/>
      <c r="P39" s="6" t="n"/>
      <c r="Q39" s="6" t="n"/>
    </row>
    <row r="40">
      <c r="A40" s="6" t="inlineStr">
        <is>
          <t>Grant (repaid)/received</t>
        </is>
      </c>
      <c r="B40" s="6" t="n"/>
      <c r="C40" s="6" t="n"/>
      <c r="D40" s="6" t="n"/>
      <c r="E40" s="6" t="n"/>
      <c r="F40" s="6" t="n"/>
      <c r="G40" s="6" t="n">
        <v>-50</v>
      </c>
      <c r="H40" s="6" t="n">
        <v>120</v>
      </c>
      <c r="I40" s="6" t="n"/>
      <c r="J40" s="6" t="n"/>
      <c r="K40" s="6" t="n"/>
      <c r="L40" s="6" t="n"/>
      <c r="M40" s="6" t="n"/>
      <c r="N40" s="6" t="n"/>
      <c r="O40" s="6" t="n"/>
      <c r="P40" s="6" t="n"/>
      <c r="Q40" s="6" t="n"/>
    </row>
    <row r="41">
      <c r="A41" s="5" t="inlineStr">
        <is>
          <t>Net cash inflows/(outflows) from financing activities</t>
        </is>
      </c>
      <c r="B41" s="5" t="n">
        <v>214</v>
      </c>
      <c r="C41" s="5" t="n">
        <v>-22</v>
      </c>
      <c r="D41" s="5" t="n">
        <v>296</v>
      </c>
      <c r="E41" s="5" t="n">
        <v>-25</v>
      </c>
      <c r="F41" s="5" t="n">
        <v>-27</v>
      </c>
      <c r="G41" s="5" t="n">
        <v>-81</v>
      </c>
      <c r="H41" s="5" t="n">
        <v>796</v>
      </c>
      <c r="I41" s="5" t="n">
        <v>550</v>
      </c>
      <c r="J41" s="5" t="n">
        <v>276</v>
      </c>
      <c r="K41" s="5" t="n">
        <v>398</v>
      </c>
      <c r="L41" s="5" t="n">
        <v>0</v>
      </c>
      <c r="M41" s="5" t="n">
        <v>99</v>
      </c>
      <c r="N41" s="5" t="n">
        <v>284.3</v>
      </c>
      <c r="O41" s="5" t="n">
        <v>126</v>
      </c>
      <c r="P41" s="5" t="n">
        <v>0</v>
      </c>
      <c r="Q41" s="5" t="n">
        <v>120.1</v>
      </c>
    </row>
    <row r="42">
      <c r="A42" s="5" t="inlineStr">
        <is>
          <t>Net increase/(decrease) in cash and cash equivalents</t>
        </is>
      </c>
      <c r="B42" s="5" t="n">
        <v>-635</v>
      </c>
      <c r="C42" s="5" t="n">
        <v>-1078</v>
      </c>
      <c r="D42" s="5" t="n">
        <v>1936</v>
      </c>
      <c r="E42" s="5" t="n">
        <v>-1594</v>
      </c>
      <c r="F42" s="5" t="n">
        <v>573</v>
      </c>
      <c r="G42" s="5" t="n">
        <v>4</v>
      </c>
      <c r="H42" s="5" t="n">
        <v>517</v>
      </c>
      <c r="I42" s="5" t="n">
        <v>260</v>
      </c>
      <c r="J42" s="5" t="n">
        <v>1712</v>
      </c>
      <c r="K42" s="5" t="n">
        <v>218</v>
      </c>
      <c r="L42" s="5" t="n">
        <v>66</v>
      </c>
      <c r="M42" s="5" t="n">
        <v>-47</v>
      </c>
      <c r="N42" s="5" t="n">
        <v>189.1</v>
      </c>
      <c r="O42" s="5" t="n">
        <v>16.5</v>
      </c>
      <c r="P42" s="5" t="n">
        <v>4.7</v>
      </c>
      <c r="Q42" s="5" t="n">
        <v>51.6</v>
      </c>
    </row>
    <row r="43">
      <c r="A43" s="6" t="inlineStr">
        <is>
          <t>Cash and cash equivalents at start of year</t>
        </is>
      </c>
      <c r="B43" s="6" t="n">
        <v>2811</v>
      </c>
      <c r="C43" s="6" t="n">
        <v>3889</v>
      </c>
      <c r="D43" s="6" t="n">
        <v>1953</v>
      </c>
      <c r="E43" s="6" t="n">
        <v>3547</v>
      </c>
      <c r="F43" s="6" t="n">
        <v>2974</v>
      </c>
      <c r="G43" s="6" t="n">
        <v>2989</v>
      </c>
      <c r="H43" s="6" t="n">
        <v>2472</v>
      </c>
      <c r="I43" s="6" t="n">
        <v>2212</v>
      </c>
      <c r="J43" s="6" t="n">
        <v>500</v>
      </c>
      <c r="K43" s="6" t="n">
        <v>282</v>
      </c>
      <c r="L43" s="6" t="n">
        <v>216</v>
      </c>
      <c r="M43" s="6" t="n">
        <v>263</v>
      </c>
      <c r="N43" s="6" t="n">
        <v>74.09999999999999</v>
      </c>
      <c r="O43" s="6" t="n">
        <v>57.6</v>
      </c>
      <c r="P43" s="6" t="n">
        <v>52.9</v>
      </c>
      <c r="Q43" s="6" t="n">
        <v>1.3</v>
      </c>
    </row>
    <row r="44">
      <c r="A44" s="5" t="inlineStr">
        <is>
          <t>Cash and cash equivalents at end of year</t>
        </is>
      </c>
      <c r="B44" s="5" t="n">
        <v>2176</v>
      </c>
      <c r="C44" s="5" t="n">
        <v>2811</v>
      </c>
      <c r="D44" s="5" t="n">
        <v>3889</v>
      </c>
      <c r="E44" s="5" t="n">
        <v>1953</v>
      </c>
      <c r="F44" s="5" t="n">
        <v>3547</v>
      </c>
      <c r="G44" s="5" t="n">
        <v>2993</v>
      </c>
      <c r="H44" s="5" t="n">
        <v>2989</v>
      </c>
      <c r="I44" s="5" t="n">
        <v>2472</v>
      </c>
      <c r="J44" s="5" t="n">
        <v>2212</v>
      </c>
      <c r="K44" s="5" t="n">
        <v>500</v>
      </c>
      <c r="L44" s="5" t="n">
        <v>282</v>
      </c>
      <c r="M44" s="5" t="n">
        <v>216</v>
      </c>
      <c r="N44" s="5" t="n">
        <v>263.2</v>
      </c>
      <c r="O44" s="5" t="n">
        <v>74.09999999999999</v>
      </c>
      <c r="P44" s="5" t="n">
        <v>57.6</v>
      </c>
      <c r="Q44" s="5" t="n">
        <v>52.9</v>
      </c>
    </row>
    <row r="46" ht="390" customHeight="1">
      <c r="A46"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FY2025 &amp; FY2024: Metro Bank PLC Annual Report and Accounts 2025, Company cash flow statement, p.155 - https://find-and-update.company-information.service.gov.uk/company/06419578/filing-history/MzUzODAzNTg0NWFkaXF6a2N4/document?format=pdf&amp;download=0
FY2024: Metro Bank PLC Annual Report and Accounts 2024, Company cash flow statement, p.147 - https://find-and-update.company-information.service.gov.uk/company/06419578/filing-history/MzQ2NzY4OTg1OGFkaXF6a2N4/document?format=pdf&amp;download=0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t>
        </is>
      </c>
    </row>
    <row r="48" ht="260" customHeight="1">
      <c r="A48" s="8" t="inlineStr">
        <is>
          <t>(continued)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 SOURCE-QUALITY NOTE: the filed Company statement gives the exact net operating total (£1,383m), but the accessible text rendition dropped the six FY2024 operating-reconciliation component values. Those cells remain blank; no consolidated figures were substituted. The FY2024 investing, financing and cash reconciliation figures are directly reported and populated.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
FY2025 FINANCING ROWS: the FY2025 Company cash flow statement prints two rows no earlier edition carries - 'Issuance of shares and other equity instruments' (£250m) and 'Distributions on other equity instruments' (£17m outflow) - and both are reproduced here under the bank's own FY2025 captions rather than folded into the 'Issuance of new shares' row that earlier editions use for share issuances. FY2025's £250m is entirely the AT1 issuance: the Company statement of changes in equity shows nil issuance of shares under existing employee schemes that year. With these rows present the section foots as published: -19 + 250 - 17 = 214.</t>
        </is>
      </c>
    </row>
  </sheetData>
  <mergeCells count="2">
    <mergeCell ref="A46:Q46"/>
    <mergeCell ref="A48:Q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IAS 39 incurred-loss loan book and impairment allowance (FY2016-FY2015) - separate basis, NOT comparable with the IFRS 9 ECL rows above and NOT the same measure as the Basel II Pillar 3 provision rows below. Group basis, from Note 10 of the Annual Report and Accounts 2016 (printed pp.91-92), which prints Group 2016 and Group 2015 side by side</t>
        </is>
      </c>
      <c r="B28" s="6" t="n"/>
      <c r="C28" s="6" t="n"/>
      <c r="D28" s="6" t="n"/>
      <c r="E28" s="6" t="n"/>
      <c r="F28" s="6" t="n"/>
      <c r="G28" s="6" t="n"/>
      <c r="H28" s="6" t="n"/>
      <c r="I28" s="6" t="n"/>
      <c r="J28" s="6" t="n"/>
      <c r="K28" s="6" t="n"/>
      <c r="L28" s="6" t="n"/>
      <c r="M28" s="6" t="n"/>
      <c r="N28" s="6" t="n"/>
      <c r="O28" s="6" t="n"/>
      <c r="P28" s="6" t="n"/>
      <c r="Q28" s="6" t="n"/>
    </row>
    <row r="29">
      <c r="A29" s="6" t="inlineStr">
        <is>
          <t>Gross loans and advances to customers (IAS 39)</t>
        </is>
      </c>
      <c r="B29" s="6" t="n"/>
      <c r="C29" s="6" t="n"/>
      <c r="D29" s="6" t="n"/>
      <c r="E29" s="6" t="n"/>
      <c r="F29" s="6" t="n"/>
      <c r="G29" s="6" t="n"/>
      <c r="H29" s="6" t="n"/>
      <c r="I29" s="6" t="n"/>
      <c r="J29" s="6" t="n"/>
      <c r="K29" s="6" t="n">
        <v>5872.9</v>
      </c>
      <c r="L29" s="6" t="n">
        <v>3549.3</v>
      </c>
      <c r="M29" s="6" t="n"/>
      <c r="N29" s="6" t="n"/>
      <c r="O29" s="6" t="n"/>
      <c r="P29" s="6" t="n"/>
      <c r="Q29" s="6" t="n"/>
    </row>
    <row r="30">
      <c r="A30" s="6" t="inlineStr">
        <is>
          <t>Allowance for impairment (IAS 39)</t>
        </is>
      </c>
      <c r="B30" s="6" t="n"/>
      <c r="C30" s="6" t="n"/>
      <c r="D30" s="6" t="n"/>
      <c r="E30" s="6" t="n"/>
      <c r="F30" s="6" t="n"/>
      <c r="G30" s="6" t="n"/>
      <c r="H30" s="6" t="n"/>
      <c r="I30" s="6" t="n"/>
      <c r="J30" s="6" t="n"/>
      <c r="K30" s="6" t="n">
        <v>-7.5</v>
      </c>
      <c r="L30" s="6" t="n">
        <v>-6.8</v>
      </c>
      <c r="M30" s="6" t="n"/>
      <c r="N30" s="6" t="n"/>
      <c r="O30" s="6" t="n"/>
      <c r="P30" s="6" t="n"/>
      <c r="Q30" s="6" t="n"/>
    </row>
    <row r="31">
      <c r="A31" s="5" t="inlineStr">
        <is>
          <t>Net loans and advances to customers (IAS 39)</t>
        </is>
      </c>
      <c r="B31" s="5" t="n"/>
      <c r="C31" s="5" t="n"/>
      <c r="D31" s="5" t="n"/>
      <c r="E31" s="5" t="n"/>
      <c r="F31" s="5" t="n"/>
      <c r="G31" s="5" t="n"/>
      <c r="H31" s="5" t="n"/>
      <c r="I31" s="5" t="n"/>
      <c r="J31" s="5" t="n"/>
      <c r="K31" s="5" t="n">
        <v>5865.4</v>
      </c>
      <c r="L31" s="5" t="n">
        <v>3542.5</v>
      </c>
      <c r="M31" s="5" t="n"/>
      <c r="N31" s="5" t="n"/>
      <c r="O31" s="5" t="n"/>
      <c r="P31" s="5" t="n"/>
      <c r="Q31" s="5" t="n"/>
    </row>
    <row r="32">
      <c r="A32" s="6" t="inlineStr">
        <is>
          <t>Credit quality - neither past due nor impaired</t>
        </is>
      </c>
      <c r="B32" s="6" t="n"/>
      <c r="C32" s="6" t="n"/>
      <c r="D32" s="6" t="n"/>
      <c r="E32" s="6" t="n"/>
      <c r="F32" s="6" t="n"/>
      <c r="G32" s="6" t="n"/>
      <c r="H32" s="6" t="n"/>
      <c r="I32" s="6" t="n"/>
      <c r="J32" s="6" t="n"/>
      <c r="K32" s="6" t="n">
        <v>5762.7</v>
      </c>
      <c r="L32" s="6" t="n">
        <v>3473.9</v>
      </c>
      <c r="M32" s="6" t="n"/>
      <c r="N32" s="6" t="n"/>
      <c r="O32" s="6" t="n"/>
      <c r="P32" s="6" t="n"/>
      <c r="Q32" s="6" t="n"/>
    </row>
    <row r="33">
      <c r="A33" s="6" t="inlineStr">
        <is>
          <t>Credit quality - past due but not impaired</t>
        </is>
      </c>
      <c r="B33" s="6" t="n"/>
      <c r="C33" s="6" t="n"/>
      <c r="D33" s="6" t="n"/>
      <c r="E33" s="6" t="n"/>
      <c r="F33" s="6" t="n"/>
      <c r="G33" s="6" t="n"/>
      <c r="H33" s="6" t="n"/>
      <c r="I33" s="6" t="n"/>
      <c r="J33" s="6" t="n"/>
      <c r="K33" s="6" t="n">
        <v>88.8</v>
      </c>
      <c r="L33" s="6" t="n">
        <v>60</v>
      </c>
      <c r="M33" s="6" t="n"/>
      <c r="N33" s="6" t="n"/>
      <c r="O33" s="6" t="n"/>
      <c r="P33" s="6" t="n"/>
      <c r="Q33" s="6" t="n"/>
    </row>
    <row r="34">
      <c r="A34" s="6" t="inlineStr">
        <is>
          <t>Credit quality - individually impaired</t>
        </is>
      </c>
      <c r="B34" s="6" t="n"/>
      <c r="C34" s="6" t="n"/>
      <c r="D34" s="6" t="n"/>
      <c r="E34" s="6" t="n"/>
      <c r="F34" s="6" t="n"/>
      <c r="G34" s="6" t="n"/>
      <c r="H34" s="6" t="n"/>
      <c r="I34" s="6" t="n"/>
      <c r="J34" s="6" t="n"/>
      <c r="K34" s="6" t="n">
        <v>6.6</v>
      </c>
      <c r="L34" s="6" t="n">
        <v>4.6</v>
      </c>
      <c r="M34" s="6" t="n"/>
      <c r="N34" s="6" t="n"/>
      <c r="O34" s="6" t="n"/>
      <c r="P34" s="6" t="n"/>
      <c r="Q34" s="6" t="n"/>
    </row>
    <row r="35">
      <c r="A35" s="6" t="inlineStr">
        <is>
          <t>Credit quality - portfolio impaired (predominantly retail loans 90 days or more past due)</t>
        </is>
      </c>
      <c r="B35" s="6" t="n"/>
      <c r="C35" s="6" t="n"/>
      <c r="D35" s="6" t="n"/>
      <c r="E35" s="6" t="n"/>
      <c r="F35" s="6" t="n"/>
      <c r="G35" s="6" t="n"/>
      <c r="H35" s="6" t="n"/>
      <c r="I35" s="6" t="n"/>
      <c r="J35" s="6" t="n"/>
      <c r="K35" s="6" t="n">
        <v>14.8</v>
      </c>
      <c r="L35" s="6" t="n">
        <v>10.9</v>
      </c>
      <c r="M35" s="6" t="n"/>
      <c r="N35" s="6" t="n"/>
      <c r="O35" s="6" t="n"/>
      <c r="P35" s="6" t="n"/>
      <c r="Q35" s="6" t="n"/>
    </row>
    <row r="36">
      <c r="A36" s="6" t="inlineStr">
        <is>
          <t>Allowance for impairment held against individually impaired loans</t>
        </is>
      </c>
      <c r="B36" s="6" t="n"/>
      <c r="C36" s="6" t="n"/>
      <c r="D36" s="6" t="n"/>
      <c r="E36" s="6" t="n"/>
      <c r="F36" s="6" t="n"/>
      <c r="G36" s="6" t="n"/>
      <c r="H36" s="6" t="n"/>
      <c r="I36" s="6" t="n"/>
      <c r="J36" s="6" t="n"/>
      <c r="K36" s="6" t="n">
        <v>-1.8</v>
      </c>
      <c r="L36" s="6" t="n">
        <v>-3.3</v>
      </c>
      <c r="M36" s="6" t="n"/>
      <c r="N36" s="6" t="n"/>
      <c r="O36" s="6" t="n"/>
      <c r="P36" s="6" t="n"/>
      <c r="Q36" s="6" t="n"/>
    </row>
    <row r="37">
      <c r="A37" s="6" t="inlineStr">
        <is>
          <t>Allowance for impairment held collectively</t>
        </is>
      </c>
      <c r="B37" s="6" t="n"/>
      <c r="C37" s="6" t="n"/>
      <c r="D37" s="6" t="n"/>
      <c r="E37" s="6" t="n"/>
      <c r="F37" s="6" t="n"/>
      <c r="G37" s="6" t="n"/>
      <c r="H37" s="6" t="n"/>
      <c r="I37" s="6" t="n"/>
      <c r="J37" s="6" t="n"/>
      <c r="K37" s="6" t="n">
        <v>-5.7</v>
      </c>
      <c r="L37" s="6" t="n">
        <v>-3.5</v>
      </c>
      <c r="M37" s="6" t="n"/>
      <c r="N37" s="6" t="n"/>
      <c r="O37" s="6" t="n"/>
      <c r="P37" s="6" t="n"/>
      <c r="Q37" s="6" t="n"/>
    </row>
    <row r="38">
      <c r="A38" s="5" t="inlineStr">
        <is>
          <t>Basel II incurred-loss provisioning (FY2010-FY2014) - separate basis, NOT comparable with the IFRS 9 ECL rows above</t>
        </is>
      </c>
      <c r="B38" s="6" t="n"/>
      <c r="C38" s="6" t="n"/>
      <c r="D38" s="6" t="n"/>
      <c r="E38" s="6" t="n"/>
      <c r="F38" s="6" t="n"/>
      <c r="G38" s="6" t="n"/>
      <c r="H38" s="6" t="n"/>
      <c r="I38" s="6" t="n"/>
      <c r="J38" s="6" t="n"/>
      <c r="K38" s="6" t="n"/>
      <c r="L38" s="6" t="n"/>
      <c r="M38" s="6" t="n"/>
      <c r="N38" s="6" t="n"/>
      <c r="O38" s="6" t="n"/>
      <c r="P38" s="6" t="n"/>
      <c r="Q38" s="6" t="n"/>
    </row>
    <row r="39">
      <c r="A39" s="6" t="inlineStr">
        <is>
          <t>General doubtful debt provision, as stated in that year's Pillar 3</t>
        </is>
      </c>
      <c r="B39" s="6" t="n"/>
      <c r="C39" s="6" t="n"/>
      <c r="D39" s="6" t="n"/>
      <c r="E39" s="6" t="n"/>
      <c r="F39" s="6" t="n"/>
      <c r="G39" s="6" t="n"/>
      <c r="H39" s="6" t="n"/>
      <c r="I39" s="6" t="n"/>
      <c r="J39" s="6" t="n"/>
      <c r="K39" s="6" t="n"/>
      <c r="L39" s="6" t="n"/>
      <c r="M39" s="6" t="n">
        <v>3.5</v>
      </c>
      <c r="N39" s="6" t="n">
        <v>1.09</v>
      </c>
      <c r="O39" s="6" t="inlineStr">
        <is>
          <t>Unreached today – FY2012 Pillar 3 ('Pillar 3 Disclosure update - December 2012.pdf', linked Feb 2014): not in Wayback, archive.ph or Common Crawl; live 404 incl. globalassets slugs (2026-09-19); FY2013 edition has no 2012 column</t>
        </is>
      </c>
      <c r="P39" s="6" t="n">
        <v>0.186</v>
      </c>
      <c r="Q39" s="6" t="n">
        <v>0</v>
      </c>
    </row>
    <row r="40">
      <c r="A40" s="6" t="inlineStr">
        <is>
          <t>Past due &gt;20% impaired secured exposure (Basel II credit risk table)</t>
        </is>
      </c>
      <c r="B40" s="6" t="n"/>
      <c r="C40" s="6" t="n"/>
      <c r="D40" s="6" t="n"/>
      <c r="E40" s="6" t="n"/>
      <c r="F40" s="6" t="n"/>
      <c r="G40" s="6" t="n"/>
      <c r="H40" s="6" t="n"/>
      <c r="I40" s="6" t="n"/>
      <c r="J40" s="6" t="n"/>
      <c r="K40" s="6" t="n"/>
      <c r="L40" s="6" t="n"/>
      <c r="M40" s="6" t="n">
        <v>2.2</v>
      </c>
      <c r="N40" s="6" t="n">
        <v>1.1</v>
      </c>
      <c r="O40" s="6" t="n"/>
      <c r="P40" s="6" t="n"/>
      <c r="Q40" s="6" t="n"/>
    </row>
    <row r="42" ht="340" customHeight="1">
      <c r="A42"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t>
        </is>
      </c>
    </row>
    <row r="44" ht="351" customHeight="1">
      <c r="A44" s="8" t="inlineStr">
        <is>
          <t>(continued)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t>
        </is>
      </c>
    </row>
    <row r="46" ht="403" customHeight="1">
      <c r="A46" s="8" t="inlineStr">
        <is>
          <t>(continued)
FY2016/FY2015 BLOCK ADDED 2026-09-18 (interior-gap pass). These two years were an interior hole on this sheet - FY2017's Total NPL ratio sat above them and the FY2010-FY2014 Basel II block below them - so the blanks could not be explained by the data not yet existing. Source: Metro Bank PLC Annual Report and Accounts 2016, Note 10 'Loans and advances to customers and banks', printed pp.91-92 (PDF pp.95-96) - https://www.metrobankonline.co.uk/globalassets/documents/investor_documents/metro-bank-annual-report-2016.pdf - which prints Group 2016, Group 2015, Company 2016 and Company 2015 as four columns. The GROUP columns are used, consistent with the rest of this sheet, and no Company figure appears here (they differ materially: the Company allowance for impairment is 6,610 for 2016 and 3,580 for 2015 against the Group's 7,494 and 6,783). Converted from the source GBP'000 to GBP'm at one decimal place. FY2015 is a COMPARATIVE COLUMN, taken from the following year's edition; it is used because the FY2015 Annual Report's own Note 33 was read this pass and carries a Tier 1 capital build-up only, with no loan-book credit-quality table of this shape. WHY THIS BLOCK IS SEPARATE, three ways: (i) these are IAS 39 INCURRED-loss figures, so 'allowance for impairment' is not the IFRS 9 expected-credit-loss allowance in the rows above and the two must never be read as one series; (ii) equally they are not the Basel II Pillar 3 general doubtful-debt provision in the block below, which is a regulatory measure - though note the two agree for FY2016: the Pillar 3 Disclosure 2016 states 'the group held a collective impairment provision of GBP 5.7 million, and provision of GBP 1.8 million against individual loan exposures', reproducing Note 10's 5,669 and 1,825 to the GBP 0.1m; (iii) IAS 39's credit-quality categories (neither past due nor impaired / past due but not impaired / individually impaired / portfolio impaired) are not IFRS 9 stages and are not mapped onto them. ROUNDING: the four FY2015 credit-quality rows sum to 3,549.4 as displayed against the 3,549.3 gross figure above them, because the source's GBP'000 components (3,473,856 + 60,033 + 4,562 + 10,880 = 3,549,331) foot exactly but round independently - a display artefact of the GBP'm conversion, not a data error, and the reason those four rows are deliberately left without a TOTAL row of their own. The FY2016 equivalents (5,762,719 + 88,811 + 6,555 + 14,779 = 5,872,864) foot exactly at one decimal place.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t>
        </is>
      </c>
    </row>
    <row r="48" ht="364" customHeight="1">
      <c r="A48" s="8" t="inlineStr">
        <is>
          <t>(continued)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t>
        </is>
      </c>
    </row>
  </sheetData>
  <mergeCells count="4">
    <mergeCell ref="A44:Q44"/>
    <mergeCell ref="A42:Q42"/>
    <mergeCell ref="A48:Q48"/>
    <mergeCell ref="A46:Q4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Metro Bank - KM1 Key Metrics</t>
        </is>
      </c>
    </row>
    <row r="2">
      <c r="A2" s="2" t="inlineStr">
        <is>
          <t>Metro Bank's own "UK KM1 - Key metrics" table, reproduced in the bank's own row order, row numbers, labels and printed precision. £'million and % exactly as published. FY2021-FY2022 are Metro Bank PLC; FY2023-FY2025 are Metro Bank Holdings PLC consolidated, following the 19 May 2023 holding-company insertion. FY2021 is the FY2022 edition's 31 December 2021 comparative, because the FY2021 edition prints no KM1. No KM1 exists for FY2010-FY2020: the template post-dates those editions, whose 'Table 2: Key Ratios' is a short summary, not an unnumbered KM1. Blank cells are rows the bank printed and left empty; each is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(£'million)</t>
        </is>
      </c>
      <c r="B4" s="6" t="n"/>
      <c r="C4" s="6" t="n"/>
      <c r="D4" s="6" t="n"/>
      <c r="E4" s="6" t="n"/>
      <c r="F4" s="6" t="n"/>
    </row>
    <row r="5">
      <c r="A5" s="6" t="inlineStr">
        <is>
          <t>1    Common Equity Tier 1 (CET1) capital</t>
        </is>
      </c>
      <c r="B5" s="6" t="n">
        <v>840</v>
      </c>
      <c r="C5" s="6" t="n">
        <v>808</v>
      </c>
      <c r="D5" s="6" t="n">
        <v>985</v>
      </c>
      <c r="E5" s="6" t="n">
        <v>819</v>
      </c>
      <c r="F5" s="6" t="n">
        <v>936</v>
      </c>
    </row>
    <row r="6">
      <c r="A6" s="6" t="inlineStr">
        <is>
          <t>2    Tier 1 capital</t>
        </is>
      </c>
      <c r="B6" s="6" t="n">
        <v>1082</v>
      </c>
      <c r="C6" s="6" t="n">
        <v>808</v>
      </c>
      <c r="D6" s="6" t="n">
        <v>985</v>
      </c>
      <c r="E6" s="6" t="n">
        <v>819</v>
      </c>
      <c r="F6" s="6" t="n">
        <v>936</v>
      </c>
    </row>
    <row r="7">
      <c r="A7" s="6" t="inlineStr">
        <is>
          <t>3    Total capital</t>
        </is>
      </c>
      <c r="B7" s="6" t="n">
        <v>1232</v>
      </c>
      <c r="C7" s="6" t="n">
        <v>958</v>
      </c>
      <c r="D7" s="6" t="n">
        <v>1135</v>
      </c>
      <c r="E7" s="6" t="n">
        <v>1069</v>
      </c>
      <c r="F7" s="6" t="n">
        <v>1184</v>
      </c>
    </row>
    <row r="8">
      <c r="A8" s="5" t="inlineStr">
        <is>
          <t>Risk-weighted exposure amounts (£'million)</t>
        </is>
      </c>
      <c r="B8" s="6" t="n"/>
      <c r="C8" s="6" t="n"/>
      <c r="D8" s="6" t="n"/>
      <c r="E8" s="6" t="n"/>
      <c r="F8" s="6" t="n"/>
    </row>
    <row r="9">
      <c r="A9" s="6" t="inlineStr">
        <is>
          <t>4    Total risk-weighted exposure amount</t>
        </is>
      </c>
      <c r="B9" s="6" t="n">
        <v>6711</v>
      </c>
      <c r="C9" s="6" t="n">
        <v>6442</v>
      </c>
      <c r="D9" s="6" t="n">
        <v>7533</v>
      </c>
      <c r="E9" s="6" t="n">
        <v>7990</v>
      </c>
      <c r="F9" s="6" t="n">
        <v>7454</v>
      </c>
    </row>
    <row r="10">
      <c r="A10" s="5" t="inlineStr">
        <is>
          <t>Capital ratios (as a percentage of risk-weighted exposure amount)</t>
        </is>
      </c>
      <c r="B10" s="6" t="n"/>
      <c r="C10" s="6" t="n"/>
      <c r="D10" s="6" t="n"/>
      <c r="E10" s="6" t="n"/>
      <c r="F10" s="6" t="n"/>
    </row>
    <row r="11">
      <c r="A11" s="6" t="inlineStr">
        <is>
          <t>5    Common Equity Tier 1 ratio (%)</t>
        </is>
      </c>
      <c r="B11" s="6" t="inlineStr">
        <is>
          <t>12.5%</t>
        </is>
      </c>
      <c r="C11" s="6" t="inlineStr">
        <is>
          <t>12.5%</t>
        </is>
      </c>
      <c r="D11" s="6" t="inlineStr">
        <is>
          <t>13.1%</t>
        </is>
      </c>
      <c r="E11" s="6" t="inlineStr">
        <is>
          <t>10.3%</t>
        </is>
      </c>
      <c r="F11" s="6" t="inlineStr">
        <is>
          <t>12.6%</t>
        </is>
      </c>
    </row>
    <row r="12">
      <c r="A12" s="6" t="inlineStr">
        <is>
          <t>6    Tier 1 ratio (%)</t>
        </is>
      </c>
      <c r="B12" s="6" t="inlineStr">
        <is>
          <t>16.1%</t>
        </is>
      </c>
      <c r="C12" s="6" t="inlineStr">
        <is>
          <t>12.5%</t>
        </is>
      </c>
      <c r="D12" s="6" t="inlineStr">
        <is>
          <t>13.1%</t>
        </is>
      </c>
      <c r="E12" s="6" t="inlineStr">
        <is>
          <t>10.3%</t>
        </is>
      </c>
      <c r="F12" s="6" t="inlineStr">
        <is>
          <t>12.6%</t>
        </is>
      </c>
    </row>
    <row r="13">
      <c r="A13" s="6" t="inlineStr">
        <is>
          <t>7    Total capital ratio (%)</t>
        </is>
      </c>
      <c r="B13" s="6" t="inlineStr">
        <is>
          <t>18.4%</t>
        </is>
      </c>
      <c r="C13" s="6" t="inlineStr">
        <is>
          <t>14.9%</t>
        </is>
      </c>
      <c r="D13" s="6" t="inlineStr">
        <is>
          <t>15.1%</t>
        </is>
      </c>
      <c r="E13" s="6" t="inlineStr">
        <is>
          <t>13.4%</t>
        </is>
      </c>
      <c r="F13" s="6" t="inlineStr">
        <is>
          <t>15.9%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0.2%</t>
        </is>
      </c>
      <c r="D15" s="6" t="inlineStr">
        <is>
          <t>0.2%</t>
        </is>
      </c>
      <c r="E15" s="6" t="inlineStr">
        <is>
          <t>0.3%</t>
        </is>
      </c>
      <c r="F15" s="6" t="n"/>
    </row>
    <row r="16">
      <c r="A16" s="6" t="inlineStr">
        <is>
          <t>UK 7b    Additional AT1 SREP requirements (%)</t>
        </is>
      </c>
      <c r="B16" s="6" t="inlineStr">
        <is>
          <t>0.2%</t>
        </is>
      </c>
      <c r="C16" s="6" t="inlineStr">
        <is>
          <t>0.1%</t>
        </is>
      </c>
      <c r="D16" s="6" t="inlineStr">
        <is>
          <t>0.1%</t>
        </is>
      </c>
      <c r="E16" s="6" t="inlineStr">
        <is>
          <t>0.1%</t>
        </is>
      </c>
      <c r="F16" s="6" t="n"/>
    </row>
    <row r="17">
      <c r="A17" s="6" t="inlineStr">
        <is>
          <t>UK 7c    Additional T2 SREP requirements (%)</t>
        </is>
      </c>
      <c r="B17" s="6" t="inlineStr">
        <is>
          <t>0.3%</t>
        </is>
      </c>
      <c r="C17" s="6" t="inlineStr">
        <is>
          <t>0.1%</t>
        </is>
      </c>
      <c r="D17" s="6" t="inlineStr">
        <is>
          <t>0.1%</t>
        </is>
      </c>
      <c r="E17" s="6" t="inlineStr">
        <is>
          <t>0.1%</t>
        </is>
      </c>
      <c r="F17" s="6" t="n"/>
    </row>
    <row r="18">
      <c r="A18" s="6" t="inlineStr">
        <is>
          <t>UK 7d    Total SREP own funds requirements (%)</t>
        </is>
      </c>
      <c r="B18" s="6" t="inlineStr">
        <is>
          <t>9.2%</t>
        </is>
      </c>
      <c r="C18" s="6" t="inlineStr">
        <is>
          <t>8.4%</t>
        </is>
      </c>
      <c r="D18" s="6" t="inlineStr">
        <is>
          <t>8.4%</t>
        </is>
      </c>
      <c r="E18" s="6" t="inlineStr">
        <is>
          <t>8.5%</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13.7%</t>
        </is>
      </c>
      <c r="C23" s="6" t="inlineStr">
        <is>
          <t>12.9%</t>
        </is>
      </c>
      <c r="D23" s="6" t="inlineStr">
        <is>
          <t>12.9%</t>
        </is>
      </c>
      <c r="E23" s="6" t="inlineStr">
        <is>
          <t>12.0%</t>
        </is>
      </c>
      <c r="F23" s="6" t="inlineStr">
        <is>
          <t>11.6%</t>
        </is>
      </c>
    </row>
    <row r="24">
      <c r="A24" s="6" t="inlineStr">
        <is>
          <t>12    CET1 available after meeting the total SREP own funds requirements (%)</t>
        </is>
      </c>
      <c r="B24" s="6" t="inlineStr">
        <is>
          <t>7.3%</t>
        </is>
      </c>
      <c r="C24" s="6" t="inlineStr">
        <is>
          <t>7.8%</t>
        </is>
      </c>
      <c r="D24" s="6" t="inlineStr">
        <is>
          <t>8.4%</t>
        </is>
      </c>
      <c r="E24" s="6" t="inlineStr">
        <is>
          <t>5.5%</t>
        </is>
      </c>
      <c r="F24" s="6" t="n"/>
    </row>
    <row r="25">
      <c r="A25" s="5" t="inlineStr">
        <is>
          <t>Leverage ratio</t>
        </is>
      </c>
      <c r="B25" s="6" t="n"/>
      <c r="C25" s="6" t="n"/>
      <c r="D25" s="6" t="n"/>
      <c r="E25" s="6" t="n"/>
      <c r="F25" s="6" t="n"/>
    </row>
    <row r="26">
      <c r="A26" s="6" t="inlineStr">
        <is>
          <t>13    Total exposure measure excluding claims on central banks (£'million)</t>
        </is>
      </c>
      <c r="B26" s="6" t="n">
        <v>13837</v>
      </c>
      <c r="C26" s="6" t="n">
        <v>14417</v>
      </c>
      <c r="D26" s="6" t="n">
        <v>18420</v>
      </c>
      <c r="E26" s="6" t="n">
        <v>19348</v>
      </c>
      <c r="F26" s="6" t="n">
        <v>17869</v>
      </c>
    </row>
    <row r="27">
      <c r="A27" s="6" t="inlineStr">
        <is>
          <t>14    Leverage ratio excluding claims on central banks (%)</t>
        </is>
      </c>
      <c r="B27" s="6" t="inlineStr">
        <is>
          <t>7.8%</t>
        </is>
      </c>
      <c r="C27" s="6" t="inlineStr">
        <is>
          <t>5.6%</t>
        </is>
      </c>
      <c r="D27" s="6" t="inlineStr">
        <is>
          <t>5.3%</t>
        </is>
      </c>
      <c r="E27" s="6" t="inlineStr">
        <is>
          <t>4.2%</t>
        </is>
      </c>
      <c r="F27" s="6" t="inlineStr">
        <is>
          <t>5.2%</t>
        </is>
      </c>
    </row>
    <row r="28">
      <c r="A28" s="5" t="inlineStr">
        <is>
          <t>Liquidity Coverage Ratio</t>
        </is>
      </c>
      <c r="B28" s="6" t="n"/>
      <c r="C28" s="6" t="n"/>
      <c r="D28" s="6" t="n"/>
      <c r="E28" s="6" t="n"/>
      <c r="F28" s="6" t="n"/>
    </row>
    <row r="29">
      <c r="A29" s="6" t="inlineStr">
        <is>
          <t>15    Total high-quality liquid assets (HQLA) (Weighted value - average) (£'million)</t>
        </is>
      </c>
      <c r="B29" s="6" t="n">
        <v>5552</v>
      </c>
      <c r="C29" s="6" t="n">
        <v>7189</v>
      </c>
      <c r="D29" s="6" t="n">
        <v>5056</v>
      </c>
      <c r="E29" s="6" t="n">
        <v>6051</v>
      </c>
      <c r="F29" s="6" t="n">
        <v>6900</v>
      </c>
    </row>
    <row r="30">
      <c r="A30" s="6" t="inlineStr">
        <is>
          <t>UK 16a    Cash outflows - Total weighted value (£'million)</t>
        </is>
      </c>
      <c r="B30" s="6" t="n">
        <v>1962</v>
      </c>
      <c r="C30" s="6" t="n">
        <v>2184</v>
      </c>
      <c r="D30" s="6" t="n">
        <v>2335</v>
      </c>
      <c r="E30" s="6" t="n">
        <v>2729</v>
      </c>
      <c r="F30" s="6" t="n"/>
    </row>
    <row r="31">
      <c r="A31" s="6" t="inlineStr">
        <is>
          <t>UK 16b    Cash inflows - Total weighted value (£'million)</t>
        </is>
      </c>
      <c r="B31" s="6" t="n">
        <v>189</v>
      </c>
      <c r="C31" s="6" t="n">
        <v>413</v>
      </c>
      <c r="D31" s="6" t="n">
        <v>256</v>
      </c>
      <c r="E31" s="6" t="n">
        <v>264</v>
      </c>
      <c r="F31" s="6" t="n"/>
    </row>
    <row r="32">
      <c r="A32" s="6" t="inlineStr">
        <is>
          <t>16    Total net cash outflows (adjusted value) (£'million)</t>
        </is>
      </c>
      <c r="B32" s="6" t="n">
        <v>1773</v>
      </c>
      <c r="C32" s="6" t="n">
        <v>1854</v>
      </c>
      <c r="D32" s="6" t="n">
        <v>2079</v>
      </c>
      <c r="E32" s="6" t="n">
        <v>2465</v>
      </c>
      <c r="F32" s="6" t="n">
        <v>2169</v>
      </c>
    </row>
    <row r="33">
      <c r="A33" s="6" t="inlineStr">
        <is>
          <t>17    Liquidity coverage ratio (%)</t>
        </is>
      </c>
      <c r="B33" s="6" t="inlineStr">
        <is>
          <t>314%</t>
        </is>
      </c>
      <c r="C33" s="6" t="inlineStr">
        <is>
          <t>444%</t>
        </is>
      </c>
      <c r="D33" s="6" t="inlineStr">
        <is>
          <t>244%</t>
        </is>
      </c>
      <c r="E33" s="6" t="inlineStr">
        <is>
          <t>246%</t>
        </is>
      </c>
      <c r="F33" s="6" t="inlineStr">
        <is>
          <t>318%</t>
        </is>
      </c>
    </row>
    <row r="34">
      <c r="A34" s="5" t="inlineStr">
        <is>
          <t>Net Stable Funding Ratio</t>
        </is>
      </c>
      <c r="B34" s="6" t="n"/>
      <c r="C34" s="6" t="n"/>
      <c r="D34" s="6" t="n"/>
      <c r="E34" s="6" t="n"/>
      <c r="F34" s="6" t="n"/>
    </row>
    <row r="35">
      <c r="A35" s="6" t="inlineStr">
        <is>
          <t>18    Total available stable funding (£'million)</t>
        </is>
      </c>
      <c r="B35" s="6" t="n">
        <v>13965</v>
      </c>
      <c r="C35" s="6" t="n">
        <v>16676</v>
      </c>
      <c r="D35" s="6" t="n">
        <v>18277</v>
      </c>
      <c r="E35" s="6" t="n">
        <v>18903</v>
      </c>
      <c r="F35" s="6" t="n"/>
    </row>
    <row r="36">
      <c r="A36" s="6" t="inlineStr">
        <is>
          <t>19    Total required stable funding (£'million)</t>
        </is>
      </c>
      <c r="B36" s="6" t="n">
        <v>8448</v>
      </c>
      <c r="C36" s="6" t="n">
        <v>10475</v>
      </c>
      <c r="D36" s="6" t="n">
        <v>13442</v>
      </c>
      <c r="E36" s="6" t="n">
        <v>13225</v>
      </c>
      <c r="F36" s="6" t="n"/>
    </row>
    <row r="37">
      <c r="A37" s="6" t="inlineStr">
        <is>
          <t>20    NSFR ratio (%)</t>
        </is>
      </c>
      <c r="B37" s="6" t="inlineStr">
        <is>
          <t>165%</t>
        </is>
      </c>
      <c r="C37" s="6" t="inlineStr">
        <is>
          <t>160%</t>
        </is>
      </c>
      <c r="D37" s="6" t="inlineStr">
        <is>
          <t>136%</t>
        </is>
      </c>
      <c r="E37" s="6" t="inlineStr">
        <is>
          <t>143%</t>
        </is>
      </c>
      <c r="F37" s="6" t="n"/>
    </row>
    <row r="39" ht="409" customHeight="1">
      <c r="A39" s="8" t="inlineStr">
        <is>
          <t>KM1 Key Metrics sheet - each year transcribed from the 31 December column of THAT YEAR'S OWN Pillar 3 edition (map rule 1), with one stated exception (FY2021, below). Every edition prints the template as a three-column table - 31 December of the reporting year, 30 June of the reporting year, and 31 December of the prior year - and ONLY the 31 December reporting-year column is taken. (This workbook has been bitten by that before: ST-026 corrected six Pillar 3 metric sheets in which FY2023-FY2025 had been read off the 30 June interim column.)
FY2025 - Metro Bank Holdings PLC Pillar 3 2025, 'Table 4: UK KM1 - Key metrics', printed p.10 (PDF p.10), https://www.metrobankonline.co.uk/globalassets/documents/investor_documents/pillar-3---2025-final.pdf
FY2024 - Metro Bank Holdings PLC Pillar 3 2024, 'Table 4: UK KM1 - Key metrics', printed p.12 (PDF p.12), https://www.metrobankonline.co.uk/globalassets/pillar-3-2024.pdf
FY2023 - Metro Bank Holdings PLC Pillar 3 2023, 'Table 4: UK KM1 - Key metrics', printed p.12 (PDF p.12), https://www.metrobankonline.co.uk/globalassets/pillar-3-disclosure-2023.pdf
FY2022 - Metro Bank PLC Pillar 3 2022, 'Table 3: UK KM1 - Key metrics', printed p.10 (PDF p.11), https://www.metrobankonline.co.uk/globalassets/documents/customer_documents/business-and-commercial/pillar-3-disclosure-2022.pdf
FY2021 - THE FY2021 EDITION PRINTS NO KM1, so this column is the FY2022 edition's own 31 December 2021 comparative, taken from the same Table 3 cited above and labelled as such rather than presented as a FY2021-edition figure. All five FY2022-edition URLs re-fetched 2026-09-16 with a browser User-Agent and verified HTTP 200 / Content-Type application/pdf / %PDF magic bytes.
WHY THERE IS NO KM1 BEFORE FY2021. Metro Bank's FY2016-FY2021 Pillar 3 editions were read for this ticket and none contains the template. Each one's index of tables offers 'Table 2: Key Ratios' - a short summary of CET1 / Tier 1 / Total capital / CRR leverage / LCR against the prior year, with no row numbers, no SREP rows, no combined-buffer rows, no HQLA and net-cash-outflow build-up and no NSFR block. That is a different and shorter table, not an unnumbered KM1, so it is NOT mapped onto KM1 row numbers; doing so would invent a correspondence Metro Bank never published. The UK KM1 template arrived with the Disclosure (CRR) Part of the PRA Rulebook, applying from 1 January 2022, which is precisely when Metro Bank's first KM1 appears. The capital, leverage and liquidity figures those earlier editions DO publish already populate the eleven single-metric sheets in this workbook and are not duplicated here.
REPORTING ENTITY CHANGES MID-SERIES, and the columns are labelled accordingly. FY2021 and FY2022 are Metro Bank PLC (every page header of the FY2022 edition reads 'Metro Bank PLC Pillar 3 2022'). FY2023, FY2024 and FY2025 are Metro Bank Holdings PLC and its subsidiaries (every page header reads 'Metro Bank Holdings PLC | Pillar 3 20XX'), following the insertion of the holding company on 19 May 2023. The two editions agree exactly at 31 December 2022 (CET1 819, total capital 1,069, RWAs 7,990 in both the FY2022 and the FY2023 edition), because the restructure post-dates that balance-sheet date. The series is NOT presented as one continuous entity - see the workbook's entity/basis note.
BLANK CELLS, each one a row the bank printed and left empty rather than a row we failed to find. In the FY2022 edition the 31 December 2021 column is SHADED OUT for UK 7a, UK 7b, UK 7c, UK 7d, 12, UK 16a, UK 16b, 18, 19 and 20 - confirmed by rendering the page at 200 dpi and looking, not only from the text layer. Those cells are empty, not dashes and not zeros, so they are left blank. By contrast row 9 (institution specific countercyclical capital buffer) prints '0.0%' in that same 31 December 2021 column, and a printed zero is recorded as a zero.
ROWS 10 AND UK 10a ARE ABSENT FROM EVERY EDITION. Metro Bank's combined-buffer block runs 8, 9, 11, UK 11a, 12 in all four editions; it never prints a row 10 (systemic risk buffer) or UK 10a (O-SII buffer). They are not shown as blank rows because the bank does not print them at all - which is a different statement from a printed-but-empty cell.</t>
        </is>
      </c>
    </row>
    <row r="41" ht="409" customHeight="1">
      <c r="A41" s="8" t="inlineStr">
        <is>
          <t>(continued)
THE BANK'S OWN FOOTNOTES, reproduced because they carry the basis: (i) the FY2022 edition footnotes its leverage block 'Restated UK Leverage Ratio for comparison. Recalculated based on changes in PRA Policy Statement 21/21 to exclude claims on central banks' - i.e. the 1 January 2022 basis break (map rule 5) is handled by the bank restating the earlier column onto the new 'excluding claims on central banks' caption, so rows 13/14 carry one caption throughout and the pre-2022 'including central bank claims' series is kept SEPARATELY, on its own two rows of the Leverage Ratio sheet, never merged into this one; (ii) 'LCR is based on 12-month average'; (iii) 'NSFR is based on 4-quarter average'.
PRECISION AND TYPOGRAPHY kept as printed: all percentages to one decimal place except rows 17 and 20, which the bank prints as whole percentages. The FY2023-FY2025 editions typeset their section headings with an en-dash ('Risk-weighted exposure amounts' is printed 'Risk–weighted exposure amounts') where the FY2022 edition uses a hyphen; a plain hyphen is used on this sheet and the drift is recorded here rather than reproduced glyph-for-glyph.
ONE DELIBERATE DIVERGENCE FROM THE LCR SHEET, DOCUMENTED RATHER THAN SILENCED. KM1 row 17 for FY2021 is 318%, while the LCR sheet's headline Liquidity Coverage Ratio row for FY2021 is 281%. Both are Metro Bank's own published figures for 31 December 2021 on DIFFERENT BASES, and the FY2021 Pillar 3 edition says so itself in section 8.2: 'Table 29 has been updated to align to the EBA/GL/2017/01 Guidelines and therefore shows the amount of high-quality liquid assets, total net cash outflows and the LCR, averaged over a 12-month period. The ratio at the period end was 281%.' Its Table 29 (EU LIQ1) then prints HQLA 6,900, net cash outflow 2,169 and a liquidity coverage ratio of 318% - the same three figures the FY2022 edition's KM1 carries in its 31 December 2021 column, which independently corroborates that comparative. So 318% is the 12-month average and 281% is the point-in-time ratio at the balance-sheet date. Neither figure has been edited to agree with the other. (Note in passing that 6,900 / 2,169 = 318%, so the LCR sheet's own HQLA and net-outflow rows for FY2021 are the average-basis figures; only its headline ratio cell is the point-in-time one.)
NEWER THAN THIS WORKBOOK, FLAGGED NOT TRANSCRIBED: the IR page also carries an H1 2026 edition, 'Metro Bank Pillar 3 30 June 2026' (metro-bank-pillar-3-30-june-2026.pdf), and interim financial statements to 30 June 2026. They add no financial YEAR - Metro Bank's year-end is 31 December and FY2026 has not occurred - so they are outside this workbook's annual series, but a later interim-focused ticket should pick them up.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t>
        </is>
      </c>
    </row>
    <row r="43" ht="409" customHeight="1">
      <c r="A43" s="8" t="inlineStr">
        <is>
          <t>(continued)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3">
    <mergeCell ref="A41:F41"/>
    <mergeCell ref="A39:F39"/>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39"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364"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9" ht="390" customHeight="1">
      <c r="A9"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1" ht="299" customHeight="1">
      <c r="A11"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5:Q5"/>
    <mergeCell ref="A7:Q7"/>
    <mergeCell ref="A9:Q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3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364"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9" ht="390" customHeight="1">
      <c r="A9"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1" ht="299" customHeight="1">
      <c r="A11"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5:Q5"/>
    <mergeCell ref="A7:Q7"/>
    <mergeCell ref="A9:Q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Unreached today – FY2012 Pillar 3 ('Pillar 3 Disclosure update - December 2012.pdf', linked Feb 2014): not in Wayback, archive.ph or Common Crawl; live 404 incl. globalassets slugs (2026-09-19); FY2013 edition has no 2012 column</t>
        </is>
      </c>
      <c r="P5" s="6" t="n">
        <v>69.09999999999999</v>
      </c>
      <c r="Q5" s="6" t="n">
        <v>89.8</v>
      </c>
    </row>
    <row r="6" ht="39"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364"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10" ht="390" customHeight="1">
      <c r="A10"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2" ht="299" customHeight="1">
      <c r="A12"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8:Q8"/>
    <mergeCell ref="A6:Q6"/>
    <mergeCell ref="A10:Q10"/>
    <mergeCell ref="A12:Q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published – FY2013 Pillar 3 and accounts print no Tier 1 ratio; accounts KPI 'Capital as %age of RWA' 50% is on Total Capital Ratio sheet</t>
        </is>
      </c>
      <c r="O4" s="6" t="inlineStr">
        <is>
          <t>Unreached today – FY2012 Pillar 3 ('Pillar 3 Disclosure update - December 2012.pdf', linked Feb 2014): not in Wayback, archive.ph or Common Crawl; live 404 incl. globalassets slugs (2026-09-19); FY2013 edition has no 2012 column</t>
        </is>
      </c>
      <c r="P4" s="6" t="inlineStr">
        <is>
          <t>Not published – FY2011 Pillar 3 and accounts print no Tier 1 ratio; accounts KPI 'Capital as %age of RWA' 74% is on Total Capital Ratio sheet</t>
        </is>
      </c>
      <c r="Q4" s="6" t="inlineStr">
        <is>
          <t>474% (FY2010 accounts KPI 'Tier 1 ratio', CH filing PDF p.6; over RWA £19.0m = credit-risk RWA)</t>
        </is>
      </c>
    </row>
    <row r="5" ht="52" customHeight="1">
      <c r="A5" s="7" t="inlineStr">
        <is>
          <t>Note: GA-020 2026-09-19: FY2010 FOUND - 474% is the 'Tier 1 ratio' printed in the FY2010 statutory accounts' Directors' report KPI table (Companies House filing, PDF p.6), beside 'Tier 1 capital £89.8m' and 'Risk weighted assets £19.0m'; the £19.0m is the Pillar 3's credit-risk-only RWA, so this ratio is on a credit-risk denominator and is NOT comparable with the CRR series. FY2011/FY2013 remain unpublished as a Tier 1 ratio; the accounts' 'Capital as %age of risk weighted assets' KPI for those years is on the Total Capital Ratio sheet. See the GA-020 comment above hist_nd() in the build script. FY2010/FY2011/FY2013 'Not publicly disclosed' (2026-09-15, SUPERSEDED for FY2010 by the accounts KPI above):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364"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9" ht="390" customHeight="1">
      <c r="A9"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1" ht="299" customHeight="1">
      <c r="A11"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5:Q5"/>
    <mergeCell ref="A7:Q7"/>
    <mergeCell ref="A9:Q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Unreached today – FY2012 Pillar 3 ('Pillar 3 Disclosure update - December 2012.pdf', linked Feb 2014): not in Wayback, archive.ph or Common Crawl; live 404 incl. globalassets slugs (2026-09-19); FY2013 edition has no 2012 column</t>
        </is>
      </c>
      <c r="P5" s="6" t="n">
        <v>69.09999999999999</v>
      </c>
      <c r="Q5" s="6" t="n">
        <v>89.8</v>
      </c>
    </row>
    <row r="6" ht="3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364"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10" ht="390" customHeight="1">
      <c r="A10"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2" ht="299" customHeight="1">
      <c r="A12"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8:Q8"/>
    <mergeCell ref="A6:Q6"/>
    <mergeCell ref="A10:Q10"/>
    <mergeCell ref="A12:Q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50% (FY2013 accounts KPI 'Capital as %age of risk weighted assets'; Basel II, RWA basis unstated)</t>
        </is>
      </c>
      <c r="O4" s="6" t="inlineStr">
        <is>
          <t>55% (FY2012 accounts KPI 'Capital as %age of risk weighted assets'; Basel II, RWA basis unstated)</t>
        </is>
      </c>
      <c r="P4" s="6" t="inlineStr">
        <is>
          <t>74% (FY2011 accounts KPI 'Capital as %age of risk weighted assets'; Basel II, RWA basis unstated)</t>
        </is>
      </c>
      <c r="Q4" s="6" t="inlineStr">
        <is>
          <t>Not published – FY2010 accounts and Pillar 3 print no total capital ratio; accounts print 'Tier 1 ratio 474%' (no Tier 2 held) - on Tier 1 Ratio sheet</t>
        </is>
      </c>
    </row>
    <row r="5" ht="52" customHeight="1">
      <c r="A5" s="7" t="inlineStr">
        <is>
          <t>Note: GA-020 2026-09-19: FY2011 74%, FY2012 55% and FY2013 50% FOUND - each is the 'Capital as %age of risk weighted assets' KPI printed in that year's own statutory accounts (Companies House scans, Directors' report KPI table; each read from the page image, and each confirmed by the next year's comparative column). The capital base was wholly Tier 1 with no Tier 2 (the Pillar 3 editions say so), so capital/RWA is the total capital ratio; the RWA denominator is not stated and FY2010's shows it was credit-risk RWA only. Basel II basis, NOT continuous with the CRR series above. RATIO TIE: FY2011 69.1/93.2 = 74.2% ties; FY2013 381.5/775.3 = 49.2% vs 50% printed - recorded, not reconciled. The earlier text below saying no ratio appears is right about the Pillar 3 editions only.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364"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9" ht="390" customHeight="1">
      <c r="A9"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1" ht="299" customHeight="1">
      <c r="A11"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5:Q5"/>
    <mergeCell ref="A7:Q7"/>
    <mergeCell ref="A9:Q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v>2261.2</v>
      </c>
      <c r="M4" s="6" t="inlineStr">
        <is>
          <t>Not published – FY2014 Pillar 3 prints credit-risk RWA only (row below) and FY2014 accounts print no RWA amount; no total incl. operational risk anywhere</t>
        </is>
      </c>
      <c r="N4" s="6" t="inlineStr">
        <is>
          <t>Not published – FY2013 Pillar 3 prints credit-risk RWA only (row below) and FY2013 accounts print no RWA amount; no total incl. operational risk anywhere</t>
        </is>
      </c>
      <c r="O4" s="6" t="inlineStr">
        <is>
          <t>Unreached today – FY2012 Pillar 3 ('Pillar 3 Disclosure update - December 2012.pdf', linked Feb 2014): not in Wayback, archive.ph or Common Crawl; live 404 incl. globalassets slugs (2026-09-19); FY2013 edition has no 2012 column</t>
        </is>
      </c>
      <c r="P4" s="6" t="inlineStr">
        <is>
          <t>Not published – FY2011 Pillar 3 prints credit-risk RWA only (row below) and FY2011 accounts print no RWA amount; no total incl. operational risk anywhere</t>
        </is>
      </c>
      <c r="Q4" s="6" t="inlineStr">
        <is>
          <t>Not published – FY2010 accounts' 'Risk weighted assets £19.0m' equals the Pillar 3 credit-risk-only RWA (18,950k, row below); no total incl. op risk printed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Unreached today – FY2012 Pillar 3 ('Pillar 3 Disclosure update - December 2012.pdf', linked Feb 2014): not in Wayback, archive.ph or Common Crawl; live 404 incl. globalassets slugs (2026-09-19); FY2013 edition has no 2012 column</t>
        </is>
      </c>
      <c r="P5" s="6" t="n">
        <v>93.2</v>
      </c>
      <c r="Q5" s="6" t="n">
        <v>19</v>
      </c>
    </row>
    <row r="6" ht="13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POPULATED 2026-09-18 (interior-gap pass) AT 2,261.2 - and the sentence it replaces, which said 'FY2015 stays blank', was correct only about the Pillar 3. FY2015 was an interior hole with FY2016 above it and FY2014 below it settled, so it could not be explained by the metric not yet existing. It does exist, in a document already cited on this sheet: Metro Bank PLC's own ANNUAL REPORT AND ACCOUNTS 2016, Strategic Report, 'Capital structure' table, printed p.23, which prints a two-column comparison headed 2016 and 2015 and gives 'Risk weighted assets (RWAs)' as 3,590.4 (2016) and 2,261.2 (2015), alongside the CET1 capital, CET1 ratio and leverage ratio figures this workbook ALREADY takes from that same table for FY2015. The RWA row was simply not transcribed when the others were. The note lower down on this sheet previously asserted that 'FY2014/FY2015 RWAs were not disclosed in the Annual Report (only capital and ratios)'; that is wrong for FY2015 and has been corrected. FY2015 is therefore a COMPARATIVE-COLUMN figure, from the following year's edition, because FY2015's own Annual Report (Note 33 Capital management, printed p.76, read this pass) discloses only the Tier 1 capital build-up - no RWA, no ratio - and no FY2015 Pillar 3 edition exists to check: a Wayback CDX enumeration of the whole metrobankonline.co.uk domain returned 1,078 archived PDFs, whose only Pillar 3 editions are FY2010, FY2011, FY2013, FY2014 and FY2016 onward, and the recurring 'Pillar 3 Disclosure.pdf' URL has exactly three captures (2014-09-15 = the FY2013 edition, a 2015-06-26 revisit of the identical digest, and 2015-12-30 = the FY2014 edition) with nothing in 2016 that could be the FY2015 edition. RATIO TIE, RECORDED NOT RECONCILED: the same table's FY2015 CET1 ratio of 13.1% does not tie to its own FY2015 CET1 capital and RWAs - 299.9 / 2,261.2 = 13.26%, a 0.2pp break - whereas the FY2016 column ties exactly (651.4 / 3,590.4 = 18.14% against the printed 18.1%). Both FY2015 figures are reproduced as printed and neither is adjusted to make the ratio tie.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PARTLY SUPERSEDED 2026-09-18: this read 'FY2014/FY2015 RWAs were not disclosed in the Annual Report (only capital and ratios) and are left blank rather than derived by dividing capital by the ratio.' That is still true of FY2014 but was WRONG for FY2015 - the Annual Report and Accounts 2016's 'Capital structure' table (printed p.23) discloses the FY2015 RWA directly, as 2,261.2, and it is now carried. Nothing has been derived by dividing capital by a ratio here or anywhere else on this sheet.</t>
        </is>
      </c>
    </row>
    <row r="8" ht="364"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10" ht="390" customHeight="1">
      <c r="A10"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2" ht="299" customHeight="1">
      <c r="A12"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8:Q8"/>
    <mergeCell ref="A6:Q6"/>
    <mergeCell ref="A10:Q10"/>
    <mergeCell ref="A12:Q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CRD IV standardised credit-risk exposure classes, credit risk only (FY2015) - the 2015 COMPARATIVE COLUMN of the Pillar 3 Disclosure 2016's 'Standardised Credit Risk' table (section 7.1, p.16 of the PDF). A third, separate template: neither a UK/EU OV1 breakdown nor the Basel II table below, and it excludes operational risk entirely. Its rows sum to 2,262 against the 2,261 the table itself prints on its Total line - a GBP 1m rounding break in the bank's own arithmetic, present in its 2016 column too (rows sum to 3,455 against a printed 3,454), reproduced rather than smoothed</t>
        </is>
      </c>
      <c r="B11" s="6" t="n"/>
      <c r="C11" s="6" t="n"/>
      <c r="D11" s="6" t="n"/>
      <c r="E11" s="6" t="n"/>
      <c r="F11" s="6" t="n"/>
      <c r="G11" s="6" t="n"/>
      <c r="H11" s="6" t="n"/>
      <c r="I11" s="6" t="n"/>
      <c r="J11" s="6" t="n"/>
      <c r="K11" s="6" t="n"/>
      <c r="L11" s="6" t="n"/>
      <c r="M11" s="6" t="n"/>
      <c r="N11" s="6" t="n"/>
      <c r="O11" s="6" t="n"/>
      <c r="P11" s="6" t="n"/>
      <c r="Q11" s="6" t="n"/>
    </row>
    <row r="12">
      <c r="A12" s="6" t="inlineStr">
        <is>
          <t>Cash and balances with the Bank of England (0% risk weight)</t>
        </is>
      </c>
      <c r="B12" s="6" t="n"/>
      <c r="C12" s="6" t="n"/>
      <c r="D12" s="6" t="n"/>
      <c r="E12" s="6" t="n"/>
      <c r="F12" s="6" t="n"/>
      <c r="G12" s="6" t="n"/>
      <c r="H12" s="6" t="n"/>
      <c r="I12" s="6" t="n"/>
      <c r="J12" s="6" t="n"/>
      <c r="K12" s="6" t="n"/>
      <c r="L12" s="6" t="n">
        <v>0</v>
      </c>
      <c r="M12" s="6" t="n"/>
      <c r="N12" s="6" t="n"/>
      <c r="O12" s="6" t="n"/>
      <c r="P12" s="6" t="n"/>
      <c r="Q12" s="6" t="n"/>
    </row>
    <row r="13">
      <c r="A13" s="6" t="inlineStr">
        <is>
          <t>Loans and advances to banks (20% risk weight)</t>
        </is>
      </c>
      <c r="B13" s="6" t="n"/>
      <c r="C13" s="6" t="n"/>
      <c r="D13" s="6" t="n"/>
      <c r="E13" s="6" t="n"/>
      <c r="F13" s="6" t="n"/>
      <c r="G13" s="6" t="n"/>
      <c r="H13" s="6" t="n"/>
      <c r="I13" s="6" t="n"/>
      <c r="J13" s="6" t="n"/>
      <c r="K13" s="6" t="n"/>
      <c r="L13" s="6" t="n">
        <v>13</v>
      </c>
      <c r="M13" s="6" t="n"/>
      <c r="N13" s="6" t="n"/>
      <c r="O13" s="6" t="n"/>
      <c r="P13" s="6" t="n"/>
      <c r="Q13" s="6" t="n"/>
    </row>
    <row r="14">
      <c r="A14" s="6" t="inlineStr">
        <is>
          <t>Investments (10%-100% risk weight)</t>
        </is>
      </c>
      <c r="B14" s="6" t="n"/>
      <c r="C14" s="6" t="n"/>
      <c r="D14" s="6" t="n"/>
      <c r="E14" s="6" t="n"/>
      <c r="F14" s="6" t="n"/>
      <c r="G14" s="6" t="n"/>
      <c r="H14" s="6" t="n"/>
      <c r="I14" s="6" t="n"/>
      <c r="J14" s="6" t="n"/>
      <c r="K14" s="6" t="n"/>
      <c r="L14" s="6" t="n">
        <v>601</v>
      </c>
      <c r="M14" s="6" t="n"/>
      <c r="N14" s="6" t="n"/>
      <c r="O14" s="6" t="n"/>
      <c r="P14" s="6" t="n"/>
      <c r="Q14" s="6" t="n"/>
    </row>
    <row r="15">
      <c r="A15" s="6" t="inlineStr">
        <is>
          <t>Retail and Business Lending (35%-150% risk weight)</t>
        </is>
      </c>
      <c r="B15" s="6" t="n"/>
      <c r="C15" s="6" t="n"/>
      <c r="D15" s="6" t="n"/>
      <c r="E15" s="6" t="n"/>
      <c r="F15" s="6" t="n"/>
      <c r="G15" s="6" t="n"/>
      <c r="H15" s="6" t="n"/>
      <c r="I15" s="6" t="n"/>
      <c r="J15" s="6" t="n"/>
      <c r="K15" s="6" t="n"/>
      <c r="L15" s="6" t="n">
        <v>1362</v>
      </c>
      <c r="M15" s="6" t="n"/>
      <c r="N15" s="6" t="n"/>
      <c r="O15" s="6" t="n"/>
      <c r="P15" s="6" t="n"/>
      <c r="Q15" s="6" t="n"/>
    </row>
    <row r="16">
      <c r="A16" s="6" t="inlineStr">
        <is>
          <t>Fixed and other assets (100% risk weight)</t>
        </is>
      </c>
      <c r="B16" s="6" t="n"/>
      <c r="C16" s="6" t="n"/>
      <c r="D16" s="6" t="n"/>
      <c r="E16" s="6" t="n"/>
      <c r="F16" s="6" t="n"/>
      <c r="G16" s="6" t="n"/>
      <c r="H16" s="6" t="n"/>
      <c r="I16" s="6" t="n"/>
      <c r="J16" s="6" t="n"/>
      <c r="K16" s="6" t="n"/>
      <c r="L16" s="6" t="n">
        <v>219</v>
      </c>
      <c r="M16" s="6" t="n"/>
      <c r="N16" s="6" t="n"/>
      <c r="O16" s="6" t="n"/>
      <c r="P16" s="6" t="n"/>
      <c r="Q16" s="6" t="n"/>
    </row>
    <row r="17">
      <c r="A17" s="6" t="inlineStr">
        <is>
          <t>Past Due &gt;20% impaired secured (50% risk weight)</t>
        </is>
      </c>
      <c r="B17" s="6" t="n"/>
      <c r="C17" s="6" t="n"/>
      <c r="D17" s="6" t="n"/>
      <c r="E17" s="6" t="n"/>
      <c r="F17" s="6" t="n"/>
      <c r="G17" s="6" t="n"/>
      <c r="H17" s="6" t="n"/>
      <c r="I17" s="6" t="n"/>
      <c r="J17" s="6" t="n"/>
      <c r="K17" s="6" t="n"/>
      <c r="L17" s="6" t="n">
        <v>4</v>
      </c>
      <c r="M17" s="6" t="n"/>
      <c r="N17" s="6" t="n"/>
      <c r="O17" s="6" t="n"/>
      <c r="P17" s="6" t="n"/>
      <c r="Q17" s="6" t="n"/>
    </row>
    <row r="18">
      <c r="A18" s="6" t="inlineStr">
        <is>
          <t>Secured and unsecured lending facilities (20%-100% risk weight)</t>
        </is>
      </c>
      <c r="B18" s="6" t="n"/>
      <c r="C18" s="6" t="n"/>
      <c r="D18" s="6" t="n"/>
      <c r="E18" s="6" t="n"/>
      <c r="F18" s="6" t="n"/>
      <c r="G18" s="6" t="n"/>
      <c r="H18" s="6" t="n"/>
      <c r="I18" s="6" t="n"/>
      <c r="J18" s="6" t="n"/>
      <c r="K18" s="6" t="n"/>
      <c r="L18" s="6" t="n">
        <v>63</v>
      </c>
      <c r="M18" s="6" t="n"/>
      <c r="N18" s="6" t="n"/>
      <c r="O18" s="6" t="n"/>
      <c r="P18" s="6" t="n"/>
      <c r="Q18" s="6" t="n"/>
    </row>
    <row r="19">
      <c r="A19" s="5" t="inlineStr">
        <is>
          <t>Total credit risk RWA, CRD IV standardised approach (as printed; excludes operational risk)</t>
        </is>
      </c>
      <c r="B19" s="5" t="n"/>
      <c r="C19" s="5" t="n"/>
      <c r="D19" s="5" t="n"/>
      <c r="E19" s="5" t="n"/>
      <c r="F19" s="5" t="n"/>
      <c r="G19" s="5" t="n"/>
      <c r="H19" s="5" t="n"/>
      <c r="I19" s="5" t="n"/>
      <c r="J19" s="5" t="n"/>
      <c r="K19" s="5" t="n"/>
      <c r="L19" s="5" t="n">
        <v>2261</v>
      </c>
      <c r="M19" s="5" t="n"/>
      <c r="N19" s="5" t="n"/>
      <c r="O19" s="5" t="n"/>
      <c r="P19" s="5" t="n"/>
      <c r="Q19" s="5" t="n"/>
    </row>
    <row r="20">
      <c r="A20" s="5" t="inlineStr">
        <is>
          <t>Basel II standardised approach, credit risk only (FY2010-FY2014) - separate basis, NOT part of the UK/EU OV1 total above</t>
        </is>
      </c>
      <c r="B20" s="6" t="n"/>
      <c r="C20" s="6" t="n"/>
      <c r="D20" s="6" t="n"/>
      <c r="E20" s="6" t="n"/>
      <c r="F20" s="6" t="n"/>
      <c r="G20" s="6" t="n"/>
      <c r="H20" s="6" t="n"/>
      <c r="I20" s="6" t="n"/>
      <c r="J20" s="6" t="n"/>
      <c r="K20" s="6" t="n"/>
      <c r="L20" s="6" t="n"/>
      <c r="M20" s="6" t="n"/>
      <c r="N20" s="6" t="n"/>
      <c r="O20" s="6" t="n"/>
      <c r="P20" s="6" t="n"/>
      <c r="Q20" s="6" t="n"/>
    </row>
    <row r="21">
      <c r="A21" s="6" t="inlineStr">
        <is>
          <t>Loans and advances to banks (20% risk weight)</t>
        </is>
      </c>
      <c r="B21" s="6" t="n"/>
      <c r="C21" s="6" t="n"/>
      <c r="D21" s="6" t="n"/>
      <c r="E21" s="6" t="n"/>
      <c r="F21" s="6" t="n"/>
      <c r="G21" s="6" t="n"/>
      <c r="H21" s="6" t="n"/>
      <c r="I21" s="6" t="n"/>
      <c r="J21" s="6" t="n"/>
      <c r="K21" s="6" t="n"/>
      <c r="L21" s="6" t="n"/>
      <c r="M21" s="6" t="n">
        <v>6.8</v>
      </c>
      <c r="N21" s="6" t="n">
        <v>5</v>
      </c>
      <c r="O21" s="6" t="n"/>
      <c r="P21" s="6" t="n">
        <v>5.7</v>
      </c>
      <c r="Q21" s="6" t="n">
        <v>1.1</v>
      </c>
    </row>
    <row r="22">
      <c r="A22" s="6" t="inlineStr">
        <is>
          <t>Investments (10%-100% risk weight)</t>
        </is>
      </c>
      <c r="B22" s="6" t="n"/>
      <c r="C22" s="6" t="n"/>
      <c r="D22" s="6" t="n"/>
      <c r="E22" s="6" t="n"/>
      <c r="F22" s="6" t="n"/>
      <c r="G22" s="6" t="n"/>
      <c r="H22" s="6" t="n"/>
      <c r="I22" s="6" t="n"/>
      <c r="J22" s="6" t="n"/>
      <c r="K22" s="6" t="n"/>
      <c r="L22" s="6" t="n"/>
      <c r="M22" s="6" t="n">
        <v>406.3</v>
      </c>
      <c r="N22" s="6" t="n">
        <v>155.3</v>
      </c>
      <c r="O22" s="6" t="n"/>
      <c r="P22" s="6" t="n">
        <v>7.8</v>
      </c>
      <c r="Q22" s="6" t="n"/>
    </row>
    <row r="23">
      <c r="A23" s="6" t="inlineStr">
        <is>
          <t>Secured residential lending (35%-75% risk weight)</t>
        </is>
      </c>
      <c r="B23" s="6" t="n"/>
      <c r="C23" s="6" t="n"/>
      <c r="D23" s="6" t="n"/>
      <c r="E23" s="6" t="n"/>
      <c r="F23" s="6" t="n"/>
      <c r="G23" s="6" t="n"/>
      <c r="H23" s="6" t="n"/>
      <c r="I23" s="6" t="n"/>
      <c r="J23" s="6" t="n"/>
      <c r="K23" s="6" t="n"/>
      <c r="L23" s="6" t="n"/>
      <c r="M23" s="6" t="n"/>
      <c r="N23" s="6" t="n">
        <v>138.2</v>
      </c>
      <c r="O23" s="6" t="n"/>
      <c r="P23" s="6" t="n">
        <v>8.699999999999999</v>
      </c>
      <c r="Q23" s="6" t="n"/>
    </row>
    <row r="24">
      <c r="A24" s="6" t="inlineStr">
        <is>
          <t>Retail lending (35%-75% risk weight; FY2014 label)</t>
        </is>
      </c>
      <c r="B24" s="6" t="n"/>
      <c r="C24" s="6" t="n"/>
      <c r="D24" s="6" t="n"/>
      <c r="E24" s="6" t="n"/>
      <c r="F24" s="6" t="n"/>
      <c r="G24" s="6" t="n"/>
      <c r="H24" s="6" t="n"/>
      <c r="I24" s="6" t="n"/>
      <c r="J24" s="6" t="n"/>
      <c r="K24" s="6" t="n"/>
      <c r="L24" s="6" t="n"/>
      <c r="M24" s="6" t="n">
        <v>344.8</v>
      </c>
      <c r="N24" s="6" t="n"/>
      <c r="O24" s="6" t="n"/>
      <c r="P24" s="6" t="n"/>
      <c r="Q24" s="6" t="n"/>
    </row>
    <row r="25">
      <c r="A25" s="6" t="inlineStr">
        <is>
          <t>Retail and commercial lending (75%-100% risk weight; FY2011/FY2013 label)</t>
        </is>
      </c>
      <c r="B25" s="6" t="n"/>
      <c r="C25" s="6" t="n"/>
      <c r="D25" s="6" t="n"/>
      <c r="E25" s="6" t="n"/>
      <c r="F25" s="6" t="n"/>
      <c r="G25" s="6" t="n"/>
      <c r="H25" s="6" t="n"/>
      <c r="I25" s="6" t="n"/>
      <c r="J25" s="6" t="n"/>
      <c r="K25" s="6" t="n"/>
      <c r="L25" s="6" t="n"/>
      <c r="M25" s="6" t="n"/>
      <c r="N25" s="6" t="n">
        <v>285.5</v>
      </c>
      <c r="O25" s="6" t="n"/>
      <c r="P25" s="6" t="n">
        <v>17.6</v>
      </c>
      <c r="Q25" s="6" t="n"/>
    </row>
    <row r="26">
      <c r="A26" s="6" t="inlineStr">
        <is>
          <t>SME and commercial (35%-100% risk weight; FY2014 label)</t>
        </is>
      </c>
      <c r="B26" s="6" t="n"/>
      <c r="C26" s="6" t="n"/>
      <c r="D26" s="6" t="n"/>
      <c r="E26" s="6" t="n"/>
      <c r="F26" s="6" t="n"/>
      <c r="G26" s="6" t="n"/>
      <c r="H26" s="6" t="n"/>
      <c r="I26" s="6" t="n"/>
      <c r="J26" s="6" t="n"/>
      <c r="K26" s="6" t="n"/>
      <c r="L26" s="6" t="n"/>
      <c r="M26" s="6" t="n">
        <v>426</v>
      </c>
      <c r="N26" s="6" t="n"/>
      <c r="O26" s="6" t="n"/>
      <c r="P26" s="6" t="n"/>
      <c r="Q26" s="6" t="n"/>
    </row>
    <row r="27">
      <c r="A27" s="6" t="inlineStr">
        <is>
          <t>Loans and advances to customers (75% risk weight; FY2010 label)</t>
        </is>
      </c>
      <c r="B27" s="6" t="n"/>
      <c r="C27" s="6" t="n"/>
      <c r="D27" s="6" t="n"/>
      <c r="E27" s="6" t="n"/>
      <c r="F27" s="6" t="n"/>
      <c r="G27" s="6" t="n"/>
      <c r="H27" s="6" t="n"/>
      <c r="I27" s="6" t="n"/>
      <c r="J27" s="6" t="n"/>
      <c r="K27" s="6" t="n"/>
      <c r="L27" s="6" t="n"/>
      <c r="M27" s="6" t="n"/>
      <c r="N27" s="6" t="n"/>
      <c r="O27" s="6" t="n"/>
      <c r="P27" s="6" t="n"/>
      <c r="Q27" s="6" t="n">
        <v>0.1</v>
      </c>
    </row>
    <row r="28">
      <c r="A28" s="6" t="inlineStr">
        <is>
          <t>Fixed and other assets (100% risk weight)</t>
        </is>
      </c>
      <c r="B28" s="6" t="n"/>
      <c r="C28" s="6" t="n"/>
      <c r="D28" s="6" t="n"/>
      <c r="E28" s="6" t="n"/>
      <c r="F28" s="6" t="n"/>
      <c r="G28" s="6" t="n"/>
      <c r="H28" s="6" t="n"/>
      <c r="I28" s="6" t="n"/>
      <c r="J28" s="6" t="n"/>
      <c r="K28" s="6" t="n"/>
      <c r="L28" s="6" t="n"/>
      <c r="M28" s="6" t="n">
        <v>166.6</v>
      </c>
      <c r="N28" s="6" t="n">
        <v>160.3</v>
      </c>
      <c r="O28" s="6" t="n"/>
      <c r="P28" s="6" t="n">
        <v>50.3</v>
      </c>
      <c r="Q28" s="6" t="n"/>
    </row>
    <row r="29">
      <c r="A29" s="6" t="inlineStr">
        <is>
          <t>Tangible fixed assets (100% risk weight; FY2010 label)</t>
        </is>
      </c>
      <c r="B29" s="6" t="n"/>
      <c r="C29" s="6" t="n"/>
      <c r="D29" s="6" t="n"/>
      <c r="E29" s="6" t="n"/>
      <c r="F29" s="6" t="n"/>
      <c r="G29" s="6" t="n"/>
      <c r="H29" s="6" t="n"/>
      <c r="I29" s="6" t="n"/>
      <c r="J29" s="6" t="n"/>
      <c r="K29" s="6" t="n"/>
      <c r="L29" s="6" t="n"/>
      <c r="M29" s="6" t="n"/>
      <c r="N29" s="6" t="n"/>
      <c r="O29" s="6" t="n"/>
      <c r="P29" s="6" t="n"/>
      <c r="Q29" s="6" t="n">
        <v>17.3</v>
      </c>
    </row>
    <row r="30">
      <c r="A30" s="6" t="inlineStr">
        <is>
          <t>Prepayments and accrued income (100% risk weight; FY2010 label)</t>
        </is>
      </c>
      <c r="B30" s="6" t="n"/>
      <c r="C30" s="6" t="n"/>
      <c r="D30" s="6" t="n"/>
      <c r="E30" s="6" t="n"/>
      <c r="F30" s="6" t="n"/>
      <c r="G30" s="6" t="n"/>
      <c r="H30" s="6" t="n"/>
      <c r="I30" s="6" t="n"/>
      <c r="J30" s="6" t="n"/>
      <c r="K30" s="6" t="n"/>
      <c r="L30" s="6" t="n"/>
      <c r="M30" s="6" t="n"/>
      <c r="N30" s="6" t="n"/>
      <c r="O30" s="6" t="n"/>
      <c r="P30" s="6" t="n"/>
      <c r="Q30" s="6" t="n">
        <v>0.4</v>
      </c>
    </row>
    <row r="31">
      <c r="A31" s="6" t="inlineStr">
        <is>
          <t>Past due &gt;20% impaired secured (50% risk weight)</t>
        </is>
      </c>
      <c r="B31" s="6" t="n"/>
      <c r="C31" s="6" t="n"/>
      <c r="D31" s="6" t="n"/>
      <c r="E31" s="6" t="n"/>
      <c r="F31" s="6" t="n"/>
      <c r="G31" s="6" t="n"/>
      <c r="H31" s="6" t="n"/>
      <c r="I31" s="6" t="n"/>
      <c r="J31" s="6" t="n"/>
      <c r="K31" s="6" t="n"/>
      <c r="L31" s="6" t="n"/>
      <c r="M31" s="6" t="n">
        <v>1.1</v>
      </c>
      <c r="N31" s="6" t="n">
        <v>0.5</v>
      </c>
      <c r="O31" s="6" t="n"/>
      <c r="P31" s="6" t="n"/>
      <c r="Q31" s="6" t="n"/>
    </row>
    <row r="32">
      <c r="A32" s="6" t="inlineStr">
        <is>
          <t>Contingent assets - secured and unsecured lending facilities</t>
        </is>
      </c>
      <c r="B32" s="6" t="n"/>
      <c r="C32" s="6" t="n"/>
      <c r="D32" s="6" t="n"/>
      <c r="E32" s="6" t="n"/>
      <c r="F32" s="6" t="n"/>
      <c r="G32" s="6" t="n"/>
      <c r="H32" s="6" t="n"/>
      <c r="I32" s="6" t="n"/>
      <c r="J32" s="6" t="n"/>
      <c r="K32" s="6" t="n"/>
      <c r="L32" s="6" t="n"/>
      <c r="M32" s="6" t="n">
        <v>64.3</v>
      </c>
      <c r="N32" s="6" t="n">
        <v>30.5</v>
      </c>
      <c r="O32" s="6" t="n"/>
      <c r="P32" s="6" t="n">
        <v>3.2</v>
      </c>
      <c r="Q32" s="6" t="n"/>
    </row>
    <row r="33">
      <c r="A33" s="6" t="inlineStr">
        <is>
          <t>Cash and balances with the Bank of England, and UK government bonds (0% risk weight)</t>
        </is>
      </c>
      <c r="B33" s="6" t="n"/>
      <c r="C33" s="6" t="n"/>
      <c r="D33" s="6" t="n"/>
      <c r="E33" s="6" t="n"/>
      <c r="F33" s="6" t="n"/>
      <c r="G33" s="6" t="n"/>
      <c r="H33" s="6" t="n"/>
      <c r="I33" s="6" t="n"/>
      <c r="J33" s="6" t="n"/>
      <c r="K33" s="6" t="n"/>
      <c r="L33" s="6" t="n"/>
      <c r="M33" s="6" t="n">
        <v>0</v>
      </c>
      <c r="N33" s="6" t="n">
        <v>0</v>
      </c>
      <c r="O33" s="6" t="n"/>
      <c r="P33" s="6" t="n">
        <v>0</v>
      </c>
      <c r="Q33" s="6" t="n">
        <v>0</v>
      </c>
    </row>
    <row r="34">
      <c r="A34" s="5" t="inlineStr">
        <is>
          <t>Total credit risk RWA, Basel II standardised approach (excludes operational risk, which is never quantified)</t>
        </is>
      </c>
      <c r="B34" s="5" t="n"/>
      <c r="C34" s="5" t="n"/>
      <c r="D34" s="5" t="n"/>
      <c r="E34" s="5" t="n"/>
      <c r="F34" s="5" t="n"/>
      <c r="G34" s="5" t="n"/>
      <c r="H34" s="5" t="n"/>
      <c r="I34" s="5" t="n"/>
      <c r="J34" s="5" t="n"/>
      <c r="K34" s="5" t="n"/>
      <c r="L34" s="5" t="n"/>
      <c r="M34" s="5" t="n">
        <v>1415.9</v>
      </c>
      <c r="N34" s="5" t="n">
        <v>775.3</v>
      </c>
      <c r="O34" s="5" t="inlineStr">
        <is>
          <t>Unreached today – FY2012 Pillar 3 ('Pillar 3 Disclosure update - December 2012.pdf', linked Feb 2014): not in Wayback, archive.ph or Common Crawl; live 404 incl. globalassets slugs (2026-09-19); FY2013 edition has no 2012 column</t>
        </is>
      </c>
      <c r="P34" s="5" t="n">
        <v>93.2</v>
      </c>
      <c r="Q34" s="5" t="n">
        <v>19</v>
      </c>
    </row>
    <row r="36" ht="364" customHeight="1">
      <c r="A36"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38" ht="390" customHeight="1">
      <c r="A38"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40" ht="390" customHeight="1">
      <c r="A40"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t>
        </is>
      </c>
    </row>
    <row r="42" ht="250" customHeight="1">
      <c r="A42" s="8" t="inlineStr">
        <is>
          <t>(continued)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2026-09-18 FY2015 BLOCK (interior-gap pass): FY2015 had been blank on this sheet while FY2016 above and FY2014 below were populated - an interior hole, which cannot be explained by the template not yet existing. No FY2015 Pillar 3 edition exists (see the Total RWAs sheet note for the Wayback enumeration that establishes this), but the FY2016 edition prints its 'Standardised Credit Risk' exposure table with a full 2015 comparative column of exposure values and RWAs - section 7.1, p.16 of https://www.metrobankonline.co.uk/globalassets/legal-information/pillar-3-disclosure-2016.pdf - and that column is what the FY2015 rows reproduce. It is kept in its own section because it is a THIRD template, distinct from both the UK/EU OV1 rows and the Basel II rows: CRD IV-era exposure classes, credit risk only, no operational-risk line at all. Consequently FY2015's 2,261 here is NOT the same quantity as FY2015's 2,261.2 on the Total RWAs sheet, which comes from the Annual Report and Accounts 2016's 'Capital structure' table - they happen to be equal to the nearest GBP 0.1m, and that coincidence is left standing as each document states it rather than being asserted as an identity. SOURCE-FOOTING BREAK, REPRODUCED NOT SMOOTHED: the seven FY2015 rows sum to 2,262 against the 2,261 the table prints on its own Total line. The same table's 2016 column has the same GBP 1m break (rows sum to 3,455 against a printed 3,454), so this is the bank's own rounding, not a transcription slip. The printed total is what the TOTAL row carries and no row has been adjusted to close the gap; the workbook verifier's reconciliation check reports this block as a mismatch for exactly that reason, and that report is correct and expected.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4">
    <mergeCell ref="A38:Q38"/>
    <mergeCell ref="A40:Q40"/>
    <mergeCell ref="A42:Q42"/>
    <mergeCell ref="A36:Q3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4"/>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39"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364"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12" ht="390" customHeight="1">
      <c r="A12"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4" ht="299" customHeight="1">
      <c r="A14"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8:Q8"/>
    <mergeCell ref="A10:Q10"/>
    <mergeCell ref="A14:Q14"/>
    <mergeCell ref="A12:Q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inlineStr">
        <is>
          <t>Not disclosed in any located FY2015/FY2016 document</t>
        </is>
      </c>
      <c r="M6" s="6" t="inlineStr">
        <is>
          <t>Not applicable (pre-dates the 1 October 2015 UK LCR requirement)</t>
        </is>
      </c>
      <c r="N6" s="6" t="inlineStr">
        <is>
          <t>Not applicable (Basel II)</t>
        </is>
      </c>
      <c r="O6" s="6" t="inlineStr">
        <is>
          <t>Not applicable (Basel II)</t>
        </is>
      </c>
      <c r="P6" s="6" t="inlineStr">
        <is>
          <t>Not applicable (Basel II)</t>
        </is>
      </c>
      <c r="Q6" s="6" t="inlineStr">
        <is>
          <t>Not applicable (Basel II)</t>
        </is>
      </c>
    </row>
    <row r="7" ht="104"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FY2015 AND FY2014 CLOSED 2026-09-18 (interior-gap pass) - the ratio cells now carry an explicit statement instead of a blank, so the two years read as settled rather than as outstanding gaps, and the HQLA/net-outflow rows stay blank because no such figures exist to put in them. FY2014 is marked STRUCTURALLY INAPPLICABLE for the same reason FY2010-FY2013 are: the LCR only became a UK requirement on 1 October 2015, nine months after that year-end, and the FY2014 Pillar 3 edition contains no occurrence of 'LCR' or 'liquidity coverage' anywhere in its 21 pages. FY2015 is a different finding and is deliberately worded differently: its year-end falls three months AFTER the LCR took effect, so a disclosure was possible - it simply was not made in anything that can be read. Enumerated rather than assumed, on 2026-09-18: 'LCR'/'liquidity coverage' appears ZERO times in the Annual Report and Accounts 2015 (86pp), ZERO times in the Annual Report and Accounts 2016 (118pp) and ZERO times in the Pillar 3 Disclosure 2016 (25pp) - and the earliest Metro LCR figure that exists anywhere is 136% for FY2016, which appears only as a prior-year comparative inside the FY2017 documents ('remaining strong at 141% (2016: 136%)', Pillar 3 Disclosure 2017 and Annual Report and Accounts 2017). No FY2015 Pillar 3 edition exists to check (see the Total RWAs sheet note for the Wayback enumeration), and the FY2016 edition states 'There have been no material changes in disclosure since the Pillar 3 report for 2015' while itself disclosing no LCR - consistent with the FY2015 edition having disclosed none either, though that last step is an inference and is flagged as one. The same grep run over the Pillar 3 Disclosure 2022 returns many LCR hits, so the search instrument is known to work on these documents. HD-049: FY2020 absolute HQLA/net outflow £m were not located (Pillar 3 2020 discloses only the ratio in the executive summary reviewed this session)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364"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11" ht="390" customHeight="1">
      <c r="A11"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3" ht="299" customHeight="1">
      <c r="A13"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7:Q7"/>
    <mergeCell ref="A9:Q9"/>
    <mergeCell ref="A13:Q1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inlineStr">
        <is>
          <t>Not applicable (pre-dates the UK NSFR requirement)</t>
        </is>
      </c>
      <c r="G6" s="6" t="inlineStr">
        <is>
          <t>Not applicable (pre-dates the UK NSFR requirement)</t>
        </is>
      </c>
      <c r="H6" s="6" t="inlineStr">
        <is>
          <t>Not applicable (pre-dates the UK NSFR requirement)</t>
        </is>
      </c>
      <c r="I6" s="6" t="inlineStr">
        <is>
          <t>Not applicable (pre-dates the UK NSFR requirement)</t>
        </is>
      </c>
      <c r="J6" s="6" t="inlineStr">
        <is>
          <t>Not applicable (pre-dates the UK NSFR requirement)</t>
        </is>
      </c>
      <c r="K6" s="6" t="inlineStr">
        <is>
          <t>Not applicable (pre-dates the UK NSFR requirement)</t>
        </is>
      </c>
      <c r="L6" s="6" t="inlineStr">
        <is>
          <t>Not applicable (pre-dates the UK NSFR requirement)</t>
        </is>
      </c>
      <c r="M6" s="6" t="inlineStr">
        <is>
          <t>Not applicable (pre-dates the UK NSFR requirement)</t>
        </is>
      </c>
      <c r="N6" s="6" t="inlineStr">
        <is>
          <t>Not applicable – no UK NSFR requirement before 1 Jan 2022 (PRA PS17/21); the FY2010/11/13 Basel II Pillar 3s contain no 'NSFR'</t>
        </is>
      </c>
      <c r="O6" s="6" t="inlineStr">
        <is>
          <t>Not applicable – no UK NSFR requirement before 1 Jan 2022 (PRA PS17/21); the FY2010/11/13 Basel II Pillar 3s contain no 'NSFR'</t>
        </is>
      </c>
      <c r="P6" s="6" t="inlineStr">
        <is>
          <t>Not applicable – no UK NSFR requirement before 1 Jan 2022 (PRA PS17/21); the FY2010/11/13 Basel II Pillar 3s contain no 'NSFR'</t>
        </is>
      </c>
      <c r="Q6" s="6" t="inlineStr">
        <is>
          <t>Not applicable – no UK NSFR requirement before 1 Jan 2022 (PRA PS17/21); the FY2010/11/13 Basel II Pillar 3s contain no 'NSFR'</t>
        </is>
      </c>
    </row>
    <row r="7" ht="65"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FY2014-FY2021 CLOSED 2026-09-18 (interior-gap pass): these eight years previously stood BLANK with the prose note alone saying they were not yet a requirement, which made them read as eight outstanding gaps sitting between a populated FY2022 and eight 'Not applicable' cells below. They are now marked on the face of the sheet, on the same footing as FY2010-FY2013 and for the same reason - the NSFR became a binding UK requirement only on 1 January 2022, so no year ending on or before 31 December 2021 could have one. THIS IS ENUMERATED, NOT ASSUMED. Every Metro Bank Pillar 3 edition that exists for those years was fetched on 2026-09-18 and searched for 'NSFR' and 'net stable funding': FY2014 (21pp), FY2016 (25pp), FY2017, FY2018, FY2019, FY2020 and FY2021 (80pp) return ZERO occurrences each; so do the Annual Report and Accounts for 2015, 2016 and 2017. FY2015 has no Pillar 3 edition at all (see the Total RWAs sheet note for the Wayback enumeration), and its own Annual Report likewise has none. POSITIVE CONTROL, so that the zeros are known to mean something: the identical search over the Pillar 3 Disclosure 2022 returns 12 occurrences, including 'Table 16 UK LIQ2 Net Stable Funding Ratio' and the quantitative row this sheet's FY2022 column is taken from. The instrument works; these years genuinely have no NSFR. FY2023-FY2025 are Holdings Group figures after the restructure. CORRECTED 2026-09-03 (ST-026): FY2023-FY2025 previously showed the 30 June interim column instead of 31 December year-end.</t>
        </is>
      </c>
    </row>
    <row r="9" ht="364"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11" ht="390" customHeight="1">
      <c r="A11"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3" ht="299" customHeight="1">
      <c r="A13"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7:Q7"/>
    <mergeCell ref="A9:Q9"/>
    <mergeCell ref="A13:Q1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26.1%</t>
        </is>
      </c>
      <c r="C4" s="6" t="inlineStr">
        <is>
          <t>23.0%</t>
        </is>
      </c>
      <c r="D4" s="6" t="inlineStr">
        <is>
          <t>22.0%</t>
        </is>
      </c>
      <c r="E4" s="6" t="inlineStr">
        <is>
          <t>17.7%</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143"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FY2022-FY2025 CORRECTED 18 September 2026 (KM1-032). These four cells previously read 'Not disclosed', on the recorded ground that 'no quantitative MREL ratio was located in the later KM1 tables reviewed'. THE CLAIM WAS FALSE, and the sentence names its own error: the search was of KM1, and Metro does not publish MREL in KM1. It publishes it in UK KM2 - Key metrics: MREL, a separate template, present as Table 4 or Table 5 of every edition from FY2022 on. A SECOND failure compounded the first and is worth recording, because a text search cannot detect it: in the FY2023, FY2024 and FY2025 editions the KM2 table's VALUE COLUMNS DO NOT EXTRACT under pdftotext at all - the row labels come out, the numbers come out empty, and the table renders perfectly on screen. So a text-based sweep of those documents sees the table caption and no figures, and reports 'searched, found nothing' with complete confidence. Every figure below was read from a 150-160dpi page render of the printed table, and each was then cross-checked against the adjacent edition's comparative column, which reproduces it exactly. Sources, each year from its OWN edition (rows 5 of UK KM2, Total MREL resources as a percentage of total risk-weighted assets): FY2025 26.1% - Pillar 3 2025, printed p.11, Table 5, column '31 December 2025' (MREL resources GBP 1,754m / RWAs GBP 6,711m). FY2024 23.0% - Pillar 3 2024, printed p.13, Table 5, column '31 December 2024' (1,479 / 6,442). FY2023 22.0% - Pillar 3 2023, printed p.13, Table 5, column '31 December 2023' (1,655 / 7,533). FY2022 17.7% - Pillar 3 2022, printed p.12, Table 4, column '31 December 2022' (1,416 / 7,990). FY2021 20.5% - Pillar 3 2022, printed p.12, Table 4, comparative column '31 December 2021' (1,527 / 7,454), which independently confirms the figure already carried here. The corresponding leverage-exposure-basis ratios (KM2 row 7), recorded but not used on this sheet because this sheet reports the RWA basis: 12.7% / 10.3% / 9.0% / 7.3% / 8.5%. ENTITY AND BASIS BREAK AT FY2023, recorded rather than merged: the FY2022 edition's running head reads 'Metro Bank PLC Pillar 3 2022', while the FY2023, FY2024 and FY2025 editions read 'Metro Bank Holdings PLC | Pillar 3 20XX'. FY2021 and FY2022 are therefore Metro Bank PLC and FY2023 onwards are Metro Bank Holdings PLC consolidated - the holding-company insertion of 19 May 2023 already described on the Cash Flow Statement sheet. The FY2023 edition confirms the holdco is the resolution entity ('MREL-eligible debt is exclusively provided from Metro Bank Holdings PLC'). The FY2021 cell's 20.5% is a standalone UK KM2 MREL ratio on the RWA basis, so the 'total capital plus MREL ratio' caveat recorded below for FY2019/FY2020 does NOT apply to it. WHY THE SERIES STOPS AFTER FY2025, stated in the Bank's own words (Pillar 3 2025, section 8, printed p.28): 'In December, the Bank of England confirmed that the Bank will be treated as a transfer firm under its MREL-related resolution framework, effective 1 January 2026.' Metro's external MREL consequently falls to its minimum capital requirement, which is also why it appears in the Bank of England's published external-MREL tables for 2023, 2024 and 2025 and not in the 2026 edition.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364"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t>
        </is>
      </c>
    </row>
    <row r="9" ht="390" customHeight="1">
      <c r="A9" s="8" t="inlineStr">
        <is>
          <t>(continued)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t>
        </is>
      </c>
    </row>
    <row r="11" ht="299" customHeight="1">
      <c r="A11" s="8" t="inlineStr">
        <is>
          <t>(continued)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4">
    <mergeCell ref="A11:Q11"/>
    <mergeCell ref="A5:Q5"/>
    <mergeCell ref="A7:Q7"/>
    <mergeCell ref="A9:Q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3"/>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30" customHeight="1">
      <c r="A32" s="8"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2026-10-10T15:08:34Z</dcterms:created>
  <dcterms:modified xmlns:dcterms="http://purl.org/dc/terms/" xmlns:xsi="http://www.w3.org/2001/XMLSchema-instance" xsi:type="dcterms:W3CDTF">2026-10-10T15:08:35Z</dcterms:modified>
</cp:coreProperties>
</file>