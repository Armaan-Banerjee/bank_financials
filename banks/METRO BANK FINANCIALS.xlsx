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c r="C8" s="6" t="n"/>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c r="C14" s="6" t="n"/>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c r="C15" s="6" t="n"/>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c r="C16" s="6" t="n"/>
      <c r="D16" s="6" t="n">
        <v>15</v>
      </c>
      <c r="E16" s="6" t="n">
        <v>31</v>
      </c>
      <c r="F16" s="6" t="n">
        <v>31</v>
      </c>
      <c r="G16" s="6" t="n"/>
      <c r="H16" s="6" t="n"/>
      <c r="I16" s="6" t="n"/>
      <c r="J16" s="6" t="n"/>
      <c r="K16" s="6" t="n"/>
      <c r="L16" s="6" t="n"/>
      <c r="M16" s="6" t="n"/>
      <c r="N16" s="6" t="n"/>
      <c r="O16" s="6" t="n"/>
      <c r="P16" s="6" t="n"/>
      <c r="Q16" s="6" t="n"/>
    </row>
    <row r="17">
      <c r="A17" s="6" t="inlineStr">
        <is>
          <t>Intangible assets</t>
        </is>
      </c>
      <c r="B17" s="6" t="n"/>
      <c r="C17" s="6" t="n"/>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c r="C18" s="6" t="n"/>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c r="C19" s="6" t="n"/>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c r="C21" s="6" t="n"/>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c r="C22" s="5" t="n"/>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c r="C24" s="6" t="n"/>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c r="C25" s="6" t="n"/>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c r="C26" s="6" t="n"/>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c r="C28" s="6" t="n"/>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c r="C29" s="6" t="n"/>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c r="C30" s="6" t="n"/>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c r="C31" s="6" t="n"/>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c r="C32" s="6" t="n"/>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c r="C34" s="6" t="n"/>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c r="C35" s="5" t="n"/>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c r="C37" s="6" t="n"/>
      <c r="D37" s="6" t="n"/>
      <c r="E37" s="6" t="n"/>
      <c r="F37" s="6" t="n"/>
      <c r="G37" s="6" t="n"/>
      <c r="H37" s="6" t="n"/>
      <c r="I37" s="6" t="n"/>
      <c r="J37" s="6" t="n"/>
      <c r="K37" s="6" t="n"/>
      <c r="L37" s="6" t="n"/>
      <c r="M37" s="6" t="n"/>
      <c r="N37" s="6" t="n"/>
      <c r="O37" s="6" t="n"/>
      <c r="P37" s="6" t="n"/>
      <c r="Q37" s="6" t="n"/>
    </row>
    <row r="38">
      <c r="A38" s="6" t="inlineStr">
        <is>
          <t>Share premium</t>
        </is>
      </c>
      <c r="B38" s="6" t="n"/>
      <c r="C38" s="6" t="n"/>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c r="C39" s="6" t="n"/>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reserves</t>
        </is>
      </c>
      <c r="B40" s="6" t="n"/>
      <c r="C40" s="6" t="n"/>
      <c r="D40" s="6" t="n">
        <v>12</v>
      </c>
      <c r="E40" s="6" t="n">
        <v>7</v>
      </c>
      <c r="F40" s="6" t="n">
        <v>13</v>
      </c>
      <c r="G40" s="6" t="n">
        <v>19</v>
      </c>
      <c r="H40" s="6" t="n">
        <v>11</v>
      </c>
      <c r="I40" s="6" t="n">
        <v>7</v>
      </c>
      <c r="J40" s="6" t="n">
        <v>12</v>
      </c>
      <c r="K40" s="6" t="n">
        <v>7</v>
      </c>
      <c r="L40" s="6" t="n">
        <v>-9</v>
      </c>
      <c r="M40" s="6" t="n">
        <v>-3</v>
      </c>
      <c r="N40" s="6" t="n">
        <v>-6.8</v>
      </c>
      <c r="O40" s="6" t="n">
        <v>8.9</v>
      </c>
      <c r="P40" s="6" t="n">
        <v>0.2</v>
      </c>
      <c r="Q40" s="6" t="n"/>
    </row>
    <row r="41">
      <c r="A41" s="5" t="inlineStr">
        <is>
          <t>Total equity</t>
        </is>
      </c>
      <c r="B41" s="5" t="n"/>
      <c r="C41" s="5" t="n"/>
      <c r="D41" s="5" t="n">
        <v>1152</v>
      </c>
      <c r="E41" s="5" t="n">
        <v>957</v>
      </c>
      <c r="F41" s="5" t="n">
        <v>1036</v>
      </c>
      <c r="G41" s="5" t="n">
        <v>1289</v>
      </c>
      <c r="H41" s="5" t="n">
        <v>1583</v>
      </c>
      <c r="I41" s="5" t="n">
        <v>1403</v>
      </c>
      <c r="J41" s="5" t="n">
        <v>1096</v>
      </c>
      <c r="K41" s="5" t="n">
        <v>805</v>
      </c>
      <c r="L41" s="5" t="n">
        <v>407</v>
      </c>
      <c r="M41" s="5" t="n">
        <v>462</v>
      </c>
      <c r="N41" s="5" t="n">
        <v>405</v>
      </c>
      <c r="O41" s="5" t="n">
        <v>178.2</v>
      </c>
      <c r="P41" s="5" t="n">
        <v>78</v>
      </c>
      <c r="Q41" s="5" t="n">
        <v>96.8</v>
      </c>
    </row>
    <row r="42">
      <c r="A42" s="5" t="inlineStr">
        <is>
          <t>Total equity and liabilities</t>
        </is>
      </c>
      <c r="B42" s="5" t="n"/>
      <c r="C42" s="5" t="n"/>
      <c r="D42" s="5" t="n">
        <v>22257</v>
      </c>
      <c r="E42" s="5" t="n">
        <v>22126</v>
      </c>
      <c r="F42" s="5" t="n">
        <v>22583</v>
      </c>
      <c r="G42" s="5" t="n">
        <v>22579</v>
      </c>
      <c r="H42" s="5" t="n">
        <v>21400</v>
      </c>
      <c r="I42" s="5" t="n">
        <v>21647</v>
      </c>
      <c r="J42" s="5" t="n">
        <v>16355</v>
      </c>
      <c r="K42" s="5" t="n">
        <v>10057</v>
      </c>
      <c r="L42" s="5" t="n">
        <v>6148</v>
      </c>
      <c r="M42" s="5" t="n">
        <v>3661</v>
      </c>
      <c r="N42" s="5" t="n">
        <v>1891.6</v>
      </c>
      <c r="O42" s="5" t="n">
        <v>771.2</v>
      </c>
      <c r="P42" s="5" t="n">
        <v>240.3</v>
      </c>
      <c r="Q42" s="5" t="n">
        <v>119.1</v>
      </c>
    </row>
    <row r="44" ht="340" customHeight="1">
      <c r="A44"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4:Q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Balance at 19 September 2009 (opening, Company basis - conversion to PLC)</t>
        </is>
      </c>
      <c r="B4" s="5" t="n">
        <v>0.1</v>
      </c>
      <c r="C4" s="5" t="n">
        <v>0</v>
      </c>
      <c r="D4" s="5" t="n">
        <v>0</v>
      </c>
      <c r="E4" s="5" t="n"/>
      <c r="F4" s="5" t="n"/>
      <c r="G4" s="5" t="n"/>
      <c r="H4" s="5" t="n">
        <v>0.1</v>
      </c>
    </row>
    <row r="5">
      <c r="A5" s="6" t="inlineStr">
        <is>
          <t>Net loss for the period (16 months to 31 December 2010)</t>
        </is>
      </c>
      <c r="B5" s="6" t="n"/>
      <c r="C5" s="6" t="n"/>
      <c r="D5" s="6" t="n">
        <v>-23.4</v>
      </c>
      <c r="E5" s="6" t="n"/>
      <c r="F5" s="6" t="n"/>
      <c r="G5" s="6" t="n"/>
      <c r="H5" s="6" t="n">
        <v>-23.4</v>
      </c>
    </row>
    <row r="6">
      <c r="A6" s="6" t="inlineStr">
        <is>
          <t>Issue of new ordinary shares</t>
        </is>
      </c>
      <c r="B6" s="6" t="n"/>
      <c r="C6" s="6" t="n">
        <v>120.1</v>
      </c>
      <c r="D6" s="6" t="n"/>
      <c r="E6" s="6" t="n"/>
      <c r="F6" s="6" t="n"/>
      <c r="G6" s="6" t="n"/>
      <c r="H6" s="6" t="n">
        <v>120.1</v>
      </c>
    </row>
    <row r="7">
      <c r="A7" s="6" t="inlineStr">
        <is>
          <t>Repayment of preference shares</t>
        </is>
      </c>
      <c r="B7" s="6" t="n">
        <v>-0.1</v>
      </c>
      <c r="C7" s="6" t="n"/>
      <c r="D7" s="6" t="n"/>
      <c r="E7" s="6" t="n"/>
      <c r="F7" s="6" t="n"/>
      <c r="G7" s="6" t="n"/>
      <c r="H7" s="6" t="n">
        <v>-0.1</v>
      </c>
    </row>
    <row r="8">
      <c r="A8" s="5" t="inlineStr">
        <is>
          <t>Balance as at 31 December 2010 (FY2010 closing, 16-month first accounts, Company basis)</t>
        </is>
      </c>
      <c r="B8" s="5" t="n">
        <v>0</v>
      </c>
      <c r="C8" s="5" t="n">
        <v>120.1</v>
      </c>
      <c r="D8" s="5" t="n">
        <v>-23.3</v>
      </c>
      <c r="E8" s="5" t="n"/>
      <c r="F8" s="5" t="n"/>
      <c r="G8" s="5" t="n"/>
      <c r="H8" s="5" t="n">
        <v>96.8</v>
      </c>
    </row>
    <row r="9">
      <c r="A9" s="6" t="inlineStr">
        <is>
          <t>Net loss for the year</t>
        </is>
      </c>
      <c r="B9" s="6" t="n"/>
      <c r="C9" s="6" t="n"/>
      <c r="D9" s="6" t="n">
        <v>-19</v>
      </c>
      <c r="E9" s="6" t="n"/>
      <c r="F9" s="6" t="n"/>
      <c r="G9" s="6" t="n"/>
      <c r="H9" s="6" t="n">
        <v>-19</v>
      </c>
    </row>
    <row r="10">
      <c r="A10" s="6" t="inlineStr">
        <is>
          <t>Other comprehensive income relating to available-for-sale investments, net of tax</t>
        </is>
      </c>
      <c r="B10" s="6" t="n"/>
      <c r="C10" s="6" t="n"/>
      <c r="D10" s="6" t="n"/>
      <c r="E10" s="6" t="n">
        <v>0.1</v>
      </c>
      <c r="F10" s="6" t="n"/>
      <c r="G10" s="6" t="n"/>
      <c r="H10" s="6" t="n">
        <v>0.1</v>
      </c>
    </row>
    <row r="11">
      <c r="A11" s="6" t="inlineStr">
        <is>
          <t>Share options at fair value</t>
        </is>
      </c>
      <c r="B11" s="6" t="n"/>
      <c r="C11" s="6" t="n"/>
      <c r="D11" s="6" t="n"/>
      <c r="E11" s="6" t="n"/>
      <c r="F11" s="6" t="n">
        <v>0.1</v>
      </c>
      <c r="G11" s="6" t="n"/>
      <c r="H11" s="6" t="n">
        <v>0.1</v>
      </c>
    </row>
    <row r="12">
      <c r="A12" s="5" t="inlineStr">
        <is>
          <t>Balance as at 31 December 2011 (FY2011 closing, Company basis)</t>
        </is>
      </c>
      <c r="B12" s="5" t="n">
        <v>0</v>
      </c>
      <c r="C12" s="5" t="n">
        <v>120.1</v>
      </c>
      <c r="D12" s="5" t="n">
        <v>-42.3</v>
      </c>
      <c r="E12" s="5" t="n">
        <v>0.1</v>
      </c>
      <c r="F12" s="5" t="n">
        <v>0.1</v>
      </c>
      <c r="G12" s="5" t="n"/>
      <c r="H12" s="5" t="n">
        <v>78</v>
      </c>
    </row>
    <row r="13">
      <c r="A13" s="6" t="inlineStr">
        <is>
          <t>Share issue</t>
        </is>
      </c>
      <c r="B13" s="6" t="n"/>
      <c r="C13" s="6" t="n">
        <v>126</v>
      </c>
      <c r="D13" s="6" t="n"/>
      <c r="E13" s="6" t="n"/>
      <c r="F13" s="6" t="n"/>
      <c r="G13" s="6" t="n"/>
      <c r="H13" s="6" t="n">
        <v>126</v>
      </c>
    </row>
    <row r="14">
      <c r="A14" s="6" t="inlineStr">
        <is>
          <t>Net loss for the year</t>
        </is>
      </c>
      <c r="B14" s="6" t="n"/>
      <c r="C14" s="6" t="n"/>
      <c r="D14" s="6" t="n">
        <v>-34.6</v>
      </c>
      <c r="E14" s="6" t="n"/>
      <c r="F14" s="6" t="n"/>
      <c r="G14" s="6" t="n"/>
      <c r="H14" s="6" t="n">
        <v>-34.6</v>
      </c>
    </row>
    <row r="15">
      <c r="A15" s="6" t="inlineStr">
        <is>
          <t>Other comprehensive income relating to available-for-sale investments, net of tax</t>
        </is>
      </c>
      <c r="B15" s="6" t="n"/>
      <c r="C15" s="6" t="n"/>
      <c r="D15" s="6" t="n"/>
      <c r="E15" s="6" t="n">
        <v>8.5</v>
      </c>
      <c r="F15" s="6" t="n"/>
      <c r="G15" s="6" t="n"/>
      <c r="H15" s="6" t="n">
        <v>8.5</v>
      </c>
    </row>
    <row r="16">
      <c r="A16" s="6" t="inlineStr">
        <is>
          <t>Share options at fair value</t>
        </is>
      </c>
      <c r="B16" s="6" t="n"/>
      <c r="C16" s="6" t="n"/>
      <c r="D16" s="6" t="n"/>
      <c r="E16" s="6" t="n"/>
      <c r="F16" s="6" t="n">
        <v>0.3</v>
      </c>
      <c r="G16" s="6" t="n"/>
      <c r="H16" s="6" t="n">
        <v>0.3</v>
      </c>
    </row>
    <row r="17">
      <c r="A17" s="5" t="inlineStr">
        <is>
          <t>Balance as at 31 December 2012 (FY2012 closing, Company basis)</t>
        </is>
      </c>
      <c r="B17" s="5" t="n">
        <v>0</v>
      </c>
      <c r="C17" s="5" t="n">
        <v>246.2</v>
      </c>
      <c r="D17" s="5" t="n">
        <v>-76.90000000000001</v>
      </c>
      <c r="E17" s="5" t="n">
        <v>8.6</v>
      </c>
      <c r="F17" s="5" t="n">
        <v>0.4</v>
      </c>
      <c r="G17" s="5" t="n"/>
      <c r="H17" s="5" t="n">
        <v>178.2</v>
      </c>
    </row>
    <row r="18">
      <c r="A18" s="6" t="inlineStr">
        <is>
          <t>Share issue</t>
        </is>
      </c>
      <c r="B18" s="6" t="n"/>
      <c r="C18" s="6" t="n">
        <v>284.3</v>
      </c>
      <c r="D18" s="6" t="n"/>
      <c r="E18" s="6" t="n"/>
      <c r="F18" s="6" t="n"/>
      <c r="G18" s="6" t="n"/>
      <c r="H18" s="6" t="n">
        <v>284.3</v>
      </c>
    </row>
    <row r="19">
      <c r="A19" s="6" t="inlineStr">
        <is>
          <t>Net loss for the year</t>
        </is>
      </c>
      <c r="B19" s="6" t="n"/>
      <c r="C19" s="6" t="n"/>
      <c r="D19" s="6" t="n">
        <v>-41.8</v>
      </c>
      <c r="E19" s="6" t="n"/>
      <c r="F19" s="6" t="n"/>
      <c r="G19" s="6" t="n"/>
      <c r="H19" s="6" t="n">
        <v>-41.8</v>
      </c>
    </row>
    <row r="20">
      <c r="A20" s="6" t="inlineStr">
        <is>
          <t>Other comprehensive expense relating to available-for-sale investments, net of tax</t>
        </is>
      </c>
      <c r="B20" s="6" t="n"/>
      <c r="C20" s="6" t="n"/>
      <c r="D20" s="6" t="n"/>
      <c r="E20" s="6" t="n">
        <v>-16.1</v>
      </c>
      <c r="F20" s="6" t="n"/>
      <c r="G20" s="6" t="n"/>
      <c r="H20" s="6" t="n">
        <v>-16.1</v>
      </c>
    </row>
    <row r="21">
      <c r="A21" s="6" t="inlineStr">
        <is>
          <t>Share options at fair value</t>
        </is>
      </c>
      <c r="B21" s="6" t="n"/>
      <c r="C21" s="6" t="n"/>
      <c r="D21" s="6" t="n"/>
      <c r="E21" s="6" t="n"/>
      <c r="F21" s="6" t="n">
        <v>0.4</v>
      </c>
      <c r="G21" s="6" t="n"/>
      <c r="H21" s="6" t="n">
        <v>0.4</v>
      </c>
    </row>
    <row r="22">
      <c r="A22" s="5" t="inlineStr">
        <is>
          <t>Balance as at 31 December 2013 (FY2013 closing, own contemporaneous figures, Group basis)</t>
        </is>
      </c>
      <c r="B22" s="5" t="n">
        <v>0</v>
      </c>
      <c r="C22" s="5" t="n">
        <v>530.5</v>
      </c>
      <c r="D22" s="5" t="n">
        <v>-118.7</v>
      </c>
      <c r="E22" s="5" t="n">
        <v>-7.5</v>
      </c>
      <c r="F22" s="5" t="n">
        <v>0.8</v>
      </c>
      <c r="G22" s="5" t="n"/>
      <c r="H22" s="5" t="n">
        <v>405</v>
      </c>
    </row>
    <row r="23">
      <c r="A23" s="5" t="inlineStr">
        <is>
          <t>At 1 January 2014 (FY2014 opening, restated, Group basis)</t>
        </is>
      </c>
      <c r="B23" s="5" t="n">
        <v>0</v>
      </c>
      <c r="C23" s="5" t="n">
        <v>530</v>
      </c>
      <c r="D23" s="5" t="n">
        <v>-123</v>
      </c>
      <c r="E23" s="5" t="n">
        <v>-8</v>
      </c>
      <c r="F23" s="5" t="n">
        <v>1</v>
      </c>
      <c r="G23" s="5" t="n"/>
      <c r="H23" s="5" t="n">
        <v>401</v>
      </c>
    </row>
    <row r="24">
      <c r="A24" s="6" t="inlineStr">
        <is>
          <t>Loss for the year</t>
        </is>
      </c>
      <c r="B24" s="6" t="n"/>
      <c r="C24" s="6" t="n"/>
      <c r="D24" s="6" t="n">
        <v>-41</v>
      </c>
      <c r="E24" s="6" t="n"/>
      <c r="F24" s="6" t="n"/>
      <c r="G24" s="6" t="n"/>
      <c r="H24" s="6" t="n">
        <v>-41</v>
      </c>
    </row>
    <row r="25">
      <c r="A25" s="6" t="inlineStr">
        <is>
          <t>Other comprehensive income relating to available-for-sale investments, net of tax</t>
        </is>
      </c>
      <c r="B25" s="6" t="n"/>
      <c r="C25" s="6" t="n"/>
      <c r="D25" s="6" t="n"/>
      <c r="E25" s="6" t="n">
        <v>3</v>
      </c>
      <c r="F25" s="6" t="n"/>
      <c r="G25" s="6" t="n"/>
      <c r="H25" s="6" t="n">
        <v>3</v>
      </c>
    </row>
    <row r="26">
      <c r="A26" s="6" t="inlineStr">
        <is>
          <t>Share issue</t>
        </is>
      </c>
      <c r="B26" s="6" t="n"/>
      <c r="C26" s="6" t="n">
        <v>99</v>
      </c>
      <c r="D26" s="6" t="n"/>
      <c r="E26" s="6" t="n"/>
      <c r="F26" s="6" t="n"/>
      <c r="G26" s="6" t="n"/>
      <c r="H26" s="6" t="n">
        <v>99</v>
      </c>
    </row>
    <row r="27">
      <c r="A27" s="6" t="inlineStr">
        <is>
          <t>Share options at fair value</t>
        </is>
      </c>
      <c r="B27" s="6" t="n"/>
      <c r="C27" s="6" t="n"/>
      <c r="D27" s="6" t="n"/>
      <c r="E27" s="6" t="n"/>
      <c r="F27" s="6" t="n">
        <v>1</v>
      </c>
      <c r="G27" s="6" t="n"/>
      <c r="H27" s="6" t="n">
        <v>1</v>
      </c>
    </row>
    <row r="28">
      <c r="A28" s="5" t="inlineStr">
        <is>
          <t>At 31 December 2014 (FY2014 closing, restated)</t>
        </is>
      </c>
      <c r="B28" s="5" t="n">
        <v>0</v>
      </c>
      <c r="C28" s="5" t="n">
        <v>629</v>
      </c>
      <c r="D28" s="5" t="n">
        <v>-164</v>
      </c>
      <c r="E28" s="5" t="n">
        <v>-4</v>
      </c>
      <c r="F28" s="5" t="n">
        <v>2</v>
      </c>
      <c r="G28" s="5" t="n"/>
      <c r="H28" s="5" t="n">
        <v>462</v>
      </c>
    </row>
    <row r="29">
      <c r="A29" s="6" t="inlineStr">
        <is>
          <t>Loss for the year</t>
        </is>
      </c>
      <c r="B29" s="6" t="n"/>
      <c r="C29" s="6" t="n"/>
      <c r="D29" s="6" t="n">
        <v>-49</v>
      </c>
      <c r="E29" s="6" t="n"/>
      <c r="F29" s="6" t="n"/>
      <c r="G29" s="6" t="n"/>
      <c r="H29" s="6" t="n">
        <v>-49</v>
      </c>
    </row>
    <row r="30">
      <c r="A30" s="6" t="inlineStr">
        <is>
          <t>Other comprehensive expense relating to available-for-sale investments, net of tax</t>
        </is>
      </c>
      <c r="B30" s="6" t="n"/>
      <c r="C30" s="6" t="n"/>
      <c r="D30" s="6" t="n"/>
      <c r="E30" s="6" t="n">
        <v>-8</v>
      </c>
      <c r="F30" s="6" t="n"/>
      <c r="G30" s="6" t="n"/>
      <c r="H30" s="6" t="n">
        <v>-8</v>
      </c>
    </row>
    <row r="31">
      <c r="A31" s="6" t="inlineStr">
        <is>
          <t>Share options at fair value</t>
        </is>
      </c>
      <c r="B31" s="6" t="n"/>
      <c r="C31" s="6" t="n"/>
      <c r="D31" s="6" t="n"/>
      <c r="E31" s="6" t="n"/>
      <c r="F31" s="6" t="n">
        <v>2</v>
      </c>
      <c r="G31" s="6" t="n"/>
      <c r="H31" s="6" t="n">
        <v>2</v>
      </c>
    </row>
    <row r="32">
      <c r="A32" s="5" t="inlineStr">
        <is>
          <t>At 31 December 2015 (FY2015 closing)</t>
        </is>
      </c>
      <c r="B32" s="5" t="n">
        <v>0</v>
      </c>
      <c r="C32" s="5" t="n">
        <v>629</v>
      </c>
      <c r="D32" s="5" t="n">
        <v>-213</v>
      </c>
      <c r="E32" s="5" t="n">
        <v>-12</v>
      </c>
      <c r="F32" s="5" t="n">
        <v>3</v>
      </c>
      <c r="G32" s="5" t="n"/>
      <c r="H32" s="5" t="n">
        <v>407</v>
      </c>
    </row>
    <row r="33">
      <c r="A33" s="6" t="inlineStr">
        <is>
          <t>Loss for the year</t>
        </is>
      </c>
      <c r="B33" s="6" t="n"/>
      <c r="C33" s="6" t="n"/>
      <c r="D33" s="6" t="n">
        <v>-17</v>
      </c>
      <c r="E33" s="6" t="n"/>
      <c r="F33" s="6" t="n"/>
      <c r="G33" s="6" t="n"/>
      <c r="H33" s="6" t="n">
        <v>-17</v>
      </c>
    </row>
    <row r="34">
      <c r="A34" s="6" t="inlineStr">
        <is>
          <t>Other comprehensive income relating to available-for-sale investments, net of tax</t>
        </is>
      </c>
      <c r="B34" s="6" t="n"/>
      <c r="C34" s="6" t="n"/>
      <c r="D34" s="6" t="n"/>
      <c r="E34" s="6" t="n">
        <v>9</v>
      </c>
      <c r="F34" s="6" t="n"/>
      <c r="G34" s="6" t="n"/>
      <c r="H34" s="6" t="n">
        <v>9</v>
      </c>
    </row>
    <row r="35">
      <c r="A35" s="6" t="inlineStr">
        <is>
          <t>Share issue</t>
        </is>
      </c>
      <c r="B35" s="6" t="n"/>
      <c r="C35" s="6" t="n">
        <v>404</v>
      </c>
      <c r="D35" s="6" t="n"/>
      <c r="E35" s="6" t="n"/>
      <c r="F35" s="6" t="n"/>
      <c r="G35" s="6" t="n"/>
      <c r="H35" s="6" t="n">
        <v>404</v>
      </c>
    </row>
    <row r="36">
      <c r="A36" s="6" t="inlineStr">
        <is>
          <t>Cost of share issue</t>
        </is>
      </c>
      <c r="B36" s="6" t="n"/>
      <c r="C36" s="6" t="n">
        <v>-5</v>
      </c>
      <c r="D36" s="6" t="n"/>
      <c r="E36" s="6" t="n"/>
      <c r="F36" s="6" t="n"/>
      <c r="G36" s="6" t="n"/>
      <c r="H36" s="6" t="n">
        <v>-5</v>
      </c>
    </row>
    <row r="37">
      <c r="A37" s="6" t="inlineStr">
        <is>
          <t>Share options at fair value</t>
        </is>
      </c>
      <c r="B37" s="6" t="n"/>
      <c r="C37" s="6" t="n"/>
      <c r="D37" s="6" t="n"/>
      <c r="E37" s="6" t="n"/>
      <c r="F37" s="6" t="n">
        <v>7</v>
      </c>
      <c r="G37" s="6" t="n"/>
      <c r="H37" s="6" t="n">
        <v>7</v>
      </c>
    </row>
    <row r="38">
      <c r="A38" s="5" t="inlineStr">
        <is>
          <t>At 31 December 2016 (FY2016 closing)</t>
        </is>
      </c>
      <c r="B38" s="5" t="n">
        <v>0</v>
      </c>
      <c r="C38" s="5" t="n">
        <v>1028</v>
      </c>
      <c r="D38" s="5" t="n">
        <v>-230</v>
      </c>
      <c r="E38" s="5" t="n">
        <v>-3</v>
      </c>
      <c r="F38" s="5" t="n">
        <v>11</v>
      </c>
      <c r="G38" s="5" t="n"/>
      <c r="H38" s="5" t="n">
        <v>805</v>
      </c>
    </row>
    <row r="39">
      <c r="A39" s="6" t="inlineStr">
        <is>
          <t>Profit for the year</t>
        </is>
      </c>
      <c r="B39" s="6" t="n"/>
      <c r="C39" s="6" t="n"/>
      <c r="D39" s="6" t="n">
        <v>11</v>
      </c>
      <c r="E39" s="6" t="n"/>
      <c r="F39" s="6" t="n"/>
      <c r="G39" s="6" t="n"/>
      <c r="H39" s="6" t="n">
        <v>11</v>
      </c>
    </row>
    <row r="40">
      <c r="A40" s="6" t="inlineStr">
        <is>
          <t>Other comprehensive expense relating to available-for-sale investments, net of tax</t>
        </is>
      </c>
      <c r="B40" s="6" t="n"/>
      <c r="C40" s="6" t="n"/>
      <c r="D40" s="6" t="n"/>
      <c r="E40" s="6" t="n">
        <v>-1</v>
      </c>
      <c r="F40" s="6" t="n"/>
      <c r="G40" s="6" t="n"/>
      <c r="H40" s="6" t="n">
        <v>-1</v>
      </c>
    </row>
    <row r="41">
      <c r="A41" s="6" t="inlineStr">
        <is>
          <t>Share issue</t>
        </is>
      </c>
      <c r="B41" s="6" t="n"/>
      <c r="C41" s="6" t="n">
        <v>279</v>
      </c>
      <c r="D41" s="6" t="n"/>
      <c r="E41" s="6" t="n"/>
      <c r="F41" s="6" t="n"/>
      <c r="G41" s="6" t="n"/>
      <c r="H41" s="6" t="n">
        <v>279</v>
      </c>
    </row>
    <row r="42">
      <c r="A42" s="6" t="inlineStr">
        <is>
          <t>Cost of share issue</t>
        </is>
      </c>
      <c r="B42" s="6" t="n"/>
      <c r="C42" s="6" t="n">
        <v>-3</v>
      </c>
      <c r="D42" s="6" t="n"/>
      <c r="E42" s="6" t="n"/>
      <c r="F42" s="6" t="n"/>
      <c r="G42" s="6" t="n"/>
      <c r="H42" s="6" t="n">
        <v>-3</v>
      </c>
    </row>
    <row r="43">
      <c r="A43" s="6" t="inlineStr">
        <is>
          <t>Net share option movements</t>
        </is>
      </c>
      <c r="B43" s="6" t="n"/>
      <c r="C43" s="6" t="n"/>
      <c r="D43" s="6" t="n"/>
      <c r="E43" s="6" t="n"/>
      <c r="F43" s="6" t="n">
        <v>6</v>
      </c>
      <c r="G43" s="6" t="n"/>
      <c r="H43" s="6" t="n">
        <v>6</v>
      </c>
    </row>
    <row r="44">
      <c r="A44" s="5" t="inlineStr">
        <is>
          <t>At 31 December 2017 (FY2017 closing)</t>
        </is>
      </c>
      <c r="B44" s="5" t="n">
        <v>0</v>
      </c>
      <c r="C44" s="5" t="n">
        <v>1304</v>
      </c>
      <c r="D44" s="5" t="n">
        <v>-219</v>
      </c>
      <c r="E44" s="5" t="n">
        <v>-4</v>
      </c>
      <c r="F44" s="5" t="n">
        <v>16</v>
      </c>
      <c r="G44" s="5" t="n"/>
      <c r="H44" s="5" t="n">
        <v>1096</v>
      </c>
    </row>
    <row r="45">
      <c r="A45" s="6" t="inlineStr">
        <is>
          <t>IFRS 9 transition adjustment, net of tax (AFS reserve replaced by FVOCI reserve)</t>
        </is>
      </c>
      <c r="B45" s="6" t="n"/>
      <c r="C45" s="6" t="n"/>
      <c r="D45" s="6" t="n">
        <v>-17</v>
      </c>
      <c r="E45" s="6" t="n">
        <v>5</v>
      </c>
      <c r="F45" s="6" t="n"/>
      <c r="G45" s="6" t="n"/>
      <c r="H45" s="6" t="n">
        <v>-12</v>
      </c>
    </row>
    <row r="46">
      <c r="A46" s="6" t="inlineStr">
        <is>
          <t>Profit for the year</t>
        </is>
      </c>
      <c r="B46" s="6" t="n"/>
      <c r="C46" s="6" t="n"/>
      <c r="D46" s="6" t="n">
        <v>27</v>
      </c>
      <c r="E46" s="6" t="n"/>
      <c r="F46" s="6" t="n"/>
      <c r="G46" s="6" t="n"/>
      <c r="H46" s="6" t="n">
        <v>27</v>
      </c>
    </row>
    <row r="47">
      <c r="A47" s="6" t="inlineStr">
        <is>
          <t>Other comprehensive expense relating to investment securities designated at FVOCI, net of tax</t>
        </is>
      </c>
      <c r="B47" s="6" t="n"/>
      <c r="C47" s="6" t="n"/>
      <c r="D47" s="6" t="n"/>
      <c r="E47" s="6" t="n">
        <v>-4</v>
      </c>
      <c r="F47" s="6" t="n"/>
      <c r="G47" s="6" t="n"/>
      <c r="H47" s="6" t="n">
        <v>-4</v>
      </c>
    </row>
    <row r="48">
      <c r="A48" s="6" t="inlineStr">
        <is>
          <t>Shares issued</t>
        </is>
      </c>
      <c r="B48" s="6" t="n"/>
      <c r="C48" s="6" t="n">
        <v>304</v>
      </c>
      <c r="D48" s="6" t="n"/>
      <c r="E48" s="6" t="n"/>
      <c r="F48" s="6" t="n"/>
      <c r="G48" s="6" t="n"/>
      <c r="H48" s="6" t="n">
        <v>304</v>
      </c>
    </row>
    <row r="49">
      <c r="A49" s="6" t="inlineStr">
        <is>
          <t>Cost of shares issued</t>
        </is>
      </c>
      <c r="B49" s="6" t="n"/>
      <c r="C49" s="6" t="n">
        <v>-3</v>
      </c>
      <c r="D49" s="6" t="n"/>
      <c r="E49" s="6" t="n"/>
      <c r="F49" s="6" t="n"/>
      <c r="G49" s="6" t="n"/>
      <c r="H49" s="6" t="n">
        <v>-3</v>
      </c>
    </row>
    <row r="50">
      <c r="A50" s="6" t="inlineStr">
        <is>
          <t>Net share option movements</t>
        </is>
      </c>
      <c r="B50" s="6" t="n"/>
      <c r="C50" s="6" t="n"/>
      <c r="D50" s="6" t="n"/>
      <c r="E50" s="6" t="n"/>
      <c r="F50" s="6" t="n">
        <v>-6</v>
      </c>
      <c r="G50" s="6" t="n"/>
      <c r="H50" s="6" t="n">
        <v>-6</v>
      </c>
    </row>
    <row r="51">
      <c r="A51" s="5" t="inlineStr">
        <is>
          <t>At 31 December 2018 (FY2018 closing)</t>
        </is>
      </c>
      <c r="B51" s="5" t="n">
        <v>0</v>
      </c>
      <c r="C51" s="5" t="n">
        <v>1605</v>
      </c>
      <c r="D51" s="5" t="n">
        <v>-209</v>
      </c>
      <c r="E51" s="5" t="n">
        <v>-3</v>
      </c>
      <c r="F51" s="5" t="n">
        <v>10</v>
      </c>
      <c r="G51" s="5" t="n"/>
      <c r="H51" s="5" t="n">
        <v>1403</v>
      </c>
    </row>
    <row r="52">
      <c r="A52" s="6" t="inlineStr">
        <is>
          <t>Loss for the year</t>
        </is>
      </c>
      <c r="B52" s="6" t="n"/>
      <c r="C52" s="6" t="n"/>
      <c r="D52" s="6" t="n">
        <v>-183</v>
      </c>
      <c r="E52" s="6" t="n"/>
      <c r="F52" s="6" t="n"/>
      <c r="G52" s="6" t="n"/>
      <c r="H52" s="6" t="n">
        <v>-183</v>
      </c>
    </row>
    <row r="53">
      <c r="A53" s="6" t="inlineStr">
        <is>
          <t>Shares issued</t>
        </is>
      </c>
      <c r="B53" s="6" t="n"/>
      <c r="C53" s="6" t="n">
        <v>375</v>
      </c>
      <c r="D53" s="6" t="n"/>
      <c r="E53" s="6" t="n"/>
      <c r="F53" s="6" t="n"/>
      <c r="G53" s="6" t="n"/>
      <c r="H53" s="6" t="n">
        <v>375</v>
      </c>
    </row>
    <row r="54">
      <c r="A54" s="6" t="inlineStr">
        <is>
          <t>Cost of shares issued</t>
        </is>
      </c>
      <c r="B54" s="6" t="n"/>
      <c r="C54" s="6" t="n">
        <v>-16</v>
      </c>
      <c r="D54" s="6" t="n"/>
      <c r="E54" s="6" t="n"/>
      <c r="F54" s="6" t="n"/>
      <c r="G54" s="6" t="n"/>
      <c r="H54" s="6" t="n">
        <v>-16</v>
      </c>
    </row>
    <row r="55">
      <c r="A55" s="6" t="inlineStr">
        <is>
          <t>Net share option movements</t>
        </is>
      </c>
      <c r="B55" s="6" t="n"/>
      <c r="C55" s="6" t="n"/>
      <c r="D55" s="6" t="n"/>
      <c r="E55" s="6" t="n"/>
      <c r="F55" s="6" t="n">
        <v>4</v>
      </c>
      <c r="G55" s="6" t="n"/>
      <c r="H55" s="6" t="n">
        <v>4</v>
      </c>
    </row>
    <row r="56">
      <c r="A56" s="5" t="inlineStr">
        <is>
          <t>At 31 December 2019 (FY2019 closing)</t>
        </is>
      </c>
      <c r="B56" s="5" t="n">
        <v>0</v>
      </c>
      <c r="C56" s="5" t="n">
        <v>1964</v>
      </c>
      <c r="D56" s="5" t="n">
        <v>-392</v>
      </c>
      <c r="E56" s="5" t="n">
        <v>-3</v>
      </c>
      <c r="F56" s="5" t="n">
        <v>14</v>
      </c>
      <c r="G56" s="5" t="n"/>
      <c r="H56" s="5" t="n">
        <v>1583</v>
      </c>
    </row>
    <row r="57">
      <c r="A57" s="6" t="inlineStr">
        <is>
          <t>Loss for the year</t>
        </is>
      </c>
      <c r="B57" s="6" t="n"/>
      <c r="C57" s="6" t="n"/>
      <c r="D57" s="6" t="n">
        <v>-302</v>
      </c>
      <c r="E57" s="6" t="n"/>
      <c r="F57" s="6" t="n"/>
      <c r="G57" s="6" t="n"/>
      <c r="H57" s="6" t="n">
        <v>-302</v>
      </c>
    </row>
    <row r="58">
      <c r="A58" s="6" t="inlineStr">
        <is>
          <t>Other comprehensive income relating to investment securities designated at FVOCI, net of tax</t>
        </is>
      </c>
      <c r="B58" s="6" t="n"/>
      <c r="C58" s="6" t="n"/>
      <c r="D58" s="6" t="n"/>
      <c r="E58" s="6" t="n">
        <v>6</v>
      </c>
      <c r="F58" s="6" t="n"/>
      <c r="G58" s="6" t="n"/>
      <c r="H58" s="6" t="n">
        <v>6</v>
      </c>
    </row>
    <row r="59">
      <c r="A59" s="6" t="inlineStr">
        <is>
          <t>Net share option movements</t>
        </is>
      </c>
      <c r="B59" s="6" t="n"/>
      <c r="C59" s="6" t="n"/>
      <c r="D59" s="6" t="n"/>
      <c r="E59" s="6" t="n"/>
      <c r="F59" s="6" t="n">
        <v>2</v>
      </c>
      <c r="G59" s="6" t="n"/>
      <c r="H59" s="6" t="n">
        <v>2</v>
      </c>
    </row>
    <row r="60">
      <c r="A60" s="5" t="inlineStr">
        <is>
          <t>At 31 December 2020 (FY2020 closing, Group basis)</t>
        </is>
      </c>
      <c r="B60" s="5" t="n">
        <v>0</v>
      </c>
      <c r="C60" s="5" t="n">
        <v>1964</v>
      </c>
      <c r="D60" s="5" t="n">
        <v>-694</v>
      </c>
      <c r="E60" s="5" t="n">
        <v>3</v>
      </c>
      <c r="F60" s="5" t="n">
        <v>16</v>
      </c>
      <c r="G60" s="5" t="n"/>
      <c r="H60" s="5" t="n">
        <v>1289</v>
      </c>
    </row>
    <row r="61">
      <c r="A61" s="5" t="inlineStr">
        <is>
          <t>At 1 January 2021 (FY2021 opening)</t>
        </is>
      </c>
      <c r="B61" s="5" t="n">
        <v>0</v>
      </c>
      <c r="C61" s="5" t="n">
        <v>1964</v>
      </c>
      <c r="D61" s="5" t="n">
        <v>-689</v>
      </c>
      <c r="E61" s="5" t="n">
        <v>3</v>
      </c>
      <c r="F61" s="5" t="n">
        <v>16</v>
      </c>
      <c r="G61" s="5" t="n"/>
      <c r="H61" s="5" t="n">
        <v>1294</v>
      </c>
    </row>
    <row r="62">
      <c r="A62" s="6" t="inlineStr">
        <is>
          <t>Loss for the year</t>
        </is>
      </c>
      <c r="B62" s="6" t="n"/>
      <c r="C62" s="6" t="n"/>
      <c r="D62" s="6" t="n">
        <v>-252</v>
      </c>
      <c r="E62" s="6" t="n"/>
      <c r="F62" s="6" t="n"/>
      <c r="G62" s="6" t="n"/>
      <c r="H62" s="6" t="n">
        <v>-252</v>
      </c>
    </row>
    <row r="63">
      <c r="A63" s="6" t="inlineStr">
        <is>
          <t>Other comprehensive expense relating to investment securities designated at FVOCI, net of tax</t>
        </is>
      </c>
      <c r="B63" s="6" t="n"/>
      <c r="C63" s="6" t="n"/>
      <c r="D63" s="6" t="n"/>
      <c r="E63" s="6" t="n">
        <v>-8</v>
      </c>
      <c r="F63" s="6" t="n"/>
      <c r="G63" s="6" t="n"/>
      <c r="H63" s="6" t="n">
        <v>-8</v>
      </c>
    </row>
    <row r="64">
      <c r="A64" s="6" t="inlineStr">
        <is>
          <t>Net share option movements</t>
        </is>
      </c>
      <c r="B64" s="6" t="n"/>
      <c r="C64" s="6" t="n"/>
      <c r="D64" s="6" t="n"/>
      <c r="E64" s="6" t="n"/>
      <c r="F64" s="6" t="n">
        <v>2</v>
      </c>
      <c r="G64" s="6" t="n"/>
      <c r="H64" s="6" t="n">
        <v>2</v>
      </c>
    </row>
    <row r="65">
      <c r="A65" s="5" t="inlineStr">
        <is>
          <t>At 31 December 2021 (FY2021 closing)</t>
        </is>
      </c>
      <c r="B65" s="5" t="n">
        <v>0</v>
      </c>
      <c r="C65" s="5" t="n">
        <v>1964</v>
      </c>
      <c r="D65" s="5" t="n">
        <v>-941</v>
      </c>
      <c r="E65" s="5" t="n">
        <v>-5</v>
      </c>
      <c r="F65" s="5" t="n">
        <v>18</v>
      </c>
      <c r="G65" s="5" t="n"/>
      <c r="H65" s="5" t="n">
        <v>1036</v>
      </c>
    </row>
    <row r="66">
      <c r="A66" s="6" t="inlineStr">
        <is>
          <t>Loss for the year</t>
        </is>
      </c>
      <c r="B66" s="6" t="n"/>
      <c r="C66" s="6" t="n"/>
      <c r="D66" s="6" t="n">
        <v>-73</v>
      </c>
      <c r="E66" s="6" t="n"/>
      <c r="F66" s="6" t="n"/>
      <c r="G66" s="6" t="n"/>
      <c r="H66" s="6" t="n">
        <v>-73</v>
      </c>
    </row>
    <row r="67">
      <c r="A67" s="6" t="inlineStr">
        <is>
          <t>Other comprehensive expense relating to investment securities designated at FVOCI, net of tax</t>
        </is>
      </c>
      <c r="B67" s="6" t="n"/>
      <c r="C67" s="6" t="n"/>
      <c r="D67" s="6" t="n"/>
      <c r="E67" s="6" t="n">
        <v>-8</v>
      </c>
      <c r="F67" s="6" t="n"/>
      <c r="G67" s="6" t="n"/>
      <c r="H67" s="6" t="n">
        <v>-8</v>
      </c>
    </row>
    <row r="68">
      <c r="A68" s="6" t="inlineStr">
        <is>
          <t>Net share option movements</t>
        </is>
      </c>
      <c r="B68" s="6" t="n"/>
      <c r="C68" s="6" t="n"/>
      <c r="D68" s="6" t="n"/>
      <c r="E68" s="6" t="n"/>
      <c r="F68" s="6" t="n">
        <v>2</v>
      </c>
      <c r="G68" s="6" t="n"/>
      <c r="H68" s="6" t="n">
        <v>2</v>
      </c>
    </row>
    <row r="69">
      <c r="A69" s="5" t="inlineStr">
        <is>
          <t>At 31 December 2022 (FY2022 closing)</t>
        </is>
      </c>
      <c r="B69" s="5" t="n">
        <v>0</v>
      </c>
      <c r="C69" s="5" t="n">
        <v>1964</v>
      </c>
      <c r="D69" s="5" t="n">
        <v>-1014</v>
      </c>
      <c r="E69" s="5" t="n">
        <v>-13</v>
      </c>
      <c r="F69" s="5" t="n">
        <v>20</v>
      </c>
      <c r="G69" s="5" t="n"/>
      <c r="H69" s="5" t="n">
        <v>957</v>
      </c>
    </row>
    <row r="70">
      <c r="A70" s="6" t="inlineStr">
        <is>
          <t>Profit for the year</t>
        </is>
      </c>
      <c r="B70" s="6" t="n"/>
      <c r="C70" s="6" t="n"/>
      <c r="D70" s="6" t="n">
        <v>46</v>
      </c>
      <c r="E70" s="6" t="n"/>
      <c r="F70" s="6" t="n"/>
      <c r="G70" s="6" t="n"/>
      <c r="H70" s="6" t="n">
        <v>46</v>
      </c>
    </row>
    <row r="71">
      <c r="A71" s="6" t="inlineStr">
        <is>
          <t>Other comprehensive income relating to investment securities designated at FVOCI, net of tax</t>
        </is>
      </c>
      <c r="B71" s="6" t="n"/>
      <c r="C71" s="6" t="n"/>
      <c r="D71" s="6" t="n"/>
      <c r="E71" s="6" t="n">
        <v>2</v>
      </c>
      <c r="F71" s="6" t="n"/>
      <c r="G71" s="6" t="n"/>
      <c r="H71" s="6" t="n">
        <v>2</v>
      </c>
    </row>
    <row r="72">
      <c r="A72" s="6" t="inlineStr">
        <is>
          <t>Net share option movements</t>
        </is>
      </c>
      <c r="B72" s="6" t="n"/>
      <c r="C72" s="6" t="n"/>
      <c r="D72" s="6" t="n"/>
      <c r="E72" s="6" t="n"/>
      <c r="F72" s="6" t="n">
        <v>3</v>
      </c>
      <c r="G72" s="6" t="n"/>
      <c r="H72" s="6" t="n">
        <v>3</v>
      </c>
    </row>
    <row r="73">
      <c r="A73" s="6" t="inlineStr">
        <is>
          <t>Transfer of share option reserve upon insertion of new holding company</t>
        </is>
      </c>
      <c r="B73" s="6" t="n"/>
      <c r="C73" s="6" t="n"/>
      <c r="D73" s="6" t="n"/>
      <c r="E73" s="6" t="n"/>
      <c r="F73" s="6" t="n">
        <v>-23</v>
      </c>
      <c r="G73" s="6" t="n">
        <v>23</v>
      </c>
      <c r="H73" s="6" t="n">
        <v>0</v>
      </c>
    </row>
    <row r="74">
      <c r="A74" s="6" t="inlineStr">
        <is>
          <t>Cancellation of Metro Bank PLC share capital and share premium</t>
        </is>
      </c>
      <c r="B74" s="6" t="n"/>
      <c r="C74" s="6" t="n">
        <v>-1964</v>
      </c>
      <c r="D74" s="6" t="n">
        <v>1964</v>
      </c>
      <c r="E74" s="6" t="n"/>
      <c r="F74" s="6" t="n"/>
      <c r="G74" s="6" t="n"/>
      <c r="H74" s="6" t="n">
        <v>0</v>
      </c>
    </row>
    <row r="75">
      <c r="A75" s="6" t="inlineStr">
        <is>
          <t>Shares issued</t>
        </is>
      </c>
      <c r="B75" s="6" t="n"/>
      <c r="C75" s="6" t="n">
        <v>144</v>
      </c>
      <c r="D75" s="6" t="n"/>
      <c r="E75" s="6" t="n"/>
      <c r="F75" s="6" t="n"/>
      <c r="G75" s="6" t="n"/>
      <c r="H75" s="6" t="n">
        <v>144</v>
      </c>
    </row>
    <row r="76">
      <c r="A76" s="5" t="inlineStr">
        <is>
          <t>At 31 December 2023 (FY2023 closing)</t>
        </is>
      </c>
      <c r="B76" s="5" t="n">
        <v>0</v>
      </c>
      <c r="C76" s="5" t="n">
        <v>144</v>
      </c>
      <c r="D76" s="5" t="n">
        <v>996</v>
      </c>
      <c r="E76" s="5" t="n">
        <v>-11</v>
      </c>
      <c r="F76" s="5" t="n">
        <v>0</v>
      </c>
      <c r="G76" s="5" t="n">
        <v>23</v>
      </c>
      <c r="H76" s="5" t="n">
        <v>1152</v>
      </c>
    </row>
    <row r="78" ht="150" customHeight="1">
      <c r="A78"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78:H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c r="C33" s="6" t="n"/>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medium-term notes/subordinated debt (net of costs)</t>
        </is>
      </c>
      <c r="B36" s="6" t="n"/>
      <c r="C36" s="6" t="n"/>
      <c r="D36" s="6" t="n">
        <v>175</v>
      </c>
      <c r="E36" s="6" t="n"/>
      <c r="F36" s="6" t="n"/>
      <c r="G36" s="6" t="n"/>
      <c r="H36" s="6" t="n">
        <v>350</v>
      </c>
      <c r="I36" s="6" t="n">
        <v>250</v>
      </c>
      <c r="J36" s="6" t="n"/>
      <c r="K36" s="6" t="n"/>
      <c r="L36" s="6" t="n"/>
      <c r="M36" s="6" t="n"/>
      <c r="N36" s="6" t="n"/>
      <c r="O36" s="6" t="n"/>
      <c r="P36" s="6" t="n"/>
      <c r="Q36" s="6" t="n"/>
    </row>
    <row r="37">
      <c r="A37" s="6" t="inlineStr">
        <is>
          <t>Cost of debt issued</t>
        </is>
      </c>
      <c r="B37" s="6" t="n"/>
      <c r="C37" s="6" t="n"/>
      <c r="D37" s="6" t="n"/>
      <c r="E37" s="6" t="n"/>
      <c r="F37" s="6" t="n"/>
      <c r="G37" s="6" t="n"/>
      <c r="H37" s="6" t="n">
        <v>-8</v>
      </c>
      <c r="I37" s="6" t="n">
        <v>-1</v>
      </c>
      <c r="J37" s="6" t="n"/>
      <c r="K37" s="6" t="n"/>
      <c r="L37" s="6" t="n"/>
      <c r="M37" s="6" t="n"/>
      <c r="N37" s="6" t="n"/>
      <c r="O37" s="6" t="n"/>
      <c r="P37" s="6" t="n"/>
      <c r="Q37" s="6" t="n"/>
    </row>
    <row r="38">
      <c r="A38" s="6" t="inlineStr">
        <is>
          <t>Grant (repaid)/received</t>
        </is>
      </c>
      <c r="B38" s="6" t="n"/>
      <c r="C38" s="6" t="n"/>
      <c r="D38" s="6" t="n"/>
      <c r="E38" s="6" t="n"/>
      <c r="F38" s="6" t="n"/>
      <c r="G38" s="6" t="n">
        <v>-50</v>
      </c>
      <c r="H38" s="6" t="n">
        <v>120</v>
      </c>
      <c r="I38" s="6" t="n"/>
      <c r="J38" s="6" t="n"/>
      <c r="K38" s="6" t="n"/>
      <c r="L38" s="6" t="n"/>
      <c r="M38" s="6" t="n"/>
      <c r="N38" s="6" t="n"/>
      <c r="O38" s="6" t="n"/>
      <c r="P38" s="6" t="n"/>
      <c r="Q38" s="6" t="n"/>
    </row>
    <row r="39">
      <c r="A39" s="5" t="inlineStr">
        <is>
          <t>Net cash inflows/(outflows) from financing activities</t>
        </is>
      </c>
      <c r="B39" s="5" t="n"/>
      <c r="C39" s="5" t="n"/>
      <c r="D39" s="5" t="n">
        <v>296</v>
      </c>
      <c r="E39" s="5" t="n">
        <v>-25</v>
      </c>
      <c r="F39" s="5" t="n">
        <v>-27</v>
      </c>
      <c r="G39" s="5" t="n">
        <v>-81</v>
      </c>
      <c r="H39" s="5" t="n">
        <v>796</v>
      </c>
      <c r="I39" s="5" t="n">
        <v>550</v>
      </c>
      <c r="J39" s="5" t="n">
        <v>276</v>
      </c>
      <c r="K39" s="5" t="n">
        <v>398</v>
      </c>
      <c r="L39" s="5" t="n">
        <v>0</v>
      </c>
      <c r="M39" s="5" t="n">
        <v>99</v>
      </c>
      <c r="N39" s="5" t="n">
        <v>284.3</v>
      </c>
      <c r="O39" s="5" t="n">
        <v>126</v>
      </c>
      <c r="P39" s="5" t="n">
        <v>0</v>
      </c>
      <c r="Q39" s="5" t="n">
        <v>120.1</v>
      </c>
    </row>
    <row r="40">
      <c r="A40" s="5" t="inlineStr">
        <is>
          <t>Net increase/(decrease) in cash and cash equivalents</t>
        </is>
      </c>
      <c r="B40" s="5" t="n"/>
      <c r="C40" s="5" t="n"/>
      <c r="D40" s="5" t="n">
        <v>1936</v>
      </c>
      <c r="E40" s="5" t="n">
        <v>-1594</v>
      </c>
      <c r="F40" s="5" t="n">
        <v>573</v>
      </c>
      <c r="G40" s="5" t="n">
        <v>4</v>
      </c>
      <c r="H40" s="5" t="n">
        <v>517</v>
      </c>
      <c r="I40" s="5" t="n">
        <v>260</v>
      </c>
      <c r="J40" s="5" t="n">
        <v>1712</v>
      </c>
      <c r="K40" s="5" t="n">
        <v>218</v>
      </c>
      <c r="L40" s="5" t="n">
        <v>66</v>
      </c>
      <c r="M40" s="5" t="n">
        <v>-47</v>
      </c>
      <c r="N40" s="5" t="n">
        <v>189.1</v>
      </c>
      <c r="O40" s="5" t="n">
        <v>16.5</v>
      </c>
      <c r="P40" s="5" t="n">
        <v>4.7</v>
      </c>
      <c r="Q40" s="5" t="n">
        <v>51.6</v>
      </c>
    </row>
    <row r="41">
      <c r="A41" s="6" t="inlineStr">
        <is>
          <t>Cash and cash equivalents at start of year</t>
        </is>
      </c>
      <c r="B41" s="6" t="n"/>
      <c r="C41" s="6" t="n"/>
      <c r="D41" s="6" t="n">
        <v>1953</v>
      </c>
      <c r="E41" s="6" t="n">
        <v>3547</v>
      </c>
      <c r="F41" s="6" t="n">
        <v>2974</v>
      </c>
      <c r="G41" s="6" t="n">
        <v>2989</v>
      </c>
      <c r="H41" s="6" t="n">
        <v>2472</v>
      </c>
      <c r="I41" s="6" t="n">
        <v>2212</v>
      </c>
      <c r="J41" s="6" t="n">
        <v>500</v>
      </c>
      <c r="K41" s="6" t="n">
        <v>282</v>
      </c>
      <c r="L41" s="6" t="n">
        <v>216</v>
      </c>
      <c r="M41" s="6" t="n">
        <v>263</v>
      </c>
      <c r="N41" s="6" t="n">
        <v>74.09999999999999</v>
      </c>
      <c r="O41" s="6" t="n">
        <v>57.6</v>
      </c>
      <c r="P41" s="6" t="n">
        <v>52.9</v>
      </c>
      <c r="Q41" s="6" t="n">
        <v>1.3</v>
      </c>
    </row>
    <row r="42">
      <c r="A42" s="5" t="inlineStr">
        <is>
          <t>Cash and cash equivalents at end of year</t>
        </is>
      </c>
      <c r="B42" s="5" t="n"/>
      <c r="C42" s="5" t="n"/>
      <c r="D42" s="5" t="n">
        <v>3889</v>
      </c>
      <c r="E42" s="5" t="n">
        <v>1953</v>
      </c>
      <c r="F42" s="5" t="n">
        <v>3547</v>
      </c>
      <c r="G42" s="5" t="n">
        <v>2993</v>
      </c>
      <c r="H42" s="5" t="n">
        <v>2989</v>
      </c>
      <c r="I42" s="5" t="n">
        <v>2472</v>
      </c>
      <c r="J42" s="5" t="n">
        <v>2212</v>
      </c>
      <c r="K42" s="5" t="n">
        <v>500</v>
      </c>
      <c r="L42" s="5" t="n">
        <v>282</v>
      </c>
      <c r="M42" s="5" t="n">
        <v>216</v>
      </c>
      <c r="N42" s="5" t="n">
        <v>263.2</v>
      </c>
      <c r="O42" s="5" t="n">
        <v>74.09999999999999</v>
      </c>
      <c r="P42" s="5" t="n">
        <v>57.6</v>
      </c>
      <c r="Q42" s="5" t="n">
        <v>52.9</v>
      </c>
    </row>
    <row r="44" ht="260" customHeight="1">
      <c r="A44"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t>
        </is>
      </c>
    </row>
  </sheetData>
  <mergeCells count="1">
    <mergeCell ref="A44:Q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Basel II incurred-loss provisioning (FY2010-FY2014) - separate basis, NOT comparable with the IFRS 9 ECL rows above</t>
        </is>
      </c>
      <c r="B28" s="6" t="n"/>
      <c r="C28" s="6" t="n"/>
      <c r="D28" s="6" t="n"/>
      <c r="E28" s="6" t="n"/>
      <c r="F28" s="6" t="n"/>
      <c r="G28" s="6" t="n"/>
      <c r="H28" s="6" t="n"/>
      <c r="I28" s="6" t="n"/>
      <c r="J28" s="6" t="n"/>
      <c r="K28" s="6" t="n"/>
      <c r="L28" s="6" t="n"/>
      <c r="M28" s="6" t="n"/>
      <c r="N28" s="6" t="n"/>
      <c r="O28" s="6" t="n"/>
      <c r="P28" s="6" t="n"/>
      <c r="Q28" s="6" t="n"/>
    </row>
    <row r="29">
      <c r="A29" s="6" t="inlineStr">
        <is>
          <t>General doubtful debt provision, as stated in that year's Pillar 3</t>
        </is>
      </c>
      <c r="B29" s="6" t="n"/>
      <c r="C29" s="6" t="n"/>
      <c r="D29" s="6" t="n"/>
      <c r="E29" s="6" t="n"/>
      <c r="F29" s="6" t="n"/>
      <c r="G29" s="6" t="n"/>
      <c r="H29" s="6" t="n"/>
      <c r="I29" s="6" t="n"/>
      <c r="J29" s="6" t="n"/>
      <c r="K29" s="6" t="n"/>
      <c r="L29" s="6" t="n"/>
      <c r="M29" s="6" t="n">
        <v>3.5</v>
      </c>
      <c r="N29" s="6" t="n">
        <v>1.09</v>
      </c>
      <c r="O29" s="6" t="inlineStr">
        <is>
          <t>FY2012 Pillar 3 not located</t>
        </is>
      </c>
      <c r="P29" s="6" t="n">
        <v>0.186</v>
      </c>
      <c r="Q29" s="6" t="n">
        <v>0</v>
      </c>
    </row>
    <row r="30">
      <c r="A30" s="6" t="inlineStr">
        <is>
          <t>Past due &gt;20% impaired secured exposure (Basel II credit risk table)</t>
        </is>
      </c>
      <c r="B30" s="6" t="n"/>
      <c r="C30" s="6" t="n"/>
      <c r="D30" s="6" t="n"/>
      <c r="E30" s="6" t="n"/>
      <c r="F30" s="6" t="n"/>
      <c r="G30" s="6" t="n"/>
      <c r="H30" s="6" t="n"/>
      <c r="I30" s="6" t="n"/>
      <c r="J30" s="6" t="n"/>
      <c r="K30" s="6" t="n"/>
      <c r="L30" s="6" t="n"/>
      <c r="M30" s="6" t="n">
        <v>2.2</v>
      </c>
      <c r="N30" s="6" t="n">
        <v>1.1</v>
      </c>
      <c r="O30" s="6" t="n"/>
      <c r="P30" s="6" t="n"/>
      <c r="Q30" s="6" t="n"/>
    </row>
    <row r="32" ht="340" customHeight="1">
      <c r="A32"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t>
        </is>
      </c>
    </row>
  </sheetData>
  <mergeCells count="1">
    <mergeCell ref="A32:Q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Metro Bank - KM1 Key Metrics</t>
        </is>
      </c>
    </row>
    <row r="2">
      <c r="A2" s="2" t="inlineStr">
        <is>
          <t>Metro Bank's own "UK KM1 - Key metrics" table, reproduced in the bank's own row order, row numbers, labels and printed precision. £'million and % exactly as published. FY2021-FY2022 are Metro Bank PLC; FY2023-FY2025 are Metro Bank Holdings PLC consolidated, following the 19 May 2023 holding-company insertion. FY2021 is the FY2022 edition's 31 December 2021 comparative, because the FY2021 edition prints no KM1. No KM1 exists for FY2010-FY2020: the template post-dates those editions, whose 'Table 2: Key Ratios' is a short summary, not an unnumbered KM1. Blank cells are rows the bank printed and left empty; each is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(£'million)</t>
        </is>
      </c>
      <c r="B4" s="6" t="n"/>
      <c r="C4" s="6" t="n"/>
      <c r="D4" s="6" t="n"/>
      <c r="E4" s="6" t="n"/>
      <c r="F4" s="6" t="n"/>
    </row>
    <row r="5">
      <c r="A5" s="6" t="inlineStr">
        <is>
          <t>1    Common Equity Tier 1 (CET1) capital</t>
        </is>
      </c>
      <c r="B5" s="6" t="n">
        <v>840</v>
      </c>
      <c r="C5" s="6" t="n">
        <v>808</v>
      </c>
      <c r="D5" s="6" t="n">
        <v>985</v>
      </c>
      <c r="E5" s="6" t="n">
        <v>819</v>
      </c>
      <c r="F5" s="6" t="n">
        <v>936</v>
      </c>
    </row>
    <row r="6">
      <c r="A6" s="6" t="inlineStr">
        <is>
          <t>2    Tier 1 capital</t>
        </is>
      </c>
      <c r="B6" s="6" t="n">
        <v>1082</v>
      </c>
      <c r="C6" s="6" t="n">
        <v>808</v>
      </c>
      <c r="D6" s="6" t="n">
        <v>985</v>
      </c>
      <c r="E6" s="6" t="n">
        <v>819</v>
      </c>
      <c r="F6" s="6" t="n">
        <v>936</v>
      </c>
    </row>
    <row r="7">
      <c r="A7" s="6" t="inlineStr">
        <is>
          <t>3    Total capital</t>
        </is>
      </c>
      <c r="B7" s="6" t="n">
        <v>1232</v>
      </c>
      <c r="C7" s="6" t="n">
        <v>958</v>
      </c>
      <c r="D7" s="6" t="n">
        <v>1135</v>
      </c>
      <c r="E7" s="6" t="n">
        <v>1069</v>
      </c>
      <c r="F7" s="6" t="n">
        <v>1184</v>
      </c>
    </row>
    <row r="8">
      <c r="A8" s="5" t="inlineStr">
        <is>
          <t>Risk-weighted exposure amounts (£'million)</t>
        </is>
      </c>
      <c r="B8" s="6" t="n"/>
      <c r="C8" s="6" t="n"/>
      <c r="D8" s="6" t="n"/>
      <c r="E8" s="6" t="n"/>
      <c r="F8" s="6" t="n"/>
    </row>
    <row r="9">
      <c r="A9" s="6" t="inlineStr">
        <is>
          <t>4    Total risk-weighted exposure amount</t>
        </is>
      </c>
      <c r="B9" s="6" t="n">
        <v>6711</v>
      </c>
      <c r="C9" s="6" t="n">
        <v>6442</v>
      </c>
      <c r="D9" s="6" t="n">
        <v>7533</v>
      </c>
      <c r="E9" s="6" t="n">
        <v>7990</v>
      </c>
      <c r="F9" s="6" t="n">
        <v>7454</v>
      </c>
    </row>
    <row r="10">
      <c r="A10" s="5" t="inlineStr">
        <is>
          <t>Capital ratios (as a percentage of risk-weighted exposure amount)</t>
        </is>
      </c>
      <c r="B10" s="6" t="n"/>
      <c r="C10" s="6" t="n"/>
      <c r="D10" s="6" t="n"/>
      <c r="E10" s="6" t="n"/>
      <c r="F10" s="6" t="n"/>
    </row>
    <row r="11">
      <c r="A11" s="6" t="inlineStr">
        <is>
          <t>5    Common Equity Tier 1 ratio (%)</t>
        </is>
      </c>
      <c r="B11" s="6" t="inlineStr">
        <is>
          <t>12.5%</t>
        </is>
      </c>
      <c r="C11" s="6" t="inlineStr">
        <is>
          <t>12.5%</t>
        </is>
      </c>
      <c r="D11" s="6" t="inlineStr">
        <is>
          <t>13.1%</t>
        </is>
      </c>
      <c r="E11" s="6" t="inlineStr">
        <is>
          <t>10.3%</t>
        </is>
      </c>
      <c r="F11" s="6" t="inlineStr">
        <is>
          <t>12.6%</t>
        </is>
      </c>
    </row>
    <row r="12">
      <c r="A12" s="6" t="inlineStr">
        <is>
          <t>6    Tier 1 ratio (%)</t>
        </is>
      </c>
      <c r="B12" s="6" t="inlineStr">
        <is>
          <t>16.1%</t>
        </is>
      </c>
      <c r="C12" s="6" t="inlineStr">
        <is>
          <t>12.5%</t>
        </is>
      </c>
      <c r="D12" s="6" t="inlineStr">
        <is>
          <t>13.1%</t>
        </is>
      </c>
      <c r="E12" s="6" t="inlineStr">
        <is>
          <t>10.3%</t>
        </is>
      </c>
      <c r="F12" s="6" t="inlineStr">
        <is>
          <t>12.6%</t>
        </is>
      </c>
    </row>
    <row r="13">
      <c r="A13" s="6" t="inlineStr">
        <is>
          <t>7    Total capital ratio (%)</t>
        </is>
      </c>
      <c r="B13" s="6" t="inlineStr">
        <is>
          <t>18.4%</t>
        </is>
      </c>
      <c r="C13" s="6" t="inlineStr">
        <is>
          <t>14.9%</t>
        </is>
      </c>
      <c r="D13" s="6" t="inlineStr">
        <is>
          <t>15.1%</t>
        </is>
      </c>
      <c r="E13" s="6" t="inlineStr">
        <is>
          <t>13.4%</t>
        </is>
      </c>
      <c r="F13" s="6" t="inlineStr">
        <is>
          <t>15.9%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0.2%</t>
        </is>
      </c>
      <c r="D15" s="6" t="inlineStr">
        <is>
          <t>0.2%</t>
        </is>
      </c>
      <c r="E15" s="6" t="inlineStr">
        <is>
          <t>0.3%</t>
        </is>
      </c>
      <c r="F15" s="6" t="n"/>
    </row>
    <row r="16">
      <c r="A16" s="6" t="inlineStr">
        <is>
          <t>UK 7b    Additional AT1 SREP requirements (%)</t>
        </is>
      </c>
      <c r="B16" s="6" t="inlineStr">
        <is>
          <t>0.2%</t>
        </is>
      </c>
      <c r="C16" s="6" t="inlineStr">
        <is>
          <t>0.1%</t>
        </is>
      </c>
      <c r="D16" s="6" t="inlineStr">
        <is>
          <t>0.1%</t>
        </is>
      </c>
      <c r="E16" s="6" t="inlineStr">
        <is>
          <t>0.1%</t>
        </is>
      </c>
      <c r="F16" s="6" t="n"/>
    </row>
    <row r="17">
      <c r="A17" s="6" t="inlineStr">
        <is>
          <t>UK 7c    Additional T2 SREP requirements (%)</t>
        </is>
      </c>
      <c r="B17" s="6" t="inlineStr">
        <is>
          <t>0.3%</t>
        </is>
      </c>
      <c r="C17" s="6" t="inlineStr">
        <is>
          <t>0.1%</t>
        </is>
      </c>
      <c r="D17" s="6" t="inlineStr">
        <is>
          <t>0.1%</t>
        </is>
      </c>
      <c r="E17" s="6" t="inlineStr">
        <is>
          <t>0.1%</t>
        </is>
      </c>
      <c r="F17" s="6" t="n"/>
    </row>
    <row r="18">
      <c r="A18" s="6" t="inlineStr">
        <is>
          <t>UK 7d    Total SREP own funds requirements (%)</t>
        </is>
      </c>
      <c r="B18" s="6" t="inlineStr">
        <is>
          <t>9.2%</t>
        </is>
      </c>
      <c r="C18" s="6" t="inlineStr">
        <is>
          <t>8.4%</t>
        </is>
      </c>
      <c r="D18" s="6" t="inlineStr">
        <is>
          <t>8.4%</t>
        </is>
      </c>
      <c r="E18" s="6" t="inlineStr">
        <is>
          <t>8.5%</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13.7%</t>
        </is>
      </c>
      <c r="C23" s="6" t="inlineStr">
        <is>
          <t>12.9%</t>
        </is>
      </c>
      <c r="D23" s="6" t="inlineStr">
        <is>
          <t>12.9%</t>
        </is>
      </c>
      <c r="E23" s="6" t="inlineStr">
        <is>
          <t>12.0%</t>
        </is>
      </c>
      <c r="F23" s="6" t="inlineStr">
        <is>
          <t>11.6%</t>
        </is>
      </c>
    </row>
    <row r="24">
      <c r="A24" s="6" t="inlineStr">
        <is>
          <t>12    CET1 available after meeting the total SREP own funds requirements (%)</t>
        </is>
      </c>
      <c r="B24" s="6" t="inlineStr">
        <is>
          <t>7.3%</t>
        </is>
      </c>
      <c r="C24" s="6" t="inlineStr">
        <is>
          <t>7.8%</t>
        </is>
      </c>
      <c r="D24" s="6" t="inlineStr">
        <is>
          <t>8.4%</t>
        </is>
      </c>
      <c r="E24" s="6" t="inlineStr">
        <is>
          <t>5.5%</t>
        </is>
      </c>
      <c r="F24" s="6" t="n"/>
    </row>
    <row r="25">
      <c r="A25" s="5" t="inlineStr">
        <is>
          <t>Leverage ratio</t>
        </is>
      </c>
      <c r="B25" s="6" t="n"/>
      <c r="C25" s="6" t="n"/>
      <c r="D25" s="6" t="n"/>
      <c r="E25" s="6" t="n"/>
      <c r="F25" s="6" t="n"/>
    </row>
    <row r="26">
      <c r="A26" s="6" t="inlineStr">
        <is>
          <t>13    Total exposure measure excluding claims on central banks (£'million)</t>
        </is>
      </c>
      <c r="B26" s="6" t="n">
        <v>13837</v>
      </c>
      <c r="C26" s="6" t="n">
        <v>14417</v>
      </c>
      <c r="D26" s="6" t="n">
        <v>18420</v>
      </c>
      <c r="E26" s="6" t="n">
        <v>19348</v>
      </c>
      <c r="F26" s="6" t="n">
        <v>17869</v>
      </c>
    </row>
    <row r="27">
      <c r="A27" s="6" t="inlineStr">
        <is>
          <t>14    Leverage ratio excluding claims on central banks (%)</t>
        </is>
      </c>
      <c r="B27" s="6" t="inlineStr">
        <is>
          <t>7.8%</t>
        </is>
      </c>
      <c r="C27" s="6" t="inlineStr">
        <is>
          <t>5.6%</t>
        </is>
      </c>
      <c r="D27" s="6" t="inlineStr">
        <is>
          <t>5.3%</t>
        </is>
      </c>
      <c r="E27" s="6" t="inlineStr">
        <is>
          <t>4.2%</t>
        </is>
      </c>
      <c r="F27" s="6" t="inlineStr">
        <is>
          <t>5.2%</t>
        </is>
      </c>
    </row>
    <row r="28">
      <c r="A28" s="5" t="inlineStr">
        <is>
          <t>Liquidity Coverage Ratio</t>
        </is>
      </c>
      <c r="B28" s="6" t="n"/>
      <c r="C28" s="6" t="n"/>
      <c r="D28" s="6" t="n"/>
      <c r="E28" s="6" t="n"/>
      <c r="F28" s="6" t="n"/>
    </row>
    <row r="29">
      <c r="A29" s="6" t="inlineStr">
        <is>
          <t>15    Total high-quality liquid assets (HQLA) (Weighted value - average) (£'million)</t>
        </is>
      </c>
      <c r="B29" s="6" t="n">
        <v>5552</v>
      </c>
      <c r="C29" s="6" t="n">
        <v>7189</v>
      </c>
      <c r="D29" s="6" t="n">
        <v>5056</v>
      </c>
      <c r="E29" s="6" t="n">
        <v>6051</v>
      </c>
      <c r="F29" s="6" t="n">
        <v>6900</v>
      </c>
    </row>
    <row r="30">
      <c r="A30" s="6" t="inlineStr">
        <is>
          <t>UK 16a    Cash outflows - Total weighted value (£'million)</t>
        </is>
      </c>
      <c r="B30" s="6" t="n">
        <v>1962</v>
      </c>
      <c r="C30" s="6" t="n">
        <v>2184</v>
      </c>
      <c r="D30" s="6" t="n">
        <v>2335</v>
      </c>
      <c r="E30" s="6" t="n">
        <v>2729</v>
      </c>
      <c r="F30" s="6" t="n"/>
    </row>
    <row r="31">
      <c r="A31" s="6" t="inlineStr">
        <is>
          <t>UK 16b    Cash inflows - Total weighted value (£'million)</t>
        </is>
      </c>
      <c r="B31" s="6" t="n">
        <v>189</v>
      </c>
      <c r="C31" s="6" t="n">
        <v>413</v>
      </c>
      <c r="D31" s="6" t="n">
        <v>256</v>
      </c>
      <c r="E31" s="6" t="n">
        <v>264</v>
      </c>
      <c r="F31" s="6" t="n"/>
    </row>
    <row r="32">
      <c r="A32" s="6" t="inlineStr">
        <is>
          <t>16    Total net cash outflows (adjusted value) (£'million)</t>
        </is>
      </c>
      <c r="B32" s="6" t="n">
        <v>1773</v>
      </c>
      <c r="C32" s="6" t="n">
        <v>1854</v>
      </c>
      <c r="D32" s="6" t="n">
        <v>2079</v>
      </c>
      <c r="E32" s="6" t="n">
        <v>2465</v>
      </c>
      <c r="F32" s="6" t="n">
        <v>2169</v>
      </c>
    </row>
    <row r="33">
      <c r="A33" s="6" t="inlineStr">
        <is>
          <t>17    Liquidity coverage ratio (%)</t>
        </is>
      </c>
      <c r="B33" s="6" t="inlineStr">
        <is>
          <t>314%</t>
        </is>
      </c>
      <c r="C33" s="6" t="inlineStr">
        <is>
          <t>444%</t>
        </is>
      </c>
      <c r="D33" s="6" t="inlineStr">
        <is>
          <t>244%</t>
        </is>
      </c>
      <c r="E33" s="6" t="inlineStr">
        <is>
          <t>246%</t>
        </is>
      </c>
      <c r="F33" s="6" t="inlineStr">
        <is>
          <t>318%</t>
        </is>
      </c>
    </row>
    <row r="34">
      <c r="A34" s="5" t="inlineStr">
        <is>
          <t>Net Stable Funding Ratio</t>
        </is>
      </c>
      <c r="B34" s="6" t="n"/>
      <c r="C34" s="6" t="n"/>
      <c r="D34" s="6" t="n"/>
      <c r="E34" s="6" t="n"/>
      <c r="F34" s="6" t="n"/>
    </row>
    <row r="35">
      <c r="A35" s="6" t="inlineStr">
        <is>
          <t>18    Total available stable funding (£'million)</t>
        </is>
      </c>
      <c r="B35" s="6" t="n">
        <v>13965</v>
      </c>
      <c r="C35" s="6" t="n">
        <v>16676</v>
      </c>
      <c r="D35" s="6" t="n">
        <v>18277</v>
      </c>
      <c r="E35" s="6" t="n">
        <v>18903</v>
      </c>
      <c r="F35" s="6" t="n"/>
    </row>
    <row r="36">
      <c r="A36" s="6" t="inlineStr">
        <is>
          <t>19    Total required stable funding (£'million)</t>
        </is>
      </c>
      <c r="B36" s="6" t="n">
        <v>8448</v>
      </c>
      <c r="C36" s="6" t="n">
        <v>10475</v>
      </c>
      <c r="D36" s="6" t="n">
        <v>13442</v>
      </c>
      <c r="E36" s="6" t="n">
        <v>13225</v>
      </c>
      <c r="F36" s="6" t="n"/>
    </row>
    <row r="37">
      <c r="A37" s="6" t="inlineStr">
        <is>
          <t>20    NSFR ratio (%)</t>
        </is>
      </c>
      <c r="B37" s="6" t="inlineStr">
        <is>
          <t>165%</t>
        </is>
      </c>
      <c r="C37" s="6" t="inlineStr">
        <is>
          <t>160%</t>
        </is>
      </c>
      <c r="D37" s="6" t="inlineStr">
        <is>
          <t>136%</t>
        </is>
      </c>
      <c r="E37" s="6" t="inlineStr">
        <is>
          <t>143%</t>
        </is>
      </c>
      <c r="F37" s="6" t="n"/>
    </row>
    <row r="39" ht="620" customHeight="1">
      <c r="A39" s="8" t="inlineStr">
        <is>
          <t>KM1 Key Metrics sheet - each year transcribed from the 31 December column of THAT YEAR'S OWN Pillar 3 edition (map rule 1), with one stated exception (FY2021, below). Every edition prints the template as a three-column table - 31 December of the reporting year, 30 June of the reporting year, and 31 December of the prior year - and ONLY the 31 December reporting-year column is taken. (This workbook has been bitten by that before: ST-026 corrected six Pillar 3 metric sheets in which FY2023-FY2025 had been read off the 30 June interim column.)
FY2025 - Metro Bank Holdings PLC Pillar 3 2025, 'Table 4: UK KM1 - Key metrics', printed p.10 (PDF p.10), https://www.metrobankonline.co.uk/globalassets/documents/investor_documents/pillar-3---2025-final.pdf
FY2024 - Metro Bank Holdings PLC Pillar 3 2024, 'Table 4: UK KM1 - Key metrics', printed p.12 (PDF p.12), https://www.metrobankonline.co.uk/globalassets/pillar-3-2024.pdf
FY2023 - Metro Bank Holdings PLC Pillar 3 2023, 'Table 4: UK KM1 - Key metrics', printed p.12 (PDF p.12), https://www.metrobankonline.co.uk/globalassets/pillar-3-disclosure-2023.pdf
FY2022 - Metro Bank PLC Pillar 3 2022, 'Table 3: UK KM1 - Key metrics', printed p.10 (PDF p.11), https://www.metrobankonline.co.uk/globalassets/documents/customer_documents/business-and-commercial/pillar-3-disclosure-2022.pdf
FY2021 - THE FY2021 EDITION PRINTS NO KM1, so this column is the FY2022 edition's own 31 December 2021 comparative, taken from the same Table 3 cited above and labelled as such rather than presented as a FY2021-edition figure. All five FY2022-edition URLs re-fetched 2026-09-16 with a browser User-Agent and verified HTTP 200 / Content-Type application/pdf / %PDF magic bytes.
WHY THERE IS NO KM1 BEFORE FY2021. Metro Bank's FY2016-FY2021 Pillar 3 editions were read for this ticket and none contains the template. Each one's index of tables offers 'Table 2: Key Ratios' - a short summary of CET1 / Tier 1 / Total capital / CRR leverage / LCR against the prior year, with no row numbers, no SREP rows, no combined-buffer rows, no HQLA and net-cash-outflow build-up and no NSFR block. That is a different and shorter table, not an unnumbered KM1, so it is NOT mapped onto KM1 row numbers; doing so would invent a correspondence Metro Bank never published. The UK KM1 template arrived with the Disclosure (CRR) Part of the PRA Rulebook, applying from 1 January 2022, which is precisely when Metro Bank's first KM1 appears. The capital, leverage and liquidity figures those earlier editions DO publish already populate the eleven single-metric sheets in this workbook and are not duplicated here.
REPORTING ENTITY CHANGES MID-SERIES, and the columns are labelled accordingly. FY2021 and FY2022 are Metro Bank PLC (every page header of the FY2022 edition reads 'Metro Bank PLC Pillar 3 2022'). FY2023, FY2024 and FY2025 are Metro Bank Holdings PLC and its subsidiaries (every page header reads 'Metro Bank Holdings PLC | Pillar 3 20XX'), following the insertion of the holding company on 19 May 2023. The two editions agree exactly at 31 December 2022 (CET1 819, total capital 1,069, RWAs 7,990 in both the FY2022 and the FY2023 edition), because the restructure post-dates that balance-sheet date. The series is NOT presented as one continuous entity - see the workbook's entity/basis note.
BLANK CELLS, each one a row the bank printed and left empty rather than a row we failed to find. In the FY2022 edition the 31 December 2021 column is SHADED OUT for UK 7a, UK 7b, UK 7c, UK 7d, 12, UK 16a, UK 16b, 18, 19 and 20 - confirmed by rendering the page at 200 dpi and looking, not only from the text layer. Those cells are empty, not dashes and not zeros, so they are left blank. By contrast row 9 (institution specific countercyclical capital buffer) prints '0.0%' in that same 31 December 2021 column, and a printed zero is recorded as a zero.
ROWS 10 AND UK 10a ARE ABSENT FROM EVERY EDITION. Metro Bank's combined-buffer block runs 8, 9, 11, UK 11a, 12 in all four editions; it never prints a row 10 (systemic risk buffer) or UK 10a (O-SII buffer). They are not shown as blank rows because the bank does not print them at all - which is a different statement from a printed-but-empty cell.
THE BANK'S OWN FOOTNOTES, reproduced because they carry the basis: (i) the FY2022 edition footnotes its leverage block 'Restated UK Leverage Ratio for comparison. Recalculated based on changes in PRA Policy Statement 21/21 to exclude claims on central banks' - i.e. the 1 January 2022 basis break (map rule 5) is handled by the bank restating the earlier column onto the new 'excluding claims on central banks' caption, so rows 13/14 carry one caption throughout and the pre-2022 'including central bank claims' series is kept SEPARATELY, on its own two rows of the Leverage Ratio sheet, never merged into this one; (ii) 'LCR is based on 12-month average'; (iii) 'NSFR is based on 4-quarter average'.
PRECISION AND TYPOGRAPHY kept as printed: all percentages to one decimal place except rows 17 and 20, which the bank prints as whole percentages. The FY2023-FY2025 editions typeset their section headings with an en-dash ('Risk-weighted exposure amounts' is printed 'Risk–weighted exposure amounts') where the FY2022 edition uses a hyphen; a plain hyphen is used on this sheet and the drift is recorded here rather than reproduced glyph-for-glyph.
ONE DELIBERATE DIVERGENCE FROM THE LCR SHEET, DOCUMENTED RATHER THAN SILENCED. KM1 row 17 for FY2021 is 318%, while the LCR sheet's headline Liquidity Coverage Ratio row for FY2021 is 281%. Both are Metro Bank's own published figures for 31 December 2021 on DIFFERENT BASES, and the FY2021 Pillar 3 edition says so itself in section 8.2: 'Table 29 has been updated to align to the EBA/GL/2017/01 Guidelines and therefore shows the amount of high-quality liquid assets, total net cash outflows and the LCR, averaged over a 12-month period. The ratio at the period end was 281%.' Its Table 29 (EU LIQ1) then prints HQLA 6,900, net cash outflow 2,169 and a liquidity coverage ratio of 318% - the same three figures the FY2022 edition's KM1 carries in its 31 December 2021 column, which independently corroborates that comparative. So 318% is the 12-month average and 281% is the point-in-time ratio at the balance-sheet date. Neither figure has been edited to agree with the other. (Note in passing that 6,900 / 2,169 = 318%, so the LCR sheet's own HQLA and net-outflow rows for FY2021 are the average-basis figures; only its headline ratio cell is the point-in-time one.)
NEWER THAN THIS WORKBOOK, FLAGGED NOT TRANSCRIBED: the IR page also carries an H1 2026 edition, 'Metro Bank Pillar 3 30 June 2026' (metro-bank-pillar-3-30-june-2026.pdf), and interim financial statements to 30 June 2026. They add no financial YEAR - Metro Bank's year-end is 31 December and FY2026 has not occurred - so they are outside this workbook's annual series, but a later interim-focused ticket should pick them up.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(2026-09-15):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inlineStr">
        <is>
          <t>Not publicly disclosed</t>
        </is>
      </c>
      <c r="N4" s="6" t="inlineStr">
        <is>
          <t>Not publicly disclosed</t>
        </is>
      </c>
      <c r="O4" s="6" t="inlineStr">
        <is>
          <t>FY2012 Pillar 3 not located</t>
        </is>
      </c>
      <c r="P4" s="6" t="inlineStr">
        <is>
          <t>Not publicly disclosed</t>
        </is>
      </c>
      <c r="Q4" s="6" t="inlineStr">
        <is>
          <t>Not publicly disclosed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FY2012 Pillar 3 not located</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stays blank - no FY2015 Pillar 3 edition has been located and the point has not been settled for that year.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Basel II standardised approach, credit risk only (FY2010-FY2014) - separate basis, NOT part of the UK/EU OV1 total above</t>
        </is>
      </c>
      <c r="B11" s="6" t="n"/>
      <c r="C11" s="6" t="n"/>
      <c r="D11" s="6" t="n"/>
      <c r="E11" s="6" t="n"/>
      <c r="F11" s="6" t="n"/>
      <c r="G11" s="6" t="n"/>
      <c r="H11" s="6" t="n"/>
      <c r="I11" s="6" t="n"/>
      <c r="J11" s="6" t="n"/>
      <c r="K11" s="6" t="n"/>
      <c r="L11" s="6" t="n"/>
      <c r="M11" s="6" t="n"/>
      <c r="N11" s="6" t="n"/>
      <c r="O11" s="6" t="n"/>
      <c r="P11" s="6" t="n"/>
      <c r="Q11" s="6" t="n"/>
    </row>
    <row r="12">
      <c r="A12" s="6" t="inlineStr">
        <is>
          <t>Loans and advances to banks (20% risk weight)</t>
        </is>
      </c>
      <c r="B12" s="6" t="n"/>
      <c r="C12" s="6" t="n"/>
      <c r="D12" s="6" t="n"/>
      <c r="E12" s="6" t="n"/>
      <c r="F12" s="6" t="n"/>
      <c r="G12" s="6" t="n"/>
      <c r="H12" s="6" t="n"/>
      <c r="I12" s="6" t="n"/>
      <c r="J12" s="6" t="n"/>
      <c r="K12" s="6" t="n"/>
      <c r="L12" s="6" t="n"/>
      <c r="M12" s="6" t="n">
        <v>6.8</v>
      </c>
      <c r="N12" s="6" t="n">
        <v>5</v>
      </c>
      <c r="O12" s="6" t="n"/>
      <c r="P12" s="6" t="n">
        <v>5.7</v>
      </c>
      <c r="Q12" s="6" t="n">
        <v>1.1</v>
      </c>
    </row>
    <row r="13">
      <c r="A13" s="6" t="inlineStr">
        <is>
          <t>Investments (10%-100% risk weight)</t>
        </is>
      </c>
      <c r="B13" s="6" t="n"/>
      <c r="C13" s="6" t="n"/>
      <c r="D13" s="6" t="n"/>
      <c r="E13" s="6" t="n"/>
      <c r="F13" s="6" t="n"/>
      <c r="G13" s="6" t="n"/>
      <c r="H13" s="6" t="n"/>
      <c r="I13" s="6" t="n"/>
      <c r="J13" s="6" t="n"/>
      <c r="K13" s="6" t="n"/>
      <c r="L13" s="6" t="n"/>
      <c r="M13" s="6" t="n">
        <v>406.3</v>
      </c>
      <c r="N13" s="6" t="n">
        <v>155.3</v>
      </c>
      <c r="O13" s="6" t="n"/>
      <c r="P13" s="6" t="n">
        <v>7.8</v>
      </c>
      <c r="Q13" s="6" t="n"/>
    </row>
    <row r="14">
      <c r="A14" s="6" t="inlineStr">
        <is>
          <t>Secured residential lending (35%-75% risk weight)</t>
        </is>
      </c>
      <c r="B14" s="6" t="n"/>
      <c r="C14" s="6" t="n"/>
      <c r="D14" s="6" t="n"/>
      <c r="E14" s="6" t="n"/>
      <c r="F14" s="6" t="n"/>
      <c r="G14" s="6" t="n"/>
      <c r="H14" s="6" t="n"/>
      <c r="I14" s="6" t="n"/>
      <c r="J14" s="6" t="n"/>
      <c r="K14" s="6" t="n"/>
      <c r="L14" s="6" t="n"/>
      <c r="M14" s="6" t="n"/>
      <c r="N14" s="6" t="n">
        <v>138.2</v>
      </c>
      <c r="O14" s="6" t="n"/>
      <c r="P14" s="6" t="n">
        <v>8.699999999999999</v>
      </c>
      <c r="Q14" s="6" t="n"/>
    </row>
    <row r="15">
      <c r="A15" s="6" t="inlineStr">
        <is>
          <t>Retail lending (35%-75% risk weight; FY2014 label)</t>
        </is>
      </c>
      <c r="B15" s="6" t="n"/>
      <c r="C15" s="6" t="n"/>
      <c r="D15" s="6" t="n"/>
      <c r="E15" s="6" t="n"/>
      <c r="F15" s="6" t="n"/>
      <c r="G15" s="6" t="n"/>
      <c r="H15" s="6" t="n"/>
      <c r="I15" s="6" t="n"/>
      <c r="J15" s="6" t="n"/>
      <c r="K15" s="6" t="n"/>
      <c r="L15" s="6" t="n"/>
      <c r="M15" s="6" t="n">
        <v>344.8</v>
      </c>
      <c r="N15" s="6" t="n"/>
      <c r="O15" s="6" t="n"/>
      <c r="P15" s="6" t="n"/>
      <c r="Q15" s="6" t="n"/>
    </row>
    <row r="16">
      <c r="A16" s="6" t="inlineStr">
        <is>
          <t>Retail and commercial lending (75%-100% risk weight; FY2011/FY2013 label)</t>
        </is>
      </c>
      <c r="B16" s="6" t="n"/>
      <c r="C16" s="6" t="n"/>
      <c r="D16" s="6" t="n"/>
      <c r="E16" s="6" t="n"/>
      <c r="F16" s="6" t="n"/>
      <c r="G16" s="6" t="n"/>
      <c r="H16" s="6" t="n"/>
      <c r="I16" s="6" t="n"/>
      <c r="J16" s="6" t="n"/>
      <c r="K16" s="6" t="n"/>
      <c r="L16" s="6" t="n"/>
      <c r="M16" s="6" t="n"/>
      <c r="N16" s="6" t="n">
        <v>285.5</v>
      </c>
      <c r="O16" s="6" t="n"/>
      <c r="P16" s="6" t="n">
        <v>17.6</v>
      </c>
      <c r="Q16" s="6" t="n"/>
    </row>
    <row r="17">
      <c r="A17" s="6" t="inlineStr">
        <is>
          <t>SME and commercial (35%-100% risk weight; FY2014 label)</t>
        </is>
      </c>
      <c r="B17" s="6" t="n"/>
      <c r="C17" s="6" t="n"/>
      <c r="D17" s="6" t="n"/>
      <c r="E17" s="6" t="n"/>
      <c r="F17" s="6" t="n"/>
      <c r="G17" s="6" t="n"/>
      <c r="H17" s="6" t="n"/>
      <c r="I17" s="6" t="n"/>
      <c r="J17" s="6" t="n"/>
      <c r="K17" s="6" t="n"/>
      <c r="L17" s="6" t="n"/>
      <c r="M17" s="6" t="n">
        <v>426</v>
      </c>
      <c r="N17" s="6" t="n"/>
      <c r="O17" s="6" t="n"/>
      <c r="P17" s="6" t="n"/>
      <c r="Q17" s="6" t="n"/>
    </row>
    <row r="18">
      <c r="A18" s="6" t="inlineStr">
        <is>
          <t>Loans and advances to customers (75% risk weight; FY2010 label)</t>
        </is>
      </c>
      <c r="B18" s="6" t="n"/>
      <c r="C18" s="6" t="n"/>
      <c r="D18" s="6" t="n"/>
      <c r="E18" s="6" t="n"/>
      <c r="F18" s="6" t="n"/>
      <c r="G18" s="6" t="n"/>
      <c r="H18" s="6" t="n"/>
      <c r="I18" s="6" t="n"/>
      <c r="J18" s="6" t="n"/>
      <c r="K18" s="6" t="n"/>
      <c r="L18" s="6" t="n"/>
      <c r="M18" s="6" t="n"/>
      <c r="N18" s="6" t="n"/>
      <c r="O18" s="6" t="n"/>
      <c r="P18" s="6" t="n"/>
      <c r="Q18" s="6" t="n">
        <v>0.1</v>
      </c>
    </row>
    <row r="19">
      <c r="A19" s="6" t="inlineStr">
        <is>
          <t>Fixed and other assets (100% risk weight)</t>
        </is>
      </c>
      <c r="B19" s="6" t="n"/>
      <c r="C19" s="6" t="n"/>
      <c r="D19" s="6" t="n"/>
      <c r="E19" s="6" t="n"/>
      <c r="F19" s="6" t="n"/>
      <c r="G19" s="6" t="n"/>
      <c r="H19" s="6" t="n"/>
      <c r="I19" s="6" t="n"/>
      <c r="J19" s="6" t="n"/>
      <c r="K19" s="6" t="n"/>
      <c r="L19" s="6" t="n"/>
      <c r="M19" s="6" t="n">
        <v>166.6</v>
      </c>
      <c r="N19" s="6" t="n">
        <v>160.3</v>
      </c>
      <c r="O19" s="6" t="n"/>
      <c r="P19" s="6" t="n">
        <v>50.3</v>
      </c>
      <c r="Q19" s="6" t="n"/>
    </row>
    <row r="20">
      <c r="A20" s="6" t="inlineStr">
        <is>
          <t>Tangible fixed assets (100% risk weight; FY2010 label)</t>
        </is>
      </c>
      <c r="B20" s="6" t="n"/>
      <c r="C20" s="6" t="n"/>
      <c r="D20" s="6" t="n"/>
      <c r="E20" s="6" t="n"/>
      <c r="F20" s="6" t="n"/>
      <c r="G20" s="6" t="n"/>
      <c r="H20" s="6" t="n"/>
      <c r="I20" s="6" t="n"/>
      <c r="J20" s="6" t="n"/>
      <c r="K20" s="6" t="n"/>
      <c r="L20" s="6" t="n"/>
      <c r="M20" s="6" t="n"/>
      <c r="N20" s="6" t="n"/>
      <c r="O20" s="6" t="n"/>
      <c r="P20" s="6" t="n"/>
      <c r="Q20" s="6" t="n">
        <v>17.3</v>
      </c>
    </row>
    <row r="21">
      <c r="A21" s="6" t="inlineStr">
        <is>
          <t>Prepayments and accrued income (100% risk weight; FY2010 label)</t>
        </is>
      </c>
      <c r="B21" s="6" t="n"/>
      <c r="C21" s="6" t="n"/>
      <c r="D21" s="6" t="n"/>
      <c r="E21" s="6" t="n"/>
      <c r="F21" s="6" t="n"/>
      <c r="G21" s="6" t="n"/>
      <c r="H21" s="6" t="n"/>
      <c r="I21" s="6" t="n"/>
      <c r="J21" s="6" t="n"/>
      <c r="K21" s="6" t="n"/>
      <c r="L21" s="6" t="n"/>
      <c r="M21" s="6" t="n"/>
      <c r="N21" s="6" t="n"/>
      <c r="O21" s="6" t="n"/>
      <c r="P21" s="6" t="n"/>
      <c r="Q21" s="6" t="n">
        <v>0.4</v>
      </c>
    </row>
    <row r="22">
      <c r="A22" s="6" t="inlineStr">
        <is>
          <t>Past due &gt;20% impaired secured (50% risk weight)</t>
        </is>
      </c>
      <c r="B22" s="6" t="n"/>
      <c r="C22" s="6" t="n"/>
      <c r="D22" s="6" t="n"/>
      <c r="E22" s="6" t="n"/>
      <c r="F22" s="6" t="n"/>
      <c r="G22" s="6" t="n"/>
      <c r="H22" s="6" t="n"/>
      <c r="I22" s="6" t="n"/>
      <c r="J22" s="6" t="n"/>
      <c r="K22" s="6" t="n"/>
      <c r="L22" s="6" t="n"/>
      <c r="M22" s="6" t="n">
        <v>1.1</v>
      </c>
      <c r="N22" s="6" t="n">
        <v>0.5</v>
      </c>
      <c r="O22" s="6" t="n"/>
      <c r="P22" s="6" t="n"/>
      <c r="Q22" s="6" t="n"/>
    </row>
    <row r="23">
      <c r="A23" s="6" t="inlineStr">
        <is>
          <t>Contingent assets - secured and unsecured lending facilities</t>
        </is>
      </c>
      <c r="B23" s="6" t="n"/>
      <c r="C23" s="6" t="n"/>
      <c r="D23" s="6" t="n"/>
      <c r="E23" s="6" t="n"/>
      <c r="F23" s="6" t="n"/>
      <c r="G23" s="6" t="n"/>
      <c r="H23" s="6" t="n"/>
      <c r="I23" s="6" t="n"/>
      <c r="J23" s="6" t="n"/>
      <c r="K23" s="6" t="n"/>
      <c r="L23" s="6" t="n"/>
      <c r="M23" s="6" t="n">
        <v>64.3</v>
      </c>
      <c r="N23" s="6" t="n">
        <v>30.5</v>
      </c>
      <c r="O23" s="6" t="n"/>
      <c r="P23" s="6" t="n">
        <v>3.2</v>
      </c>
      <c r="Q23" s="6" t="n"/>
    </row>
    <row r="24">
      <c r="A24" s="6" t="inlineStr">
        <is>
          <t>Cash and balances with the Bank of England, and UK government bonds (0% risk weight)</t>
        </is>
      </c>
      <c r="B24" s="6" t="n"/>
      <c r="C24" s="6" t="n"/>
      <c r="D24" s="6" t="n"/>
      <c r="E24" s="6" t="n"/>
      <c r="F24" s="6" t="n"/>
      <c r="G24" s="6" t="n"/>
      <c r="H24" s="6" t="n"/>
      <c r="I24" s="6" t="n"/>
      <c r="J24" s="6" t="n"/>
      <c r="K24" s="6" t="n"/>
      <c r="L24" s="6" t="n"/>
      <c r="M24" s="6" t="n">
        <v>0</v>
      </c>
      <c r="N24" s="6" t="n">
        <v>0</v>
      </c>
      <c r="O24" s="6" t="n"/>
      <c r="P24" s="6" t="n">
        <v>0</v>
      </c>
      <c r="Q24" s="6" t="n">
        <v>0</v>
      </c>
    </row>
    <row r="25">
      <c r="A25" s="5" t="inlineStr">
        <is>
          <t>Total credit risk RWA, Basel II standardised approach (excludes operational risk, which is never quantified)</t>
        </is>
      </c>
      <c r="B25" s="5" t="n"/>
      <c r="C25" s="5" t="n"/>
      <c r="D25" s="5" t="n"/>
      <c r="E25" s="5" t="n"/>
      <c r="F25" s="5" t="n"/>
      <c r="G25" s="5" t="n"/>
      <c r="H25" s="5" t="n"/>
      <c r="I25" s="5" t="n"/>
      <c r="J25" s="5" t="n"/>
      <c r="K25" s="5" t="n"/>
      <c r="L25" s="5" t="n"/>
      <c r="M25" s="5" t="n">
        <v>1415.9</v>
      </c>
      <c r="N25" s="5" t="n">
        <v>775.3</v>
      </c>
      <c r="O25" s="5" t="inlineStr">
        <is>
          <t>FY2012 Pillar 3 not located</t>
        </is>
      </c>
      <c r="P25" s="5" t="n">
        <v>93.2</v>
      </c>
      <c r="Q25" s="5" t="n">
        <v>19</v>
      </c>
    </row>
    <row r="27" ht="250" customHeight="1">
      <c r="A2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27:Q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c r="N6" s="6" t="inlineStr">
        <is>
          <t>Not applicable</t>
        </is>
      </c>
      <c r="O6" s="6" t="inlineStr">
        <is>
          <t>Not applicable</t>
        </is>
      </c>
      <c r="P6" s="6" t="inlineStr">
        <is>
          <t>Not applicable</t>
        </is>
      </c>
      <c r="Q6" s="6" t="inlineStr">
        <is>
          <t>Not applicable</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2026-09-16T15:21:59Z</dcterms:created>
  <dcterms:modified xmlns:dcterms="http://purl.org/dc/terms/" xmlns:xsi="http://www.w3.org/2001/XMLSchema-instance" xsi:type="dcterms:W3CDTF">2026-09-16T15:22:00Z</dcterms:modified>
</cp:coreProperties>
</file>