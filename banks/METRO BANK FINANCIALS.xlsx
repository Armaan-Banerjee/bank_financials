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 xmlns:r="http://schemas.openxmlformats.org/officeDocument/2006/relationships" name="Interim Pillar 3" sheetId="19" state="visible" r:id="rId1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00695C"/>
        <bgColor rgb="000069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Metro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Metro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Metro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ser>
          <idx val="4"/>
          <order val="4"/>
          <tx>
            <strRef>
              <f>'Overview'!BF24</f>
            </strRef>
          </tx>
          <spPr>
            <a:ln xmlns:a="http://schemas.openxmlformats.org/drawingml/2006/main">
              <a:prstDash val="solid"/>
            </a:ln>
          </spPr>
          <cat>
            <numRef>
              <f>'Overview'!$BG$19:$BV$19</f>
            </numRef>
          </cat>
          <val>
            <numRef>
              <f>'Overview'!$BG$24:$BV$24</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Metro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'Overview'!BY28</f>
            </strRef>
          </tx>
          <spPr>
            <a:ln xmlns:a="http://schemas.openxmlformats.org/drawingml/2006/main">
              <a:prstDash val="solid"/>
            </a:ln>
          </spPr>
          <cat>
            <numRef>
              <f>'Overview'!$BZ$27:$CO$27</f>
            </numRef>
          </cat>
          <val>
            <numRef>
              <f>'Overview'!$BZ$28:$CO$28</f>
            </numRef>
          </val>
        </ser>
        <ser>
          <idx val="1"/>
          <order val="1"/>
          <tx>
            <strRef>
              <f>'Overview'!BY29</f>
            </strRef>
          </tx>
          <spPr>
            <a:ln xmlns:a="http://schemas.openxmlformats.org/drawingml/2006/main">
              <a:prstDash val="solid"/>
            </a:ln>
          </spPr>
          <cat>
            <numRef>
              <f>'Overview'!$BZ$27:$CO$27</f>
            </numRef>
          </cat>
          <val>
            <numRef>
              <f>'Overview'!$BZ$29:$CO$29</f>
            </numRef>
          </val>
        </ser>
        <ser>
          <idx val="2"/>
          <order val="2"/>
          <tx>
            <strRef>
              <f>'Overview'!BY30</f>
            </strRef>
          </tx>
          <spPr>
            <a:ln xmlns:a="http://schemas.openxmlformats.org/drawingml/2006/main">
              <a:prstDash val="solid"/>
            </a:ln>
          </spPr>
          <cat>
            <numRef>
              <f>'Overview'!$BZ$27:$CO$27</f>
            </numRef>
          </cat>
          <val>
            <numRef>
              <f>'Overview'!$BZ$30:$CO$30</f>
            </numRef>
          </val>
        </ser>
        <ser>
          <idx val="3"/>
          <order val="3"/>
          <tx>
            <strRef>
              <f>'Overview'!BY31</f>
            </strRef>
          </tx>
          <spPr>
            <a:ln xmlns:a="http://schemas.openxmlformats.org/drawingml/2006/main">
              <a:prstDash val="solid"/>
            </a:ln>
          </spPr>
          <cat>
            <numRef>
              <f>'Overview'!$BZ$27:$CO$27</f>
            </numRef>
          </cat>
          <val>
            <numRef>
              <f>'Overview'!$BZ$31:$CO$31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Metro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9.xml.rels><Relationships xmlns="http://schemas.openxmlformats.org/package/2006/relationships"><Relationship Type="http://schemas.openxmlformats.org/officeDocument/2006/relationships/hyperlink" Target="https://www.metrobankonline.co.uk/globalassets/documents/customer_documents/business-and-commercial/pillar-3-disclosure---h1-2022.pdf" TargetMode="External" Id="rId1"/><Relationship Type="http://schemas.openxmlformats.org/officeDocument/2006/relationships/hyperlink" Target="https://www.metrobankonline.co.uk/globalassets/documents/customer_documents/business-and-commercial/pillar-3-disclosure---h1-2022.pdf" TargetMode="External" Id="rId2"/><Relationship Type="http://schemas.openxmlformats.org/officeDocument/2006/relationships/hyperlink" Target="https://www.metrobankonline.co.uk/globalassets/documents/customer_documents/business-and-commercial/pillar-3-disclosure---h1-2022.pdf" TargetMode="External" Id="rId3"/><Relationship Type="http://schemas.openxmlformats.org/officeDocument/2006/relationships/hyperlink" Target="https://www.metrobankonline.co.uk/globalassets/documents/customer_documents/business-and-commercial/pillar-3-disclosure---h1-2022.pdf" TargetMode="External" Id="rId4"/><Relationship Type="http://schemas.openxmlformats.org/officeDocument/2006/relationships/hyperlink" Target="https://www.metrobankonline.co.uk/globalassets/documents/customer_documents/business-and-commercial/pillar-3-disclosure---h1-2022.pdf" TargetMode="External" Id="rId5"/><Relationship Type="http://schemas.openxmlformats.org/officeDocument/2006/relationships/hyperlink" Target="https://www.metrobankonline.co.uk/globalassets/documents/customer_documents/business-and-commercial/pillar-3-disclosure---h1-2022.pdf" TargetMode="External" Id="rId6"/><Relationship Type="http://schemas.openxmlformats.org/officeDocument/2006/relationships/hyperlink" Target="https://www.metrobankonline.co.uk/globalassets/documents/customer_documents/business-and-commercial/pillar-3-disclosure---h1-2022.pdf" TargetMode="External" Id="rId7"/><Relationship Type="http://schemas.openxmlformats.org/officeDocument/2006/relationships/hyperlink" Target="https://www.metrobankonline.co.uk/globalassets/documents/customer_documents/business-and-commercial/pillar-3-disclosure---h1-2022.pdf" TargetMode="External" Id="rId8"/><Relationship Type="http://schemas.openxmlformats.org/officeDocument/2006/relationships/hyperlink" Target="https://www.metrobankonline.co.uk/globalassets/documents/customer_documents/business-and-commercial/pillar-3-disclosure---h1-2022.pdf" TargetMode="External" Id="rId9"/><Relationship Type="http://schemas.openxmlformats.org/officeDocument/2006/relationships/hyperlink" Target="https://www.metrobankonline.co.uk/globalassets/documents/customer_documents/business-and-commercial/pillar-3-disclosure---h1-2022.pdf" TargetMode="External" Id="rId10"/><Relationship Type="http://schemas.openxmlformats.org/officeDocument/2006/relationships/hyperlink" Target="https://www.metrobankonline.co.uk/globalassets/documents/customer_documents/business-and-commercial/pillar-3-disclosure---h1-2022.pdf" TargetMode="External" Id="rId11"/><Relationship Type="http://schemas.openxmlformats.org/officeDocument/2006/relationships/hyperlink" Target="https://www.metrobankonline.co.uk/globalassets/documents/customer_documents/business-and-commercial/pillar-3-disclosure---h1-2022.pdf" TargetMode="External" Id="rId12"/><Relationship Type="http://schemas.openxmlformats.org/officeDocument/2006/relationships/hyperlink" Target="https://www.metrobankonline.co.uk/globalassets/documents/customer_documents/business-and-commercial/pillar-3-disclosure---h1-2022.pdf" TargetMode="External" Id="rId13"/><Relationship Type="http://schemas.openxmlformats.org/officeDocument/2006/relationships/hyperlink" Target="https://www.metrobankonline.co.uk/globalassets/documents/customer_documents/business-and-commercial/pillar-3-disclosure---h1-2022.pdf" TargetMode="External" Id="rId14"/><Relationship Type="http://schemas.openxmlformats.org/officeDocument/2006/relationships/hyperlink" Target="https://www.metrobankonline.co.uk/globalassets/documents/customer_documents/business-and-commercial/pillar-3-disclosure---h1-2022.pdf" TargetMode="External" Id="rId15"/><Relationship Type="http://schemas.openxmlformats.org/officeDocument/2006/relationships/hyperlink" Target="https://www.metrobankonline.co.uk/globalassets/documents/customer_documents/business-and-commercial/pillar-3-disclosure---h1-2022.pdf" TargetMode="External" Id="rId16"/><Relationship Type="http://schemas.openxmlformats.org/officeDocument/2006/relationships/hyperlink" Target="https://www.metrobankonline.co.uk/globalassets/documents/customer_documents/business-and-commercial/pillar-3-disclosure---h1-2022.pdf" TargetMode="External" Id="rId17"/><Relationship Type="http://schemas.openxmlformats.org/officeDocument/2006/relationships/hyperlink" Target="https://www.metrobankonline.co.uk/globalassets/documents/customer_documents/business-and-commercial/pillar-3-disclosure---h1-2022.pdf" TargetMode="External" Id="rId18"/><Relationship Type="http://schemas.openxmlformats.org/officeDocument/2006/relationships/hyperlink" Target="https://www.metrobankonline.co.uk/globalassets/documents/customer_documents/business-and-commercial/pillar-3-disclosure---h1-2022.pdf" TargetMode="External" Id="rId19"/><Relationship Type="http://schemas.openxmlformats.org/officeDocument/2006/relationships/hyperlink" Target="https://www.metrobankonline.co.uk/globalassets/documents/customer_documents/business-and-commercial/pillar-3-disclosure---h1-2022.pdf" TargetMode="External" Id="rId20"/><Relationship Type="http://schemas.openxmlformats.org/officeDocument/2006/relationships/hyperlink" Target="https://www.metrobankonline.co.uk/globalassets/documents/customer_documents/business-and-commercial/pillar-3-disclosure---h1-2022.pdf" TargetMode="External" Id="rId21"/><Relationship Type="http://schemas.openxmlformats.org/officeDocument/2006/relationships/hyperlink" Target="https://www.metrobankonline.co.uk/globalassets/documents/customer_documents/business-and-commercial/pillar-3-disclosure---h1-2022.pdf" TargetMode="External" Id="rId22"/><Relationship Type="http://schemas.openxmlformats.org/officeDocument/2006/relationships/hyperlink" Target="https://www.metrobankonline.co.uk/globalassets/documents/customer_documents/business-and-commercial/pillar-3-disclosure---h1-2022.pdf" TargetMode="External" Id="rId23"/><Relationship Type="http://schemas.openxmlformats.org/officeDocument/2006/relationships/hyperlink" Target="https://www.metrobankonline.co.uk/globalassets/documents/customer_documents/business-and-commercial/pillar-3-disclosure---h1-2022.pdf" TargetMode="External" Id="rId24"/><Relationship Type="http://schemas.openxmlformats.org/officeDocument/2006/relationships/hyperlink" Target="https://www.metrobankonline.co.uk/globalassets/documents/customer_documents/business-and-commercial/pillar-3-disclosure---h1-2022.pdf" TargetMode="External" Id="rId25"/><Relationship Type="http://schemas.openxmlformats.org/officeDocument/2006/relationships/hyperlink" Target="https://www.metrobankonline.co.uk/globalassets/documents/customer_documents/business-and-commercial/pillar-3-disclosure---h1-2022.pdf" TargetMode="External" Id="rId26"/><Relationship Type="http://schemas.openxmlformats.org/officeDocument/2006/relationships/hyperlink" Target="https://www.metrobankonline.co.uk/globalassets/documents/customer_documents/business-and-commercial/pillar-3-disclosure---h1-2022.pdf" TargetMode="External" Id="rId27"/><Relationship Type="http://schemas.openxmlformats.org/officeDocument/2006/relationships/hyperlink" Target="https://www.metrobankonline.co.uk/globalassets/documents/customer_documents/business-and-commercial/pillar-3-disclosure---h1-2022.pdf" TargetMode="External" Id="rId28"/><Relationship Type="http://schemas.openxmlformats.org/officeDocument/2006/relationships/hyperlink" Target="https://www.metrobankonline.co.uk/globalassets/documents/customer_documents/business-and-commercial/pillar-3-disclosure---h1-2022.pdf" TargetMode="External" Id="rId29"/><Relationship Type="http://schemas.openxmlformats.org/officeDocument/2006/relationships/hyperlink" Target="https://www.metrobankonline.co.uk/globalassets/documents/customer_documents/personal/pillar-3-disclosure-h1-2023.pdf" TargetMode="External" Id="rId30"/><Relationship Type="http://schemas.openxmlformats.org/officeDocument/2006/relationships/hyperlink" Target="https://www.metrobankonline.co.uk/globalassets/documents/customer_documents/intermediaries/pillar-3-disclosure-h1-2024.pdf" TargetMode="External" Id="rId31"/><Relationship Type="http://schemas.openxmlformats.org/officeDocument/2006/relationships/hyperlink" Target="https://www.metrobankonline.co.uk/globalassets/h1-2025-pillar-3-final.pdf" TargetMode="External" Id="rId32"/><Relationship Type="http://schemas.openxmlformats.org/officeDocument/2006/relationships/hyperlink" Target="https://www.metrobankonline.co.uk/globalassets/documents/customer_documents/business-and-commercial/pillar-3-disclosure---h1-2022.pdf" TargetMode="External" Id="rId33"/><Relationship Type="http://schemas.openxmlformats.org/officeDocument/2006/relationships/hyperlink" Target="https://www.metrobankonline.co.uk/globalassets/documents/customer_documents/business-and-commercial/pillar-3-disclosure---h1-2022.pdf" TargetMode="External" Id="rId34"/><Relationship Type="http://schemas.openxmlformats.org/officeDocument/2006/relationships/hyperlink" Target="https://www.metrobankonline.co.uk/globalassets/documents/customer_documents/personal/pillar-3-disclosure-h1-2023.pdf" TargetMode="External" Id="rId35"/><Relationship Type="http://schemas.openxmlformats.org/officeDocument/2006/relationships/hyperlink" Target="https://www.metrobankonline.co.uk/globalassets/documents/customer_documents/intermediaries/pillar-3-disclosure-h1-2024.pdf" TargetMode="External" Id="rId36"/><Relationship Type="http://schemas.openxmlformats.org/officeDocument/2006/relationships/hyperlink" Target="https://www.metrobankonline.co.uk/globalassets/h1-2025-pillar-3-final.pdf" TargetMode="External" Id="rId37"/></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Metro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 (16m)</t>
        </is>
      </c>
      <c r="U5" t="inlineStr">
        <is>
          <t>FY2010 (16m)</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 (16m)</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c r="C6" s="5" t="n"/>
      <c r="D6" s="5" t="n">
        <v>22257</v>
      </c>
      <c r="E6" s="5" t="n">
        <v>22126</v>
      </c>
      <c r="F6" s="5" t="n">
        <v>22583</v>
      </c>
      <c r="G6" s="5" t="n">
        <v>22579</v>
      </c>
      <c r="H6" s="5" t="n">
        <v>21400</v>
      </c>
      <c r="I6" s="5" t="n">
        <v>21647</v>
      </c>
      <c r="J6" s="5" t="n">
        <v>16355</v>
      </c>
      <c r="K6" s="5" t="n">
        <v>10057</v>
      </c>
      <c r="L6" s="5" t="n">
        <v>6148</v>
      </c>
      <c r="M6" s="5" t="n">
        <v>3661</v>
      </c>
      <c r="N6" s="5" t="n">
        <v>1891.6</v>
      </c>
      <c r="O6" s="5" t="n">
        <v>771.2</v>
      </c>
      <c r="P6" s="5" t="n">
        <v>240.3</v>
      </c>
      <c r="Q6" s="5" t="n">
        <v>119.1</v>
      </c>
      <c r="T6" t="inlineStr">
        <is>
          <t>Total assets</t>
        </is>
      </c>
      <c r="U6" t="n">
        <v>119.1</v>
      </c>
      <c r="V6" t="n">
        <v>240.3</v>
      </c>
      <c r="W6" t="n">
        <v>771.2</v>
      </c>
      <c r="X6" t="n">
        <v>1891.6</v>
      </c>
      <c r="Y6" t="n">
        <v>3661</v>
      </c>
      <c r="Z6" t="n">
        <v>6148</v>
      </c>
      <c r="AA6" t="n">
        <v>10057</v>
      </c>
      <c r="AB6" t="n">
        <v>16355</v>
      </c>
      <c r="AC6" t="n">
        <v>21647</v>
      </c>
      <c r="AD6" t="n">
        <v>21400</v>
      </c>
      <c r="AE6" t="n">
        <v>22579</v>
      </c>
      <c r="AF6" t="n">
        <v>22583</v>
      </c>
      <c r="AG6" t="n">
        <v>22126</v>
      </c>
      <c r="AH6" t="n">
        <v>22257</v>
      </c>
      <c r="CR6" t="inlineStr">
        <is>
          <t>CET1 Ratio</t>
        </is>
      </c>
      <c r="CW6" t="n">
        <v>28</v>
      </c>
      <c r="CX6" t="n">
        <v>13</v>
      </c>
      <c r="CY6" t="n">
        <v>18.16</v>
      </c>
      <c r="CZ6" t="n">
        <v>15.25</v>
      </c>
      <c r="DA6" t="n">
        <v>13.1</v>
      </c>
      <c r="DB6" t="n">
        <v>15.6</v>
      </c>
      <c r="DC6" t="n">
        <v>15</v>
      </c>
      <c r="DD6" t="n">
        <v>12.6</v>
      </c>
      <c r="DE6" t="n">
        <v>10.3</v>
      </c>
      <c r="DF6" t="n">
        <v>13.1</v>
      </c>
      <c r="DG6" t="n">
        <v>12.5</v>
      </c>
      <c r="DH6" t="n">
        <v>12.5</v>
      </c>
    </row>
    <row r="7">
      <c r="A7" s="5" t="inlineStr">
        <is>
          <t>Loans and advances to customers</t>
        </is>
      </c>
      <c r="B7" s="5" t="n"/>
      <c r="C7" s="5" t="n"/>
      <c r="D7" s="5" t="n">
        <v>11844</v>
      </c>
      <c r="E7" s="5" t="n">
        <v>12698</v>
      </c>
      <c r="F7" s="5" t="n">
        <v>11976</v>
      </c>
      <c r="G7" s="5" t="n">
        <v>12090</v>
      </c>
      <c r="H7" s="5" t="n">
        <v>14681</v>
      </c>
      <c r="I7" s="5" t="n">
        <v>14235</v>
      </c>
      <c r="J7" s="5" t="n">
        <v>9620</v>
      </c>
      <c r="K7" s="5" t="n">
        <v>5865</v>
      </c>
      <c r="L7" s="5" t="n">
        <v>3543</v>
      </c>
      <c r="M7" s="5" t="n">
        <v>1590</v>
      </c>
      <c r="N7" s="5" t="n">
        <v>751.1</v>
      </c>
      <c r="O7" s="5" t="n">
        <v>167.8</v>
      </c>
      <c r="P7" s="5" t="n">
        <v>42.1</v>
      </c>
      <c r="Q7" s="5" t="n">
        <v>0.1</v>
      </c>
      <c r="T7" t="inlineStr">
        <is>
          <t>Loans and advances to customers</t>
        </is>
      </c>
      <c r="U7" t="n">
        <v>0.1</v>
      </c>
      <c r="V7" t="n">
        <v>42.1</v>
      </c>
      <c r="W7" t="n">
        <v>167.8</v>
      </c>
      <c r="X7" t="n">
        <v>751.1</v>
      </c>
      <c r="Y7" t="n">
        <v>1590</v>
      </c>
      <c r="Z7" t="n">
        <v>3543</v>
      </c>
      <c r="AA7" t="n">
        <v>5865</v>
      </c>
      <c r="AB7" t="n">
        <v>9620</v>
      </c>
      <c r="AC7" t="n">
        <v>14235</v>
      </c>
      <c r="AD7" t="n">
        <v>14681</v>
      </c>
      <c r="AE7" t="n">
        <v>12090</v>
      </c>
      <c r="AF7" t="n">
        <v>11976</v>
      </c>
      <c r="AG7" t="n">
        <v>12698</v>
      </c>
      <c r="AH7" t="n">
        <v>11844</v>
      </c>
      <c r="CR7" t="inlineStr">
        <is>
          <t>Total Capital Ratio</t>
        </is>
      </c>
      <c r="CW7" t="n">
        <v>28</v>
      </c>
      <c r="CX7" t="n">
        <v>13</v>
      </c>
      <c r="CY7" t="n">
        <v>18.16</v>
      </c>
      <c r="CZ7" t="n">
        <v>15.25</v>
      </c>
      <c r="DA7" t="n">
        <v>15.9</v>
      </c>
      <c r="DB7" t="n">
        <v>18.3</v>
      </c>
      <c r="DC7" t="n">
        <v>18.1</v>
      </c>
      <c r="DD7" t="n">
        <v>15.9</v>
      </c>
      <c r="DE7" t="n">
        <v>13.4</v>
      </c>
      <c r="DF7" t="n">
        <v>15.1</v>
      </c>
      <c r="DG7" t="n">
        <v>14.9</v>
      </c>
      <c r="DH7" t="n">
        <v>18.4</v>
      </c>
    </row>
    <row r="8">
      <c r="A8" s="5" t="inlineStr">
        <is>
          <t>Deposits from customers</t>
        </is>
      </c>
      <c r="B8" s="5" t="n"/>
      <c r="C8" s="5" t="n"/>
      <c r="D8" s="5" t="n">
        <v>15623</v>
      </c>
      <c r="E8" s="5" t="n">
        <v>16014</v>
      </c>
      <c r="F8" s="5" t="n">
        <v>16448</v>
      </c>
      <c r="G8" s="5" t="n">
        <v>16072</v>
      </c>
      <c r="H8" s="5" t="n">
        <v>14477</v>
      </c>
      <c r="I8" s="5" t="n">
        <v>15661</v>
      </c>
      <c r="J8" s="5" t="n">
        <v>11669</v>
      </c>
      <c r="K8" s="5" t="n">
        <v>7951</v>
      </c>
      <c r="L8" s="5" t="n">
        <v>5108</v>
      </c>
      <c r="M8" s="5" t="n">
        <v>2867</v>
      </c>
      <c r="N8" s="5" t="n">
        <v>1315.4</v>
      </c>
      <c r="O8" s="5" t="n">
        <v>576.3</v>
      </c>
      <c r="P8" s="5" t="n">
        <v>151.6</v>
      </c>
      <c r="Q8" s="5" t="n">
        <v>17.9</v>
      </c>
      <c r="T8" t="inlineStr">
        <is>
          <t>Deposits from customers</t>
        </is>
      </c>
      <c r="U8" t="n">
        <v>17.9</v>
      </c>
      <c r="V8" t="n">
        <v>151.6</v>
      </c>
      <c r="W8" t="n">
        <v>576.3</v>
      </c>
      <c r="X8" t="n">
        <v>1315.4</v>
      </c>
      <c r="Y8" t="n">
        <v>2867</v>
      </c>
      <c r="Z8" t="n">
        <v>5108</v>
      </c>
      <c r="AA8" t="n">
        <v>7951</v>
      </c>
      <c r="AB8" t="n">
        <v>11669</v>
      </c>
      <c r="AC8" t="n">
        <v>15661</v>
      </c>
      <c r="AD8" t="n">
        <v>14477</v>
      </c>
      <c r="AE8" t="n">
        <v>16072</v>
      </c>
      <c r="AF8" t="n">
        <v>16448</v>
      </c>
      <c r="AG8" t="n">
        <v>16014</v>
      </c>
      <c r="AH8" t="n">
        <v>15623</v>
      </c>
      <c r="CR8" t="inlineStr">
        <is>
          <t>Leverage Ratio</t>
        </is>
      </c>
      <c r="CW8" t="n">
        <v>10</v>
      </c>
      <c r="CX8" t="n">
        <v>4.9</v>
      </c>
      <c r="CY8" t="n">
        <v>6.5</v>
      </c>
      <c r="CZ8" t="n">
        <v>5.5</v>
      </c>
      <c r="DA8" t="n">
        <v>5.4</v>
      </c>
      <c r="DB8" t="n">
        <v>6.6</v>
      </c>
      <c r="DC8" t="n">
        <v>5.6</v>
      </c>
      <c r="DD8" t="n">
        <v>5.2</v>
      </c>
      <c r="DE8" t="n">
        <v>4.2</v>
      </c>
      <c r="DF8" t="n">
        <v>5.3</v>
      </c>
      <c r="DG8" t="n">
        <v>5.6</v>
      </c>
      <c r="DH8" t="n">
        <v>7.8</v>
      </c>
    </row>
    <row r="9">
      <c r="A9" s="5" t="inlineStr">
        <is>
          <t>Total equity</t>
        </is>
      </c>
      <c r="B9" s="5" t="n"/>
      <c r="C9" s="5" t="n"/>
      <c r="D9" s="5" t="n">
        <v>1152</v>
      </c>
      <c r="E9" s="5" t="n">
        <v>957</v>
      </c>
      <c r="F9" s="5" t="n">
        <v>1036</v>
      </c>
      <c r="G9" s="5" t="n">
        <v>1289</v>
      </c>
      <c r="H9" s="5" t="n">
        <v>1583</v>
      </c>
      <c r="I9" s="5" t="n">
        <v>1403</v>
      </c>
      <c r="J9" s="5" t="n">
        <v>1096</v>
      </c>
      <c r="K9" s="5" t="n">
        <v>805</v>
      </c>
      <c r="L9" s="5" t="n">
        <v>407</v>
      </c>
      <c r="M9" s="5" t="n">
        <v>462</v>
      </c>
      <c r="N9" s="5" t="n">
        <v>405</v>
      </c>
      <c r="O9" s="5" t="n">
        <v>178.2</v>
      </c>
      <c r="P9" s="5" t="n">
        <v>78</v>
      </c>
      <c r="Q9" s="5" t="n">
        <v>96.8</v>
      </c>
      <c r="T9" t="inlineStr">
        <is>
          <t>Total equity</t>
        </is>
      </c>
      <c r="U9" t="n">
        <v>96.8</v>
      </c>
      <c r="V9" t="n">
        <v>78</v>
      </c>
      <c r="W9" t="n">
        <v>178.2</v>
      </c>
      <c r="X9" t="n">
        <v>405</v>
      </c>
      <c r="Y9" t="n">
        <v>462</v>
      </c>
      <c r="Z9" t="n">
        <v>407</v>
      </c>
      <c r="AA9" t="n">
        <v>805</v>
      </c>
      <c r="AB9" t="n">
        <v>1096</v>
      </c>
      <c r="AC9" t="n">
        <v>1403</v>
      </c>
      <c r="AD9" t="n">
        <v>1583</v>
      </c>
      <c r="AE9" t="n">
        <v>1289</v>
      </c>
      <c r="AF9" t="n">
        <v>1036</v>
      </c>
      <c r="AG9" t="n">
        <v>957</v>
      </c>
      <c r="AH9" t="n">
        <v>1152</v>
      </c>
      <c r="CR9" t="inlineStr">
        <is>
          <t>LCR</t>
        </is>
      </c>
      <c r="CY9" t="n">
        <v>136</v>
      </c>
      <c r="CZ9" t="n">
        <v>141</v>
      </c>
      <c r="DA9" t="n">
        <v>139</v>
      </c>
      <c r="DB9" t="n">
        <v>197</v>
      </c>
      <c r="DC9" t="n">
        <v>187</v>
      </c>
      <c r="DD9" t="n">
        <v>281</v>
      </c>
      <c r="DE9" t="n">
        <v>246</v>
      </c>
      <c r="DF9" t="n">
        <v>244</v>
      </c>
      <c r="DG9" t="n">
        <v>444</v>
      </c>
      <c r="DH9" t="n">
        <v>314</v>
      </c>
    </row>
    <row r="10">
      <c r="CR10" t="inlineStr">
        <is>
          <t>NSFR</t>
        </is>
      </c>
      <c r="DE10" t="n">
        <v>143</v>
      </c>
      <c r="DF10" t="n">
        <v>136</v>
      </c>
      <c r="DG10" t="n">
        <v>160</v>
      </c>
      <c r="DH10" t="n">
        <v>165</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 (16m)</t>
        </is>
      </c>
      <c r="AN12" t="inlineStr">
        <is>
          <t>FY2010 (16m)</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593.3</v>
      </c>
      <c r="C13" s="5" t="n">
        <v>405.3</v>
      </c>
      <c r="D13" s="5" t="n">
        <v>648.9</v>
      </c>
      <c r="E13" s="5" t="n">
        <v>523.5</v>
      </c>
      <c r="F13" s="5" t="n">
        <v>418.5</v>
      </c>
      <c r="G13" s="5" t="n">
        <v>432.6</v>
      </c>
      <c r="H13" s="5" t="n">
        <v>415.6</v>
      </c>
      <c r="I13" s="5" t="n">
        <v>404.1</v>
      </c>
      <c r="J13" s="5" t="n">
        <v>293.8</v>
      </c>
      <c r="K13" s="5" t="n">
        <v>195.1</v>
      </c>
      <c r="L13" s="5" t="n">
        <v>120.2</v>
      </c>
      <c r="M13" s="5" t="n">
        <v>75.40000000000001</v>
      </c>
      <c r="N13" s="5" t="n">
        <v>31.5</v>
      </c>
      <c r="O13" s="5" t="n">
        <v>11</v>
      </c>
      <c r="P13" s="5" t="n">
        <v>4.5</v>
      </c>
      <c r="Q13" s="5" t="n">
        <v>0.2</v>
      </c>
      <c r="AM13" t="inlineStr">
        <is>
          <t>Total income</t>
        </is>
      </c>
      <c r="AN13" t="n">
        <v>0.2</v>
      </c>
      <c r="AO13" t="n">
        <v>4.5</v>
      </c>
      <c r="AP13" t="n">
        <v>11</v>
      </c>
      <c r="AQ13" t="n">
        <v>31.5</v>
      </c>
      <c r="AR13" t="n">
        <v>75.40000000000001</v>
      </c>
      <c r="AS13" t="n">
        <v>120.2</v>
      </c>
      <c r="AT13" t="n">
        <v>195.1</v>
      </c>
      <c r="AU13" t="n">
        <v>293.8</v>
      </c>
      <c r="AV13" t="n">
        <v>404.1</v>
      </c>
      <c r="AW13" t="n">
        <v>415.6</v>
      </c>
      <c r="AX13" t="n">
        <v>432.6</v>
      </c>
      <c r="AY13" t="n">
        <v>418.5</v>
      </c>
      <c r="AZ13" t="n">
        <v>523.5</v>
      </c>
      <c r="BA13" t="n">
        <v>648.9</v>
      </c>
      <c r="BB13" t="n">
        <v>405.3</v>
      </c>
      <c r="BC13" t="n">
        <v>593.3</v>
      </c>
    </row>
    <row r="14">
      <c r="A14" s="5" t="inlineStr">
        <is>
          <t>Total operating expenses</t>
        </is>
      </c>
      <c r="B14" s="5" t="n">
        <v>-491.8</v>
      </c>
      <c r="C14" s="5" t="n">
        <v>-610.3</v>
      </c>
      <c r="D14" s="5" t="n">
        <v>-566.4</v>
      </c>
      <c r="E14" s="5" t="n">
        <v>-554.3</v>
      </c>
      <c r="F14" s="5" t="n">
        <v>-641.2</v>
      </c>
      <c r="G14" s="5" t="n">
        <v>-617.3</v>
      </c>
      <c r="H14" s="5" t="n">
        <v>-534.7</v>
      </c>
      <c r="I14" s="5" t="n">
        <v>-355.5</v>
      </c>
      <c r="J14" s="5" t="n">
        <v>-266.9</v>
      </c>
      <c r="K14" s="5" t="n">
        <v>-207.6</v>
      </c>
      <c r="L14" s="5" t="n">
        <v>-170</v>
      </c>
      <c r="M14" s="5" t="n">
        <v>-122.2</v>
      </c>
      <c r="N14" s="5" t="n">
        <v>-82.7</v>
      </c>
      <c r="O14" s="5" t="n">
        <v>-56.6</v>
      </c>
      <c r="P14" s="5" t="n">
        <v>-37.4</v>
      </c>
      <c r="Q14" s="5" t="n">
        <v>-23.6</v>
      </c>
      <c r="AM14" t="inlineStr">
        <is>
          <t>Total operating expenses</t>
        </is>
      </c>
      <c r="AN14" t="n">
        <v>-23.6</v>
      </c>
      <c r="AO14" t="n">
        <v>-37.4</v>
      </c>
      <c r="AP14" t="n">
        <v>-56.6</v>
      </c>
      <c r="AQ14" t="n">
        <v>-82.7</v>
      </c>
      <c r="AR14" t="n">
        <v>-122.2</v>
      </c>
      <c r="AS14" t="n">
        <v>-170</v>
      </c>
      <c r="AT14" t="n">
        <v>-207.6</v>
      </c>
      <c r="AU14" t="n">
        <v>-266.9</v>
      </c>
      <c r="AV14" t="n">
        <v>-355.5</v>
      </c>
      <c r="AW14" t="n">
        <v>-534.7</v>
      </c>
      <c r="AX14" t="n">
        <v>-617.3</v>
      </c>
      <c r="AY14" t="n">
        <v>-641.2</v>
      </c>
      <c r="AZ14" t="n">
        <v>-554.3</v>
      </c>
      <c r="BA14" t="n">
        <v>-566.4</v>
      </c>
      <c r="BB14" t="n">
        <v>-610.3</v>
      </c>
      <c r="BC14" t="n">
        <v>-491.8</v>
      </c>
    </row>
    <row r="15">
      <c r="A15" s="5" t="inlineStr">
        <is>
          <t>Profit/(loss) before tax</t>
        </is>
      </c>
      <c r="B15" s="5" t="n">
        <v>87.2</v>
      </c>
      <c r="C15" s="5" t="n">
        <v>-212.1</v>
      </c>
      <c r="D15" s="5" t="n">
        <v>49.3</v>
      </c>
      <c r="E15" s="5" t="n">
        <v>-70.7</v>
      </c>
      <c r="F15" s="5" t="n">
        <v>-245.1</v>
      </c>
      <c r="G15" s="5" t="n">
        <v>-311.4</v>
      </c>
      <c r="H15" s="5" t="n">
        <v>-130.8</v>
      </c>
      <c r="I15" s="5" t="n">
        <v>40.6</v>
      </c>
      <c r="J15" s="5" t="n">
        <v>18.7</v>
      </c>
      <c r="K15" s="5" t="n">
        <v>-17.2</v>
      </c>
      <c r="L15" s="5" t="n">
        <v>-56.8</v>
      </c>
      <c r="M15" s="5" t="n">
        <v>-48.9</v>
      </c>
      <c r="N15" s="5" t="n">
        <v>-52.2</v>
      </c>
      <c r="O15" s="5" t="n">
        <v>-45.7</v>
      </c>
      <c r="P15" s="5" t="n">
        <v>-33.1</v>
      </c>
      <c r="Q15" s="5" t="n">
        <v>-23.4</v>
      </c>
      <c r="AM15" t="inlineStr">
        <is>
          <t>Profit/(loss) before tax</t>
        </is>
      </c>
      <c r="AN15" t="n">
        <v>-23.4</v>
      </c>
      <c r="AO15" t="n">
        <v>-33.1</v>
      </c>
      <c r="AP15" t="n">
        <v>-45.7</v>
      </c>
      <c r="AQ15" t="n">
        <v>-52.2</v>
      </c>
      <c r="AR15" t="n">
        <v>-48.9</v>
      </c>
      <c r="AS15" t="n">
        <v>-56.8</v>
      </c>
      <c r="AT15" t="n">
        <v>-17.2</v>
      </c>
      <c r="AU15" t="n">
        <v>18.7</v>
      </c>
      <c r="AV15" t="n">
        <v>40.6</v>
      </c>
      <c r="AW15" t="n">
        <v>-130.8</v>
      </c>
      <c r="AX15" t="n">
        <v>-311.4</v>
      </c>
      <c r="AY15" t="n">
        <v>-245.1</v>
      </c>
      <c r="AZ15" t="n">
        <v>-70.7</v>
      </c>
      <c r="BA15" t="n">
        <v>49.3</v>
      </c>
      <c r="BB15" t="n">
        <v>-212.1</v>
      </c>
      <c r="BC15" t="n">
        <v>87.2</v>
      </c>
    </row>
    <row r="16">
      <c r="A16" s="5" t="inlineStr">
        <is>
          <t>Profit/(loss) for the year</t>
        </is>
      </c>
      <c r="B16" s="5" t="n">
        <v>69.7</v>
      </c>
      <c r="C16" s="5" t="n">
        <v>42.5</v>
      </c>
      <c r="D16" s="5" t="n">
        <v>48.3</v>
      </c>
      <c r="E16" s="5" t="n">
        <v>-72.7</v>
      </c>
      <c r="F16" s="5" t="n">
        <v>-248.2</v>
      </c>
      <c r="G16" s="5" t="n">
        <v>-301.7</v>
      </c>
      <c r="H16" s="5" t="n">
        <v>-182.6</v>
      </c>
      <c r="I16" s="5" t="n">
        <v>27.1</v>
      </c>
      <c r="J16" s="5" t="n">
        <v>10.8</v>
      </c>
      <c r="K16" s="5" t="n">
        <v>-16.8</v>
      </c>
      <c r="L16" s="5" t="n">
        <v>-49.2</v>
      </c>
      <c r="M16" s="5" t="n">
        <v>-41.1</v>
      </c>
      <c r="N16" s="5" t="n">
        <v>-41.8</v>
      </c>
      <c r="O16" s="5" t="n">
        <v>-34.6</v>
      </c>
      <c r="P16" s="5" t="n">
        <v>-19</v>
      </c>
      <c r="Q16" s="5" t="n">
        <v>-23.4</v>
      </c>
      <c r="AM16" t="inlineStr">
        <is>
          <t>Profit/(loss) for the year</t>
        </is>
      </c>
      <c r="AN16" t="n">
        <v>-23.4</v>
      </c>
      <c r="AO16" t="n">
        <v>-19</v>
      </c>
      <c r="AP16" t="n">
        <v>-34.6</v>
      </c>
      <c r="AQ16" t="n">
        <v>-41.8</v>
      </c>
      <c r="AR16" t="n">
        <v>-41.1</v>
      </c>
      <c r="AS16" t="n">
        <v>-49.2</v>
      </c>
      <c r="AT16" t="n">
        <v>-16.8</v>
      </c>
      <c r="AU16" t="n">
        <v>10.8</v>
      </c>
      <c r="AV16" t="n">
        <v>27.1</v>
      </c>
      <c r="AW16" t="n">
        <v>-182.6</v>
      </c>
      <c r="AX16" t="n">
        <v>-301.7</v>
      </c>
      <c r="AY16" t="n">
        <v>-248.2</v>
      </c>
      <c r="AZ16" t="n">
        <v>-72.7</v>
      </c>
      <c r="BA16" t="n">
        <v>48.3</v>
      </c>
      <c r="BB16" t="n">
        <v>42.5</v>
      </c>
      <c r="BC16" t="n">
        <v>69.7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 (16m)</t>
        </is>
      </c>
      <c r="BG19" t="inlineStr">
        <is>
          <t>FY2010 (16m)</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c r="C20" s="5" t="n"/>
      <c r="D20" s="5" t="n">
        <v>957</v>
      </c>
      <c r="E20" s="5" t="n">
        <v>1036</v>
      </c>
      <c r="F20" s="5" t="n">
        <v>1294</v>
      </c>
      <c r="G20" s="5" t="n">
        <v>1583</v>
      </c>
      <c r="H20" s="5" t="n">
        <v>1403</v>
      </c>
      <c r="I20" s="5" t="n">
        <v>1096</v>
      </c>
      <c r="J20" s="5" t="n">
        <v>805</v>
      </c>
      <c r="K20" s="5" t="n">
        <v>407</v>
      </c>
      <c r="L20" s="5" t="n">
        <v>462</v>
      </c>
      <c r="M20" s="5" t="n">
        <v>401</v>
      </c>
      <c r="N20" s="5" t="n"/>
      <c r="O20" s="5" t="n"/>
      <c r="P20" s="5" t="n"/>
      <c r="Q20" s="5" t="n"/>
      <c r="BF20" t="inlineStr">
        <is>
          <t>Opening equity</t>
        </is>
      </c>
      <c r="BK20" t="n">
        <v>401</v>
      </c>
      <c r="BL20" t="n">
        <v>462</v>
      </c>
      <c r="BM20" t="n">
        <v>407</v>
      </c>
      <c r="BN20" t="n">
        <v>805</v>
      </c>
      <c r="BO20" t="n">
        <v>1096</v>
      </c>
      <c r="BP20" t="n">
        <v>1403</v>
      </c>
      <c r="BQ20" t="n">
        <v>1583</v>
      </c>
      <c r="BR20" t="n">
        <v>1294</v>
      </c>
      <c r="BS20" t="n">
        <v>1036</v>
      </c>
      <c r="BT20" t="n">
        <v>957</v>
      </c>
    </row>
    <row r="21">
      <c r="A21" s="5" t="inlineStr">
        <is>
          <t>Total comprehensive income for the year</t>
        </is>
      </c>
      <c r="B21" s="5" t="n"/>
      <c r="C21" s="5" t="n"/>
      <c r="D21" s="5" t="n">
        <v>48</v>
      </c>
      <c r="E21" s="5" t="n"/>
      <c r="F21" s="5" t="n"/>
      <c r="G21" s="5" t="n"/>
      <c r="H21" s="5" t="n"/>
      <c r="I21" s="5" t="n">
        <v>23</v>
      </c>
      <c r="J21" s="5" t="n">
        <v>10</v>
      </c>
      <c r="K21" s="5" t="n"/>
      <c r="L21" s="5" t="n"/>
      <c r="M21" s="5" t="n"/>
      <c r="N21" s="5" t="n"/>
      <c r="O21" s="5" t="n"/>
      <c r="P21" s="5" t="n"/>
      <c r="Q21" s="5" t="n"/>
      <c r="BF21" t="inlineStr">
        <is>
          <t>Total comprehensive income for the year</t>
        </is>
      </c>
      <c r="BN21" t="n">
        <v>10</v>
      </c>
      <c r="BO21" t="n">
        <v>23</v>
      </c>
      <c r="BT21" t="n">
        <v>48</v>
      </c>
    </row>
    <row r="22">
      <c r="A22" s="5" t="inlineStr">
        <is>
          <t>Total comprehensive loss for the year</t>
        </is>
      </c>
      <c r="B22" s="5" t="n"/>
      <c r="C22" s="5" t="n"/>
      <c r="D22" s="5" t="n"/>
      <c r="E22" s="5" t="n">
        <v>-81</v>
      </c>
      <c r="F22" s="5" t="n">
        <v>-260</v>
      </c>
      <c r="G22" s="5" t="n">
        <v>-296</v>
      </c>
      <c r="H22" s="5" t="n">
        <v>-183</v>
      </c>
      <c r="I22" s="5" t="n"/>
      <c r="J22" s="5" t="n"/>
      <c r="K22" s="5" t="n">
        <v>-8</v>
      </c>
      <c r="L22" s="5" t="n">
        <v>-57</v>
      </c>
      <c r="M22" s="5" t="n">
        <v>-38</v>
      </c>
      <c r="N22" s="5" t="n"/>
      <c r="O22" s="5" t="n"/>
      <c r="P22" s="5" t="n"/>
      <c r="Q22" s="5" t="n"/>
      <c r="BF22" t="inlineStr">
        <is>
          <t>Total comprehensive loss for the year</t>
        </is>
      </c>
      <c r="BK22" t="n">
        <v>-38</v>
      </c>
      <c r="BL22" t="n">
        <v>-57</v>
      </c>
      <c r="BM22" t="n">
        <v>-8</v>
      </c>
      <c r="BP22" t="n">
        <v>-183</v>
      </c>
      <c r="BQ22" t="n">
        <v>-296</v>
      </c>
      <c r="BR22" t="n">
        <v>-260</v>
      </c>
      <c r="BS22" t="n">
        <v>-81</v>
      </c>
    </row>
    <row r="23">
      <c r="A23" s="5" t="inlineStr">
        <is>
          <t>Other equity movements, net</t>
        </is>
      </c>
      <c r="B23" s="5" t="n"/>
      <c r="C23" s="5" t="n"/>
      <c r="D23" s="5" t="n">
        <v>147</v>
      </c>
      <c r="E23" s="5" t="n">
        <v>2</v>
      </c>
      <c r="F23" s="5" t="n">
        <v>2</v>
      </c>
      <c r="G23" s="5" t="n">
        <v>2</v>
      </c>
      <c r="H23" s="5" t="n">
        <v>363</v>
      </c>
      <c r="I23" s="5" t="n">
        <v>283</v>
      </c>
      <c r="J23" s="5" t="n">
        <v>282</v>
      </c>
      <c r="K23" s="5" t="n">
        <v>406</v>
      </c>
      <c r="L23" s="5" t="n">
        <v>2</v>
      </c>
      <c r="M23" s="5" t="n">
        <v>100</v>
      </c>
      <c r="N23" s="5" t="n"/>
      <c r="O23" s="5" t="n"/>
      <c r="P23" s="5" t="n"/>
      <c r="Q23" s="5" t="n"/>
      <c r="BF23" t="inlineStr">
        <is>
          <t>Other equity movements, net</t>
        </is>
      </c>
      <c r="BK23" t="n">
        <v>100</v>
      </c>
      <c r="BL23" t="n">
        <v>2</v>
      </c>
      <c r="BM23" t="n">
        <v>406</v>
      </c>
      <c r="BN23" t="n">
        <v>282</v>
      </c>
      <c r="BO23" t="n">
        <v>283</v>
      </c>
      <c r="BP23" t="n">
        <v>363</v>
      </c>
      <c r="BQ23" t="n">
        <v>2</v>
      </c>
      <c r="BR23" t="n">
        <v>2</v>
      </c>
      <c r="BS23" t="n">
        <v>2</v>
      </c>
      <c r="BT23" t="n">
        <v>147</v>
      </c>
    </row>
    <row r="24">
      <c r="A24" s="5" t="inlineStr">
        <is>
          <t>Closing equity</t>
        </is>
      </c>
      <c r="B24" s="5" t="n"/>
      <c r="C24" s="5" t="n"/>
      <c r="D24" s="5" t="n">
        <v>1152</v>
      </c>
      <c r="E24" s="5" t="n">
        <v>957</v>
      </c>
      <c r="F24" s="5" t="n">
        <v>1036</v>
      </c>
      <c r="G24" s="5" t="n">
        <v>1289</v>
      </c>
      <c r="H24" s="5" t="n">
        <v>1583</v>
      </c>
      <c r="I24" s="5" t="n">
        <v>1403</v>
      </c>
      <c r="J24" s="5" t="n">
        <v>1096</v>
      </c>
      <c r="K24" s="5" t="n">
        <v>805</v>
      </c>
      <c r="L24" s="5" t="n">
        <v>407</v>
      </c>
      <c r="M24" s="5" t="n">
        <v>462</v>
      </c>
      <c r="N24" s="5" t="n"/>
      <c r="O24" s="5" t="n"/>
      <c r="P24" s="5" t="n"/>
      <c r="Q24" s="5" t="n"/>
      <c r="BF24" t="inlineStr">
        <is>
          <t>Closing equity</t>
        </is>
      </c>
      <c r="BK24" t="n">
        <v>462</v>
      </c>
      <c r="BL24" t="n">
        <v>407</v>
      </c>
      <c r="BM24" t="n">
        <v>805</v>
      </c>
      <c r="BN24" t="n">
        <v>1096</v>
      </c>
      <c r="BO24" t="n">
        <v>1403</v>
      </c>
      <c r="BP24" t="n">
        <v>1583</v>
      </c>
      <c r="BQ24" t="n">
        <v>1289</v>
      </c>
      <c r="BR24" t="n">
        <v>1036</v>
      </c>
      <c r="BS24" t="n">
        <v>957</v>
      </c>
      <c r="BT24" t="n">
        <v>1152</v>
      </c>
    </row>
    <row r="26">
      <c r="A26" s="3" t="inlineStr">
        <is>
          <t>Cash Flow Summary (£m)</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 (16m)</t>
        </is>
      </c>
      <c r="BZ27" t="inlineStr">
        <is>
          <t>FY2010 (16m)</t>
        </is>
      </c>
      <c r="CA27" t="inlineStr">
        <is>
          <t>FY2011</t>
        </is>
      </c>
      <c r="CB27" t="inlineStr">
        <is>
          <t>FY2012</t>
        </is>
      </c>
      <c r="CC27" t="inlineStr">
        <is>
          <t>FY2013</t>
        </is>
      </c>
      <c r="CD27" t="inlineStr">
        <is>
          <t>FY2014</t>
        </is>
      </c>
      <c r="CE27" t="inlineStr">
        <is>
          <t>FY2015</t>
        </is>
      </c>
      <c r="CF27" t="inlineStr">
        <is>
          <t>FY2016</t>
        </is>
      </c>
      <c r="CG27" t="inlineStr">
        <is>
          <t>FY2017</t>
        </is>
      </c>
      <c r="CH27" t="inlineStr">
        <is>
          <t>FY2018</t>
        </is>
      </c>
      <c r="CI27" t="inlineStr">
        <is>
          <t>FY2019</t>
        </is>
      </c>
      <c r="CJ27" t="inlineStr">
        <is>
          <t>FY2020</t>
        </is>
      </c>
      <c r="CK27" t="inlineStr">
        <is>
          <t>FY2021</t>
        </is>
      </c>
      <c r="CL27" t="inlineStr">
        <is>
          <t>FY2022</t>
        </is>
      </c>
      <c r="CM27" t="inlineStr">
        <is>
          <t>FY2023</t>
        </is>
      </c>
      <c r="CN27" t="inlineStr">
        <is>
          <t>FY2024</t>
        </is>
      </c>
      <c r="CO27" t="inlineStr">
        <is>
          <t>FY2025</t>
        </is>
      </c>
    </row>
    <row r="28">
      <c r="A28" s="5" t="inlineStr">
        <is>
          <t>Net cash inflows/(outflows) from operating activities</t>
        </is>
      </c>
      <c r="B28" s="5" t="n"/>
      <c r="C28" s="5" t="n"/>
      <c r="D28" s="5" t="n">
        <v>612</v>
      </c>
      <c r="E28" s="5" t="n">
        <v>-1167</v>
      </c>
      <c r="F28" s="5" t="n">
        <v>2874</v>
      </c>
      <c r="G28" s="5" t="n">
        <v>1041</v>
      </c>
      <c r="H28" s="5" t="n">
        <v>-1655</v>
      </c>
      <c r="I28" s="5" t="n">
        <v>153</v>
      </c>
      <c r="J28" s="5" t="n">
        <v>2294</v>
      </c>
      <c r="K28" s="5" t="n">
        <v>1169</v>
      </c>
      <c r="L28" s="5" t="n">
        <v>546</v>
      </c>
      <c r="M28" s="5" t="n">
        <v>810</v>
      </c>
      <c r="N28" s="5" t="n">
        <v>249.3</v>
      </c>
      <c r="O28" s="5" t="n">
        <v>255.8</v>
      </c>
      <c r="P28" s="5" t="n">
        <v>63.7</v>
      </c>
      <c r="Q28" s="5" t="n">
        <v>-6.5</v>
      </c>
      <c r="BY28" t="inlineStr">
        <is>
          <t>Net cash inflows/(outflows) from operating activities</t>
        </is>
      </c>
      <c r="BZ28" t="n">
        <v>-6.5</v>
      </c>
      <c r="CA28" t="n">
        <v>63.7</v>
      </c>
      <c r="CB28" t="n">
        <v>255.8</v>
      </c>
      <c r="CC28" t="n">
        <v>249.3</v>
      </c>
      <c r="CD28" t="n">
        <v>810</v>
      </c>
      <c r="CE28" t="n">
        <v>546</v>
      </c>
      <c r="CF28" t="n">
        <v>1169</v>
      </c>
      <c r="CG28" t="n">
        <v>2294</v>
      </c>
      <c r="CH28" t="n">
        <v>153</v>
      </c>
      <c r="CI28" t="n">
        <v>-1655</v>
      </c>
      <c r="CJ28" t="n">
        <v>1041</v>
      </c>
      <c r="CK28" t="n">
        <v>2874</v>
      </c>
      <c r="CL28" t="n">
        <v>-1167</v>
      </c>
      <c r="CM28" t="n">
        <v>612</v>
      </c>
    </row>
    <row r="29">
      <c r="A29" s="5" t="inlineStr">
        <is>
          <t>Net cash inflows/(outflows) from investing activities</t>
        </is>
      </c>
      <c r="B29" s="5" t="n"/>
      <c r="C29" s="5" t="n"/>
      <c r="D29" s="5" t="n">
        <v>1028</v>
      </c>
      <c r="E29" s="5" t="n">
        <v>-402</v>
      </c>
      <c r="F29" s="5" t="n">
        <v>-2274</v>
      </c>
      <c r="G29" s="5" t="n">
        <v>-956</v>
      </c>
      <c r="H29" s="5" t="n">
        <v>1376</v>
      </c>
      <c r="I29" s="5" t="n">
        <v>-443</v>
      </c>
      <c r="J29" s="5" t="n">
        <v>-858</v>
      </c>
      <c r="K29" s="5" t="n">
        <v>-1349</v>
      </c>
      <c r="L29" s="5" t="n">
        <v>-480</v>
      </c>
      <c r="M29" s="5" t="n">
        <v>-957</v>
      </c>
      <c r="N29" s="5" t="n">
        <v>-344.6</v>
      </c>
      <c r="O29" s="5" t="n">
        <v>-365.3</v>
      </c>
      <c r="P29" s="5" t="n">
        <v>-59.1</v>
      </c>
      <c r="Q29" s="5" t="n">
        <v>-62</v>
      </c>
      <c r="BY29" t="inlineStr">
        <is>
          <t>Net cash inflows/(outflows) from investing activities</t>
        </is>
      </c>
      <c r="BZ29" t="n">
        <v>-62</v>
      </c>
      <c r="CA29" t="n">
        <v>-59.1</v>
      </c>
      <c r="CB29" t="n">
        <v>-365.3</v>
      </c>
      <c r="CC29" t="n">
        <v>-344.6</v>
      </c>
      <c r="CD29" t="n">
        <v>-957</v>
      </c>
      <c r="CE29" t="n">
        <v>-480</v>
      </c>
      <c r="CF29" t="n">
        <v>-1349</v>
      </c>
      <c r="CG29" t="n">
        <v>-858</v>
      </c>
      <c r="CH29" t="n">
        <v>-443</v>
      </c>
      <c r="CI29" t="n">
        <v>1376</v>
      </c>
      <c r="CJ29" t="n">
        <v>-956</v>
      </c>
      <c r="CK29" t="n">
        <v>-2274</v>
      </c>
      <c r="CL29" t="n">
        <v>-402</v>
      </c>
      <c r="CM29" t="n">
        <v>1028</v>
      </c>
    </row>
    <row r="30">
      <c r="A30" s="5" t="inlineStr">
        <is>
          <t>Net cash inflows/(outflows) from financing activities</t>
        </is>
      </c>
      <c r="B30" s="5" t="n"/>
      <c r="C30" s="5" t="n"/>
      <c r="D30" s="5" t="n">
        <v>296</v>
      </c>
      <c r="E30" s="5" t="n">
        <v>-25</v>
      </c>
      <c r="F30" s="5" t="n">
        <v>-27</v>
      </c>
      <c r="G30" s="5" t="n">
        <v>-81</v>
      </c>
      <c r="H30" s="5" t="n">
        <v>796</v>
      </c>
      <c r="I30" s="5" t="n">
        <v>550</v>
      </c>
      <c r="J30" s="5" t="n">
        <v>276</v>
      </c>
      <c r="K30" s="5" t="n">
        <v>398</v>
      </c>
      <c r="L30" s="5" t="n">
        <v>0</v>
      </c>
      <c r="M30" s="5" t="n">
        <v>99</v>
      </c>
      <c r="N30" s="5" t="n">
        <v>284.3</v>
      </c>
      <c r="O30" s="5" t="n">
        <v>126</v>
      </c>
      <c r="P30" s="5" t="n">
        <v>0</v>
      </c>
      <c r="Q30" s="5" t="n">
        <v>120.1</v>
      </c>
      <c r="BY30" t="inlineStr">
        <is>
          <t>Net cash inflows/(outflows) from financing activities</t>
        </is>
      </c>
      <c r="BZ30" t="n">
        <v>120.1</v>
      </c>
      <c r="CA30" t="n">
        <v>0</v>
      </c>
      <c r="CB30" t="n">
        <v>126</v>
      </c>
      <c r="CC30" t="n">
        <v>284.3</v>
      </c>
      <c r="CD30" t="n">
        <v>99</v>
      </c>
      <c r="CE30" t="n">
        <v>0</v>
      </c>
      <c r="CF30" t="n">
        <v>398</v>
      </c>
      <c r="CG30" t="n">
        <v>276</v>
      </c>
      <c r="CH30" t="n">
        <v>550</v>
      </c>
      <c r="CI30" t="n">
        <v>796</v>
      </c>
      <c r="CJ30" t="n">
        <v>-81</v>
      </c>
      <c r="CK30" t="n">
        <v>-27</v>
      </c>
      <c r="CL30" t="n">
        <v>-25</v>
      </c>
      <c r="CM30" t="n">
        <v>296</v>
      </c>
    </row>
    <row r="31">
      <c r="A31" s="5" t="inlineStr">
        <is>
          <t>Cash and cash equivalents at end of year</t>
        </is>
      </c>
      <c r="B31" s="5" t="n"/>
      <c r="C31" s="5" t="n"/>
      <c r="D31" s="5" t="n">
        <v>3889</v>
      </c>
      <c r="E31" s="5" t="n">
        <v>1953</v>
      </c>
      <c r="F31" s="5" t="n">
        <v>3547</v>
      </c>
      <c r="G31" s="5" t="n">
        <v>2993</v>
      </c>
      <c r="H31" s="5" t="n">
        <v>2989</v>
      </c>
      <c r="I31" s="5" t="n">
        <v>2472</v>
      </c>
      <c r="J31" s="5" t="n">
        <v>2212</v>
      </c>
      <c r="K31" s="5" t="n">
        <v>500</v>
      </c>
      <c r="L31" s="5" t="n">
        <v>282</v>
      </c>
      <c r="M31" s="5" t="n">
        <v>216</v>
      </c>
      <c r="N31" s="5" t="n">
        <v>263.2</v>
      </c>
      <c r="O31" s="5" t="n">
        <v>74.09999999999999</v>
      </c>
      <c r="P31" s="5" t="n">
        <v>57.6</v>
      </c>
      <c r="Q31" s="5" t="n">
        <v>52.9</v>
      </c>
      <c r="BY31" t="inlineStr">
        <is>
          <t>Cash and cash equivalents at end of year</t>
        </is>
      </c>
      <c r="BZ31" t="n">
        <v>52.9</v>
      </c>
      <c r="CA31" t="n">
        <v>57.6</v>
      </c>
      <c r="CB31" t="n">
        <v>74.09999999999999</v>
      </c>
      <c r="CC31" t="n">
        <v>263.2</v>
      </c>
      <c r="CD31" t="n">
        <v>216</v>
      </c>
      <c r="CE31" t="n">
        <v>282</v>
      </c>
      <c r="CF31" t="n">
        <v>500</v>
      </c>
      <c r="CG31" t="n">
        <v>2212</v>
      </c>
      <c r="CH31" t="n">
        <v>2472</v>
      </c>
      <c r="CI31" t="n">
        <v>2989</v>
      </c>
      <c r="CJ31" t="n">
        <v>2993</v>
      </c>
      <c r="CK31" t="n">
        <v>3547</v>
      </c>
      <c r="CL31" t="n">
        <v>1953</v>
      </c>
      <c r="CM31" t="n">
        <v>3889</v>
      </c>
    </row>
    <row r="33">
      <c r="A33" s="3" t="inlineStr">
        <is>
          <t>Pillar 3 Key Metrics</t>
        </is>
      </c>
    </row>
    <row r="34">
      <c r="A34" s="4" t="inlineStr">
        <is>
          <t>Line item</t>
        </is>
      </c>
      <c r="B34" s="4" t="inlineStr">
        <is>
          <t>FY2025</t>
        </is>
      </c>
      <c r="C34" s="4" t="inlineStr">
        <is>
          <t>FY2024</t>
        </is>
      </c>
      <c r="D34" s="4" t="inlineStr">
        <is>
          <t>FY2023</t>
        </is>
      </c>
      <c r="E34" s="4" t="inlineStr">
        <is>
          <t>FY2022</t>
        </is>
      </c>
      <c r="F34" s="4" t="inlineStr">
        <is>
          <t>FY2021</t>
        </is>
      </c>
      <c r="G34" s="4" t="inlineStr">
        <is>
          <t>FY2020</t>
        </is>
      </c>
      <c r="H34" s="4" t="inlineStr">
        <is>
          <t>FY2019</t>
        </is>
      </c>
      <c r="I34" s="4" t="inlineStr">
        <is>
          <t>FY2018</t>
        </is>
      </c>
      <c r="J34" s="4" t="inlineStr">
        <is>
          <t>FY2017</t>
        </is>
      </c>
      <c r="K34" s="4" t="inlineStr">
        <is>
          <t>FY2016</t>
        </is>
      </c>
      <c r="L34" s="4" t="inlineStr">
        <is>
          <t>FY2015</t>
        </is>
      </c>
      <c r="M34" s="4" t="inlineStr">
        <is>
          <t>FY2014</t>
        </is>
      </c>
      <c r="N34" s="4" t="inlineStr">
        <is>
          <t>FY2013</t>
        </is>
      </c>
      <c r="O34" s="4" t="inlineStr">
        <is>
          <t>FY2012</t>
        </is>
      </c>
      <c r="P34" s="4" t="inlineStr">
        <is>
          <t>FY2011</t>
        </is>
      </c>
      <c r="Q34" s="4" t="inlineStr">
        <is>
          <t>FY2010 (16m)</t>
        </is>
      </c>
    </row>
    <row r="35">
      <c r="A35" s="6" t="inlineStr">
        <is>
          <t>CET1 Ratio</t>
        </is>
      </c>
      <c r="B35" s="6" t="inlineStr">
        <is>
          <t>12.5%</t>
        </is>
      </c>
      <c r="C35" s="6" t="inlineStr">
        <is>
          <t>12.5%</t>
        </is>
      </c>
      <c r="D35" s="6" t="inlineStr">
        <is>
          <t>13.1%</t>
        </is>
      </c>
      <c r="E35" s="6" t="inlineStr">
        <is>
          <t>10.3%</t>
        </is>
      </c>
      <c r="F35" s="6" t="inlineStr">
        <is>
          <t>12.6%</t>
        </is>
      </c>
      <c r="G35" s="6" t="inlineStr">
        <is>
          <t>15.0%</t>
        </is>
      </c>
      <c r="H35" s="6" t="inlineStr">
        <is>
          <t>15.6%</t>
        </is>
      </c>
      <c r="I35" s="6" t="inlineStr">
        <is>
          <t>13.1%</t>
        </is>
      </c>
      <c r="J35" s="6" t="inlineStr">
        <is>
          <t>15.25%</t>
        </is>
      </c>
      <c r="K35" s="6" t="inlineStr">
        <is>
          <t>18.16%</t>
        </is>
      </c>
      <c r="L35" s="6" t="inlineStr">
        <is>
          <t>13%</t>
        </is>
      </c>
      <c r="M35" s="6" t="inlineStr">
        <is>
          <t>28%</t>
        </is>
      </c>
      <c r="N35" s="6" t="n"/>
      <c r="O35" s="6" t="n"/>
      <c r="P35" s="6" t="n"/>
      <c r="Q35" s="6" t="n"/>
    </row>
    <row r="36">
      <c r="A36" s="6" t="inlineStr">
        <is>
          <t>Total Capital Ratio</t>
        </is>
      </c>
      <c r="B36" s="6" t="inlineStr">
        <is>
          <t>18.4%</t>
        </is>
      </c>
      <c r="C36" s="6" t="inlineStr">
        <is>
          <t>14.9%</t>
        </is>
      </c>
      <c r="D36" s="6" t="inlineStr">
        <is>
          <t>15.1%</t>
        </is>
      </c>
      <c r="E36" s="6" t="inlineStr">
        <is>
          <t>13.4%</t>
        </is>
      </c>
      <c r="F36" s="6" t="inlineStr">
        <is>
          <t>15.9%</t>
        </is>
      </c>
      <c r="G36" s="6" t="inlineStr">
        <is>
          <t>18.1%</t>
        </is>
      </c>
      <c r="H36" s="6" t="inlineStr">
        <is>
          <t>18.3%</t>
        </is>
      </c>
      <c r="I36" s="6" t="inlineStr">
        <is>
          <t>15.9%</t>
        </is>
      </c>
      <c r="J36" s="6" t="inlineStr">
        <is>
          <t>15.25%</t>
        </is>
      </c>
      <c r="K36" s="6" t="inlineStr">
        <is>
          <t>18.16%</t>
        </is>
      </c>
      <c r="L36" s="6" t="inlineStr">
        <is>
          <t>13%</t>
        </is>
      </c>
      <c r="M36" s="6" t="inlineStr">
        <is>
          <t>28%</t>
        </is>
      </c>
      <c r="N36" s="6" t="n"/>
      <c r="O36" s="6" t="n"/>
      <c r="P36" s="6" t="n"/>
      <c r="Q36" s="6" t="n"/>
    </row>
    <row r="37">
      <c r="A37" s="6" t="inlineStr">
        <is>
          <t>Leverage Ratio</t>
        </is>
      </c>
      <c r="B37" s="6" t="inlineStr">
        <is>
          <t>7.8%</t>
        </is>
      </c>
      <c r="C37" s="6" t="inlineStr">
        <is>
          <t>5.6%</t>
        </is>
      </c>
      <c r="D37" s="6" t="inlineStr">
        <is>
          <t>5.3%</t>
        </is>
      </c>
      <c r="E37" s="6" t="inlineStr">
        <is>
          <t>4.2%</t>
        </is>
      </c>
      <c r="F37" s="6" t="inlineStr">
        <is>
          <t>5.2%</t>
        </is>
      </c>
      <c r="G37" s="6" t="inlineStr">
        <is>
          <t>5.6%</t>
        </is>
      </c>
      <c r="H37" s="6" t="inlineStr">
        <is>
          <t>6.6%</t>
        </is>
      </c>
      <c r="I37" s="6" t="inlineStr">
        <is>
          <t>5.4%</t>
        </is>
      </c>
      <c r="J37" s="6" t="inlineStr">
        <is>
          <t>5.5%</t>
        </is>
      </c>
      <c r="K37" s="6" t="inlineStr">
        <is>
          <t>6.5%</t>
        </is>
      </c>
      <c r="L37" s="6" t="inlineStr">
        <is>
          <t>4.9%</t>
        </is>
      </c>
      <c r="M37" s="6" t="inlineStr">
        <is>
          <t>10%</t>
        </is>
      </c>
      <c r="N37" s="6" t="n"/>
      <c r="O37" s="6" t="n"/>
      <c r="P37" s="6" t="n"/>
      <c r="Q37" s="6" t="n"/>
    </row>
    <row r="38">
      <c r="A38" s="6" t="inlineStr">
        <is>
          <t>LCR</t>
        </is>
      </c>
      <c r="B38" s="6" t="inlineStr">
        <is>
          <t>314%</t>
        </is>
      </c>
      <c r="C38" s="6" t="inlineStr">
        <is>
          <t>444%</t>
        </is>
      </c>
      <c r="D38" s="6" t="inlineStr">
        <is>
          <t>244%</t>
        </is>
      </c>
      <c r="E38" s="6" t="inlineStr">
        <is>
          <t>246%</t>
        </is>
      </c>
      <c r="F38" s="6" t="inlineStr">
        <is>
          <t>281%</t>
        </is>
      </c>
      <c r="G38" s="6" t="inlineStr">
        <is>
          <t>187%</t>
        </is>
      </c>
      <c r="H38" s="6" t="inlineStr">
        <is>
          <t>197%</t>
        </is>
      </c>
      <c r="I38" s="6" t="inlineStr">
        <is>
          <t>139%</t>
        </is>
      </c>
      <c r="J38" s="6" t="inlineStr">
        <is>
          <t>141%</t>
        </is>
      </c>
      <c r="K38" s="6" t="inlineStr">
        <is>
          <t>136%</t>
        </is>
      </c>
      <c r="L38" s="6" t="n"/>
      <c r="M38" s="6" t="n"/>
      <c r="N38" s="6" t="n"/>
      <c r="O38" s="6" t="n"/>
      <c r="P38" s="6" t="n"/>
      <c r="Q38" s="6" t="n"/>
    </row>
    <row r="39">
      <c r="A39" s="6" t="inlineStr">
        <is>
          <t>NSFR</t>
        </is>
      </c>
      <c r="B39" s="6" t="inlineStr">
        <is>
          <t>165%</t>
        </is>
      </c>
      <c r="C39" s="6" t="inlineStr">
        <is>
          <t>160%</t>
        </is>
      </c>
      <c r="D39" s="6" t="inlineStr">
        <is>
          <t>136%</t>
        </is>
      </c>
      <c r="E39" s="6" t="inlineStr">
        <is>
          <t>143%</t>
        </is>
      </c>
      <c r="F39" s="6" t="n"/>
      <c r="G39" s="6" t="n"/>
      <c r="H39" s="6" t="n"/>
      <c r="I39" s="6" t="n"/>
      <c r="J39" s="6" t="n"/>
      <c r="K39" s="6" t="n"/>
      <c r="L39" s="6" t="n"/>
      <c r="M39" s="6" t="n"/>
      <c r="N39" s="6" t="n"/>
      <c r="O39" s="6" t="n"/>
      <c r="P39" s="6" t="n"/>
      <c r="Q39" s="6" t="n"/>
    </row>
    <row r="41" ht="45" customHeight="1">
      <c r="A41" s="7" t="inlineStr">
        <is>
          <t>Note: Metro Bank PLC entity basis. Balance Sheet/Equity Changes summaries are Company/standalone (FY2024-FY2025 blank - no standalone Metro Bank PLC accounts located); Profit &amp; Loss summary is Group/consolidated (Metro Bank PLC does not publish its own income statement); cash-flow is Company/standalone with the same FY2024-FY2025 gap. Regulatory ratios change from Metro Bank PLC consolidated basis to Holdings Group basis after the 19 May 2023 restructure; see the metric and interim-sheet notes. Regulatory figures for FY2023-FY2025 were corrected 2026-09-03 (ST-026) - see the Total RWAs sheet's note. HD-049: FY2014-FY2020 added, capped at FY2014 (see ENTITY/BASIS NOTE on the Balance Sheet/Cash Flow/Equity sheets for the Group-vs-Company basis change at FY2020/FY2021). This Overview's 'Leverage Ratio' row uses the FY2014-FY2020 'regulatory leverage ratio including central bank claims' as originally disclosed for those years, and the FY2021-FY2025 'excluding central bank claims' measure for those years (the two are not the same definition - see the Leverage Ratio sheet's own two-row breakdown for both series in full). 2026-09-15 HISTORICAL PILLAR 3: four Metro Bank PLC Basel II Pillar 3 editions (FY2010, FY2011, FY2013, FY2014) were recovered and transcribed, so the Pillar 3, Asset Quality and RWA Breakdown sheets now run to FY2010 alongside the statutory statements. NOTHING FROM THOSE EDITIONS APPEARS ON THIS OVERVIEW: they disclose no capital ratio, no leverage ratio and no liquidity metric of any kind, and their Basel II capital and credit-risk RWA figures sit on their own separate rows on the detail sheets precisely because they are not continuous with the CRR series summarised here. The FY2010-FY2013 ratio cells above are therefore blank by design. FY2012 is recorded on the detail sheets as a genuinely absent edition, not an open gap.</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Balance Sheet</t>
        </is>
      </c>
    </row>
    <row r="2">
      <c r="A2" s="2" t="inlineStr">
        <is>
          <t>Company/standalone basis, £m; 31 December year-end (FY2013-FY2020 shown on a Group/consolidated basis instead - see HD-049/HD-074 notes). FY2010 is a 16-month first accounting period. FY2024-FY2025 not located (see source note) - same basis and gap as the Cash Flow Statement.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balances with the Bank of England</t>
        </is>
      </c>
      <c r="B5" s="6" t="n"/>
      <c r="C5" s="6" t="n"/>
      <c r="D5" s="6" t="n">
        <v>3889</v>
      </c>
      <c r="E5" s="6" t="n">
        <v>1953</v>
      </c>
      <c r="F5" s="6" t="n">
        <v>3547</v>
      </c>
      <c r="G5" s="6" t="n">
        <v>2993</v>
      </c>
      <c r="H5" s="6" t="n">
        <v>2989</v>
      </c>
      <c r="I5" s="6" t="n">
        <v>2286</v>
      </c>
      <c r="J5" s="6" t="n">
        <v>2112</v>
      </c>
      <c r="K5" s="6" t="n">
        <v>435</v>
      </c>
      <c r="L5" s="6" t="n">
        <v>218</v>
      </c>
      <c r="M5" s="6" t="n">
        <v>181</v>
      </c>
      <c r="N5" s="6" t="n">
        <v>239</v>
      </c>
      <c r="O5" s="6" t="n">
        <v>46.7</v>
      </c>
      <c r="P5" s="6" t="n">
        <v>35.3</v>
      </c>
      <c r="Q5" s="6" t="n">
        <v>48.4</v>
      </c>
    </row>
    <row r="6">
      <c r="A6" s="6" t="inlineStr">
        <is>
          <t>Loans and advances to banks</t>
        </is>
      </c>
      <c r="B6" s="6" t="n"/>
      <c r="C6" s="6" t="n"/>
      <c r="D6" s="6" t="n"/>
      <c r="E6" s="6" t="n"/>
      <c r="F6" s="6" t="n"/>
      <c r="G6" s="6" t="n"/>
      <c r="H6" s="6" t="n"/>
      <c r="I6" s="6" t="n">
        <v>186</v>
      </c>
      <c r="J6" s="6" t="n">
        <v>100</v>
      </c>
      <c r="K6" s="6" t="n">
        <v>66</v>
      </c>
      <c r="L6" s="6" t="n">
        <v>64</v>
      </c>
      <c r="M6" s="6" t="n">
        <v>35</v>
      </c>
      <c r="N6" s="6" t="n">
        <v>24.2</v>
      </c>
      <c r="O6" s="6" t="n">
        <v>27.4</v>
      </c>
      <c r="P6" s="6" t="n">
        <v>22.2</v>
      </c>
      <c r="Q6" s="6" t="n">
        <v>4.5</v>
      </c>
    </row>
    <row r="7">
      <c r="A7" s="6" t="inlineStr">
        <is>
          <t>Loans and advances to customers</t>
        </is>
      </c>
      <c r="B7" s="6" t="n"/>
      <c r="C7" s="6" t="n"/>
      <c r="D7" s="6" t="n">
        <v>11844</v>
      </c>
      <c r="E7" s="6" t="n">
        <v>12698</v>
      </c>
      <c r="F7" s="6" t="n">
        <v>11976</v>
      </c>
      <c r="G7" s="6" t="n">
        <v>12090</v>
      </c>
      <c r="H7" s="6" t="n">
        <v>14681</v>
      </c>
      <c r="I7" s="6" t="n">
        <v>14235</v>
      </c>
      <c r="J7" s="6" t="n">
        <v>9620</v>
      </c>
      <c r="K7" s="6" t="n">
        <v>5865</v>
      </c>
      <c r="L7" s="6" t="n">
        <v>3543</v>
      </c>
      <c r="M7" s="6" t="n">
        <v>1590</v>
      </c>
      <c r="N7" s="6" t="n">
        <v>751.1</v>
      </c>
      <c r="O7" s="6" t="n">
        <v>167.8</v>
      </c>
      <c r="P7" s="6" t="n">
        <v>42.1</v>
      </c>
      <c r="Q7" s="6" t="n">
        <v>0.1</v>
      </c>
    </row>
    <row r="8">
      <c r="A8" s="6" t="inlineStr">
        <is>
          <t>Investment securities held at FVOCI</t>
        </is>
      </c>
      <c r="B8" s="6" t="n"/>
      <c r="C8" s="6" t="n"/>
      <c r="D8" s="6" t="n">
        <v>476</v>
      </c>
      <c r="E8" s="6" t="n">
        <v>571</v>
      </c>
      <c r="F8" s="6" t="n">
        <v>798</v>
      </c>
      <c r="G8" s="6" t="n">
        <v>773</v>
      </c>
      <c r="H8" s="6" t="n">
        <v>411</v>
      </c>
      <c r="I8" s="6" t="n">
        <v>674</v>
      </c>
      <c r="J8" s="6" t="n"/>
      <c r="K8" s="6" t="n"/>
      <c r="L8" s="6" t="n"/>
      <c r="M8" s="6" t="n"/>
      <c r="N8" s="6" t="n"/>
      <c r="O8" s="6" t="n"/>
      <c r="P8" s="6" t="n"/>
      <c r="Q8" s="6" t="n"/>
    </row>
    <row r="9">
      <c r="A9" s="6" t="inlineStr">
        <is>
          <t>Investment securities held at amortised cost</t>
        </is>
      </c>
      <c r="B9" s="6" t="n"/>
      <c r="C9" s="6" t="n"/>
      <c r="D9" s="6" t="n">
        <v>4403</v>
      </c>
      <c r="E9" s="6" t="n">
        <v>5343</v>
      </c>
      <c r="F9" s="6" t="n">
        <v>4776</v>
      </c>
      <c r="G9" s="6" t="n">
        <v>2640</v>
      </c>
      <c r="H9" s="6" t="n">
        <v>2154</v>
      </c>
      <c r="I9" s="6" t="n">
        <v>3458</v>
      </c>
      <c r="J9" s="6" t="n"/>
      <c r="K9" s="6" t="n"/>
      <c r="L9" s="6" t="n"/>
      <c r="M9" s="6" t="n"/>
      <c r="N9" s="6" t="n"/>
      <c r="O9" s="6" t="n"/>
      <c r="P9" s="6" t="n"/>
      <c r="Q9" s="6" t="n"/>
    </row>
    <row r="10">
      <c r="A10" s="6" t="inlineStr">
        <is>
          <t>Available-for-sale investment securities (pre-IFRS 9)</t>
        </is>
      </c>
      <c r="B10" s="6" t="n"/>
      <c r="C10" s="6" t="n"/>
      <c r="D10" s="6" t="n"/>
      <c r="E10" s="6" t="n"/>
      <c r="F10" s="6" t="n"/>
      <c r="G10" s="6" t="n"/>
      <c r="H10" s="6" t="n"/>
      <c r="I10" s="6" t="n"/>
      <c r="J10" s="6" t="n">
        <v>361</v>
      </c>
      <c r="K10" s="6" t="n">
        <v>604</v>
      </c>
      <c r="L10" s="6" t="n">
        <v>364</v>
      </c>
      <c r="M10" s="6" t="n">
        <v>1304</v>
      </c>
      <c r="N10" s="6" t="n"/>
      <c r="O10" s="6" t="n"/>
      <c r="P10" s="6" t="n"/>
      <c r="Q10" s="6" t="n"/>
    </row>
    <row r="11">
      <c r="A11" s="6" t="inlineStr">
        <is>
          <t>Held-to-maturity investment securities (pre-IFRS 9)</t>
        </is>
      </c>
      <c r="B11" s="6" t="n"/>
      <c r="C11" s="6" t="n"/>
      <c r="D11" s="6" t="n"/>
      <c r="E11" s="6" t="n"/>
      <c r="F11" s="6" t="n"/>
      <c r="G11" s="6" t="n"/>
      <c r="H11" s="6" t="n"/>
      <c r="I11" s="6" t="n"/>
      <c r="J11" s="6" t="n">
        <v>3554</v>
      </c>
      <c r="K11" s="6" t="n">
        <v>2623</v>
      </c>
      <c r="L11" s="6" t="n">
        <v>1636</v>
      </c>
      <c r="M11" s="6" t="n">
        <v>307</v>
      </c>
      <c r="N11" s="6" t="n"/>
      <c r="O11" s="6" t="n"/>
      <c r="P11" s="6" t="n"/>
      <c r="Q11" s="6" t="n">
        <v>40.3</v>
      </c>
    </row>
    <row r="12">
      <c r="A12" s="6" t="inlineStr">
        <is>
          <t>Investment securities (undifferentiated basis, HD-074: FY2011-FY2013 note-level AFS/HTM split not sourced this session)</t>
        </is>
      </c>
      <c r="B12" s="6" t="n"/>
      <c r="C12" s="6" t="n"/>
      <c r="D12" s="6" t="n"/>
      <c r="E12" s="6" t="n"/>
      <c r="F12" s="6" t="n"/>
      <c r="G12" s="6" t="n"/>
      <c r="H12" s="6" t="n"/>
      <c r="I12" s="6" t="n"/>
      <c r="J12" s="6" t="n"/>
      <c r="K12" s="6" t="n"/>
      <c r="L12" s="6" t="n"/>
      <c r="M12" s="6" t="n"/>
      <c r="N12" s="6" t="n">
        <v>696.4</v>
      </c>
      <c r="O12" s="6" t="n">
        <v>431.2</v>
      </c>
      <c r="P12" s="6" t="n">
        <v>81.3</v>
      </c>
      <c r="Q12" s="6" t="n"/>
    </row>
    <row r="13">
      <c r="A13" s="6" t="inlineStr">
        <is>
          <t>Financial assets held at fair value through profit and loss</t>
        </is>
      </c>
      <c r="B13" s="6" t="n"/>
      <c r="C13" s="6" t="n"/>
      <c r="D13" s="6" t="n"/>
      <c r="E13" s="6" t="n">
        <v>1</v>
      </c>
      <c r="F13" s="6" t="n">
        <v>3</v>
      </c>
      <c r="G13" s="6" t="n">
        <v>30</v>
      </c>
      <c r="H13" s="6" t="n"/>
      <c r="I13" s="6" t="n"/>
      <c r="J13" s="6" t="n"/>
      <c r="K13" s="6" t="n"/>
      <c r="L13" s="6" t="n"/>
      <c r="M13" s="6" t="n"/>
      <c r="N13" s="6" t="n"/>
      <c r="O13" s="6" t="n"/>
      <c r="P13" s="6" t="n"/>
      <c r="Q13" s="6" t="n"/>
    </row>
    <row r="14">
      <c r="A14" s="6" t="inlineStr">
        <is>
          <t>Derivative financial assets</t>
        </is>
      </c>
      <c r="B14" s="6" t="n"/>
      <c r="C14" s="6" t="n"/>
      <c r="D14" s="6" t="n">
        <v>36</v>
      </c>
      <c r="E14" s="6" t="n">
        <v>23</v>
      </c>
      <c r="F14" s="6" t="n"/>
      <c r="G14" s="6" t="n"/>
      <c r="H14" s="6" t="n"/>
      <c r="I14" s="6" t="n"/>
      <c r="J14" s="6" t="n"/>
      <c r="K14" s="6" t="n"/>
      <c r="L14" s="6" t="n"/>
      <c r="M14" s="6" t="n"/>
      <c r="N14" s="6" t="n"/>
      <c r="O14" s="6" t="n"/>
      <c r="P14" s="6" t="n"/>
      <c r="Q14" s="6" t="n"/>
    </row>
    <row r="15">
      <c r="A15" s="6" t="inlineStr">
        <is>
          <t>Property, plant and equipment</t>
        </is>
      </c>
      <c r="B15" s="6" t="n"/>
      <c r="C15" s="6" t="n"/>
      <c r="D15" s="6" t="n">
        <v>723</v>
      </c>
      <c r="E15" s="6" t="n">
        <v>748</v>
      </c>
      <c r="F15" s="6" t="n">
        <v>765</v>
      </c>
      <c r="G15" s="6" t="n">
        <v>806</v>
      </c>
      <c r="H15" s="6" t="n">
        <v>856</v>
      </c>
      <c r="I15" s="6" t="n">
        <v>454</v>
      </c>
      <c r="J15" s="6" t="n">
        <v>328</v>
      </c>
      <c r="K15" s="6" t="n">
        <v>247</v>
      </c>
      <c r="L15" s="6" t="n">
        <v>165</v>
      </c>
      <c r="M15" s="6" t="n">
        <v>132</v>
      </c>
      <c r="N15" s="6" t="n">
        <v>104.5</v>
      </c>
      <c r="O15" s="6" t="n">
        <v>53.6</v>
      </c>
      <c r="P15" s="6" t="n">
        <v>32.3</v>
      </c>
      <c r="Q15" s="6" t="n">
        <v>17.3</v>
      </c>
    </row>
    <row r="16">
      <c r="A16" s="6" t="inlineStr">
        <is>
          <t>Investment in subsidiaries</t>
        </is>
      </c>
      <c r="B16" s="6" t="n"/>
      <c r="C16" s="6" t="n"/>
      <c r="D16" s="6" t="n">
        <v>15</v>
      </c>
      <c r="E16" s="6" t="n">
        <v>31</v>
      </c>
      <c r="F16" s="6" t="n">
        <v>31</v>
      </c>
      <c r="G16" s="6" t="n"/>
      <c r="H16" s="6" t="n"/>
      <c r="I16" s="6" t="n"/>
      <c r="J16" s="6" t="n"/>
      <c r="K16" s="6" t="n"/>
      <c r="L16" s="6" t="n"/>
      <c r="M16" s="6" t="n"/>
      <c r="N16" s="6" t="n"/>
      <c r="O16" s="6" t="n"/>
      <c r="P16" s="6" t="n"/>
      <c r="Q16" s="6" t="n"/>
    </row>
    <row r="17">
      <c r="A17" s="6" t="inlineStr">
        <is>
          <t>Intangible assets</t>
        </is>
      </c>
      <c r="B17" s="6" t="n"/>
      <c r="C17" s="6" t="n"/>
      <c r="D17" s="6" t="n">
        <v>188</v>
      </c>
      <c r="E17" s="6" t="n">
        <v>204</v>
      </c>
      <c r="F17" s="6" t="n">
        <v>231</v>
      </c>
      <c r="G17" s="6" t="n">
        <v>254</v>
      </c>
      <c r="H17" s="6" t="n">
        <v>168</v>
      </c>
      <c r="I17" s="6" t="n">
        <v>197</v>
      </c>
      <c r="J17" s="6" t="n">
        <v>148</v>
      </c>
      <c r="K17" s="6" t="n">
        <v>93</v>
      </c>
      <c r="L17" s="6" t="n">
        <v>54</v>
      </c>
      <c r="M17" s="6" t="n">
        <v>35</v>
      </c>
      <c r="N17" s="6" t="n">
        <v>23.8</v>
      </c>
      <c r="O17" s="6" t="n">
        <v>10.9</v>
      </c>
      <c r="P17" s="6" t="n">
        <v>8.800000000000001</v>
      </c>
      <c r="Q17" s="6" t="n">
        <v>7</v>
      </c>
    </row>
    <row r="18">
      <c r="A18" s="6" t="inlineStr">
        <is>
          <t>Deferred tax asset</t>
        </is>
      </c>
      <c r="B18" s="6" t="n"/>
      <c r="C18" s="6" t="n"/>
      <c r="D18" s="6" t="n"/>
      <c r="E18" s="6" t="n"/>
      <c r="F18" s="6" t="n"/>
      <c r="G18" s="6" t="n"/>
      <c r="H18" s="6" t="n"/>
      <c r="I18" s="6" t="n">
        <v>41</v>
      </c>
      <c r="J18" s="6" t="n">
        <v>54</v>
      </c>
      <c r="K18" s="6" t="n">
        <v>56</v>
      </c>
      <c r="L18" s="6" t="n">
        <v>53</v>
      </c>
      <c r="M18" s="6" t="n">
        <v>44</v>
      </c>
      <c r="N18" s="6" t="n">
        <v>35.8</v>
      </c>
      <c r="O18" s="6" t="n">
        <v>25.3</v>
      </c>
      <c r="P18" s="6" t="n">
        <v>14.1</v>
      </c>
      <c r="Q18" s="6" t="n"/>
    </row>
    <row r="19">
      <c r="A19" s="6" t="inlineStr">
        <is>
          <t>Prepayments and accrued income</t>
        </is>
      </c>
      <c r="B19" s="6" t="n"/>
      <c r="C19" s="6" t="n"/>
      <c r="D19" s="6" t="n">
        <v>111</v>
      </c>
      <c r="E19" s="6" t="n">
        <v>80</v>
      </c>
      <c r="F19" s="6" t="n">
        <v>64</v>
      </c>
      <c r="G19" s="6" t="n">
        <v>77</v>
      </c>
      <c r="H19" s="6" t="n">
        <v>66</v>
      </c>
      <c r="I19" s="6" t="n">
        <v>66</v>
      </c>
      <c r="J19" s="6" t="n">
        <v>53</v>
      </c>
      <c r="K19" s="6" t="n">
        <v>43</v>
      </c>
      <c r="L19" s="6" t="n">
        <v>30</v>
      </c>
      <c r="M19" s="6" t="n">
        <v>19</v>
      </c>
      <c r="N19" s="6" t="n">
        <v>5</v>
      </c>
      <c r="O19" s="6" t="n">
        <v>1.9</v>
      </c>
      <c r="P19" s="6" t="n">
        <v>0.8</v>
      </c>
      <c r="Q19" s="6" t="n">
        <v>0.4</v>
      </c>
    </row>
    <row r="20">
      <c r="A20" s="6" t="inlineStr">
        <is>
          <t>Assets classified as held for sale</t>
        </is>
      </c>
      <c r="B20" s="6" t="n"/>
      <c r="C20" s="6" t="n"/>
      <c r="D20" s="6" t="n"/>
      <c r="E20" s="6" t="n">
        <v>1</v>
      </c>
      <c r="F20" s="6" t="n"/>
      <c r="G20" s="6" t="n">
        <v>295</v>
      </c>
      <c r="H20" s="6" t="n"/>
      <c r="I20" s="6" t="n"/>
      <c r="J20" s="6" t="n"/>
      <c r="K20" s="6" t="n"/>
      <c r="L20" s="6" t="n"/>
      <c r="M20" s="6" t="n"/>
      <c r="N20" s="6" t="n"/>
      <c r="O20" s="6" t="n"/>
      <c r="P20" s="6" t="n"/>
      <c r="Q20" s="6" t="n"/>
    </row>
    <row r="21">
      <c r="A21" s="6" t="inlineStr">
        <is>
          <t>Other assets</t>
        </is>
      </c>
      <c r="B21" s="6" t="n"/>
      <c r="C21" s="6" t="n"/>
      <c r="D21" s="6" t="n">
        <v>572</v>
      </c>
      <c r="E21" s="6" t="n">
        <v>473</v>
      </c>
      <c r="F21" s="6" t="n">
        <v>392</v>
      </c>
      <c r="G21" s="6" t="n">
        <v>2621</v>
      </c>
      <c r="H21" s="6" t="n">
        <v>75</v>
      </c>
      <c r="I21" s="6" t="n">
        <v>50</v>
      </c>
      <c r="J21" s="6" t="n">
        <v>26</v>
      </c>
      <c r="K21" s="6" t="n">
        <v>26</v>
      </c>
      <c r="L21" s="6" t="n">
        <v>21</v>
      </c>
      <c r="M21" s="6" t="n">
        <v>14</v>
      </c>
      <c r="N21" s="6" t="n">
        <v>11.8</v>
      </c>
      <c r="O21" s="6" t="n">
        <v>6.4</v>
      </c>
      <c r="P21" s="6" t="n">
        <v>3.3</v>
      </c>
      <c r="Q21" s="6" t="n">
        <v>1</v>
      </c>
    </row>
    <row r="22">
      <c r="A22" s="5" t="inlineStr">
        <is>
          <t>Total assets</t>
        </is>
      </c>
      <c r="B22" s="5" t="n"/>
      <c r="C22" s="5" t="n"/>
      <c r="D22" s="5" t="n">
        <v>22257</v>
      </c>
      <c r="E22" s="5" t="n">
        <v>22126</v>
      </c>
      <c r="F22" s="5" t="n">
        <v>22583</v>
      </c>
      <c r="G22" s="5" t="n">
        <v>22579</v>
      </c>
      <c r="H22" s="5" t="n">
        <v>21400</v>
      </c>
      <c r="I22" s="5" t="n">
        <v>21647</v>
      </c>
      <c r="J22" s="5" t="n">
        <v>16355</v>
      </c>
      <c r="K22" s="5" t="n">
        <v>10057</v>
      </c>
      <c r="L22" s="5" t="n">
        <v>6148</v>
      </c>
      <c r="M22" s="5" t="n">
        <v>3661</v>
      </c>
      <c r="N22" s="5" t="n">
        <v>1891.6</v>
      </c>
      <c r="O22" s="5" t="n">
        <v>771.2</v>
      </c>
      <c r="P22" s="5" t="n">
        <v>240.3</v>
      </c>
      <c r="Q22" s="5" t="n">
        <v>119.1</v>
      </c>
    </row>
    <row r="23">
      <c r="A23" s="5" t="inlineStr">
        <is>
          <t>Liabilities</t>
        </is>
      </c>
      <c r="B23" s="6" t="n"/>
      <c r="C23" s="6" t="n"/>
      <c r="D23" s="6" t="n"/>
      <c r="E23" s="6" t="n"/>
      <c r="F23" s="6" t="n"/>
      <c r="G23" s="6" t="n"/>
      <c r="H23" s="6" t="n"/>
      <c r="I23" s="6" t="n"/>
      <c r="J23" s="6" t="n"/>
      <c r="K23" s="6" t="n"/>
      <c r="L23" s="6" t="n"/>
      <c r="M23" s="6" t="n"/>
      <c r="N23" s="6" t="n"/>
      <c r="O23" s="6" t="n"/>
      <c r="P23" s="6" t="n"/>
      <c r="Q23" s="6" t="n"/>
    </row>
    <row r="24">
      <c r="A24" s="6" t="inlineStr">
        <is>
          <t>Deposits from customers</t>
        </is>
      </c>
      <c r="B24" s="6" t="n"/>
      <c r="C24" s="6" t="n"/>
      <c r="D24" s="6" t="n">
        <v>15623</v>
      </c>
      <c r="E24" s="6" t="n">
        <v>16014</v>
      </c>
      <c r="F24" s="6" t="n">
        <v>16448</v>
      </c>
      <c r="G24" s="6" t="n">
        <v>16072</v>
      </c>
      <c r="H24" s="6" t="n">
        <v>14477</v>
      </c>
      <c r="I24" s="6" t="n">
        <v>15661</v>
      </c>
      <c r="J24" s="6" t="n">
        <v>11669</v>
      </c>
      <c r="K24" s="6" t="n">
        <v>7951</v>
      </c>
      <c r="L24" s="6" t="n">
        <v>5108</v>
      </c>
      <c r="M24" s="6" t="n">
        <v>2867</v>
      </c>
      <c r="N24" s="6" t="n">
        <v>1315.4</v>
      </c>
      <c r="O24" s="6" t="n">
        <v>576.3</v>
      </c>
      <c r="P24" s="6" t="n">
        <v>151.6</v>
      </c>
      <c r="Q24" s="6" t="n">
        <v>17.9</v>
      </c>
    </row>
    <row r="25">
      <c r="A25" s="6" t="inlineStr">
        <is>
          <t>Deposits from central banks</t>
        </is>
      </c>
      <c r="B25" s="6" t="n"/>
      <c r="C25" s="6" t="n"/>
      <c r="D25" s="6" t="n">
        <v>3050</v>
      </c>
      <c r="E25" s="6" t="n">
        <v>3800</v>
      </c>
      <c r="F25" s="6" t="n">
        <v>3800</v>
      </c>
      <c r="G25" s="6" t="n">
        <v>3808</v>
      </c>
      <c r="H25" s="6" t="n">
        <v>3801</v>
      </c>
      <c r="I25" s="6" t="n">
        <v>3801</v>
      </c>
      <c r="J25" s="6" t="n">
        <v>3321</v>
      </c>
      <c r="K25" s="6" t="n">
        <v>543</v>
      </c>
      <c r="L25" s="6" t="n"/>
      <c r="M25" s="6" t="n"/>
      <c r="N25" s="6" t="n"/>
      <c r="O25" s="6" t="n"/>
      <c r="P25" s="6" t="n"/>
      <c r="Q25" s="6" t="n"/>
    </row>
    <row r="26">
      <c r="A26" s="6" t="inlineStr">
        <is>
          <t>Debt securities</t>
        </is>
      </c>
      <c r="B26" s="6" t="n"/>
      <c r="C26" s="6" t="n"/>
      <c r="D26" s="6" t="n">
        <v>699</v>
      </c>
      <c r="E26" s="6" t="n">
        <v>571</v>
      </c>
      <c r="F26" s="6" t="n">
        <v>588</v>
      </c>
      <c r="G26" s="6" t="n">
        <v>600</v>
      </c>
      <c r="H26" s="6" t="n">
        <v>591</v>
      </c>
      <c r="I26" s="6" t="n">
        <v>249</v>
      </c>
      <c r="J26" s="6" t="n"/>
      <c r="K26" s="6" t="n"/>
      <c r="L26" s="6" t="n"/>
      <c r="M26" s="6" t="n"/>
      <c r="N26" s="6" t="n"/>
      <c r="O26" s="6" t="n"/>
      <c r="P26" s="6" t="n"/>
      <c r="Q26" s="6" t="n"/>
    </row>
    <row r="27">
      <c r="A27" s="6" t="inlineStr">
        <is>
          <t>Financial liabilities held at fair value through profit and loss</t>
        </is>
      </c>
      <c r="B27" s="6" t="n"/>
      <c r="C27" s="6" t="n"/>
      <c r="D27" s="6" t="n"/>
      <c r="E27" s="6" t="n"/>
      <c r="F27" s="6" t="n"/>
      <c r="G27" s="6" t="n">
        <v>30</v>
      </c>
      <c r="H27" s="6" t="n"/>
      <c r="I27" s="6" t="n"/>
      <c r="J27" s="6" t="n"/>
      <c r="K27" s="6" t="n"/>
      <c r="L27" s="6" t="n"/>
      <c r="M27" s="6" t="n"/>
      <c r="N27" s="6" t="n"/>
      <c r="O27" s="6" t="n"/>
      <c r="P27" s="6" t="n"/>
      <c r="Q27" s="6" t="n"/>
    </row>
    <row r="28">
      <c r="A28" s="6" t="inlineStr">
        <is>
          <t>Repurchase agreements</t>
        </is>
      </c>
      <c r="B28" s="6" t="n"/>
      <c r="C28" s="6" t="n"/>
      <c r="D28" s="6" t="n">
        <v>1191</v>
      </c>
      <c r="E28" s="6" t="n">
        <v>238</v>
      </c>
      <c r="F28" s="6" t="n">
        <v>169</v>
      </c>
      <c r="G28" s="6" t="n">
        <v>196</v>
      </c>
      <c r="H28" s="6" t="n">
        <v>250</v>
      </c>
      <c r="I28" s="6" t="n">
        <v>344</v>
      </c>
      <c r="J28" s="6" t="n">
        <v>122</v>
      </c>
      <c r="K28" s="6" t="n">
        <v>653</v>
      </c>
      <c r="L28" s="6" t="n">
        <v>562</v>
      </c>
      <c r="M28" s="6" t="n">
        <v>283</v>
      </c>
      <c r="N28" s="6" t="n"/>
      <c r="O28" s="6" t="n"/>
      <c r="P28" s="6" t="n"/>
      <c r="Q28" s="6" t="n"/>
    </row>
    <row r="29">
      <c r="A29" s="6" t="inlineStr">
        <is>
          <t>Derivative financial liabilities</t>
        </is>
      </c>
      <c r="B29" s="6" t="n"/>
      <c r="C29" s="6" t="n"/>
      <c r="D29" s="6" t="n"/>
      <c r="E29" s="6" t="n">
        <v>26</v>
      </c>
      <c r="F29" s="6" t="n">
        <v>10</v>
      </c>
      <c r="G29" s="6" t="n">
        <v>8</v>
      </c>
      <c r="H29" s="6" t="n">
        <v>8</v>
      </c>
      <c r="I29" s="6" t="n"/>
      <c r="J29" s="6" t="n"/>
      <c r="K29" s="6" t="n"/>
      <c r="L29" s="6" t="n"/>
      <c r="M29" s="6" t="n"/>
      <c r="N29" s="6" t="n"/>
      <c r="O29" s="6" t="n"/>
      <c r="P29" s="6" t="n"/>
      <c r="Q29" s="6" t="n"/>
    </row>
    <row r="30">
      <c r="A30" s="6" t="inlineStr">
        <is>
          <t>Lease liabilities</t>
        </is>
      </c>
      <c r="B30" s="6" t="n"/>
      <c r="C30" s="6" t="n"/>
      <c r="D30" s="6" t="n">
        <v>234</v>
      </c>
      <c r="E30" s="6" t="n">
        <v>248</v>
      </c>
      <c r="F30" s="6" t="n">
        <v>269</v>
      </c>
      <c r="G30" s="6" t="n">
        <v>327</v>
      </c>
      <c r="H30" s="6" t="n">
        <v>341</v>
      </c>
      <c r="I30" s="6" t="n"/>
      <c r="J30" s="6" t="n"/>
      <c r="K30" s="6" t="n"/>
      <c r="L30" s="6" t="n"/>
      <c r="M30" s="6" t="n"/>
      <c r="N30" s="6" t="n"/>
      <c r="O30" s="6" t="n"/>
      <c r="P30" s="6" t="n"/>
      <c r="Q30" s="6" t="n"/>
    </row>
    <row r="31">
      <c r="A31" s="6" t="inlineStr">
        <is>
          <t>Deferred grants</t>
        </is>
      </c>
      <c r="B31" s="6" t="n"/>
      <c r="C31" s="6" t="n"/>
      <c r="D31" s="6" t="n">
        <v>16</v>
      </c>
      <c r="E31" s="6" t="n">
        <v>17</v>
      </c>
      <c r="F31" s="6" t="n">
        <v>19</v>
      </c>
      <c r="G31" s="6" t="n">
        <v>28</v>
      </c>
      <c r="H31" s="6" t="n">
        <v>50</v>
      </c>
      <c r="I31" s="6" t="n"/>
      <c r="J31" s="6" t="n"/>
      <c r="K31" s="6" t="n"/>
      <c r="L31" s="6" t="n"/>
      <c r="M31" s="6" t="n"/>
      <c r="N31" s="6" t="n"/>
      <c r="O31" s="6" t="n"/>
      <c r="P31" s="6" t="n"/>
      <c r="Q31" s="6" t="n"/>
    </row>
    <row r="32">
      <c r="A32" s="6" t="inlineStr">
        <is>
          <t>Provisions</t>
        </is>
      </c>
      <c r="B32" s="6" t="n"/>
      <c r="C32" s="6" t="n"/>
      <c r="D32" s="6" t="n">
        <v>23</v>
      </c>
      <c r="E32" s="6" t="n">
        <v>7</v>
      </c>
      <c r="F32" s="6" t="n">
        <v>15</v>
      </c>
      <c r="G32" s="6" t="n">
        <v>11</v>
      </c>
      <c r="H32" s="6" t="n">
        <v>17</v>
      </c>
      <c r="I32" s="6" t="n"/>
      <c r="J32" s="6" t="n"/>
      <c r="K32" s="6" t="n"/>
      <c r="L32" s="6" t="n"/>
      <c r="M32" s="6" t="n"/>
      <c r="N32" s="6" t="n"/>
      <c r="O32" s="6" t="n"/>
      <c r="P32" s="6" t="n"/>
      <c r="Q32" s="6" t="n"/>
    </row>
    <row r="33">
      <c r="A33" s="6" t="inlineStr">
        <is>
          <t>Deferred tax liability</t>
        </is>
      </c>
      <c r="B33" s="6" t="n"/>
      <c r="C33" s="6" t="n"/>
      <c r="D33" s="6" t="n">
        <v>13</v>
      </c>
      <c r="E33" s="6" t="n">
        <v>12</v>
      </c>
      <c r="F33" s="6" t="n">
        <v>12</v>
      </c>
      <c r="G33" s="6" t="n">
        <v>12</v>
      </c>
      <c r="H33" s="6" t="n">
        <v>15</v>
      </c>
      <c r="I33" s="6" t="n"/>
      <c r="J33" s="6" t="n"/>
      <c r="K33" s="6" t="n"/>
      <c r="L33" s="6" t="n"/>
      <c r="M33" s="6" t="n"/>
      <c r="N33" s="6" t="n"/>
      <c r="O33" s="6" t="n"/>
      <c r="P33" s="6" t="n"/>
      <c r="Q33" s="6" t="n"/>
    </row>
    <row r="34">
      <c r="A34" s="6" t="inlineStr">
        <is>
          <t>Other liabilities</t>
        </is>
      </c>
      <c r="B34" s="6" t="n"/>
      <c r="C34" s="6" t="n"/>
      <c r="D34" s="6" t="n">
        <v>256</v>
      </c>
      <c r="E34" s="6" t="n">
        <v>236</v>
      </c>
      <c r="F34" s="6" t="n">
        <v>217</v>
      </c>
      <c r="G34" s="6" t="n">
        <v>198</v>
      </c>
      <c r="H34" s="6" t="n">
        <v>267</v>
      </c>
      <c r="I34" s="6" t="n">
        <v>189</v>
      </c>
      <c r="J34" s="6" t="n">
        <v>148</v>
      </c>
      <c r="K34" s="6" t="n">
        <v>106</v>
      </c>
      <c r="L34" s="6" t="n">
        <v>71</v>
      </c>
      <c r="M34" s="6" t="n">
        <v>49</v>
      </c>
      <c r="N34" s="6" t="n">
        <v>171.2</v>
      </c>
      <c r="O34" s="6" t="n">
        <v>16.7</v>
      </c>
      <c r="P34" s="6" t="n">
        <v>10.7</v>
      </c>
      <c r="Q34" s="6" t="n">
        <v>4.5</v>
      </c>
    </row>
    <row r="35">
      <c r="A35" s="5" t="inlineStr">
        <is>
          <t>Total liabilities</t>
        </is>
      </c>
      <c r="B35" s="5" t="n"/>
      <c r="C35" s="5" t="n"/>
      <c r="D35" s="5" t="n">
        <v>21105</v>
      </c>
      <c r="E35" s="5" t="n">
        <v>21169</v>
      </c>
      <c r="F35" s="5" t="n">
        <v>21547</v>
      </c>
      <c r="G35" s="5" t="n">
        <v>21290</v>
      </c>
      <c r="H35" s="5" t="n">
        <v>19817</v>
      </c>
      <c r="I35" s="5" t="n">
        <v>20244</v>
      </c>
      <c r="J35" s="5" t="n">
        <v>15259</v>
      </c>
      <c r="K35" s="5" t="n">
        <v>9253</v>
      </c>
      <c r="L35" s="5" t="n">
        <v>5741</v>
      </c>
      <c r="M35" s="5" t="n">
        <v>3198</v>
      </c>
      <c r="N35" s="5" t="n">
        <v>1486.6</v>
      </c>
      <c r="O35" s="5" t="n">
        <v>593</v>
      </c>
      <c r="P35" s="5" t="n">
        <v>162.3</v>
      </c>
      <c r="Q35" s="5" t="n">
        <v>22.3</v>
      </c>
    </row>
    <row r="36">
      <c r="A36" s="5" t="inlineStr">
        <is>
          <t>Equity</t>
        </is>
      </c>
      <c r="B36" s="6" t="n"/>
      <c r="C36" s="6" t="n"/>
      <c r="D36" s="6" t="n"/>
      <c r="E36" s="6" t="n"/>
      <c r="F36" s="6" t="n"/>
      <c r="G36" s="6" t="n"/>
      <c r="H36" s="6" t="n"/>
      <c r="I36" s="6" t="n"/>
      <c r="J36" s="6" t="n"/>
      <c r="K36" s="6" t="n"/>
      <c r="L36" s="6" t="n"/>
      <c r="M36" s="6" t="n"/>
      <c r="N36" s="6" t="n"/>
      <c r="O36" s="6" t="n"/>
      <c r="P36" s="6" t="n"/>
      <c r="Q36" s="6" t="n"/>
    </row>
    <row r="37">
      <c r="A37" s="6" t="inlineStr">
        <is>
          <t>Called-up share capital</t>
        </is>
      </c>
      <c r="B37" s="6" t="n"/>
      <c r="C37" s="6" t="n"/>
      <c r="D37" s="6" t="n"/>
      <c r="E37" s="6" t="n"/>
      <c r="F37" s="6" t="n"/>
      <c r="G37" s="6" t="n"/>
      <c r="H37" s="6" t="n"/>
      <c r="I37" s="6" t="n"/>
      <c r="J37" s="6" t="n"/>
      <c r="K37" s="6" t="n"/>
      <c r="L37" s="6" t="n"/>
      <c r="M37" s="6" t="n"/>
      <c r="N37" s="6" t="n"/>
      <c r="O37" s="6" t="n"/>
      <c r="P37" s="6" t="n"/>
      <c r="Q37" s="6" t="n"/>
    </row>
    <row r="38">
      <c r="A38" s="6" t="inlineStr">
        <is>
          <t>Share premium</t>
        </is>
      </c>
      <c r="B38" s="6" t="n"/>
      <c r="C38" s="6" t="n"/>
      <c r="D38" s="6" t="n">
        <v>144</v>
      </c>
      <c r="E38" s="6" t="n">
        <v>1964</v>
      </c>
      <c r="F38" s="6" t="n">
        <v>1964</v>
      </c>
      <c r="G38" s="6" t="n">
        <v>1964</v>
      </c>
      <c r="H38" s="6" t="n">
        <v>1964</v>
      </c>
      <c r="I38" s="6" t="n">
        <v>1605</v>
      </c>
      <c r="J38" s="6" t="n">
        <v>1304</v>
      </c>
      <c r="K38" s="6" t="n">
        <v>1028</v>
      </c>
      <c r="L38" s="6" t="n">
        <v>629</v>
      </c>
      <c r="M38" s="6" t="n">
        <v>629</v>
      </c>
      <c r="N38" s="6" t="n">
        <v>530.5</v>
      </c>
      <c r="O38" s="6" t="n">
        <v>246.2</v>
      </c>
      <c r="P38" s="6" t="n">
        <v>120.1</v>
      </c>
      <c r="Q38" s="6" t="n">
        <v>120.1</v>
      </c>
    </row>
    <row r="39">
      <c r="A39" s="6" t="inlineStr">
        <is>
          <t>Retained earnings/(losses)</t>
        </is>
      </c>
      <c r="B39" s="6" t="n"/>
      <c r="C39" s="6" t="n"/>
      <c r="D39" s="6" t="n">
        <v>996</v>
      </c>
      <c r="E39" s="6" t="n">
        <v>-1014</v>
      </c>
      <c r="F39" s="6" t="n">
        <v>-941</v>
      </c>
      <c r="G39" s="6" t="n">
        <v>-694</v>
      </c>
      <c r="H39" s="6" t="n">
        <v>-392</v>
      </c>
      <c r="I39" s="6" t="n">
        <v>-209</v>
      </c>
      <c r="J39" s="6" t="n">
        <v>-219</v>
      </c>
      <c r="K39" s="6" t="n">
        <v>-230</v>
      </c>
      <c r="L39" s="6" t="n">
        <v>-213</v>
      </c>
      <c r="M39" s="6" t="n">
        <v>-164</v>
      </c>
      <c r="N39" s="6" t="n">
        <v>-118.7</v>
      </c>
      <c r="O39" s="6" t="n">
        <v>-76.90000000000001</v>
      </c>
      <c r="P39" s="6" t="n">
        <v>-42.3</v>
      </c>
      <c r="Q39" s="6" t="n">
        <v>-23.3</v>
      </c>
    </row>
    <row r="40">
      <c r="A40" s="6" t="inlineStr">
        <is>
          <t>Other reserves</t>
        </is>
      </c>
      <c r="B40" s="6" t="n"/>
      <c r="C40" s="6" t="n"/>
      <c r="D40" s="6" t="n">
        <v>12</v>
      </c>
      <c r="E40" s="6" t="n">
        <v>7</v>
      </c>
      <c r="F40" s="6" t="n">
        <v>13</v>
      </c>
      <c r="G40" s="6" t="n">
        <v>19</v>
      </c>
      <c r="H40" s="6" t="n">
        <v>11</v>
      </c>
      <c r="I40" s="6" t="n">
        <v>7</v>
      </c>
      <c r="J40" s="6" t="n">
        <v>12</v>
      </c>
      <c r="K40" s="6" t="n">
        <v>7</v>
      </c>
      <c r="L40" s="6" t="n">
        <v>-9</v>
      </c>
      <c r="M40" s="6" t="n">
        <v>-3</v>
      </c>
      <c r="N40" s="6" t="n">
        <v>-6.8</v>
      </c>
      <c r="O40" s="6" t="n">
        <v>8.9</v>
      </c>
      <c r="P40" s="6" t="n">
        <v>0.2</v>
      </c>
      <c r="Q40" s="6" t="n"/>
    </row>
    <row r="41">
      <c r="A41" s="5" t="inlineStr">
        <is>
          <t>Total equity</t>
        </is>
      </c>
      <c r="B41" s="5" t="n"/>
      <c r="C41" s="5" t="n"/>
      <c r="D41" s="5" t="n">
        <v>1152</v>
      </c>
      <c r="E41" s="5" t="n">
        <v>957</v>
      </c>
      <c r="F41" s="5" t="n">
        <v>1036</v>
      </c>
      <c r="G41" s="5" t="n">
        <v>1289</v>
      </c>
      <c r="H41" s="5" t="n">
        <v>1583</v>
      </c>
      <c r="I41" s="5" t="n">
        <v>1403</v>
      </c>
      <c r="J41" s="5" t="n">
        <v>1096</v>
      </c>
      <c r="K41" s="5" t="n">
        <v>805</v>
      </c>
      <c r="L41" s="5" t="n">
        <v>407</v>
      </c>
      <c r="M41" s="5" t="n">
        <v>462</v>
      </c>
      <c r="N41" s="5" t="n">
        <v>405</v>
      </c>
      <c r="O41" s="5" t="n">
        <v>178.2</v>
      </c>
      <c r="P41" s="5" t="n">
        <v>78</v>
      </c>
      <c r="Q41" s="5" t="n">
        <v>96.8</v>
      </c>
    </row>
    <row r="42">
      <c r="A42" s="5" t="inlineStr">
        <is>
          <t>Total equity and liabilities</t>
        </is>
      </c>
      <c r="B42" s="5" t="n"/>
      <c r="C42" s="5" t="n"/>
      <c r="D42" s="5" t="n">
        <v>22257</v>
      </c>
      <c r="E42" s="5" t="n">
        <v>22126</v>
      </c>
      <c r="F42" s="5" t="n">
        <v>22583</v>
      </c>
      <c r="G42" s="5" t="n">
        <v>22579</v>
      </c>
      <c r="H42" s="5" t="n">
        <v>21400</v>
      </c>
      <c r="I42" s="5" t="n">
        <v>21647</v>
      </c>
      <c r="J42" s="5" t="n">
        <v>16355</v>
      </c>
      <c r="K42" s="5" t="n">
        <v>10057</v>
      </c>
      <c r="L42" s="5" t="n">
        <v>6148</v>
      </c>
      <c r="M42" s="5" t="n">
        <v>3661</v>
      </c>
      <c r="N42" s="5" t="n">
        <v>1891.6</v>
      </c>
      <c r="O42" s="5" t="n">
        <v>771.2</v>
      </c>
      <c r="P42" s="5" t="n">
        <v>240.3</v>
      </c>
      <c r="Q42" s="5" t="n">
        <v>119.1</v>
      </c>
    </row>
    <row r="44" ht="340" customHeight="1">
      <c r="A44"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44:Q4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Profit &amp; Loss</t>
        </is>
      </c>
    </row>
    <row r="2">
      <c r="A2" s="2" t="inlineStr">
        <is>
          <t>Group/consolidated basis, £m (Metro Bank PLC does not publish its own standalone income statement in any year reviewed - see source note). FY2010-FY2012 had no subsidiaries yet, so Company and Group are identical for those years; FY2010 is a 16-month first accounting period (see HD-074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725.4</v>
      </c>
      <c r="C5" s="6" t="n">
        <v>935.4</v>
      </c>
      <c r="D5" s="6" t="n">
        <v>855.7</v>
      </c>
      <c r="E5" s="6" t="n">
        <v>563.7</v>
      </c>
      <c r="F5" s="6" t="n">
        <v>405.7</v>
      </c>
      <c r="G5" s="6" t="n">
        <v>426.3</v>
      </c>
      <c r="H5" s="6" t="n">
        <v>496.2</v>
      </c>
      <c r="I5" s="6" t="n">
        <v>444.4</v>
      </c>
      <c r="J5" s="6" t="n">
        <v>301.9</v>
      </c>
      <c r="K5" s="6" t="n">
        <v>213.5</v>
      </c>
      <c r="L5" s="6" t="n">
        <v>125.2</v>
      </c>
      <c r="M5" s="6" t="n">
        <v>74</v>
      </c>
      <c r="N5" s="6" t="n">
        <v>27.7</v>
      </c>
      <c r="O5" s="6" t="n">
        <v>10.7</v>
      </c>
      <c r="P5" s="6" t="n">
        <v>2</v>
      </c>
      <c r="Q5" s="6" t="n">
        <v>0.2</v>
      </c>
    </row>
    <row r="6">
      <c r="A6" s="6" t="inlineStr">
        <is>
          <t>Interest expense</t>
        </is>
      </c>
      <c r="B6" s="6" t="n">
        <v>-265.1</v>
      </c>
      <c r="C6" s="6" t="n">
        <v>-557.5</v>
      </c>
      <c r="D6" s="6" t="n">
        <v>-443.8</v>
      </c>
      <c r="E6" s="6" t="n">
        <v>-159.6</v>
      </c>
      <c r="F6" s="6" t="n">
        <v>-110.4</v>
      </c>
      <c r="G6" s="6" t="n">
        <v>-176.6</v>
      </c>
      <c r="H6" s="6" t="n">
        <v>-188.1</v>
      </c>
      <c r="I6" s="6" t="n">
        <v>-114.3</v>
      </c>
      <c r="J6" s="6" t="n">
        <v>-61</v>
      </c>
      <c r="K6" s="6" t="n">
        <v>-59.2</v>
      </c>
      <c r="L6" s="6" t="n">
        <v>-36.3</v>
      </c>
      <c r="M6" s="6" t="n">
        <v>-20.6</v>
      </c>
      <c r="N6" s="6" t="n">
        <v>-11.5</v>
      </c>
      <c r="O6" s="6" t="n">
        <v>-4.7</v>
      </c>
      <c r="P6" s="6" t="n">
        <v>-0.6</v>
      </c>
      <c r="Q6" s="6" t="n">
        <v>0</v>
      </c>
    </row>
    <row r="7">
      <c r="A7" s="5" t="inlineStr">
        <is>
          <t>Net interest income</t>
        </is>
      </c>
      <c r="B7" s="5" t="n">
        <v>460.3</v>
      </c>
      <c r="C7" s="5" t="n">
        <v>377.9</v>
      </c>
      <c r="D7" s="5" t="n">
        <v>411.9</v>
      </c>
      <c r="E7" s="5" t="n">
        <v>404.1</v>
      </c>
      <c r="F7" s="5" t="n">
        <v>295.3</v>
      </c>
      <c r="G7" s="5" t="n">
        <v>249.7</v>
      </c>
      <c r="H7" s="5" t="n">
        <v>308.1</v>
      </c>
      <c r="I7" s="5" t="n">
        <v>330.1</v>
      </c>
      <c r="J7" s="5" t="n">
        <v>241</v>
      </c>
      <c r="K7" s="5" t="n">
        <v>154.2</v>
      </c>
      <c r="L7" s="5" t="n">
        <v>88.90000000000001</v>
      </c>
      <c r="M7" s="5" t="n">
        <v>53.4</v>
      </c>
      <c r="N7" s="5" t="n">
        <v>16.2</v>
      </c>
      <c r="O7" s="5" t="n">
        <v>6</v>
      </c>
      <c r="P7" s="5" t="n">
        <v>1.4</v>
      </c>
      <c r="Q7" s="5" t="n">
        <v>0.2</v>
      </c>
    </row>
    <row r="8">
      <c r="A8" s="6" t="inlineStr">
        <is>
          <t>Fee and commission income</t>
        </is>
      </c>
      <c r="B8" s="6" t="n">
        <v>96.7</v>
      </c>
      <c r="C8" s="6" t="n">
        <v>98</v>
      </c>
      <c r="D8" s="6" t="n">
        <v>95</v>
      </c>
      <c r="E8" s="6" t="n">
        <v>84.40000000000001</v>
      </c>
      <c r="F8" s="6" t="n">
        <v>71.2</v>
      </c>
      <c r="G8" s="6" t="n">
        <v>61.1</v>
      </c>
      <c r="H8" s="6" t="n">
        <v>67.40000000000001</v>
      </c>
      <c r="I8" s="6" t="n">
        <v>42.5</v>
      </c>
      <c r="J8" s="6" t="n">
        <v>29.7</v>
      </c>
      <c r="K8" s="6" t="n">
        <v>22.2</v>
      </c>
      <c r="L8" s="6" t="n">
        <v>15.7</v>
      </c>
      <c r="M8" s="6" t="n">
        <v>12.1</v>
      </c>
      <c r="N8" s="6" t="n">
        <v>5.7</v>
      </c>
      <c r="O8" s="6" t="n">
        <v>2.4</v>
      </c>
      <c r="P8" s="6" t="n">
        <v>0.6</v>
      </c>
      <c r="Q8" s="6" t="n">
        <v>0</v>
      </c>
    </row>
    <row r="9">
      <c r="A9" s="6" t="inlineStr">
        <is>
          <t>Fee and commission expense</t>
        </is>
      </c>
      <c r="B9" s="6" t="n">
        <v>-5.6</v>
      </c>
      <c r="C9" s="6" t="n">
        <v>-4.8</v>
      </c>
      <c r="D9" s="6" t="n">
        <v>-4.6</v>
      </c>
      <c r="E9" s="6" t="n">
        <v>-2.6</v>
      </c>
      <c r="F9" s="6" t="n">
        <v>-1.6</v>
      </c>
      <c r="G9" s="6" t="n">
        <v>-1.2</v>
      </c>
      <c r="H9" s="6" t="n">
        <v>-6.4</v>
      </c>
      <c r="I9" s="6" t="n">
        <v>-4.9</v>
      </c>
      <c r="J9" s="6" t="n"/>
      <c r="K9" s="6" t="n"/>
      <c r="L9" s="6" t="n"/>
      <c r="M9" s="6" t="n"/>
      <c r="N9" s="6" t="n">
        <v>-0.2</v>
      </c>
      <c r="O9" s="6" t="n">
        <v>-0.2</v>
      </c>
      <c r="P9" s="6" t="n">
        <v>-0.1</v>
      </c>
      <c r="Q9" s="6" t="n"/>
    </row>
    <row r="10">
      <c r="A10" s="5" t="inlineStr">
        <is>
          <t>Net fee and commission income</t>
        </is>
      </c>
      <c r="B10" s="5" t="n">
        <v>91.09999999999999</v>
      </c>
      <c r="C10" s="5" t="n">
        <v>93.2</v>
      </c>
      <c r="D10" s="5" t="n">
        <v>90.40000000000001</v>
      </c>
      <c r="E10" s="5" t="n">
        <v>81.8</v>
      </c>
      <c r="F10" s="5" t="n">
        <v>69.59999999999999</v>
      </c>
      <c r="G10" s="5" t="n">
        <v>59.9</v>
      </c>
      <c r="H10" s="5" t="n">
        <v>61</v>
      </c>
      <c r="I10" s="5" t="n">
        <v>37.6</v>
      </c>
      <c r="J10" s="5" t="n">
        <v>29.7</v>
      </c>
      <c r="K10" s="5" t="n">
        <v>22.2</v>
      </c>
      <c r="L10" s="5" t="n">
        <v>15.7</v>
      </c>
      <c r="M10" s="5" t="n">
        <v>12.1</v>
      </c>
      <c r="N10" s="5" t="n">
        <v>5.5</v>
      </c>
      <c r="O10" s="5" t="n">
        <v>2.2</v>
      </c>
      <c r="P10" s="5" t="n">
        <v>0.5</v>
      </c>
      <c r="Q10" s="5" t="n">
        <v>0</v>
      </c>
    </row>
    <row r="11">
      <c r="A11" s="6" t="inlineStr">
        <is>
          <t>Net gain/(loss) on sale of assets</t>
        </is>
      </c>
      <c r="B11" s="6" t="n">
        <v>5.2</v>
      </c>
      <c r="C11" s="6" t="n">
        <v>-101.4</v>
      </c>
      <c r="D11" s="6" t="n">
        <v>2.7</v>
      </c>
      <c r="E11" s="6" t="n"/>
      <c r="F11" s="6" t="n">
        <v>9.4</v>
      </c>
      <c r="G11" s="6" t="n">
        <v>73.3</v>
      </c>
      <c r="H11" s="6" t="n">
        <v>1.6</v>
      </c>
      <c r="I11" s="6" t="n">
        <v>10.7</v>
      </c>
      <c r="J11" s="6" t="n">
        <v>3.7</v>
      </c>
      <c r="K11" s="6" t="n">
        <v>5.4</v>
      </c>
      <c r="L11" s="6" t="n">
        <v>6.4</v>
      </c>
      <c r="M11" s="6" t="n">
        <v>5.1</v>
      </c>
      <c r="N11" s="6" t="n">
        <v>6.5</v>
      </c>
      <c r="O11" s="6" t="n">
        <v>1.7</v>
      </c>
      <c r="P11" s="6" t="n">
        <v>2.3</v>
      </c>
      <c r="Q11" s="6" t="n"/>
    </row>
    <row r="12">
      <c r="A12" s="6" t="inlineStr">
        <is>
          <t>Other income</t>
        </is>
      </c>
      <c r="B12" s="6" t="n">
        <v>36.7</v>
      </c>
      <c r="C12" s="6" t="n">
        <v>35.6</v>
      </c>
      <c r="D12" s="6" t="n">
        <v>143.9</v>
      </c>
      <c r="E12" s="6" t="n">
        <v>37.6</v>
      </c>
      <c r="F12" s="6" t="n">
        <v>44.2</v>
      </c>
      <c r="G12" s="6" t="n">
        <v>49.7</v>
      </c>
      <c r="H12" s="6" t="n">
        <v>44.9</v>
      </c>
      <c r="I12" s="6" t="n">
        <v>25.7</v>
      </c>
      <c r="J12" s="6" t="n">
        <v>19.4</v>
      </c>
      <c r="K12" s="6" t="n">
        <v>13.3</v>
      </c>
      <c r="L12" s="6" t="n">
        <v>9.199999999999999</v>
      </c>
      <c r="M12" s="6" t="n">
        <v>4.8</v>
      </c>
      <c r="N12" s="6" t="n">
        <v>3.3</v>
      </c>
      <c r="O12" s="6" t="n">
        <v>1.1</v>
      </c>
      <c r="P12" s="6" t="n">
        <v>0.2</v>
      </c>
      <c r="Q12" s="6" t="n">
        <v>0</v>
      </c>
    </row>
    <row r="13">
      <c r="A13" s="6" t="inlineStr">
        <is>
          <t>Costs associated with Listing / Listing Share Awards</t>
        </is>
      </c>
      <c r="B13" s="6" t="n"/>
      <c r="C13" s="6" t="n"/>
      <c r="D13" s="6" t="n"/>
      <c r="E13" s="6" t="n"/>
      <c r="F13" s="6" t="n"/>
      <c r="G13" s="6" t="n"/>
      <c r="H13" s="6" t="n"/>
      <c r="I13" s="6" t="n"/>
      <c r="J13" s="6" t="n">
        <v>-1.4</v>
      </c>
      <c r="K13" s="6" t="n">
        <v>-5.1</v>
      </c>
      <c r="L13" s="6" t="n">
        <v>-1.5</v>
      </c>
      <c r="M13" s="6" t="n">
        <v>0</v>
      </c>
      <c r="N13" s="6" t="n"/>
      <c r="O13" s="6" t="n"/>
      <c r="P13" s="6" t="n"/>
      <c r="Q13" s="6" t="n"/>
    </row>
    <row r="14">
      <c r="A14" s="5" t="inlineStr">
        <is>
          <t>Total income</t>
        </is>
      </c>
      <c r="B14" s="5" t="n">
        <v>593.3</v>
      </c>
      <c r="C14" s="5" t="n">
        <v>405.3</v>
      </c>
      <c r="D14" s="5" t="n">
        <v>648.9</v>
      </c>
      <c r="E14" s="5" t="n">
        <v>523.5</v>
      </c>
      <c r="F14" s="5" t="n">
        <v>418.5</v>
      </c>
      <c r="G14" s="5" t="n">
        <v>432.6</v>
      </c>
      <c r="H14" s="5" t="n">
        <v>415.6</v>
      </c>
      <c r="I14" s="5" t="n">
        <v>404.1</v>
      </c>
      <c r="J14" s="5" t="n">
        <v>293.8</v>
      </c>
      <c r="K14" s="5" t="n">
        <v>195.1</v>
      </c>
      <c r="L14" s="5" t="n">
        <v>120.2</v>
      </c>
      <c r="M14" s="5" t="n">
        <v>75.40000000000001</v>
      </c>
      <c r="N14" s="5" t="n">
        <v>31.5</v>
      </c>
      <c r="O14" s="5" t="n">
        <v>11</v>
      </c>
      <c r="P14" s="5" t="n">
        <v>4.5</v>
      </c>
      <c r="Q14" s="5" t="n">
        <v>0.2</v>
      </c>
    </row>
    <row r="15">
      <c r="A15" s="6" t="inlineStr">
        <is>
          <t>General operating expenses</t>
        </is>
      </c>
      <c r="B15" s="6" t="n">
        <v>-429.4</v>
      </c>
      <c r="C15" s="6" t="n">
        <v>-489</v>
      </c>
      <c r="D15" s="6" t="n">
        <v>-484.1</v>
      </c>
      <c r="E15" s="6" t="n">
        <v>-467.6</v>
      </c>
      <c r="F15" s="6" t="n">
        <v>-536.1</v>
      </c>
      <c r="G15" s="6" t="n">
        <v>-502.3</v>
      </c>
      <c r="H15" s="6" t="n">
        <v>-380.6</v>
      </c>
      <c r="I15" s="6" t="n">
        <v>-305.6</v>
      </c>
      <c r="J15" s="6" t="n">
        <v>-231.4</v>
      </c>
      <c r="K15" s="6" t="n">
        <v>-179.8</v>
      </c>
      <c r="L15" s="6" t="n">
        <v>-141.6</v>
      </c>
      <c r="M15" s="6" t="n">
        <v>-107.9</v>
      </c>
      <c r="N15" s="6" t="n">
        <v>-72.3</v>
      </c>
      <c r="O15" s="6" t="n">
        <v>-50.3</v>
      </c>
      <c r="P15" s="6" t="n">
        <v>-33.7</v>
      </c>
      <c r="Q15" s="6" t="n">
        <v>-22</v>
      </c>
    </row>
    <row r="16">
      <c r="A16" s="6" t="inlineStr">
        <is>
          <t>Depreciation and amortisation</t>
        </is>
      </c>
      <c r="B16" s="6" t="n">
        <v>-61.7</v>
      </c>
      <c r="C16" s="6" t="n">
        <v>-77.3</v>
      </c>
      <c r="D16" s="6" t="n">
        <v>-77.7</v>
      </c>
      <c r="E16" s="6" t="n">
        <v>-77</v>
      </c>
      <c r="F16" s="6" t="n">
        <v>-80.2</v>
      </c>
      <c r="G16" s="6" t="n">
        <v>-74.40000000000001</v>
      </c>
      <c r="H16" s="6" t="n">
        <v>-76.40000000000001</v>
      </c>
      <c r="I16" s="6" t="n">
        <v>-45.1</v>
      </c>
      <c r="J16" s="6" t="n">
        <v>-33.4</v>
      </c>
      <c r="K16" s="6" t="n">
        <v>-22.4</v>
      </c>
      <c r="L16" s="6" t="n">
        <v>-18.2</v>
      </c>
      <c r="M16" s="6" t="n">
        <v>-14.2</v>
      </c>
      <c r="N16" s="6" t="n">
        <v>-10.4</v>
      </c>
      <c r="O16" s="6" t="n">
        <v>-6.2</v>
      </c>
      <c r="P16" s="6" t="n">
        <v>-3.7</v>
      </c>
      <c r="Q16" s="6" t="n">
        <v>-1.5</v>
      </c>
    </row>
    <row r="17">
      <c r="A17" s="6" t="inlineStr">
        <is>
          <t>Impairment and write-offs of property, plant, equipment and intangible assets</t>
        </is>
      </c>
      <c r="B17" s="6" t="n">
        <v>-0.7</v>
      </c>
      <c r="C17" s="6" t="n">
        <v>-44</v>
      </c>
      <c r="D17" s="6" t="n">
        <v>-4.6</v>
      </c>
      <c r="E17" s="6" t="n">
        <v>-9.699999999999999</v>
      </c>
      <c r="F17" s="6" t="n">
        <v>-24.9</v>
      </c>
      <c r="G17" s="6" t="n">
        <v>-40.6</v>
      </c>
      <c r="H17" s="6" t="n">
        <v>-77.7</v>
      </c>
      <c r="I17" s="6" t="n">
        <v>-4.8</v>
      </c>
      <c r="J17" s="6" t="n">
        <v>-0.6</v>
      </c>
      <c r="K17" s="6" t="n">
        <v>-0.3</v>
      </c>
      <c r="L17" s="6" t="n">
        <v>-8.699999999999999</v>
      </c>
      <c r="M17" s="6" t="n">
        <v>0</v>
      </c>
      <c r="N17" s="6" t="n"/>
      <c r="O17" s="6" t="n"/>
      <c r="P17" s="6" t="n"/>
      <c r="Q17" s="6" t="n"/>
    </row>
    <row r="18">
      <c r="A18" s="5" t="inlineStr">
        <is>
          <t>Total operating expenses</t>
        </is>
      </c>
      <c r="B18" s="5" t="n">
        <v>-491.8</v>
      </c>
      <c r="C18" s="5" t="n">
        <v>-610.3</v>
      </c>
      <c r="D18" s="5" t="n">
        <v>-566.4</v>
      </c>
      <c r="E18" s="5" t="n">
        <v>-554.3</v>
      </c>
      <c r="F18" s="5" t="n">
        <v>-641.2</v>
      </c>
      <c r="G18" s="5" t="n">
        <v>-617.3</v>
      </c>
      <c r="H18" s="5" t="n">
        <v>-534.7</v>
      </c>
      <c r="I18" s="5" t="n">
        <v>-355.5</v>
      </c>
      <c r="J18" s="5" t="n">
        <v>-266.9</v>
      </c>
      <c r="K18" s="5" t="n">
        <v>-207.6</v>
      </c>
      <c r="L18" s="5" t="n">
        <v>-170</v>
      </c>
      <c r="M18" s="5" t="n">
        <v>-122.2</v>
      </c>
      <c r="N18" s="5" t="n">
        <v>-82.7</v>
      </c>
      <c r="O18" s="5" t="n">
        <v>-56.6</v>
      </c>
      <c r="P18" s="5" t="n">
        <v>-37.4</v>
      </c>
      <c r="Q18" s="5" t="n">
        <v>-23.6</v>
      </c>
    </row>
    <row r="19">
      <c r="A19" s="6" t="inlineStr">
        <is>
          <t>Expected credit loss expense</t>
        </is>
      </c>
      <c r="B19" s="6" t="n">
        <v>-14.3</v>
      </c>
      <c r="C19" s="6" t="n">
        <v>-7.1</v>
      </c>
      <c r="D19" s="6" t="n">
        <v>-33.2</v>
      </c>
      <c r="E19" s="6" t="n">
        <v>-39.9</v>
      </c>
      <c r="F19" s="6" t="n">
        <v>-22.4</v>
      </c>
      <c r="G19" s="6" t="n">
        <v>-126.7</v>
      </c>
      <c r="H19" s="6" t="n">
        <v>-11.7</v>
      </c>
      <c r="I19" s="6" t="n">
        <v>-8</v>
      </c>
      <c r="J19" s="6" t="n"/>
      <c r="K19" s="6" t="n"/>
      <c r="L19" s="6" t="n"/>
      <c r="M19" s="6" t="n"/>
      <c r="N19" s="6" t="n"/>
      <c r="O19" s="6" t="n"/>
      <c r="P19" s="6" t="n"/>
      <c r="Q19" s="6" t="n"/>
    </row>
    <row r="20">
      <c r="A20" s="6" t="inlineStr">
        <is>
          <t>Credit impairment charges (pre-IFRS 9)</t>
        </is>
      </c>
      <c r="B20" s="6" t="n"/>
      <c r="C20" s="6" t="n"/>
      <c r="D20" s="6" t="n"/>
      <c r="E20" s="6" t="n"/>
      <c r="F20" s="6" t="n"/>
      <c r="G20" s="6" t="n"/>
      <c r="H20" s="6" t="n"/>
      <c r="I20" s="6" t="n"/>
      <c r="J20" s="6" t="n">
        <v>-8.199999999999999</v>
      </c>
      <c r="K20" s="6" t="n">
        <v>-4.7</v>
      </c>
      <c r="L20" s="6" t="n">
        <v>-7</v>
      </c>
      <c r="M20" s="6" t="n">
        <v>-2.2</v>
      </c>
      <c r="N20" s="6" t="n">
        <v>-1</v>
      </c>
      <c r="O20" s="6" t="n">
        <v>-0.2</v>
      </c>
      <c r="P20" s="6" t="n">
        <v>-0.2</v>
      </c>
      <c r="Q20" s="6" t="n"/>
    </row>
    <row r="21">
      <c r="A21" s="5" t="inlineStr">
        <is>
          <t>Profit/(loss) before tax</t>
        </is>
      </c>
      <c r="B21" s="5" t="n">
        <v>87.2</v>
      </c>
      <c r="C21" s="5" t="n">
        <v>-212.1</v>
      </c>
      <c r="D21" s="5" t="n">
        <v>49.3</v>
      </c>
      <c r="E21" s="5" t="n">
        <v>-70.7</v>
      </c>
      <c r="F21" s="5" t="n">
        <v>-245.1</v>
      </c>
      <c r="G21" s="5" t="n">
        <v>-311.4</v>
      </c>
      <c r="H21" s="5" t="n">
        <v>-130.8</v>
      </c>
      <c r="I21" s="5" t="n">
        <v>40.6</v>
      </c>
      <c r="J21" s="5" t="n">
        <v>18.7</v>
      </c>
      <c r="K21" s="5" t="n">
        <v>-17.2</v>
      </c>
      <c r="L21" s="5" t="n">
        <v>-56.8</v>
      </c>
      <c r="M21" s="5" t="n">
        <v>-48.9</v>
      </c>
      <c r="N21" s="5" t="n">
        <v>-52.2</v>
      </c>
      <c r="O21" s="5" t="n">
        <v>-45.7</v>
      </c>
      <c r="P21" s="5" t="n">
        <v>-33.1</v>
      </c>
      <c r="Q21" s="5" t="n">
        <v>-23.4</v>
      </c>
    </row>
    <row r="22">
      <c r="A22" s="6" t="inlineStr">
        <is>
          <t>Taxation credit/(expense)</t>
        </is>
      </c>
      <c r="B22" s="6" t="n">
        <v>-17.5</v>
      </c>
      <c r="C22" s="6" t="n">
        <v>254.6</v>
      </c>
      <c r="D22" s="6" t="n">
        <v>-1</v>
      </c>
      <c r="E22" s="6" t="n">
        <v>-2</v>
      </c>
      <c r="F22" s="6" t="n">
        <v>-3.1</v>
      </c>
      <c r="G22" s="6" t="n">
        <v>9.699999999999999</v>
      </c>
      <c r="H22" s="6" t="n">
        <v>-51.8</v>
      </c>
      <c r="I22" s="6" t="n">
        <v>-13.5</v>
      </c>
      <c r="J22" s="6" t="n">
        <v>-7.9</v>
      </c>
      <c r="K22" s="6" t="n">
        <v>0.4</v>
      </c>
      <c r="L22" s="6" t="n">
        <v>7.6</v>
      </c>
      <c r="M22" s="6" t="n">
        <v>7.8</v>
      </c>
      <c r="N22" s="6" t="n">
        <v>10.4</v>
      </c>
      <c r="O22" s="6" t="n">
        <v>11.2</v>
      </c>
      <c r="P22" s="6" t="n">
        <v>14.1</v>
      </c>
      <c r="Q22" s="6" t="n">
        <v>0</v>
      </c>
    </row>
    <row r="23">
      <c r="A23" s="5" t="inlineStr">
        <is>
          <t>Profit/(loss) for the year</t>
        </is>
      </c>
      <c r="B23" s="5" t="n">
        <v>69.7</v>
      </c>
      <c r="C23" s="5" t="n">
        <v>42.5</v>
      </c>
      <c r="D23" s="5" t="n">
        <v>48.3</v>
      </c>
      <c r="E23" s="5" t="n">
        <v>-72.7</v>
      </c>
      <c r="F23" s="5" t="n">
        <v>-248.2</v>
      </c>
      <c r="G23" s="5" t="n">
        <v>-301.7</v>
      </c>
      <c r="H23" s="5" t="n">
        <v>-182.6</v>
      </c>
      <c r="I23" s="5" t="n">
        <v>27.1</v>
      </c>
      <c r="J23" s="5" t="n">
        <v>10.8</v>
      </c>
      <c r="K23" s="5" t="n">
        <v>-16.8</v>
      </c>
      <c r="L23" s="5" t="n">
        <v>-49.2</v>
      </c>
      <c r="M23" s="5" t="n">
        <v>-41.1</v>
      </c>
      <c r="N23" s="5" t="n">
        <v>-41.8</v>
      </c>
      <c r="O23" s="5" t="n">
        <v>-34.6</v>
      </c>
      <c r="P23" s="5" t="n">
        <v>-19</v>
      </c>
      <c r="Q23" s="5" t="n">
        <v>-23.4</v>
      </c>
    </row>
    <row r="24">
      <c r="A24" s="5" t="inlineStr">
        <is>
          <t>Other comprehensive income/(expense) for the year</t>
        </is>
      </c>
      <c r="B24" s="6" t="n"/>
      <c r="C24" s="6" t="n"/>
      <c r="D24" s="6" t="n"/>
      <c r="E24" s="6" t="n"/>
      <c r="F24" s="6" t="n"/>
      <c r="G24" s="6" t="n"/>
      <c r="H24" s="6" t="n"/>
      <c r="I24" s="6" t="n"/>
      <c r="J24" s="6" t="n"/>
      <c r="K24" s="6" t="n"/>
      <c r="L24" s="6" t="n"/>
      <c r="M24" s="6" t="n"/>
      <c r="N24" s="6" t="n"/>
      <c r="O24" s="6" t="n"/>
      <c r="P24" s="6" t="n"/>
      <c r="Q24" s="6" t="n"/>
    </row>
    <row r="25">
      <c r="A25" s="6" t="inlineStr">
        <is>
          <t>Movement in investment securities held at FVOCI - changes in fair value (net of tax)</t>
        </is>
      </c>
      <c r="B25" s="6" t="n">
        <v>4.2</v>
      </c>
      <c r="C25" s="6" t="n">
        <v>3.4</v>
      </c>
      <c r="D25" s="6" t="n">
        <v>2.4</v>
      </c>
      <c r="E25" s="6" t="n">
        <v>-7.6</v>
      </c>
      <c r="F25" s="6" t="n">
        <v>-8.1</v>
      </c>
      <c r="G25" s="6" t="n">
        <v>5.6</v>
      </c>
      <c r="H25" s="6" t="n">
        <v>2.7</v>
      </c>
      <c r="I25" s="6" t="n">
        <v>-2.4</v>
      </c>
      <c r="J25" s="6" t="n">
        <v>2.7</v>
      </c>
      <c r="K25" s="6" t="n">
        <v>13.9</v>
      </c>
      <c r="L25" s="6" t="n">
        <v>-1.3</v>
      </c>
      <c r="M25" s="6" t="n">
        <v>8.300000000000001</v>
      </c>
      <c r="N25" s="6" t="n">
        <v>-16.1</v>
      </c>
      <c r="O25" s="6" t="n">
        <v>8.5</v>
      </c>
      <c r="P25" s="6" t="n">
        <v>0.1</v>
      </c>
      <c r="Q25" s="6" t="n"/>
    </row>
    <row r="26">
      <c r="A26" s="6" t="inlineStr">
        <is>
          <t>FV changes transferred to the income statement on disposal (net of tax)</t>
        </is>
      </c>
      <c r="B26" s="6" t="n"/>
      <c r="C26" s="6" t="n"/>
      <c r="D26" s="6" t="n"/>
      <c r="E26" s="6" t="n"/>
      <c r="F26" s="6" t="n">
        <v>-0.3</v>
      </c>
      <c r="G26" s="6" t="n">
        <v>-0.1</v>
      </c>
      <c r="H26" s="6" t="n">
        <v>-2.4</v>
      </c>
      <c r="I26" s="6" t="n">
        <v>-1.5</v>
      </c>
      <c r="J26" s="6" t="n">
        <v>-3.7</v>
      </c>
      <c r="K26" s="6" t="n">
        <v>-5.4</v>
      </c>
      <c r="L26" s="6" t="n">
        <v>-6.4</v>
      </c>
      <c r="M26" s="6" t="n">
        <v>-5.1</v>
      </c>
      <c r="N26" s="6" t="n"/>
      <c r="O26" s="6" t="n"/>
      <c r="P26" s="6" t="n"/>
      <c r="Q26" s="6" t="n"/>
    </row>
    <row r="27">
      <c r="A27" s="5" t="inlineStr">
        <is>
          <t>Total other comprehensive income/(expense)</t>
        </is>
      </c>
      <c r="B27" s="5" t="n">
        <v>4.2</v>
      </c>
      <c r="C27" s="5" t="n">
        <v>3.4</v>
      </c>
      <c r="D27" s="5" t="n">
        <v>2.4</v>
      </c>
      <c r="E27" s="5" t="n">
        <v>-7.6</v>
      </c>
      <c r="F27" s="5" t="n">
        <v>-8.4</v>
      </c>
      <c r="G27" s="5" t="n">
        <v>5.5</v>
      </c>
      <c r="H27" s="5" t="n">
        <v>0.3</v>
      </c>
      <c r="I27" s="5" t="n">
        <v>-3.9</v>
      </c>
      <c r="J27" s="5" t="n">
        <v>-0.9</v>
      </c>
      <c r="K27" s="5" t="n">
        <v>8.5</v>
      </c>
      <c r="L27" s="5" t="n">
        <v>-7.7</v>
      </c>
      <c r="M27" s="5" t="n">
        <v>3.2</v>
      </c>
      <c r="N27" s="5" t="n">
        <v>-16.1</v>
      </c>
      <c r="O27" s="5" t="n">
        <v>8.5</v>
      </c>
      <c r="P27" s="5" t="n">
        <v>0.1</v>
      </c>
      <c r="Q27" s="5" t="n">
        <v>0</v>
      </c>
    </row>
    <row r="28">
      <c r="A28" s="5" t="inlineStr">
        <is>
          <t>Total comprehensive income/(loss) for the year</t>
        </is>
      </c>
      <c r="B28" s="5" t="n">
        <v>73.90000000000001</v>
      </c>
      <c r="C28" s="5" t="n">
        <v>45.9</v>
      </c>
      <c r="D28" s="5" t="n">
        <v>50.7</v>
      </c>
      <c r="E28" s="5" t="n">
        <v>-80.3</v>
      </c>
      <c r="F28" s="5" t="n">
        <v>-256.6</v>
      </c>
      <c r="G28" s="5" t="n">
        <v>-296.2</v>
      </c>
      <c r="H28" s="5" t="n">
        <v>-182.3</v>
      </c>
      <c r="I28" s="5" t="n">
        <v>23.2</v>
      </c>
      <c r="J28" s="5" t="n">
        <v>9.800000000000001</v>
      </c>
      <c r="K28" s="5" t="n">
        <v>-8.199999999999999</v>
      </c>
      <c r="L28" s="5" t="n">
        <v>-56.9</v>
      </c>
      <c r="M28" s="5" t="n">
        <v>-37.9</v>
      </c>
      <c r="N28" s="5" t="n">
        <v>-57.9</v>
      </c>
      <c r="O28" s="5" t="n">
        <v>-26.1</v>
      </c>
      <c r="P28" s="5" t="n">
        <v>-18.9</v>
      </c>
      <c r="Q28" s="5" t="n">
        <v>-23.4</v>
      </c>
    </row>
    <row r="30" ht="340" customHeight="1">
      <c r="A30"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30:Q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Metro Bank PLC - Statement of Changes in Equity</t>
        </is>
      </c>
    </row>
    <row r="2">
      <c r="A2" s="2" t="inlineStr">
        <is>
          <t>Chronological roll-forward, oldest to newest, £m. FY2010-FY2013 are Company basis (HD-074; FY2010 is a 16-month first accounting period); FY2013's closing is nonetheless Group/consolidated, Metro Bank's first subsidiary having been acquired that July - see HD-074 note. FY2014-FY2020 are Group/consolidated basis; FY2021-FY2023 are Company/standalone basis (see HD-049 basis note); FY2024-FY2025 not located - same gap as the Balance Sheet and Cash Flow Statement. Equity reconciliation ladder confirmed: each year's own closing balance ties exactly to both the next year's own opening balance and that year's own Balance Sheet Total equity within each basis, EXCEPT at the FY2013/FY2014 boundary, where the pre-existing FY2014 opening row uses the FY2015 Annual Report's own 'restated' FY2014 comparative rather than FY2013's own contemporaneous closing figures - a genuine restatement discontinuity, flagged in place rather than silently blended (see the note on that row). The ladder's mandated scan caught the insertion of Metro Bank Holdings PLC as new ultimate parent in 2023 - a genuine cancellation of Metro Bank PLC's £1,964m share capital/premium (offset into retained earnings) and £144m of new shares issued, not a plug - and also the genuine Company/Group basis discontinuity at 31 Dec 2020/1 Jan 2021 (£1,289m Group closing vs £1,294m Company opening), which is a basis change, not an error. The 'FVOCI reserve' column holds the pre-2018 'Available-for-sale reserve' for FY2010-FY2017 (same underlying reserve, renamed on IFRS 9 adoption 1 January 2018 - see the transition adjustment row).</t>
        </is>
      </c>
    </row>
    <row r="3">
      <c r="A3" s="4" t="inlineStr">
        <is>
          <t>Movement</t>
        </is>
      </c>
      <c r="B3" s="4" t="inlineStr">
        <is>
          <t>Called-up share capital</t>
        </is>
      </c>
      <c r="C3" s="4" t="inlineStr">
        <is>
          <t>Share premium</t>
        </is>
      </c>
      <c r="D3" s="4" t="inlineStr">
        <is>
          <t>Retained earnings/(losses)</t>
        </is>
      </c>
      <c r="E3" s="4" t="inlineStr">
        <is>
          <t>FVOCI reserve</t>
        </is>
      </c>
      <c r="F3" s="4" t="inlineStr">
        <is>
          <t>Share option reserve</t>
        </is>
      </c>
      <c r="G3" s="4" t="inlineStr">
        <is>
          <t>Deemed capital contribution</t>
        </is>
      </c>
      <c r="H3" s="4" t="inlineStr">
        <is>
          <t>Total equity</t>
        </is>
      </c>
    </row>
    <row r="4">
      <c r="A4" s="5" t="inlineStr">
        <is>
          <t>Balance at 19 September 2009 (opening, Company basis - conversion to PLC)</t>
        </is>
      </c>
      <c r="B4" s="5" t="n">
        <v>0.1</v>
      </c>
      <c r="C4" s="5" t="n">
        <v>0</v>
      </c>
      <c r="D4" s="5" t="n">
        <v>0</v>
      </c>
      <c r="E4" s="5" t="n"/>
      <c r="F4" s="5" t="n"/>
      <c r="G4" s="5" t="n"/>
      <c r="H4" s="5" t="n">
        <v>0.1</v>
      </c>
    </row>
    <row r="5">
      <c r="A5" s="6" t="inlineStr">
        <is>
          <t>Net loss for the period (16 months to 31 December 2010)</t>
        </is>
      </c>
      <c r="B5" s="6" t="n"/>
      <c r="C5" s="6" t="n"/>
      <c r="D5" s="6" t="n">
        <v>-23.4</v>
      </c>
      <c r="E5" s="6" t="n"/>
      <c r="F5" s="6" t="n"/>
      <c r="G5" s="6" t="n"/>
      <c r="H5" s="6" t="n">
        <v>-23.4</v>
      </c>
    </row>
    <row r="6">
      <c r="A6" s="6" t="inlineStr">
        <is>
          <t>Issue of new ordinary shares</t>
        </is>
      </c>
      <c r="B6" s="6" t="n"/>
      <c r="C6" s="6" t="n">
        <v>120.1</v>
      </c>
      <c r="D6" s="6" t="n"/>
      <c r="E6" s="6" t="n"/>
      <c r="F6" s="6" t="n"/>
      <c r="G6" s="6" t="n"/>
      <c r="H6" s="6" t="n">
        <v>120.1</v>
      </c>
    </row>
    <row r="7">
      <c r="A7" s="6" t="inlineStr">
        <is>
          <t>Repayment of preference shares</t>
        </is>
      </c>
      <c r="B7" s="6" t="n">
        <v>-0.1</v>
      </c>
      <c r="C7" s="6" t="n"/>
      <c r="D7" s="6" t="n"/>
      <c r="E7" s="6" t="n"/>
      <c r="F7" s="6" t="n"/>
      <c r="G7" s="6" t="n"/>
      <c r="H7" s="6" t="n">
        <v>-0.1</v>
      </c>
    </row>
    <row r="8">
      <c r="A8" s="5" t="inlineStr">
        <is>
          <t>Balance as at 31 December 2010 (FY2010 closing, 16-month first accounts, Company basis)</t>
        </is>
      </c>
      <c r="B8" s="5" t="n">
        <v>0</v>
      </c>
      <c r="C8" s="5" t="n">
        <v>120.1</v>
      </c>
      <c r="D8" s="5" t="n">
        <v>-23.3</v>
      </c>
      <c r="E8" s="5" t="n"/>
      <c r="F8" s="5" t="n"/>
      <c r="G8" s="5" t="n"/>
      <c r="H8" s="5" t="n">
        <v>96.8</v>
      </c>
    </row>
    <row r="9">
      <c r="A9" s="6" t="inlineStr">
        <is>
          <t>Net loss for the year</t>
        </is>
      </c>
      <c r="B9" s="6" t="n"/>
      <c r="C9" s="6" t="n"/>
      <c r="D9" s="6" t="n">
        <v>-19</v>
      </c>
      <c r="E9" s="6" t="n"/>
      <c r="F9" s="6" t="n"/>
      <c r="G9" s="6" t="n"/>
      <c r="H9" s="6" t="n">
        <v>-19</v>
      </c>
    </row>
    <row r="10">
      <c r="A10" s="6" t="inlineStr">
        <is>
          <t>Other comprehensive income relating to available-for-sale investments, net of tax</t>
        </is>
      </c>
      <c r="B10" s="6" t="n"/>
      <c r="C10" s="6" t="n"/>
      <c r="D10" s="6" t="n"/>
      <c r="E10" s="6" t="n">
        <v>0.1</v>
      </c>
      <c r="F10" s="6" t="n"/>
      <c r="G10" s="6" t="n"/>
      <c r="H10" s="6" t="n">
        <v>0.1</v>
      </c>
    </row>
    <row r="11">
      <c r="A11" s="6" t="inlineStr">
        <is>
          <t>Share options at fair value</t>
        </is>
      </c>
      <c r="B11" s="6" t="n"/>
      <c r="C11" s="6" t="n"/>
      <c r="D11" s="6" t="n"/>
      <c r="E11" s="6" t="n"/>
      <c r="F11" s="6" t="n">
        <v>0.1</v>
      </c>
      <c r="G11" s="6" t="n"/>
      <c r="H11" s="6" t="n">
        <v>0.1</v>
      </c>
    </row>
    <row r="12">
      <c r="A12" s="5" t="inlineStr">
        <is>
          <t>Balance as at 31 December 2011 (FY2011 closing, Company basis)</t>
        </is>
      </c>
      <c r="B12" s="5" t="n">
        <v>0</v>
      </c>
      <c r="C12" s="5" t="n">
        <v>120.1</v>
      </c>
      <c r="D12" s="5" t="n">
        <v>-42.3</v>
      </c>
      <c r="E12" s="5" t="n">
        <v>0.1</v>
      </c>
      <c r="F12" s="5" t="n">
        <v>0.1</v>
      </c>
      <c r="G12" s="5" t="n"/>
      <c r="H12" s="5" t="n">
        <v>78</v>
      </c>
    </row>
    <row r="13">
      <c r="A13" s="6" t="inlineStr">
        <is>
          <t>Share issue</t>
        </is>
      </c>
      <c r="B13" s="6" t="n"/>
      <c r="C13" s="6" t="n">
        <v>126</v>
      </c>
      <c r="D13" s="6" t="n"/>
      <c r="E13" s="6" t="n"/>
      <c r="F13" s="6" t="n"/>
      <c r="G13" s="6" t="n"/>
      <c r="H13" s="6" t="n">
        <v>126</v>
      </c>
    </row>
    <row r="14">
      <c r="A14" s="6" t="inlineStr">
        <is>
          <t>Net loss for the year</t>
        </is>
      </c>
      <c r="B14" s="6" t="n"/>
      <c r="C14" s="6" t="n"/>
      <c r="D14" s="6" t="n">
        <v>-34.6</v>
      </c>
      <c r="E14" s="6" t="n"/>
      <c r="F14" s="6" t="n"/>
      <c r="G14" s="6" t="n"/>
      <c r="H14" s="6" t="n">
        <v>-34.6</v>
      </c>
    </row>
    <row r="15">
      <c r="A15" s="6" t="inlineStr">
        <is>
          <t>Other comprehensive income relating to available-for-sale investments, net of tax</t>
        </is>
      </c>
      <c r="B15" s="6" t="n"/>
      <c r="C15" s="6" t="n"/>
      <c r="D15" s="6" t="n"/>
      <c r="E15" s="6" t="n">
        <v>8.5</v>
      </c>
      <c r="F15" s="6" t="n"/>
      <c r="G15" s="6" t="n"/>
      <c r="H15" s="6" t="n">
        <v>8.5</v>
      </c>
    </row>
    <row r="16">
      <c r="A16" s="6" t="inlineStr">
        <is>
          <t>Share options at fair value</t>
        </is>
      </c>
      <c r="B16" s="6" t="n"/>
      <c r="C16" s="6" t="n"/>
      <c r="D16" s="6" t="n"/>
      <c r="E16" s="6" t="n"/>
      <c r="F16" s="6" t="n">
        <v>0.3</v>
      </c>
      <c r="G16" s="6" t="n"/>
      <c r="H16" s="6" t="n">
        <v>0.3</v>
      </c>
    </row>
    <row r="17">
      <c r="A17" s="5" t="inlineStr">
        <is>
          <t>Balance as at 31 December 2012 (FY2012 closing, Company basis)</t>
        </is>
      </c>
      <c r="B17" s="5" t="n">
        <v>0</v>
      </c>
      <c r="C17" s="5" t="n">
        <v>246.2</v>
      </c>
      <c r="D17" s="5" t="n">
        <v>-76.90000000000001</v>
      </c>
      <c r="E17" s="5" t="n">
        <v>8.6</v>
      </c>
      <c r="F17" s="5" t="n">
        <v>0.4</v>
      </c>
      <c r="G17" s="5" t="n"/>
      <c r="H17" s="5" t="n">
        <v>178.2</v>
      </c>
    </row>
    <row r="18">
      <c r="A18" s="6" t="inlineStr">
        <is>
          <t>Share issue</t>
        </is>
      </c>
      <c r="B18" s="6" t="n"/>
      <c r="C18" s="6" t="n">
        <v>284.3</v>
      </c>
      <c r="D18" s="6" t="n"/>
      <c r="E18" s="6" t="n"/>
      <c r="F18" s="6" t="n"/>
      <c r="G18" s="6" t="n"/>
      <c r="H18" s="6" t="n">
        <v>284.3</v>
      </c>
    </row>
    <row r="19">
      <c r="A19" s="6" t="inlineStr">
        <is>
          <t>Net loss for the year</t>
        </is>
      </c>
      <c r="B19" s="6" t="n"/>
      <c r="C19" s="6" t="n"/>
      <c r="D19" s="6" t="n">
        <v>-41.8</v>
      </c>
      <c r="E19" s="6" t="n"/>
      <c r="F19" s="6" t="n"/>
      <c r="G19" s="6" t="n"/>
      <c r="H19" s="6" t="n">
        <v>-41.8</v>
      </c>
    </row>
    <row r="20">
      <c r="A20" s="6" t="inlineStr">
        <is>
          <t>Other comprehensive expense relating to available-for-sale investments, net of tax</t>
        </is>
      </c>
      <c r="B20" s="6" t="n"/>
      <c r="C20" s="6" t="n"/>
      <c r="D20" s="6" t="n"/>
      <c r="E20" s="6" t="n">
        <v>-16.1</v>
      </c>
      <c r="F20" s="6" t="n"/>
      <c r="G20" s="6" t="n"/>
      <c r="H20" s="6" t="n">
        <v>-16.1</v>
      </c>
    </row>
    <row r="21">
      <c r="A21" s="6" t="inlineStr">
        <is>
          <t>Share options at fair value</t>
        </is>
      </c>
      <c r="B21" s="6" t="n"/>
      <c r="C21" s="6" t="n"/>
      <c r="D21" s="6" t="n"/>
      <c r="E21" s="6" t="n"/>
      <c r="F21" s="6" t="n">
        <v>0.4</v>
      </c>
      <c r="G21" s="6" t="n"/>
      <c r="H21" s="6" t="n">
        <v>0.4</v>
      </c>
    </row>
    <row r="22">
      <c r="A22" s="5" t="inlineStr">
        <is>
          <t>Balance as at 31 December 2013 (FY2013 closing, own contemporaneous figures, Group basis)</t>
        </is>
      </c>
      <c r="B22" s="5" t="n">
        <v>0</v>
      </c>
      <c r="C22" s="5" t="n">
        <v>530.5</v>
      </c>
      <c r="D22" s="5" t="n">
        <v>-118.7</v>
      </c>
      <c r="E22" s="5" t="n">
        <v>-7.5</v>
      </c>
      <c r="F22" s="5" t="n">
        <v>0.8</v>
      </c>
      <c r="G22" s="5" t="n"/>
      <c r="H22" s="5" t="n">
        <v>405</v>
      </c>
    </row>
    <row r="23">
      <c r="A23" s="5" t="inlineStr">
        <is>
          <t>At 1 January 2014 (FY2014 opening, restated, Group basis)</t>
        </is>
      </c>
      <c r="B23" s="5" t="n">
        <v>0</v>
      </c>
      <c r="C23" s="5" t="n">
        <v>530</v>
      </c>
      <c r="D23" s="5" t="n">
        <v>-123</v>
      </c>
      <c r="E23" s="5" t="n">
        <v>-8</v>
      </c>
      <c r="F23" s="5" t="n">
        <v>1</v>
      </c>
      <c r="G23" s="5" t="n"/>
      <c r="H23" s="5" t="n">
        <v>401</v>
      </c>
    </row>
    <row r="24">
      <c r="A24" s="6" t="inlineStr">
        <is>
          <t>Loss for the year</t>
        </is>
      </c>
      <c r="B24" s="6" t="n"/>
      <c r="C24" s="6" t="n"/>
      <c r="D24" s="6" t="n">
        <v>-41</v>
      </c>
      <c r="E24" s="6" t="n"/>
      <c r="F24" s="6" t="n"/>
      <c r="G24" s="6" t="n"/>
      <c r="H24" s="6" t="n">
        <v>-41</v>
      </c>
    </row>
    <row r="25">
      <c r="A25" s="6" t="inlineStr">
        <is>
          <t>Other comprehensive income relating to available-for-sale investments, net of tax</t>
        </is>
      </c>
      <c r="B25" s="6" t="n"/>
      <c r="C25" s="6" t="n"/>
      <c r="D25" s="6" t="n"/>
      <c r="E25" s="6" t="n">
        <v>3</v>
      </c>
      <c r="F25" s="6" t="n"/>
      <c r="G25" s="6" t="n"/>
      <c r="H25" s="6" t="n">
        <v>3</v>
      </c>
    </row>
    <row r="26">
      <c r="A26" s="6" t="inlineStr">
        <is>
          <t>Share issue</t>
        </is>
      </c>
      <c r="B26" s="6" t="n"/>
      <c r="C26" s="6" t="n">
        <v>99</v>
      </c>
      <c r="D26" s="6" t="n"/>
      <c r="E26" s="6" t="n"/>
      <c r="F26" s="6" t="n"/>
      <c r="G26" s="6" t="n"/>
      <c r="H26" s="6" t="n">
        <v>99</v>
      </c>
    </row>
    <row r="27">
      <c r="A27" s="6" t="inlineStr">
        <is>
          <t>Share options at fair value</t>
        </is>
      </c>
      <c r="B27" s="6" t="n"/>
      <c r="C27" s="6" t="n"/>
      <c r="D27" s="6" t="n"/>
      <c r="E27" s="6" t="n"/>
      <c r="F27" s="6" t="n">
        <v>1</v>
      </c>
      <c r="G27" s="6" t="n"/>
      <c r="H27" s="6" t="n">
        <v>1</v>
      </c>
    </row>
    <row r="28">
      <c r="A28" s="5" t="inlineStr">
        <is>
          <t>At 31 December 2014 (FY2014 closing, restated)</t>
        </is>
      </c>
      <c r="B28" s="5" t="n">
        <v>0</v>
      </c>
      <c r="C28" s="5" t="n">
        <v>629</v>
      </c>
      <c r="D28" s="5" t="n">
        <v>-164</v>
      </c>
      <c r="E28" s="5" t="n">
        <v>-4</v>
      </c>
      <c r="F28" s="5" t="n">
        <v>2</v>
      </c>
      <c r="G28" s="5" t="n"/>
      <c r="H28" s="5" t="n">
        <v>462</v>
      </c>
    </row>
    <row r="29">
      <c r="A29" s="6" t="inlineStr">
        <is>
          <t>Loss for the year</t>
        </is>
      </c>
      <c r="B29" s="6" t="n"/>
      <c r="C29" s="6" t="n"/>
      <c r="D29" s="6" t="n">
        <v>-49</v>
      </c>
      <c r="E29" s="6" t="n"/>
      <c r="F29" s="6" t="n"/>
      <c r="G29" s="6" t="n"/>
      <c r="H29" s="6" t="n">
        <v>-49</v>
      </c>
    </row>
    <row r="30">
      <c r="A30" s="6" t="inlineStr">
        <is>
          <t>Other comprehensive expense relating to available-for-sale investments, net of tax</t>
        </is>
      </c>
      <c r="B30" s="6" t="n"/>
      <c r="C30" s="6" t="n"/>
      <c r="D30" s="6" t="n"/>
      <c r="E30" s="6" t="n">
        <v>-8</v>
      </c>
      <c r="F30" s="6" t="n"/>
      <c r="G30" s="6" t="n"/>
      <c r="H30" s="6" t="n">
        <v>-8</v>
      </c>
    </row>
    <row r="31">
      <c r="A31" s="6" t="inlineStr">
        <is>
          <t>Share options at fair value</t>
        </is>
      </c>
      <c r="B31" s="6" t="n"/>
      <c r="C31" s="6" t="n"/>
      <c r="D31" s="6" t="n"/>
      <c r="E31" s="6" t="n"/>
      <c r="F31" s="6" t="n">
        <v>2</v>
      </c>
      <c r="G31" s="6" t="n"/>
      <c r="H31" s="6" t="n">
        <v>2</v>
      </c>
    </row>
    <row r="32">
      <c r="A32" s="5" t="inlineStr">
        <is>
          <t>At 31 December 2015 (FY2015 closing)</t>
        </is>
      </c>
      <c r="B32" s="5" t="n">
        <v>0</v>
      </c>
      <c r="C32" s="5" t="n">
        <v>629</v>
      </c>
      <c r="D32" s="5" t="n">
        <v>-213</v>
      </c>
      <c r="E32" s="5" t="n">
        <v>-12</v>
      </c>
      <c r="F32" s="5" t="n">
        <v>3</v>
      </c>
      <c r="G32" s="5" t="n"/>
      <c r="H32" s="5" t="n">
        <v>407</v>
      </c>
    </row>
    <row r="33">
      <c r="A33" s="6" t="inlineStr">
        <is>
          <t>Loss for the year</t>
        </is>
      </c>
      <c r="B33" s="6" t="n"/>
      <c r="C33" s="6" t="n"/>
      <c r="D33" s="6" t="n">
        <v>-17</v>
      </c>
      <c r="E33" s="6" t="n"/>
      <c r="F33" s="6" t="n"/>
      <c r="G33" s="6" t="n"/>
      <c r="H33" s="6" t="n">
        <v>-17</v>
      </c>
    </row>
    <row r="34">
      <c r="A34" s="6" t="inlineStr">
        <is>
          <t>Other comprehensive income relating to available-for-sale investments, net of tax</t>
        </is>
      </c>
      <c r="B34" s="6" t="n"/>
      <c r="C34" s="6" t="n"/>
      <c r="D34" s="6" t="n"/>
      <c r="E34" s="6" t="n">
        <v>9</v>
      </c>
      <c r="F34" s="6" t="n"/>
      <c r="G34" s="6" t="n"/>
      <c r="H34" s="6" t="n">
        <v>9</v>
      </c>
    </row>
    <row r="35">
      <c r="A35" s="6" t="inlineStr">
        <is>
          <t>Share issue</t>
        </is>
      </c>
      <c r="B35" s="6" t="n"/>
      <c r="C35" s="6" t="n">
        <v>404</v>
      </c>
      <c r="D35" s="6" t="n"/>
      <c r="E35" s="6" t="n"/>
      <c r="F35" s="6" t="n"/>
      <c r="G35" s="6" t="n"/>
      <c r="H35" s="6" t="n">
        <v>404</v>
      </c>
    </row>
    <row r="36">
      <c r="A36" s="6" t="inlineStr">
        <is>
          <t>Cost of share issue</t>
        </is>
      </c>
      <c r="B36" s="6" t="n"/>
      <c r="C36" s="6" t="n">
        <v>-5</v>
      </c>
      <c r="D36" s="6" t="n"/>
      <c r="E36" s="6" t="n"/>
      <c r="F36" s="6" t="n"/>
      <c r="G36" s="6" t="n"/>
      <c r="H36" s="6" t="n">
        <v>-5</v>
      </c>
    </row>
    <row r="37">
      <c r="A37" s="6" t="inlineStr">
        <is>
          <t>Share options at fair value</t>
        </is>
      </c>
      <c r="B37" s="6" t="n"/>
      <c r="C37" s="6" t="n"/>
      <c r="D37" s="6" t="n"/>
      <c r="E37" s="6" t="n"/>
      <c r="F37" s="6" t="n">
        <v>7</v>
      </c>
      <c r="G37" s="6" t="n"/>
      <c r="H37" s="6" t="n">
        <v>7</v>
      </c>
    </row>
    <row r="38">
      <c r="A38" s="5" t="inlineStr">
        <is>
          <t>At 31 December 2016 (FY2016 closing)</t>
        </is>
      </c>
      <c r="B38" s="5" t="n">
        <v>0</v>
      </c>
      <c r="C38" s="5" t="n">
        <v>1028</v>
      </c>
      <c r="D38" s="5" t="n">
        <v>-230</v>
      </c>
      <c r="E38" s="5" t="n">
        <v>-3</v>
      </c>
      <c r="F38" s="5" t="n">
        <v>11</v>
      </c>
      <c r="G38" s="5" t="n"/>
      <c r="H38" s="5" t="n">
        <v>805</v>
      </c>
    </row>
    <row r="39">
      <c r="A39" s="6" t="inlineStr">
        <is>
          <t>Profit for the year</t>
        </is>
      </c>
      <c r="B39" s="6" t="n"/>
      <c r="C39" s="6" t="n"/>
      <c r="D39" s="6" t="n">
        <v>11</v>
      </c>
      <c r="E39" s="6" t="n"/>
      <c r="F39" s="6" t="n"/>
      <c r="G39" s="6" t="n"/>
      <c r="H39" s="6" t="n">
        <v>11</v>
      </c>
    </row>
    <row r="40">
      <c r="A40" s="6" t="inlineStr">
        <is>
          <t>Other comprehensive expense relating to available-for-sale investments, net of tax</t>
        </is>
      </c>
      <c r="B40" s="6" t="n"/>
      <c r="C40" s="6" t="n"/>
      <c r="D40" s="6" t="n"/>
      <c r="E40" s="6" t="n">
        <v>-1</v>
      </c>
      <c r="F40" s="6" t="n"/>
      <c r="G40" s="6" t="n"/>
      <c r="H40" s="6" t="n">
        <v>-1</v>
      </c>
    </row>
    <row r="41">
      <c r="A41" s="6" t="inlineStr">
        <is>
          <t>Share issue</t>
        </is>
      </c>
      <c r="B41" s="6" t="n"/>
      <c r="C41" s="6" t="n">
        <v>279</v>
      </c>
      <c r="D41" s="6" t="n"/>
      <c r="E41" s="6" t="n"/>
      <c r="F41" s="6" t="n"/>
      <c r="G41" s="6" t="n"/>
      <c r="H41" s="6" t="n">
        <v>279</v>
      </c>
    </row>
    <row r="42">
      <c r="A42" s="6" t="inlineStr">
        <is>
          <t>Cost of share issue</t>
        </is>
      </c>
      <c r="B42" s="6" t="n"/>
      <c r="C42" s="6" t="n">
        <v>-3</v>
      </c>
      <c r="D42" s="6" t="n"/>
      <c r="E42" s="6" t="n"/>
      <c r="F42" s="6" t="n"/>
      <c r="G42" s="6" t="n"/>
      <c r="H42" s="6" t="n">
        <v>-3</v>
      </c>
    </row>
    <row r="43">
      <c r="A43" s="6" t="inlineStr">
        <is>
          <t>Net share option movements</t>
        </is>
      </c>
      <c r="B43" s="6" t="n"/>
      <c r="C43" s="6" t="n"/>
      <c r="D43" s="6" t="n"/>
      <c r="E43" s="6" t="n"/>
      <c r="F43" s="6" t="n">
        <v>6</v>
      </c>
      <c r="G43" s="6" t="n"/>
      <c r="H43" s="6" t="n">
        <v>6</v>
      </c>
    </row>
    <row r="44">
      <c r="A44" s="5" t="inlineStr">
        <is>
          <t>At 31 December 2017 (FY2017 closing)</t>
        </is>
      </c>
      <c r="B44" s="5" t="n">
        <v>0</v>
      </c>
      <c r="C44" s="5" t="n">
        <v>1304</v>
      </c>
      <c r="D44" s="5" t="n">
        <v>-219</v>
      </c>
      <c r="E44" s="5" t="n">
        <v>-4</v>
      </c>
      <c r="F44" s="5" t="n">
        <v>16</v>
      </c>
      <c r="G44" s="5" t="n"/>
      <c r="H44" s="5" t="n">
        <v>1096</v>
      </c>
    </row>
    <row r="45">
      <c r="A45" s="6" t="inlineStr">
        <is>
          <t>IFRS 9 transition adjustment, net of tax (AFS reserve replaced by FVOCI reserve)</t>
        </is>
      </c>
      <c r="B45" s="6" t="n"/>
      <c r="C45" s="6" t="n"/>
      <c r="D45" s="6" t="n">
        <v>-17</v>
      </c>
      <c r="E45" s="6" t="n">
        <v>5</v>
      </c>
      <c r="F45" s="6" t="n"/>
      <c r="G45" s="6" t="n"/>
      <c r="H45" s="6" t="n">
        <v>-12</v>
      </c>
    </row>
    <row r="46">
      <c r="A46" s="6" t="inlineStr">
        <is>
          <t>Profit for the year</t>
        </is>
      </c>
      <c r="B46" s="6" t="n"/>
      <c r="C46" s="6" t="n"/>
      <c r="D46" s="6" t="n">
        <v>27</v>
      </c>
      <c r="E46" s="6" t="n"/>
      <c r="F46" s="6" t="n"/>
      <c r="G46" s="6" t="n"/>
      <c r="H46" s="6" t="n">
        <v>27</v>
      </c>
    </row>
    <row r="47">
      <c r="A47" s="6" t="inlineStr">
        <is>
          <t>Other comprehensive expense relating to investment securities designated at FVOCI, net of tax</t>
        </is>
      </c>
      <c r="B47" s="6" t="n"/>
      <c r="C47" s="6" t="n"/>
      <c r="D47" s="6" t="n"/>
      <c r="E47" s="6" t="n">
        <v>-4</v>
      </c>
      <c r="F47" s="6" t="n"/>
      <c r="G47" s="6" t="n"/>
      <c r="H47" s="6" t="n">
        <v>-4</v>
      </c>
    </row>
    <row r="48">
      <c r="A48" s="6" t="inlineStr">
        <is>
          <t>Shares issued</t>
        </is>
      </c>
      <c r="B48" s="6" t="n"/>
      <c r="C48" s="6" t="n">
        <v>304</v>
      </c>
      <c r="D48" s="6" t="n"/>
      <c r="E48" s="6" t="n"/>
      <c r="F48" s="6" t="n"/>
      <c r="G48" s="6" t="n"/>
      <c r="H48" s="6" t="n">
        <v>304</v>
      </c>
    </row>
    <row r="49">
      <c r="A49" s="6" t="inlineStr">
        <is>
          <t>Cost of shares issued</t>
        </is>
      </c>
      <c r="B49" s="6" t="n"/>
      <c r="C49" s="6" t="n">
        <v>-3</v>
      </c>
      <c r="D49" s="6" t="n"/>
      <c r="E49" s="6" t="n"/>
      <c r="F49" s="6" t="n"/>
      <c r="G49" s="6" t="n"/>
      <c r="H49" s="6" t="n">
        <v>-3</v>
      </c>
    </row>
    <row r="50">
      <c r="A50" s="6" t="inlineStr">
        <is>
          <t>Net share option movements</t>
        </is>
      </c>
      <c r="B50" s="6" t="n"/>
      <c r="C50" s="6" t="n"/>
      <c r="D50" s="6" t="n"/>
      <c r="E50" s="6" t="n"/>
      <c r="F50" s="6" t="n">
        <v>-6</v>
      </c>
      <c r="G50" s="6" t="n"/>
      <c r="H50" s="6" t="n">
        <v>-6</v>
      </c>
    </row>
    <row r="51">
      <c r="A51" s="5" t="inlineStr">
        <is>
          <t>At 31 December 2018 (FY2018 closing)</t>
        </is>
      </c>
      <c r="B51" s="5" t="n">
        <v>0</v>
      </c>
      <c r="C51" s="5" t="n">
        <v>1605</v>
      </c>
      <c r="D51" s="5" t="n">
        <v>-209</v>
      </c>
      <c r="E51" s="5" t="n">
        <v>-3</v>
      </c>
      <c r="F51" s="5" t="n">
        <v>10</v>
      </c>
      <c r="G51" s="5" t="n"/>
      <c r="H51" s="5" t="n">
        <v>1403</v>
      </c>
    </row>
    <row r="52">
      <c r="A52" s="6" t="inlineStr">
        <is>
          <t>Loss for the year</t>
        </is>
      </c>
      <c r="B52" s="6" t="n"/>
      <c r="C52" s="6" t="n"/>
      <c r="D52" s="6" t="n">
        <v>-183</v>
      </c>
      <c r="E52" s="6" t="n"/>
      <c r="F52" s="6" t="n"/>
      <c r="G52" s="6" t="n"/>
      <c r="H52" s="6" t="n">
        <v>-183</v>
      </c>
    </row>
    <row r="53">
      <c r="A53" s="6" t="inlineStr">
        <is>
          <t>Shares issued</t>
        </is>
      </c>
      <c r="B53" s="6" t="n"/>
      <c r="C53" s="6" t="n">
        <v>375</v>
      </c>
      <c r="D53" s="6" t="n"/>
      <c r="E53" s="6" t="n"/>
      <c r="F53" s="6" t="n"/>
      <c r="G53" s="6" t="n"/>
      <c r="H53" s="6" t="n">
        <v>375</v>
      </c>
    </row>
    <row r="54">
      <c r="A54" s="6" t="inlineStr">
        <is>
          <t>Cost of shares issued</t>
        </is>
      </c>
      <c r="B54" s="6" t="n"/>
      <c r="C54" s="6" t="n">
        <v>-16</v>
      </c>
      <c r="D54" s="6" t="n"/>
      <c r="E54" s="6" t="n"/>
      <c r="F54" s="6" t="n"/>
      <c r="G54" s="6" t="n"/>
      <c r="H54" s="6" t="n">
        <v>-16</v>
      </c>
    </row>
    <row r="55">
      <c r="A55" s="6" t="inlineStr">
        <is>
          <t>Net share option movements</t>
        </is>
      </c>
      <c r="B55" s="6" t="n"/>
      <c r="C55" s="6" t="n"/>
      <c r="D55" s="6" t="n"/>
      <c r="E55" s="6" t="n"/>
      <c r="F55" s="6" t="n">
        <v>4</v>
      </c>
      <c r="G55" s="6" t="n"/>
      <c r="H55" s="6" t="n">
        <v>4</v>
      </c>
    </row>
    <row r="56">
      <c r="A56" s="5" t="inlineStr">
        <is>
          <t>At 31 December 2019 (FY2019 closing)</t>
        </is>
      </c>
      <c r="B56" s="5" t="n">
        <v>0</v>
      </c>
      <c r="C56" s="5" t="n">
        <v>1964</v>
      </c>
      <c r="D56" s="5" t="n">
        <v>-392</v>
      </c>
      <c r="E56" s="5" t="n">
        <v>-3</v>
      </c>
      <c r="F56" s="5" t="n">
        <v>14</v>
      </c>
      <c r="G56" s="5" t="n"/>
      <c r="H56" s="5" t="n">
        <v>1583</v>
      </c>
    </row>
    <row r="57">
      <c r="A57" s="6" t="inlineStr">
        <is>
          <t>Loss for the year</t>
        </is>
      </c>
      <c r="B57" s="6" t="n"/>
      <c r="C57" s="6" t="n"/>
      <c r="D57" s="6" t="n">
        <v>-302</v>
      </c>
      <c r="E57" s="6" t="n"/>
      <c r="F57" s="6" t="n"/>
      <c r="G57" s="6" t="n"/>
      <c r="H57" s="6" t="n">
        <v>-302</v>
      </c>
    </row>
    <row r="58">
      <c r="A58" s="6" t="inlineStr">
        <is>
          <t>Other comprehensive income relating to investment securities designated at FVOCI, net of tax</t>
        </is>
      </c>
      <c r="B58" s="6" t="n"/>
      <c r="C58" s="6" t="n"/>
      <c r="D58" s="6" t="n"/>
      <c r="E58" s="6" t="n">
        <v>6</v>
      </c>
      <c r="F58" s="6" t="n"/>
      <c r="G58" s="6" t="n"/>
      <c r="H58" s="6" t="n">
        <v>6</v>
      </c>
    </row>
    <row r="59">
      <c r="A59" s="6" t="inlineStr">
        <is>
          <t>Net share option movements</t>
        </is>
      </c>
      <c r="B59" s="6" t="n"/>
      <c r="C59" s="6" t="n"/>
      <c r="D59" s="6" t="n"/>
      <c r="E59" s="6" t="n"/>
      <c r="F59" s="6" t="n">
        <v>2</v>
      </c>
      <c r="G59" s="6" t="n"/>
      <c r="H59" s="6" t="n">
        <v>2</v>
      </c>
    </row>
    <row r="60">
      <c r="A60" s="5" t="inlineStr">
        <is>
          <t>At 31 December 2020 (FY2020 closing, Group basis)</t>
        </is>
      </c>
      <c r="B60" s="5" t="n">
        <v>0</v>
      </c>
      <c r="C60" s="5" t="n">
        <v>1964</v>
      </c>
      <c r="D60" s="5" t="n">
        <v>-694</v>
      </c>
      <c r="E60" s="5" t="n">
        <v>3</v>
      </c>
      <c r="F60" s="5" t="n">
        <v>16</v>
      </c>
      <c r="G60" s="5" t="n"/>
      <c r="H60" s="5" t="n">
        <v>1289</v>
      </c>
    </row>
    <row r="61">
      <c r="A61" s="5" t="inlineStr">
        <is>
          <t>At 1 January 2021 (FY2021 opening)</t>
        </is>
      </c>
      <c r="B61" s="5" t="n">
        <v>0</v>
      </c>
      <c r="C61" s="5" t="n">
        <v>1964</v>
      </c>
      <c r="D61" s="5" t="n">
        <v>-689</v>
      </c>
      <c r="E61" s="5" t="n">
        <v>3</v>
      </c>
      <c r="F61" s="5" t="n">
        <v>16</v>
      </c>
      <c r="G61" s="5" t="n"/>
      <c r="H61" s="5" t="n">
        <v>1294</v>
      </c>
    </row>
    <row r="62">
      <c r="A62" s="6" t="inlineStr">
        <is>
          <t>Loss for the year</t>
        </is>
      </c>
      <c r="B62" s="6" t="n"/>
      <c r="C62" s="6" t="n"/>
      <c r="D62" s="6" t="n">
        <v>-252</v>
      </c>
      <c r="E62" s="6" t="n"/>
      <c r="F62" s="6" t="n"/>
      <c r="G62" s="6" t="n"/>
      <c r="H62" s="6" t="n">
        <v>-252</v>
      </c>
    </row>
    <row r="63">
      <c r="A63" s="6" t="inlineStr">
        <is>
          <t>Other comprehensive expense relating to investment securities designated at FVOCI, net of tax</t>
        </is>
      </c>
      <c r="B63" s="6" t="n"/>
      <c r="C63" s="6" t="n"/>
      <c r="D63" s="6" t="n"/>
      <c r="E63" s="6" t="n">
        <v>-8</v>
      </c>
      <c r="F63" s="6" t="n"/>
      <c r="G63" s="6" t="n"/>
      <c r="H63" s="6" t="n">
        <v>-8</v>
      </c>
    </row>
    <row r="64">
      <c r="A64" s="6" t="inlineStr">
        <is>
          <t>Net share option movements</t>
        </is>
      </c>
      <c r="B64" s="6" t="n"/>
      <c r="C64" s="6" t="n"/>
      <c r="D64" s="6" t="n"/>
      <c r="E64" s="6" t="n"/>
      <c r="F64" s="6" t="n">
        <v>2</v>
      </c>
      <c r="G64" s="6" t="n"/>
      <c r="H64" s="6" t="n">
        <v>2</v>
      </c>
    </row>
    <row r="65">
      <c r="A65" s="5" t="inlineStr">
        <is>
          <t>At 31 December 2021 (FY2021 closing)</t>
        </is>
      </c>
      <c r="B65" s="5" t="n">
        <v>0</v>
      </c>
      <c r="C65" s="5" t="n">
        <v>1964</v>
      </c>
      <c r="D65" s="5" t="n">
        <v>-941</v>
      </c>
      <c r="E65" s="5" t="n">
        <v>-5</v>
      </c>
      <c r="F65" s="5" t="n">
        <v>18</v>
      </c>
      <c r="G65" s="5" t="n"/>
      <c r="H65" s="5" t="n">
        <v>1036</v>
      </c>
    </row>
    <row r="66">
      <c r="A66" s="6" t="inlineStr">
        <is>
          <t>Loss for the year</t>
        </is>
      </c>
      <c r="B66" s="6" t="n"/>
      <c r="C66" s="6" t="n"/>
      <c r="D66" s="6" t="n">
        <v>-73</v>
      </c>
      <c r="E66" s="6" t="n"/>
      <c r="F66" s="6" t="n"/>
      <c r="G66" s="6" t="n"/>
      <c r="H66" s="6" t="n">
        <v>-73</v>
      </c>
    </row>
    <row r="67">
      <c r="A67" s="6" t="inlineStr">
        <is>
          <t>Other comprehensive expense relating to investment securities designated at FVOCI, net of tax</t>
        </is>
      </c>
      <c r="B67" s="6" t="n"/>
      <c r="C67" s="6" t="n"/>
      <c r="D67" s="6" t="n"/>
      <c r="E67" s="6" t="n">
        <v>-8</v>
      </c>
      <c r="F67" s="6" t="n"/>
      <c r="G67" s="6" t="n"/>
      <c r="H67" s="6" t="n">
        <v>-8</v>
      </c>
    </row>
    <row r="68">
      <c r="A68" s="6" t="inlineStr">
        <is>
          <t>Net share option movements</t>
        </is>
      </c>
      <c r="B68" s="6" t="n"/>
      <c r="C68" s="6" t="n"/>
      <c r="D68" s="6" t="n"/>
      <c r="E68" s="6" t="n"/>
      <c r="F68" s="6" t="n">
        <v>2</v>
      </c>
      <c r="G68" s="6" t="n"/>
      <c r="H68" s="6" t="n">
        <v>2</v>
      </c>
    </row>
    <row r="69">
      <c r="A69" s="5" t="inlineStr">
        <is>
          <t>At 31 December 2022 (FY2022 closing)</t>
        </is>
      </c>
      <c r="B69" s="5" t="n">
        <v>0</v>
      </c>
      <c r="C69" s="5" t="n">
        <v>1964</v>
      </c>
      <c r="D69" s="5" t="n">
        <v>-1014</v>
      </c>
      <c r="E69" s="5" t="n">
        <v>-13</v>
      </c>
      <c r="F69" s="5" t="n">
        <v>20</v>
      </c>
      <c r="G69" s="5" t="n"/>
      <c r="H69" s="5" t="n">
        <v>957</v>
      </c>
    </row>
    <row r="70">
      <c r="A70" s="6" t="inlineStr">
        <is>
          <t>Profit for the year</t>
        </is>
      </c>
      <c r="B70" s="6" t="n"/>
      <c r="C70" s="6" t="n"/>
      <c r="D70" s="6" t="n">
        <v>46</v>
      </c>
      <c r="E70" s="6" t="n"/>
      <c r="F70" s="6" t="n"/>
      <c r="G70" s="6" t="n"/>
      <c r="H70" s="6" t="n">
        <v>46</v>
      </c>
    </row>
    <row r="71">
      <c r="A71" s="6" t="inlineStr">
        <is>
          <t>Other comprehensive income relating to investment securities designated at FVOCI, net of tax</t>
        </is>
      </c>
      <c r="B71" s="6" t="n"/>
      <c r="C71" s="6" t="n"/>
      <c r="D71" s="6" t="n"/>
      <c r="E71" s="6" t="n">
        <v>2</v>
      </c>
      <c r="F71" s="6" t="n"/>
      <c r="G71" s="6" t="n"/>
      <c r="H71" s="6" t="n">
        <v>2</v>
      </c>
    </row>
    <row r="72">
      <c r="A72" s="6" t="inlineStr">
        <is>
          <t>Net share option movements</t>
        </is>
      </c>
      <c r="B72" s="6" t="n"/>
      <c r="C72" s="6" t="n"/>
      <c r="D72" s="6" t="n"/>
      <c r="E72" s="6" t="n"/>
      <c r="F72" s="6" t="n">
        <v>3</v>
      </c>
      <c r="G72" s="6" t="n"/>
      <c r="H72" s="6" t="n">
        <v>3</v>
      </c>
    </row>
    <row r="73">
      <c r="A73" s="6" t="inlineStr">
        <is>
          <t>Transfer of share option reserve upon insertion of new holding company</t>
        </is>
      </c>
      <c r="B73" s="6" t="n"/>
      <c r="C73" s="6" t="n"/>
      <c r="D73" s="6" t="n"/>
      <c r="E73" s="6" t="n"/>
      <c r="F73" s="6" t="n">
        <v>-23</v>
      </c>
      <c r="G73" s="6" t="n">
        <v>23</v>
      </c>
      <c r="H73" s="6" t="n">
        <v>0</v>
      </c>
    </row>
    <row r="74">
      <c r="A74" s="6" t="inlineStr">
        <is>
          <t>Cancellation of Metro Bank PLC share capital and share premium</t>
        </is>
      </c>
      <c r="B74" s="6" t="n"/>
      <c r="C74" s="6" t="n">
        <v>-1964</v>
      </c>
      <c r="D74" s="6" t="n">
        <v>1964</v>
      </c>
      <c r="E74" s="6" t="n"/>
      <c r="F74" s="6" t="n"/>
      <c r="G74" s="6" t="n"/>
      <c r="H74" s="6" t="n">
        <v>0</v>
      </c>
    </row>
    <row r="75">
      <c r="A75" s="6" t="inlineStr">
        <is>
          <t>Shares issued</t>
        </is>
      </c>
      <c r="B75" s="6" t="n"/>
      <c r="C75" s="6" t="n">
        <v>144</v>
      </c>
      <c r="D75" s="6" t="n"/>
      <c r="E75" s="6" t="n"/>
      <c r="F75" s="6" t="n"/>
      <c r="G75" s="6" t="n"/>
      <c r="H75" s="6" t="n">
        <v>144</v>
      </c>
    </row>
    <row r="76">
      <c r="A76" s="5" t="inlineStr">
        <is>
          <t>At 31 December 2023 (FY2023 closing)</t>
        </is>
      </c>
      <c r="B76" s="5" t="n">
        <v>0</v>
      </c>
      <c r="C76" s="5" t="n">
        <v>144</v>
      </c>
      <c r="D76" s="5" t="n">
        <v>996</v>
      </c>
      <c r="E76" s="5" t="n">
        <v>-11</v>
      </c>
      <c r="F76" s="5" t="n">
        <v>0</v>
      </c>
      <c r="G76" s="5" t="n">
        <v>23</v>
      </c>
      <c r="H76" s="5" t="n">
        <v>1152</v>
      </c>
    </row>
    <row r="78" ht="150" customHeight="1">
      <c r="A78"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t>
        </is>
      </c>
    </row>
  </sheetData>
  <mergeCells count="1">
    <mergeCell ref="A78:H7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4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Cash Flow Statement</t>
        </is>
      </c>
    </row>
    <row r="2">
      <c r="A2" s="2" t="inlineStr">
        <is>
          <t>£m; 31 December year-end. FY2010-FY2012 are Company (own, pre-subsidiary); FY2013 is Group (HD-074); FY2014-FY2020 are Group/consolidated (as reported, itemized adjustments); FY2021-FY2023 are Company/standalone (as reported, collapsed to 'Adjustments for non-cash items' plus memo interest received/paid) - see HD-049 basis note. FY2024-FY2025 standalone accounts not located.</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Reconciliation of profit/(loss) before tax to net cash flows from operating activities</t>
        </is>
      </c>
      <c r="B4" s="6" t="n"/>
      <c r="C4" s="6" t="n"/>
      <c r="D4" s="6" t="n"/>
      <c r="E4" s="6" t="n"/>
      <c r="F4" s="6" t="n"/>
      <c r="G4" s="6" t="n"/>
      <c r="H4" s="6" t="n"/>
      <c r="I4" s="6" t="n"/>
      <c r="J4" s="6" t="n"/>
      <c r="K4" s="6" t="n"/>
      <c r="L4" s="6" t="n"/>
      <c r="M4" s="6" t="n"/>
      <c r="N4" s="6" t="n"/>
      <c r="O4" s="6" t="n"/>
      <c r="P4" s="6" t="n"/>
      <c r="Q4" s="6" t="n"/>
    </row>
    <row r="5">
      <c r="A5" s="6" t="inlineStr">
        <is>
          <t>Profit/(loss) before tax</t>
        </is>
      </c>
      <c r="B5" s="6" t="n"/>
      <c r="C5" s="6" t="n"/>
      <c r="D5" s="6" t="n">
        <v>46</v>
      </c>
      <c r="E5" s="6" t="n">
        <v>-71</v>
      </c>
      <c r="F5" s="6" t="n">
        <v>-245</v>
      </c>
      <c r="G5" s="6" t="n">
        <v>-311</v>
      </c>
      <c r="H5" s="6" t="n">
        <v>-131</v>
      </c>
      <c r="I5" s="6" t="n">
        <v>41</v>
      </c>
      <c r="J5" s="6" t="n">
        <v>19</v>
      </c>
      <c r="K5" s="6" t="n">
        <v>-17</v>
      </c>
      <c r="L5" s="6" t="n">
        <v>-57</v>
      </c>
      <c r="M5" s="6" t="n">
        <v>-49</v>
      </c>
      <c r="N5" s="6" t="n">
        <v>-52.2</v>
      </c>
      <c r="O5" s="6" t="n">
        <v>-45.7</v>
      </c>
      <c r="P5" s="6" t="n">
        <v>-33.1</v>
      </c>
      <c r="Q5" s="6" t="n">
        <v>-23.4</v>
      </c>
    </row>
    <row r="6">
      <c r="A6" s="6" t="inlineStr">
        <is>
          <t>Impairment and write-offs of property, plant, equipment and intangible assets</t>
        </is>
      </c>
      <c r="B6" s="6" t="n"/>
      <c r="C6" s="6" t="n"/>
      <c r="D6" s="6" t="n"/>
      <c r="E6" s="6" t="n"/>
      <c r="F6" s="6" t="n"/>
      <c r="G6" s="6" t="n">
        <v>41</v>
      </c>
      <c r="H6" s="6" t="n">
        <v>78</v>
      </c>
      <c r="I6" s="6" t="n">
        <v>5</v>
      </c>
      <c r="J6" s="6" t="n">
        <v>1</v>
      </c>
      <c r="K6" s="6" t="n">
        <v>1</v>
      </c>
      <c r="L6" s="6" t="n">
        <v>9</v>
      </c>
      <c r="M6" s="6" t="n"/>
      <c r="N6" s="6" t="n"/>
      <c r="O6" s="6" t="n"/>
      <c r="P6" s="6" t="n"/>
      <c r="Q6" s="6" t="n"/>
    </row>
    <row r="7">
      <c r="A7" s="6" t="inlineStr">
        <is>
          <t>Interest on lease liabilities</t>
        </is>
      </c>
      <c r="B7" s="6" t="n"/>
      <c r="C7" s="6" t="n"/>
      <c r="D7" s="6" t="n"/>
      <c r="E7" s="6" t="n"/>
      <c r="F7" s="6" t="n"/>
      <c r="G7" s="6" t="n">
        <v>19</v>
      </c>
      <c r="H7" s="6" t="n">
        <v>18</v>
      </c>
      <c r="I7" s="6" t="n"/>
      <c r="J7" s="6" t="n"/>
      <c r="K7" s="6" t="n"/>
      <c r="L7" s="6" t="n"/>
      <c r="M7" s="6" t="n"/>
      <c r="N7" s="6" t="n"/>
      <c r="O7" s="6" t="n"/>
      <c r="P7" s="6" t="n"/>
      <c r="Q7" s="6" t="n"/>
    </row>
    <row r="8">
      <c r="A8" s="6" t="inlineStr">
        <is>
          <t>Depreciation and amortisation (cash flow add-back)</t>
        </is>
      </c>
      <c r="B8" s="6" t="n"/>
      <c r="C8" s="6" t="n"/>
      <c r="D8" s="6" t="n"/>
      <c r="E8" s="6" t="n"/>
      <c r="F8" s="6" t="n"/>
      <c r="G8" s="6" t="n">
        <v>74</v>
      </c>
      <c r="H8" s="6" t="n">
        <v>76</v>
      </c>
      <c r="I8" s="6" t="n">
        <v>45</v>
      </c>
      <c r="J8" s="6" t="n">
        <v>33</v>
      </c>
      <c r="K8" s="6" t="n">
        <v>22</v>
      </c>
      <c r="L8" s="6" t="n">
        <v>18</v>
      </c>
      <c r="M8" s="6" t="n">
        <v>14</v>
      </c>
      <c r="N8" s="6" t="n">
        <v>10.4</v>
      </c>
      <c r="O8" s="6" t="n">
        <v>6.2</v>
      </c>
      <c r="P8" s="6" t="n">
        <v>3.7</v>
      </c>
      <c r="Q8" s="6" t="n">
        <v>1.5</v>
      </c>
    </row>
    <row r="9">
      <c r="A9" s="6" t="inlineStr">
        <is>
          <t>Share option charge</t>
        </is>
      </c>
      <c r="B9" s="6" t="n"/>
      <c r="C9" s="6" t="n"/>
      <c r="D9" s="6" t="n"/>
      <c r="E9" s="6" t="n"/>
      <c r="F9" s="6" t="n"/>
      <c r="G9" s="6" t="n">
        <v>2</v>
      </c>
      <c r="H9" s="6" t="n">
        <v>4</v>
      </c>
      <c r="I9" s="6" t="n">
        <v>5</v>
      </c>
      <c r="J9" s="6" t="n">
        <v>3</v>
      </c>
      <c r="K9" s="6" t="n">
        <v>2</v>
      </c>
      <c r="L9" s="6" t="n">
        <v>1</v>
      </c>
      <c r="M9" s="6" t="n">
        <v>1</v>
      </c>
      <c r="N9" s="6" t="n">
        <v>0.4</v>
      </c>
      <c r="O9" s="6" t="n">
        <v>0.3</v>
      </c>
      <c r="P9" s="6" t="n">
        <v>0.1</v>
      </c>
      <c r="Q9" s="6" t="n"/>
    </row>
    <row r="10">
      <c r="A10" s="6" t="inlineStr">
        <is>
          <t>Grant income recognised in the income statement</t>
        </is>
      </c>
      <c r="B10" s="6" t="n"/>
      <c r="C10" s="6" t="n"/>
      <c r="D10" s="6" t="n"/>
      <c r="E10" s="6" t="n"/>
      <c r="F10" s="6" t="n"/>
      <c r="G10" s="6" t="n">
        <v>-24</v>
      </c>
      <c r="H10" s="6" t="n">
        <v>-16</v>
      </c>
      <c r="I10" s="6" t="n"/>
      <c r="J10" s="6" t="n"/>
      <c r="K10" s="6" t="n"/>
      <c r="L10" s="6" t="n"/>
      <c r="M10" s="6" t="n"/>
      <c r="N10" s="6" t="n"/>
      <c r="O10" s="6" t="n"/>
      <c r="P10" s="6" t="n"/>
      <c r="Q10" s="6" t="n"/>
    </row>
    <row r="11">
      <c r="A11" s="6" t="inlineStr">
        <is>
          <t>Amounts provided for (net of amounts released)</t>
        </is>
      </c>
      <c r="B11" s="6" t="n"/>
      <c r="C11" s="6" t="n"/>
      <c r="D11" s="6" t="n"/>
      <c r="E11" s="6" t="n"/>
      <c r="F11" s="6" t="n"/>
      <c r="G11" s="6" t="n">
        <v>8</v>
      </c>
      <c r="H11" s="6" t="n">
        <v>12</v>
      </c>
      <c r="I11" s="6" t="n"/>
      <c r="J11" s="6" t="n"/>
      <c r="K11" s="6" t="n"/>
      <c r="L11" s="6" t="n"/>
      <c r="M11" s="6" t="n"/>
      <c r="N11" s="6" t="n"/>
      <c r="O11" s="6" t="n"/>
      <c r="P11" s="6" t="n"/>
      <c r="Q11" s="6" t="n"/>
    </row>
    <row r="12">
      <c r="A12" s="6" t="inlineStr">
        <is>
          <t>Gain on sale of securities and fair value gains on derivatives</t>
        </is>
      </c>
      <c r="B12" s="6" t="n"/>
      <c r="C12" s="6" t="n"/>
      <c r="D12" s="6" t="n"/>
      <c r="E12" s="6" t="n"/>
      <c r="F12" s="6" t="n"/>
      <c r="G12" s="6" t="n">
        <v>-73</v>
      </c>
      <c r="H12" s="6" t="n">
        <v>-2</v>
      </c>
      <c r="I12" s="6" t="n">
        <v>-11</v>
      </c>
      <c r="J12" s="6" t="n">
        <v>-4</v>
      </c>
      <c r="K12" s="6" t="n">
        <v>-5</v>
      </c>
      <c r="L12" s="6" t="n">
        <v>-6</v>
      </c>
      <c r="M12" s="6" t="n">
        <v>-5</v>
      </c>
      <c r="N12" s="6" t="n">
        <v>-6.5</v>
      </c>
      <c r="O12" s="6" t="n">
        <v>-1.7</v>
      </c>
      <c r="P12" s="6" t="n">
        <v>-2.3</v>
      </c>
      <c r="Q12" s="6" t="n"/>
    </row>
    <row r="13">
      <c r="A13" s="6" t="inlineStr">
        <is>
          <t>Accrued interest on and amortisation of investment securities</t>
        </is>
      </c>
      <c r="B13" s="6" t="n"/>
      <c r="C13" s="6" t="n"/>
      <c r="D13" s="6" t="n"/>
      <c r="E13" s="6" t="n"/>
      <c r="F13" s="6" t="n"/>
      <c r="G13" s="6" t="n">
        <v>3</v>
      </c>
      <c r="H13" s="6" t="n">
        <v>-8</v>
      </c>
      <c r="I13" s="6" t="n">
        <v>-7</v>
      </c>
      <c r="J13" s="6" t="n">
        <v>2</v>
      </c>
      <c r="K13" s="6" t="n">
        <v>-4</v>
      </c>
      <c r="L13" s="6" t="n">
        <v>9</v>
      </c>
      <c r="M13" s="6" t="n">
        <v>-4</v>
      </c>
      <c r="N13" s="6" t="n">
        <v>-4.4</v>
      </c>
      <c r="O13" s="6" t="n">
        <v>-4.1</v>
      </c>
      <c r="P13" s="6" t="n"/>
      <c r="Q13" s="6" t="n"/>
    </row>
    <row r="14">
      <c r="A14" s="6" t="inlineStr">
        <is>
          <t>Adjustments for non-cash items</t>
        </is>
      </c>
      <c r="B14" s="6" t="n"/>
      <c r="C14" s="6" t="n"/>
      <c r="D14" s="6" t="n">
        <v>-376</v>
      </c>
      <c r="E14" s="6" t="n">
        <v>-259</v>
      </c>
      <c r="F14" s="6" t="n">
        <v>-132</v>
      </c>
      <c r="G14" s="6" t="n"/>
      <c r="H14" s="6" t="n"/>
      <c r="I14" s="6" t="n"/>
      <c r="J14" s="6" t="n"/>
      <c r="K14" s="6" t="n"/>
      <c r="L14" s="6" t="n"/>
      <c r="M14" s="6" t="n"/>
      <c r="N14" s="6" t="n"/>
      <c r="O14" s="6" t="n"/>
      <c r="P14" s="6" t="n"/>
      <c r="Q14" s="6" t="n"/>
    </row>
    <row r="15">
      <c r="A15" s="6" t="inlineStr">
        <is>
          <t>Interest received</t>
        </is>
      </c>
      <c r="B15" s="6" t="n"/>
      <c r="C15" s="6" t="n"/>
      <c r="D15" s="6" t="n">
        <v>834</v>
      </c>
      <c r="E15" s="6" t="n">
        <v>538</v>
      </c>
      <c r="F15" s="6" t="n">
        <v>394</v>
      </c>
      <c r="G15" s="6" t="n"/>
      <c r="H15" s="6" t="n"/>
      <c r="I15" s="6" t="n"/>
      <c r="J15" s="6" t="n"/>
      <c r="K15" s="6" t="n"/>
      <c r="L15" s="6" t="n"/>
      <c r="M15" s="6" t="n"/>
      <c r="N15" s="6" t="n"/>
      <c r="O15" s="6" t="n"/>
      <c r="P15" s="6" t="n"/>
      <c r="Q15" s="6" t="n"/>
    </row>
    <row r="16">
      <c r="A16" s="6" t="inlineStr">
        <is>
          <t>Interest paid</t>
        </is>
      </c>
      <c r="B16" s="6" t="n"/>
      <c r="C16" s="6" t="n"/>
      <c r="D16" s="6" t="n">
        <v>-370</v>
      </c>
      <c r="E16" s="6" t="n">
        <v>-124</v>
      </c>
      <c r="F16" s="6" t="n">
        <v>-126</v>
      </c>
      <c r="G16" s="6" t="n"/>
      <c r="H16" s="6" t="n"/>
      <c r="I16" s="6" t="n"/>
      <c r="J16" s="6" t="n"/>
      <c r="K16" s="6" t="n"/>
      <c r="L16" s="6" t="n"/>
      <c r="M16" s="6" t="n"/>
      <c r="N16" s="6" t="n"/>
      <c r="O16" s="6" t="n"/>
      <c r="P16" s="6" t="n"/>
      <c r="Q16" s="6" t="n"/>
    </row>
    <row r="17">
      <c r="A17" s="6" t="inlineStr">
        <is>
          <t>Changes in loans and advances to customers</t>
        </is>
      </c>
      <c r="B17" s="6" t="n"/>
      <c r="C17" s="6" t="n"/>
      <c r="D17" s="6" t="n"/>
      <c r="E17" s="6" t="n"/>
      <c r="F17" s="6" t="n"/>
      <c r="G17" s="6" t="n">
        <v>2591</v>
      </c>
      <c r="H17" s="6" t="n">
        <v>-445</v>
      </c>
      <c r="I17" s="6" t="n"/>
      <c r="J17" s="6" t="n"/>
      <c r="K17" s="6" t="n"/>
      <c r="L17" s="6" t="n"/>
      <c r="M17" s="6" t="n"/>
      <c r="N17" s="6" t="n"/>
      <c r="O17" s="6" t="n"/>
      <c r="P17" s="6" t="n"/>
      <c r="Q17" s="6" t="n"/>
    </row>
    <row r="18">
      <c r="A18" s="6" t="inlineStr">
        <is>
          <t>Changes in deposits from customers</t>
        </is>
      </c>
      <c r="B18" s="6" t="n"/>
      <c r="C18" s="6" t="n"/>
      <c r="D18" s="6" t="n"/>
      <c r="E18" s="6" t="n"/>
      <c r="F18" s="6" t="n"/>
      <c r="G18" s="6" t="n">
        <v>1595</v>
      </c>
      <c r="H18" s="6" t="n">
        <v>-1184</v>
      </c>
      <c r="I18" s="6" t="n"/>
      <c r="J18" s="6" t="n"/>
      <c r="K18" s="6" t="n"/>
      <c r="L18" s="6" t="n"/>
      <c r="M18" s="6" t="n"/>
      <c r="N18" s="6" t="n"/>
      <c r="O18" s="6" t="n"/>
      <c r="P18" s="6" t="n"/>
      <c r="Q18" s="6" t="n"/>
    </row>
    <row r="19">
      <c r="A19" s="6" t="inlineStr">
        <is>
          <t>Changes in other operating assets</t>
        </is>
      </c>
      <c r="B19" s="6" t="n"/>
      <c r="C19" s="6" t="n"/>
      <c r="D19" s="6" t="n">
        <v>729</v>
      </c>
      <c r="E19" s="6" t="n">
        <v>-842</v>
      </c>
      <c r="F19" s="6" t="n">
        <v>2613</v>
      </c>
      <c r="G19" s="6" t="n">
        <v>-2820</v>
      </c>
      <c r="H19" s="6" t="n">
        <v>-26</v>
      </c>
      <c r="I19" s="6" t="n">
        <v>-4651</v>
      </c>
      <c r="J19" s="6" t="n">
        <v>-3755</v>
      </c>
      <c r="K19" s="6" t="n">
        <v>-2341</v>
      </c>
      <c r="L19" s="6" t="n">
        <v>-1971</v>
      </c>
      <c r="M19" s="6" t="n">
        <v>-856</v>
      </c>
      <c r="N19" s="6" t="n">
        <v>-591.9</v>
      </c>
      <c r="O19" s="6" t="n">
        <v>-129.9</v>
      </c>
      <c r="P19" s="6" t="n">
        <v>-44.6</v>
      </c>
      <c r="Q19" s="6" t="n">
        <v>-1.6</v>
      </c>
    </row>
    <row r="20">
      <c r="A20" s="6" t="inlineStr">
        <is>
          <t>Changes in other operating liabilities</t>
        </is>
      </c>
      <c r="B20" s="6" t="n"/>
      <c r="C20" s="6" t="n"/>
      <c r="D20" s="6" t="n">
        <v>-251</v>
      </c>
      <c r="E20" s="6" t="n">
        <v>-409</v>
      </c>
      <c r="F20" s="6" t="n">
        <v>370</v>
      </c>
      <c r="G20" s="6" t="n">
        <v>-64</v>
      </c>
      <c r="H20" s="6" t="n">
        <v>-31</v>
      </c>
      <c r="I20" s="6" t="n">
        <v>4726</v>
      </c>
      <c r="J20" s="6" t="n">
        <v>5994</v>
      </c>
      <c r="K20" s="6" t="n">
        <v>3512</v>
      </c>
      <c r="L20" s="6" t="n">
        <v>2543</v>
      </c>
      <c r="M20" s="6" t="n">
        <v>1709</v>
      </c>
      <c r="N20" s="6" t="n">
        <v>893.6</v>
      </c>
      <c r="O20" s="6" t="n">
        <v>430.6</v>
      </c>
      <c r="P20" s="6" t="n">
        <v>140</v>
      </c>
      <c r="Q20" s="6" t="n">
        <v>17</v>
      </c>
    </row>
    <row r="21">
      <c r="A21" s="5" t="inlineStr">
        <is>
          <t>Net cash inflows/(outflows) from operating activities</t>
        </is>
      </c>
      <c r="B21" s="5" t="n"/>
      <c r="C21" s="5" t="n"/>
      <c r="D21" s="5" t="n">
        <v>612</v>
      </c>
      <c r="E21" s="5" t="n">
        <v>-1167</v>
      </c>
      <c r="F21" s="5" t="n">
        <v>2874</v>
      </c>
      <c r="G21" s="5" t="n">
        <v>1041</v>
      </c>
      <c r="H21" s="5" t="n">
        <v>-1655</v>
      </c>
      <c r="I21" s="5" t="n">
        <v>153</v>
      </c>
      <c r="J21" s="5" t="n">
        <v>2294</v>
      </c>
      <c r="K21" s="5" t="n">
        <v>1169</v>
      </c>
      <c r="L21" s="5" t="n">
        <v>546</v>
      </c>
      <c r="M21" s="5" t="n">
        <v>810</v>
      </c>
      <c r="N21" s="5" t="n">
        <v>249.3</v>
      </c>
      <c r="O21" s="5" t="n">
        <v>255.8</v>
      </c>
      <c r="P21" s="5" t="n">
        <v>63.7</v>
      </c>
      <c r="Q21" s="5" t="n">
        <v>-6.5</v>
      </c>
    </row>
    <row r="22">
      <c r="A22" s="5" t="inlineStr">
        <is>
          <t>Cash flows from investing activities</t>
        </is>
      </c>
      <c r="B22" s="6" t="n"/>
      <c r="C22" s="6" t="n"/>
      <c r="D22" s="6" t="n"/>
      <c r="E22" s="6" t="n"/>
      <c r="F22" s="6" t="n"/>
      <c r="G22" s="6" t="n"/>
      <c r="H22" s="6" t="n"/>
      <c r="I22" s="6" t="n"/>
      <c r="J22" s="6" t="n"/>
      <c r="K22" s="6" t="n"/>
      <c r="L22" s="6" t="n"/>
      <c r="M22" s="6" t="n"/>
      <c r="N22" s="6" t="n"/>
      <c r="O22" s="6" t="n"/>
      <c r="P22" s="6" t="n"/>
      <c r="Q22" s="6" t="n"/>
    </row>
    <row r="23">
      <c r="A23" s="6" t="inlineStr">
        <is>
          <t>Sales of investment securities</t>
        </is>
      </c>
      <c r="B23" s="6" t="n"/>
      <c r="C23" s="6" t="n"/>
      <c r="D23" s="6" t="n">
        <v>1870</v>
      </c>
      <c r="E23" s="6" t="n">
        <v>857</v>
      </c>
      <c r="F23" s="6" t="n">
        <v>1269</v>
      </c>
      <c r="G23" s="6" t="n">
        <v>615</v>
      </c>
      <c r="H23" s="6" t="n">
        <v>2193</v>
      </c>
      <c r="I23" s="6" t="n">
        <v>1522</v>
      </c>
      <c r="J23" s="6" t="n">
        <v>309</v>
      </c>
      <c r="K23" s="6" t="n">
        <v>2197</v>
      </c>
      <c r="L23" s="6" t="n">
        <v>911</v>
      </c>
      <c r="M23" s="6" t="n">
        <v>474</v>
      </c>
      <c r="N23" s="6" t="n">
        <v>368.1</v>
      </c>
      <c r="O23" s="6" t="n"/>
      <c r="P23" s="6" t="n"/>
      <c r="Q23" s="6" t="n"/>
    </row>
    <row r="24">
      <c r="A24" s="6" t="inlineStr">
        <is>
          <t>Purchase of investment securities</t>
        </is>
      </c>
      <c r="B24" s="6" t="n"/>
      <c r="C24" s="6" t="n"/>
      <c r="D24" s="6" t="n">
        <v>-816</v>
      </c>
      <c r="E24" s="6" t="n">
        <v>-1206</v>
      </c>
      <c r="F24" s="6" t="n">
        <v>-3438</v>
      </c>
      <c r="G24" s="6" t="n">
        <v>-1460</v>
      </c>
      <c r="H24" s="6" t="n">
        <v>-618</v>
      </c>
      <c r="I24" s="6" t="n">
        <v>-1740</v>
      </c>
      <c r="J24" s="6" t="n">
        <v>-997</v>
      </c>
      <c r="K24" s="6" t="n">
        <v>-3403</v>
      </c>
      <c r="L24" s="6" t="n">
        <v>-1311</v>
      </c>
      <c r="M24" s="6" t="n">
        <v>-1376</v>
      </c>
      <c r="N24" s="6" t="n">
        <v>-638.5</v>
      </c>
      <c r="O24" s="6" t="n">
        <v>-335.7</v>
      </c>
      <c r="P24" s="6" t="n">
        <v>-38.7</v>
      </c>
      <c r="Q24" s="6" t="n">
        <v>-40.3</v>
      </c>
    </row>
    <row r="25">
      <c r="A25" s="6" t="inlineStr">
        <is>
          <t>Purchase of property, plant and equipment</t>
        </is>
      </c>
      <c r="B25" s="6" t="n"/>
      <c r="C25" s="6" t="n"/>
      <c r="D25" s="6" t="n">
        <v>-12</v>
      </c>
      <c r="E25" s="6" t="n">
        <v>-29</v>
      </c>
      <c r="F25" s="6" t="n">
        <v>-41</v>
      </c>
      <c r="G25" s="6" t="n">
        <v>-29</v>
      </c>
      <c r="H25" s="6" t="n">
        <v>-120</v>
      </c>
      <c r="I25" s="6" t="n">
        <v>-150</v>
      </c>
      <c r="J25" s="6" t="n">
        <v>-100</v>
      </c>
      <c r="K25" s="6" t="n">
        <v>-98</v>
      </c>
      <c r="L25" s="6" t="n">
        <v>-50</v>
      </c>
      <c r="M25" s="6" t="n">
        <v>-41</v>
      </c>
      <c r="N25" s="6" t="n">
        <v>-60</v>
      </c>
      <c r="O25" s="6" t="n">
        <v>-26.8</v>
      </c>
      <c r="P25" s="6" t="n">
        <v>-17.8</v>
      </c>
      <c r="Q25" s="6" t="n">
        <v>-15.3</v>
      </c>
    </row>
    <row r="26">
      <c r="A26" s="6" t="inlineStr">
        <is>
          <t>Proceeds from sale of property, plant and equipment and intangible assets</t>
        </is>
      </c>
      <c r="B26" s="6" t="n"/>
      <c r="C26" s="6" t="n"/>
      <c r="D26" s="6" t="n"/>
      <c r="E26" s="6" t="n"/>
      <c r="F26" s="6" t="n"/>
      <c r="G26" s="6" t="n"/>
      <c r="H26" s="6" t="n"/>
      <c r="I26" s="6" t="n"/>
      <c r="J26" s="6" t="n">
        <v>0</v>
      </c>
      <c r="K26" s="6" t="n">
        <v>0</v>
      </c>
      <c r="L26" s="6" t="n"/>
      <c r="M26" s="6" t="n"/>
      <c r="N26" s="6" t="n"/>
      <c r="O26" s="6" t="n"/>
      <c r="P26" s="6" t="n"/>
      <c r="Q26" s="6" t="n"/>
    </row>
    <row r="27">
      <c r="A27" s="6" t="inlineStr">
        <is>
          <t>Purchase and development of intangible assets</t>
        </is>
      </c>
      <c r="B27" s="6" t="n"/>
      <c r="C27" s="6" t="n"/>
      <c r="D27" s="6" t="n">
        <v>-26</v>
      </c>
      <c r="E27" s="6" t="n">
        <v>-24</v>
      </c>
      <c r="F27" s="6" t="n">
        <v>-64</v>
      </c>
      <c r="G27" s="6" t="n">
        <v>-81</v>
      </c>
      <c r="H27" s="6" t="n">
        <v>-79</v>
      </c>
      <c r="I27" s="6" t="n">
        <v>-75</v>
      </c>
      <c r="J27" s="6" t="n">
        <v>-70</v>
      </c>
      <c r="K27" s="6" t="n">
        <v>-45</v>
      </c>
      <c r="L27" s="6" t="n">
        <v>-30</v>
      </c>
      <c r="M27" s="6" t="n">
        <v>-13</v>
      </c>
      <c r="N27" s="6" t="n">
        <v>-14.2</v>
      </c>
      <c r="O27" s="6" t="n">
        <v>-2.9</v>
      </c>
      <c r="P27" s="6" t="n">
        <v>-2.7</v>
      </c>
      <c r="Q27" s="6" t="n">
        <v>-6.4</v>
      </c>
    </row>
    <row r="28">
      <c r="A28" s="6" t="inlineStr">
        <is>
          <t>Acquisition of subsidiary, net of cash acquired</t>
        </is>
      </c>
      <c r="B28" s="6" t="n"/>
      <c r="C28" s="6" t="n"/>
      <c r="D28" s="6" t="n"/>
      <c r="E28" s="6" t="n"/>
      <c r="F28" s="6" t="n"/>
      <c r="G28" s="6" t="n">
        <v>-1</v>
      </c>
      <c r="H28" s="6" t="n"/>
      <c r="I28" s="6" t="n"/>
      <c r="J28" s="6" t="n"/>
      <c r="K28" s="6" t="n"/>
      <c r="L28" s="6" t="n"/>
      <c r="M28" s="6" t="n"/>
      <c r="N28" s="6" t="n"/>
      <c r="O28" s="6" t="n"/>
      <c r="P28" s="6" t="n"/>
      <c r="Q28" s="6" t="n"/>
    </row>
    <row r="29">
      <c r="A29" s="6" t="inlineStr">
        <is>
          <t>Dividends received from subsidiaries</t>
        </is>
      </c>
      <c r="B29" s="6" t="n"/>
      <c r="C29" s="6" t="n"/>
      <c r="D29" s="6" t="n">
        <v>12</v>
      </c>
      <c r="E29" s="6" t="n"/>
      <c r="F29" s="6" t="n"/>
      <c r="G29" s="6" t="n"/>
      <c r="H29" s="6" t="n"/>
      <c r="I29" s="6" t="n"/>
      <c r="J29" s="6" t="n"/>
      <c r="K29" s="6" t="n"/>
      <c r="L29" s="6" t="n"/>
      <c r="M29" s="6" t="n"/>
      <c r="N29" s="6" t="n"/>
      <c r="O29" s="6" t="n"/>
      <c r="P29" s="6" t="n"/>
      <c r="Q29" s="6" t="n"/>
    </row>
    <row r="30">
      <c r="A30" s="5" t="inlineStr">
        <is>
          <t>Net cash inflows/(outflows) from investing activities</t>
        </is>
      </c>
      <c r="B30" s="5" t="n"/>
      <c r="C30" s="5" t="n"/>
      <c r="D30" s="5" t="n">
        <v>1028</v>
      </c>
      <c r="E30" s="5" t="n">
        <v>-402</v>
      </c>
      <c r="F30" s="5" t="n">
        <v>-2274</v>
      </c>
      <c r="G30" s="5" t="n">
        <v>-956</v>
      </c>
      <c r="H30" s="5" t="n">
        <v>1376</v>
      </c>
      <c r="I30" s="5" t="n">
        <v>-443</v>
      </c>
      <c r="J30" s="5" t="n">
        <v>-858</v>
      </c>
      <c r="K30" s="5" t="n">
        <v>-1349</v>
      </c>
      <c r="L30" s="5" t="n">
        <v>-480</v>
      </c>
      <c r="M30" s="5" t="n">
        <v>-957</v>
      </c>
      <c r="N30" s="5" t="n">
        <v>-344.6</v>
      </c>
      <c r="O30" s="5" t="n">
        <v>-365.3</v>
      </c>
      <c r="P30" s="5" t="n">
        <v>-59.1</v>
      </c>
      <c r="Q30" s="5" t="n">
        <v>-62</v>
      </c>
    </row>
    <row r="31">
      <c r="A31" s="5" t="inlineStr">
        <is>
          <t>Cash flows from financing activities</t>
        </is>
      </c>
      <c r="B31" s="6" t="n"/>
      <c r="C31" s="6" t="n"/>
      <c r="D31" s="6" t="n"/>
      <c r="E31" s="6" t="n"/>
      <c r="F31" s="6" t="n"/>
      <c r="G31" s="6" t="n"/>
      <c r="H31" s="6" t="n"/>
      <c r="I31" s="6" t="n"/>
      <c r="J31" s="6" t="n"/>
      <c r="K31" s="6" t="n"/>
      <c r="L31" s="6" t="n"/>
      <c r="M31" s="6" t="n"/>
      <c r="N31" s="6" t="n"/>
      <c r="O31" s="6" t="n"/>
      <c r="P31" s="6" t="n"/>
      <c r="Q31" s="6" t="n"/>
    </row>
    <row r="32">
      <c r="A32" s="6" t="inlineStr">
        <is>
          <t>Repayment of preference shares</t>
        </is>
      </c>
      <c r="B32" s="6" t="n"/>
      <c r="C32" s="6" t="n"/>
      <c r="D32" s="6" t="n"/>
      <c r="E32" s="6" t="n"/>
      <c r="F32" s="6" t="n"/>
      <c r="G32" s="6" t="n"/>
      <c r="H32" s="6" t="n"/>
      <c r="I32" s="6" t="n"/>
      <c r="J32" s="6" t="n"/>
      <c r="K32" s="6" t="n"/>
      <c r="L32" s="6" t="n"/>
      <c r="M32" s="6" t="n"/>
      <c r="N32" s="6" t="n"/>
      <c r="O32" s="6" t="n"/>
      <c r="P32" s="6" t="n"/>
      <c r="Q32" s="6" t="n">
        <v>-0.1</v>
      </c>
    </row>
    <row r="33">
      <c r="A33" s="6" t="inlineStr">
        <is>
          <t>Repayment of capital elements of leases</t>
        </is>
      </c>
      <c r="B33" s="6" t="n"/>
      <c r="C33" s="6" t="n"/>
      <c r="D33" s="6" t="n">
        <v>-23</v>
      </c>
      <c r="E33" s="6" t="n">
        <v>-25</v>
      </c>
      <c r="F33" s="6" t="n">
        <v>-27</v>
      </c>
      <c r="G33" s="6" t="n">
        <v>-31</v>
      </c>
      <c r="H33" s="6" t="n">
        <v>-25</v>
      </c>
      <c r="I33" s="6" t="n"/>
      <c r="J33" s="6" t="n"/>
      <c r="K33" s="6" t="n"/>
      <c r="L33" s="6" t="n"/>
      <c r="M33" s="6" t="n"/>
      <c r="N33" s="6" t="n"/>
      <c r="O33" s="6" t="n"/>
      <c r="P33" s="6" t="n"/>
      <c r="Q33" s="6" t="n"/>
    </row>
    <row r="34">
      <c r="A34" s="6" t="inlineStr">
        <is>
          <t>Issuance of new shares</t>
        </is>
      </c>
      <c r="B34" s="6" t="n"/>
      <c r="C34" s="6" t="n"/>
      <c r="D34" s="6" t="n">
        <v>144</v>
      </c>
      <c r="E34" s="6" t="n"/>
      <c r="F34" s="6" t="n"/>
      <c r="G34" s="6" t="n"/>
      <c r="H34" s="6" t="n">
        <v>375</v>
      </c>
      <c r="I34" s="6" t="n">
        <v>304</v>
      </c>
      <c r="J34" s="6" t="n">
        <v>279</v>
      </c>
      <c r="K34" s="6" t="n">
        <v>404</v>
      </c>
      <c r="L34" s="6" t="n"/>
      <c r="M34" s="6" t="n">
        <v>99</v>
      </c>
      <c r="N34" s="6" t="n">
        <v>284.3</v>
      </c>
      <c r="O34" s="6" t="n">
        <v>126</v>
      </c>
      <c r="P34" s="6" t="n"/>
      <c r="Q34" s="6" t="n">
        <v>120.1</v>
      </c>
    </row>
    <row r="35">
      <c r="A35" s="6" t="inlineStr">
        <is>
          <t>Cost of share/debt issues</t>
        </is>
      </c>
      <c r="B35" s="6" t="n"/>
      <c r="C35" s="6" t="n"/>
      <c r="D35" s="6" t="n"/>
      <c r="E35" s="6" t="n"/>
      <c r="F35" s="6" t="n"/>
      <c r="G35" s="6" t="n"/>
      <c r="H35" s="6" t="n">
        <v>-16</v>
      </c>
      <c r="I35" s="6" t="n">
        <v>-3</v>
      </c>
      <c r="J35" s="6" t="n">
        <v>-3</v>
      </c>
      <c r="K35" s="6" t="n">
        <v>-5</v>
      </c>
      <c r="L35" s="6" t="n"/>
      <c r="M35" s="6" t="n">
        <v>-1</v>
      </c>
      <c r="N35" s="6" t="n"/>
      <c r="O35" s="6" t="n"/>
      <c r="P35" s="6" t="n"/>
      <c r="Q35" s="6" t="n"/>
    </row>
    <row r="36">
      <c r="A36" s="6" t="inlineStr">
        <is>
          <t>Issuance of medium-term notes/subordinated debt (net of costs)</t>
        </is>
      </c>
      <c r="B36" s="6" t="n"/>
      <c r="C36" s="6" t="n"/>
      <c r="D36" s="6" t="n">
        <v>175</v>
      </c>
      <c r="E36" s="6" t="n"/>
      <c r="F36" s="6" t="n"/>
      <c r="G36" s="6" t="n"/>
      <c r="H36" s="6" t="n">
        <v>350</v>
      </c>
      <c r="I36" s="6" t="n">
        <v>250</v>
      </c>
      <c r="J36" s="6" t="n"/>
      <c r="K36" s="6" t="n"/>
      <c r="L36" s="6" t="n"/>
      <c r="M36" s="6" t="n"/>
      <c r="N36" s="6" t="n"/>
      <c r="O36" s="6" t="n"/>
      <c r="P36" s="6" t="n"/>
      <c r="Q36" s="6" t="n"/>
    </row>
    <row r="37">
      <c r="A37" s="6" t="inlineStr">
        <is>
          <t>Cost of debt issued</t>
        </is>
      </c>
      <c r="B37" s="6" t="n"/>
      <c r="C37" s="6" t="n"/>
      <c r="D37" s="6" t="n"/>
      <c r="E37" s="6" t="n"/>
      <c r="F37" s="6" t="n"/>
      <c r="G37" s="6" t="n"/>
      <c r="H37" s="6" t="n">
        <v>-8</v>
      </c>
      <c r="I37" s="6" t="n">
        <v>-1</v>
      </c>
      <c r="J37" s="6" t="n"/>
      <c r="K37" s="6" t="n"/>
      <c r="L37" s="6" t="n"/>
      <c r="M37" s="6" t="n"/>
      <c r="N37" s="6" t="n"/>
      <c r="O37" s="6" t="n"/>
      <c r="P37" s="6" t="n"/>
      <c r="Q37" s="6" t="n"/>
    </row>
    <row r="38">
      <c r="A38" s="6" t="inlineStr">
        <is>
          <t>Grant (repaid)/received</t>
        </is>
      </c>
      <c r="B38" s="6" t="n"/>
      <c r="C38" s="6" t="n"/>
      <c r="D38" s="6" t="n"/>
      <c r="E38" s="6" t="n"/>
      <c r="F38" s="6" t="n"/>
      <c r="G38" s="6" t="n">
        <v>-50</v>
      </c>
      <c r="H38" s="6" t="n">
        <v>120</v>
      </c>
      <c r="I38" s="6" t="n"/>
      <c r="J38" s="6" t="n"/>
      <c r="K38" s="6" t="n"/>
      <c r="L38" s="6" t="n"/>
      <c r="M38" s="6" t="n"/>
      <c r="N38" s="6" t="n"/>
      <c r="O38" s="6" t="n"/>
      <c r="P38" s="6" t="n"/>
      <c r="Q38" s="6" t="n"/>
    </row>
    <row r="39">
      <c r="A39" s="5" t="inlineStr">
        <is>
          <t>Net cash inflows/(outflows) from financing activities</t>
        </is>
      </c>
      <c r="B39" s="5" t="n"/>
      <c r="C39" s="5" t="n"/>
      <c r="D39" s="5" t="n">
        <v>296</v>
      </c>
      <c r="E39" s="5" t="n">
        <v>-25</v>
      </c>
      <c r="F39" s="5" t="n">
        <v>-27</v>
      </c>
      <c r="G39" s="5" t="n">
        <v>-81</v>
      </c>
      <c r="H39" s="5" t="n">
        <v>796</v>
      </c>
      <c r="I39" s="5" t="n">
        <v>550</v>
      </c>
      <c r="J39" s="5" t="n">
        <v>276</v>
      </c>
      <c r="K39" s="5" t="n">
        <v>398</v>
      </c>
      <c r="L39" s="5" t="n">
        <v>0</v>
      </c>
      <c r="M39" s="5" t="n">
        <v>99</v>
      </c>
      <c r="N39" s="5" t="n">
        <v>284.3</v>
      </c>
      <c r="O39" s="5" t="n">
        <v>126</v>
      </c>
      <c r="P39" s="5" t="n">
        <v>0</v>
      </c>
      <c r="Q39" s="5" t="n">
        <v>120.1</v>
      </c>
    </row>
    <row r="40">
      <c r="A40" s="5" t="inlineStr">
        <is>
          <t>Net increase/(decrease) in cash and cash equivalents</t>
        </is>
      </c>
      <c r="B40" s="5" t="n"/>
      <c r="C40" s="5" t="n"/>
      <c r="D40" s="5" t="n">
        <v>1936</v>
      </c>
      <c r="E40" s="5" t="n">
        <v>-1594</v>
      </c>
      <c r="F40" s="5" t="n">
        <v>573</v>
      </c>
      <c r="G40" s="5" t="n">
        <v>4</v>
      </c>
      <c r="H40" s="5" t="n">
        <v>517</v>
      </c>
      <c r="I40" s="5" t="n">
        <v>260</v>
      </c>
      <c r="J40" s="5" t="n">
        <v>1712</v>
      </c>
      <c r="K40" s="5" t="n">
        <v>218</v>
      </c>
      <c r="L40" s="5" t="n">
        <v>66</v>
      </c>
      <c r="M40" s="5" t="n">
        <v>-47</v>
      </c>
      <c r="N40" s="5" t="n">
        <v>189.1</v>
      </c>
      <c r="O40" s="5" t="n">
        <v>16.5</v>
      </c>
      <c r="P40" s="5" t="n">
        <v>4.7</v>
      </c>
      <c r="Q40" s="5" t="n">
        <v>51.6</v>
      </c>
    </row>
    <row r="41">
      <c r="A41" s="6" t="inlineStr">
        <is>
          <t>Cash and cash equivalents at start of year</t>
        </is>
      </c>
      <c r="B41" s="6" t="n"/>
      <c r="C41" s="6" t="n"/>
      <c r="D41" s="6" t="n">
        <v>1953</v>
      </c>
      <c r="E41" s="6" t="n">
        <v>3547</v>
      </c>
      <c r="F41" s="6" t="n">
        <v>2974</v>
      </c>
      <c r="G41" s="6" t="n">
        <v>2989</v>
      </c>
      <c r="H41" s="6" t="n">
        <v>2472</v>
      </c>
      <c r="I41" s="6" t="n">
        <v>2212</v>
      </c>
      <c r="J41" s="6" t="n">
        <v>500</v>
      </c>
      <c r="K41" s="6" t="n">
        <v>282</v>
      </c>
      <c r="L41" s="6" t="n">
        <v>216</v>
      </c>
      <c r="M41" s="6" t="n">
        <v>263</v>
      </c>
      <c r="N41" s="6" t="n">
        <v>74.09999999999999</v>
      </c>
      <c r="O41" s="6" t="n">
        <v>57.6</v>
      </c>
      <c r="P41" s="6" t="n">
        <v>52.9</v>
      </c>
      <c r="Q41" s="6" t="n">
        <v>1.3</v>
      </c>
    </row>
    <row r="42">
      <c r="A42" s="5" t="inlineStr">
        <is>
          <t>Cash and cash equivalents at end of year</t>
        </is>
      </c>
      <c r="B42" s="5" t="n"/>
      <c r="C42" s="5" t="n"/>
      <c r="D42" s="5" t="n">
        <v>3889</v>
      </c>
      <c r="E42" s="5" t="n">
        <v>1953</v>
      </c>
      <c r="F42" s="5" t="n">
        <v>3547</v>
      </c>
      <c r="G42" s="5" t="n">
        <v>2993</v>
      </c>
      <c r="H42" s="5" t="n">
        <v>2989</v>
      </c>
      <c r="I42" s="5" t="n">
        <v>2472</v>
      </c>
      <c r="J42" s="5" t="n">
        <v>2212</v>
      </c>
      <c r="K42" s="5" t="n">
        <v>500</v>
      </c>
      <c r="L42" s="5" t="n">
        <v>282</v>
      </c>
      <c r="M42" s="5" t="n">
        <v>216</v>
      </c>
      <c r="N42" s="5" t="n">
        <v>263.2</v>
      </c>
      <c r="O42" s="5" t="n">
        <v>74.09999999999999</v>
      </c>
      <c r="P42" s="5" t="n">
        <v>57.6</v>
      </c>
      <c r="Q42" s="5" t="n">
        <v>52.9</v>
      </c>
    </row>
    <row r="44" ht="260" customHeight="1">
      <c r="A44" s="8" t="inlineStr">
        <is>
          <t>ROUNDING NOTE (HD-049): FY2014-FY2017 source figures were originally reported in £'000 and are converted here to whole £m per line item; the reconciliation totals use each year's own as-reported £m-equivalent total, so summing the independently-rounded component rows can be off by £1m from the total in a few years (FY2014, FY2016, FY2017) - this is a rounding artifact of the conversion, not a data error.
Sources - Metro Bank PLC Company/standalone cash flows, £m:
FY2023 &amp; FY2022: Metro Bank PLC Annual Report 2023, p.147 (Company cash flow statement) - https://www.metrobankonline.co.uk/globalassets/documents/customer_documents/business-and-commercial/metro-bank-plc-annual-report-2023.pdf
FY2022 &amp; FY2021: Metro Bank PLC Annual Report and Accounts 2022, p.185 (Company column) - https://www.metrobankonline.co.uk/globalassets/documents/customer_documents/business-and-commercial/metro-bank-annual-report-and-accounts-2022.pdf.pdf
FY2021: Metro Bank PLC Annual Report and Accounts 2021, p.165 (Company column) - https://www.metrobankonline.co.uk/globalassets/documents/customer_documents/intermediaries/metro-bank-annual-report-2021.pdf
FY2013: Metro Bank PLC Full Accounts, year ended 31 December 2013, Consolidated Cash flow statement, p.13 - https://find-and-update.company-information.service.gov.uk/company/06419578/filing-history/MzEwMzEwOTEwMGFkaXF6a2N4/document?format=pdf&amp;download=0
FY2012: Metro Bank PLC Full Accounts, year ended 31 December 2012, Cash flow statement, p.11 - https://find-and-update.company-information.service.gov.uk/company/06419578/filing-history/MzA3OTE2MjcwMGFkaXF6a2N4/document?format=pdf&amp;download=0
FY2011: Metro Bank PLC Full Accounts, year ended 31 December 2011, Cash flow statement, p.11 - https://find-and-update.company-information.service.gov.uk/company/06419578/filing-history/MzA2MDE4MDA3NWFkaXF6a2N4/document?format=pdf&amp;download=0
FY2010 (16m): Metro Bank PLC Financial Statements, period ended 31 December 2010, Cash flow statement, p.10 - https://find-and-update.company-information.service.gov.uk/company/06419578/filing-history/MzAzOTgzODAwMGFkaXF6a2N4/document?format=pdf&amp;download=0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FY2013 (Group): Metro Bank PLC Full Accounts, year ended 31 December 2013, Consolidated Statement of comprehensive income/Consolidated Balance Sheet/Consolidated Statement of changes in equity, p.10-11 and p.15 - https://find-and-update.company-information.service.gov.uk/company/06419578/filing-history/MzEwMzEwOTEwMGFkaXF6a2N4/document?format=pdf&amp;download=0
FY2012: Metro Bank PLC Full Accounts, year ended 31 December 2012, Statement of comprehensive income/Balance Sheet/Statement of changes in equity, p.9-10 and p.12 - https://find-and-update.company-information.service.gov.uk/company/06419578/filing-history/MzA3OTE2MjcwMGFkaXF6a2N4/document?format=pdf&amp;download=0
FY2011: Metro Bank PLC Full Accounts, year ended 31 December 2011, Statement of comprehensive income/Balance Sheet/Statement of changes in equity, p.9-10 and p.12 - https://find-and-update.company-information.service.gov.uk/company/06419578/filing-history/MzA2MDE4MDA3NWFkaXF6a2N4/document?format=pdf&amp;download=0
FY2010 (16m): Metro Bank PLC Financial Statements, period ended 31 December 2010, Statement of comprehensive income/Balance Sheet/Statement of changes in equity, p.8-9 and p.11 - https://find-and-update.company-information.service.gov.uk/company/06419578/filing-history/MzAzOTgzODAwMGFkaXF6a2N4/document?format=pdf&amp;download=0
HD-074 EXTENSION (2026-09-06): Balance Sheet/P&amp;L/Statement of Changes in Equity/Cash Flow further extended to FY2010 - Metro Bank PLC's real statutory floor. Pillar 3/Asset Quality/RWA Breakdown are explicitly out of scope for this extension and remain unchanged, still starting at FY2014. Sourced entirely from Companies House (06419578) full accounts filings - Metro Bank's own IR site does not host reports this old. ENTITY HISTORY: the company was incorporated 6 November 2007 as a shelf company, converted to a PLC and changed its accounting reference date to 31 December on 18 September 2009, then began trading as a bank on 29 July 2010 (its first branch, Holborn). FY2010's first accounts therefore cover a genuine 16-month period (19 September 2009 to 31 December 2010), not a clean 12-month year - labelled 'FY2010 (16m)' in the column header for this reason (same convention as this project's other non-12-month periods, e.g. StreamBank PLC's 'FY2023 (15m)'). BASIS: FY2010-FY2012 are Company-only (Metro Bank had no subsidiaries yet, so 'Balance Sheet'/'Statement of comprehensive income' as filed are already the whole entity); FY2013 is Group/Consolidated (Metro Bank acquired 100% of SME Invoice Finance Limited on 31 July 2013, its first subsidiary, so a Company/Group split first appears in the FY2013 accounts - Group figures are used for consistency with the Group/Consolidated basis already used for FY2014-FY2020 above). INVESTMENT SECURITIES: the FY2011-FY2013 balance sheets disclose a single combined 'Investment securities' line without an available-for-sale/held-to-maturity note-level split (unlike FY2010, which explicitly labels its £40.3m holding 'held to maturity', and FY2014-FY2017, which do split) - carried under a dedicated 'Investment securities (undifferentiated basis)' row rather than forced into the HTM/AFS split used elsewhere, to avoid a false precision this session didn't verify. CASH FLOW: FY2011 and FY2012 disclose only a net investment-securities purchase figure (no separate gross sale/purchase lines), while FY2010 and FY2013 disclose true gross purchases (and, for FY2013, a true gross sale) - both presentations are as-reported, not reclassified by this workbook. ROUNDING: source figures are in £'000, converted here to whole £m to one decimal place; summing independently-rounded component rows can be off by up to £0.1m from the stated Total in a few places - the same rounding-artifact pattern already documented above for FY2014-FY2017, not a data error.
HD-049: FY2014-FY2020 reproduce each year's own Consolidated Cash Flow Statement line items (impairment/write-offs, D&amp;A, share option charge, gain on sale, accrued interest, lease interest, grant income, amounts provided for) rather than collapsing them into 'Adjustments for non-cash items' as the Company statement does for FY2021-FY2023 - both presentations are as-reported, not reclassified by this workbook.
HD-074: FY2010-FY2013 similarly reproduce each year's own reported line items - see the HD-074 note above for the net-vs-gross investment-securities purchase distinction across these years.</t>
        </is>
      </c>
    </row>
  </sheetData>
  <mergeCells count="1">
    <mergeCell ref="A44:Q4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Asset Quality</t>
        </is>
      </c>
    </row>
    <row r="2">
      <c r="A2" s="2" t="inlineStr">
        <is>
          <t>Group/consolidated basis, £m (Group loans and advances to customers ties exactly to the Consolidated Balance Sheet, not the Company balance sheet above - see source note). The FY2010-FY2014 block at the bottom is pre-IFRS 9 incurred-loss provisioning on a separate basis - see its section header.</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5" t="inlineStr">
        <is>
          <t>Gross carrying amount by portfolio, Group basis</t>
        </is>
      </c>
      <c r="B4" s="6" t="n"/>
      <c r="C4" s="6" t="n"/>
      <c r="D4" s="6" t="n"/>
      <c r="E4" s="6" t="n"/>
      <c r="F4" s="6" t="n"/>
      <c r="G4" s="6" t="n"/>
      <c r="H4" s="6" t="n"/>
      <c r="I4" s="6" t="n"/>
      <c r="J4" s="6" t="n"/>
      <c r="K4" s="6" t="n"/>
      <c r="L4" s="6" t="n"/>
      <c r="M4" s="6" t="n"/>
      <c r="N4" s="6" t="n"/>
      <c r="O4" s="6" t="n"/>
      <c r="P4" s="6" t="n"/>
      <c r="Q4" s="6" t="n"/>
    </row>
    <row r="5">
      <c r="A5" s="6" t="inlineStr">
        <is>
          <t>Retail mortgages</t>
        </is>
      </c>
      <c r="B5" s="6" t="n">
        <v>4940</v>
      </c>
      <c r="C5" s="6" t="n">
        <v>5145</v>
      </c>
      <c r="D5" s="6" t="n">
        <v>7817</v>
      </c>
      <c r="E5" s="6" t="n">
        <v>7649</v>
      </c>
      <c r="F5" s="6" t="n">
        <v>6723</v>
      </c>
      <c r="G5" s="6" t="n"/>
      <c r="H5" s="6" t="n"/>
      <c r="I5" s="6" t="n"/>
      <c r="J5" s="6" t="n"/>
      <c r="K5" s="6" t="n"/>
      <c r="L5" s="6" t="n"/>
      <c r="M5" s="6" t="n"/>
      <c r="N5" s="6" t="n"/>
      <c r="O5" s="6" t="n"/>
      <c r="P5" s="6" t="n"/>
      <c r="Q5" s="6" t="n"/>
    </row>
    <row r="6">
      <c r="A6" s="6" t="inlineStr">
        <is>
          <t>Consumer lending</t>
        </is>
      </c>
      <c r="B6" s="6" t="n">
        <v>114</v>
      </c>
      <c r="C6" s="6" t="n">
        <v>745</v>
      </c>
      <c r="D6" s="6" t="n">
        <v>1297</v>
      </c>
      <c r="E6" s="6" t="n">
        <v>1480</v>
      </c>
      <c r="F6" s="6" t="n">
        <v>890</v>
      </c>
      <c r="G6" s="6" t="n"/>
      <c r="H6" s="6" t="n"/>
      <c r="I6" s="6" t="n"/>
      <c r="J6" s="6" t="n"/>
      <c r="K6" s="6" t="n"/>
      <c r="L6" s="6" t="n"/>
      <c r="M6" s="6" t="n"/>
      <c r="N6" s="6" t="n"/>
      <c r="O6" s="6" t="n"/>
      <c r="P6" s="6" t="n"/>
      <c r="Q6" s="6" t="n"/>
    </row>
    <row r="7">
      <c r="A7" s="6" t="inlineStr">
        <is>
          <t>Commercial / corporate and commercial lending</t>
        </is>
      </c>
      <c r="B7" s="6" t="n">
        <v>3939</v>
      </c>
      <c r="C7" s="6" t="n">
        <v>3314</v>
      </c>
      <c r="D7" s="6" t="n">
        <v>3382</v>
      </c>
      <c r="E7" s="6" t="n">
        <v>4160</v>
      </c>
      <c r="F7" s="6" t="n">
        <v>4846</v>
      </c>
      <c r="G7" s="6" t="n"/>
      <c r="H7" s="6" t="n"/>
      <c r="I7" s="6" t="n"/>
      <c r="J7" s="6" t="n"/>
      <c r="K7" s="6" t="n"/>
      <c r="L7" s="6" t="n"/>
      <c r="M7" s="6" t="n"/>
      <c r="N7" s="6" t="n"/>
      <c r="O7" s="6" t="n"/>
      <c r="P7" s="6" t="n"/>
      <c r="Q7" s="6" t="n"/>
    </row>
    <row r="8">
      <c r="A8" s="5" t="inlineStr">
        <is>
          <t>Total loans and advances to customers, gross</t>
        </is>
      </c>
      <c r="B8" s="5" t="n">
        <v>8993</v>
      </c>
      <c r="C8" s="5" t="n">
        <v>9204</v>
      </c>
      <c r="D8" s="5" t="n">
        <v>12496</v>
      </c>
      <c r="E8" s="5" t="n">
        <v>13289</v>
      </c>
      <c r="F8" s="5" t="n">
        <v>12459</v>
      </c>
      <c r="G8" s="5" t="n"/>
      <c r="H8" s="5" t="n"/>
      <c r="I8" s="5" t="n"/>
      <c r="J8" s="5" t="n"/>
      <c r="K8" s="5" t="n"/>
      <c r="L8" s="5" t="n"/>
      <c r="M8" s="5" t="n"/>
      <c r="N8" s="5" t="n"/>
      <c r="O8" s="5" t="n"/>
      <c r="P8" s="5" t="n"/>
      <c r="Q8" s="5" t="n"/>
    </row>
    <row r="9">
      <c r="A9" s="6" t="inlineStr">
        <is>
          <t>ECL allowance - retail mortgages</t>
        </is>
      </c>
      <c r="B9" s="6" t="n">
        <v>-16</v>
      </c>
      <c r="C9" s="6" t="n">
        <v>-15</v>
      </c>
      <c r="D9" s="6" t="n">
        <v>-19</v>
      </c>
      <c r="E9" s="6" t="n">
        <v>-20</v>
      </c>
      <c r="F9" s="6" t="n">
        <v>-19</v>
      </c>
      <c r="G9" s="6" t="n"/>
      <c r="H9" s="6" t="n"/>
      <c r="I9" s="6" t="n"/>
      <c r="J9" s="6" t="n"/>
      <c r="K9" s="6" t="n"/>
      <c r="L9" s="6" t="n"/>
      <c r="M9" s="6" t="n"/>
      <c r="N9" s="6" t="n"/>
      <c r="O9" s="6" t="n"/>
      <c r="P9" s="6" t="n"/>
      <c r="Q9" s="6" t="n"/>
    </row>
    <row r="10">
      <c r="A10" s="6" t="inlineStr">
        <is>
          <t>ECL allowance - consumer lending</t>
        </is>
      </c>
      <c r="B10" s="6" t="n">
        <v>-67</v>
      </c>
      <c r="C10" s="6" t="n">
        <v>-108</v>
      </c>
      <c r="D10" s="6" t="n">
        <v>-108</v>
      </c>
      <c r="E10" s="6" t="n">
        <v>-75</v>
      </c>
      <c r="F10" s="6" t="n">
        <v>-42</v>
      </c>
      <c r="G10" s="6" t="n"/>
      <c r="H10" s="6" t="n"/>
      <c r="I10" s="6" t="n"/>
      <c r="J10" s="6" t="n"/>
      <c r="K10" s="6" t="n"/>
      <c r="L10" s="6" t="n"/>
      <c r="M10" s="6" t="n"/>
      <c r="N10" s="6" t="n"/>
      <c r="O10" s="6" t="n"/>
      <c r="P10" s="6" t="n"/>
      <c r="Q10" s="6" t="n"/>
    </row>
    <row r="11">
      <c r="A11" s="6" t="inlineStr">
        <is>
          <t>ECL allowance - commercial / corporate and commercial lending</t>
        </is>
      </c>
      <c r="B11" s="6" t="n">
        <v>-87</v>
      </c>
      <c r="C11" s="6" t="n">
        <v>-68</v>
      </c>
      <c r="D11" s="6" t="n">
        <v>-72</v>
      </c>
      <c r="E11" s="6" t="n">
        <v>-92</v>
      </c>
      <c r="F11" s="6" t="n">
        <v>-108</v>
      </c>
      <c r="G11" s="6" t="n"/>
      <c r="H11" s="6" t="n"/>
      <c r="I11" s="6" t="n"/>
      <c r="J11" s="6" t="n"/>
      <c r="K11" s="6" t="n"/>
      <c r="L11" s="6" t="n"/>
      <c r="M11" s="6" t="n"/>
      <c r="N11" s="6" t="n"/>
      <c r="O11" s="6" t="n"/>
      <c r="P11" s="6" t="n"/>
      <c r="Q11" s="6" t="n"/>
    </row>
    <row r="12">
      <c r="A12" s="5" t="inlineStr">
        <is>
          <t>Total ECL allowance</t>
        </is>
      </c>
      <c r="B12" s="5" t="n">
        <v>-170</v>
      </c>
      <c r="C12" s="5" t="n">
        <v>-191</v>
      </c>
      <c r="D12" s="5" t="n">
        <v>-199</v>
      </c>
      <c r="E12" s="5" t="n">
        <v>-187</v>
      </c>
      <c r="F12" s="5" t="n">
        <v>-169</v>
      </c>
      <c r="G12" s="5" t="n"/>
      <c r="H12" s="5" t="n">
        <v>-34</v>
      </c>
      <c r="I12" s="5" t="n">
        <v>-34</v>
      </c>
      <c r="J12" s="5" t="n"/>
      <c r="K12" s="5" t="n"/>
      <c r="L12" s="5" t="n"/>
      <c r="M12" s="5" t="n"/>
      <c r="N12" s="5" t="n"/>
      <c r="O12" s="5" t="n"/>
      <c r="P12" s="5" t="n"/>
      <c r="Q12" s="5" t="n"/>
    </row>
    <row r="13">
      <c r="A13" s="5" t="inlineStr">
        <is>
          <t>Total loans and advances to customers, net</t>
        </is>
      </c>
      <c r="B13" s="5" t="n">
        <v>8823</v>
      </c>
      <c r="C13" s="5" t="n">
        <v>9013</v>
      </c>
      <c r="D13" s="5" t="n">
        <v>12297</v>
      </c>
      <c r="E13" s="5" t="n">
        <v>13102</v>
      </c>
      <c r="F13" s="5" t="n">
        <v>12290</v>
      </c>
      <c r="G13" s="5" t="n"/>
      <c r="H13" s="5" t="n"/>
      <c r="I13" s="5" t="n"/>
      <c r="J13" s="5" t="n"/>
      <c r="K13" s="5" t="n"/>
      <c r="L13" s="5" t="n"/>
      <c r="M13" s="5" t="n"/>
      <c r="N13" s="5" t="n"/>
      <c r="O13" s="5" t="n"/>
      <c r="P13" s="5" t="n"/>
      <c r="Q13" s="5" t="n"/>
    </row>
    <row r="14">
      <c r="A14" s="5" t="inlineStr">
        <is>
          <t>IFRS 9 stage split and coverage, portfolio-total level</t>
        </is>
      </c>
      <c r="B14" s="6" t="n"/>
      <c r="C14" s="6" t="n"/>
      <c r="D14" s="6" t="n"/>
      <c r="E14" s="6" t="n"/>
      <c r="F14" s="6" t="n"/>
      <c r="G14" s="6" t="n"/>
      <c r="H14" s="6" t="n"/>
      <c r="I14" s="6" t="n"/>
      <c r="J14" s="6" t="n"/>
      <c r="K14" s="6" t="n"/>
      <c r="L14" s="6" t="n"/>
      <c r="M14" s="6" t="n"/>
      <c r="N14" s="6" t="n"/>
      <c r="O14" s="6" t="n"/>
      <c r="P14" s="6" t="n"/>
      <c r="Q14" s="6" t="n"/>
    </row>
    <row r="15">
      <c r="A15" s="6" t="inlineStr">
        <is>
          <t>Stage 1, gross carrying amount</t>
        </is>
      </c>
      <c r="B15" s="6" t="n">
        <v>7819</v>
      </c>
      <c r="C15" s="6" t="n">
        <v>7723</v>
      </c>
      <c r="D15" s="6" t="n"/>
      <c r="E15" s="6" t="n"/>
      <c r="F15" s="6" t="n"/>
      <c r="G15" s="6" t="n"/>
      <c r="H15" s="6" t="n"/>
      <c r="I15" s="6" t="n"/>
      <c r="J15" s="6" t="n"/>
      <c r="K15" s="6" t="n"/>
      <c r="L15" s="6" t="n"/>
      <c r="M15" s="6" t="n"/>
      <c r="N15" s="6" t="n"/>
      <c r="O15" s="6" t="n"/>
      <c r="P15" s="6" t="n"/>
      <c r="Q15" s="6" t="n"/>
    </row>
    <row r="16">
      <c r="A16" s="6" t="inlineStr">
        <is>
          <t>Stage 2, gross carrying amount</t>
        </is>
      </c>
      <c r="B16" s="6" t="n">
        <v>713</v>
      </c>
      <c r="C16" s="6" t="n">
        <v>978</v>
      </c>
      <c r="D16" s="6" t="n"/>
      <c r="E16" s="6" t="n"/>
      <c r="F16" s="6" t="n"/>
      <c r="G16" s="6" t="n"/>
      <c r="H16" s="6" t="n"/>
      <c r="I16" s="6" t="n"/>
      <c r="J16" s="6" t="n"/>
      <c r="K16" s="6" t="n"/>
      <c r="L16" s="6" t="n"/>
      <c r="M16" s="6" t="n"/>
      <c r="N16" s="6" t="n"/>
      <c r="O16" s="6" t="n"/>
      <c r="P16" s="6" t="n"/>
      <c r="Q16" s="6" t="n"/>
    </row>
    <row r="17">
      <c r="A17" s="6" t="inlineStr">
        <is>
          <t>Stage 3, gross carrying amount</t>
        </is>
      </c>
      <c r="B17" s="6" t="n">
        <v>462</v>
      </c>
      <c r="C17" s="6" t="n">
        <v>504</v>
      </c>
      <c r="D17" s="6" t="n"/>
      <c r="E17" s="6" t="n"/>
      <c r="F17" s="6" t="n"/>
      <c r="G17" s="6" t="n"/>
      <c r="H17" s="6" t="n"/>
      <c r="I17" s="6" t="n"/>
      <c r="J17" s="6" t="n"/>
      <c r="K17" s="6" t="n"/>
      <c r="L17" s="6" t="n"/>
      <c r="M17" s="6" t="n"/>
      <c r="N17" s="6" t="n"/>
      <c r="O17" s="6" t="n"/>
      <c r="P17" s="6" t="n"/>
      <c r="Q17" s="6" t="n"/>
    </row>
    <row r="18">
      <c r="A18" s="6" t="inlineStr">
        <is>
          <t>% loans in Stage 2</t>
        </is>
      </c>
      <c r="B18" s="6" t="inlineStr">
        <is>
          <t>7.9%</t>
        </is>
      </c>
      <c r="C18" s="6" t="inlineStr">
        <is>
          <t>11%</t>
        </is>
      </c>
      <c r="D18" s="6" t="inlineStr">
        <is>
          <t>12%</t>
        </is>
      </c>
      <c r="E18" s="6" t="inlineStr">
        <is>
          <t>16%</t>
        </is>
      </c>
      <c r="F18" s="6" t="inlineStr">
        <is>
          <t>15%</t>
        </is>
      </c>
      <c r="G18" s="6" t="n"/>
      <c r="H18" s="6" t="n"/>
      <c r="I18" s="6" t="n"/>
      <c r="J18" s="6" t="n"/>
      <c r="K18" s="6" t="n"/>
      <c r="L18" s="6" t="n"/>
      <c r="M18" s="6" t="n"/>
      <c r="N18" s="6" t="n"/>
      <c r="O18" s="6" t="n"/>
      <c r="P18" s="6" t="n"/>
      <c r="Q18" s="6" t="n"/>
    </row>
    <row r="19">
      <c r="A19" s="6" t="inlineStr">
        <is>
          <t>% loans in Stage 3</t>
        </is>
      </c>
      <c r="B19" s="6" t="inlineStr">
        <is>
          <t>5.1%</t>
        </is>
      </c>
      <c r="C19" s="6" t="inlineStr">
        <is>
          <t>5%</t>
        </is>
      </c>
      <c r="D19" s="6" t="inlineStr">
        <is>
          <t>3%</t>
        </is>
      </c>
      <c r="E19" s="6" t="inlineStr">
        <is>
          <t>3%</t>
        </is>
      </c>
      <c r="F19" s="6" t="inlineStr">
        <is>
          <t>4%</t>
        </is>
      </c>
      <c r="G19" s="6" t="n"/>
      <c r="H19" s="6" t="n"/>
      <c r="I19" s="6" t="n"/>
      <c r="J19" s="6" t="n"/>
      <c r="K19" s="6" t="n"/>
      <c r="L19" s="6" t="n"/>
      <c r="M19" s="6" t="n"/>
      <c r="N19" s="6" t="n"/>
      <c r="O19" s="6" t="n"/>
      <c r="P19" s="6" t="n"/>
      <c r="Q19" s="6" t="n"/>
    </row>
    <row r="20">
      <c r="A20" s="6" t="inlineStr">
        <is>
          <t>Coverage ratio (ECL allowance / gross lending, including Stage 3)</t>
        </is>
      </c>
      <c r="B20" s="6" t="inlineStr">
        <is>
          <t>1.89%</t>
        </is>
      </c>
      <c r="C20" s="6" t="inlineStr">
        <is>
          <t>2.07%</t>
        </is>
      </c>
      <c r="D20" s="6" t="inlineStr">
        <is>
          <t>1.59%</t>
        </is>
      </c>
      <c r="E20" s="6" t="inlineStr">
        <is>
          <t>1.41%</t>
        </is>
      </c>
      <c r="F20" s="6" t="inlineStr">
        <is>
          <t>1.36%</t>
        </is>
      </c>
      <c r="G20" s="6" t="n"/>
      <c r="H20" s="6" t="n"/>
      <c r="I20" s="6" t="n"/>
      <c r="J20" s="6" t="n"/>
      <c r="K20" s="6" t="n"/>
      <c r="L20" s="6" t="n"/>
      <c r="M20" s="6" t="n"/>
      <c r="N20" s="6" t="n"/>
      <c r="O20" s="6" t="n"/>
      <c r="P20" s="6" t="n"/>
      <c r="Q20" s="6" t="n"/>
    </row>
    <row r="21">
      <c r="A21" s="6" t="inlineStr">
        <is>
          <t>90+ days past due</t>
        </is>
      </c>
      <c r="B21" s="6" t="n"/>
      <c r="C21" s="6" t="inlineStr">
        <is>
          <t>3%</t>
        </is>
      </c>
      <c r="D21" s="6" t="inlineStr">
        <is>
          <t>2%</t>
        </is>
      </c>
      <c r="E21" s="6" t="inlineStr">
        <is>
          <t>1%</t>
        </is>
      </c>
      <c r="F21" s="6" t="inlineStr">
        <is>
          <t>2%</t>
        </is>
      </c>
      <c r="G21" s="6" t="n"/>
      <c r="H21" s="6" t="n"/>
      <c r="I21" s="6" t="n"/>
      <c r="J21" s="6" t="n"/>
      <c r="K21" s="6" t="n"/>
      <c r="L21" s="6" t="n"/>
      <c r="M21" s="6" t="n"/>
      <c r="N21" s="6" t="n"/>
      <c r="O21" s="6" t="n"/>
      <c r="P21" s="6" t="n"/>
      <c r="Q21" s="6" t="n"/>
    </row>
    <row r="22">
      <c r="A22" s="5" t="inlineStr">
        <is>
          <t>Non-performing loans (NPLs) by portfolio</t>
        </is>
      </c>
      <c r="B22" s="6" t="n"/>
      <c r="C22" s="6" t="n"/>
      <c r="D22" s="6" t="n"/>
      <c r="E22" s="6" t="n"/>
      <c r="F22" s="6" t="n"/>
      <c r="G22" s="6" t="n"/>
      <c r="H22" s="6" t="n"/>
      <c r="I22" s="6" t="n"/>
      <c r="J22" s="6" t="n"/>
      <c r="K22" s="6" t="n"/>
      <c r="L22" s="6" t="n"/>
      <c r="M22" s="6" t="n"/>
      <c r="N22" s="6" t="n"/>
      <c r="O22" s="6" t="n"/>
      <c r="P22" s="6" t="n"/>
      <c r="Q22" s="6" t="n"/>
    </row>
    <row r="23">
      <c r="A23" s="6" t="inlineStr">
        <is>
          <t>Retail mortgages NPLs</t>
        </is>
      </c>
      <c r="B23" s="6" t="n">
        <v>220</v>
      </c>
      <c r="C23" s="6" t="n">
        <v>203</v>
      </c>
      <c r="D23" s="6" t="n">
        <v>146</v>
      </c>
      <c r="E23" s="6" t="n">
        <v>111</v>
      </c>
      <c r="F23" s="6" t="n">
        <v>114</v>
      </c>
      <c r="G23" s="6" t="n">
        <v>118</v>
      </c>
      <c r="H23" s="6" t="n">
        <v>25</v>
      </c>
      <c r="I23" s="6" t="n">
        <v>9</v>
      </c>
      <c r="J23" s="6" t="n"/>
      <c r="K23" s="6" t="n"/>
      <c r="L23" s="6" t="n"/>
      <c r="M23" s="6" t="n"/>
      <c r="N23" s="6" t="n"/>
      <c r="O23" s="6" t="n"/>
      <c r="P23" s="6" t="n"/>
      <c r="Q23" s="6" t="n"/>
    </row>
    <row r="24">
      <c r="A24" s="6" t="inlineStr">
        <is>
          <t>Consumer NPLs</t>
        </is>
      </c>
      <c r="B24" s="6" t="n">
        <v>74</v>
      </c>
      <c r="C24" s="6" t="n">
        <v>97</v>
      </c>
      <c r="D24" s="6" t="n">
        <v>77</v>
      </c>
      <c r="E24" s="6" t="n">
        <v>50</v>
      </c>
      <c r="F24" s="6" t="n">
        <v>21</v>
      </c>
      <c r="G24" s="6" t="n">
        <v>13</v>
      </c>
      <c r="H24" s="6" t="n">
        <v>10</v>
      </c>
      <c r="I24" s="6" t="n">
        <v>5</v>
      </c>
      <c r="J24" s="6" t="n"/>
      <c r="K24" s="6" t="n"/>
      <c r="L24" s="6" t="n"/>
      <c r="M24" s="6" t="n"/>
      <c r="N24" s="6" t="n"/>
      <c r="O24" s="6" t="n"/>
      <c r="P24" s="6" t="n"/>
      <c r="Q24" s="6" t="n"/>
    </row>
    <row r="25">
      <c r="A25" s="6" t="inlineStr">
        <is>
          <t>Commercial / corporate and commercial NPLs</t>
        </is>
      </c>
      <c r="B25" s="6" t="n">
        <v>168</v>
      </c>
      <c r="C25" s="6" t="n">
        <v>204</v>
      </c>
      <c r="D25" s="6" t="n">
        <v>166</v>
      </c>
      <c r="E25" s="6" t="n">
        <v>191</v>
      </c>
      <c r="F25" s="6" t="n">
        <v>327</v>
      </c>
      <c r="G25" s="6" t="n">
        <v>127</v>
      </c>
      <c r="H25" s="6" t="n">
        <v>42</v>
      </c>
      <c r="I25" s="6" t="n">
        <v>7</v>
      </c>
      <c r="J25" s="6" t="n"/>
      <c r="K25" s="6" t="n"/>
      <c r="L25" s="6" t="n"/>
      <c r="M25" s="6" t="n"/>
      <c r="N25" s="6" t="n"/>
      <c r="O25" s="6" t="n"/>
      <c r="P25" s="6" t="n"/>
      <c r="Q25" s="6" t="n"/>
    </row>
    <row r="26">
      <c r="A26" s="5" t="inlineStr">
        <is>
          <t>Total NPLs</t>
        </is>
      </c>
      <c r="B26" s="5" t="n">
        <v>462</v>
      </c>
      <c r="C26" s="5" t="n">
        <v>504</v>
      </c>
      <c r="D26" s="5" t="n">
        <v>389</v>
      </c>
      <c r="E26" s="5" t="n">
        <v>352</v>
      </c>
      <c r="F26" s="5" t="n">
        <v>462</v>
      </c>
      <c r="G26" s="5" t="n">
        <v>258</v>
      </c>
      <c r="H26" s="5" t="n">
        <v>77</v>
      </c>
      <c r="I26" s="5" t="n">
        <v>21</v>
      </c>
      <c r="J26" s="5" t="n"/>
      <c r="K26" s="5" t="n"/>
      <c r="L26" s="5" t="n"/>
      <c r="M26" s="5" t="n"/>
      <c r="N26" s="5" t="n"/>
      <c r="O26" s="5" t="n"/>
      <c r="P26" s="5" t="n"/>
      <c r="Q26" s="5" t="n"/>
    </row>
    <row r="27">
      <c r="A27" s="6" t="inlineStr">
        <is>
          <t>Total NPL ratio</t>
        </is>
      </c>
      <c r="B27" s="6" t="inlineStr">
        <is>
          <t>5.14%</t>
        </is>
      </c>
      <c r="C27" s="6" t="inlineStr">
        <is>
          <t>5.48%</t>
        </is>
      </c>
      <c r="D27" s="6" t="inlineStr">
        <is>
          <t>3.11%</t>
        </is>
      </c>
      <c r="E27" s="6" t="inlineStr">
        <is>
          <t>2.65%</t>
        </is>
      </c>
      <c r="F27" s="6" t="inlineStr">
        <is>
          <t>3.71%</t>
        </is>
      </c>
      <c r="G27" s="6" t="inlineStr">
        <is>
          <t>2.10%</t>
        </is>
      </c>
      <c r="H27" s="6" t="inlineStr">
        <is>
          <t>0.53%</t>
        </is>
      </c>
      <c r="I27" s="6" t="inlineStr">
        <is>
          <t>0.15%</t>
        </is>
      </c>
      <c r="J27" s="6" t="inlineStr">
        <is>
          <t>0.27%</t>
        </is>
      </c>
      <c r="K27" s="6" t="n"/>
      <c r="L27" s="6" t="n"/>
      <c r="M27" s="6" t="n"/>
      <c r="N27" s="6" t="n"/>
      <c r="O27" s="6" t="n"/>
      <c r="P27" s="6" t="n"/>
      <c r="Q27" s="6" t="n"/>
    </row>
    <row r="28">
      <c r="A28" s="5" t="inlineStr">
        <is>
          <t>Basel II incurred-loss provisioning (FY2010-FY2014) - separate basis, NOT comparable with the IFRS 9 ECL rows above</t>
        </is>
      </c>
      <c r="B28" s="6" t="n"/>
      <c r="C28" s="6" t="n"/>
      <c r="D28" s="6" t="n"/>
      <c r="E28" s="6" t="n"/>
      <c r="F28" s="6" t="n"/>
      <c r="G28" s="6" t="n"/>
      <c r="H28" s="6" t="n"/>
      <c r="I28" s="6" t="n"/>
      <c r="J28" s="6" t="n"/>
      <c r="K28" s="6" t="n"/>
      <c r="L28" s="6" t="n"/>
      <c r="M28" s="6" t="n"/>
      <c r="N28" s="6" t="n"/>
      <c r="O28" s="6" t="n"/>
      <c r="P28" s="6" t="n"/>
      <c r="Q28" s="6" t="n"/>
    </row>
    <row r="29">
      <c r="A29" s="6" t="inlineStr">
        <is>
          <t>General doubtful debt provision, as stated in that year's Pillar 3</t>
        </is>
      </c>
      <c r="B29" s="6" t="n"/>
      <c r="C29" s="6" t="n"/>
      <c r="D29" s="6" t="n"/>
      <c r="E29" s="6" t="n"/>
      <c r="F29" s="6" t="n"/>
      <c r="G29" s="6" t="n"/>
      <c r="H29" s="6" t="n"/>
      <c r="I29" s="6" t="n"/>
      <c r="J29" s="6" t="n"/>
      <c r="K29" s="6" t="n"/>
      <c r="L29" s="6" t="n"/>
      <c r="M29" s="6" t="n">
        <v>3.5</v>
      </c>
      <c r="N29" s="6" t="n">
        <v>1.09</v>
      </c>
      <c r="O29" s="6" t="inlineStr">
        <is>
          <t>FY2012 Pillar 3 not located</t>
        </is>
      </c>
      <c r="P29" s="6" t="n">
        <v>0.186</v>
      </c>
      <c r="Q29" s="6" t="n">
        <v>0</v>
      </c>
    </row>
    <row r="30">
      <c r="A30" s="6" t="inlineStr">
        <is>
          <t>Past due &gt;20% impaired secured exposure (Basel II credit risk table)</t>
        </is>
      </c>
      <c r="B30" s="6" t="n"/>
      <c r="C30" s="6" t="n"/>
      <c r="D30" s="6" t="n"/>
      <c r="E30" s="6" t="n"/>
      <c r="F30" s="6" t="n"/>
      <c r="G30" s="6" t="n"/>
      <c r="H30" s="6" t="n"/>
      <c r="I30" s="6" t="n"/>
      <c r="J30" s="6" t="n"/>
      <c r="K30" s="6" t="n"/>
      <c r="L30" s="6" t="n"/>
      <c r="M30" s="6" t="n">
        <v>2.2</v>
      </c>
      <c r="N30" s="6" t="n">
        <v>1.1</v>
      </c>
      <c r="O30" s="6" t="n"/>
      <c r="P30" s="6" t="n"/>
      <c r="Q30" s="6" t="n"/>
    </row>
    <row r="32" ht="340" customHeight="1">
      <c r="A32" s="8" t="inlineStr">
        <is>
          <t>Sources - Metro Bank PLC statements, £m:
FY2020: Metro Bank PLC Annual Report and Accounts 2020, Consolidated statement of comprehensive income/balance sheet/statement of changes in equity/cash flow statement, p.163-167 - https://www.metrobankonline.co.uk/globalassets/investor-relations/metro-bank-annual-report-2020.pdf
FY2019: Metro Bank PLC Annual Report and Accounts 2019, same statements, p.119-123 - https://www.metrobankonline.co.uk/globalassets/documents/investor_documents/metro-bank-annual-report-2019.pdf
FY2018: Metro Bank Plc Annual report and accounts 2018, same statements, p.104-107 - https://www.metrobankonline.co.uk/globalassets/documents/investor_documents/annual-report-2018.pdf
FY2017: Metro Bank PLC Annual Report and Accounts 2017, same statements, p.87-90 - https://www.metrobankonline.co.uk/globalassets/documents/investor_documents/2017-annual-report.pdf
FY2016: Metro Bank PLC Annual Report and Accounts 2016, same statements, p.73-76 - https://www.metrobankonline.co.uk/globalassets/documents/investor_documents/metro-bank-annual-report-2016.pdf
FY2015: Metro Bank PLC Annual Report, Year Ended 31 December 2015, Consolidated statement of comprehensive income/balance sheet/cash flow statement/statement of changes in equity, p.27-30 - https://www.metrobankonline.co.uk/globalassets/documents/investor_documents/annual-report-2015.pdf
FY2014 (restated): same FY2015 Annual Report's FY2014 comparative column, p.27-30 (own FY2014 Annual Report not located - see HD-049 note) - https://www.metrobankonline.co.uk/globalassets/documents/investor_documents/annual-report-2015.pdf
FY2025: Metro Bank Holdings PLC Annual Report and Accounts 2025, Consolidated income statement/balance sheet/statement of changes in equity, p.147-151 - https://www.metrobankonline.co.uk/globalassets/documents/investor_documents/metro-bank---annual-report-2025.pdf
FY2024: Metro Bank Holdings PLC Annual Report and Accounts 2024, Consolidated statement of comprehensive income/balance sheet/statement of changes in equity, p.161-164 - https://www.metrobankonline.co.uk/globalassets/documents/customer_documents/personal/metro-bank-annual-report-2024.pdf
FY2023: Metro Bank PLC Annual Report 2023, Consolidated and Company statement of comprehensive income/balance sheet/statement of changes in equity, p.92-95 and p.144-146 - https://www.metrobankonline.co.uk/globalassets/documents/customer_documents/business-and-commercial/metro-bank-plc-annual-report-2023.pdf
FY2022: Metro Bank PLC Annual Report and Accounts 2022, Consolidated and company statement of comprehensive income/balance sheets/statements of changes in equity, p.181-184 - https://www.metrobankonline.co.uk/globalassets/documents/customer_documents/business-and-commercial/metro-bank-annual-report-and-accounts-2022.pdf.pdf
FY2021: Metro Bank PLC Annual Report &amp; Accounts 2021, Consolidated statement of comprehensive income/Consolidated and company balance sheets/statements of changes in equity, p.162-165 - https://www.metrobankonline.co.uk/globalassets/documents/customer_documents/intermediaries/metro-bank-annual-report-2021.pdf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BASIS NOTE: Balance Sheet and Statement of Changes in Equity are shown on the same Company/standalone Metro Bank PLC basis as the Cash Flow Statement for FY2021-FY2023, and left blank for FY2024-FY2025 for the same reason (no standalone Metro Bank PLC accounts were located for those years - the 'Company' balance sheet published in the FY2024/FY2025 Annual Reports is Metro Bank Holdings PLC's own shell-company balance sheet, an investment-holding entity with ~£1.8bn/£1.9bn total assets dominated by 'Investment in subsidiaries', a fundamentally different entity from the ~£17-22bn banking entity Metro Bank PLC and not a defensible substitute; confirmed via Companies House filing history for Metro Bank PLC (06419578), which lists only 'Group of companies' accounts' for FY2024/FY2025, no standalone individual accounts). Profit &amp; Loss is shown on a Group/consolidated basis for all 5 years, because Metro Bank PLC does not publish its own standalone income statement in any year reviewed (s.408 Companies Act 2006 exemption, available where consolidated accounts are also presented) - only a Company balance sheet, statement of changes in equity, and cash flow statement.
DATA QUALITY FLAG: the FY2024 Annual Report's own FY2023 comparative column restates several FY2023 P&amp;L and Balance Sheet figures from what AR2023 itself originally reported (e.g. Total operating expenses (585.2) vs AR2023's own (566.4); Total assets 22,245 vs AR2023's own 22,267; Total equity 1,134 vs AR2023's own 1,153) - this workbook uses each year's own contemporaneous figures (as AR2023 itself reported FY2023) rather than the later restated comparative, consistent with this project's standing convention.
P&amp;L PRESENTATION NOTE (HD-049): FY2015-FY2017 include a 'Costs associated with Listing / Listing Share Awards' expense line and a pre-IFRS 9 'Credit impairment charges' line (incurred-loss model) that have no FY2018+ equivalent row (from FY2018, IFRS 9 folds these into 'Impairment...' and 'Expected credit loss expense' respectively) - both are additive components of Total operating expenses/Profit before tax for those years only, not separately continued afterwards. The FY2014 comparative in the audited FY2015 Annual Report, p.28, shows explicit dashes for both listing fees and impairment/write-offs; these are recorded as £0m, not left as unknowns.
ROUNDING NOTE (HD-049): as with the Cash Flow Statement, FY2014-FY2017 Balance Sheet/P&amp;L/Equity source figures were originally reported in £'000 and converted here to whole £m per line item; summing independently-rounded component rows can be up to £1m off the reported Total in a few years (FY2016/FY2017 Total assets, FY2014/FY2017 Total liabilities, FY2017 Total equity) - a rounding artifact of the conversion, not a data error.
Asset Quality tables: FY2025 - AR2025 'Table 1' (Financial review, p.17) and Note 30 Expected credit loss (p.185-186); FY2024 - AR2024 'Table 1'/'Table 2'/'Table 3' (Financial risks, p.126-127) and Note 30; FY2023 - AR2023 'Table 1'/'Table 2'/'Table 3' (Financial risks, p.62-63); FY2022 - AR2022 'Table 1'/'Table 2' (Risk report, p.72-74) and AR2023's FY2022 comparative for 'Table 3' NPLs by portfolio; FY2021 - AR2022's FY2021 comparative for 'Table 1'/'Table 2', and AR2021's own 'Table 1: Non-performing loans' (p.69).
DATA QUALITY NOTE: FY2025's % Stage 2/% Stage 3 are computed here from Note 30's absolute Stage 1/2/3 gross carrying amounts (713/8,993 and 462/8,993) rather than a disclosed percentage - AR2025 stopped disclosing the FY2021-FY2024 'Table 2: Total portfolio credit performance' percentage table in that exact form. FY2025's 90+ days past due percentage was not located in the reviewed disclosure and is left blank rather than estimated. 'Commercial lending' (FY2021-FY2024 label) and 'Corporate and commercial' (FY2025 label) are the same portfolio, simply relabelled between years.
HD-049: FY2018-FY2020 NPLs by portfolio and Total NPL ratio are from each AR's own 'Table 9: Non-performing loans' (labelled 'Retail-residential mortgages'/'Retail-consumer and other'/'Commercial (including asset and invoice finance)' - the same three portfolios as the FY2021+ rows above, under earlier labels). FY2017's Total NPL ratio (0.27%) is a prior-year comparator quoted in AR2018's own narrative; no portfolio breakdown or FY2014-FY2016 NPL/stage data was located within this session's effort. Gross carrying amount by portfolio, ECL allowance by portfolio, and IFRS 9 stage split are not populated for FY2014-FY2020: FY2014-FY2017 pre-date IFRS 9 (incurred-loss model, no stage concept, and portfolio-level gross/ECL tables in a comparable format were not located), and FY2018-FY2020's portfolio-level gross/ECL tables were not extracted this session (only the Group Balance Sheet's single net loans and advances to customers figure and the NPL table above were sourced) - left blank rather than estimated.
2026-09-15 (Pillar 3 2019 pass): FY2019/FY2018 Total ECL allowance (-34 both years) is now sourced from the Pillar 3 2019's own narrative under Table 16 (p.39) and Table 18 Loss allowance under IFRS 9 (p.41). The FY2019/FY2018 Stage 1/2/3 gross carrying amounts remain blank on purpose: Table 18 discloses loss allowance BY STAGE (FY2019: Stage 1 -9, Stage 2 -5, Stage 3 -20, POCI 0) but the document contains no gross carrying amount by stage, and the coverage ratio is likewise not stated - both would have to be back-solved, which this project does not do. Separately, Table 17 EU CR1-A reports a regulatory defaulted exposure of GBP 92m (FY2018: GBP 59m); that is a different definition from the Annual Report's non-performing loan measure of GBP 77m (FY2018: GBP 21m) already recorded above, so the two are NOT merged and the NPL rows are left as the Annual Report reported them.
2026-09-15 BASEL II BLOCK (FY2010-FY2014): the general doubtful-debt provision figures are the single narrative sentence each recovered Pillar 3 edition devotes to provisioning, in its section 5.4 'Non-performing Loans and Provisioning' - verbatim: FY2014 'At the end of 2014 there was a general doubtful debt provision of GBP 3.5m'; FY2013 'a general doubtful debt provision of GBP 1.09m'; FY2011 'a general doubtful debt provision of GBP 186k'; FY2010 'At the end of 2010 there were no specific and general doubtful debt provisions required', which is an explicitly stated nil and is recorded as 0, not left blank. BASIS WARNING: these are INCURRED-LOSS provisions under the pre-IFRS 9 regime described in those documents ('A general provision is raised against performing balances and a specific provision is raised against non-performing or defaulted agreements'), which is a fundamentally different measurement basis from the IFRS 9 expected-credit-loss allowance in the rows above. They are on their own labelled rows and must not be spliced onto the ECL series. The past-due row is the 'Past Due &gt;20% Impaired Secured' exposure line in the FY2013/FY2014 credit-risk tables (FY2013 1,093.08 GBP'000, FY2014 2,165 GBP'000); FY2010 and FY2011 have no such line. Note that the FY2013 general provision (GBP 1.09m) and the FY2013 past-due exposure (GBP 1.09m) are the same number - that is what both places in the source document say, and it is reproduced rather than treated as a transcription error. No NPL, stage or coverage data of any kind exists in the Basel II editions, so those rows stay blank for FY2010-FY2014.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t>
        </is>
      </c>
    </row>
  </sheetData>
  <mergeCells count="1">
    <mergeCell ref="A32:Q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(CET1) capital</t>
        </is>
      </c>
      <c r="B4" s="6" t="n">
        <v>840</v>
      </c>
      <c r="C4" s="6" t="n">
        <v>808</v>
      </c>
      <c r="D4" s="6" t="n">
        <v>985</v>
      </c>
      <c r="E4" s="6" t="n">
        <v>819</v>
      </c>
      <c r="F4" s="6" t="n">
        <v>936</v>
      </c>
      <c r="G4" s="6" t="n">
        <v>1192</v>
      </c>
      <c r="H4" s="6" t="n">
        <v>1427</v>
      </c>
      <c r="I4" s="6" t="n">
        <v>1171</v>
      </c>
      <c r="J4" s="6" t="n">
        <v>897</v>
      </c>
      <c r="K4" s="6" t="n">
        <v>651</v>
      </c>
      <c r="L4" s="6" t="n">
        <v>300</v>
      </c>
      <c r="M4" s="6" t="n">
        <v>384</v>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are marked 'Not applicable (Basel II)': Metro Bank's Pillar 3 disclosures for those years pre-date CRD IV entirely and contain no CET1 concept at all (a full-text search of the FY2010/FY2011/FY2013 editions returns zero hits for 'CET1' and 'Common Equity'). The Basel II Tier 1 / Total Regulatory Capital those editions DO disclose is carried on the Tier 1 Capital and Total Capital sheets, on its own separate row. FY2023-FY2025 are Holdings Group figures following the May 2023 holding-company insertion; FY2021-FY2022 are Metro Bank PLC consolidated prudential figures. CORRECTED 2026-09-03 (ST-026): FY2023-FY2025 previously showed the 30 June interim KM1 column instead of the 31 December year-end column (e.g. FY2024 was 937, the 30 June 2024 figure - the year-end figure is 808); found while cross-checking against the RWA Breakdown sheet's own OV1/KM1 source tables. FY2021-FY2022 were already correct. HD-049: FY2014/FY2015 are Total regulatory capital (=CET1=Tier1=Total capital, no AT1/Tier 2 disclosed in either year) from the Annual Report's own Capital management note/capital structure table, not a Pillar 3 disclosure - see P3_SOURCES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Common Equity Tier 1 ratio</t>
        </is>
      </c>
      <c r="B4" s="6" t="inlineStr">
        <is>
          <t>12.5%</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applicable (Basel II)</t>
        </is>
      </c>
      <c r="O4" s="6" t="inlineStr">
        <is>
          <t>Not applicable (Basel II)</t>
        </is>
      </c>
      <c r="P4" s="6" t="inlineStr">
        <is>
          <t>Not applicable (Basel II)</t>
        </is>
      </c>
      <c r="Q4" s="6" t="inlineStr">
        <is>
          <t>Not applicable (Basel II)</t>
        </is>
      </c>
    </row>
    <row r="5" ht="60" customHeight="1">
      <c r="A5" s="7" t="inlineStr">
        <is>
          <t>Note: FY2010-FY2013 'Not applicable (Basel II)' - no CET1 concept existed in those editions (see CET1 Capital sheet's note). CORRECTED 2026-09-03 (ST-026): FY2023-FY2025 previously showed the 30 June interim column instead of 31 December year-end (see CET1 Capital sheet's note). HD-049: FY2014/FY2015 from the Annual Report (not Pillar 3) - see CET1 Capital sheet's note.</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capital (CRR/CRD IV basis)</t>
        </is>
      </c>
      <c r="B4" s="6" t="n">
        <v>1082</v>
      </c>
      <c r="C4" s="6" t="n">
        <v>808</v>
      </c>
      <c r="D4" s="6" t="n">
        <v>985</v>
      </c>
      <c r="E4" s="6" t="n">
        <v>819</v>
      </c>
      <c r="F4" s="6" t="n">
        <v>936</v>
      </c>
      <c r="G4" s="6" t="n">
        <v>1192</v>
      </c>
      <c r="H4" s="6" t="n">
        <v>1427</v>
      </c>
      <c r="I4" s="6" t="n">
        <v>1171</v>
      </c>
      <c r="J4" s="6" t="n">
        <v>897</v>
      </c>
      <c r="K4" s="6" t="n">
        <v>651</v>
      </c>
      <c r="L4" s="6" t="n">
        <v>300</v>
      </c>
      <c r="M4" s="6" t="n">
        <v>384</v>
      </c>
      <c r="N4" s="6" t="n"/>
      <c r="O4" s="6" t="n"/>
      <c r="P4" s="6" t="n"/>
      <c r="Q4" s="6" t="n"/>
    </row>
    <row r="5">
      <c r="A5" s="6" t="inlineStr">
        <is>
          <t>Tier 1 capital, Basel II / GENPRU 2.2 basis - as disclosed in that year's own Pillar 3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(historical Pillar 3 recovery). The four recovered Metro Bank PLC Pillar 3 editions (FY2010, FY2011, FY2013, FY2014) each state a single 'Tier 1 capital based on the [year] audited accounts' figure computed under the FSA's/PRA's GENPRU 2.2 definition, i.e. Basel II. That is a different definition from the CRR/CRD IV Tier 1 capital on the first row and the two are deliberately NOT merged into one series. FY2014 APPEARS ON BOTH ROWS AND THE TWO DISAGREE, ON PURPOSE: 384 on the CRR row is the FY2015 Annual Report's Capital management note; 387.3 on the Basel II row is the FY2014 Pillar 3's own printed Total Regulatory Capital of 387,261 (its narrative rounds this to 'GBP 388m'). The GBP 3.3m gap between two different documents on two different bases is documented, not reconciled, and the pre-existing figure was not overwritten. See the source note for the FY2014 table's own GBP 630k internal footing error. CORRECTED 2026-09-03 (ST-026): FY2023-FY2025 previously showed the 30 June interim column instead of 31 December year-end (see CET1 Capital sheet's note). HD-049: FY2014-FY2017 Tier 1 = CET1 (no AT1 disclosed) - see CET1 Capital sheet's note.</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Tier 1 ratio</t>
        </is>
      </c>
      <c r="B4" s="6" t="inlineStr">
        <is>
          <t>16.1%</t>
        </is>
      </c>
      <c r="C4" s="6" t="inlineStr">
        <is>
          <t>12.5%</t>
        </is>
      </c>
      <c r="D4" s="6" t="inlineStr">
        <is>
          <t>13.1%</t>
        </is>
      </c>
      <c r="E4" s="6" t="inlineStr">
        <is>
          <t>10.3%</t>
        </is>
      </c>
      <c r="F4" s="6" t="inlineStr">
        <is>
          <t>12.6%</t>
        </is>
      </c>
      <c r="G4" s="6" t="inlineStr">
        <is>
          <t>15.0%</t>
        </is>
      </c>
      <c r="H4" s="6" t="inlineStr">
        <is>
          <t>15.6%</t>
        </is>
      </c>
      <c r="I4" s="6" t="inlineStr">
        <is>
          <t>13.1%</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(2026-09-15): a Tier 1 ratio was a Basel II concept and could in principle have been disclosed, but none of the three recovered editions states one anywhere. It is deliberately NOT computed from the Basel II capital and credit-risk RWA figures elsewhere in this workbook - that would be back-solving, and the denominator would in any case be a credit-risk-only subtotal. FY2012's edition was never located. CORRECTED 2026-09-03 (ST-026): FY2023-FY2025 previously showed the 30 June interim column instead of 31 December year-end (see CET1 Capital sheet's note). HD-049: FY2014-FY2017 Tier 1 ratio = CET1 ratio (no AT1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(CRR/CRD IV basis)</t>
        </is>
      </c>
      <c r="B4" s="6" t="n">
        <v>1232</v>
      </c>
      <c r="C4" s="6" t="n">
        <v>958</v>
      </c>
      <c r="D4" s="6" t="n">
        <v>1135</v>
      </c>
      <c r="E4" s="6" t="n">
        <v>1069</v>
      </c>
      <c r="F4" s="6" t="n">
        <v>1184</v>
      </c>
      <c r="G4" s="6" t="n">
        <v>1441</v>
      </c>
      <c r="H4" s="6" t="n">
        <v>1676</v>
      </c>
      <c r="I4" s="6" t="n">
        <v>1420</v>
      </c>
      <c r="J4" s="6" t="n">
        <v>897</v>
      </c>
      <c r="K4" s="6" t="n">
        <v>651</v>
      </c>
      <c r="L4" s="6" t="n">
        <v>300</v>
      </c>
      <c r="M4" s="6" t="n">
        <v>384</v>
      </c>
      <c r="N4" s="6" t="n"/>
      <c r="O4" s="6" t="n"/>
      <c r="P4" s="6" t="n"/>
      <c r="Q4" s="6" t="n"/>
    </row>
    <row r="5">
      <c r="A5" s="6" t="inlineStr">
        <is>
          <t>Total Regulatory Capital, Basel II / GENPRU 2.2 basis - equals Tier 1, no Tier 2 held (NOT continuous with the CRR row above)</t>
        </is>
      </c>
      <c r="B5" s="6" t="n"/>
      <c r="C5" s="6" t="n"/>
      <c r="D5" s="6" t="n"/>
      <c r="E5" s="6" t="n"/>
      <c r="F5" s="6" t="n"/>
      <c r="G5" s="6" t="n"/>
      <c r="H5" s="6" t="n"/>
      <c r="I5" s="6" t="n"/>
      <c r="J5" s="6" t="n"/>
      <c r="K5" s="6" t="n"/>
      <c r="L5" s="6" t="n"/>
      <c r="M5" s="6" t="n">
        <v>387.3</v>
      </c>
      <c r="N5" s="6" t="n">
        <v>381.5</v>
      </c>
      <c r="O5" s="6" t="inlineStr">
        <is>
          <t>FY2012 Pillar 3 not located</t>
        </is>
      </c>
      <c r="P5" s="6" t="n">
        <v>69.09999999999999</v>
      </c>
      <c r="Q5" s="6" t="n">
        <v>89.8</v>
      </c>
    </row>
    <row r="6" ht="60" customHeight="1">
      <c r="A6" s="7" t="inlineStr">
        <is>
          <t>Note: SECOND ROW ADDED 2026-09-15: the Basel II bottom line printed in each recovered Pillar 3 edition's capital table. These editions describe the entire capital base as Tier 1 ('the Bank's capital base was made up of GBP Xm of Tier 1 capital') and contain no occurrence of 'Tier 2' at all, so Total Regulatory Capital equals Tier 1 for FY2010-FY2014 as a matter of what the documents state, not by inference. The FY2014 disagreement between the two rows (384 vs 387.3) is explained on the Tier 1 Capital sheet. CORRECTED 2026-09-03 (ST-026): FY2023-FY2025 previously showed the 30 June interim column instead of 31 December year-end (see CET1 Capital sheet's note). HD-049: FY2014-FY2017 Total capital = Tier 1 (no Tier 2 disclosed until FY2018's £249m debt securities). FY2014/FY2015 from the Annual Report, not Pillar 3.</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capital ratio</t>
        </is>
      </c>
      <c r="B4" s="6" t="inlineStr">
        <is>
          <t>18.4%</t>
        </is>
      </c>
      <c r="C4" s="6" t="inlineStr">
        <is>
          <t>14.9%</t>
        </is>
      </c>
      <c r="D4" s="6" t="inlineStr">
        <is>
          <t>15.1%</t>
        </is>
      </c>
      <c r="E4" s="6" t="inlineStr">
        <is>
          <t>13.4%</t>
        </is>
      </c>
      <c r="F4" s="6" t="inlineStr">
        <is>
          <t>15.9%</t>
        </is>
      </c>
      <c r="G4" s="6" t="inlineStr">
        <is>
          <t>18.1%</t>
        </is>
      </c>
      <c r="H4" s="6" t="inlineStr">
        <is>
          <t>18.3%</t>
        </is>
      </c>
      <c r="I4" s="6" t="inlineStr">
        <is>
          <t>15.9%</t>
        </is>
      </c>
      <c r="J4" s="6" t="inlineStr">
        <is>
          <t>15.25%</t>
        </is>
      </c>
      <c r="K4" s="6" t="inlineStr">
        <is>
          <t>18.16%</t>
        </is>
      </c>
      <c r="L4" s="6" t="inlineStr">
        <is>
          <t>13%</t>
        </is>
      </c>
      <c r="M4" s="6" t="inlineStr">
        <is>
          <t>28%</t>
        </is>
      </c>
      <c r="N4" s="6" t="inlineStr">
        <is>
          <t>Not publicly disclosed</t>
        </is>
      </c>
      <c r="O4" s="6" t="inlineStr">
        <is>
          <t>FY2012 Pillar 3 not located</t>
        </is>
      </c>
      <c r="P4" s="6" t="inlineStr">
        <is>
          <t>Not publicly disclosed</t>
        </is>
      </c>
      <c r="Q4" s="6" t="inlineStr">
        <is>
          <t>Not publicly disclosed</t>
        </is>
      </c>
    </row>
    <row r="5" ht="60" customHeight="1">
      <c r="A5" s="7" t="inlineStr">
        <is>
          <t>Note: FY2010/FY2011/FY2013 'Not publicly disclosed' - no capital ratio of any kind appears in the recovered Basel II editions, and none is back-solved here (see the Tier 1 Ratio sheet's note). FY2012's edition was never located. CORRECTED 2026-09-03 (ST-026): FY2023-FY2025 previously showed the 30 June interim column instead of 31 December year-end (see CET1 Capital sheet's note). HD-049: FY2014-FY2017 Total capital ratio = CET1 ratio (no Tier 2 disclosed).</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risk-weighted exposure amount</t>
        </is>
      </c>
      <c r="B4" s="6" t="n">
        <v>6711</v>
      </c>
      <c r="C4" s="6" t="n">
        <v>6442</v>
      </c>
      <c r="D4" s="6" t="n">
        <v>7533</v>
      </c>
      <c r="E4" s="6" t="n">
        <v>7990</v>
      </c>
      <c r="F4" s="6" t="n">
        <v>7454</v>
      </c>
      <c r="G4" s="6" t="n">
        <v>7957</v>
      </c>
      <c r="H4" s="6" t="n">
        <v>9147</v>
      </c>
      <c r="I4" s="6" t="n">
        <v>8936</v>
      </c>
      <c r="J4" s="6" t="n">
        <v>5882</v>
      </c>
      <c r="K4" s="6" t="n">
        <v>3590</v>
      </c>
      <c r="L4" s="6" t="n"/>
      <c r="M4" s="6" t="inlineStr">
        <is>
          <t>Not publicly disclosed</t>
        </is>
      </c>
      <c r="N4" s="6" t="inlineStr">
        <is>
          <t>Not publicly disclosed</t>
        </is>
      </c>
      <c r="O4" s="6" t="inlineStr">
        <is>
          <t>FY2012 Pillar 3 not located</t>
        </is>
      </c>
      <c r="P4" s="6" t="inlineStr">
        <is>
          <t>Not publicly disclosed</t>
        </is>
      </c>
      <c r="Q4" s="6" t="inlineStr">
        <is>
          <t>Not publicly disclosed</t>
        </is>
      </c>
    </row>
    <row r="5">
      <c r="A5" s="6" t="inlineStr">
        <is>
          <t>Credit risk RWA only, Basel II standardised approach - the sole RWA figure these editions disclose (NOT a total RWA)</t>
        </is>
      </c>
      <c r="B5" s="6" t="n"/>
      <c r="C5" s="6" t="n"/>
      <c r="D5" s="6" t="n"/>
      <c r="E5" s="6" t="n"/>
      <c r="F5" s="6" t="n"/>
      <c r="G5" s="6" t="n"/>
      <c r="H5" s="6" t="n"/>
      <c r="I5" s="6" t="n"/>
      <c r="J5" s="6" t="n"/>
      <c r="K5" s="6" t="n"/>
      <c r="L5" s="6" t="n"/>
      <c r="M5" s="6" t="n">
        <v>1415.9</v>
      </c>
      <c r="N5" s="6" t="n">
        <v>775.3</v>
      </c>
      <c r="O5" s="6" t="inlineStr">
        <is>
          <t>FY2012 Pillar 3 not located</t>
        </is>
      </c>
      <c r="P5" s="6" t="n">
        <v>93.2</v>
      </c>
      <c r="Q5" s="6" t="n">
        <v>19</v>
      </c>
    </row>
    <row r="6" ht="60" customHeight="1">
      <c r="A6" s="7" t="inlineStr">
        <is>
          <t>Note: SECOND ROW ADDED 2026-09-15. The recovered Basel II editions each print an RWA column in their credit-risk exposure table, totalled on the bottom row (captioned 'TOTAL Risk Weighted Assets' in FY2011/FY2013, 'TOTAL' in FY2014, and sitting on the 'Total assets' row in FY2010). Despite the FY2011/FY2013 caption, that figure is NOT a total RWA: the table covers credit-risk exposures only, and each edition states that operational risk is measured under the Basic Indicator Approach without ever quantifying the resulting RWA. It is therefore carried on its own row and never added to, or continued into, the CRR total above. FY2010-FY2013 read 'Not publicly disclosed' on the first row rather than 'Not applicable': a total Pillar 1 RWA (credit plus market plus operational) WAS a defined Basel II concept, so this is a genuine disclosure gap in those editions, not a structurally inapplicable metric. FY2014's cell now reads 'Not publicly disclosed' rather than being left blank: the FY2014 Pillar 3 has now been read cover to cover and confirms no total RWA exists to find, which closes that cell instead of leaving it to be re-chased. FY2015 stays blank - no FY2015 Pillar 3 edition has been located and the point has not been settled for that year. CORRECTED 2026-09-03 (ST-026): FY2023-FY2025 previously showed the 30 June interim column instead of 31 December year-end (e.g. FY2024 was 7239, the 30 June 2024 figure - the year-end figure is 6442, confirmed against both the KM1 Key metrics table and the OV1 RWA-by-risk-type table, and against the RWA Breakdown sheet's own total). FY2021-FY2022 were already correct. HD-049: FY2014/FY2015 RWAs were not disclosed in the Annual Report (only capital and ratios) and are left blank rather than derived by dividing capital by the ratio.</t>
        </is>
      </c>
    </row>
    <row r="8" ht="190" customHeight="1">
      <c r="A8"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6:Q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RWA Breakdown</t>
        </is>
      </c>
    </row>
    <row r="2">
      <c r="A2" s="2" t="inlineStr">
        <is>
          <t>Pillar 3 UK/EU OV1 template. FY2023-FY2025 are Holdings Group figures; FY2021-FY2022 are the Metro Bank PLC prudential perimeter (same basis split as the other Pillar 3 sheets). The FY2010-FY2014 block at the bottom is a SEPARATE Basel II standardised-approach credit-risk table on a different basis - read it on its own, never as a continuation of the OV1 rows above.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(16m) (£m)</t>
        </is>
      </c>
    </row>
    <row r="4">
      <c r="A4" s="6" t="inlineStr">
        <is>
          <t>Credit risk (excluding counterparty credit risk)</t>
        </is>
      </c>
      <c r="B4" s="6" t="n">
        <v>5793</v>
      </c>
      <c r="C4" s="6" t="n">
        <v>5572</v>
      </c>
      <c r="D4" s="6" t="n">
        <v>6667</v>
      </c>
      <c r="E4" s="6" t="n">
        <v>7071</v>
      </c>
      <c r="F4" s="6" t="n">
        <v>6444</v>
      </c>
      <c r="G4" s="6" t="n">
        <v>7251</v>
      </c>
      <c r="H4" s="6" t="n">
        <v>8591</v>
      </c>
      <c r="I4" s="6" t="n">
        <v>8560</v>
      </c>
      <c r="J4" s="6" t="n">
        <v>5020</v>
      </c>
      <c r="K4" s="6" t="n">
        <v>2959</v>
      </c>
      <c r="L4" s="6" t="n"/>
      <c r="M4" s="6" t="n"/>
      <c r="N4" s="6" t="n"/>
      <c r="O4" s="6" t="n"/>
      <c r="P4" s="6" t="n"/>
      <c r="Q4" s="6" t="n"/>
    </row>
    <row r="5">
      <c r="A5" s="6" t="inlineStr">
        <is>
          <t>Counterparty credit risk</t>
        </is>
      </c>
      <c r="B5" s="6" t="n">
        <v>5</v>
      </c>
      <c r="C5" s="6" t="n">
        <v>19</v>
      </c>
      <c r="D5" s="6" t="n">
        <v>26</v>
      </c>
      <c r="E5" s="6" t="n">
        <v>9</v>
      </c>
      <c r="F5" s="6" t="n">
        <v>6</v>
      </c>
      <c r="G5" s="6" t="n">
        <v>7</v>
      </c>
      <c r="H5" s="6" t="n">
        <v>5</v>
      </c>
      <c r="I5" s="6" t="n">
        <v>2</v>
      </c>
      <c r="J5" s="6" t="n">
        <v>0</v>
      </c>
      <c r="K5" s="6" t="n">
        <v>0</v>
      </c>
      <c r="L5" s="6" t="n"/>
      <c r="M5" s="6" t="n"/>
      <c r="N5" s="6" t="n"/>
      <c r="O5" s="6" t="n"/>
      <c r="P5" s="6" t="n"/>
      <c r="Q5" s="6" t="n"/>
    </row>
    <row r="6">
      <c r="A6" s="6" t="inlineStr">
        <is>
          <t>Securitisation exposures in the banking book (after the cap)</t>
        </is>
      </c>
      <c r="B6" s="6" t="n">
        <v>138</v>
      </c>
      <c r="C6" s="6" t="n">
        <v>124</v>
      </c>
      <c r="D6" s="6" t="n">
        <v>129</v>
      </c>
      <c r="E6" s="6" t="n">
        <v>166</v>
      </c>
      <c r="F6" s="6" t="n">
        <v>261</v>
      </c>
      <c r="G6" s="6" t="n"/>
      <c r="H6" s="6" t="n"/>
      <c r="I6" s="6" t="n"/>
      <c r="J6" s="6" t="n">
        <v>626</v>
      </c>
      <c r="K6" s="6" t="n">
        <v>494</v>
      </c>
      <c r="L6" s="6" t="n"/>
      <c r="M6" s="6" t="n"/>
      <c r="N6" s="6" t="n"/>
      <c r="O6" s="6" t="n"/>
      <c r="P6" s="6" t="n"/>
      <c r="Q6" s="6" t="n"/>
    </row>
    <row r="7">
      <c r="A7" s="6" t="inlineStr">
        <is>
          <t>Market risk</t>
        </is>
      </c>
      <c r="B7" s="6" t="n"/>
      <c r="C7" s="6" t="n"/>
      <c r="D7" s="6" t="n"/>
      <c r="E7" s="6" t="n">
        <v>0</v>
      </c>
      <c r="F7" s="6" t="n">
        <v>9</v>
      </c>
      <c r="G7" s="6" t="n">
        <v>14</v>
      </c>
      <c r="H7" s="6" t="n">
        <v>5</v>
      </c>
      <c r="I7" s="6" t="n">
        <v>4</v>
      </c>
      <c r="J7" s="6" t="n">
        <v>2</v>
      </c>
      <c r="K7" s="6" t="n">
        <v>1</v>
      </c>
      <c r="L7" s="6" t="n"/>
      <c r="M7" s="6" t="n"/>
      <c r="N7" s="6" t="n"/>
      <c r="O7" s="6" t="n"/>
      <c r="P7" s="6" t="n"/>
      <c r="Q7" s="6" t="n"/>
    </row>
    <row r="8">
      <c r="A8" s="6" t="inlineStr">
        <is>
          <t>Operational risk</t>
        </is>
      </c>
      <c r="B8" s="6" t="n">
        <v>759</v>
      </c>
      <c r="C8" s="6" t="n">
        <v>720</v>
      </c>
      <c r="D8" s="6" t="n">
        <v>703</v>
      </c>
      <c r="E8" s="6" t="n">
        <v>739</v>
      </c>
      <c r="F8" s="6" t="n">
        <v>729</v>
      </c>
      <c r="G8" s="6" t="n">
        <v>686</v>
      </c>
      <c r="H8" s="6" t="n">
        <v>546</v>
      </c>
      <c r="I8" s="6" t="n">
        <v>370</v>
      </c>
      <c r="J8" s="6" t="n">
        <v>234</v>
      </c>
      <c r="K8" s="6" t="n">
        <v>136</v>
      </c>
      <c r="L8" s="6" t="n"/>
      <c r="M8" s="6" t="n"/>
      <c r="N8" s="6" t="n"/>
      <c r="O8" s="6" t="n"/>
      <c r="P8" s="6" t="n"/>
      <c r="Q8" s="6" t="n"/>
    </row>
    <row r="9">
      <c r="A9" s="6" t="inlineStr">
        <is>
          <t>Amounts below the thresholds for deduction (subject to 250% risk weight)</t>
        </is>
      </c>
      <c r="B9" s="6" t="n">
        <v>16</v>
      </c>
      <c r="C9" s="6" t="n">
        <v>7</v>
      </c>
      <c r="D9" s="6" t="n">
        <v>8</v>
      </c>
      <c r="E9" s="6" t="n">
        <v>5</v>
      </c>
      <c r="F9" s="6" t="n">
        <v>5</v>
      </c>
      <c r="G9" s="6" t="n"/>
      <c r="H9" s="6" t="n">
        <v>0</v>
      </c>
      <c r="I9" s="6" t="n">
        <v>0</v>
      </c>
      <c r="J9" s="6" t="n"/>
      <c r="K9" s="6" t="n"/>
      <c r="L9" s="6" t="n"/>
      <c r="M9" s="6" t="n"/>
      <c r="N9" s="6" t="n"/>
      <c r="O9" s="6" t="n"/>
      <c r="P9" s="6" t="n"/>
      <c r="Q9" s="6" t="n"/>
    </row>
    <row r="10">
      <c r="A10" s="5" t="inlineStr">
        <is>
          <t>Total</t>
        </is>
      </c>
      <c r="B10" s="5" t="n">
        <v>6711</v>
      </c>
      <c r="C10" s="5" t="n">
        <v>6442</v>
      </c>
      <c r="D10" s="5" t="n">
        <v>7533</v>
      </c>
      <c r="E10" s="5" t="n">
        <v>7990</v>
      </c>
      <c r="F10" s="5" t="n">
        <v>7454</v>
      </c>
      <c r="G10" s="5" t="n">
        <v>7957</v>
      </c>
      <c r="H10" s="5" t="n">
        <v>9147</v>
      </c>
      <c r="I10" s="5" t="n">
        <v>8936</v>
      </c>
      <c r="J10" s="5" t="n">
        <v>5882</v>
      </c>
      <c r="K10" s="5" t="n">
        <v>3590</v>
      </c>
      <c r="L10" s="5" t="n"/>
      <c r="M10" s="5" t="n"/>
      <c r="N10" s="5" t="n"/>
      <c r="O10" s="5" t="n"/>
      <c r="P10" s="5" t="n"/>
      <c r="Q10" s="5" t="n"/>
    </row>
    <row r="11">
      <c r="A11" s="5" t="inlineStr">
        <is>
          <t>Basel II standardised approach, credit risk only (FY2010-FY2014) - separate basis, NOT part of the UK/EU OV1 total above</t>
        </is>
      </c>
      <c r="B11" s="6" t="n"/>
      <c r="C11" s="6" t="n"/>
      <c r="D11" s="6" t="n"/>
      <c r="E11" s="6" t="n"/>
      <c r="F11" s="6" t="n"/>
      <c r="G11" s="6" t="n"/>
      <c r="H11" s="6" t="n"/>
      <c r="I11" s="6" t="n"/>
      <c r="J11" s="6" t="n"/>
      <c r="K11" s="6" t="n"/>
      <c r="L11" s="6" t="n"/>
      <c r="M11" s="6" t="n"/>
      <c r="N11" s="6" t="n"/>
      <c r="O11" s="6" t="n"/>
      <c r="P11" s="6" t="n"/>
      <c r="Q11" s="6" t="n"/>
    </row>
    <row r="12">
      <c r="A12" s="6" t="inlineStr">
        <is>
          <t>Loans and advances to banks (20% risk weight)</t>
        </is>
      </c>
      <c r="B12" s="6" t="n"/>
      <c r="C12" s="6" t="n"/>
      <c r="D12" s="6" t="n"/>
      <c r="E12" s="6" t="n"/>
      <c r="F12" s="6" t="n"/>
      <c r="G12" s="6" t="n"/>
      <c r="H12" s="6" t="n"/>
      <c r="I12" s="6" t="n"/>
      <c r="J12" s="6" t="n"/>
      <c r="K12" s="6" t="n"/>
      <c r="L12" s="6" t="n"/>
      <c r="M12" s="6" t="n">
        <v>6.8</v>
      </c>
      <c r="N12" s="6" t="n">
        <v>5</v>
      </c>
      <c r="O12" s="6" t="n"/>
      <c r="P12" s="6" t="n">
        <v>5.7</v>
      </c>
      <c r="Q12" s="6" t="n">
        <v>1.1</v>
      </c>
    </row>
    <row r="13">
      <c r="A13" s="6" t="inlineStr">
        <is>
          <t>Investments (10%-100% risk weight)</t>
        </is>
      </c>
      <c r="B13" s="6" t="n"/>
      <c r="C13" s="6" t="n"/>
      <c r="D13" s="6" t="n"/>
      <c r="E13" s="6" t="n"/>
      <c r="F13" s="6" t="n"/>
      <c r="G13" s="6" t="n"/>
      <c r="H13" s="6" t="n"/>
      <c r="I13" s="6" t="n"/>
      <c r="J13" s="6" t="n"/>
      <c r="K13" s="6" t="n"/>
      <c r="L13" s="6" t="n"/>
      <c r="M13" s="6" t="n">
        <v>406.3</v>
      </c>
      <c r="N13" s="6" t="n">
        <v>155.3</v>
      </c>
      <c r="O13" s="6" t="n"/>
      <c r="P13" s="6" t="n">
        <v>7.8</v>
      </c>
      <c r="Q13" s="6" t="n"/>
    </row>
    <row r="14">
      <c r="A14" s="6" t="inlineStr">
        <is>
          <t>Secured residential lending (35%-75% risk weight)</t>
        </is>
      </c>
      <c r="B14" s="6" t="n"/>
      <c r="C14" s="6" t="n"/>
      <c r="D14" s="6" t="n"/>
      <c r="E14" s="6" t="n"/>
      <c r="F14" s="6" t="n"/>
      <c r="G14" s="6" t="n"/>
      <c r="H14" s="6" t="n"/>
      <c r="I14" s="6" t="n"/>
      <c r="J14" s="6" t="n"/>
      <c r="K14" s="6" t="n"/>
      <c r="L14" s="6" t="n"/>
      <c r="M14" s="6" t="n"/>
      <c r="N14" s="6" t="n">
        <v>138.2</v>
      </c>
      <c r="O14" s="6" t="n"/>
      <c r="P14" s="6" t="n">
        <v>8.699999999999999</v>
      </c>
      <c r="Q14" s="6" t="n"/>
    </row>
    <row r="15">
      <c r="A15" s="6" t="inlineStr">
        <is>
          <t>Retail lending (35%-75% risk weight; FY2014 label)</t>
        </is>
      </c>
      <c r="B15" s="6" t="n"/>
      <c r="C15" s="6" t="n"/>
      <c r="D15" s="6" t="n"/>
      <c r="E15" s="6" t="n"/>
      <c r="F15" s="6" t="n"/>
      <c r="G15" s="6" t="n"/>
      <c r="H15" s="6" t="n"/>
      <c r="I15" s="6" t="n"/>
      <c r="J15" s="6" t="n"/>
      <c r="K15" s="6" t="n"/>
      <c r="L15" s="6" t="n"/>
      <c r="M15" s="6" t="n">
        <v>344.8</v>
      </c>
      <c r="N15" s="6" t="n"/>
      <c r="O15" s="6" t="n"/>
      <c r="P15" s="6" t="n"/>
      <c r="Q15" s="6" t="n"/>
    </row>
    <row r="16">
      <c r="A16" s="6" t="inlineStr">
        <is>
          <t>Retail and commercial lending (75%-100% risk weight; FY2011/FY2013 label)</t>
        </is>
      </c>
      <c r="B16" s="6" t="n"/>
      <c r="C16" s="6" t="n"/>
      <c r="D16" s="6" t="n"/>
      <c r="E16" s="6" t="n"/>
      <c r="F16" s="6" t="n"/>
      <c r="G16" s="6" t="n"/>
      <c r="H16" s="6" t="n"/>
      <c r="I16" s="6" t="n"/>
      <c r="J16" s="6" t="n"/>
      <c r="K16" s="6" t="n"/>
      <c r="L16" s="6" t="n"/>
      <c r="M16" s="6" t="n"/>
      <c r="N16" s="6" t="n">
        <v>285.5</v>
      </c>
      <c r="O16" s="6" t="n"/>
      <c r="P16" s="6" t="n">
        <v>17.6</v>
      </c>
      <c r="Q16" s="6" t="n"/>
    </row>
    <row r="17">
      <c r="A17" s="6" t="inlineStr">
        <is>
          <t>SME and commercial (35%-100% risk weight; FY2014 label)</t>
        </is>
      </c>
      <c r="B17" s="6" t="n"/>
      <c r="C17" s="6" t="n"/>
      <c r="D17" s="6" t="n"/>
      <c r="E17" s="6" t="n"/>
      <c r="F17" s="6" t="n"/>
      <c r="G17" s="6" t="n"/>
      <c r="H17" s="6" t="n"/>
      <c r="I17" s="6" t="n"/>
      <c r="J17" s="6" t="n"/>
      <c r="K17" s="6" t="n"/>
      <c r="L17" s="6" t="n"/>
      <c r="M17" s="6" t="n">
        <v>426</v>
      </c>
      <c r="N17" s="6" t="n"/>
      <c r="O17" s="6" t="n"/>
      <c r="P17" s="6" t="n"/>
      <c r="Q17" s="6" t="n"/>
    </row>
    <row r="18">
      <c r="A18" s="6" t="inlineStr">
        <is>
          <t>Loans and advances to customers (75% risk weight; FY2010 label)</t>
        </is>
      </c>
      <c r="B18" s="6" t="n"/>
      <c r="C18" s="6" t="n"/>
      <c r="D18" s="6" t="n"/>
      <c r="E18" s="6" t="n"/>
      <c r="F18" s="6" t="n"/>
      <c r="G18" s="6" t="n"/>
      <c r="H18" s="6" t="n"/>
      <c r="I18" s="6" t="n"/>
      <c r="J18" s="6" t="n"/>
      <c r="K18" s="6" t="n"/>
      <c r="L18" s="6" t="n"/>
      <c r="M18" s="6" t="n"/>
      <c r="N18" s="6" t="n"/>
      <c r="O18" s="6" t="n"/>
      <c r="P18" s="6" t="n"/>
      <c r="Q18" s="6" t="n">
        <v>0.1</v>
      </c>
    </row>
    <row r="19">
      <c r="A19" s="6" t="inlineStr">
        <is>
          <t>Fixed and other assets (100% risk weight)</t>
        </is>
      </c>
      <c r="B19" s="6" t="n"/>
      <c r="C19" s="6" t="n"/>
      <c r="D19" s="6" t="n"/>
      <c r="E19" s="6" t="n"/>
      <c r="F19" s="6" t="n"/>
      <c r="G19" s="6" t="n"/>
      <c r="H19" s="6" t="n"/>
      <c r="I19" s="6" t="n"/>
      <c r="J19" s="6" t="n"/>
      <c r="K19" s="6" t="n"/>
      <c r="L19" s="6" t="n"/>
      <c r="M19" s="6" t="n">
        <v>166.6</v>
      </c>
      <c r="N19" s="6" t="n">
        <v>160.3</v>
      </c>
      <c r="O19" s="6" t="n"/>
      <c r="P19" s="6" t="n">
        <v>50.3</v>
      </c>
      <c r="Q19" s="6" t="n"/>
    </row>
    <row r="20">
      <c r="A20" s="6" t="inlineStr">
        <is>
          <t>Tangible fixed assets (100% risk weight; FY2010 label)</t>
        </is>
      </c>
      <c r="B20" s="6" t="n"/>
      <c r="C20" s="6" t="n"/>
      <c r="D20" s="6" t="n"/>
      <c r="E20" s="6" t="n"/>
      <c r="F20" s="6" t="n"/>
      <c r="G20" s="6" t="n"/>
      <c r="H20" s="6" t="n"/>
      <c r="I20" s="6" t="n"/>
      <c r="J20" s="6" t="n"/>
      <c r="K20" s="6" t="n"/>
      <c r="L20" s="6" t="n"/>
      <c r="M20" s="6" t="n"/>
      <c r="N20" s="6" t="n"/>
      <c r="O20" s="6" t="n"/>
      <c r="P20" s="6" t="n"/>
      <c r="Q20" s="6" t="n">
        <v>17.3</v>
      </c>
    </row>
    <row r="21">
      <c r="A21" s="6" t="inlineStr">
        <is>
          <t>Prepayments and accrued income (100% risk weight; FY2010 label)</t>
        </is>
      </c>
      <c r="B21" s="6" t="n"/>
      <c r="C21" s="6" t="n"/>
      <c r="D21" s="6" t="n"/>
      <c r="E21" s="6" t="n"/>
      <c r="F21" s="6" t="n"/>
      <c r="G21" s="6" t="n"/>
      <c r="H21" s="6" t="n"/>
      <c r="I21" s="6" t="n"/>
      <c r="J21" s="6" t="n"/>
      <c r="K21" s="6" t="n"/>
      <c r="L21" s="6" t="n"/>
      <c r="M21" s="6" t="n"/>
      <c r="N21" s="6" t="n"/>
      <c r="O21" s="6" t="n"/>
      <c r="P21" s="6" t="n"/>
      <c r="Q21" s="6" t="n">
        <v>0.4</v>
      </c>
    </row>
    <row r="22">
      <c r="A22" s="6" t="inlineStr">
        <is>
          <t>Past due &gt;20% impaired secured (50% risk weight)</t>
        </is>
      </c>
      <c r="B22" s="6" t="n"/>
      <c r="C22" s="6" t="n"/>
      <c r="D22" s="6" t="n"/>
      <c r="E22" s="6" t="n"/>
      <c r="F22" s="6" t="n"/>
      <c r="G22" s="6" t="n"/>
      <c r="H22" s="6" t="n"/>
      <c r="I22" s="6" t="n"/>
      <c r="J22" s="6" t="n"/>
      <c r="K22" s="6" t="n"/>
      <c r="L22" s="6" t="n"/>
      <c r="M22" s="6" t="n">
        <v>1.1</v>
      </c>
      <c r="N22" s="6" t="n">
        <v>0.5</v>
      </c>
      <c r="O22" s="6" t="n"/>
      <c r="P22" s="6" t="n"/>
      <c r="Q22" s="6" t="n"/>
    </row>
    <row r="23">
      <c r="A23" s="6" t="inlineStr">
        <is>
          <t>Contingent assets - secured and unsecured lending facilities</t>
        </is>
      </c>
      <c r="B23" s="6" t="n"/>
      <c r="C23" s="6" t="n"/>
      <c r="D23" s="6" t="n"/>
      <c r="E23" s="6" t="n"/>
      <c r="F23" s="6" t="n"/>
      <c r="G23" s="6" t="n"/>
      <c r="H23" s="6" t="n"/>
      <c r="I23" s="6" t="n"/>
      <c r="J23" s="6" t="n"/>
      <c r="K23" s="6" t="n"/>
      <c r="L23" s="6" t="n"/>
      <c r="M23" s="6" t="n">
        <v>64.3</v>
      </c>
      <c r="N23" s="6" t="n">
        <v>30.5</v>
      </c>
      <c r="O23" s="6" t="n"/>
      <c r="P23" s="6" t="n">
        <v>3.2</v>
      </c>
      <c r="Q23" s="6" t="n"/>
    </row>
    <row r="24">
      <c r="A24" s="6" t="inlineStr">
        <is>
          <t>Cash and balances with the Bank of England, and UK government bonds (0% risk weight)</t>
        </is>
      </c>
      <c r="B24" s="6" t="n"/>
      <c r="C24" s="6" t="n"/>
      <c r="D24" s="6" t="n"/>
      <c r="E24" s="6" t="n"/>
      <c r="F24" s="6" t="n"/>
      <c r="G24" s="6" t="n"/>
      <c r="H24" s="6" t="n"/>
      <c r="I24" s="6" t="n"/>
      <c r="J24" s="6" t="n"/>
      <c r="K24" s="6" t="n"/>
      <c r="L24" s="6" t="n"/>
      <c r="M24" s="6" t="n">
        <v>0</v>
      </c>
      <c r="N24" s="6" t="n">
        <v>0</v>
      </c>
      <c r="O24" s="6" t="n"/>
      <c r="P24" s="6" t="n">
        <v>0</v>
      </c>
      <c r="Q24" s="6" t="n">
        <v>0</v>
      </c>
    </row>
    <row r="25">
      <c r="A25" s="5" t="inlineStr">
        <is>
          <t>Total credit risk RWA, Basel II standardised approach (excludes operational risk, which is never quantified)</t>
        </is>
      </c>
      <c r="B25" s="5" t="n"/>
      <c r="C25" s="5" t="n"/>
      <c r="D25" s="5" t="n"/>
      <c r="E25" s="5" t="n"/>
      <c r="F25" s="5" t="n"/>
      <c r="G25" s="5" t="n"/>
      <c r="H25" s="5" t="n"/>
      <c r="I25" s="5" t="n"/>
      <c r="J25" s="5" t="n"/>
      <c r="K25" s="5" t="n"/>
      <c r="L25" s="5" t="n"/>
      <c r="M25" s="5" t="n">
        <v>1415.9</v>
      </c>
      <c r="N25" s="5" t="n">
        <v>775.3</v>
      </c>
      <c r="O25" s="5" t="inlineStr">
        <is>
          <t>FY2012 Pillar 3 not located</t>
        </is>
      </c>
      <c r="P25" s="5" t="n">
        <v>93.2</v>
      </c>
      <c r="Q25" s="5" t="n">
        <v>19</v>
      </c>
    </row>
    <row r="27" ht="250" customHeight="1">
      <c r="A2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
RWA Breakdown table: FY2025 - Pillar 3 Disclosure 2025, Table 6 UK OV1, p.12. FY2024 - Pillar 3 Disclosure 2024, Table 6 UK OV1, p.14. FY2023 - Pillar 3 Disclosure 2023, Table 6 UK OV1, p.14. FY2022 - Pillar 3 Disclosure 2022, Table 5 UK OV1, p.12. FY2021 - Pillar 3 Disclosure 2021, Table 10 EU OV1, p.52. All 5 years' totals tie exactly to the (corrected) Total RWAs sheet.
HD-049: FY2020/FY2019/FY2018 - Pillar 3 2020/2019/2018 EU OV1 tables (no separate securitisation line - embedded within credit risk under the post-2018 template, hence blank). FY2017/FY2016 - each year's own 'Risk Weighted Assets - Pillar 1' table in the 2017 Pillar 3 Disclosure (Credit risk shown standardised approach, securitisation broken out separately under the pre-2018 template).
2026-09-15 (FY2019 re-verification against the Pillar 3 2019 PDF, Table 8 EU OV1, p.30): the FY2019/FY2018 securitisation cells are blank because that template contains NO securitisation row at all - its rows run 1, 2, 6, 7, 12, 19, 20, 23, 24, 27, 29, with securitisation exposures folded into credit risk. The blank is therefore correct and is deliberately NOT filled with 0, which would falsely assert nil securitisation RWA. 'Amounts below the thresholds for deduction' IS present as row 27 and prints an explicit en-dash for both FY2019 and FY2018, so those two cells are recorded as a stated 0. All other FY2019/FY2018 lines on this sheet reproduce Table 8 exactly.
2026-09-15 BASEL II BLOCK (FY2010-FY2014): these rows reproduce the 'Credit Risk Exposures' table in each recovered Pillar 3 edition (FY2014 p.13, FY2013 p.14-15, FY2011 p.12, FY2010 p.12), converted from the source GBP'000 to GBP'm. They are a different template on a different regulatory basis from the UK/EU OV1 rows above and are placed in their own section for that reason. EXPOSURE CLASS LABELS CHANGED BETWEEN EDITIONS and are NOT silently merged: FY2010 uses 'Loans and advances to customers'/'Tangible fixed assets'/'Prepayments and accrued income'; FY2011 and FY2013 use 'Secured residential lending'/'Retail and commercial lending'/'Fixed and other assets'; FY2014 re-cuts the lending split into 'Retail lending' and 'SME and Commercial'. Each label therefore gets its own row and populates only the years that actually used it. FY2010's table has no securities/investments RWA line because its gilt and held-to-maturity holdings are 0% risk weighted; the 0% rows are recorded as a stated 0, since the source prints an explicit zero or dash for them.
ROUNDING AND SOURCE-FOOTING NOTE for that block: converting independently-rounded GBP'000 components to GBP'm makes the displayed rows sum to up to GBP 0.1m away from the stated total (FY2010 18.9 vs 19.0; FY2011 93.3 vs 93.2) - a conversion artifact, not a data error. Separately, the FY2011 and FY2014 source tables are themselves off by GBP 1k in their own units (FY2011 components sum to 93,153 against a printed 93,152; FY2014 to 1,415,880 against a printed 1,415,881). The printed totals are what is carried on the TOTAL row, as stated, and the source's own arithmetic is not corrected.</t>
        </is>
      </c>
    </row>
  </sheetData>
  <mergeCells count="1">
    <mergeCell ref="A27:Q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0"/>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exposure measure excluding claims on central banks</t>
        </is>
      </c>
      <c r="B4" s="6" t="n">
        <v>13837</v>
      </c>
      <c r="C4" s="6" t="n">
        <v>14417</v>
      </c>
      <c r="D4" s="6" t="n">
        <v>18420</v>
      </c>
      <c r="E4" s="6" t="n">
        <v>19348</v>
      </c>
      <c r="F4" s="6" t="n">
        <v>17869</v>
      </c>
      <c r="G4" s="6" t="n"/>
      <c r="H4" s="6" t="n"/>
      <c r="I4" s="6" t="n"/>
      <c r="J4" s="6" t="n"/>
      <c r="K4" s="6" t="n"/>
      <c r="L4" s="6" t="n"/>
      <c r="M4" s="6" t="n"/>
      <c r="N4" s="6" t="n"/>
      <c r="O4" s="6" t="n"/>
      <c r="P4" s="6" t="n"/>
      <c r="Q4" s="6" t="n"/>
    </row>
    <row r="5">
      <c r="A5" s="6" t="inlineStr">
        <is>
          <t>Leverage ratio excluding claims on central banks</t>
        </is>
      </c>
      <c r="B5" s="6" t="inlineStr">
        <is>
          <t>7.8%</t>
        </is>
      </c>
      <c r="C5" s="6" t="inlineStr">
        <is>
          <t>5.6%</t>
        </is>
      </c>
      <c r="D5" s="6" t="inlineStr">
        <is>
          <t>5.3%</t>
        </is>
      </c>
      <c r="E5" s="6" t="inlineStr">
        <is>
          <t>4.2%</t>
        </is>
      </c>
      <c r="F5" s="6" t="inlineStr">
        <is>
          <t>5.2%</t>
        </is>
      </c>
      <c r="G5" s="6" t="n"/>
      <c r="H5" s="6" t="n"/>
      <c r="I5" s="6" t="n"/>
      <c r="J5" s="6" t="n"/>
      <c r="K5" s="6" t="n"/>
      <c r="L5" s="6" t="n"/>
      <c r="M5" s="6" t="n"/>
      <c r="N5" s="6" t="n"/>
      <c r="O5" s="6" t="n"/>
      <c r="P5" s="6" t="n"/>
      <c r="Q5" s="6" t="n"/>
    </row>
    <row r="6">
      <c r="A6" s="6" t="inlineStr">
        <is>
          <t>Total exposure measure (as originally disclosed, including central bank claims)</t>
        </is>
      </c>
      <c r="B6" s="6" t="n"/>
      <c r="C6" s="6" t="n"/>
      <c r="D6" s="6" t="n"/>
      <c r="E6" s="6" t="n"/>
      <c r="F6" s="6" t="n"/>
      <c r="G6" s="6" t="n"/>
      <c r="H6" s="6" t="n">
        <v>21506</v>
      </c>
      <c r="I6" s="6" t="n">
        <v>21704</v>
      </c>
      <c r="J6" s="6" t="n">
        <v>16450</v>
      </c>
      <c r="K6" s="6" t="n">
        <v>10004</v>
      </c>
      <c r="L6" s="6" t="n"/>
      <c r="M6" s="6" t="n"/>
      <c r="N6" s="6" t="n"/>
      <c r="O6" s="6" t="n"/>
      <c r="P6" s="6" t="n"/>
      <c r="Q6" s="6" t="n"/>
    </row>
    <row r="7">
      <c r="A7" s="6" t="inlineStr">
        <is>
          <t>Regulatory leverage ratio (as originally disclosed, including central bank claims)</t>
        </is>
      </c>
      <c r="B7" s="6" t="n"/>
      <c r="C7" s="6" t="n"/>
      <c r="D7" s="6" t="n"/>
      <c r="E7" s="6" t="n"/>
      <c r="F7" s="6" t="n"/>
      <c r="G7" s="6" t="inlineStr">
        <is>
          <t>5.6%</t>
        </is>
      </c>
      <c r="H7" s="6" t="inlineStr">
        <is>
          <t>6.6%</t>
        </is>
      </c>
      <c r="I7" s="6" t="inlineStr">
        <is>
          <t>5.4%</t>
        </is>
      </c>
      <c r="J7" s="6" t="inlineStr">
        <is>
          <t>5.5%</t>
        </is>
      </c>
      <c r="K7" s="6" t="inlineStr">
        <is>
          <t>6.5%</t>
        </is>
      </c>
      <c r="L7" s="6" t="inlineStr">
        <is>
          <t>4.9%</t>
        </is>
      </c>
      <c r="M7" s="6" t="inlineStr">
        <is>
          <t>10%</t>
        </is>
      </c>
      <c r="N7" s="6" t="inlineStr">
        <is>
          <t>Not applicable (Basel II)</t>
        </is>
      </c>
      <c r="O7" s="6" t="inlineStr">
        <is>
          <t>Not applicable (Basel II)</t>
        </is>
      </c>
      <c r="P7" s="6" t="inlineStr">
        <is>
          <t>Not applicable (Basel II)</t>
        </is>
      </c>
      <c r="Q7" s="6" t="inlineStr">
        <is>
          <t>Not applicable (Basel II)</t>
        </is>
      </c>
    </row>
    <row r="8" ht="60" customHeight="1">
      <c r="A8" s="7" t="inlineStr">
        <is>
          <t>Note: FY2010-FY2013 'Not applicable (Basel II)' (2026-09-15): the regulatory leverage ratio is a CRD IV construct with no Basel II counterpart, and the word 'leverage' does not appear anywhere in any of the recovered FY2010/FY2011/FY2013 Pillar 3 editions. Marked structurally inapplicable rather than left blank. The 2023-2025 figures are Holdings Group figures; 2021-2022 are the Metro Bank PLC prudential perimeter. The 2021-2022 disclosures restate the leverage measure to exclude central-bank claims for comparability. CORRECTED 2026-09-03 (ST-026): FY2023-FY2025 previously showed the 30 June interim column instead of 31 December year-end. HD-049: FY2014-FY2020 predate the 2021-2022 central-bank-claims exclusion methodology entirely, so a separate pair of rows is used for the as-originally-disclosed 'Regulatory leverage ratio' (including central bank claims) rather than conflating the two definitions; FY2020's total exposure measure was not located (only the ratio) and is left blank.</t>
        </is>
      </c>
    </row>
    <row r="10" ht="190" customHeight="1">
      <c r="A10"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8:Q8"/>
    <mergeCell ref="A10:Q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high-quality liquid assets (HQLA), weighted value - average</t>
        </is>
      </c>
      <c r="B4" s="6" t="n">
        <v>5552</v>
      </c>
      <c r="C4" s="6" t="n">
        <v>7189</v>
      </c>
      <c r="D4" s="6" t="n">
        <v>5056</v>
      </c>
      <c r="E4" s="6" t="n">
        <v>6051</v>
      </c>
      <c r="F4" s="6" t="n">
        <v>6900</v>
      </c>
      <c r="G4" s="6" t="n"/>
      <c r="H4" s="6" t="n">
        <v>3356</v>
      </c>
      <c r="I4" s="6" t="n">
        <v>3489</v>
      </c>
      <c r="J4" s="6" t="n"/>
      <c r="K4" s="6" t="n"/>
      <c r="L4" s="6" t="n"/>
      <c r="M4" s="6" t="n"/>
      <c r="N4" s="6" t="n"/>
      <c r="O4" s="6" t="n"/>
      <c r="P4" s="6" t="n"/>
      <c r="Q4" s="6" t="n"/>
    </row>
    <row r="5">
      <c r="A5" s="6" t="inlineStr">
        <is>
          <t>Total net cash outflows, adjusted value</t>
        </is>
      </c>
      <c r="B5" s="6" t="n">
        <v>1773</v>
      </c>
      <c r="C5" s="6" t="n">
        <v>1854</v>
      </c>
      <c r="D5" s="6" t="n">
        <v>2079</v>
      </c>
      <c r="E5" s="6" t="n">
        <v>2465</v>
      </c>
      <c r="F5" s="6" t="n">
        <v>2169</v>
      </c>
      <c r="G5" s="6" t="n"/>
      <c r="H5" s="6" t="n">
        <v>1708</v>
      </c>
      <c r="I5" s="6" t="n">
        <v>2506</v>
      </c>
      <c r="J5" s="6" t="n"/>
      <c r="K5" s="6" t="n"/>
      <c r="L5" s="6" t="n"/>
      <c r="M5" s="6" t="n"/>
      <c r="N5" s="6" t="n"/>
      <c r="O5" s="6" t="n"/>
      <c r="P5" s="6" t="n"/>
      <c r="Q5" s="6" t="n"/>
    </row>
    <row r="6">
      <c r="A6" s="6" t="inlineStr">
        <is>
          <t>Liquidity Coverage Ratio</t>
        </is>
      </c>
      <c r="B6" s="6" t="inlineStr">
        <is>
          <t>314%</t>
        </is>
      </c>
      <c r="C6" s="6" t="inlineStr">
        <is>
          <t>444%</t>
        </is>
      </c>
      <c r="D6" s="6" t="inlineStr">
        <is>
          <t>244%</t>
        </is>
      </c>
      <c r="E6" s="6" t="inlineStr">
        <is>
          <t>246%</t>
        </is>
      </c>
      <c r="F6" s="6" t="inlineStr">
        <is>
          <t>281%</t>
        </is>
      </c>
      <c r="G6" s="6" t="inlineStr">
        <is>
          <t>187%</t>
        </is>
      </c>
      <c r="H6" s="6" t="inlineStr">
        <is>
          <t>197%</t>
        </is>
      </c>
      <c r="I6" s="6" t="inlineStr">
        <is>
          <t>139%</t>
        </is>
      </c>
      <c r="J6" s="6" t="inlineStr">
        <is>
          <t>141%</t>
        </is>
      </c>
      <c r="K6" s="6" t="inlineStr">
        <is>
          <t>136%</t>
        </is>
      </c>
      <c r="L6" s="6" t="n"/>
      <c r="M6" s="6" t="n"/>
      <c r="N6" s="6" t="inlineStr">
        <is>
          <t>Not applicable (Basel II)</t>
        </is>
      </c>
      <c r="O6" s="6" t="inlineStr">
        <is>
          <t>Not applicable (Basel II)</t>
        </is>
      </c>
      <c r="P6" s="6" t="inlineStr">
        <is>
          <t>Not applicable (Basel II)</t>
        </is>
      </c>
      <c r="Q6" s="6" t="inlineStr">
        <is>
          <t>Not applicable (Basel II)</t>
        </is>
      </c>
    </row>
    <row r="7" ht="60" customHeight="1">
      <c r="A7" s="7" t="inlineStr">
        <is>
          <t>Note: FY2010-FY2013 'Not applicable (Basel II)' (2026-09-15): the LCR only became a UK requirement on 1 October 2015. The recovered FY2010/FY2011/FY2013 Pillar 3 editions discuss liquidity risk qualitatively under the pre-LCR Individual Liquidity Adequacy Assessment (ILAA) regime and contain no occurrence of 'LCR' or 'liquidity coverage'; they disclose no quantitative liquidity metric of any kind. The source tables disclose HQLA/net outflow components on different reporting bases across years; the headline ratios are reproduced as reported. Basis changes after the holding-company insertion are described on the Cash Flow Statement and source note. CORRECTED 2026-09-03 (ST-026): FY2023-FY2025 previously showed the 30 June interim column instead of 31 December year-end. HD-049: FY2020 and FY2014/FY2015 absolute HQLA/net outflow £m were not located (Pillar 3 2020 discloses only the ratio in the executive summary reviewed this session; FY2014/FY2015 have no LCR disclosure at all) and are left blank rather than estimated. BASIS FLAG (2026-09-15): the FY2019/FY2018 HQLA, net-outflow and ratio figures come from Table 26 EU LIQ1 of the Pillar 3 2019 (p.46), which is captioned 'as at 31 December' - a POINT-IN-TIME figure, not the 12-month average that the later UK KM1 rows on this sheet report. The 'average' wording in the first two row labels therefore does not apply to FY2018/FY2019. Flagged rather than merged: the two bases are different series and are not directly comparable year-on-year across the FY2019/FY2021 boundary.</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Total available stable funding</t>
        </is>
      </c>
      <c r="B4" s="6" t="n">
        <v>13965</v>
      </c>
      <c r="C4" s="6" t="n">
        <v>16676</v>
      </c>
      <c r="D4" s="6" t="n">
        <v>18277</v>
      </c>
      <c r="E4" s="6" t="n">
        <v>18903</v>
      </c>
      <c r="F4" s="6" t="n"/>
      <c r="G4" s="6" t="n"/>
      <c r="H4" s="6" t="n"/>
      <c r="I4" s="6" t="n"/>
      <c r="J4" s="6" t="n"/>
      <c r="K4" s="6" t="n"/>
      <c r="L4" s="6" t="n"/>
      <c r="M4" s="6" t="n"/>
      <c r="N4" s="6" t="n"/>
      <c r="O4" s="6" t="n"/>
      <c r="P4" s="6" t="n"/>
      <c r="Q4" s="6" t="n"/>
    </row>
    <row r="5">
      <c r="A5" s="6" t="inlineStr">
        <is>
          <t>Total required stable funding</t>
        </is>
      </c>
      <c r="B5" s="6" t="n">
        <v>8448</v>
      </c>
      <c r="C5" s="6" t="n">
        <v>10475</v>
      </c>
      <c r="D5" s="6" t="n">
        <v>13442</v>
      </c>
      <c r="E5" s="6" t="n">
        <v>13225</v>
      </c>
      <c r="F5" s="6" t="n"/>
      <c r="G5" s="6" t="n"/>
      <c r="H5" s="6" t="n"/>
      <c r="I5" s="6" t="n"/>
      <c r="J5" s="6" t="n"/>
      <c r="K5" s="6" t="n"/>
      <c r="L5" s="6" t="n"/>
      <c r="M5" s="6" t="n"/>
      <c r="N5" s="6" t="n"/>
      <c r="O5" s="6" t="n"/>
      <c r="P5" s="6" t="n"/>
      <c r="Q5" s="6" t="n"/>
    </row>
    <row r="6">
      <c r="A6" s="6" t="inlineStr">
        <is>
          <t>Net stable funding ratio</t>
        </is>
      </c>
      <c r="B6" s="6" t="inlineStr">
        <is>
          <t>165%</t>
        </is>
      </c>
      <c r="C6" s="6" t="inlineStr">
        <is>
          <t>160%</t>
        </is>
      </c>
      <c r="D6" s="6" t="inlineStr">
        <is>
          <t>136%</t>
        </is>
      </c>
      <c r="E6" s="6" t="inlineStr">
        <is>
          <t>143%</t>
        </is>
      </c>
      <c r="F6" s="6" t="n"/>
      <c r="G6" s="6" t="n"/>
      <c r="H6" s="6" t="n"/>
      <c r="I6" s="6" t="n"/>
      <c r="J6" s="6" t="n"/>
      <c r="K6" s="6" t="n"/>
      <c r="L6" s="6" t="n"/>
      <c r="M6" s="6" t="n"/>
      <c r="N6" s="6" t="inlineStr">
        <is>
          <t>Not applicable</t>
        </is>
      </c>
      <c r="O6" s="6" t="inlineStr">
        <is>
          <t>Not applicable</t>
        </is>
      </c>
      <c r="P6" s="6" t="inlineStr">
        <is>
          <t>Not applicable</t>
        </is>
      </c>
      <c r="Q6" s="6" t="inlineStr">
        <is>
          <t>Not applicable</t>
        </is>
      </c>
    </row>
    <row r="7" ht="60" customHeight="1">
      <c r="A7" s="7" t="inlineStr">
        <is>
          <t>Note: FY2010-FY2013 marked 'Not applicable' (2026-09-15): the NSFR did not exist as a UK requirement until 2022, so those years are structurally inapplicable, not gaps. (They are marked 'Not applicable' rather than 'Not applicable (Basel II)' used elsewhere on these sheets, because the NSFR post-dates CRD IV as well as Basel II.) NSFR disclosures were required from 1 January 2023; FY2014-FY2021 are blank (not yet a UK/EU disclosure requirement). FY2023-FY2025 are Holdings Group figures after the restructure. CORRECTED 2026-09-03 (ST-026): FY2023-FY2025 previously showed the 30 June interim column instead of 31 December year-end.</t>
        </is>
      </c>
    </row>
    <row r="9" ht="190" customHeight="1">
      <c r="A9"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Metro Bank PLC — MREL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 (16m)</t>
        </is>
      </c>
    </row>
    <row r="4">
      <c r="A4" s="6" t="inlineStr">
        <is>
          <t>MREL ratio</t>
        </is>
      </c>
      <c r="B4" s="6" t="inlineStr">
        <is>
          <t>Not disclosed</t>
        </is>
      </c>
      <c r="C4" s="6" t="inlineStr">
        <is>
          <t>Not disclosed</t>
        </is>
      </c>
      <c r="D4" s="6" t="inlineStr">
        <is>
          <t>Not disclosed</t>
        </is>
      </c>
      <c r="E4" s="6" t="inlineStr">
        <is>
          <t>Not disclosed</t>
        </is>
      </c>
      <c r="F4" s="6" t="inlineStr">
        <is>
          <t>20.5%</t>
        </is>
      </c>
      <c r="G4" s="6" t="inlineStr">
        <is>
          <t>22.4% (total capital plus MREL ratio)</t>
        </is>
      </c>
      <c r="H4" s="6" t="inlineStr">
        <is>
          <t>22.1% (total capital plus MREL ratio)</t>
        </is>
      </c>
      <c r="I4" s="6" t="inlineStr">
        <is>
          <t>Not disclosed (pre-dates MREL requirement)</t>
        </is>
      </c>
      <c r="J4" s="6" t="inlineStr">
        <is>
          <t>Not disclosed (pre-dates MREL requirement)</t>
        </is>
      </c>
      <c r="K4" s="6" t="inlineStr">
        <is>
          <t>Not disclosed (pre-dates MREL requirement)</t>
        </is>
      </c>
      <c r="L4" s="6" t="inlineStr">
        <is>
          <t>Not disclosed (pre-dates MREL requirement)</t>
        </is>
      </c>
      <c r="M4" s="6" t="inlineStr">
        <is>
          <t>Not disclosed (pre-dates MREL requirement)</t>
        </is>
      </c>
      <c r="N4" s="6" t="inlineStr">
        <is>
          <t>Not applicable (pre-dates MREL requirement)</t>
        </is>
      </c>
      <c r="O4" s="6" t="inlineStr">
        <is>
          <t>Not applicable (pre-dates MREL requirement)</t>
        </is>
      </c>
      <c r="P4" s="6" t="inlineStr">
        <is>
          <t>Not applicable (pre-dates MREL requirement)</t>
        </is>
      </c>
      <c r="Q4" s="6" t="inlineStr">
        <is>
          <t>Not applicable (pre-dates MREL requirement)</t>
        </is>
      </c>
    </row>
    <row r="5" ht="60" customHeight="1">
      <c r="A5" s="7" t="inlineStr">
        <is>
          <t>Note: FY2010-FY2013 marked 'Not applicable (pre-dates MREL requirement)' (2026-09-15): MREL was introduced by BRRD and did not exist as a UK requirement in those years; the recovered Basel II Pillar 3 editions contain no occurrence of 'MREL'. This is the same reasoning already applied to FY2014-FY2018 above, simply extended back over the newly-covered years. The 2021 Pillar 3 report discloses 20.5%. No quantitative MREL ratio was located in the later KM1 tables reviewed; the 2022-2025 cells are therefore not publicly disclosed rather than zero. HD-049: FY2019/FY2020 Pillar 3 disclosures report a 'Total capital plus MREL ratio' (22.1%/22.4%) rather than a standalone MREL ratio - a different (broader) metric than the FY2021 '20.5%', reproduced as-disclosed and labelled accordingly rather than treated as directly comparable. FY2014-FY2018 pre-date the interim MREL requirement referenced in the FY2019 disclosure. LABEL NOTE (2026-09-15): the FY2019 document uses two captions for the same 22.1% - 'Total capital plus MREL ratio' in Table 2 Key Ratios (p.4), and 'Metro Bank's interim MREL ratio' in section 3 (p.25), against a Bank of England interim MREL requirement of 18% of RWAs plus buffers effective 1 January 2020. Both captions are recorded here; the cell keeps the broader Table 2 wording so it is never silently treated as equivalent to the FY2021 standalone 20.5%.</t>
        </is>
      </c>
    </row>
    <row r="7" ht="190" customHeight="1">
      <c r="A7" s="8" t="inlineStr">
        <is>
          <t>Sources - Metro Bank regulatory key metrics:
FY2020: Metro Bank PLC Pillar 3 Disclosure 2020, Table 6/KM1 and Table 8 EU OV1 - https://www.metrobankonline.co.uk/globalassets/investor-relations/metro-bank-plc-pillar-3-2020.pdf
FY2019: Metro Bank PLC Pillar 3 2019 (31 December 2019), Table 1 RWA Summary and Table 2 Key Ratios (p.4), Table 3 Capital Composition (p.25), Table 5 LRSum / Table 6 LRCom (p.28), Table 8 EU OV1 (p.30), Table 26 EU LIQ1 (p.46) - https://www.metrobankonline.co.uk/globalassets/documents/investor_documents/metro-bank-pillar-3-2019.pdf
FY2018: Metro Bank PLC Pillar 3 Disclosure 2018, Key Ratios table, KM1 and Table 10 EU OV1 - https://www.metrobankonline.co.uk/globalassets/documents/investor_documents/pillar-3-disclosure-2018.pdf
FY2017: Metro Bank PLC 2017 Pillar 3 Disclosure, Capital Adequacy/Leverage Ratio Common Disclosure tables - https://www.metrobankonline.co.uk/globalassets/documents/investor_documents/metro-bank-2017-pillar-3-disclosure.pdf
FY2016: Metro Bank PLC Pillar 3 Disclosure 2016, Tier 1 capital/Leverage Ratio Common Disclosure tables - https://www.metrobankonline.co.uk/globalassets/legal-information/pillar-3-disclosure-2016.pdf
FY2014/FY2015: no dedicated Pillar 3 disclosure located (see HD-049 note) - capital resources/ratio from Metro Bank PLC Annual Report Year Ended 31 December 2015 (Capital management note, p.76) - https://www.metrobankonline.co.uk/globalassets/documents/investor_documents/annual-report-2015.pdf - and Risk weighted assets/CET1 ratio/leverage ratio for FY2015 from Metro Bank PLC Annual Report and Accounts 2016 (Capital structure table) - https://www.metrobankonline.co.uk/globalassets/documents/investor_documents/metro-bank-annual-report-2016.pdf
FY2025: Metro Bank Holdings PLC Pillar 3 Disclosure 2025, p.10 - https://www.metrobankonline.co.uk/globalassets/documents/investor_documents/pillar-3---2025-final.pdf
FY2024: Metro Bank Holdings PLC Pillar 3 Disclosure 2024, p.12 - https://www.metrobankonline.co.uk/globalassets/pillar-3-2024.pdf
FY2023: Metro Bank Holdings PLC Pillar 3 Disclosure 2023, p.12 - https://www.metrobankonline.co.uk/globalassets/pillar-3-disclosure-2023.pdf
FY2022: Metro Bank PLC Pillar 3 Disclosure 2022, p.10 - https://www.metrobankonline.co.uk/globalassets/documents/customer_documents/business-and-commercial/pillar-3-disclosure-2022.pdf
FY2021: Metro Bank PLC Pillar 3 Disclosure 2021, p.4 - https://www.metrobankonline.co.uk/globalassets/documents/customer_documents/intermediaries/metro-bank-pillar-3-disclosure-2021.pdf
FY2019 VERIFICATION (2026-09-15): every FY2019 Pillar 3 cell in this workbook was re-checked line by line against the Pillar 3 2019 PDF itself and all reproduce exactly (CET1 and Tier 1 capital 1,427; CET1/Tier 1 ratio 15.6%; Total capital 1,676; Total capital ratio 18.3%; Total RWAs 9,147; leverage exposure 21,506 and ratio 6.6%; LCR HQLA 3,356 / net outflows 1,708 / ratio 197%; OV1 credit 8,591, CCR 5, market 5, operational 546). The document's own FY2018 comparative column also reproduces every FY2018 figure already held here, so the validation gate passed with no conflicting basis to document. NSFR is not disclosed anywhere in the 2019 document (the UK NSFR disclosure requirement began 1 January 2023) and is left blank, not zeroed.
RETRIEVAL METHOD NOTE (2026-09-15) - reusable, recorded because it generalises beyond Metro Bank: the FY2019 Pillar 3 disclosure EXISTS and is a genuine 54-page PDF, but it is MISSING from Metro Bank's own investor-relations document index. Nine candidate URLs built by permuting the neighbouring years' filename patterns all returned 404 - including paths under the same /globalassets/documents/investor_documents/ folder that demonstrably serves the 2017 and 2018 Pillar 3 files, and which in fact also serves the 2019 file under a name none of the permutations guessed. Only a search on the filename and bank name, independent of the bank's own site and index, located metro-bank-pillar-3-2019.pdf. RULE: a year missing from a bank's own document index is NOT closed until BOTH a direct fetch AND a name search have failed. Permutation can only fail to find; it can never prove absence.
URL RE-CHECK (2026-09-15): all ten live metrobankonline.co.uk Pillar 3 URLs cited on this sheet (FY2016-FY2025) were re-fetched and every one returned HTTP 200 with a non-trivial PDF body. No cell on this sheet is left without a working source URL.
HISTORICAL PILLAR 3 RECOVERY (2026-09-15) - FY2010, FY2011, FY2013, FY2014
FY2014: Metro Bank PLC Pillar 3 Disclosure, 31st December 2014 (21pp), section 4 Capital Resources (p.11) and section 5.1 Credit Risk Exposures (p.13) - https://web.archive.org/web/20151230210842id_/https://www.metrobankonline.co.uk/Global/Legal%20Information/Pillar%203%20Disclosure.pdf
FY2013: Metro Bank PLC Pillar 3 Disclosure, 31st December 2013 (20pp), section 4 Capital Resources (p.13) and section 5.1 Credit Risk Exposures (p.14-15) - https://web.archive.org/web/20140915151355id_/https://www.metrobankonline.co.uk/Global/Legal%20Information/Pillar%203%20Disclosure.pdf
FY2011: Metro Bank PLC Pillar 3 Disclosures, 31st December 2011 (18pp), section 4 Capital Resources (p.10) and section 5.1 Credit Risk Exposures (p.12) - https://web.archive.org/web/20130625053953id_/https://www.metrobankonline.co.uk/Global/Legal%20Information/Pillar%203%20Disclosure%20-%202011.pdf
FY2010: Metro Bank PLC Pillar 3 Disclosures, 31st December 2010 (18pp), section 4 Capital Resources (p.10) and section 5.1 Credit Risk Exposures (p.12) - https://web.archive.org/web/20120717023649id_/https://www.metrobankonline.co.uk/Global/NEW%20WEBSITE%20FILES/Pillar%203%20Disclosures%202010%2031%20December.pdf
WHY THESE ARE ON SEPARATE ROWS - BASIS. All four editions are explicitly Basel II documents ('The Capital Requirements Directive (Basel II) came into force from January 1st 2007'), computed under the FSA's/PRA's GENPRU 2.2 definition of Tier 1 capital, using the Standardised Approach for credit risk and (from FY2011) the Basic Indicator Approach for operational risk. A full-text search of all four documents returns ZERO occurrences of 'CET1', 'Common Equity', 'Tier 2', 'leverage', 'LCR', 'NSFR' and 'MREL' - none of those concepts existed in Metro Bank's disclosure at the time. The CRR/CRD IV series that runs from FY2016 on the sheets above is therefore NOT continuous with these figures, and they are carried on their own separate rows rather than extending the existing ones.
WHAT EACH EDITION ACTUALLY DISCLOSES, and nothing more: (a) a 'Tier 1 capital based on the [year] audited accounts' table whose bottom line is Total (Regulatory) Capital; (b) a credit-risk exposure table with an RWA column; (c) a single narrative sentence giving the doubtful-debt provision. NO capital ratio of any kind is stated in any of the four - the ratio cells for FY2010/FY2011/FY2013 are therefore 'Not publicly disclosed', and are deliberately NOT computed from the capital and RWA figures on these same sheets, which would be back-solving. Likewise NO total RWA is stated: operational risk RWA under the Basic Indicator Approach is never quantified, so the disclosed RWA figure is a credit-risk-only subtotal and is labelled as such.
Transcribed figures (source tables are in GBP'000; these sheets are in GBP'm):
FY2014 - Total Regulatory Capital 387,261 (narrative: 'capital base was made up of GBP 388m of Tier 1 capital'); components Share Capital 629,304, Profit and loss reserve (157,549), Other Reserves (4,314), Intangible Assets and Reserves (80,810). Credit risk table 'TOTAL' row: exposures 3,896,820, RWA 1,415,881.
FY2013 - Total Regulatory Capital 381,530 (narrative: 'GBP 382m of Tier 1 capital'); components Share Capital 531,011, Profit and loss reserve (118,608), Other Reserves (7,520), Intangible Assets and Reserves (23,353). Credit risk table 'TOTAL Risk Weighted Assets' row: exposures 2,076,992, RWA 775,310.
FY2011 - Total Regulatory Capital 69,090 (narrative: 'GBP 69.090m of Tier 1 capital'); components Share Capital 120,131, Profit and loss reserve (42,179), Intangible Assets and Reserves (8,862). Credit risk table 'TOTAL Risk Weighted Assets' row: RWA 93,152 (this table prints no exposure total).
FY2010 - Total Capital 89,811 (narrative: 'GBP 89.8m of Tier 1 capital'); components Share capital 0, Share premium 120,131, Profit and loss reserve (23,341), Intangible Assets (6,979). Credit risk table 'Total assets' row: exposures 119,117, RWA 18,950.
SOURCE-DOCUMENT DEFECTS, recorded rather than corrected:
- The FY2014 capital table DOES NOT FOOT. 629,304 - 157,549 - 4,314 - 80,810 = 386,631, but the printed Total Regulatory Capital is 387,261 - a GBP 630k discrepancy inside the source document itself. The printed total (387,261) is what is transcribed, because it is what the document states and it is the figure the narrative rounds to ('GBP 388m'). The components are recorded above so the defect stays visible. It is NOT reconciled or 'fixed' here.
- The FY2010 and FY2011 credit-risk tables are headed 'GBP m' but their values are plainly GBP'000 (FY2010's 'Total assets 119,117' is the GBP 119.1m total assets on the Balance Sheet sheet of this workbook, to the pound). The FY2014 edition corrects the heading to 'GBP 000'. Treated as GBP'000 throughout.
- The FY2011/FY2013/FY2014 capital tables label the GBP 120,131 / 531,011 / 629,304 line 'Share Capital', but the FY2010 edition splits the identical GBP 120,131 into 'Share capital 0' and 'Share premium 120,131'. The later label is a shorthand for share capital plus share premium, not a different figure.
VALIDATION GATE against figures already in this workbook - divergences documented, nothing overwritten:
- FY2010 ties exactly: 120,131 - 23,341 - 6,979 = 89,811, and share premium 120.1 / retained earnings (23.3) / intangibles 7.0 are the Balance Sheet sheet's own FY2010 figures.
- FY2011 Profit and loss reserve (42,179) vs this workbook's FY2011 retained earnings (42.3): GBP ~0.1m apart. FY2013 'Share Capital' 531,011 vs share premium 530.5: GBP ~0.5m apart. Both are small, both are left as each source reports them.
- FY2014 is the material one, TWICE OVER. (1) CAPITAL: this workbook's FY2014 CET1/Tier 1/Total capital of 384 comes from the FY2015 Annual Report's Capital management note, whereas the FY2014 Pillar 3 states 387,261 ('GBP 388m') - GBP 3.3m apart, two different documents on two different bases (CRD IV-era annual report note vs contemporaneous Basel II Pillar 3). Per the project's validation-gate rule the pre-existing row is NOT overwritten; the Pillar 3 figure is carried alongside it on its own Basel II row. (2) RETAINED EARNINGS: the FY2014 Pillar 3's Profit and loss reserve of (157,549) is the CONTEMPORANEOUS figure, against this workbook's (164), which is the FY2015 Annual Report's 'restated' FY2014 comparative - GBP 6.5m apart. That independently corroborates the restatement flagged in the DATA QUALITY FLAG above (note 36 of the 2015 AR references undisclosed prior-period adjustments), and is the first contemporaneous FY2014 figure located for it.
FY2012 - GENUINELY ABSENT, CLOSED. No FY2012 Pillar 3 edition exists in the Wayback Machine: a CDX prefix scan of the metrobankonline.co.uk Pillar 3 paths returned no FY2012 capture, and an independent search on the filename and bank name was also negative. The FY2012 cells on the Pillar 3 sheets are marked 'FY2012 Pillar 3 not located' rather than left blank, so this is not re-chased forever. Note that the structurally inapplicable FY2012 metrics (CET1, leverage, LCR, NSFR, MREL) are marked 'Not applicable (Basel II)' like their neighbours - those would not have been disclosed in an FY2012 edition even if one were found.
H1 interim editions for 2019-2021 were checked and are absent: 404 live with no Wayback capture.
ENTITY/BASIS NOTE: Metro Bank PLC (Companies House 06419578; FRN 488982; LEI 213800X5WU57YL9GPK89) is the matched legal entity in Banks List 2608.xlsx. FY2021-FY2023 cash flows are the Company/standalone figures from Metro Bank PLC accounts. Metro Bank PLC used an individual consolidation method for prudential reporting in 2021-2022. On 19 May 2023 Metro Bank Holdings PLC became the ultimate holding company; FY2023-FY2025 Pillar 3 disclosures are subsequently for Holdings and its subsidiaries, not standalone Metro Bank PLC. 
REPORTING-ENTITY BOUNDARY, ESTABLISHED FROM THE DOCUMENTS THEMSELVES (2026-09-15). The change of reporting entity happens at exactly the FY2022/FY2023 Pillar 3 boundary - not earlier, not later - and the later documents ARE a holding-company consolidated basis, not Metro Bank PLC. Evidence, in document order: the FY2010, FY2011, FY2013 and FY2014 Pillar 3 covers all read 'METRO BANK PLC'; the FY2021 edition's executive summary describes itself as complementing "Metro Bank PLC's (Metro Bank or the Bank) 2021 Annual Report and Accounts"; every page header of the FY2022 edition reads 'Metro Bank PLC Pillar 3 2022'; the FY2023 edition's cover and every page header read 'Metro Bank Holdings PLC | Pillar 3 2023', its section 1 states "In May 2023, Metro Bank completed the implementation of its holding company marking an important milestone in meeting the requirements of the Bank of England's resolution framework", and its Table 3 (UK LI3) enumerates the regulatory consolidation group entity by entity - Metro Bank Holdings PLC (holding company), Metro Bank PLC (banking), RDM Factors Limited (dormant), SME Invoice Finance Limited (invoice financing) and SME Asset Finance Limited (asset financing), all under full consolidation. This is therefore a genuine basis change WITHIN this workbook's Pillar 3 series and is labelled on every affected sheet rather than being presented as one continuous entity. It is also why the FY2023 regulatory total assets of 22,245 differ from Metro Bank PLC's own AR2023 balance sheet total of 22,257. 
FY2024-FY2025 standalone Metro Bank PLC accounts/cash flows were not located in the reviewed official archive and are left blank rather than substituted with Holdings figures.
HD-049 EXTENSION (2026-09-06): FY2014-FY2020 added, capped at FY2014 by explicit project-wide user decision (real Metro Bank archive extends to FY2010, but pre-CRD IV/Basel III Pillar 3 disclosures aren't comparable). Balance Sheet/Cash Flow/Statement of Changes in Equity for FY2014-FY2020 are shown on a Consolidated/Group basis (Metro Bank PLC did not have a materially different standalone Company balance sheet/cash flow in these years, and re-extracting the separate Company statements for 7 more years was not attempted this session) - this differs from the Company/standalone basis used for FY2021-FY2023, so there is a genuine basis change at the FY2020/FY2021 boundary in addition to the FY2023 basis change already noted above; both are flagged rather than silently blended. DATA QUALITY FLAG: FY2014 figures are the 'restated' comparative column as published in the Annual Report and Accounts 2015 (Metro Bank's own FY2014 Annual Report, if one was published as a standalone document pre-IPO, was not located in the company's live IR site, Wayback Machine snapshots 2014-2016, or a quick Companies House filing-history check within this session's effort - only the 2015 AR's restated FY2014 comparative was found); note 36 of the 2015 AR references undisclosed prior-period adjustments behind the 'restated' label. No dedicated Pillar 3 disclosure document for FY2014 or FY2015 was located (Metro Bank's Pillar 3 archive appears to begin with FY2016, the year of its LSE listing); FY2014/FY2015 capital figures below are instead sourced from the Capital management note in the FY2015 Annual Report and the FY2016 Annual Report's own capital-structure table (both audited, both citing Tier 1/Total capital resources), not a Pillar 3 report - Total RWAs and LCR were not disclosed in either document for FY2014/FY2015 and are left blank rather than estimated.</t>
        </is>
      </c>
    </row>
  </sheetData>
  <mergeCells count="2">
    <mergeCell ref="A5:Q5"/>
    <mergeCell ref="A7:Q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3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s>
  <sheetData>
    <row r="1">
      <c r="A1" s="1" t="inlineStr">
        <is>
          <t>Metro Bank PLC - Interim Pillar 3 Disclosures</t>
        </is>
      </c>
    </row>
    <row r="2">
      <c r="A2" s="2" t="inlineStr">
        <is>
          <t>Entity-level Metro Bank PLC basis where available; later Holdings Group disclosures are not substituted.</t>
        </is>
      </c>
    </row>
    <row r="4">
      <c r="A4" s="4" t="inlineStr">
        <is>
          <t>Metric</t>
        </is>
      </c>
      <c r="B4" s="4" t="inlineStr">
        <is>
          <t>Unit</t>
        </is>
      </c>
      <c r="C4" s="4" t="inlineStr">
        <is>
          <t>Basis</t>
        </is>
      </c>
      <c r="D4" s="4" t="inlineStr">
        <is>
          <t>30 Jun 2021</t>
        </is>
      </c>
      <c r="E4" s="4" t="inlineStr">
        <is>
          <t>30 Jun 2022</t>
        </is>
      </c>
      <c r="F4" s="4" t="inlineStr">
        <is>
          <t>30 Jun 2023</t>
        </is>
      </c>
      <c r="G4" s="4" t="inlineStr">
        <is>
          <t>30 Jun 2024</t>
        </is>
      </c>
      <c r="H4" s="4" t="inlineStr">
        <is>
          <t>30 Jun 2025</t>
        </is>
      </c>
    </row>
    <row r="5">
      <c r="A5" s="6" t="inlineStr">
        <is>
          <t>CET1 capital</t>
        </is>
      </c>
      <c r="B5" s="6" t="inlineStr">
        <is>
          <t>£m</t>
        </is>
      </c>
      <c r="C5" s="6" t="inlineStr">
        <is>
          <t>Metro Bank PLC consolidated basis</t>
        </is>
      </c>
      <c r="D5" s="9" t="n">
        <v>1052</v>
      </c>
      <c r="E5" s="9" t="n">
        <v>816</v>
      </c>
      <c r="F5" s="6" t="n"/>
      <c r="G5" s="6" t="n"/>
      <c r="H5" s="6" t="n"/>
    </row>
    <row r="6">
      <c r="A6" s="6" t="inlineStr">
        <is>
          <t>Tier 1 capital</t>
        </is>
      </c>
      <c r="B6" s="6" t="inlineStr">
        <is>
          <t>£m</t>
        </is>
      </c>
      <c r="C6" s="6" t="inlineStr">
        <is>
          <t>Metro Bank PLC consolidated basis</t>
        </is>
      </c>
      <c r="D6" s="9" t="n">
        <v>1052</v>
      </c>
      <c r="E6" s="9" t="n">
        <v>816</v>
      </c>
      <c r="F6" s="6" t="n"/>
      <c r="G6" s="6" t="n"/>
      <c r="H6" s="6" t="n"/>
    </row>
    <row r="7">
      <c r="A7" s="6" t="inlineStr">
        <is>
          <t>Total capital</t>
        </is>
      </c>
      <c r="B7" s="6" t="inlineStr">
        <is>
          <t>£m</t>
        </is>
      </c>
      <c r="C7" s="6" t="inlineStr">
        <is>
          <t>Metro Bank PLC consolidated basis</t>
        </is>
      </c>
      <c r="D7" s="9" t="n">
        <v>1301</v>
      </c>
      <c r="E7" s="9" t="n">
        <v>1065</v>
      </c>
      <c r="F7" s="6" t="n"/>
      <c r="G7" s="6" t="n"/>
      <c r="H7" s="6" t="n"/>
    </row>
    <row r="8">
      <c r="A8" s="6" t="inlineStr">
        <is>
          <t>Total risk-weighted exposure amount</t>
        </is>
      </c>
      <c r="B8" s="6" t="inlineStr">
        <is>
          <t>£m</t>
        </is>
      </c>
      <c r="C8" s="6" t="inlineStr">
        <is>
          <t>Metro Bank PLC consolidated basis</t>
        </is>
      </c>
      <c r="D8" s="9" t="n">
        <v>7563</v>
      </c>
      <c r="E8" s="9" t="n">
        <v>7702</v>
      </c>
      <c r="F8" s="6" t="n"/>
      <c r="G8" s="6" t="n"/>
      <c r="H8" s="6" t="n"/>
    </row>
    <row r="9">
      <c r="A9" s="6" t="inlineStr">
        <is>
          <t>CET1 ratio</t>
        </is>
      </c>
      <c r="B9" s="6" t="inlineStr">
        <is>
          <t>%</t>
        </is>
      </c>
      <c r="C9" s="6" t="inlineStr">
        <is>
          <t>Metro Bank PLC consolidated basis</t>
        </is>
      </c>
      <c r="D9" s="9" t="inlineStr">
        <is>
          <t>13.9%</t>
        </is>
      </c>
      <c r="E9" s="9" t="inlineStr">
        <is>
          <t>10.6%</t>
        </is>
      </c>
      <c r="F9" s="6" t="n"/>
      <c r="G9" s="6" t="n"/>
      <c r="H9" s="6" t="n"/>
    </row>
    <row r="10">
      <c r="A10" s="6" t="inlineStr">
        <is>
          <t>Tier 1 ratio</t>
        </is>
      </c>
      <c r="B10" s="6" t="inlineStr">
        <is>
          <t>%</t>
        </is>
      </c>
      <c r="C10" s="6" t="inlineStr">
        <is>
          <t>Metro Bank PLC consolidated basis</t>
        </is>
      </c>
      <c r="D10" s="9" t="inlineStr">
        <is>
          <t>13.9%</t>
        </is>
      </c>
      <c r="E10" s="9" t="inlineStr">
        <is>
          <t>10.6%</t>
        </is>
      </c>
      <c r="F10" s="6" t="n"/>
      <c r="G10" s="6" t="n"/>
      <c r="H10" s="6" t="n"/>
    </row>
    <row r="11">
      <c r="A11" s="6" t="inlineStr">
        <is>
          <t>Total capital ratio</t>
        </is>
      </c>
      <c r="B11" s="6" t="inlineStr">
        <is>
          <t>%</t>
        </is>
      </c>
      <c r="C11" s="6" t="inlineStr">
        <is>
          <t>Metro Bank PLC consolidated basis</t>
        </is>
      </c>
      <c r="D11" s="9" t="inlineStr">
        <is>
          <t>17.2%</t>
        </is>
      </c>
      <c r="E11" s="9" t="inlineStr">
        <is>
          <t>13.8%</t>
        </is>
      </c>
      <c r="F11" s="6" t="n"/>
      <c r="G11" s="6" t="n"/>
      <c r="H11" s="6" t="n"/>
    </row>
    <row r="12">
      <c r="A12" s="6" t="inlineStr">
        <is>
          <t>Total exposure measure excluding claims on central banks</t>
        </is>
      </c>
      <c r="B12" s="6" t="inlineStr">
        <is>
          <t>£m</t>
        </is>
      </c>
      <c r="C12" s="6" t="inlineStr">
        <is>
          <t>Metro Bank PLC consolidated basis</t>
        </is>
      </c>
      <c r="D12" s="9" t="n">
        <v>16909</v>
      </c>
      <c r="E12" s="9" t="n">
        <v>18809</v>
      </c>
      <c r="F12" s="6" t="n"/>
      <c r="G12" s="6" t="n"/>
      <c r="H12" s="6" t="n"/>
    </row>
    <row r="13">
      <c r="A13" s="6" t="inlineStr">
        <is>
          <t>Leverage ratio excluding claims on central banks</t>
        </is>
      </c>
      <c r="B13" s="6" t="inlineStr">
        <is>
          <t>%</t>
        </is>
      </c>
      <c r="C13" s="6" t="inlineStr">
        <is>
          <t>Metro Bank PLC consolidated basis</t>
        </is>
      </c>
      <c r="D13" s="9" t="inlineStr">
        <is>
          <t>6.2%</t>
        </is>
      </c>
      <c r="E13" s="9" t="inlineStr">
        <is>
          <t>4.3%</t>
        </is>
      </c>
      <c r="F13" s="6" t="n"/>
      <c r="G13" s="6" t="n"/>
      <c r="H13" s="6" t="n"/>
    </row>
    <row r="14">
      <c r="A14" s="6" t="inlineStr">
        <is>
          <t>Total HQLA, weighted value - average</t>
        </is>
      </c>
      <c r="B14" s="6" t="inlineStr">
        <is>
          <t>£m</t>
        </is>
      </c>
      <c r="C14" s="6" t="inlineStr">
        <is>
          <t>Metro Bank PLC consolidated basis</t>
        </is>
      </c>
      <c r="D14" s="6" t="n"/>
      <c r="E14" s="9" t="n">
        <v>6687</v>
      </c>
      <c r="F14" s="6" t="n"/>
      <c r="G14" s="6" t="n"/>
      <c r="H14" s="6" t="n"/>
    </row>
    <row r="15">
      <c r="A15" s="6" t="inlineStr">
        <is>
          <t>Total net cash outflows, adjusted value</t>
        </is>
      </c>
      <c r="B15" s="6" t="inlineStr">
        <is>
          <t>£m</t>
        </is>
      </c>
      <c r="C15" s="6" t="inlineStr">
        <is>
          <t>Metro Bank PLC consolidated basis</t>
        </is>
      </c>
      <c r="D15" s="6" t="n"/>
      <c r="E15" s="9" t="n">
        <v>2374</v>
      </c>
      <c r="F15" s="6" t="n"/>
      <c r="G15" s="6" t="n"/>
      <c r="H15" s="6" t="n"/>
    </row>
    <row r="16">
      <c r="A16" s="6" t="inlineStr">
        <is>
          <t>Liquidity coverage ratio</t>
        </is>
      </c>
      <c r="B16" s="6" t="inlineStr">
        <is>
          <t>%</t>
        </is>
      </c>
      <c r="C16" s="6" t="inlineStr">
        <is>
          <t>Metro Bank PLC consolidated basis</t>
        </is>
      </c>
      <c r="D16" s="6" t="n"/>
      <c r="E16" s="9" t="inlineStr">
        <is>
          <t>282%</t>
        </is>
      </c>
      <c r="F16" s="6" t="n"/>
      <c r="G16" s="6" t="n"/>
      <c r="H16" s="6" t="n"/>
    </row>
    <row r="17">
      <c r="A17" s="6" t="inlineStr">
        <is>
          <t>Total available stable funding</t>
        </is>
      </c>
      <c r="B17" s="6" t="inlineStr">
        <is>
          <t>£m</t>
        </is>
      </c>
      <c r="C17" s="6" t="inlineStr">
        <is>
          <t>Metro Bank PLC consolidated basis</t>
        </is>
      </c>
      <c r="D17" s="9" t="inlineStr">
        <is>
          <t>Not yet required</t>
        </is>
      </c>
      <c r="E17" s="9" t="inlineStr">
        <is>
          <t>Not disclosed</t>
        </is>
      </c>
      <c r="F17" s="6" t="n"/>
      <c r="G17" s="6" t="n"/>
      <c r="H17" s="6" t="n"/>
    </row>
    <row r="18">
      <c r="A18" s="6" t="inlineStr">
        <is>
          <t>Total required stable funding</t>
        </is>
      </c>
      <c r="B18" s="6" t="inlineStr">
        <is>
          <t>£m</t>
        </is>
      </c>
      <c r="C18" s="6" t="inlineStr">
        <is>
          <t>Metro Bank PLC consolidated basis</t>
        </is>
      </c>
      <c r="D18" s="9" t="inlineStr">
        <is>
          <t>Not yet required</t>
        </is>
      </c>
      <c r="E18" s="9" t="inlineStr">
        <is>
          <t>Not disclosed</t>
        </is>
      </c>
      <c r="F18" s="6" t="n"/>
      <c r="G18" s="6" t="n"/>
      <c r="H18" s="6" t="n"/>
    </row>
    <row r="19">
      <c r="A19" s="6" t="inlineStr">
        <is>
          <t>NSFR ratio</t>
        </is>
      </c>
      <c r="B19" s="6" t="inlineStr">
        <is>
          <t>%</t>
        </is>
      </c>
      <c r="C19" s="6" t="inlineStr">
        <is>
          <t>Metro Bank PLC consolidated basis</t>
        </is>
      </c>
      <c r="D19" s="9" t="inlineStr">
        <is>
          <t>Not yet required</t>
        </is>
      </c>
      <c r="E19" s="9" t="inlineStr">
        <is>
          <t>Not disclosed</t>
        </is>
      </c>
      <c r="F19" s="6" t="n"/>
      <c r="G19" s="6" t="n"/>
      <c r="H19" s="6" t="n"/>
    </row>
    <row r="20">
      <c r="A20" s="6" t="inlineStr">
        <is>
          <t>MREL ratio</t>
        </is>
      </c>
      <c r="B20" s="6" t="inlineStr">
        <is>
          <t>%</t>
        </is>
      </c>
      <c r="C20" s="6" t="inlineStr">
        <is>
          <t>Metro Bank PLC consolidated basis</t>
        </is>
      </c>
      <c r="D20" s="9" t="inlineStr">
        <is>
          <t>Not disclosed</t>
        </is>
      </c>
      <c r="E20" s="9" t="inlineStr">
        <is>
          <t>Not disclosed</t>
        </is>
      </c>
      <c r="F20" s="6" t="n"/>
      <c r="G20" s="6" t="n"/>
      <c r="H20" s="6" t="n"/>
    </row>
    <row r="21">
      <c r="A21" s="6" t="inlineStr">
        <is>
          <t>All Metro Bank PLC entity-level interim metrics</t>
        </is>
      </c>
      <c r="B21" s="6" t="inlineStr">
        <is>
          <t>n/a</t>
        </is>
      </c>
      <c r="C21" s="6" t="inlineStr">
        <is>
          <t>Metro Bank Holdings PLC group disclosure after 19 May 2023 restructure</t>
        </is>
      </c>
      <c r="D21" s="6" t="n"/>
      <c r="E21" s="6" t="n"/>
      <c r="F21" s="9" t="inlineStr">
        <is>
          <t>Not separately disclosed</t>
        </is>
      </c>
      <c r="G21" s="9" t="inlineStr">
        <is>
          <t>Not separately disclosed</t>
        </is>
      </c>
      <c r="H21" s="9" t="inlineStr">
        <is>
          <t>Not separately disclosed</t>
        </is>
      </c>
    </row>
    <row r="24">
      <c r="A24" s="2" t="inlineStr">
        <is>
          <t>Source register</t>
        </is>
      </c>
    </row>
    <row r="25">
      <c r="A25" s="4" t="inlineStr">
        <is>
          <t>Period</t>
        </is>
      </c>
      <c r="B25" s="4" t="inlineStr">
        <is>
          <t>Disclosure type</t>
        </is>
      </c>
      <c r="C25" s="4" t="inlineStr">
        <is>
          <t>Source document</t>
        </is>
      </c>
      <c r="D25" s="4" t="inlineStr">
        <is>
          <t>Page / table</t>
        </is>
      </c>
    </row>
    <row r="26">
      <c r="A26" s="6" t="inlineStr">
        <is>
          <t>30 Jun 2021</t>
        </is>
      </c>
      <c r="B26" s="6" t="inlineStr">
        <is>
          <t>H1 Pillar 3 disclosure</t>
        </is>
      </c>
      <c r="C26" s="9" t="inlineStr">
        <is>
          <t>https://www.metrobankonline.co.uk/globalassets/documents/customer_documents/business-and-commercial/pillar-3-disclosure---h1-2022.pdf</t>
        </is>
      </c>
      <c r="D26" s="6" t="inlineStr">
        <is>
          <t>3, UK KM1</t>
        </is>
      </c>
    </row>
    <row r="27">
      <c r="A27" s="6" t="inlineStr">
        <is>
          <t>30 Jun 2022</t>
        </is>
      </c>
      <c r="B27" s="6" t="inlineStr">
        <is>
          <t>H1 Pillar 3 disclosure</t>
        </is>
      </c>
      <c r="C27" s="9" t="inlineStr">
        <is>
          <t>https://www.metrobankonline.co.uk/globalassets/documents/customer_documents/business-and-commercial/pillar-3-disclosure---h1-2022.pdf</t>
        </is>
      </c>
      <c r="D27" s="6" t="inlineStr">
        <is>
          <t>3, UK KM1</t>
        </is>
      </c>
    </row>
    <row r="28">
      <c r="A28" s="6" t="inlineStr">
        <is>
          <t>30 Jun 2023</t>
        </is>
      </c>
      <c r="B28" s="6" t="inlineStr">
        <is>
          <t>H1 Pillar 3 disclosure</t>
        </is>
      </c>
      <c r="C28" s="9" t="inlineStr">
        <is>
          <t>https://www.metrobankonline.co.uk/globalassets/documents/customer_documents/personal/pillar-3-disclosure-h1-2023.pdf</t>
        </is>
      </c>
      <c r="D28" s="6" t="inlineStr">
        <is>
          <t>Basis note</t>
        </is>
      </c>
    </row>
    <row r="29">
      <c r="A29" s="6" t="inlineStr">
        <is>
          <t>30 Jun 2024</t>
        </is>
      </c>
      <c r="B29" s="6" t="inlineStr">
        <is>
          <t>H1 Pillar 3 disclosure</t>
        </is>
      </c>
      <c r="C29" s="9" t="inlineStr">
        <is>
          <t>https://www.metrobankonline.co.uk/globalassets/documents/customer_documents/intermediaries/pillar-3-disclosure-h1-2024.pdf</t>
        </is>
      </c>
      <c r="D29" s="6" t="inlineStr">
        <is>
          <t>Basis note</t>
        </is>
      </c>
    </row>
    <row r="30">
      <c r="A30" s="6" t="inlineStr">
        <is>
          <t>30 Jun 2025</t>
        </is>
      </c>
      <c r="B30" s="6" t="inlineStr">
        <is>
          <t>H1 Pillar 3 disclosure</t>
        </is>
      </c>
      <c r="C30" s="9" t="inlineStr">
        <is>
          <t>https://www.metrobankonline.co.uk/globalassets/h1-2025-pillar-3-final.pdf</t>
        </is>
      </c>
      <c r="D30" s="6" t="inlineStr">
        <is>
          <t>Basis note</t>
        </is>
      </c>
    </row>
    <row r="32" ht="60" customHeight="1">
      <c r="A32" s="10" t="inlineStr">
        <is>
          <t>Note: H1 2021 and H1 2022 use the official Metro Bank PLC consolidated UK KM1 table. From 19 May 2023 the ultimate holding company changed to Metro Bank Holdings PLC; H1 2023-H1 2025 official disclosures are Holdings Group figures and do not provide a defensible standalone Metro Bank PLC series, so those periods are explicitly recorded as not separately disclosed.</t>
        </is>
      </c>
    </row>
  </sheetData>
  <mergeCells count="1">
    <mergeCell ref="A32:H3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E14" r:id="rId19"/>
    <hyperlink xmlns:r="http://schemas.openxmlformats.org/officeDocument/2006/relationships" ref="E15" r:id="rId20"/>
    <hyperlink xmlns:r="http://schemas.openxmlformats.org/officeDocument/2006/relationships" ref="E16" r:id="rId21"/>
    <hyperlink xmlns:r="http://schemas.openxmlformats.org/officeDocument/2006/relationships" ref="D17" r:id="rId22"/>
    <hyperlink xmlns:r="http://schemas.openxmlformats.org/officeDocument/2006/relationships" ref="E17" r:id="rId23"/>
    <hyperlink xmlns:r="http://schemas.openxmlformats.org/officeDocument/2006/relationships" ref="D18" r:id="rId24"/>
    <hyperlink xmlns:r="http://schemas.openxmlformats.org/officeDocument/2006/relationships" ref="E18" r:id="rId25"/>
    <hyperlink xmlns:r="http://schemas.openxmlformats.org/officeDocument/2006/relationships" ref="D19" r:id="rId26"/>
    <hyperlink xmlns:r="http://schemas.openxmlformats.org/officeDocument/2006/relationships" ref="E19" r:id="rId27"/>
    <hyperlink xmlns:r="http://schemas.openxmlformats.org/officeDocument/2006/relationships" ref="D20" r:id="rId28"/>
    <hyperlink xmlns:r="http://schemas.openxmlformats.org/officeDocument/2006/relationships" ref="E20" r:id="rId29"/>
    <hyperlink xmlns:r="http://schemas.openxmlformats.org/officeDocument/2006/relationships" ref="F21" r:id="rId30"/>
    <hyperlink xmlns:r="http://schemas.openxmlformats.org/officeDocument/2006/relationships" ref="G21" r:id="rId31"/>
    <hyperlink xmlns:r="http://schemas.openxmlformats.org/officeDocument/2006/relationships" ref="H21" r:id="rId32"/>
    <hyperlink xmlns:r="http://schemas.openxmlformats.org/officeDocument/2006/relationships" ref="C26" r:id="rId33"/>
    <hyperlink xmlns:r="http://schemas.openxmlformats.org/officeDocument/2006/relationships" ref="C27" r:id="rId34"/>
    <hyperlink xmlns:r="http://schemas.openxmlformats.org/officeDocument/2006/relationships" ref="C28" r:id="rId35"/>
    <hyperlink xmlns:r="http://schemas.openxmlformats.org/officeDocument/2006/relationships" ref="C29" r:id="rId36"/>
    <hyperlink xmlns:r="http://schemas.openxmlformats.org/officeDocument/2006/relationships" ref="C30" r:id="rId37"/>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2026-09-15T20:28:41Z</dcterms:created>
  <dcterms:modified xmlns:dcterms="http://purl.org/dc/terms/" xmlns:xsi="http://www.w3.org/2001/XMLSchema-instance" xsi:type="dcterms:W3CDTF">2026-09-15T20:28:41Z</dcterms:modified>
</cp:coreProperties>
</file>