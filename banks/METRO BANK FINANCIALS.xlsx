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695C"/>
        <bgColor rgb="000069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Metro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Metro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ser>
          <idx val="3"/>
          <order val="3"/>
          <tx>
            <strRef>
              <f>'Overview'!AE16</f>
            </strRef>
          </tx>
          <spPr>
            <a:ln xmlns:a="http://schemas.openxmlformats.org/drawingml/2006/main">
              <a:prstDash val="solid"/>
            </a:ln>
          </spPr>
          <cat>
            <numRef>
              <f>'Overview'!$AF$12:$AQ$12</f>
            </numRef>
          </cat>
          <val>
            <numRef>
              <f>'Overview'!$AF$16:$AQ$16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Metro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'Overview'!AT20</f>
            </strRef>
          </tx>
          <spPr>
            <a:ln xmlns:a="http://schemas.openxmlformats.org/drawingml/2006/main">
              <a:prstDash val="solid"/>
            </a:ln>
          </spPr>
          <cat>
            <numRef>
              <f>'Overview'!$AU$19:$BF$19</f>
            </numRef>
          </cat>
          <val>
            <numRef>
              <f>'Overview'!$AU$20:$BF$20</f>
            </numRef>
          </val>
        </ser>
        <ser>
          <idx val="1"/>
          <order val="1"/>
          <tx>
            <strRef>
              <f>'Overview'!AT21</f>
            </strRef>
          </tx>
          <spPr>
            <a:ln xmlns:a="http://schemas.openxmlformats.org/drawingml/2006/main">
              <a:prstDash val="solid"/>
            </a:ln>
          </spPr>
          <cat>
            <numRef>
              <f>'Overview'!$AU$19:$BF$19</f>
            </numRef>
          </cat>
          <val>
            <numRef>
              <f>'Overview'!$AU$21:$BF$21</f>
            </numRef>
          </val>
        </ser>
        <ser>
          <idx val="2"/>
          <order val="2"/>
          <tx>
            <strRef>
              <f>'Overview'!AT22</f>
            </strRef>
          </tx>
          <spPr>
            <a:ln xmlns:a="http://schemas.openxmlformats.org/drawingml/2006/main">
              <a:prstDash val="solid"/>
            </a:ln>
          </spPr>
          <cat>
            <numRef>
              <f>'Overview'!$AU$19:$BF$19</f>
            </numRef>
          </cat>
          <val>
            <numRef>
              <f>'Overview'!$AU$22:$BF$22</f>
            </numRef>
          </val>
        </ser>
        <ser>
          <idx val="3"/>
          <order val="3"/>
          <tx>
            <strRef>
              <f>'Overview'!AT23</f>
            </strRef>
          </tx>
          <spPr>
            <a:ln xmlns:a="http://schemas.openxmlformats.org/drawingml/2006/main">
              <a:prstDash val="solid"/>
            </a:ln>
          </spPr>
          <cat>
            <numRef>
              <f>'Overview'!$AU$19:$BF$19</f>
            </numRef>
          </cat>
          <val>
            <numRef>
              <f>'Overview'!$AU$23:$BF$23</f>
            </numRef>
          </val>
        </ser>
        <ser>
          <idx val="4"/>
          <order val="4"/>
          <tx>
            <strRef>
              <f>'Overview'!AT24</f>
            </strRef>
          </tx>
          <spPr>
            <a:ln xmlns:a="http://schemas.openxmlformats.org/drawingml/2006/main">
              <a:prstDash val="solid"/>
            </a:ln>
          </spPr>
          <cat>
            <numRef>
              <f>'Overview'!$AU$19:$BF$19</f>
            </numRef>
          </cat>
          <val>
            <numRef>
              <f>'Overview'!$AU$24:$BF$24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Metro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'Overview'!BI28</f>
            </strRef>
          </tx>
          <spPr>
            <a:ln xmlns:a="http://schemas.openxmlformats.org/drawingml/2006/main">
              <a:prstDash val="solid"/>
            </a:ln>
          </spPr>
          <cat>
            <numRef>
              <f>'Overview'!$BJ$27:$BU$27</f>
            </numRef>
          </cat>
          <val>
            <numRef>
              <f>'Overview'!$BJ$28:$BU$28</f>
            </numRef>
          </val>
        </ser>
        <ser>
          <idx val="1"/>
          <order val="1"/>
          <tx>
            <strRef>
              <f>'Overview'!BI29</f>
            </strRef>
          </tx>
          <spPr>
            <a:ln xmlns:a="http://schemas.openxmlformats.org/drawingml/2006/main">
              <a:prstDash val="solid"/>
            </a:ln>
          </spPr>
          <cat>
            <numRef>
              <f>'Overview'!$BJ$27:$BU$27</f>
            </numRef>
          </cat>
          <val>
            <numRef>
              <f>'Overview'!$BJ$29:$BU$29</f>
            </numRef>
          </val>
        </ser>
        <ser>
          <idx val="2"/>
          <order val="2"/>
          <tx>
            <strRef>
              <f>'Overview'!BI30</f>
            </strRef>
          </tx>
          <spPr>
            <a:ln xmlns:a="http://schemas.openxmlformats.org/drawingml/2006/main">
              <a:prstDash val="solid"/>
            </a:ln>
          </spPr>
          <cat>
            <numRef>
              <f>'Overview'!$BJ$27:$BU$27</f>
            </numRef>
          </cat>
          <val>
            <numRef>
              <f>'Overview'!$BJ$30:$BU$30</f>
            </numRef>
          </val>
        </ser>
        <ser>
          <idx val="3"/>
          <order val="3"/>
          <tx>
            <strRef>
              <f>'Overview'!BI31</f>
            </strRef>
          </tx>
          <spPr>
            <a:ln xmlns:a="http://schemas.openxmlformats.org/drawingml/2006/main">
              <a:prstDash val="solid"/>
            </a:ln>
          </spPr>
          <cat>
            <numRef>
              <f>'Overview'!$BJ$27:$BU$27</f>
            </numRef>
          </cat>
          <val>
            <numRef>
              <f>'Overview'!$BJ$31:$BU$31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Metro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metrobankonline.co.uk/globalassets/documents/customer_documents/business-and-commercial/pillar-3-disclosure---h1-2022.pdf" TargetMode="External" Id="rId1"/><Relationship Type="http://schemas.openxmlformats.org/officeDocument/2006/relationships/hyperlink" Target="https://www.metrobankonline.co.uk/globalassets/documents/customer_documents/business-and-commercial/pillar-3-disclosure---h1-2022.pdf" TargetMode="External" Id="rId2"/><Relationship Type="http://schemas.openxmlformats.org/officeDocument/2006/relationships/hyperlink" Target="https://www.metrobankonline.co.uk/globalassets/documents/customer_documents/business-and-commercial/pillar-3-disclosure---h1-2022.pdf" TargetMode="External" Id="rId3"/><Relationship Type="http://schemas.openxmlformats.org/officeDocument/2006/relationships/hyperlink" Target="https://www.metrobankonline.co.uk/globalassets/documents/customer_documents/business-and-commercial/pillar-3-disclosure---h1-2022.pdf" TargetMode="External" Id="rId4"/><Relationship Type="http://schemas.openxmlformats.org/officeDocument/2006/relationships/hyperlink" Target="https://www.metrobankonline.co.uk/globalassets/documents/customer_documents/business-and-commercial/pillar-3-disclosure---h1-2022.pdf" TargetMode="External" Id="rId5"/><Relationship Type="http://schemas.openxmlformats.org/officeDocument/2006/relationships/hyperlink" Target="https://www.metrobankonline.co.uk/globalassets/documents/customer_documents/business-and-commercial/pillar-3-disclosure---h1-2022.pdf" TargetMode="External" Id="rId6"/><Relationship Type="http://schemas.openxmlformats.org/officeDocument/2006/relationships/hyperlink" Target="https://www.metrobankonline.co.uk/globalassets/documents/customer_documents/business-and-commercial/pillar-3-disclosure---h1-2022.pdf" TargetMode="External" Id="rId7"/><Relationship Type="http://schemas.openxmlformats.org/officeDocument/2006/relationships/hyperlink" Target="https://www.metrobankonline.co.uk/globalassets/documents/customer_documents/business-and-commercial/pillar-3-disclosure---h1-2022.pdf" TargetMode="External" Id="rId8"/><Relationship Type="http://schemas.openxmlformats.org/officeDocument/2006/relationships/hyperlink" Target="https://www.metrobankonline.co.uk/globalassets/documents/customer_documents/business-and-commercial/pillar-3-disclosure---h1-2022.pdf" TargetMode="External" Id="rId9"/><Relationship Type="http://schemas.openxmlformats.org/officeDocument/2006/relationships/hyperlink" Target="https://www.metrobankonline.co.uk/globalassets/documents/customer_documents/business-and-commercial/pillar-3-disclosure---h1-2022.pdf" TargetMode="External" Id="rId10"/><Relationship Type="http://schemas.openxmlformats.org/officeDocument/2006/relationships/hyperlink" Target="https://www.metrobankonline.co.uk/globalassets/documents/customer_documents/business-and-commercial/pillar-3-disclosure---h1-2022.pdf" TargetMode="External" Id="rId11"/><Relationship Type="http://schemas.openxmlformats.org/officeDocument/2006/relationships/hyperlink" Target="https://www.metrobankonline.co.uk/globalassets/documents/customer_documents/business-and-commercial/pillar-3-disclosure---h1-2022.pdf" TargetMode="External" Id="rId12"/><Relationship Type="http://schemas.openxmlformats.org/officeDocument/2006/relationships/hyperlink" Target="https://www.metrobankonline.co.uk/globalassets/documents/customer_documents/business-and-commercial/pillar-3-disclosure---h1-2022.pdf" TargetMode="External" Id="rId13"/><Relationship Type="http://schemas.openxmlformats.org/officeDocument/2006/relationships/hyperlink" Target="https://www.metrobankonline.co.uk/globalassets/documents/customer_documents/business-and-commercial/pillar-3-disclosure---h1-2022.pdf" TargetMode="External" Id="rId14"/><Relationship Type="http://schemas.openxmlformats.org/officeDocument/2006/relationships/hyperlink" Target="https://www.metrobankonline.co.uk/globalassets/documents/customer_documents/business-and-commercial/pillar-3-disclosure---h1-2022.pdf" TargetMode="External" Id="rId15"/><Relationship Type="http://schemas.openxmlformats.org/officeDocument/2006/relationships/hyperlink" Target="https://www.metrobankonline.co.uk/globalassets/documents/customer_documents/business-and-commercial/pillar-3-disclosure---h1-2022.pdf" TargetMode="External" Id="rId16"/><Relationship Type="http://schemas.openxmlformats.org/officeDocument/2006/relationships/hyperlink" Target="https://www.metrobankonline.co.uk/globalassets/documents/customer_documents/business-and-commercial/pillar-3-disclosure---h1-2022.pdf" TargetMode="External" Id="rId17"/><Relationship Type="http://schemas.openxmlformats.org/officeDocument/2006/relationships/hyperlink" Target="https://www.metrobankonline.co.uk/globalassets/documents/customer_documents/business-and-commercial/pillar-3-disclosure---h1-2022.pdf" TargetMode="External" Id="rId18"/><Relationship Type="http://schemas.openxmlformats.org/officeDocument/2006/relationships/hyperlink" Target="https://www.metrobankonline.co.uk/globalassets/documents/customer_documents/business-and-commercial/pillar-3-disclosure---h1-2022.pdf" TargetMode="External" Id="rId19"/><Relationship Type="http://schemas.openxmlformats.org/officeDocument/2006/relationships/hyperlink" Target="https://www.metrobankonline.co.uk/globalassets/documents/customer_documents/business-and-commercial/pillar-3-disclosure---h1-2022.pdf" TargetMode="External" Id="rId20"/><Relationship Type="http://schemas.openxmlformats.org/officeDocument/2006/relationships/hyperlink" Target="https://www.metrobankonline.co.uk/globalassets/documents/customer_documents/business-and-commercial/pillar-3-disclosure---h1-2022.pdf" TargetMode="External" Id="rId21"/><Relationship Type="http://schemas.openxmlformats.org/officeDocument/2006/relationships/hyperlink" Target="https://www.metrobankonline.co.uk/globalassets/documents/customer_documents/business-and-commercial/pillar-3-disclosure---h1-2022.pdf" TargetMode="External" Id="rId22"/><Relationship Type="http://schemas.openxmlformats.org/officeDocument/2006/relationships/hyperlink" Target="https://www.metrobankonline.co.uk/globalassets/documents/customer_documents/business-and-commercial/pillar-3-disclosure---h1-2022.pdf" TargetMode="External" Id="rId23"/><Relationship Type="http://schemas.openxmlformats.org/officeDocument/2006/relationships/hyperlink" Target="https://www.metrobankonline.co.uk/globalassets/documents/customer_documents/business-and-commercial/pillar-3-disclosure---h1-2022.pdf" TargetMode="External" Id="rId24"/><Relationship Type="http://schemas.openxmlformats.org/officeDocument/2006/relationships/hyperlink" Target="https://www.metrobankonline.co.uk/globalassets/documents/customer_documents/business-and-commercial/pillar-3-disclosure---h1-2022.pdf" TargetMode="External" Id="rId25"/><Relationship Type="http://schemas.openxmlformats.org/officeDocument/2006/relationships/hyperlink" Target="https://www.metrobankonline.co.uk/globalassets/documents/customer_documents/business-and-commercial/pillar-3-disclosure---h1-2022.pdf" TargetMode="External" Id="rId26"/><Relationship Type="http://schemas.openxmlformats.org/officeDocument/2006/relationships/hyperlink" Target="https://www.metrobankonline.co.uk/globalassets/documents/customer_documents/business-and-commercial/pillar-3-disclosure---h1-2022.pdf" TargetMode="External" Id="rId27"/><Relationship Type="http://schemas.openxmlformats.org/officeDocument/2006/relationships/hyperlink" Target="https://www.metrobankonline.co.uk/globalassets/documents/customer_documents/business-and-commercial/pillar-3-disclosure---h1-2022.pdf" TargetMode="External" Id="rId28"/><Relationship Type="http://schemas.openxmlformats.org/officeDocument/2006/relationships/hyperlink" Target="https://www.metrobankonline.co.uk/globalassets/documents/customer_documents/business-and-commercial/pillar-3-disclosure---h1-2022.pdf" TargetMode="External" Id="rId29"/><Relationship Type="http://schemas.openxmlformats.org/officeDocument/2006/relationships/hyperlink" Target="https://www.metrobankonline.co.uk/globalassets/documents/customer_documents/personal/pillar-3-disclosure-h1-2023.pdf" TargetMode="External" Id="rId30"/><Relationship Type="http://schemas.openxmlformats.org/officeDocument/2006/relationships/hyperlink" Target="https://www.metrobankonline.co.uk/globalassets/documents/customer_documents/intermediaries/pillar-3-disclosure-h1-2024.pdf" TargetMode="External" Id="rId31"/><Relationship Type="http://schemas.openxmlformats.org/officeDocument/2006/relationships/hyperlink" Target="https://www.metrobankonline.co.uk/globalassets/h1-2025-pillar-3-final.pdf" TargetMode="External" Id="rId32"/><Relationship Type="http://schemas.openxmlformats.org/officeDocument/2006/relationships/hyperlink" Target="https://www.metrobankonline.co.uk/globalassets/documents/customer_documents/business-and-commercial/pillar-3-disclosure---h1-2022.pdf" TargetMode="External" Id="rId33"/><Relationship Type="http://schemas.openxmlformats.org/officeDocument/2006/relationships/hyperlink" Target="https://www.metrobankonline.co.uk/globalassets/documents/customer_documents/business-and-commercial/pillar-3-disclosure---h1-2022.pdf" TargetMode="External" Id="rId34"/><Relationship Type="http://schemas.openxmlformats.org/officeDocument/2006/relationships/hyperlink" Target="https://www.metrobankonline.co.uk/globalassets/documents/customer_documents/personal/pillar-3-disclosure-h1-2023.pdf" TargetMode="External" Id="rId35"/><Relationship Type="http://schemas.openxmlformats.org/officeDocument/2006/relationships/hyperlink" Target="https://www.metrobankonline.co.uk/globalassets/documents/customer_documents/intermediaries/pillar-3-disclosure-h1-2024.pdf" TargetMode="External" Id="rId36"/><Relationship Type="http://schemas.openxmlformats.org/officeDocument/2006/relationships/hyperlink" Target="https://www.metrobankonline.co.uk/globalassets/h1-2025-pillar-3-final.pdf" TargetMode="External" Id="rId37"/></Relationships>
</file>

<file path=xl/worksheets/sheet1.xml><?xml version="1.0" encoding="utf-8"?>
<worksheet xmlns="http://schemas.openxmlformats.org/spreadsheetml/2006/main">
  <sheetPr>
    <outlinePr summaryBelow="1" summaryRight="1"/>
    <pageSetUpPr/>
  </sheetPr>
  <dimension ref="A1:CJ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Metro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c r="C6" s="5" t="n"/>
      <c r="D6" s="5" t="n">
        <v>22257</v>
      </c>
      <c r="E6" s="5" t="n">
        <v>22126</v>
      </c>
      <c r="F6" s="5" t="n">
        <v>22583</v>
      </c>
      <c r="G6" s="5" t="n">
        <v>22579</v>
      </c>
      <c r="H6" s="5" t="n">
        <v>21400</v>
      </c>
      <c r="I6" s="5" t="n">
        <v>21647</v>
      </c>
      <c r="J6" s="5" t="n">
        <v>16355</v>
      </c>
      <c r="K6" s="5" t="n">
        <v>10057</v>
      </c>
      <c r="L6" s="5" t="n">
        <v>6148</v>
      </c>
      <c r="M6" s="5" t="n">
        <v>3661</v>
      </c>
      <c r="P6" t="inlineStr">
        <is>
          <t>Total assets</t>
        </is>
      </c>
      <c r="Q6" t="n">
        <v>3661</v>
      </c>
      <c r="R6" t="n">
        <v>6148</v>
      </c>
      <c r="S6" t="n">
        <v>10057</v>
      </c>
      <c r="T6" t="n">
        <v>16355</v>
      </c>
      <c r="U6" t="n">
        <v>21647</v>
      </c>
      <c r="V6" t="n">
        <v>21400</v>
      </c>
      <c r="W6" t="n">
        <v>22579</v>
      </c>
      <c r="X6" t="n">
        <v>22583</v>
      </c>
      <c r="Y6" t="n">
        <v>22126</v>
      </c>
      <c r="Z6" t="n">
        <v>22257</v>
      </c>
      <c r="BX6" t="inlineStr">
        <is>
          <t>CET1 Ratio</t>
        </is>
      </c>
      <c r="BY6" t="n">
        <v>28</v>
      </c>
      <c r="BZ6" t="n">
        <v>13</v>
      </c>
      <c r="CA6" t="n">
        <v>18.16</v>
      </c>
      <c r="CB6" t="n">
        <v>15.25</v>
      </c>
      <c r="CC6" t="n">
        <v>13.1</v>
      </c>
      <c r="CD6" t="n">
        <v>15.6</v>
      </c>
      <c r="CE6" t="n">
        <v>15</v>
      </c>
      <c r="CF6" t="n">
        <v>12.6</v>
      </c>
      <c r="CG6" t="n">
        <v>10.3</v>
      </c>
      <c r="CH6" t="n">
        <v>13.1</v>
      </c>
      <c r="CI6" t="n">
        <v>12.5</v>
      </c>
      <c r="CJ6" t="n">
        <v>12.5</v>
      </c>
    </row>
    <row r="7">
      <c r="A7" s="5" t="inlineStr">
        <is>
          <t>Loans and advances to customers</t>
        </is>
      </c>
      <c r="B7" s="5" t="n"/>
      <c r="C7" s="5" t="n"/>
      <c r="D7" s="5" t="n">
        <v>11844</v>
      </c>
      <c r="E7" s="5" t="n">
        <v>12698</v>
      </c>
      <c r="F7" s="5" t="n">
        <v>11976</v>
      </c>
      <c r="G7" s="5" t="n">
        <v>12090</v>
      </c>
      <c r="H7" s="5" t="n">
        <v>14681</v>
      </c>
      <c r="I7" s="5" t="n">
        <v>14235</v>
      </c>
      <c r="J7" s="5" t="n">
        <v>9620</v>
      </c>
      <c r="K7" s="5" t="n">
        <v>5865</v>
      </c>
      <c r="L7" s="5" t="n">
        <v>3543</v>
      </c>
      <c r="M7" s="5" t="n">
        <v>1590</v>
      </c>
      <c r="P7" t="inlineStr">
        <is>
          <t>Loans and advances to customers</t>
        </is>
      </c>
      <c r="Q7" t="n">
        <v>1590</v>
      </c>
      <c r="R7" t="n">
        <v>3543</v>
      </c>
      <c r="S7" t="n">
        <v>5865</v>
      </c>
      <c r="T7" t="n">
        <v>9620</v>
      </c>
      <c r="U7" t="n">
        <v>14235</v>
      </c>
      <c r="V7" t="n">
        <v>14681</v>
      </c>
      <c r="W7" t="n">
        <v>12090</v>
      </c>
      <c r="X7" t="n">
        <v>11976</v>
      </c>
      <c r="Y7" t="n">
        <v>12698</v>
      </c>
      <c r="Z7" t="n">
        <v>11844</v>
      </c>
      <c r="BX7" t="inlineStr">
        <is>
          <t>Total Capital Ratio</t>
        </is>
      </c>
      <c r="BY7" t="n">
        <v>28</v>
      </c>
      <c r="BZ7" t="n">
        <v>13</v>
      </c>
      <c r="CA7" t="n">
        <v>18.16</v>
      </c>
      <c r="CB7" t="n">
        <v>15.25</v>
      </c>
      <c r="CC7" t="n">
        <v>15.9</v>
      </c>
      <c r="CD7" t="n">
        <v>18.3</v>
      </c>
      <c r="CE7" t="n">
        <v>18.1</v>
      </c>
      <c r="CF7" t="n">
        <v>15.9</v>
      </c>
      <c r="CG7" t="n">
        <v>13.4</v>
      </c>
      <c r="CH7" t="n">
        <v>15.1</v>
      </c>
      <c r="CI7" t="n">
        <v>14.9</v>
      </c>
      <c r="CJ7" t="n">
        <v>18.4</v>
      </c>
    </row>
    <row r="8">
      <c r="A8" s="5" t="inlineStr">
        <is>
          <t>Deposits from customers</t>
        </is>
      </c>
      <c r="B8" s="5" t="n"/>
      <c r="C8" s="5" t="n"/>
      <c r="D8" s="5" t="n">
        <v>15623</v>
      </c>
      <c r="E8" s="5" t="n">
        <v>16014</v>
      </c>
      <c r="F8" s="5" t="n">
        <v>16448</v>
      </c>
      <c r="G8" s="5" t="n">
        <v>16072</v>
      </c>
      <c r="H8" s="5" t="n">
        <v>14477</v>
      </c>
      <c r="I8" s="5" t="n">
        <v>15661</v>
      </c>
      <c r="J8" s="5" t="n">
        <v>11669</v>
      </c>
      <c r="K8" s="5" t="n">
        <v>7951</v>
      </c>
      <c r="L8" s="5" t="n">
        <v>5108</v>
      </c>
      <c r="M8" s="5" t="n">
        <v>2867</v>
      </c>
      <c r="P8" t="inlineStr">
        <is>
          <t>Deposits from customers</t>
        </is>
      </c>
      <c r="Q8" t="n">
        <v>2867</v>
      </c>
      <c r="R8" t="n">
        <v>5108</v>
      </c>
      <c r="S8" t="n">
        <v>7951</v>
      </c>
      <c r="T8" t="n">
        <v>11669</v>
      </c>
      <c r="U8" t="n">
        <v>15661</v>
      </c>
      <c r="V8" t="n">
        <v>14477</v>
      </c>
      <c r="W8" t="n">
        <v>16072</v>
      </c>
      <c r="X8" t="n">
        <v>16448</v>
      </c>
      <c r="Y8" t="n">
        <v>16014</v>
      </c>
      <c r="Z8" t="n">
        <v>15623</v>
      </c>
      <c r="BX8" t="inlineStr">
        <is>
          <t>Leverage Ratio</t>
        </is>
      </c>
      <c r="BY8" t="n">
        <v>10</v>
      </c>
      <c r="BZ8" t="n">
        <v>4.9</v>
      </c>
      <c r="CA8" t="n">
        <v>6.5</v>
      </c>
      <c r="CB8" t="n">
        <v>5.5</v>
      </c>
      <c r="CC8" t="n">
        <v>5.4</v>
      </c>
      <c r="CD8" t="n">
        <v>6.6</v>
      </c>
      <c r="CE8" t="n">
        <v>5.6</v>
      </c>
      <c r="CF8" t="n">
        <v>5.2</v>
      </c>
      <c r="CG8" t="n">
        <v>4.2</v>
      </c>
      <c r="CH8" t="n">
        <v>5.3</v>
      </c>
      <c r="CI8" t="n">
        <v>5.6</v>
      </c>
      <c r="CJ8" t="n">
        <v>7.8</v>
      </c>
    </row>
    <row r="9">
      <c r="A9" s="5" t="inlineStr">
        <is>
          <t>Total equity</t>
        </is>
      </c>
      <c r="B9" s="5" t="n"/>
      <c r="C9" s="5" t="n"/>
      <c r="D9" s="5" t="n">
        <v>1152</v>
      </c>
      <c r="E9" s="5" t="n">
        <v>957</v>
      </c>
      <c r="F9" s="5" t="n">
        <v>1036</v>
      </c>
      <c r="G9" s="5" t="n">
        <v>1289</v>
      </c>
      <c r="H9" s="5" t="n">
        <v>1583</v>
      </c>
      <c r="I9" s="5" t="n">
        <v>1403</v>
      </c>
      <c r="J9" s="5" t="n">
        <v>1096</v>
      </c>
      <c r="K9" s="5" t="n">
        <v>805</v>
      </c>
      <c r="L9" s="5" t="n">
        <v>407</v>
      </c>
      <c r="M9" s="5" t="n">
        <v>462</v>
      </c>
      <c r="P9" t="inlineStr">
        <is>
          <t>Total equity</t>
        </is>
      </c>
      <c r="Q9" t="n">
        <v>462</v>
      </c>
      <c r="R9" t="n">
        <v>407</v>
      </c>
      <c r="S9" t="n">
        <v>805</v>
      </c>
      <c r="T9" t="n">
        <v>1096</v>
      </c>
      <c r="U9" t="n">
        <v>1403</v>
      </c>
      <c r="V9" t="n">
        <v>1583</v>
      </c>
      <c r="W9" t="n">
        <v>1289</v>
      </c>
      <c r="X9" t="n">
        <v>1036</v>
      </c>
      <c r="Y9" t="n">
        <v>957</v>
      </c>
      <c r="Z9" t="n">
        <v>1152</v>
      </c>
      <c r="BX9" t="inlineStr">
        <is>
          <t>LCR</t>
        </is>
      </c>
      <c r="CA9" t="n">
        <v>136</v>
      </c>
      <c r="CB9" t="n">
        <v>141</v>
      </c>
      <c r="CC9" t="n">
        <v>139</v>
      </c>
      <c r="CD9" t="n">
        <v>197</v>
      </c>
      <c r="CE9" t="n">
        <v>187</v>
      </c>
      <c r="CF9" t="n">
        <v>281</v>
      </c>
      <c r="CG9" t="n">
        <v>246</v>
      </c>
      <c r="CH9" t="n">
        <v>244</v>
      </c>
      <c r="CI9" t="n">
        <v>444</v>
      </c>
      <c r="CJ9" t="n">
        <v>314</v>
      </c>
    </row>
    <row r="10">
      <c r="BX10" t="inlineStr">
        <is>
          <t>NSFR</t>
        </is>
      </c>
      <c r="CG10" t="n">
        <v>143</v>
      </c>
      <c r="CH10" t="n">
        <v>136</v>
      </c>
      <c r="CI10" t="n">
        <v>160</v>
      </c>
      <c r="CJ10" t="n">
        <v>165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593.3</v>
      </c>
      <c r="C13" s="5" t="n">
        <v>405.3</v>
      </c>
      <c r="D13" s="5" t="n">
        <v>648.9</v>
      </c>
      <c r="E13" s="5" t="n">
        <v>523.5</v>
      </c>
      <c r="F13" s="5" t="n">
        <v>418.5</v>
      </c>
      <c r="G13" s="5" t="n">
        <v>432.6</v>
      </c>
      <c r="H13" s="5" t="n">
        <v>415.6</v>
      </c>
      <c r="I13" s="5" t="n">
        <v>404.1</v>
      </c>
      <c r="J13" s="5" t="n">
        <v>293.8</v>
      </c>
      <c r="K13" s="5" t="n">
        <v>195.1</v>
      </c>
      <c r="L13" s="5" t="n">
        <v>120.2</v>
      </c>
      <c r="M13" s="5" t="n">
        <v>75.40000000000001</v>
      </c>
      <c r="AE13" t="inlineStr">
        <is>
          <t>Total income</t>
        </is>
      </c>
      <c r="AF13" t="n">
        <v>75.40000000000001</v>
      </c>
      <c r="AG13" t="n">
        <v>120.2</v>
      </c>
      <c r="AH13" t="n">
        <v>195.1</v>
      </c>
      <c r="AI13" t="n">
        <v>293.8</v>
      </c>
      <c r="AJ13" t="n">
        <v>404.1</v>
      </c>
      <c r="AK13" t="n">
        <v>415.6</v>
      </c>
      <c r="AL13" t="n">
        <v>432.6</v>
      </c>
      <c r="AM13" t="n">
        <v>418.5</v>
      </c>
      <c r="AN13" t="n">
        <v>523.5</v>
      </c>
      <c r="AO13" t="n">
        <v>648.9</v>
      </c>
      <c r="AP13" t="n">
        <v>405.3</v>
      </c>
      <c r="AQ13" t="n">
        <v>593.3</v>
      </c>
    </row>
    <row r="14">
      <c r="A14" s="5" t="inlineStr">
        <is>
          <t>Total operating expenses</t>
        </is>
      </c>
      <c r="B14" s="5" t="n">
        <v>-491.8</v>
      </c>
      <c r="C14" s="5" t="n">
        <v>-610.3</v>
      </c>
      <c r="D14" s="5" t="n">
        <v>-566.4</v>
      </c>
      <c r="E14" s="5" t="n">
        <v>-554.3</v>
      </c>
      <c r="F14" s="5" t="n">
        <v>-641.2</v>
      </c>
      <c r="G14" s="5" t="n">
        <v>-617.3</v>
      </c>
      <c r="H14" s="5" t="n">
        <v>-534.7</v>
      </c>
      <c r="I14" s="5" t="n">
        <v>-355.5</v>
      </c>
      <c r="J14" s="5" t="n">
        <v>-266.9</v>
      </c>
      <c r="K14" s="5" t="n">
        <v>-207.6</v>
      </c>
      <c r="L14" s="5" t="n">
        <v>-170</v>
      </c>
      <c r="M14" s="5" t="n">
        <v>-122.2</v>
      </c>
      <c r="AE14" t="inlineStr">
        <is>
          <t>Total operating expenses</t>
        </is>
      </c>
      <c r="AF14" t="n">
        <v>-122.2</v>
      </c>
      <c r="AG14" t="n">
        <v>-170</v>
      </c>
      <c r="AH14" t="n">
        <v>-207.6</v>
      </c>
      <c r="AI14" t="n">
        <v>-266.9</v>
      </c>
      <c r="AJ14" t="n">
        <v>-355.5</v>
      </c>
      <c r="AK14" t="n">
        <v>-534.7</v>
      </c>
      <c r="AL14" t="n">
        <v>-617.3</v>
      </c>
      <c r="AM14" t="n">
        <v>-641.2</v>
      </c>
      <c r="AN14" t="n">
        <v>-554.3</v>
      </c>
      <c r="AO14" t="n">
        <v>-566.4</v>
      </c>
      <c r="AP14" t="n">
        <v>-610.3</v>
      </c>
      <c r="AQ14" t="n">
        <v>-491.8</v>
      </c>
    </row>
    <row r="15">
      <c r="A15" s="5" t="inlineStr">
        <is>
          <t>Profit/(loss) before tax</t>
        </is>
      </c>
      <c r="B15" s="5" t="n">
        <v>87.2</v>
      </c>
      <c r="C15" s="5" t="n">
        <v>-212.1</v>
      </c>
      <c r="D15" s="5" t="n">
        <v>49.3</v>
      </c>
      <c r="E15" s="5" t="n">
        <v>-70.7</v>
      </c>
      <c r="F15" s="5" t="n">
        <v>-245.1</v>
      </c>
      <c r="G15" s="5" t="n">
        <v>-311.4</v>
      </c>
      <c r="H15" s="5" t="n">
        <v>-130.8</v>
      </c>
      <c r="I15" s="5" t="n">
        <v>40.6</v>
      </c>
      <c r="J15" s="5" t="n">
        <v>18.7</v>
      </c>
      <c r="K15" s="5" t="n">
        <v>-17.2</v>
      </c>
      <c r="L15" s="5" t="n">
        <v>-56.8</v>
      </c>
      <c r="M15" s="5" t="n">
        <v>-48.9</v>
      </c>
      <c r="AE15" t="inlineStr">
        <is>
          <t>Profit/(loss) before tax</t>
        </is>
      </c>
      <c r="AF15" t="n">
        <v>-48.9</v>
      </c>
      <c r="AG15" t="n">
        <v>-56.8</v>
      </c>
      <c r="AH15" t="n">
        <v>-17.2</v>
      </c>
      <c r="AI15" t="n">
        <v>18.7</v>
      </c>
      <c r="AJ15" t="n">
        <v>40.6</v>
      </c>
      <c r="AK15" t="n">
        <v>-130.8</v>
      </c>
      <c r="AL15" t="n">
        <v>-311.4</v>
      </c>
      <c r="AM15" t="n">
        <v>-245.1</v>
      </c>
      <c r="AN15" t="n">
        <v>-70.7</v>
      </c>
      <c r="AO15" t="n">
        <v>49.3</v>
      </c>
      <c r="AP15" t="n">
        <v>-212.1</v>
      </c>
      <c r="AQ15" t="n">
        <v>87.2</v>
      </c>
    </row>
    <row r="16">
      <c r="A16" s="5" t="inlineStr">
        <is>
          <t>Profit/(loss) for the year</t>
        </is>
      </c>
      <c r="B16" s="5" t="n">
        <v>69.7</v>
      </c>
      <c r="C16" s="5" t="n">
        <v>42.5</v>
      </c>
      <c r="D16" s="5" t="n">
        <v>48.3</v>
      </c>
      <c r="E16" s="5" t="n">
        <v>-72.7</v>
      </c>
      <c r="F16" s="5" t="n">
        <v>-248.2</v>
      </c>
      <c r="G16" s="5" t="n">
        <v>-301.7</v>
      </c>
      <c r="H16" s="5" t="n">
        <v>-182.6</v>
      </c>
      <c r="I16" s="5" t="n">
        <v>27.1</v>
      </c>
      <c r="J16" s="5" t="n">
        <v>10.8</v>
      </c>
      <c r="K16" s="5" t="n">
        <v>-16.8</v>
      </c>
      <c r="L16" s="5" t="n">
        <v>-49.2</v>
      </c>
      <c r="M16" s="5" t="n">
        <v>-41.1</v>
      </c>
      <c r="AE16" t="inlineStr">
        <is>
          <t>Profit/(loss) for the year</t>
        </is>
      </c>
      <c r="AF16" t="n">
        <v>-41.1</v>
      </c>
      <c r="AG16" t="n">
        <v>-49.2</v>
      </c>
      <c r="AH16" t="n">
        <v>-16.8</v>
      </c>
      <c r="AI16" t="n">
        <v>10.8</v>
      </c>
      <c r="AJ16" t="n">
        <v>27.1</v>
      </c>
      <c r="AK16" t="n">
        <v>-182.6</v>
      </c>
      <c r="AL16" t="n">
        <v>-301.7</v>
      </c>
      <c r="AM16" t="n">
        <v>-248.2</v>
      </c>
      <c r="AN16" t="n">
        <v>-72.7</v>
      </c>
      <c r="AO16" t="n">
        <v>48.3</v>
      </c>
      <c r="AP16" t="n">
        <v>42.5</v>
      </c>
      <c r="AQ16" t="n">
        <v>69.7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AU19" t="inlineStr">
        <is>
          <t>FY2014</t>
        </is>
      </c>
      <c r="AV19" t="inlineStr">
        <is>
          <t>FY2015</t>
        </is>
      </c>
      <c r="AW19" t="inlineStr">
        <is>
          <t>FY2016</t>
        </is>
      </c>
      <c r="AX19" t="inlineStr">
        <is>
          <t>FY2017</t>
        </is>
      </c>
      <c r="AY19" t="inlineStr">
        <is>
          <t>FY2018</t>
        </is>
      </c>
      <c r="AZ19" t="inlineStr">
        <is>
          <t>FY2019</t>
        </is>
      </c>
      <c r="BA19" t="inlineStr">
        <is>
          <t>FY2020</t>
        </is>
      </c>
      <c r="BB19" t="inlineStr">
        <is>
          <t>FY2021</t>
        </is>
      </c>
      <c r="BC19" t="inlineStr">
        <is>
          <t>FY2022</t>
        </is>
      </c>
      <c r="BD19" t="inlineStr">
        <is>
          <t>FY2023</t>
        </is>
      </c>
      <c r="BE19" t="inlineStr">
        <is>
          <t>FY2024</t>
        </is>
      </c>
      <c r="BF19" t="inlineStr">
        <is>
          <t>FY2025</t>
        </is>
      </c>
    </row>
    <row r="20">
      <c r="A20" s="5" t="inlineStr">
        <is>
          <t>Opening equity</t>
        </is>
      </c>
      <c r="B20" s="5" t="n"/>
      <c r="C20" s="5" t="n"/>
      <c r="D20" s="5" t="n">
        <v>957</v>
      </c>
      <c r="E20" s="5" t="n">
        <v>1036</v>
      </c>
      <c r="F20" s="5" t="n">
        <v>1294</v>
      </c>
      <c r="G20" s="5" t="n">
        <v>1583</v>
      </c>
      <c r="H20" s="5" t="n">
        <v>1403</v>
      </c>
      <c r="I20" s="5" t="n">
        <v>1096</v>
      </c>
      <c r="J20" s="5" t="n">
        <v>805</v>
      </c>
      <c r="K20" s="5" t="n">
        <v>407</v>
      </c>
      <c r="L20" s="5" t="n">
        <v>462</v>
      </c>
      <c r="M20" s="5" t="n">
        <v>401</v>
      </c>
      <c r="AT20" t="inlineStr">
        <is>
          <t>Opening equity</t>
        </is>
      </c>
      <c r="AU20" t="n">
        <v>401</v>
      </c>
      <c r="AV20" t="n">
        <v>462</v>
      </c>
      <c r="AW20" t="n">
        <v>407</v>
      </c>
      <c r="AX20" t="n">
        <v>805</v>
      </c>
      <c r="AY20" t="n">
        <v>1096</v>
      </c>
      <c r="AZ20" t="n">
        <v>1403</v>
      </c>
      <c r="BA20" t="n">
        <v>1583</v>
      </c>
      <c r="BB20" t="n">
        <v>1294</v>
      </c>
      <c r="BC20" t="n">
        <v>1036</v>
      </c>
      <c r="BD20" t="n">
        <v>957</v>
      </c>
    </row>
    <row r="21">
      <c r="A21" s="5" t="inlineStr">
        <is>
          <t>Total comprehensive income for the year</t>
        </is>
      </c>
      <c r="B21" s="5" t="n"/>
      <c r="C21" s="5" t="n"/>
      <c r="D21" s="5" t="n">
        <v>48</v>
      </c>
      <c r="E21" s="5" t="n"/>
      <c r="F21" s="5" t="n"/>
      <c r="G21" s="5" t="n"/>
      <c r="H21" s="5" t="n"/>
      <c r="I21" s="5" t="n">
        <v>23</v>
      </c>
      <c r="J21" s="5" t="n">
        <v>10</v>
      </c>
      <c r="K21" s="5" t="n"/>
      <c r="L21" s="5" t="n"/>
      <c r="M21" s="5" t="n"/>
      <c r="AT21" t="inlineStr">
        <is>
          <t>Total comprehensive income for the year</t>
        </is>
      </c>
      <c r="AX21" t="n">
        <v>10</v>
      </c>
      <c r="AY21" t="n">
        <v>23</v>
      </c>
      <c r="BD21" t="n">
        <v>48</v>
      </c>
    </row>
    <row r="22">
      <c r="A22" s="5" t="inlineStr">
        <is>
          <t>Total comprehensive loss for the year</t>
        </is>
      </c>
      <c r="B22" s="5" t="n"/>
      <c r="C22" s="5" t="n"/>
      <c r="D22" s="5" t="n"/>
      <c r="E22" s="5" t="n">
        <v>-81</v>
      </c>
      <c r="F22" s="5" t="n">
        <v>-260</v>
      </c>
      <c r="G22" s="5" t="n">
        <v>-296</v>
      </c>
      <c r="H22" s="5" t="n">
        <v>-183</v>
      </c>
      <c r="I22" s="5" t="n"/>
      <c r="J22" s="5" t="n"/>
      <c r="K22" s="5" t="n">
        <v>-8</v>
      </c>
      <c r="L22" s="5" t="n">
        <v>-57</v>
      </c>
      <c r="M22" s="5" t="n">
        <v>-38</v>
      </c>
      <c r="AT22" t="inlineStr">
        <is>
          <t>Total comprehensive loss for the year</t>
        </is>
      </c>
      <c r="AU22" t="n">
        <v>-38</v>
      </c>
      <c r="AV22" t="n">
        <v>-57</v>
      </c>
      <c r="AW22" t="n">
        <v>-8</v>
      </c>
      <c r="AZ22" t="n">
        <v>-183</v>
      </c>
      <c r="BA22" t="n">
        <v>-296</v>
      </c>
      <c r="BB22" t="n">
        <v>-260</v>
      </c>
      <c r="BC22" t="n">
        <v>-81</v>
      </c>
    </row>
    <row r="23">
      <c r="A23" s="5" t="inlineStr">
        <is>
          <t>Other equity movements, net</t>
        </is>
      </c>
      <c r="B23" s="5" t="n"/>
      <c r="C23" s="5" t="n"/>
      <c r="D23" s="5" t="n">
        <v>147</v>
      </c>
      <c r="E23" s="5" t="n">
        <v>2</v>
      </c>
      <c r="F23" s="5" t="n">
        <v>2</v>
      </c>
      <c r="G23" s="5" t="n">
        <v>2</v>
      </c>
      <c r="H23" s="5" t="n">
        <v>363</v>
      </c>
      <c r="I23" s="5" t="n">
        <v>283</v>
      </c>
      <c r="J23" s="5" t="n">
        <v>282</v>
      </c>
      <c r="K23" s="5" t="n">
        <v>406</v>
      </c>
      <c r="L23" s="5" t="n">
        <v>2</v>
      </c>
      <c r="M23" s="5" t="n">
        <v>100</v>
      </c>
      <c r="AT23" t="inlineStr">
        <is>
          <t>Other equity movements, net</t>
        </is>
      </c>
      <c r="AU23" t="n">
        <v>100</v>
      </c>
      <c r="AV23" t="n">
        <v>2</v>
      </c>
      <c r="AW23" t="n">
        <v>406</v>
      </c>
      <c r="AX23" t="n">
        <v>282</v>
      </c>
      <c r="AY23" t="n">
        <v>283</v>
      </c>
      <c r="AZ23" t="n">
        <v>363</v>
      </c>
      <c r="BA23" t="n">
        <v>2</v>
      </c>
      <c r="BB23" t="n">
        <v>2</v>
      </c>
      <c r="BC23" t="n">
        <v>2</v>
      </c>
      <c r="BD23" t="n">
        <v>147</v>
      </c>
    </row>
    <row r="24">
      <c r="A24" s="5" t="inlineStr">
        <is>
          <t>Closing equity</t>
        </is>
      </c>
      <c r="B24" s="5" t="n"/>
      <c r="C24" s="5" t="n"/>
      <c r="D24" s="5" t="n">
        <v>1152</v>
      </c>
      <c r="E24" s="5" t="n">
        <v>957</v>
      </c>
      <c r="F24" s="5" t="n">
        <v>1036</v>
      </c>
      <c r="G24" s="5" t="n">
        <v>1289</v>
      </c>
      <c r="H24" s="5" t="n">
        <v>1583</v>
      </c>
      <c r="I24" s="5" t="n">
        <v>1403</v>
      </c>
      <c r="J24" s="5" t="n">
        <v>1096</v>
      </c>
      <c r="K24" s="5" t="n">
        <v>805</v>
      </c>
      <c r="L24" s="5" t="n">
        <v>407</v>
      </c>
      <c r="M24" s="5" t="n">
        <v>462</v>
      </c>
      <c r="AT24" t="inlineStr">
        <is>
          <t>Closing equity</t>
        </is>
      </c>
      <c r="AU24" t="n">
        <v>462</v>
      </c>
      <c r="AV24" t="n">
        <v>407</v>
      </c>
      <c r="AW24" t="n">
        <v>805</v>
      </c>
      <c r="AX24" t="n">
        <v>1096</v>
      </c>
      <c r="AY24" t="n">
        <v>1403</v>
      </c>
      <c r="AZ24" t="n">
        <v>1583</v>
      </c>
      <c r="BA24" t="n">
        <v>1289</v>
      </c>
      <c r="BB24" t="n">
        <v>1036</v>
      </c>
      <c r="BC24" t="n">
        <v>957</v>
      </c>
      <c r="BD24" t="n">
        <v>1152</v>
      </c>
    </row>
    <row r="26">
      <c r="A26" s="3" t="inlineStr">
        <is>
          <t>Cash Flow Summary (£m)</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BJ27" t="inlineStr">
        <is>
          <t>FY2014</t>
        </is>
      </c>
      <c r="BK27" t="inlineStr">
        <is>
          <t>FY2015</t>
        </is>
      </c>
      <c r="BL27" t="inlineStr">
        <is>
          <t>FY2016</t>
        </is>
      </c>
      <c r="BM27" t="inlineStr">
        <is>
          <t>FY2017</t>
        </is>
      </c>
      <c r="BN27" t="inlineStr">
        <is>
          <t>FY2018</t>
        </is>
      </c>
      <c r="BO27" t="inlineStr">
        <is>
          <t>FY2019</t>
        </is>
      </c>
      <c r="BP27" t="inlineStr">
        <is>
          <t>FY2020</t>
        </is>
      </c>
      <c r="BQ27" t="inlineStr">
        <is>
          <t>FY2021</t>
        </is>
      </c>
      <c r="BR27" t="inlineStr">
        <is>
          <t>FY2022</t>
        </is>
      </c>
      <c r="BS27" t="inlineStr">
        <is>
          <t>FY2023</t>
        </is>
      </c>
      <c r="BT27" t="inlineStr">
        <is>
          <t>FY2024</t>
        </is>
      </c>
      <c r="BU27" t="inlineStr">
        <is>
          <t>FY2025</t>
        </is>
      </c>
    </row>
    <row r="28">
      <c r="A28" s="5" t="inlineStr">
        <is>
          <t>Net cash inflows/(outflows) from operating activities</t>
        </is>
      </c>
      <c r="B28" s="5" t="n"/>
      <c r="C28" s="5" t="n"/>
      <c r="D28" s="5" t="n">
        <v>612</v>
      </c>
      <c r="E28" s="5" t="n">
        <v>-1167</v>
      </c>
      <c r="F28" s="5" t="n">
        <v>2874</v>
      </c>
      <c r="G28" s="5" t="n">
        <v>1041</v>
      </c>
      <c r="H28" s="5" t="n">
        <v>-1655</v>
      </c>
      <c r="I28" s="5" t="n">
        <v>153</v>
      </c>
      <c r="J28" s="5" t="n">
        <v>2294</v>
      </c>
      <c r="K28" s="5" t="n">
        <v>1169</v>
      </c>
      <c r="L28" s="5" t="n">
        <v>546</v>
      </c>
      <c r="M28" s="5" t="n">
        <v>810</v>
      </c>
      <c r="BI28" t="inlineStr">
        <is>
          <t>Net cash inflows/(outflows) from operating activities</t>
        </is>
      </c>
      <c r="BJ28" t="n">
        <v>810</v>
      </c>
      <c r="BK28" t="n">
        <v>546</v>
      </c>
      <c r="BL28" t="n">
        <v>1169</v>
      </c>
      <c r="BM28" t="n">
        <v>2294</v>
      </c>
      <c r="BN28" t="n">
        <v>153</v>
      </c>
      <c r="BO28" t="n">
        <v>-1655</v>
      </c>
      <c r="BP28" t="n">
        <v>1041</v>
      </c>
      <c r="BQ28" t="n">
        <v>2874</v>
      </c>
      <c r="BR28" t="n">
        <v>-1167</v>
      </c>
      <c r="BS28" t="n">
        <v>612</v>
      </c>
    </row>
    <row r="29">
      <c r="A29" s="5" t="inlineStr">
        <is>
          <t>Net cash inflows/(outflows) from investing activities</t>
        </is>
      </c>
      <c r="B29" s="5" t="n"/>
      <c r="C29" s="5" t="n"/>
      <c r="D29" s="5" t="n">
        <v>1028</v>
      </c>
      <c r="E29" s="5" t="n">
        <v>-402</v>
      </c>
      <c r="F29" s="5" t="n">
        <v>-2274</v>
      </c>
      <c r="G29" s="5" t="n">
        <v>-956</v>
      </c>
      <c r="H29" s="5" t="n">
        <v>1376</v>
      </c>
      <c r="I29" s="5" t="n">
        <v>-443</v>
      </c>
      <c r="J29" s="5" t="n">
        <v>-858</v>
      </c>
      <c r="K29" s="5" t="n">
        <v>-1349</v>
      </c>
      <c r="L29" s="5" t="n">
        <v>-480</v>
      </c>
      <c r="M29" s="5" t="n">
        <v>-957</v>
      </c>
      <c r="BI29" t="inlineStr">
        <is>
          <t>Net cash inflows/(outflows) from investing activities</t>
        </is>
      </c>
      <c r="BJ29" t="n">
        <v>-957</v>
      </c>
      <c r="BK29" t="n">
        <v>-480</v>
      </c>
      <c r="BL29" t="n">
        <v>-1349</v>
      </c>
      <c r="BM29" t="n">
        <v>-858</v>
      </c>
      <c r="BN29" t="n">
        <v>-443</v>
      </c>
      <c r="BO29" t="n">
        <v>1376</v>
      </c>
      <c r="BP29" t="n">
        <v>-956</v>
      </c>
      <c r="BQ29" t="n">
        <v>-2274</v>
      </c>
      <c r="BR29" t="n">
        <v>-402</v>
      </c>
      <c r="BS29" t="n">
        <v>1028</v>
      </c>
    </row>
    <row r="30">
      <c r="A30" s="5" t="inlineStr">
        <is>
          <t>Net cash inflows/(outflows) from financing activities</t>
        </is>
      </c>
      <c r="B30" s="5" t="n"/>
      <c r="C30" s="5" t="n"/>
      <c r="D30" s="5" t="n">
        <v>296</v>
      </c>
      <c r="E30" s="5" t="n">
        <v>-25</v>
      </c>
      <c r="F30" s="5" t="n">
        <v>-27</v>
      </c>
      <c r="G30" s="5" t="n">
        <v>-81</v>
      </c>
      <c r="H30" s="5" t="n">
        <v>796</v>
      </c>
      <c r="I30" s="5" t="n">
        <v>550</v>
      </c>
      <c r="J30" s="5" t="n">
        <v>276</v>
      </c>
      <c r="K30" s="5" t="n">
        <v>398</v>
      </c>
      <c r="L30" s="5" t="n">
        <v>0</v>
      </c>
      <c r="M30" s="5" t="n">
        <v>99</v>
      </c>
      <c r="BI30" t="inlineStr">
        <is>
          <t>Net cash inflows/(outflows) from financing activities</t>
        </is>
      </c>
      <c r="BJ30" t="n">
        <v>99</v>
      </c>
      <c r="BK30" t="n">
        <v>0</v>
      </c>
      <c r="BL30" t="n">
        <v>398</v>
      </c>
      <c r="BM30" t="n">
        <v>276</v>
      </c>
      <c r="BN30" t="n">
        <v>550</v>
      </c>
      <c r="BO30" t="n">
        <v>796</v>
      </c>
      <c r="BP30" t="n">
        <v>-81</v>
      </c>
      <c r="BQ30" t="n">
        <v>-27</v>
      </c>
      <c r="BR30" t="n">
        <v>-25</v>
      </c>
      <c r="BS30" t="n">
        <v>296</v>
      </c>
    </row>
    <row r="31">
      <c r="A31" s="5" t="inlineStr">
        <is>
          <t>Cash and cash equivalents at end of year</t>
        </is>
      </c>
      <c r="B31" s="5" t="n"/>
      <c r="C31" s="5" t="n"/>
      <c r="D31" s="5" t="n">
        <v>3889</v>
      </c>
      <c r="E31" s="5" t="n">
        <v>1953</v>
      </c>
      <c r="F31" s="5" t="n">
        <v>3547</v>
      </c>
      <c r="G31" s="5" t="n">
        <v>2993</v>
      </c>
      <c r="H31" s="5" t="n">
        <v>2989</v>
      </c>
      <c r="I31" s="5" t="n">
        <v>2472</v>
      </c>
      <c r="J31" s="5" t="n">
        <v>2212</v>
      </c>
      <c r="K31" s="5" t="n">
        <v>500</v>
      </c>
      <c r="L31" s="5" t="n">
        <v>282</v>
      </c>
      <c r="M31" s="5" t="n">
        <v>216</v>
      </c>
      <c r="BI31" t="inlineStr">
        <is>
          <t>Cash and cash equivalents at end of year</t>
        </is>
      </c>
      <c r="BJ31" t="n">
        <v>216</v>
      </c>
      <c r="BK31" t="n">
        <v>282</v>
      </c>
      <c r="BL31" t="n">
        <v>500</v>
      </c>
      <c r="BM31" t="n">
        <v>2212</v>
      </c>
      <c r="BN31" t="n">
        <v>2472</v>
      </c>
      <c r="BO31" t="n">
        <v>2989</v>
      </c>
      <c r="BP31" t="n">
        <v>2993</v>
      </c>
      <c r="BQ31" t="n">
        <v>3547</v>
      </c>
      <c r="BR31" t="n">
        <v>1953</v>
      </c>
      <c r="BS31" t="n">
        <v>3889</v>
      </c>
    </row>
    <row r="33">
      <c r="A33" s="3" t="inlineStr">
        <is>
          <t>Pillar 3 Key Metrics</t>
        </is>
      </c>
    </row>
    <row r="34">
      <c r="A34" s="4" t="inlineStr">
        <is>
          <t>Line item</t>
        </is>
      </c>
      <c r="B34" s="4" t="inlineStr">
        <is>
          <t>FY2025</t>
        </is>
      </c>
      <c r="C34" s="4" t="inlineStr">
        <is>
          <t>FY2024</t>
        </is>
      </c>
      <c r="D34" s="4" t="inlineStr">
        <is>
          <t>FY2023</t>
        </is>
      </c>
      <c r="E34" s="4" t="inlineStr">
        <is>
          <t>FY2022</t>
        </is>
      </c>
      <c r="F34" s="4" t="inlineStr">
        <is>
          <t>FY2021</t>
        </is>
      </c>
      <c r="G34" s="4" t="inlineStr">
        <is>
          <t>FY2020</t>
        </is>
      </c>
      <c r="H34" s="4" t="inlineStr">
        <is>
          <t>FY2019</t>
        </is>
      </c>
      <c r="I34" s="4" t="inlineStr">
        <is>
          <t>FY2018</t>
        </is>
      </c>
      <c r="J34" s="4" t="inlineStr">
        <is>
          <t>FY2017</t>
        </is>
      </c>
      <c r="K34" s="4" t="inlineStr">
        <is>
          <t>FY2016</t>
        </is>
      </c>
      <c r="L34" s="4" t="inlineStr">
        <is>
          <t>FY2015</t>
        </is>
      </c>
      <c r="M34" s="4" t="inlineStr">
        <is>
          <t>FY2014</t>
        </is>
      </c>
    </row>
    <row r="35">
      <c r="A35" s="6" t="inlineStr">
        <is>
          <t>CET1 Ratio</t>
        </is>
      </c>
      <c r="B35" s="6" t="inlineStr">
        <is>
          <t>12.5%</t>
        </is>
      </c>
      <c r="C35" s="6" t="inlineStr">
        <is>
          <t>12.5%</t>
        </is>
      </c>
      <c r="D35" s="6" t="inlineStr">
        <is>
          <t>13.1%</t>
        </is>
      </c>
      <c r="E35" s="6" t="inlineStr">
        <is>
          <t>10.3%</t>
        </is>
      </c>
      <c r="F35" s="6" t="inlineStr">
        <is>
          <t>12.6%</t>
        </is>
      </c>
      <c r="G35" s="6" t="inlineStr">
        <is>
          <t>15.0%</t>
        </is>
      </c>
      <c r="H35" s="6" t="inlineStr">
        <is>
          <t>15.6%</t>
        </is>
      </c>
      <c r="I35" s="6" t="inlineStr">
        <is>
          <t>13.1%</t>
        </is>
      </c>
      <c r="J35" s="6" t="inlineStr">
        <is>
          <t>15.25%</t>
        </is>
      </c>
      <c r="K35" s="6" t="inlineStr">
        <is>
          <t>18.16%</t>
        </is>
      </c>
      <c r="L35" s="6" t="inlineStr">
        <is>
          <t>13%</t>
        </is>
      </c>
      <c r="M35" s="6" t="inlineStr">
        <is>
          <t>28%</t>
        </is>
      </c>
    </row>
    <row r="36">
      <c r="A36" s="6" t="inlineStr">
        <is>
          <t>Total Capital Ratio</t>
        </is>
      </c>
      <c r="B36" s="6" t="inlineStr">
        <is>
          <t>18.4%</t>
        </is>
      </c>
      <c r="C36" s="6" t="inlineStr">
        <is>
          <t>14.9%</t>
        </is>
      </c>
      <c r="D36" s="6" t="inlineStr">
        <is>
          <t>15.1%</t>
        </is>
      </c>
      <c r="E36" s="6" t="inlineStr">
        <is>
          <t>13.4%</t>
        </is>
      </c>
      <c r="F36" s="6" t="inlineStr">
        <is>
          <t>15.9%</t>
        </is>
      </c>
      <c r="G36" s="6" t="inlineStr">
        <is>
          <t>18.1%</t>
        </is>
      </c>
      <c r="H36" s="6" t="inlineStr">
        <is>
          <t>18.3%</t>
        </is>
      </c>
      <c r="I36" s="6" t="inlineStr">
        <is>
          <t>15.9%</t>
        </is>
      </c>
      <c r="J36" s="6" t="inlineStr">
        <is>
          <t>15.25%</t>
        </is>
      </c>
      <c r="K36" s="6" t="inlineStr">
        <is>
          <t>18.16%</t>
        </is>
      </c>
      <c r="L36" s="6" t="inlineStr">
        <is>
          <t>13%</t>
        </is>
      </c>
      <c r="M36" s="6" t="inlineStr">
        <is>
          <t>28%</t>
        </is>
      </c>
    </row>
    <row r="37">
      <c r="A37" s="6" t="inlineStr">
        <is>
          <t>Leverage Ratio</t>
        </is>
      </c>
      <c r="B37" s="6" t="inlineStr">
        <is>
          <t>7.8%</t>
        </is>
      </c>
      <c r="C37" s="6" t="inlineStr">
        <is>
          <t>5.6%</t>
        </is>
      </c>
      <c r="D37" s="6" t="inlineStr">
        <is>
          <t>5.3%</t>
        </is>
      </c>
      <c r="E37" s="6" t="inlineStr">
        <is>
          <t>4.2%</t>
        </is>
      </c>
      <c r="F37" s="6" t="inlineStr">
        <is>
          <t>5.2%</t>
        </is>
      </c>
      <c r="G37" s="6" t="inlineStr">
        <is>
          <t>5.6%</t>
        </is>
      </c>
      <c r="H37" s="6" t="inlineStr">
        <is>
          <t>6.6%</t>
        </is>
      </c>
      <c r="I37" s="6" t="inlineStr">
        <is>
          <t>5.4%</t>
        </is>
      </c>
      <c r="J37" s="6" t="inlineStr">
        <is>
          <t>5.5%</t>
        </is>
      </c>
      <c r="K37" s="6" t="inlineStr">
        <is>
          <t>6.5%</t>
        </is>
      </c>
      <c r="L37" s="6" t="inlineStr">
        <is>
          <t>4.9%</t>
        </is>
      </c>
      <c r="M37" s="6" t="inlineStr">
        <is>
          <t>10%</t>
        </is>
      </c>
    </row>
    <row r="38">
      <c r="A38" s="6" t="inlineStr">
        <is>
          <t>LCR</t>
        </is>
      </c>
      <c r="B38" s="6" t="inlineStr">
        <is>
          <t>314%</t>
        </is>
      </c>
      <c r="C38" s="6" t="inlineStr">
        <is>
          <t>444%</t>
        </is>
      </c>
      <c r="D38" s="6" t="inlineStr">
        <is>
          <t>244%</t>
        </is>
      </c>
      <c r="E38" s="6" t="inlineStr">
        <is>
          <t>246%</t>
        </is>
      </c>
      <c r="F38" s="6" t="inlineStr">
        <is>
          <t>281%</t>
        </is>
      </c>
      <c r="G38" s="6" t="inlineStr">
        <is>
          <t>187%</t>
        </is>
      </c>
      <c r="H38" s="6" t="inlineStr">
        <is>
          <t>197%</t>
        </is>
      </c>
      <c r="I38" s="6" t="inlineStr">
        <is>
          <t>139%</t>
        </is>
      </c>
      <c r="J38" s="6" t="inlineStr">
        <is>
          <t>141%</t>
        </is>
      </c>
      <c r="K38" s="6" t="inlineStr">
        <is>
          <t>136%</t>
        </is>
      </c>
      <c r="L38" s="6" t="n"/>
      <c r="M38" s="6" t="n"/>
    </row>
    <row r="39">
      <c r="A39" s="6" t="inlineStr">
        <is>
          <t>NSFR</t>
        </is>
      </c>
      <c r="B39" s="6" t="inlineStr">
        <is>
          <t>165%</t>
        </is>
      </c>
      <c r="C39" s="6" t="inlineStr">
        <is>
          <t>160%</t>
        </is>
      </c>
      <c r="D39" s="6" t="inlineStr">
        <is>
          <t>136%</t>
        </is>
      </c>
      <c r="E39" s="6" t="inlineStr">
        <is>
          <t>143%</t>
        </is>
      </c>
      <c r="F39" s="6" t="n"/>
      <c r="G39" s="6" t="n"/>
      <c r="H39" s="6" t="n"/>
      <c r="I39" s="6" t="n"/>
      <c r="J39" s="6" t="n"/>
      <c r="K39" s="6" t="n"/>
      <c r="L39" s="6" t="n"/>
      <c r="M39" s="6" t="n"/>
    </row>
    <row r="41" ht="45" customHeight="1">
      <c r="A41" s="7" t="inlineStr">
        <is>
          <t>Note: Metro Bank PLC entity basis. Balance Sheet/Equity Changes summaries are Company/standalone (FY2024-FY2025 blank - no standalone Metro Bank PLC accounts located); Profit &amp; Loss summary is Group/consolidated (Metro Bank PLC does not publish its own income statement); cash-flow is Company/standalone with the same FY2024-FY2025 gap. Regulatory ratios change from Metro Bank PLC consolidated basis to Holdings Group basis after the 19 May 2023 restructure; see the metric and interim-sheet notes. Regulatory figures for FY2023-FY2025 were corrected 2026-09-03 (ST-026) - see the Total RWAs sheet's note. HD-049: FY2014-FY2020 added, capped at FY2014 (see ENTITY/BASIS NOTE on the Balance Sheet/Cash Flow/Equity sheets for the Group-vs-Company basis change at FY2020/FY2021). This Overview's 'Leverage Ratio' row uses the FY2014-FY2020 'regulatory leverage ratio including central bank claims' as originally disclosed for those years, and the FY2021-FY2025 'excluding central bank claims' measure for those years (the two are not the same definition - see the Leverage Ratio sheet's own two-row breakdown for both series in full).</t>
        </is>
      </c>
    </row>
  </sheetData>
  <mergeCells count="1">
    <mergeCell ref="A41:M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Balance Sheet</t>
        </is>
      </c>
    </row>
    <row r="2">
      <c r="A2" s="2" t="inlineStr">
        <is>
          <t>Company/standalone basis, £m; 31 December year-end. FY2024-FY2025 not located (see source note) - same basis and gap as the Cash Flow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and balances with the Bank of England</t>
        </is>
      </c>
      <c r="B5" s="6" t="n"/>
      <c r="C5" s="6" t="n"/>
      <c r="D5" s="6" t="n">
        <v>3889</v>
      </c>
      <c r="E5" s="6" t="n">
        <v>1953</v>
      </c>
      <c r="F5" s="6" t="n">
        <v>3547</v>
      </c>
      <c r="G5" s="6" t="n">
        <v>2993</v>
      </c>
      <c r="H5" s="6" t="n">
        <v>2989</v>
      </c>
      <c r="I5" s="6" t="n">
        <v>2286</v>
      </c>
      <c r="J5" s="6" t="n">
        <v>2112</v>
      </c>
      <c r="K5" s="6" t="n">
        <v>435</v>
      </c>
      <c r="L5" s="6" t="n">
        <v>218</v>
      </c>
      <c r="M5" s="6" t="n">
        <v>181</v>
      </c>
    </row>
    <row r="6">
      <c r="A6" s="6" t="inlineStr">
        <is>
          <t>Loans and advances to banks</t>
        </is>
      </c>
      <c r="B6" s="6" t="n"/>
      <c r="C6" s="6" t="n"/>
      <c r="D6" s="6" t="n"/>
      <c r="E6" s="6" t="n"/>
      <c r="F6" s="6" t="n"/>
      <c r="G6" s="6" t="n"/>
      <c r="H6" s="6" t="n"/>
      <c r="I6" s="6" t="n">
        <v>186</v>
      </c>
      <c r="J6" s="6" t="n">
        <v>100</v>
      </c>
      <c r="K6" s="6" t="n">
        <v>66</v>
      </c>
      <c r="L6" s="6" t="n">
        <v>64</v>
      </c>
      <c r="M6" s="6" t="n">
        <v>35</v>
      </c>
    </row>
    <row r="7">
      <c r="A7" s="6" t="inlineStr">
        <is>
          <t>Loans and advances to customers</t>
        </is>
      </c>
      <c r="B7" s="6" t="n"/>
      <c r="C7" s="6" t="n"/>
      <c r="D7" s="6" t="n">
        <v>11844</v>
      </c>
      <c r="E7" s="6" t="n">
        <v>12698</v>
      </c>
      <c r="F7" s="6" t="n">
        <v>11976</v>
      </c>
      <c r="G7" s="6" t="n">
        <v>12090</v>
      </c>
      <c r="H7" s="6" t="n">
        <v>14681</v>
      </c>
      <c r="I7" s="6" t="n">
        <v>14235</v>
      </c>
      <c r="J7" s="6" t="n">
        <v>9620</v>
      </c>
      <c r="K7" s="6" t="n">
        <v>5865</v>
      </c>
      <c r="L7" s="6" t="n">
        <v>3543</v>
      </c>
      <c r="M7" s="6" t="n">
        <v>1590</v>
      </c>
    </row>
    <row r="8">
      <c r="A8" s="6" t="inlineStr">
        <is>
          <t>Investment securities held at FVOCI</t>
        </is>
      </c>
      <c r="B8" s="6" t="n"/>
      <c r="C8" s="6" t="n"/>
      <c r="D8" s="6" t="n">
        <v>476</v>
      </c>
      <c r="E8" s="6" t="n">
        <v>571</v>
      </c>
      <c r="F8" s="6" t="n">
        <v>798</v>
      </c>
      <c r="G8" s="6" t="n">
        <v>773</v>
      </c>
      <c r="H8" s="6" t="n">
        <v>411</v>
      </c>
      <c r="I8" s="6" t="n">
        <v>674</v>
      </c>
      <c r="J8" s="6" t="n"/>
      <c r="K8" s="6" t="n"/>
      <c r="L8" s="6" t="n"/>
      <c r="M8" s="6" t="n"/>
    </row>
    <row r="9">
      <c r="A9" s="6" t="inlineStr">
        <is>
          <t>Investment securities held at amortised cost</t>
        </is>
      </c>
      <c r="B9" s="6" t="n"/>
      <c r="C9" s="6" t="n"/>
      <c r="D9" s="6" t="n">
        <v>4403</v>
      </c>
      <c r="E9" s="6" t="n">
        <v>5343</v>
      </c>
      <c r="F9" s="6" t="n">
        <v>4776</v>
      </c>
      <c r="G9" s="6" t="n">
        <v>2640</v>
      </c>
      <c r="H9" s="6" t="n">
        <v>2154</v>
      </c>
      <c r="I9" s="6" t="n">
        <v>3458</v>
      </c>
      <c r="J9" s="6" t="n"/>
      <c r="K9" s="6" t="n"/>
      <c r="L9" s="6" t="n"/>
      <c r="M9" s="6" t="n"/>
    </row>
    <row r="10">
      <c r="A10" s="6" t="inlineStr">
        <is>
          <t>Available-for-sale investment securities (pre-IFRS 9)</t>
        </is>
      </c>
      <c r="B10" s="6" t="n"/>
      <c r="C10" s="6" t="n"/>
      <c r="D10" s="6" t="n"/>
      <c r="E10" s="6" t="n"/>
      <c r="F10" s="6" t="n"/>
      <c r="G10" s="6" t="n"/>
      <c r="H10" s="6" t="n"/>
      <c r="I10" s="6" t="n"/>
      <c r="J10" s="6" t="n">
        <v>361</v>
      </c>
      <c r="K10" s="6" t="n">
        <v>604</v>
      </c>
      <c r="L10" s="6" t="n">
        <v>364</v>
      </c>
      <c r="M10" s="6" t="n">
        <v>1304</v>
      </c>
    </row>
    <row r="11">
      <c r="A11" s="6" t="inlineStr">
        <is>
          <t>Held-to-maturity investment securities (pre-IFRS 9)</t>
        </is>
      </c>
      <c r="B11" s="6" t="n"/>
      <c r="C11" s="6" t="n"/>
      <c r="D11" s="6" t="n"/>
      <c r="E11" s="6" t="n"/>
      <c r="F11" s="6" t="n"/>
      <c r="G11" s="6" t="n"/>
      <c r="H11" s="6" t="n"/>
      <c r="I11" s="6" t="n"/>
      <c r="J11" s="6" t="n">
        <v>3554</v>
      </c>
      <c r="K11" s="6" t="n">
        <v>2623</v>
      </c>
      <c r="L11" s="6" t="n">
        <v>1636</v>
      </c>
      <c r="M11" s="6" t="n">
        <v>307</v>
      </c>
    </row>
    <row r="12">
      <c r="A12" s="6" t="inlineStr">
        <is>
          <t>Financial assets held at fair value through profit and loss</t>
        </is>
      </c>
      <c r="B12" s="6" t="n"/>
      <c r="C12" s="6" t="n"/>
      <c r="D12" s="6" t="n"/>
      <c r="E12" s="6" t="n">
        <v>1</v>
      </c>
      <c r="F12" s="6" t="n">
        <v>3</v>
      </c>
      <c r="G12" s="6" t="n">
        <v>30</v>
      </c>
      <c r="H12" s="6" t="n"/>
      <c r="I12" s="6" t="n"/>
      <c r="J12" s="6" t="n"/>
      <c r="K12" s="6" t="n"/>
      <c r="L12" s="6" t="n"/>
      <c r="M12" s="6" t="n"/>
    </row>
    <row r="13">
      <c r="A13" s="6" t="inlineStr">
        <is>
          <t>Derivative financial assets</t>
        </is>
      </c>
      <c r="B13" s="6" t="n"/>
      <c r="C13" s="6" t="n"/>
      <c r="D13" s="6" t="n">
        <v>36</v>
      </c>
      <c r="E13" s="6" t="n">
        <v>23</v>
      </c>
      <c r="F13" s="6" t="n"/>
      <c r="G13" s="6" t="n"/>
      <c r="H13" s="6" t="n"/>
      <c r="I13" s="6" t="n"/>
      <c r="J13" s="6" t="n"/>
      <c r="K13" s="6" t="n"/>
      <c r="L13" s="6" t="n"/>
      <c r="M13" s="6" t="n"/>
    </row>
    <row r="14">
      <c r="A14" s="6" t="inlineStr">
        <is>
          <t>Property, plant and equipment</t>
        </is>
      </c>
      <c r="B14" s="6" t="n"/>
      <c r="C14" s="6" t="n"/>
      <c r="D14" s="6" t="n">
        <v>723</v>
      </c>
      <c r="E14" s="6" t="n">
        <v>748</v>
      </c>
      <c r="F14" s="6" t="n">
        <v>765</v>
      </c>
      <c r="G14" s="6" t="n">
        <v>806</v>
      </c>
      <c r="H14" s="6" t="n">
        <v>856</v>
      </c>
      <c r="I14" s="6" t="n">
        <v>454</v>
      </c>
      <c r="J14" s="6" t="n">
        <v>328</v>
      </c>
      <c r="K14" s="6" t="n">
        <v>247</v>
      </c>
      <c r="L14" s="6" t="n">
        <v>165</v>
      </c>
      <c r="M14" s="6" t="n">
        <v>132</v>
      </c>
    </row>
    <row r="15">
      <c r="A15" s="6" t="inlineStr">
        <is>
          <t>Investment in subsidiaries</t>
        </is>
      </c>
      <c r="B15" s="6" t="n"/>
      <c r="C15" s="6" t="n"/>
      <c r="D15" s="6" t="n">
        <v>15</v>
      </c>
      <c r="E15" s="6" t="n">
        <v>31</v>
      </c>
      <c r="F15" s="6" t="n">
        <v>31</v>
      </c>
      <c r="G15" s="6" t="n"/>
      <c r="H15" s="6" t="n"/>
      <c r="I15" s="6" t="n"/>
      <c r="J15" s="6" t="n"/>
      <c r="K15" s="6" t="n"/>
      <c r="L15" s="6" t="n"/>
      <c r="M15" s="6" t="n"/>
    </row>
    <row r="16">
      <c r="A16" s="6" t="inlineStr">
        <is>
          <t>Intangible assets</t>
        </is>
      </c>
      <c r="B16" s="6" t="n"/>
      <c r="C16" s="6" t="n"/>
      <c r="D16" s="6" t="n">
        <v>188</v>
      </c>
      <c r="E16" s="6" t="n">
        <v>204</v>
      </c>
      <c r="F16" s="6" t="n">
        <v>231</v>
      </c>
      <c r="G16" s="6" t="n">
        <v>254</v>
      </c>
      <c r="H16" s="6" t="n">
        <v>168</v>
      </c>
      <c r="I16" s="6" t="n">
        <v>197</v>
      </c>
      <c r="J16" s="6" t="n">
        <v>148</v>
      </c>
      <c r="K16" s="6" t="n">
        <v>93</v>
      </c>
      <c r="L16" s="6" t="n">
        <v>54</v>
      </c>
      <c r="M16" s="6" t="n">
        <v>35</v>
      </c>
    </row>
    <row r="17">
      <c r="A17" s="6" t="inlineStr">
        <is>
          <t>Deferred tax asset</t>
        </is>
      </c>
      <c r="B17" s="6" t="n"/>
      <c r="C17" s="6" t="n"/>
      <c r="D17" s="6" t="n"/>
      <c r="E17" s="6" t="n"/>
      <c r="F17" s="6" t="n"/>
      <c r="G17" s="6" t="n"/>
      <c r="H17" s="6" t="n"/>
      <c r="I17" s="6" t="n">
        <v>41</v>
      </c>
      <c r="J17" s="6" t="n">
        <v>54</v>
      </c>
      <c r="K17" s="6" t="n">
        <v>56</v>
      </c>
      <c r="L17" s="6" t="n">
        <v>53</v>
      </c>
      <c r="M17" s="6" t="n">
        <v>44</v>
      </c>
    </row>
    <row r="18">
      <c r="A18" s="6" t="inlineStr">
        <is>
          <t>Prepayments and accrued income</t>
        </is>
      </c>
      <c r="B18" s="6" t="n"/>
      <c r="C18" s="6" t="n"/>
      <c r="D18" s="6" t="n">
        <v>111</v>
      </c>
      <c r="E18" s="6" t="n">
        <v>80</v>
      </c>
      <c r="F18" s="6" t="n">
        <v>64</v>
      </c>
      <c r="G18" s="6" t="n">
        <v>77</v>
      </c>
      <c r="H18" s="6" t="n">
        <v>66</v>
      </c>
      <c r="I18" s="6" t="n">
        <v>66</v>
      </c>
      <c r="J18" s="6" t="n">
        <v>53</v>
      </c>
      <c r="K18" s="6" t="n">
        <v>43</v>
      </c>
      <c r="L18" s="6" t="n">
        <v>30</v>
      </c>
      <c r="M18" s="6" t="n">
        <v>19</v>
      </c>
    </row>
    <row r="19">
      <c r="A19" s="6" t="inlineStr">
        <is>
          <t>Assets classified as held for sale</t>
        </is>
      </c>
      <c r="B19" s="6" t="n"/>
      <c r="C19" s="6" t="n"/>
      <c r="D19" s="6" t="n"/>
      <c r="E19" s="6" t="n">
        <v>1</v>
      </c>
      <c r="F19" s="6" t="n"/>
      <c r="G19" s="6" t="n">
        <v>295</v>
      </c>
      <c r="H19" s="6" t="n"/>
      <c r="I19" s="6" t="n"/>
      <c r="J19" s="6" t="n"/>
      <c r="K19" s="6" t="n"/>
      <c r="L19" s="6" t="n"/>
      <c r="M19" s="6" t="n"/>
    </row>
    <row r="20">
      <c r="A20" s="6" t="inlineStr">
        <is>
          <t>Other assets</t>
        </is>
      </c>
      <c r="B20" s="6" t="n"/>
      <c r="C20" s="6" t="n"/>
      <c r="D20" s="6" t="n">
        <v>572</v>
      </c>
      <c r="E20" s="6" t="n">
        <v>473</v>
      </c>
      <c r="F20" s="6" t="n">
        <v>392</v>
      </c>
      <c r="G20" s="6" t="n">
        <v>2621</v>
      </c>
      <c r="H20" s="6" t="n">
        <v>75</v>
      </c>
      <c r="I20" s="6" t="n">
        <v>50</v>
      </c>
      <c r="J20" s="6" t="n">
        <v>26</v>
      </c>
      <c r="K20" s="6" t="n">
        <v>26</v>
      </c>
      <c r="L20" s="6" t="n">
        <v>21</v>
      </c>
      <c r="M20" s="6" t="n">
        <v>14</v>
      </c>
    </row>
    <row r="21">
      <c r="A21" s="5" t="inlineStr">
        <is>
          <t>Total assets</t>
        </is>
      </c>
      <c r="B21" s="5" t="n"/>
      <c r="C21" s="5" t="n"/>
      <c r="D21" s="5" t="n">
        <v>22257</v>
      </c>
      <c r="E21" s="5" t="n">
        <v>22126</v>
      </c>
      <c r="F21" s="5" t="n">
        <v>22583</v>
      </c>
      <c r="G21" s="5" t="n">
        <v>22579</v>
      </c>
      <c r="H21" s="5" t="n">
        <v>21400</v>
      </c>
      <c r="I21" s="5" t="n">
        <v>21647</v>
      </c>
      <c r="J21" s="5" t="n">
        <v>16355</v>
      </c>
      <c r="K21" s="5" t="n">
        <v>10057</v>
      </c>
      <c r="L21" s="5" t="n">
        <v>6148</v>
      </c>
      <c r="M21" s="5" t="n">
        <v>3661</v>
      </c>
    </row>
    <row r="22">
      <c r="A22" s="5" t="inlineStr">
        <is>
          <t>Liabilities</t>
        </is>
      </c>
      <c r="B22" s="6" t="n"/>
      <c r="C22" s="6" t="n"/>
      <c r="D22" s="6" t="n"/>
      <c r="E22" s="6" t="n"/>
      <c r="F22" s="6" t="n"/>
      <c r="G22" s="6" t="n"/>
      <c r="H22" s="6" t="n"/>
      <c r="I22" s="6" t="n"/>
      <c r="J22" s="6" t="n"/>
      <c r="K22" s="6" t="n"/>
      <c r="L22" s="6" t="n"/>
      <c r="M22" s="6" t="n"/>
    </row>
    <row r="23">
      <c r="A23" s="6" t="inlineStr">
        <is>
          <t>Deposits from customers</t>
        </is>
      </c>
      <c r="B23" s="6" t="n"/>
      <c r="C23" s="6" t="n"/>
      <c r="D23" s="6" t="n">
        <v>15623</v>
      </c>
      <c r="E23" s="6" t="n">
        <v>16014</v>
      </c>
      <c r="F23" s="6" t="n">
        <v>16448</v>
      </c>
      <c r="G23" s="6" t="n">
        <v>16072</v>
      </c>
      <c r="H23" s="6" t="n">
        <v>14477</v>
      </c>
      <c r="I23" s="6" t="n">
        <v>15661</v>
      </c>
      <c r="J23" s="6" t="n">
        <v>11669</v>
      </c>
      <c r="K23" s="6" t="n">
        <v>7951</v>
      </c>
      <c r="L23" s="6" t="n">
        <v>5108</v>
      </c>
      <c r="M23" s="6" t="n">
        <v>2867</v>
      </c>
    </row>
    <row r="24">
      <c r="A24" s="6" t="inlineStr">
        <is>
          <t>Deposits from central banks</t>
        </is>
      </c>
      <c r="B24" s="6" t="n"/>
      <c r="C24" s="6" t="n"/>
      <c r="D24" s="6" t="n">
        <v>3050</v>
      </c>
      <c r="E24" s="6" t="n">
        <v>3800</v>
      </c>
      <c r="F24" s="6" t="n">
        <v>3800</v>
      </c>
      <c r="G24" s="6" t="n">
        <v>3808</v>
      </c>
      <c r="H24" s="6" t="n">
        <v>3801</v>
      </c>
      <c r="I24" s="6" t="n">
        <v>3801</v>
      </c>
      <c r="J24" s="6" t="n">
        <v>3321</v>
      </c>
      <c r="K24" s="6" t="n">
        <v>543</v>
      </c>
      <c r="L24" s="6" t="n"/>
      <c r="M24" s="6" t="n"/>
    </row>
    <row r="25">
      <c r="A25" s="6" t="inlineStr">
        <is>
          <t>Debt securities</t>
        </is>
      </c>
      <c r="B25" s="6" t="n"/>
      <c r="C25" s="6" t="n"/>
      <c r="D25" s="6" t="n">
        <v>699</v>
      </c>
      <c r="E25" s="6" t="n">
        <v>571</v>
      </c>
      <c r="F25" s="6" t="n">
        <v>588</v>
      </c>
      <c r="G25" s="6" t="n">
        <v>600</v>
      </c>
      <c r="H25" s="6" t="n">
        <v>591</v>
      </c>
      <c r="I25" s="6" t="n">
        <v>249</v>
      </c>
      <c r="J25" s="6" t="n"/>
      <c r="K25" s="6" t="n"/>
      <c r="L25" s="6" t="n"/>
      <c r="M25" s="6" t="n"/>
    </row>
    <row r="26">
      <c r="A26" s="6" t="inlineStr">
        <is>
          <t>Financial liabilities held at fair value through profit and loss</t>
        </is>
      </c>
      <c r="B26" s="6" t="n"/>
      <c r="C26" s="6" t="n"/>
      <c r="D26" s="6" t="n"/>
      <c r="E26" s="6" t="n"/>
      <c r="F26" s="6" t="n"/>
      <c r="G26" s="6" t="n">
        <v>30</v>
      </c>
      <c r="H26" s="6" t="n"/>
      <c r="I26" s="6" t="n"/>
      <c r="J26" s="6" t="n"/>
      <c r="K26" s="6" t="n"/>
      <c r="L26" s="6" t="n"/>
      <c r="M26" s="6" t="n"/>
    </row>
    <row r="27">
      <c r="A27" s="6" t="inlineStr">
        <is>
          <t>Repurchase agreements</t>
        </is>
      </c>
      <c r="B27" s="6" t="n"/>
      <c r="C27" s="6" t="n"/>
      <c r="D27" s="6" t="n">
        <v>1191</v>
      </c>
      <c r="E27" s="6" t="n">
        <v>238</v>
      </c>
      <c r="F27" s="6" t="n">
        <v>169</v>
      </c>
      <c r="G27" s="6" t="n">
        <v>196</v>
      </c>
      <c r="H27" s="6" t="n">
        <v>250</v>
      </c>
      <c r="I27" s="6" t="n">
        <v>344</v>
      </c>
      <c r="J27" s="6" t="n">
        <v>122</v>
      </c>
      <c r="K27" s="6" t="n">
        <v>653</v>
      </c>
      <c r="L27" s="6" t="n">
        <v>562</v>
      </c>
      <c r="M27" s="6" t="n">
        <v>283</v>
      </c>
    </row>
    <row r="28">
      <c r="A28" s="6" t="inlineStr">
        <is>
          <t>Derivative financial liabilities</t>
        </is>
      </c>
      <c r="B28" s="6" t="n"/>
      <c r="C28" s="6" t="n"/>
      <c r="D28" s="6" t="n"/>
      <c r="E28" s="6" t="n">
        <v>26</v>
      </c>
      <c r="F28" s="6" t="n">
        <v>10</v>
      </c>
      <c r="G28" s="6" t="n">
        <v>8</v>
      </c>
      <c r="H28" s="6" t="n">
        <v>8</v>
      </c>
      <c r="I28" s="6" t="n"/>
      <c r="J28" s="6" t="n"/>
      <c r="K28" s="6" t="n"/>
      <c r="L28" s="6" t="n"/>
      <c r="M28" s="6" t="n"/>
    </row>
    <row r="29">
      <c r="A29" s="6" t="inlineStr">
        <is>
          <t>Lease liabilities</t>
        </is>
      </c>
      <c r="B29" s="6" t="n"/>
      <c r="C29" s="6" t="n"/>
      <c r="D29" s="6" t="n">
        <v>234</v>
      </c>
      <c r="E29" s="6" t="n">
        <v>248</v>
      </c>
      <c r="F29" s="6" t="n">
        <v>269</v>
      </c>
      <c r="G29" s="6" t="n">
        <v>327</v>
      </c>
      <c r="H29" s="6" t="n">
        <v>341</v>
      </c>
      <c r="I29" s="6" t="n"/>
      <c r="J29" s="6" t="n"/>
      <c r="K29" s="6" t="n"/>
      <c r="L29" s="6" t="n"/>
      <c r="M29" s="6" t="n"/>
    </row>
    <row r="30">
      <c r="A30" s="6" t="inlineStr">
        <is>
          <t>Deferred grants</t>
        </is>
      </c>
      <c r="B30" s="6" t="n"/>
      <c r="C30" s="6" t="n"/>
      <c r="D30" s="6" t="n">
        <v>16</v>
      </c>
      <c r="E30" s="6" t="n">
        <v>17</v>
      </c>
      <c r="F30" s="6" t="n">
        <v>19</v>
      </c>
      <c r="G30" s="6" t="n">
        <v>28</v>
      </c>
      <c r="H30" s="6" t="n">
        <v>50</v>
      </c>
      <c r="I30" s="6" t="n"/>
      <c r="J30" s="6" t="n"/>
      <c r="K30" s="6" t="n"/>
      <c r="L30" s="6" t="n"/>
      <c r="M30" s="6" t="n"/>
    </row>
    <row r="31">
      <c r="A31" s="6" t="inlineStr">
        <is>
          <t>Provisions</t>
        </is>
      </c>
      <c r="B31" s="6" t="n"/>
      <c r="C31" s="6" t="n"/>
      <c r="D31" s="6" t="n">
        <v>23</v>
      </c>
      <c r="E31" s="6" t="n">
        <v>7</v>
      </c>
      <c r="F31" s="6" t="n">
        <v>15</v>
      </c>
      <c r="G31" s="6" t="n">
        <v>11</v>
      </c>
      <c r="H31" s="6" t="n">
        <v>17</v>
      </c>
      <c r="I31" s="6" t="n"/>
      <c r="J31" s="6" t="n"/>
      <c r="K31" s="6" t="n"/>
      <c r="L31" s="6" t="n"/>
      <c r="M31" s="6" t="n"/>
    </row>
    <row r="32">
      <c r="A32" s="6" t="inlineStr">
        <is>
          <t>Deferred tax liability</t>
        </is>
      </c>
      <c r="B32" s="6" t="n"/>
      <c r="C32" s="6" t="n"/>
      <c r="D32" s="6" t="n">
        <v>13</v>
      </c>
      <c r="E32" s="6" t="n">
        <v>12</v>
      </c>
      <c r="F32" s="6" t="n">
        <v>12</v>
      </c>
      <c r="G32" s="6" t="n">
        <v>12</v>
      </c>
      <c r="H32" s="6" t="n">
        <v>15</v>
      </c>
      <c r="I32" s="6" t="n"/>
      <c r="J32" s="6" t="n"/>
      <c r="K32" s="6" t="n"/>
      <c r="L32" s="6" t="n"/>
      <c r="M32" s="6" t="n"/>
    </row>
    <row r="33">
      <c r="A33" s="6" t="inlineStr">
        <is>
          <t>Other liabilities</t>
        </is>
      </c>
      <c r="B33" s="6" t="n"/>
      <c r="C33" s="6" t="n"/>
      <c r="D33" s="6" t="n">
        <v>256</v>
      </c>
      <c r="E33" s="6" t="n">
        <v>236</v>
      </c>
      <c r="F33" s="6" t="n">
        <v>217</v>
      </c>
      <c r="G33" s="6" t="n">
        <v>198</v>
      </c>
      <c r="H33" s="6" t="n">
        <v>267</v>
      </c>
      <c r="I33" s="6" t="n">
        <v>189</v>
      </c>
      <c r="J33" s="6" t="n">
        <v>148</v>
      </c>
      <c r="K33" s="6" t="n">
        <v>106</v>
      </c>
      <c r="L33" s="6" t="n">
        <v>71</v>
      </c>
      <c r="M33" s="6" t="n">
        <v>49</v>
      </c>
    </row>
    <row r="34">
      <c r="A34" s="5" t="inlineStr">
        <is>
          <t>Total liabilities</t>
        </is>
      </c>
      <c r="B34" s="5" t="n"/>
      <c r="C34" s="5" t="n"/>
      <c r="D34" s="5" t="n">
        <v>21105</v>
      </c>
      <c r="E34" s="5" t="n">
        <v>21169</v>
      </c>
      <c r="F34" s="5" t="n">
        <v>21547</v>
      </c>
      <c r="G34" s="5" t="n">
        <v>21290</v>
      </c>
      <c r="H34" s="5" t="n">
        <v>19817</v>
      </c>
      <c r="I34" s="5" t="n">
        <v>20244</v>
      </c>
      <c r="J34" s="5" t="n">
        <v>15259</v>
      </c>
      <c r="K34" s="5" t="n">
        <v>9253</v>
      </c>
      <c r="L34" s="5" t="n">
        <v>5741</v>
      </c>
      <c r="M34" s="5" t="n">
        <v>3198</v>
      </c>
    </row>
    <row r="35">
      <c r="A35" s="5" t="inlineStr">
        <is>
          <t>Equity</t>
        </is>
      </c>
      <c r="B35" s="6" t="n"/>
      <c r="C35" s="6" t="n"/>
      <c r="D35" s="6" t="n"/>
      <c r="E35" s="6" t="n"/>
      <c r="F35" s="6" t="n"/>
      <c r="G35" s="6" t="n"/>
      <c r="H35" s="6" t="n"/>
      <c r="I35" s="6" t="n"/>
      <c r="J35" s="6" t="n"/>
      <c r="K35" s="6" t="n"/>
      <c r="L35" s="6" t="n"/>
      <c r="M35" s="6" t="n"/>
    </row>
    <row r="36">
      <c r="A36" s="6" t="inlineStr">
        <is>
          <t>Called-up share capital</t>
        </is>
      </c>
      <c r="B36" s="6" t="n"/>
      <c r="C36" s="6" t="n"/>
      <c r="D36" s="6" t="n"/>
      <c r="E36" s="6" t="n"/>
      <c r="F36" s="6" t="n"/>
      <c r="G36" s="6" t="n"/>
      <c r="H36" s="6" t="n"/>
      <c r="I36" s="6" t="n"/>
      <c r="J36" s="6" t="n"/>
      <c r="K36" s="6" t="n"/>
      <c r="L36" s="6" t="n"/>
      <c r="M36" s="6" t="n"/>
    </row>
    <row r="37">
      <c r="A37" s="6" t="inlineStr">
        <is>
          <t>Share premium</t>
        </is>
      </c>
      <c r="B37" s="6" t="n"/>
      <c r="C37" s="6" t="n"/>
      <c r="D37" s="6" t="n">
        <v>144</v>
      </c>
      <c r="E37" s="6" t="n">
        <v>1964</v>
      </c>
      <c r="F37" s="6" t="n">
        <v>1964</v>
      </c>
      <c r="G37" s="6" t="n">
        <v>1964</v>
      </c>
      <c r="H37" s="6" t="n">
        <v>1964</v>
      </c>
      <c r="I37" s="6" t="n">
        <v>1605</v>
      </c>
      <c r="J37" s="6" t="n">
        <v>1304</v>
      </c>
      <c r="K37" s="6" t="n">
        <v>1028</v>
      </c>
      <c r="L37" s="6" t="n">
        <v>629</v>
      </c>
      <c r="M37" s="6" t="n">
        <v>629</v>
      </c>
    </row>
    <row r="38">
      <c r="A38" s="6" t="inlineStr">
        <is>
          <t>Retained earnings/(losses)</t>
        </is>
      </c>
      <c r="B38" s="6" t="n"/>
      <c r="C38" s="6" t="n"/>
      <c r="D38" s="6" t="n">
        <v>996</v>
      </c>
      <c r="E38" s="6" t="n">
        <v>-1014</v>
      </c>
      <c r="F38" s="6" t="n">
        <v>-941</v>
      </c>
      <c r="G38" s="6" t="n">
        <v>-694</v>
      </c>
      <c r="H38" s="6" t="n">
        <v>-392</v>
      </c>
      <c r="I38" s="6" t="n">
        <v>-209</v>
      </c>
      <c r="J38" s="6" t="n">
        <v>-219</v>
      </c>
      <c r="K38" s="6" t="n">
        <v>-230</v>
      </c>
      <c r="L38" s="6" t="n">
        <v>-213</v>
      </c>
      <c r="M38" s="6" t="n">
        <v>-164</v>
      </c>
    </row>
    <row r="39">
      <c r="A39" s="6" t="inlineStr">
        <is>
          <t>Other reserves</t>
        </is>
      </c>
      <c r="B39" s="6" t="n"/>
      <c r="C39" s="6" t="n"/>
      <c r="D39" s="6" t="n">
        <v>12</v>
      </c>
      <c r="E39" s="6" t="n">
        <v>7</v>
      </c>
      <c r="F39" s="6" t="n">
        <v>13</v>
      </c>
      <c r="G39" s="6" t="n">
        <v>19</v>
      </c>
      <c r="H39" s="6" t="n">
        <v>11</v>
      </c>
      <c r="I39" s="6" t="n">
        <v>7</v>
      </c>
      <c r="J39" s="6" t="n">
        <v>12</v>
      </c>
      <c r="K39" s="6" t="n">
        <v>7</v>
      </c>
      <c r="L39" s="6" t="n">
        <v>-9</v>
      </c>
      <c r="M39" s="6" t="n">
        <v>-3</v>
      </c>
    </row>
    <row r="40">
      <c r="A40" s="5" t="inlineStr">
        <is>
          <t>Total equity</t>
        </is>
      </c>
      <c r="B40" s="5" t="n"/>
      <c r="C40" s="5" t="n"/>
      <c r="D40" s="5" t="n">
        <v>1152</v>
      </c>
      <c r="E40" s="5" t="n">
        <v>957</v>
      </c>
      <c r="F40" s="5" t="n">
        <v>1036</v>
      </c>
      <c r="G40" s="5" t="n">
        <v>1289</v>
      </c>
      <c r="H40" s="5" t="n">
        <v>1583</v>
      </c>
      <c r="I40" s="5" t="n">
        <v>1403</v>
      </c>
      <c r="J40" s="5" t="n">
        <v>1096</v>
      </c>
      <c r="K40" s="5" t="n">
        <v>805</v>
      </c>
      <c r="L40" s="5" t="n">
        <v>407</v>
      </c>
      <c r="M40" s="5" t="n">
        <v>462</v>
      </c>
    </row>
    <row r="41">
      <c r="A41" s="5" t="inlineStr">
        <is>
          <t>Total equity and liabilities</t>
        </is>
      </c>
      <c r="B41" s="5" t="n"/>
      <c r="C41" s="5" t="n"/>
      <c r="D41" s="5" t="n">
        <v>22257</v>
      </c>
      <c r="E41" s="5" t="n">
        <v>22126</v>
      </c>
      <c r="F41" s="5" t="n">
        <v>22583</v>
      </c>
      <c r="G41" s="5" t="n">
        <v>22579</v>
      </c>
      <c r="H41" s="5" t="n">
        <v>21400</v>
      </c>
      <c r="I41" s="5" t="n">
        <v>21647</v>
      </c>
      <c r="J41" s="5" t="n">
        <v>16355</v>
      </c>
      <c r="K41" s="5" t="n">
        <v>10057</v>
      </c>
      <c r="L41" s="5" t="n">
        <v>6148</v>
      </c>
      <c r="M41" s="5" t="n">
        <v>3661</v>
      </c>
    </row>
    <row r="43" ht="340" customHeight="1">
      <c r="A43"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t>
        </is>
      </c>
    </row>
  </sheetData>
  <mergeCells count="1">
    <mergeCell ref="A43:M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Profit &amp; Loss</t>
        </is>
      </c>
    </row>
    <row r="2">
      <c r="A2" s="2" t="inlineStr">
        <is>
          <t>Group/consolidated basis, £m (Metro Bank PLC does not publish its own standalone income statement in any year reviewed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Income</t>
        </is>
      </c>
      <c r="B4" s="6" t="n"/>
      <c r="C4" s="6" t="n"/>
      <c r="D4" s="6" t="n"/>
      <c r="E4" s="6" t="n"/>
      <c r="F4" s="6" t="n"/>
      <c r="G4" s="6" t="n"/>
      <c r="H4" s="6" t="n"/>
      <c r="I4" s="6" t="n"/>
      <c r="J4" s="6" t="n"/>
      <c r="K4" s="6" t="n"/>
      <c r="L4" s="6" t="n"/>
      <c r="M4" s="6" t="n"/>
    </row>
    <row r="5">
      <c r="A5" s="6" t="inlineStr">
        <is>
          <t>Interest income</t>
        </is>
      </c>
      <c r="B5" s="6" t="n">
        <v>725.4</v>
      </c>
      <c r="C5" s="6" t="n">
        <v>935.4</v>
      </c>
      <c r="D5" s="6" t="n">
        <v>855.7</v>
      </c>
      <c r="E5" s="6" t="n">
        <v>563.7</v>
      </c>
      <c r="F5" s="6" t="n">
        <v>405.7</v>
      </c>
      <c r="G5" s="6" t="n">
        <v>426.3</v>
      </c>
      <c r="H5" s="6" t="n">
        <v>496.2</v>
      </c>
      <c r="I5" s="6" t="n">
        <v>444.4</v>
      </c>
      <c r="J5" s="6" t="n">
        <v>301.9</v>
      </c>
      <c r="K5" s="6" t="n">
        <v>213.5</v>
      </c>
      <c r="L5" s="6" t="n">
        <v>125.2</v>
      </c>
      <c r="M5" s="6" t="n">
        <v>74</v>
      </c>
    </row>
    <row r="6">
      <c r="A6" s="6" t="inlineStr">
        <is>
          <t>Interest expense</t>
        </is>
      </c>
      <c r="B6" s="6" t="n">
        <v>-265.1</v>
      </c>
      <c r="C6" s="6" t="n">
        <v>-557.5</v>
      </c>
      <c r="D6" s="6" t="n">
        <v>-443.8</v>
      </c>
      <c r="E6" s="6" t="n">
        <v>-159.6</v>
      </c>
      <c r="F6" s="6" t="n">
        <v>-110.4</v>
      </c>
      <c r="G6" s="6" t="n">
        <v>-176.6</v>
      </c>
      <c r="H6" s="6" t="n">
        <v>-188.1</v>
      </c>
      <c r="I6" s="6" t="n">
        <v>-114.3</v>
      </c>
      <c r="J6" s="6" t="n">
        <v>-61</v>
      </c>
      <c r="K6" s="6" t="n">
        <v>-59.2</v>
      </c>
      <c r="L6" s="6" t="n">
        <v>-36.3</v>
      </c>
      <c r="M6" s="6" t="n">
        <v>-20.6</v>
      </c>
    </row>
    <row r="7">
      <c r="A7" s="5" t="inlineStr">
        <is>
          <t>Net interest income</t>
        </is>
      </c>
      <c r="B7" s="5" t="n">
        <v>460.3</v>
      </c>
      <c r="C7" s="5" t="n">
        <v>377.9</v>
      </c>
      <c r="D7" s="5" t="n">
        <v>411.9</v>
      </c>
      <c r="E7" s="5" t="n">
        <v>404.1</v>
      </c>
      <c r="F7" s="5" t="n">
        <v>295.3</v>
      </c>
      <c r="G7" s="5" t="n">
        <v>249.7</v>
      </c>
      <c r="H7" s="5" t="n">
        <v>308.1</v>
      </c>
      <c r="I7" s="5" t="n">
        <v>330.1</v>
      </c>
      <c r="J7" s="5" t="n">
        <v>241</v>
      </c>
      <c r="K7" s="5" t="n">
        <v>154.2</v>
      </c>
      <c r="L7" s="5" t="n">
        <v>88.90000000000001</v>
      </c>
      <c r="M7" s="5" t="n">
        <v>53.4</v>
      </c>
    </row>
    <row r="8">
      <c r="A8" s="6" t="inlineStr">
        <is>
          <t>Fee and commission income</t>
        </is>
      </c>
      <c r="B8" s="6" t="n">
        <v>96.7</v>
      </c>
      <c r="C8" s="6" t="n">
        <v>98</v>
      </c>
      <c r="D8" s="6" t="n">
        <v>95</v>
      </c>
      <c r="E8" s="6" t="n">
        <v>84.40000000000001</v>
      </c>
      <c r="F8" s="6" t="n">
        <v>71.2</v>
      </c>
      <c r="G8" s="6" t="n">
        <v>61.1</v>
      </c>
      <c r="H8" s="6" t="n">
        <v>67.40000000000001</v>
      </c>
      <c r="I8" s="6" t="n">
        <v>42.5</v>
      </c>
      <c r="J8" s="6" t="n">
        <v>29.7</v>
      </c>
      <c r="K8" s="6" t="n">
        <v>22.2</v>
      </c>
      <c r="L8" s="6" t="n">
        <v>15.7</v>
      </c>
      <c r="M8" s="6" t="n">
        <v>12.1</v>
      </c>
    </row>
    <row r="9">
      <c r="A9" s="6" t="inlineStr">
        <is>
          <t>Fee and commission expense</t>
        </is>
      </c>
      <c r="B9" s="6" t="n">
        <v>-5.6</v>
      </c>
      <c r="C9" s="6" t="n">
        <v>-4.8</v>
      </c>
      <c r="D9" s="6" t="n">
        <v>-4.6</v>
      </c>
      <c r="E9" s="6" t="n">
        <v>-2.6</v>
      </c>
      <c r="F9" s="6" t="n">
        <v>-1.6</v>
      </c>
      <c r="G9" s="6" t="n">
        <v>-1.2</v>
      </c>
      <c r="H9" s="6" t="n">
        <v>-6.4</v>
      </c>
      <c r="I9" s="6" t="n">
        <v>-4.9</v>
      </c>
      <c r="J9" s="6" t="n"/>
      <c r="K9" s="6" t="n"/>
      <c r="L9" s="6" t="n"/>
      <c r="M9" s="6" t="n"/>
    </row>
    <row r="10">
      <c r="A10" s="5" t="inlineStr">
        <is>
          <t>Net fee and commission income</t>
        </is>
      </c>
      <c r="B10" s="5" t="n">
        <v>91.09999999999999</v>
      </c>
      <c r="C10" s="5" t="n">
        <v>93.2</v>
      </c>
      <c r="D10" s="5" t="n">
        <v>90.40000000000001</v>
      </c>
      <c r="E10" s="5" t="n">
        <v>81.8</v>
      </c>
      <c r="F10" s="5" t="n">
        <v>69.59999999999999</v>
      </c>
      <c r="G10" s="5" t="n">
        <v>59.9</v>
      </c>
      <c r="H10" s="5" t="n">
        <v>61</v>
      </c>
      <c r="I10" s="5" t="n">
        <v>37.6</v>
      </c>
      <c r="J10" s="5" t="n">
        <v>29.7</v>
      </c>
      <c r="K10" s="5" t="n">
        <v>22.2</v>
      </c>
      <c r="L10" s="5" t="n">
        <v>15.7</v>
      </c>
      <c r="M10" s="5" t="n">
        <v>12.1</v>
      </c>
    </row>
    <row r="11">
      <c r="A11" s="6" t="inlineStr">
        <is>
          <t>Net gain/(loss) on sale of assets</t>
        </is>
      </c>
      <c r="B11" s="6" t="n">
        <v>5.2</v>
      </c>
      <c r="C11" s="6" t="n">
        <v>-101.4</v>
      </c>
      <c r="D11" s="6" t="n">
        <v>2.7</v>
      </c>
      <c r="E11" s="6" t="n"/>
      <c r="F11" s="6" t="n">
        <v>9.4</v>
      </c>
      <c r="G11" s="6" t="n">
        <v>73.3</v>
      </c>
      <c r="H11" s="6" t="n">
        <v>1.6</v>
      </c>
      <c r="I11" s="6" t="n">
        <v>10.7</v>
      </c>
      <c r="J11" s="6" t="n">
        <v>3.7</v>
      </c>
      <c r="K11" s="6" t="n">
        <v>5.4</v>
      </c>
      <c r="L11" s="6" t="n">
        <v>6.4</v>
      </c>
      <c r="M11" s="6" t="n">
        <v>5.1</v>
      </c>
    </row>
    <row r="12">
      <c r="A12" s="6" t="inlineStr">
        <is>
          <t>Other income</t>
        </is>
      </c>
      <c r="B12" s="6" t="n">
        <v>36.7</v>
      </c>
      <c r="C12" s="6" t="n">
        <v>35.6</v>
      </c>
      <c r="D12" s="6" t="n">
        <v>143.9</v>
      </c>
      <c r="E12" s="6" t="n">
        <v>37.6</v>
      </c>
      <c r="F12" s="6" t="n">
        <v>44.2</v>
      </c>
      <c r="G12" s="6" t="n">
        <v>49.7</v>
      </c>
      <c r="H12" s="6" t="n">
        <v>44.9</v>
      </c>
      <c r="I12" s="6" t="n">
        <v>25.7</v>
      </c>
      <c r="J12" s="6" t="n">
        <v>19.4</v>
      </c>
      <c r="K12" s="6" t="n">
        <v>13.3</v>
      </c>
      <c r="L12" s="6" t="n">
        <v>9.199999999999999</v>
      </c>
      <c r="M12" s="6" t="n">
        <v>4.8</v>
      </c>
    </row>
    <row r="13">
      <c r="A13" s="6" t="inlineStr">
        <is>
          <t>Costs associated with Listing / Listing Share Awards</t>
        </is>
      </c>
      <c r="B13" s="6" t="n"/>
      <c r="C13" s="6" t="n"/>
      <c r="D13" s="6" t="n"/>
      <c r="E13" s="6" t="n"/>
      <c r="F13" s="6" t="n"/>
      <c r="G13" s="6" t="n"/>
      <c r="H13" s="6" t="n"/>
      <c r="I13" s="6" t="n"/>
      <c r="J13" s="6" t="n">
        <v>-1.4</v>
      </c>
      <c r="K13" s="6" t="n">
        <v>-5.1</v>
      </c>
      <c r="L13" s="6" t="n">
        <v>-1.5</v>
      </c>
      <c r="M13" s="6" t="n">
        <v>0</v>
      </c>
    </row>
    <row r="14">
      <c r="A14" s="5" t="inlineStr">
        <is>
          <t>Total income</t>
        </is>
      </c>
      <c r="B14" s="5" t="n">
        <v>593.3</v>
      </c>
      <c r="C14" s="5" t="n">
        <v>405.3</v>
      </c>
      <c r="D14" s="5" t="n">
        <v>648.9</v>
      </c>
      <c r="E14" s="5" t="n">
        <v>523.5</v>
      </c>
      <c r="F14" s="5" t="n">
        <v>418.5</v>
      </c>
      <c r="G14" s="5" t="n">
        <v>432.6</v>
      </c>
      <c r="H14" s="5" t="n">
        <v>415.6</v>
      </c>
      <c r="I14" s="5" t="n">
        <v>404.1</v>
      </c>
      <c r="J14" s="5" t="n">
        <v>293.8</v>
      </c>
      <c r="K14" s="5" t="n">
        <v>195.1</v>
      </c>
      <c r="L14" s="5" t="n">
        <v>120.2</v>
      </c>
      <c r="M14" s="5" t="n">
        <v>75.40000000000001</v>
      </c>
    </row>
    <row r="15">
      <c r="A15" s="6" t="inlineStr">
        <is>
          <t>General operating expenses</t>
        </is>
      </c>
      <c r="B15" s="6" t="n">
        <v>-429.4</v>
      </c>
      <c r="C15" s="6" t="n">
        <v>-489</v>
      </c>
      <c r="D15" s="6" t="n">
        <v>-484.1</v>
      </c>
      <c r="E15" s="6" t="n">
        <v>-467.6</v>
      </c>
      <c r="F15" s="6" t="n">
        <v>-536.1</v>
      </c>
      <c r="G15" s="6" t="n">
        <v>-502.3</v>
      </c>
      <c r="H15" s="6" t="n">
        <v>-380.6</v>
      </c>
      <c r="I15" s="6" t="n">
        <v>-305.6</v>
      </c>
      <c r="J15" s="6" t="n">
        <v>-231.4</v>
      </c>
      <c r="K15" s="6" t="n">
        <v>-179.8</v>
      </c>
      <c r="L15" s="6" t="n">
        <v>-141.6</v>
      </c>
      <c r="M15" s="6" t="n">
        <v>-107.9</v>
      </c>
    </row>
    <row r="16">
      <c r="A16" s="6" t="inlineStr">
        <is>
          <t>Depreciation and amortisation</t>
        </is>
      </c>
      <c r="B16" s="6" t="n">
        <v>-61.7</v>
      </c>
      <c r="C16" s="6" t="n">
        <v>-77.3</v>
      </c>
      <c r="D16" s="6" t="n">
        <v>-77.7</v>
      </c>
      <c r="E16" s="6" t="n">
        <v>-77</v>
      </c>
      <c r="F16" s="6" t="n">
        <v>-80.2</v>
      </c>
      <c r="G16" s="6" t="n">
        <v>-74.40000000000001</v>
      </c>
      <c r="H16" s="6" t="n">
        <v>-76.40000000000001</v>
      </c>
      <c r="I16" s="6" t="n">
        <v>-45.1</v>
      </c>
      <c r="J16" s="6" t="n">
        <v>-33.4</v>
      </c>
      <c r="K16" s="6" t="n">
        <v>-22.4</v>
      </c>
      <c r="L16" s="6" t="n">
        <v>-18.2</v>
      </c>
      <c r="M16" s="6" t="n">
        <v>-14.2</v>
      </c>
    </row>
    <row r="17">
      <c r="A17" s="6" t="inlineStr">
        <is>
          <t>Impairment and write-offs of property, plant, equipment and intangible assets</t>
        </is>
      </c>
      <c r="B17" s="6" t="n">
        <v>-0.7</v>
      </c>
      <c r="C17" s="6" t="n">
        <v>-44</v>
      </c>
      <c r="D17" s="6" t="n">
        <v>-4.6</v>
      </c>
      <c r="E17" s="6" t="n">
        <v>-9.699999999999999</v>
      </c>
      <c r="F17" s="6" t="n">
        <v>-24.9</v>
      </c>
      <c r="G17" s="6" t="n">
        <v>-40.6</v>
      </c>
      <c r="H17" s="6" t="n">
        <v>-77.7</v>
      </c>
      <c r="I17" s="6" t="n">
        <v>-4.8</v>
      </c>
      <c r="J17" s="6" t="n">
        <v>-0.6</v>
      </c>
      <c r="K17" s="6" t="n">
        <v>-0.3</v>
      </c>
      <c r="L17" s="6" t="n">
        <v>-8.699999999999999</v>
      </c>
      <c r="M17" s="6" t="n">
        <v>0</v>
      </c>
    </row>
    <row r="18">
      <c r="A18" s="5" t="inlineStr">
        <is>
          <t>Total operating expenses</t>
        </is>
      </c>
      <c r="B18" s="5" t="n">
        <v>-491.8</v>
      </c>
      <c r="C18" s="5" t="n">
        <v>-610.3</v>
      </c>
      <c r="D18" s="5" t="n">
        <v>-566.4</v>
      </c>
      <c r="E18" s="5" t="n">
        <v>-554.3</v>
      </c>
      <c r="F18" s="5" t="n">
        <v>-641.2</v>
      </c>
      <c r="G18" s="5" t="n">
        <v>-617.3</v>
      </c>
      <c r="H18" s="5" t="n">
        <v>-534.7</v>
      </c>
      <c r="I18" s="5" t="n">
        <v>-355.5</v>
      </c>
      <c r="J18" s="5" t="n">
        <v>-266.9</v>
      </c>
      <c r="K18" s="5" t="n">
        <v>-207.6</v>
      </c>
      <c r="L18" s="5" t="n">
        <v>-170</v>
      </c>
      <c r="M18" s="5" t="n">
        <v>-122.2</v>
      </c>
    </row>
    <row r="19">
      <c r="A19" s="6" t="inlineStr">
        <is>
          <t>Expected credit loss expense</t>
        </is>
      </c>
      <c r="B19" s="6" t="n">
        <v>-14.3</v>
      </c>
      <c r="C19" s="6" t="n">
        <v>-7.1</v>
      </c>
      <c r="D19" s="6" t="n">
        <v>-33.2</v>
      </c>
      <c r="E19" s="6" t="n">
        <v>-39.9</v>
      </c>
      <c r="F19" s="6" t="n">
        <v>-22.4</v>
      </c>
      <c r="G19" s="6" t="n">
        <v>-126.7</v>
      </c>
      <c r="H19" s="6" t="n">
        <v>-11.7</v>
      </c>
      <c r="I19" s="6" t="n">
        <v>-8</v>
      </c>
      <c r="J19" s="6" t="n"/>
      <c r="K19" s="6" t="n"/>
      <c r="L19" s="6" t="n"/>
      <c r="M19" s="6" t="n"/>
    </row>
    <row r="20">
      <c r="A20" s="6" t="inlineStr">
        <is>
          <t>Credit impairment charges (pre-IFRS 9)</t>
        </is>
      </c>
      <c r="B20" s="6" t="n"/>
      <c r="C20" s="6" t="n"/>
      <c r="D20" s="6" t="n"/>
      <c r="E20" s="6" t="n"/>
      <c r="F20" s="6" t="n"/>
      <c r="G20" s="6" t="n"/>
      <c r="H20" s="6" t="n"/>
      <c r="I20" s="6" t="n"/>
      <c r="J20" s="6" t="n">
        <v>-8.199999999999999</v>
      </c>
      <c r="K20" s="6" t="n">
        <v>-4.7</v>
      </c>
      <c r="L20" s="6" t="n">
        <v>-7</v>
      </c>
      <c r="M20" s="6" t="n">
        <v>-2.2</v>
      </c>
    </row>
    <row r="21">
      <c r="A21" s="5" t="inlineStr">
        <is>
          <t>Profit/(loss) before tax</t>
        </is>
      </c>
      <c r="B21" s="5" t="n">
        <v>87.2</v>
      </c>
      <c r="C21" s="5" t="n">
        <v>-212.1</v>
      </c>
      <c r="D21" s="5" t="n">
        <v>49.3</v>
      </c>
      <c r="E21" s="5" t="n">
        <v>-70.7</v>
      </c>
      <c r="F21" s="5" t="n">
        <v>-245.1</v>
      </c>
      <c r="G21" s="5" t="n">
        <v>-311.4</v>
      </c>
      <c r="H21" s="5" t="n">
        <v>-130.8</v>
      </c>
      <c r="I21" s="5" t="n">
        <v>40.6</v>
      </c>
      <c r="J21" s="5" t="n">
        <v>18.7</v>
      </c>
      <c r="K21" s="5" t="n">
        <v>-17.2</v>
      </c>
      <c r="L21" s="5" t="n">
        <v>-56.8</v>
      </c>
      <c r="M21" s="5" t="n">
        <v>-48.9</v>
      </c>
    </row>
    <row r="22">
      <c r="A22" s="6" t="inlineStr">
        <is>
          <t>Taxation credit/(expense)</t>
        </is>
      </c>
      <c r="B22" s="6" t="n">
        <v>-17.5</v>
      </c>
      <c r="C22" s="6" t="n">
        <v>254.6</v>
      </c>
      <c r="D22" s="6" t="n">
        <v>-1</v>
      </c>
      <c r="E22" s="6" t="n">
        <v>-2</v>
      </c>
      <c r="F22" s="6" t="n">
        <v>-3.1</v>
      </c>
      <c r="G22" s="6" t="n">
        <v>9.699999999999999</v>
      </c>
      <c r="H22" s="6" t="n">
        <v>-51.8</v>
      </c>
      <c r="I22" s="6" t="n">
        <v>-13.5</v>
      </c>
      <c r="J22" s="6" t="n">
        <v>-7.9</v>
      </c>
      <c r="K22" s="6" t="n">
        <v>0.4</v>
      </c>
      <c r="L22" s="6" t="n">
        <v>7.6</v>
      </c>
      <c r="M22" s="6" t="n">
        <v>7.8</v>
      </c>
    </row>
    <row r="23">
      <c r="A23" s="5" t="inlineStr">
        <is>
          <t>Profit/(loss) for the year</t>
        </is>
      </c>
      <c r="B23" s="5" t="n">
        <v>69.7</v>
      </c>
      <c r="C23" s="5" t="n">
        <v>42.5</v>
      </c>
      <c r="D23" s="5" t="n">
        <v>48.3</v>
      </c>
      <c r="E23" s="5" t="n">
        <v>-72.7</v>
      </c>
      <c r="F23" s="5" t="n">
        <v>-248.2</v>
      </c>
      <c r="G23" s="5" t="n">
        <v>-301.7</v>
      </c>
      <c r="H23" s="5" t="n">
        <v>-182.6</v>
      </c>
      <c r="I23" s="5" t="n">
        <v>27.1</v>
      </c>
      <c r="J23" s="5" t="n">
        <v>10.8</v>
      </c>
      <c r="K23" s="5" t="n">
        <v>-16.8</v>
      </c>
      <c r="L23" s="5" t="n">
        <v>-49.2</v>
      </c>
      <c r="M23" s="5" t="n">
        <v>-41.1</v>
      </c>
    </row>
    <row r="24">
      <c r="A24" s="5" t="inlineStr">
        <is>
          <t>Other comprehensive income/(expense) for the year</t>
        </is>
      </c>
      <c r="B24" s="6" t="n"/>
      <c r="C24" s="6" t="n"/>
      <c r="D24" s="6" t="n"/>
      <c r="E24" s="6" t="n"/>
      <c r="F24" s="6" t="n"/>
      <c r="G24" s="6" t="n"/>
      <c r="H24" s="6" t="n"/>
      <c r="I24" s="6" t="n"/>
      <c r="J24" s="6" t="n"/>
      <c r="K24" s="6" t="n"/>
      <c r="L24" s="6" t="n"/>
      <c r="M24" s="6" t="n"/>
    </row>
    <row r="25">
      <c r="A25" s="6" t="inlineStr">
        <is>
          <t>Movement in investment securities held at FVOCI - changes in fair value (net of tax)</t>
        </is>
      </c>
      <c r="B25" s="6" t="n">
        <v>4.2</v>
      </c>
      <c r="C25" s="6" t="n">
        <v>3.4</v>
      </c>
      <c r="D25" s="6" t="n">
        <v>2.4</v>
      </c>
      <c r="E25" s="6" t="n">
        <v>-7.6</v>
      </c>
      <c r="F25" s="6" t="n">
        <v>-8.1</v>
      </c>
      <c r="G25" s="6" t="n">
        <v>5.6</v>
      </c>
      <c r="H25" s="6" t="n">
        <v>2.7</v>
      </c>
      <c r="I25" s="6" t="n">
        <v>-2.4</v>
      </c>
      <c r="J25" s="6" t="n">
        <v>2.7</v>
      </c>
      <c r="K25" s="6" t="n">
        <v>13.9</v>
      </c>
      <c r="L25" s="6" t="n">
        <v>-1.3</v>
      </c>
      <c r="M25" s="6" t="n">
        <v>8.300000000000001</v>
      </c>
    </row>
    <row r="26">
      <c r="A26" s="6" t="inlineStr">
        <is>
          <t>FV changes transferred to the income statement on disposal (net of tax)</t>
        </is>
      </c>
      <c r="B26" s="6" t="n"/>
      <c r="C26" s="6" t="n"/>
      <c r="D26" s="6" t="n"/>
      <c r="E26" s="6" t="n"/>
      <c r="F26" s="6" t="n">
        <v>-0.3</v>
      </c>
      <c r="G26" s="6" t="n">
        <v>-0.1</v>
      </c>
      <c r="H26" s="6" t="n">
        <v>-2.4</v>
      </c>
      <c r="I26" s="6" t="n">
        <v>-1.5</v>
      </c>
      <c r="J26" s="6" t="n">
        <v>-3.7</v>
      </c>
      <c r="K26" s="6" t="n">
        <v>-5.4</v>
      </c>
      <c r="L26" s="6" t="n">
        <v>-6.4</v>
      </c>
      <c r="M26" s="6" t="n">
        <v>-5.1</v>
      </c>
    </row>
    <row r="27">
      <c r="A27" s="5" t="inlineStr">
        <is>
          <t>Total other comprehensive income/(expense)</t>
        </is>
      </c>
      <c r="B27" s="5" t="n">
        <v>4.2</v>
      </c>
      <c r="C27" s="5" t="n">
        <v>3.4</v>
      </c>
      <c r="D27" s="5" t="n">
        <v>2.4</v>
      </c>
      <c r="E27" s="5" t="n">
        <v>-7.6</v>
      </c>
      <c r="F27" s="5" t="n">
        <v>-8.4</v>
      </c>
      <c r="G27" s="5" t="n">
        <v>5.5</v>
      </c>
      <c r="H27" s="5" t="n">
        <v>0.3</v>
      </c>
      <c r="I27" s="5" t="n">
        <v>-3.9</v>
      </c>
      <c r="J27" s="5" t="n">
        <v>-0.9</v>
      </c>
      <c r="K27" s="5" t="n">
        <v>8.5</v>
      </c>
      <c r="L27" s="5" t="n">
        <v>-7.7</v>
      </c>
      <c r="M27" s="5" t="n">
        <v>3.2</v>
      </c>
    </row>
    <row r="28">
      <c r="A28" s="5" t="inlineStr">
        <is>
          <t>Total comprehensive income/(loss) for the year</t>
        </is>
      </c>
      <c r="B28" s="5" t="n">
        <v>73.90000000000001</v>
      </c>
      <c r="C28" s="5" t="n">
        <v>45.9</v>
      </c>
      <c r="D28" s="5" t="n">
        <v>50.7</v>
      </c>
      <c r="E28" s="5" t="n">
        <v>-80.3</v>
      </c>
      <c r="F28" s="5" t="n">
        <v>-256.6</v>
      </c>
      <c r="G28" s="5" t="n">
        <v>-296.2</v>
      </c>
      <c r="H28" s="5" t="n">
        <v>-182.3</v>
      </c>
      <c r="I28" s="5" t="n">
        <v>23.2</v>
      </c>
      <c r="J28" s="5" t="n">
        <v>9.800000000000001</v>
      </c>
      <c r="K28" s="5" t="n">
        <v>-8.199999999999999</v>
      </c>
      <c r="L28" s="5" t="n">
        <v>-56.9</v>
      </c>
      <c r="M28" s="5" t="n">
        <v>-37.9</v>
      </c>
    </row>
    <row r="30" ht="340" customHeight="1">
      <c r="A30"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t>
        </is>
      </c>
    </row>
  </sheetData>
  <mergeCells count="1">
    <mergeCell ref="A30:M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Metro Bank PLC - Statement of Changes in Equity</t>
        </is>
      </c>
    </row>
    <row r="2">
      <c r="A2" s="2" t="inlineStr">
        <is>
          <t>Chronological roll-forward, oldest to newest, £m. FY2014-FY2020 are Group/consolidated basis; FY2021-FY2023 are Company/standalone basis (see HD-049 basis note); FY2024-FY2025 not located - same gap as the Balance Sheet and Cash Flow Statement. Equity reconciliation ladder confirmed: each year's own closing balance ties exactly to both the next year's own opening balance and that year's own Balance Sheet Total equity within each basis. The ladder's mandated scan caught the insertion of Metro Bank Holdings PLC as new ultimate parent in 2023 - a genuine cancellation of Metro Bank PLC's £1,964m share capital/premium (offset into retained earnings) and £144m of new shares issued, not a plug - and also the genuine Company/Group basis discontinuity at 31 Dec 2020/1 Jan 2021 (£1,289m Group closing vs £1,294m Company opening), which is a basis change, not an error. The 'FVOCI reserve' column holds the pre-2018 'Available-for-sale reserve' for FY2014-FY2017 (same underlying reserve, renamed on IFRS 9 adoption 1 January 2018 - see the transition adjustment row).</t>
        </is>
      </c>
    </row>
    <row r="3">
      <c r="A3" s="4" t="inlineStr">
        <is>
          <t>Movement</t>
        </is>
      </c>
      <c r="B3" s="4" t="inlineStr">
        <is>
          <t>Called-up share capital</t>
        </is>
      </c>
      <c r="C3" s="4" t="inlineStr">
        <is>
          <t>Share premium</t>
        </is>
      </c>
      <c r="D3" s="4" t="inlineStr">
        <is>
          <t>Retained earnings/(losses)</t>
        </is>
      </c>
      <c r="E3" s="4" t="inlineStr">
        <is>
          <t>FVOCI reserve</t>
        </is>
      </c>
      <c r="F3" s="4" t="inlineStr">
        <is>
          <t>Share option reserve</t>
        </is>
      </c>
      <c r="G3" s="4" t="inlineStr">
        <is>
          <t>Deemed capital contribution</t>
        </is>
      </c>
      <c r="H3" s="4" t="inlineStr">
        <is>
          <t>Total equity</t>
        </is>
      </c>
    </row>
    <row r="4">
      <c r="A4" s="5" t="inlineStr">
        <is>
          <t>At 1 January 2014 (FY2014 opening, restated, Group basis)</t>
        </is>
      </c>
      <c r="B4" s="5" t="n">
        <v>0</v>
      </c>
      <c r="C4" s="5" t="n">
        <v>530</v>
      </c>
      <c r="D4" s="5" t="n">
        <v>-123</v>
      </c>
      <c r="E4" s="5" t="n">
        <v>-8</v>
      </c>
      <c r="F4" s="5" t="n">
        <v>1</v>
      </c>
      <c r="G4" s="5" t="n"/>
      <c r="H4" s="5" t="n">
        <v>401</v>
      </c>
    </row>
    <row r="5">
      <c r="A5" s="6" t="inlineStr">
        <is>
          <t>Loss for the year</t>
        </is>
      </c>
      <c r="B5" s="6" t="n"/>
      <c r="C5" s="6" t="n"/>
      <c r="D5" s="6" t="n">
        <v>-41</v>
      </c>
      <c r="E5" s="6" t="n"/>
      <c r="F5" s="6" t="n"/>
      <c r="G5" s="6" t="n"/>
      <c r="H5" s="6" t="n">
        <v>-41</v>
      </c>
    </row>
    <row r="6">
      <c r="A6" s="6" t="inlineStr">
        <is>
          <t>Other comprehensive income relating to available-for-sale investments, net of tax</t>
        </is>
      </c>
      <c r="B6" s="6" t="n"/>
      <c r="C6" s="6" t="n"/>
      <c r="D6" s="6" t="n"/>
      <c r="E6" s="6" t="n">
        <v>3</v>
      </c>
      <c r="F6" s="6" t="n"/>
      <c r="G6" s="6" t="n"/>
      <c r="H6" s="6" t="n">
        <v>3</v>
      </c>
    </row>
    <row r="7">
      <c r="A7" s="6" t="inlineStr">
        <is>
          <t>Share issue</t>
        </is>
      </c>
      <c r="B7" s="6" t="n"/>
      <c r="C7" s="6" t="n">
        <v>99</v>
      </c>
      <c r="D7" s="6" t="n"/>
      <c r="E7" s="6" t="n"/>
      <c r="F7" s="6" t="n"/>
      <c r="G7" s="6" t="n"/>
      <c r="H7" s="6" t="n">
        <v>99</v>
      </c>
    </row>
    <row r="8">
      <c r="A8" s="6" t="inlineStr">
        <is>
          <t>Share options at fair value</t>
        </is>
      </c>
      <c r="B8" s="6" t="n"/>
      <c r="C8" s="6" t="n"/>
      <c r="D8" s="6" t="n"/>
      <c r="E8" s="6" t="n"/>
      <c r="F8" s="6" t="n">
        <v>1</v>
      </c>
      <c r="G8" s="6" t="n"/>
      <c r="H8" s="6" t="n">
        <v>1</v>
      </c>
    </row>
    <row r="9">
      <c r="A9" s="5" t="inlineStr">
        <is>
          <t>At 31 December 2014 (FY2014 closing, restated)</t>
        </is>
      </c>
      <c r="B9" s="5" t="n">
        <v>0</v>
      </c>
      <c r="C9" s="5" t="n">
        <v>629</v>
      </c>
      <c r="D9" s="5" t="n">
        <v>-164</v>
      </c>
      <c r="E9" s="5" t="n">
        <v>-4</v>
      </c>
      <c r="F9" s="5" t="n">
        <v>2</v>
      </c>
      <c r="G9" s="5" t="n"/>
      <c r="H9" s="5" t="n">
        <v>462</v>
      </c>
    </row>
    <row r="10">
      <c r="A10" s="6" t="inlineStr">
        <is>
          <t>Loss for the year</t>
        </is>
      </c>
      <c r="B10" s="6" t="n"/>
      <c r="C10" s="6" t="n"/>
      <c r="D10" s="6" t="n">
        <v>-49</v>
      </c>
      <c r="E10" s="6" t="n"/>
      <c r="F10" s="6" t="n"/>
      <c r="G10" s="6" t="n"/>
      <c r="H10" s="6" t="n">
        <v>-49</v>
      </c>
    </row>
    <row r="11">
      <c r="A11" s="6" t="inlineStr">
        <is>
          <t>Other comprehensive expense relating to available-for-sale investments, net of tax</t>
        </is>
      </c>
      <c r="B11" s="6" t="n"/>
      <c r="C11" s="6" t="n"/>
      <c r="D11" s="6" t="n"/>
      <c r="E11" s="6" t="n">
        <v>-8</v>
      </c>
      <c r="F11" s="6" t="n"/>
      <c r="G11" s="6" t="n"/>
      <c r="H11" s="6" t="n">
        <v>-8</v>
      </c>
    </row>
    <row r="12">
      <c r="A12" s="6" t="inlineStr">
        <is>
          <t>Share options at fair value</t>
        </is>
      </c>
      <c r="B12" s="6" t="n"/>
      <c r="C12" s="6" t="n"/>
      <c r="D12" s="6" t="n"/>
      <c r="E12" s="6" t="n"/>
      <c r="F12" s="6" t="n">
        <v>2</v>
      </c>
      <c r="G12" s="6" t="n"/>
      <c r="H12" s="6" t="n">
        <v>2</v>
      </c>
    </row>
    <row r="13">
      <c r="A13" s="5" t="inlineStr">
        <is>
          <t>At 31 December 2015 (FY2015 closing)</t>
        </is>
      </c>
      <c r="B13" s="5" t="n">
        <v>0</v>
      </c>
      <c r="C13" s="5" t="n">
        <v>629</v>
      </c>
      <c r="D13" s="5" t="n">
        <v>-213</v>
      </c>
      <c r="E13" s="5" t="n">
        <v>-12</v>
      </c>
      <c r="F13" s="5" t="n">
        <v>3</v>
      </c>
      <c r="G13" s="5" t="n"/>
      <c r="H13" s="5" t="n">
        <v>407</v>
      </c>
    </row>
    <row r="14">
      <c r="A14" s="6" t="inlineStr">
        <is>
          <t>Loss for the year</t>
        </is>
      </c>
      <c r="B14" s="6" t="n"/>
      <c r="C14" s="6" t="n"/>
      <c r="D14" s="6" t="n">
        <v>-17</v>
      </c>
      <c r="E14" s="6" t="n"/>
      <c r="F14" s="6" t="n"/>
      <c r="G14" s="6" t="n"/>
      <c r="H14" s="6" t="n">
        <v>-17</v>
      </c>
    </row>
    <row r="15">
      <c r="A15" s="6" t="inlineStr">
        <is>
          <t>Other comprehensive income relating to available-for-sale investments, net of tax</t>
        </is>
      </c>
      <c r="B15" s="6" t="n"/>
      <c r="C15" s="6" t="n"/>
      <c r="D15" s="6" t="n"/>
      <c r="E15" s="6" t="n">
        <v>9</v>
      </c>
      <c r="F15" s="6" t="n"/>
      <c r="G15" s="6" t="n"/>
      <c r="H15" s="6" t="n">
        <v>9</v>
      </c>
    </row>
    <row r="16">
      <c r="A16" s="6" t="inlineStr">
        <is>
          <t>Share issue</t>
        </is>
      </c>
      <c r="B16" s="6" t="n"/>
      <c r="C16" s="6" t="n">
        <v>404</v>
      </c>
      <c r="D16" s="6" t="n"/>
      <c r="E16" s="6" t="n"/>
      <c r="F16" s="6" t="n"/>
      <c r="G16" s="6" t="n"/>
      <c r="H16" s="6" t="n">
        <v>404</v>
      </c>
    </row>
    <row r="17">
      <c r="A17" s="6" t="inlineStr">
        <is>
          <t>Cost of share issue</t>
        </is>
      </c>
      <c r="B17" s="6" t="n"/>
      <c r="C17" s="6" t="n">
        <v>-5</v>
      </c>
      <c r="D17" s="6" t="n"/>
      <c r="E17" s="6" t="n"/>
      <c r="F17" s="6" t="n"/>
      <c r="G17" s="6" t="n"/>
      <c r="H17" s="6" t="n">
        <v>-5</v>
      </c>
    </row>
    <row r="18">
      <c r="A18" s="6" t="inlineStr">
        <is>
          <t>Share options at fair value</t>
        </is>
      </c>
      <c r="B18" s="6" t="n"/>
      <c r="C18" s="6" t="n"/>
      <c r="D18" s="6" t="n"/>
      <c r="E18" s="6" t="n"/>
      <c r="F18" s="6" t="n">
        <v>7</v>
      </c>
      <c r="G18" s="6" t="n"/>
      <c r="H18" s="6" t="n">
        <v>7</v>
      </c>
    </row>
    <row r="19">
      <c r="A19" s="5" t="inlineStr">
        <is>
          <t>At 31 December 2016 (FY2016 closing)</t>
        </is>
      </c>
      <c r="B19" s="5" t="n">
        <v>0</v>
      </c>
      <c r="C19" s="5" t="n">
        <v>1028</v>
      </c>
      <c r="D19" s="5" t="n">
        <v>-230</v>
      </c>
      <c r="E19" s="5" t="n">
        <v>-3</v>
      </c>
      <c r="F19" s="5" t="n">
        <v>11</v>
      </c>
      <c r="G19" s="5" t="n"/>
      <c r="H19" s="5" t="n">
        <v>805</v>
      </c>
    </row>
    <row r="20">
      <c r="A20" s="6" t="inlineStr">
        <is>
          <t>Profit for the year</t>
        </is>
      </c>
      <c r="B20" s="6" t="n"/>
      <c r="C20" s="6" t="n"/>
      <c r="D20" s="6" t="n">
        <v>11</v>
      </c>
      <c r="E20" s="6" t="n"/>
      <c r="F20" s="6" t="n"/>
      <c r="G20" s="6" t="n"/>
      <c r="H20" s="6" t="n">
        <v>11</v>
      </c>
    </row>
    <row r="21">
      <c r="A21" s="6" t="inlineStr">
        <is>
          <t>Other comprehensive expense relating to available-for-sale investments, net of tax</t>
        </is>
      </c>
      <c r="B21" s="6" t="n"/>
      <c r="C21" s="6" t="n"/>
      <c r="D21" s="6" t="n"/>
      <c r="E21" s="6" t="n">
        <v>-1</v>
      </c>
      <c r="F21" s="6" t="n"/>
      <c r="G21" s="6" t="n"/>
      <c r="H21" s="6" t="n">
        <v>-1</v>
      </c>
    </row>
    <row r="22">
      <c r="A22" s="6" t="inlineStr">
        <is>
          <t>Share issue</t>
        </is>
      </c>
      <c r="B22" s="6" t="n"/>
      <c r="C22" s="6" t="n">
        <v>279</v>
      </c>
      <c r="D22" s="6" t="n"/>
      <c r="E22" s="6" t="n"/>
      <c r="F22" s="6" t="n"/>
      <c r="G22" s="6" t="n"/>
      <c r="H22" s="6" t="n">
        <v>279</v>
      </c>
    </row>
    <row r="23">
      <c r="A23" s="6" t="inlineStr">
        <is>
          <t>Cost of share issue</t>
        </is>
      </c>
      <c r="B23" s="6" t="n"/>
      <c r="C23" s="6" t="n">
        <v>-3</v>
      </c>
      <c r="D23" s="6" t="n"/>
      <c r="E23" s="6" t="n"/>
      <c r="F23" s="6" t="n"/>
      <c r="G23" s="6" t="n"/>
      <c r="H23" s="6" t="n">
        <v>-3</v>
      </c>
    </row>
    <row r="24">
      <c r="A24" s="6" t="inlineStr">
        <is>
          <t>Net share option movements</t>
        </is>
      </c>
      <c r="B24" s="6" t="n"/>
      <c r="C24" s="6" t="n"/>
      <c r="D24" s="6" t="n"/>
      <c r="E24" s="6" t="n"/>
      <c r="F24" s="6" t="n">
        <v>6</v>
      </c>
      <c r="G24" s="6" t="n"/>
      <c r="H24" s="6" t="n">
        <v>6</v>
      </c>
    </row>
    <row r="25">
      <c r="A25" s="5" t="inlineStr">
        <is>
          <t>At 31 December 2017 (FY2017 closing)</t>
        </is>
      </c>
      <c r="B25" s="5" t="n">
        <v>0</v>
      </c>
      <c r="C25" s="5" t="n">
        <v>1304</v>
      </c>
      <c r="D25" s="5" t="n">
        <v>-219</v>
      </c>
      <c r="E25" s="5" t="n">
        <v>-4</v>
      </c>
      <c r="F25" s="5" t="n">
        <v>16</v>
      </c>
      <c r="G25" s="5" t="n"/>
      <c r="H25" s="5" t="n">
        <v>1096</v>
      </c>
    </row>
    <row r="26">
      <c r="A26" s="6" t="inlineStr">
        <is>
          <t>IFRS 9 transition adjustment, net of tax (AFS reserve replaced by FVOCI reserve)</t>
        </is>
      </c>
      <c r="B26" s="6" t="n"/>
      <c r="C26" s="6" t="n"/>
      <c r="D26" s="6" t="n">
        <v>-17</v>
      </c>
      <c r="E26" s="6" t="n">
        <v>5</v>
      </c>
      <c r="F26" s="6" t="n"/>
      <c r="G26" s="6" t="n"/>
      <c r="H26" s="6" t="n">
        <v>-12</v>
      </c>
    </row>
    <row r="27">
      <c r="A27" s="6" t="inlineStr">
        <is>
          <t>Profit for the year</t>
        </is>
      </c>
      <c r="B27" s="6" t="n"/>
      <c r="C27" s="6" t="n"/>
      <c r="D27" s="6" t="n">
        <v>27</v>
      </c>
      <c r="E27" s="6" t="n"/>
      <c r="F27" s="6" t="n"/>
      <c r="G27" s="6" t="n"/>
      <c r="H27" s="6" t="n">
        <v>27</v>
      </c>
    </row>
    <row r="28">
      <c r="A28" s="6" t="inlineStr">
        <is>
          <t>Other comprehensive expense relating to investment securities designated at FVOCI, net of tax</t>
        </is>
      </c>
      <c r="B28" s="6" t="n"/>
      <c r="C28" s="6" t="n"/>
      <c r="D28" s="6" t="n"/>
      <c r="E28" s="6" t="n">
        <v>-4</v>
      </c>
      <c r="F28" s="6" t="n"/>
      <c r="G28" s="6" t="n"/>
      <c r="H28" s="6" t="n">
        <v>-4</v>
      </c>
    </row>
    <row r="29">
      <c r="A29" s="6" t="inlineStr">
        <is>
          <t>Shares issued</t>
        </is>
      </c>
      <c r="B29" s="6" t="n"/>
      <c r="C29" s="6" t="n">
        <v>304</v>
      </c>
      <c r="D29" s="6" t="n"/>
      <c r="E29" s="6" t="n"/>
      <c r="F29" s="6" t="n"/>
      <c r="G29" s="6" t="n"/>
      <c r="H29" s="6" t="n">
        <v>304</v>
      </c>
    </row>
    <row r="30">
      <c r="A30" s="6" t="inlineStr">
        <is>
          <t>Cost of shares issued</t>
        </is>
      </c>
      <c r="B30" s="6" t="n"/>
      <c r="C30" s="6" t="n">
        <v>-3</v>
      </c>
      <c r="D30" s="6" t="n"/>
      <c r="E30" s="6" t="n"/>
      <c r="F30" s="6" t="n"/>
      <c r="G30" s="6" t="n"/>
      <c r="H30" s="6" t="n">
        <v>-3</v>
      </c>
    </row>
    <row r="31">
      <c r="A31" s="6" t="inlineStr">
        <is>
          <t>Net share option movements</t>
        </is>
      </c>
      <c r="B31" s="6" t="n"/>
      <c r="C31" s="6" t="n"/>
      <c r="D31" s="6" t="n"/>
      <c r="E31" s="6" t="n"/>
      <c r="F31" s="6" t="n">
        <v>-6</v>
      </c>
      <c r="G31" s="6" t="n"/>
      <c r="H31" s="6" t="n">
        <v>-6</v>
      </c>
    </row>
    <row r="32">
      <c r="A32" s="5" t="inlineStr">
        <is>
          <t>At 31 December 2018 (FY2018 closing)</t>
        </is>
      </c>
      <c r="B32" s="5" t="n">
        <v>0</v>
      </c>
      <c r="C32" s="5" t="n">
        <v>1605</v>
      </c>
      <c r="D32" s="5" t="n">
        <v>-209</v>
      </c>
      <c r="E32" s="5" t="n">
        <v>-3</v>
      </c>
      <c r="F32" s="5" t="n">
        <v>10</v>
      </c>
      <c r="G32" s="5" t="n"/>
      <c r="H32" s="5" t="n">
        <v>1403</v>
      </c>
    </row>
    <row r="33">
      <c r="A33" s="6" t="inlineStr">
        <is>
          <t>Loss for the year</t>
        </is>
      </c>
      <c r="B33" s="6" t="n"/>
      <c r="C33" s="6" t="n"/>
      <c r="D33" s="6" t="n">
        <v>-183</v>
      </c>
      <c r="E33" s="6" t="n"/>
      <c r="F33" s="6" t="n"/>
      <c r="G33" s="6" t="n"/>
      <c r="H33" s="6" t="n">
        <v>-183</v>
      </c>
    </row>
    <row r="34">
      <c r="A34" s="6" t="inlineStr">
        <is>
          <t>Shares issued</t>
        </is>
      </c>
      <c r="B34" s="6" t="n"/>
      <c r="C34" s="6" t="n">
        <v>375</v>
      </c>
      <c r="D34" s="6" t="n"/>
      <c r="E34" s="6" t="n"/>
      <c r="F34" s="6" t="n"/>
      <c r="G34" s="6" t="n"/>
      <c r="H34" s="6" t="n">
        <v>375</v>
      </c>
    </row>
    <row r="35">
      <c r="A35" s="6" t="inlineStr">
        <is>
          <t>Cost of shares issued</t>
        </is>
      </c>
      <c r="B35" s="6" t="n"/>
      <c r="C35" s="6" t="n">
        <v>-16</v>
      </c>
      <c r="D35" s="6" t="n"/>
      <c r="E35" s="6" t="n"/>
      <c r="F35" s="6" t="n"/>
      <c r="G35" s="6" t="n"/>
      <c r="H35" s="6" t="n">
        <v>-16</v>
      </c>
    </row>
    <row r="36">
      <c r="A36" s="6" t="inlineStr">
        <is>
          <t>Net share option movements</t>
        </is>
      </c>
      <c r="B36" s="6" t="n"/>
      <c r="C36" s="6" t="n"/>
      <c r="D36" s="6" t="n"/>
      <c r="E36" s="6" t="n"/>
      <c r="F36" s="6" t="n">
        <v>4</v>
      </c>
      <c r="G36" s="6" t="n"/>
      <c r="H36" s="6" t="n">
        <v>4</v>
      </c>
    </row>
    <row r="37">
      <c r="A37" s="5" t="inlineStr">
        <is>
          <t>At 31 December 2019 (FY2019 closing)</t>
        </is>
      </c>
      <c r="B37" s="5" t="n">
        <v>0</v>
      </c>
      <c r="C37" s="5" t="n">
        <v>1964</v>
      </c>
      <c r="D37" s="5" t="n">
        <v>-392</v>
      </c>
      <c r="E37" s="5" t="n">
        <v>-3</v>
      </c>
      <c r="F37" s="5" t="n">
        <v>14</v>
      </c>
      <c r="G37" s="5" t="n"/>
      <c r="H37" s="5" t="n">
        <v>1583</v>
      </c>
    </row>
    <row r="38">
      <c r="A38" s="6" t="inlineStr">
        <is>
          <t>Loss for the year</t>
        </is>
      </c>
      <c r="B38" s="6" t="n"/>
      <c r="C38" s="6" t="n"/>
      <c r="D38" s="6" t="n">
        <v>-302</v>
      </c>
      <c r="E38" s="6" t="n"/>
      <c r="F38" s="6" t="n"/>
      <c r="G38" s="6" t="n"/>
      <c r="H38" s="6" t="n">
        <v>-302</v>
      </c>
    </row>
    <row r="39">
      <c r="A39" s="6" t="inlineStr">
        <is>
          <t>Other comprehensive income relating to investment securities designated at FVOCI, net of tax</t>
        </is>
      </c>
      <c r="B39" s="6" t="n"/>
      <c r="C39" s="6" t="n"/>
      <c r="D39" s="6" t="n"/>
      <c r="E39" s="6" t="n">
        <v>6</v>
      </c>
      <c r="F39" s="6" t="n"/>
      <c r="G39" s="6" t="n"/>
      <c r="H39" s="6" t="n">
        <v>6</v>
      </c>
    </row>
    <row r="40">
      <c r="A40" s="6" t="inlineStr">
        <is>
          <t>Net share option movements</t>
        </is>
      </c>
      <c r="B40" s="6" t="n"/>
      <c r="C40" s="6" t="n"/>
      <c r="D40" s="6" t="n"/>
      <c r="E40" s="6" t="n"/>
      <c r="F40" s="6" t="n">
        <v>2</v>
      </c>
      <c r="G40" s="6" t="n"/>
      <c r="H40" s="6" t="n">
        <v>2</v>
      </c>
    </row>
    <row r="41">
      <c r="A41" s="5" t="inlineStr">
        <is>
          <t>At 31 December 2020 (FY2020 closing, Group basis)</t>
        </is>
      </c>
      <c r="B41" s="5" t="n">
        <v>0</v>
      </c>
      <c r="C41" s="5" t="n">
        <v>1964</v>
      </c>
      <c r="D41" s="5" t="n">
        <v>-694</v>
      </c>
      <c r="E41" s="5" t="n">
        <v>3</v>
      </c>
      <c r="F41" s="5" t="n">
        <v>16</v>
      </c>
      <c r="G41" s="5" t="n"/>
      <c r="H41" s="5" t="n">
        <v>1289</v>
      </c>
    </row>
    <row r="42">
      <c r="A42" s="5" t="inlineStr">
        <is>
          <t>At 1 January 2021 (FY2021 opening)</t>
        </is>
      </c>
      <c r="B42" s="5" t="n">
        <v>0</v>
      </c>
      <c r="C42" s="5" t="n">
        <v>1964</v>
      </c>
      <c r="D42" s="5" t="n">
        <v>-689</v>
      </c>
      <c r="E42" s="5" t="n">
        <v>3</v>
      </c>
      <c r="F42" s="5" t="n">
        <v>16</v>
      </c>
      <c r="G42" s="5" t="n"/>
      <c r="H42" s="5" t="n">
        <v>1294</v>
      </c>
    </row>
    <row r="43">
      <c r="A43" s="6" t="inlineStr">
        <is>
          <t>Loss for the year</t>
        </is>
      </c>
      <c r="B43" s="6" t="n"/>
      <c r="C43" s="6" t="n"/>
      <c r="D43" s="6" t="n">
        <v>-252</v>
      </c>
      <c r="E43" s="6" t="n"/>
      <c r="F43" s="6" t="n"/>
      <c r="G43" s="6" t="n"/>
      <c r="H43" s="6" t="n">
        <v>-252</v>
      </c>
    </row>
    <row r="44">
      <c r="A44" s="6" t="inlineStr">
        <is>
          <t>Other comprehensive expense relating to investment securities designated at FVOCI, net of tax</t>
        </is>
      </c>
      <c r="B44" s="6" t="n"/>
      <c r="C44" s="6" t="n"/>
      <c r="D44" s="6" t="n"/>
      <c r="E44" s="6" t="n">
        <v>-8</v>
      </c>
      <c r="F44" s="6" t="n"/>
      <c r="G44" s="6" t="n"/>
      <c r="H44" s="6" t="n">
        <v>-8</v>
      </c>
    </row>
    <row r="45">
      <c r="A45" s="6" t="inlineStr">
        <is>
          <t>Net share option movements</t>
        </is>
      </c>
      <c r="B45" s="6" t="n"/>
      <c r="C45" s="6" t="n"/>
      <c r="D45" s="6" t="n"/>
      <c r="E45" s="6" t="n"/>
      <c r="F45" s="6" t="n">
        <v>2</v>
      </c>
      <c r="G45" s="6" t="n"/>
      <c r="H45" s="6" t="n">
        <v>2</v>
      </c>
    </row>
    <row r="46">
      <c r="A46" s="5" t="inlineStr">
        <is>
          <t>At 31 December 2021 (FY2021 closing)</t>
        </is>
      </c>
      <c r="B46" s="5" t="n">
        <v>0</v>
      </c>
      <c r="C46" s="5" t="n">
        <v>1964</v>
      </c>
      <c r="D46" s="5" t="n">
        <v>-941</v>
      </c>
      <c r="E46" s="5" t="n">
        <v>-5</v>
      </c>
      <c r="F46" s="5" t="n">
        <v>18</v>
      </c>
      <c r="G46" s="5" t="n"/>
      <c r="H46" s="5" t="n">
        <v>1036</v>
      </c>
    </row>
    <row r="47">
      <c r="A47" s="6" t="inlineStr">
        <is>
          <t>Loss for the year</t>
        </is>
      </c>
      <c r="B47" s="6" t="n"/>
      <c r="C47" s="6" t="n"/>
      <c r="D47" s="6" t="n">
        <v>-73</v>
      </c>
      <c r="E47" s="6" t="n"/>
      <c r="F47" s="6" t="n"/>
      <c r="G47" s="6" t="n"/>
      <c r="H47" s="6" t="n">
        <v>-73</v>
      </c>
    </row>
    <row r="48">
      <c r="A48" s="6" t="inlineStr">
        <is>
          <t>Other comprehensive expense relating to investment securities designated at FVOCI, net of tax</t>
        </is>
      </c>
      <c r="B48" s="6" t="n"/>
      <c r="C48" s="6" t="n"/>
      <c r="D48" s="6" t="n"/>
      <c r="E48" s="6" t="n">
        <v>-8</v>
      </c>
      <c r="F48" s="6" t="n"/>
      <c r="G48" s="6" t="n"/>
      <c r="H48" s="6" t="n">
        <v>-8</v>
      </c>
    </row>
    <row r="49">
      <c r="A49" s="6" t="inlineStr">
        <is>
          <t>Net share option movements</t>
        </is>
      </c>
      <c r="B49" s="6" t="n"/>
      <c r="C49" s="6" t="n"/>
      <c r="D49" s="6" t="n"/>
      <c r="E49" s="6" t="n"/>
      <c r="F49" s="6" t="n">
        <v>2</v>
      </c>
      <c r="G49" s="6" t="n"/>
      <c r="H49" s="6" t="n">
        <v>2</v>
      </c>
    </row>
    <row r="50">
      <c r="A50" s="5" t="inlineStr">
        <is>
          <t>At 31 December 2022 (FY2022 closing)</t>
        </is>
      </c>
      <c r="B50" s="5" t="n">
        <v>0</v>
      </c>
      <c r="C50" s="5" t="n">
        <v>1964</v>
      </c>
      <c r="D50" s="5" t="n">
        <v>-1014</v>
      </c>
      <c r="E50" s="5" t="n">
        <v>-13</v>
      </c>
      <c r="F50" s="5" t="n">
        <v>20</v>
      </c>
      <c r="G50" s="5" t="n"/>
      <c r="H50" s="5" t="n">
        <v>957</v>
      </c>
    </row>
    <row r="51">
      <c r="A51" s="6" t="inlineStr">
        <is>
          <t>Profit for the year</t>
        </is>
      </c>
      <c r="B51" s="6" t="n"/>
      <c r="C51" s="6" t="n"/>
      <c r="D51" s="6" t="n">
        <v>46</v>
      </c>
      <c r="E51" s="6" t="n"/>
      <c r="F51" s="6" t="n"/>
      <c r="G51" s="6" t="n"/>
      <c r="H51" s="6" t="n">
        <v>46</v>
      </c>
    </row>
    <row r="52">
      <c r="A52" s="6" t="inlineStr">
        <is>
          <t>Other comprehensive income relating to investment securities designated at FVOCI, net of tax</t>
        </is>
      </c>
      <c r="B52" s="6" t="n"/>
      <c r="C52" s="6" t="n"/>
      <c r="D52" s="6" t="n"/>
      <c r="E52" s="6" t="n">
        <v>2</v>
      </c>
      <c r="F52" s="6" t="n"/>
      <c r="G52" s="6" t="n"/>
      <c r="H52" s="6" t="n">
        <v>2</v>
      </c>
    </row>
    <row r="53">
      <c r="A53" s="6" t="inlineStr">
        <is>
          <t>Net share option movements</t>
        </is>
      </c>
      <c r="B53" s="6" t="n"/>
      <c r="C53" s="6" t="n"/>
      <c r="D53" s="6" t="n"/>
      <c r="E53" s="6" t="n"/>
      <c r="F53" s="6" t="n">
        <v>3</v>
      </c>
      <c r="G53" s="6" t="n"/>
      <c r="H53" s="6" t="n">
        <v>3</v>
      </c>
    </row>
    <row r="54">
      <c r="A54" s="6" t="inlineStr">
        <is>
          <t>Transfer of share option reserve upon insertion of new holding company</t>
        </is>
      </c>
      <c r="B54" s="6" t="n"/>
      <c r="C54" s="6" t="n"/>
      <c r="D54" s="6" t="n"/>
      <c r="E54" s="6" t="n"/>
      <c r="F54" s="6" t="n">
        <v>-23</v>
      </c>
      <c r="G54" s="6" t="n">
        <v>23</v>
      </c>
      <c r="H54" s="6" t="n">
        <v>0</v>
      </c>
    </row>
    <row r="55">
      <c r="A55" s="6" t="inlineStr">
        <is>
          <t>Cancellation of Metro Bank PLC share capital and share premium</t>
        </is>
      </c>
      <c r="B55" s="6" t="n"/>
      <c r="C55" s="6" t="n">
        <v>-1964</v>
      </c>
      <c r="D55" s="6" t="n">
        <v>1964</v>
      </c>
      <c r="E55" s="6" t="n"/>
      <c r="F55" s="6" t="n"/>
      <c r="G55" s="6" t="n"/>
      <c r="H55" s="6" t="n">
        <v>0</v>
      </c>
    </row>
    <row r="56">
      <c r="A56" s="6" t="inlineStr">
        <is>
          <t>Shares issued</t>
        </is>
      </c>
      <c r="B56" s="6" t="n"/>
      <c r="C56" s="6" t="n">
        <v>144</v>
      </c>
      <c r="D56" s="6" t="n"/>
      <c r="E56" s="6" t="n"/>
      <c r="F56" s="6" t="n"/>
      <c r="G56" s="6" t="n"/>
      <c r="H56" s="6" t="n">
        <v>144</v>
      </c>
    </row>
    <row r="57">
      <c r="A57" s="5" t="inlineStr">
        <is>
          <t>At 31 December 2023 (FY2023 closing)</t>
        </is>
      </c>
      <c r="B57" s="5" t="n">
        <v>0</v>
      </c>
      <c r="C57" s="5" t="n">
        <v>144</v>
      </c>
      <c r="D57" s="5" t="n">
        <v>996</v>
      </c>
      <c r="E57" s="5" t="n">
        <v>-11</v>
      </c>
      <c r="F57" s="5" t="n">
        <v>0</v>
      </c>
      <c r="G57" s="5" t="n">
        <v>23</v>
      </c>
      <c r="H57" s="5" t="n">
        <v>1152</v>
      </c>
    </row>
    <row r="59" ht="150" customHeight="1">
      <c r="A59"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t>
        </is>
      </c>
    </row>
  </sheetData>
  <mergeCells count="1">
    <mergeCell ref="A59:H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Cash Flow Statement</t>
        </is>
      </c>
    </row>
    <row r="2">
      <c r="A2" s="2" t="inlineStr">
        <is>
          <t>£m; 31 December year-end. FY2014-FY2020 are Group/consolidated (as reported, itemized adjustments); FY2021-FY2023 are Company/standalone (as reported, collapsed to 'Adjustments for non-cash items' plus memo interest received/paid) - see HD-049 basis note. FY2024-FY2025 standalone accounts not located.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Reconciliation of profit/(loss) before tax to net cash flows from operating activities</t>
        </is>
      </c>
      <c r="B4" s="6" t="n"/>
      <c r="C4" s="6" t="n"/>
      <c r="D4" s="6" t="n"/>
      <c r="E4" s="6" t="n"/>
      <c r="F4" s="6" t="n"/>
      <c r="G4" s="6" t="n"/>
      <c r="H4" s="6" t="n"/>
      <c r="I4" s="6" t="n"/>
      <c r="J4" s="6" t="n"/>
      <c r="K4" s="6" t="n"/>
      <c r="L4" s="6" t="n"/>
      <c r="M4" s="6" t="n"/>
    </row>
    <row r="5">
      <c r="A5" s="6" t="inlineStr">
        <is>
          <t>Profit/(loss) before tax</t>
        </is>
      </c>
      <c r="B5" s="6" t="n"/>
      <c r="C5" s="6" t="n"/>
      <c r="D5" s="6" t="n">
        <v>46</v>
      </c>
      <c r="E5" s="6" t="n">
        <v>-71</v>
      </c>
      <c r="F5" s="6" t="n">
        <v>-245</v>
      </c>
      <c r="G5" s="6" t="n">
        <v>-311</v>
      </c>
      <c r="H5" s="6" t="n">
        <v>-131</v>
      </c>
      <c r="I5" s="6" t="n">
        <v>41</v>
      </c>
      <c r="J5" s="6" t="n">
        <v>19</v>
      </c>
      <c r="K5" s="6" t="n">
        <v>-17</v>
      </c>
      <c r="L5" s="6" t="n">
        <v>-57</v>
      </c>
      <c r="M5" s="6" t="n">
        <v>-49</v>
      </c>
    </row>
    <row r="6">
      <c r="A6" s="6" t="inlineStr">
        <is>
          <t>Impairment and write-offs of property, plant, equipment and intangible assets</t>
        </is>
      </c>
      <c r="B6" s="6" t="n"/>
      <c r="C6" s="6" t="n"/>
      <c r="D6" s="6" t="n"/>
      <c r="E6" s="6" t="n"/>
      <c r="F6" s="6" t="n"/>
      <c r="G6" s="6" t="n">
        <v>41</v>
      </c>
      <c r="H6" s="6" t="n">
        <v>78</v>
      </c>
      <c r="I6" s="6" t="n">
        <v>5</v>
      </c>
      <c r="J6" s="6" t="n">
        <v>1</v>
      </c>
      <c r="K6" s="6" t="n">
        <v>1</v>
      </c>
      <c r="L6" s="6" t="n">
        <v>9</v>
      </c>
      <c r="M6" s="6" t="n"/>
    </row>
    <row r="7">
      <c r="A7" s="6" t="inlineStr">
        <is>
          <t>Interest on lease liabilities</t>
        </is>
      </c>
      <c r="B7" s="6" t="n"/>
      <c r="C7" s="6" t="n"/>
      <c r="D7" s="6" t="n"/>
      <c r="E7" s="6" t="n"/>
      <c r="F7" s="6" t="n"/>
      <c r="G7" s="6" t="n">
        <v>19</v>
      </c>
      <c r="H7" s="6" t="n">
        <v>18</v>
      </c>
      <c r="I7" s="6" t="n"/>
      <c r="J7" s="6" t="n"/>
      <c r="K7" s="6" t="n"/>
      <c r="L7" s="6" t="n"/>
      <c r="M7" s="6" t="n"/>
    </row>
    <row r="8">
      <c r="A8" s="6" t="inlineStr">
        <is>
          <t>Depreciation and amortisation (cash flow add-back)</t>
        </is>
      </c>
      <c r="B8" s="6" t="n"/>
      <c r="C8" s="6" t="n"/>
      <c r="D8" s="6" t="n"/>
      <c r="E8" s="6" t="n"/>
      <c r="F8" s="6" t="n"/>
      <c r="G8" s="6" t="n">
        <v>74</v>
      </c>
      <c r="H8" s="6" t="n">
        <v>76</v>
      </c>
      <c r="I8" s="6" t="n">
        <v>45</v>
      </c>
      <c r="J8" s="6" t="n">
        <v>33</v>
      </c>
      <c r="K8" s="6" t="n">
        <v>22</v>
      </c>
      <c r="L8" s="6" t="n">
        <v>18</v>
      </c>
      <c r="M8" s="6" t="n">
        <v>14</v>
      </c>
    </row>
    <row r="9">
      <c r="A9" s="6" t="inlineStr">
        <is>
          <t>Share option charge</t>
        </is>
      </c>
      <c r="B9" s="6" t="n"/>
      <c r="C9" s="6" t="n"/>
      <c r="D9" s="6" t="n"/>
      <c r="E9" s="6" t="n"/>
      <c r="F9" s="6" t="n"/>
      <c r="G9" s="6" t="n">
        <v>2</v>
      </c>
      <c r="H9" s="6" t="n">
        <v>4</v>
      </c>
      <c r="I9" s="6" t="n">
        <v>5</v>
      </c>
      <c r="J9" s="6" t="n">
        <v>3</v>
      </c>
      <c r="K9" s="6" t="n">
        <v>2</v>
      </c>
      <c r="L9" s="6" t="n">
        <v>1</v>
      </c>
      <c r="M9" s="6" t="n">
        <v>1</v>
      </c>
    </row>
    <row r="10">
      <c r="A10" s="6" t="inlineStr">
        <is>
          <t>Grant income recognised in the income statement</t>
        </is>
      </c>
      <c r="B10" s="6" t="n"/>
      <c r="C10" s="6" t="n"/>
      <c r="D10" s="6" t="n"/>
      <c r="E10" s="6" t="n"/>
      <c r="F10" s="6" t="n"/>
      <c r="G10" s="6" t="n">
        <v>-24</v>
      </c>
      <c r="H10" s="6" t="n">
        <v>-16</v>
      </c>
      <c r="I10" s="6" t="n"/>
      <c r="J10" s="6" t="n"/>
      <c r="K10" s="6" t="n"/>
      <c r="L10" s="6" t="n"/>
      <c r="M10" s="6" t="n"/>
    </row>
    <row r="11">
      <c r="A11" s="6" t="inlineStr">
        <is>
          <t>Amounts provided for (net of amounts released)</t>
        </is>
      </c>
      <c r="B11" s="6" t="n"/>
      <c r="C11" s="6" t="n"/>
      <c r="D11" s="6" t="n"/>
      <c r="E11" s="6" t="n"/>
      <c r="F11" s="6" t="n"/>
      <c r="G11" s="6" t="n">
        <v>8</v>
      </c>
      <c r="H11" s="6" t="n">
        <v>12</v>
      </c>
      <c r="I11" s="6" t="n"/>
      <c r="J11" s="6" t="n"/>
      <c r="K11" s="6" t="n"/>
      <c r="L11" s="6" t="n"/>
      <c r="M11" s="6" t="n"/>
    </row>
    <row r="12">
      <c r="A12" s="6" t="inlineStr">
        <is>
          <t>Gain on sale of securities and fair value gains on derivatives</t>
        </is>
      </c>
      <c r="B12" s="6" t="n"/>
      <c r="C12" s="6" t="n"/>
      <c r="D12" s="6" t="n"/>
      <c r="E12" s="6" t="n"/>
      <c r="F12" s="6" t="n"/>
      <c r="G12" s="6" t="n">
        <v>-73</v>
      </c>
      <c r="H12" s="6" t="n">
        <v>-2</v>
      </c>
      <c r="I12" s="6" t="n">
        <v>-11</v>
      </c>
      <c r="J12" s="6" t="n">
        <v>-4</v>
      </c>
      <c r="K12" s="6" t="n">
        <v>-5</v>
      </c>
      <c r="L12" s="6" t="n">
        <v>-6</v>
      </c>
      <c r="M12" s="6" t="n">
        <v>-5</v>
      </c>
    </row>
    <row r="13">
      <c r="A13" s="6" t="inlineStr">
        <is>
          <t>Accrued interest on and amortisation of investment securities</t>
        </is>
      </c>
      <c r="B13" s="6" t="n"/>
      <c r="C13" s="6" t="n"/>
      <c r="D13" s="6" t="n"/>
      <c r="E13" s="6" t="n"/>
      <c r="F13" s="6" t="n"/>
      <c r="G13" s="6" t="n">
        <v>3</v>
      </c>
      <c r="H13" s="6" t="n">
        <v>-8</v>
      </c>
      <c r="I13" s="6" t="n">
        <v>-7</v>
      </c>
      <c r="J13" s="6" t="n">
        <v>2</v>
      </c>
      <c r="K13" s="6" t="n">
        <v>-4</v>
      </c>
      <c r="L13" s="6" t="n">
        <v>9</v>
      </c>
      <c r="M13" s="6" t="n">
        <v>-4</v>
      </c>
    </row>
    <row r="14">
      <c r="A14" s="6" t="inlineStr">
        <is>
          <t>Adjustments for non-cash items</t>
        </is>
      </c>
      <c r="B14" s="6" t="n"/>
      <c r="C14" s="6" t="n"/>
      <c r="D14" s="6" t="n">
        <v>-376</v>
      </c>
      <c r="E14" s="6" t="n">
        <v>-259</v>
      </c>
      <c r="F14" s="6" t="n">
        <v>-132</v>
      </c>
      <c r="G14" s="6" t="n"/>
      <c r="H14" s="6" t="n"/>
      <c r="I14" s="6" t="n"/>
      <c r="J14" s="6" t="n"/>
      <c r="K14" s="6" t="n"/>
      <c r="L14" s="6" t="n"/>
      <c r="M14" s="6" t="n"/>
    </row>
    <row r="15">
      <c r="A15" s="6" t="inlineStr">
        <is>
          <t>Interest received</t>
        </is>
      </c>
      <c r="B15" s="6" t="n"/>
      <c r="C15" s="6" t="n"/>
      <c r="D15" s="6" t="n">
        <v>834</v>
      </c>
      <c r="E15" s="6" t="n">
        <v>538</v>
      </c>
      <c r="F15" s="6" t="n">
        <v>394</v>
      </c>
      <c r="G15" s="6" t="n"/>
      <c r="H15" s="6" t="n"/>
      <c r="I15" s="6" t="n"/>
      <c r="J15" s="6" t="n"/>
      <c r="K15" s="6" t="n"/>
      <c r="L15" s="6" t="n"/>
      <c r="M15" s="6" t="n"/>
    </row>
    <row r="16">
      <c r="A16" s="6" t="inlineStr">
        <is>
          <t>Interest paid</t>
        </is>
      </c>
      <c r="B16" s="6" t="n"/>
      <c r="C16" s="6" t="n"/>
      <c r="D16" s="6" t="n">
        <v>-370</v>
      </c>
      <c r="E16" s="6" t="n">
        <v>-124</v>
      </c>
      <c r="F16" s="6" t="n">
        <v>-126</v>
      </c>
      <c r="G16" s="6" t="n"/>
      <c r="H16" s="6" t="n"/>
      <c r="I16" s="6" t="n"/>
      <c r="J16" s="6" t="n"/>
      <c r="K16" s="6" t="n"/>
      <c r="L16" s="6" t="n"/>
      <c r="M16" s="6" t="n"/>
    </row>
    <row r="17">
      <c r="A17" s="6" t="inlineStr">
        <is>
          <t>Changes in loans and advances to customers</t>
        </is>
      </c>
      <c r="B17" s="6" t="n"/>
      <c r="C17" s="6" t="n"/>
      <c r="D17" s="6" t="n"/>
      <c r="E17" s="6" t="n"/>
      <c r="F17" s="6" t="n"/>
      <c r="G17" s="6" t="n">
        <v>2591</v>
      </c>
      <c r="H17" s="6" t="n">
        <v>-445</v>
      </c>
      <c r="I17" s="6" t="n"/>
      <c r="J17" s="6" t="n"/>
      <c r="K17" s="6" t="n"/>
      <c r="L17" s="6" t="n"/>
      <c r="M17" s="6" t="n"/>
    </row>
    <row r="18">
      <c r="A18" s="6" t="inlineStr">
        <is>
          <t>Changes in deposits from customers</t>
        </is>
      </c>
      <c r="B18" s="6" t="n"/>
      <c r="C18" s="6" t="n"/>
      <c r="D18" s="6" t="n"/>
      <c r="E18" s="6" t="n"/>
      <c r="F18" s="6" t="n"/>
      <c r="G18" s="6" t="n">
        <v>1595</v>
      </c>
      <c r="H18" s="6" t="n">
        <v>-1184</v>
      </c>
      <c r="I18" s="6" t="n"/>
      <c r="J18" s="6" t="n"/>
      <c r="K18" s="6" t="n"/>
      <c r="L18" s="6" t="n"/>
      <c r="M18" s="6" t="n"/>
    </row>
    <row r="19">
      <c r="A19" s="6" t="inlineStr">
        <is>
          <t>Changes in other operating assets</t>
        </is>
      </c>
      <c r="B19" s="6" t="n"/>
      <c r="C19" s="6" t="n"/>
      <c r="D19" s="6" t="n">
        <v>729</v>
      </c>
      <c r="E19" s="6" t="n">
        <v>-842</v>
      </c>
      <c r="F19" s="6" t="n">
        <v>2613</v>
      </c>
      <c r="G19" s="6" t="n">
        <v>-2820</v>
      </c>
      <c r="H19" s="6" t="n">
        <v>-26</v>
      </c>
      <c r="I19" s="6" t="n">
        <v>-4651</v>
      </c>
      <c r="J19" s="6" t="n">
        <v>-3755</v>
      </c>
      <c r="K19" s="6" t="n">
        <v>-2341</v>
      </c>
      <c r="L19" s="6" t="n">
        <v>-1971</v>
      </c>
      <c r="M19" s="6" t="n">
        <v>-856</v>
      </c>
    </row>
    <row r="20">
      <c r="A20" s="6" t="inlineStr">
        <is>
          <t>Changes in other operating liabilities</t>
        </is>
      </c>
      <c r="B20" s="6" t="n"/>
      <c r="C20" s="6" t="n"/>
      <c r="D20" s="6" t="n">
        <v>-251</v>
      </c>
      <c r="E20" s="6" t="n">
        <v>-409</v>
      </c>
      <c r="F20" s="6" t="n">
        <v>370</v>
      </c>
      <c r="G20" s="6" t="n">
        <v>-64</v>
      </c>
      <c r="H20" s="6" t="n">
        <v>-31</v>
      </c>
      <c r="I20" s="6" t="n">
        <v>4726</v>
      </c>
      <c r="J20" s="6" t="n">
        <v>5994</v>
      </c>
      <c r="K20" s="6" t="n">
        <v>3512</v>
      </c>
      <c r="L20" s="6" t="n">
        <v>2543</v>
      </c>
      <c r="M20" s="6" t="n">
        <v>1709</v>
      </c>
    </row>
    <row r="21">
      <c r="A21" s="5" t="inlineStr">
        <is>
          <t>Net cash inflows/(outflows) from operating activities</t>
        </is>
      </c>
      <c r="B21" s="5" t="n"/>
      <c r="C21" s="5" t="n"/>
      <c r="D21" s="5" t="n">
        <v>612</v>
      </c>
      <c r="E21" s="5" t="n">
        <v>-1167</v>
      </c>
      <c r="F21" s="5" t="n">
        <v>2874</v>
      </c>
      <c r="G21" s="5" t="n">
        <v>1041</v>
      </c>
      <c r="H21" s="5" t="n">
        <v>-1655</v>
      </c>
      <c r="I21" s="5" t="n">
        <v>153</v>
      </c>
      <c r="J21" s="5" t="n">
        <v>2294</v>
      </c>
      <c r="K21" s="5" t="n">
        <v>1169</v>
      </c>
      <c r="L21" s="5" t="n">
        <v>546</v>
      </c>
      <c r="M21" s="5" t="n">
        <v>810</v>
      </c>
    </row>
    <row r="22">
      <c r="A22" s="5" t="inlineStr">
        <is>
          <t>Cash flows from investing activities</t>
        </is>
      </c>
      <c r="B22" s="6" t="n"/>
      <c r="C22" s="6" t="n"/>
      <c r="D22" s="6" t="n"/>
      <c r="E22" s="6" t="n"/>
      <c r="F22" s="6" t="n"/>
      <c r="G22" s="6" t="n"/>
      <c r="H22" s="6" t="n"/>
      <c r="I22" s="6" t="n"/>
      <c r="J22" s="6" t="n"/>
      <c r="K22" s="6" t="n"/>
      <c r="L22" s="6" t="n"/>
      <c r="M22" s="6" t="n"/>
    </row>
    <row r="23">
      <c r="A23" s="6" t="inlineStr">
        <is>
          <t>Sales of investment securities</t>
        </is>
      </c>
      <c r="B23" s="6" t="n"/>
      <c r="C23" s="6" t="n"/>
      <c r="D23" s="6" t="n">
        <v>1870</v>
      </c>
      <c r="E23" s="6" t="n">
        <v>857</v>
      </c>
      <c r="F23" s="6" t="n">
        <v>1269</v>
      </c>
      <c r="G23" s="6" t="n">
        <v>615</v>
      </c>
      <c r="H23" s="6" t="n">
        <v>2193</v>
      </c>
      <c r="I23" s="6" t="n">
        <v>1522</v>
      </c>
      <c r="J23" s="6" t="n">
        <v>309</v>
      </c>
      <c r="K23" s="6" t="n">
        <v>2197</v>
      </c>
      <c r="L23" s="6" t="n">
        <v>911</v>
      </c>
      <c r="M23" s="6" t="n">
        <v>474</v>
      </c>
    </row>
    <row r="24">
      <c r="A24" s="6" t="inlineStr">
        <is>
          <t>Purchase of investment securities</t>
        </is>
      </c>
      <c r="B24" s="6" t="n"/>
      <c r="C24" s="6" t="n"/>
      <c r="D24" s="6" t="n">
        <v>-816</v>
      </c>
      <c r="E24" s="6" t="n">
        <v>-1206</v>
      </c>
      <c r="F24" s="6" t="n">
        <v>-3438</v>
      </c>
      <c r="G24" s="6" t="n">
        <v>-1460</v>
      </c>
      <c r="H24" s="6" t="n">
        <v>-618</v>
      </c>
      <c r="I24" s="6" t="n">
        <v>-1740</v>
      </c>
      <c r="J24" s="6" t="n">
        <v>-997</v>
      </c>
      <c r="K24" s="6" t="n">
        <v>-3403</v>
      </c>
      <c r="L24" s="6" t="n">
        <v>-1311</v>
      </c>
      <c r="M24" s="6" t="n">
        <v>-1376</v>
      </c>
    </row>
    <row r="25">
      <c r="A25" s="6" t="inlineStr">
        <is>
          <t>Purchase of property, plant and equipment</t>
        </is>
      </c>
      <c r="B25" s="6" t="n"/>
      <c r="C25" s="6" t="n"/>
      <c r="D25" s="6" t="n">
        <v>-12</v>
      </c>
      <c r="E25" s="6" t="n">
        <v>-29</v>
      </c>
      <c r="F25" s="6" t="n">
        <v>-41</v>
      </c>
      <c r="G25" s="6" t="n">
        <v>-29</v>
      </c>
      <c r="H25" s="6" t="n">
        <v>-120</v>
      </c>
      <c r="I25" s="6" t="n">
        <v>-150</v>
      </c>
      <c r="J25" s="6" t="n">
        <v>-100</v>
      </c>
      <c r="K25" s="6" t="n">
        <v>-98</v>
      </c>
      <c r="L25" s="6" t="n">
        <v>-50</v>
      </c>
      <c r="M25" s="6" t="n">
        <v>-41</v>
      </c>
    </row>
    <row r="26">
      <c r="A26" s="6" t="inlineStr">
        <is>
          <t>Proceeds from sale of property, plant and equipment and intangible assets</t>
        </is>
      </c>
      <c r="B26" s="6" t="n"/>
      <c r="C26" s="6" t="n"/>
      <c r="D26" s="6" t="n"/>
      <c r="E26" s="6" t="n"/>
      <c r="F26" s="6" t="n"/>
      <c r="G26" s="6" t="n"/>
      <c r="H26" s="6" t="n"/>
      <c r="I26" s="6" t="n"/>
      <c r="J26" s="6" t="n">
        <v>0</v>
      </c>
      <c r="K26" s="6" t="n">
        <v>0</v>
      </c>
      <c r="L26" s="6" t="n"/>
      <c r="M26" s="6" t="n"/>
    </row>
    <row r="27">
      <c r="A27" s="6" t="inlineStr">
        <is>
          <t>Purchase and development of intangible assets</t>
        </is>
      </c>
      <c r="B27" s="6" t="n"/>
      <c r="C27" s="6" t="n"/>
      <c r="D27" s="6" t="n">
        <v>-26</v>
      </c>
      <c r="E27" s="6" t="n">
        <v>-24</v>
      </c>
      <c r="F27" s="6" t="n">
        <v>-64</v>
      </c>
      <c r="G27" s="6" t="n">
        <v>-81</v>
      </c>
      <c r="H27" s="6" t="n">
        <v>-79</v>
      </c>
      <c r="I27" s="6" t="n">
        <v>-75</v>
      </c>
      <c r="J27" s="6" t="n">
        <v>-70</v>
      </c>
      <c r="K27" s="6" t="n">
        <v>-45</v>
      </c>
      <c r="L27" s="6" t="n">
        <v>-30</v>
      </c>
      <c r="M27" s="6" t="n">
        <v>-13</v>
      </c>
    </row>
    <row r="28">
      <c r="A28" s="6" t="inlineStr">
        <is>
          <t>Acquisition of subsidiary, net of cash acquired</t>
        </is>
      </c>
      <c r="B28" s="6" t="n"/>
      <c r="C28" s="6" t="n"/>
      <c r="D28" s="6" t="n"/>
      <c r="E28" s="6" t="n"/>
      <c r="F28" s="6" t="n"/>
      <c r="G28" s="6" t="n">
        <v>-1</v>
      </c>
      <c r="H28" s="6" t="n"/>
      <c r="I28" s="6" t="n"/>
      <c r="J28" s="6" t="n"/>
      <c r="K28" s="6" t="n"/>
      <c r="L28" s="6" t="n"/>
      <c r="M28" s="6" t="n"/>
    </row>
    <row r="29">
      <c r="A29" s="6" t="inlineStr">
        <is>
          <t>Dividends received from subsidiaries</t>
        </is>
      </c>
      <c r="B29" s="6" t="n"/>
      <c r="C29" s="6" t="n"/>
      <c r="D29" s="6" t="n">
        <v>12</v>
      </c>
      <c r="E29" s="6" t="n"/>
      <c r="F29" s="6" t="n"/>
      <c r="G29" s="6" t="n"/>
      <c r="H29" s="6" t="n"/>
      <c r="I29" s="6" t="n"/>
      <c r="J29" s="6" t="n"/>
      <c r="K29" s="6" t="n"/>
      <c r="L29" s="6" t="n"/>
      <c r="M29" s="6" t="n"/>
    </row>
    <row r="30">
      <c r="A30" s="5" t="inlineStr">
        <is>
          <t>Net cash inflows/(outflows) from investing activities</t>
        </is>
      </c>
      <c r="B30" s="5" t="n"/>
      <c r="C30" s="5" t="n"/>
      <c r="D30" s="5" t="n">
        <v>1028</v>
      </c>
      <c r="E30" s="5" t="n">
        <v>-402</v>
      </c>
      <c r="F30" s="5" t="n">
        <v>-2274</v>
      </c>
      <c r="G30" s="5" t="n">
        <v>-956</v>
      </c>
      <c r="H30" s="5" t="n">
        <v>1376</v>
      </c>
      <c r="I30" s="5" t="n">
        <v>-443</v>
      </c>
      <c r="J30" s="5" t="n">
        <v>-858</v>
      </c>
      <c r="K30" s="5" t="n">
        <v>-1349</v>
      </c>
      <c r="L30" s="5" t="n">
        <v>-480</v>
      </c>
      <c r="M30" s="5" t="n">
        <v>-957</v>
      </c>
    </row>
    <row r="31">
      <c r="A31" s="5" t="inlineStr">
        <is>
          <t>Cash flows from financing activities</t>
        </is>
      </c>
      <c r="B31" s="6" t="n"/>
      <c r="C31" s="6" t="n"/>
      <c r="D31" s="6" t="n"/>
      <c r="E31" s="6" t="n"/>
      <c r="F31" s="6" t="n"/>
      <c r="G31" s="6" t="n"/>
      <c r="H31" s="6" t="n"/>
      <c r="I31" s="6" t="n"/>
      <c r="J31" s="6" t="n"/>
      <c r="K31" s="6" t="n"/>
      <c r="L31" s="6" t="n"/>
      <c r="M31" s="6" t="n"/>
    </row>
    <row r="32">
      <c r="A32" s="6" t="inlineStr">
        <is>
          <t>Repayment of capital elements of leases</t>
        </is>
      </c>
      <c r="B32" s="6" t="n"/>
      <c r="C32" s="6" t="n"/>
      <c r="D32" s="6" t="n">
        <v>-23</v>
      </c>
      <c r="E32" s="6" t="n">
        <v>-25</v>
      </c>
      <c r="F32" s="6" t="n">
        <v>-27</v>
      </c>
      <c r="G32" s="6" t="n">
        <v>-31</v>
      </c>
      <c r="H32" s="6" t="n">
        <v>-25</v>
      </c>
      <c r="I32" s="6" t="n"/>
      <c r="J32" s="6" t="n"/>
      <c r="K32" s="6" t="n"/>
      <c r="L32" s="6" t="n"/>
      <c r="M32" s="6" t="n"/>
    </row>
    <row r="33">
      <c r="A33" s="6" t="inlineStr">
        <is>
          <t>Issuance of new shares</t>
        </is>
      </c>
      <c r="B33" s="6" t="n"/>
      <c r="C33" s="6" t="n"/>
      <c r="D33" s="6" t="n">
        <v>144</v>
      </c>
      <c r="E33" s="6" t="n"/>
      <c r="F33" s="6" t="n"/>
      <c r="G33" s="6" t="n"/>
      <c r="H33" s="6" t="n">
        <v>375</v>
      </c>
      <c r="I33" s="6" t="n">
        <v>304</v>
      </c>
      <c r="J33" s="6" t="n">
        <v>279</v>
      </c>
      <c r="K33" s="6" t="n">
        <v>404</v>
      </c>
      <c r="L33" s="6" t="n"/>
      <c r="M33" s="6" t="n">
        <v>99</v>
      </c>
    </row>
    <row r="34">
      <c r="A34" s="6" t="inlineStr">
        <is>
          <t>Cost of share/debt issues</t>
        </is>
      </c>
      <c r="B34" s="6" t="n"/>
      <c r="C34" s="6" t="n"/>
      <c r="D34" s="6" t="n"/>
      <c r="E34" s="6" t="n"/>
      <c r="F34" s="6" t="n"/>
      <c r="G34" s="6" t="n"/>
      <c r="H34" s="6" t="n">
        <v>-16</v>
      </c>
      <c r="I34" s="6" t="n">
        <v>-3</v>
      </c>
      <c r="J34" s="6" t="n">
        <v>-3</v>
      </c>
      <c r="K34" s="6" t="n">
        <v>-5</v>
      </c>
      <c r="L34" s="6" t="n"/>
      <c r="M34" s="6" t="n">
        <v>-1</v>
      </c>
    </row>
    <row r="35">
      <c r="A35" s="6" t="inlineStr">
        <is>
          <t>Issuance of medium-term notes/subordinated debt (net of costs)</t>
        </is>
      </c>
      <c r="B35" s="6" t="n"/>
      <c r="C35" s="6" t="n"/>
      <c r="D35" s="6" t="n">
        <v>175</v>
      </c>
      <c r="E35" s="6" t="n"/>
      <c r="F35" s="6" t="n"/>
      <c r="G35" s="6" t="n"/>
      <c r="H35" s="6" t="n">
        <v>350</v>
      </c>
      <c r="I35" s="6" t="n">
        <v>250</v>
      </c>
      <c r="J35" s="6" t="n"/>
      <c r="K35" s="6" t="n"/>
      <c r="L35" s="6" t="n"/>
      <c r="M35" s="6" t="n"/>
    </row>
    <row r="36">
      <c r="A36" s="6" t="inlineStr">
        <is>
          <t>Cost of debt issued</t>
        </is>
      </c>
      <c r="B36" s="6" t="n"/>
      <c r="C36" s="6" t="n"/>
      <c r="D36" s="6" t="n"/>
      <c r="E36" s="6" t="n"/>
      <c r="F36" s="6" t="n"/>
      <c r="G36" s="6" t="n"/>
      <c r="H36" s="6" t="n">
        <v>-8</v>
      </c>
      <c r="I36" s="6" t="n">
        <v>-1</v>
      </c>
      <c r="J36" s="6" t="n"/>
      <c r="K36" s="6" t="n"/>
      <c r="L36" s="6" t="n"/>
      <c r="M36" s="6" t="n"/>
    </row>
    <row r="37">
      <c r="A37" s="6" t="inlineStr">
        <is>
          <t>Grant (repaid)/received</t>
        </is>
      </c>
      <c r="B37" s="6" t="n"/>
      <c r="C37" s="6" t="n"/>
      <c r="D37" s="6" t="n"/>
      <c r="E37" s="6" t="n"/>
      <c r="F37" s="6" t="n"/>
      <c r="G37" s="6" t="n">
        <v>-50</v>
      </c>
      <c r="H37" s="6" t="n">
        <v>120</v>
      </c>
      <c r="I37" s="6" t="n"/>
      <c r="J37" s="6" t="n"/>
      <c r="K37" s="6" t="n"/>
      <c r="L37" s="6" t="n"/>
      <c r="M37" s="6" t="n"/>
    </row>
    <row r="38">
      <c r="A38" s="5" t="inlineStr">
        <is>
          <t>Net cash inflows/(outflows) from financing activities</t>
        </is>
      </c>
      <c r="B38" s="5" t="n"/>
      <c r="C38" s="5" t="n"/>
      <c r="D38" s="5" t="n">
        <v>296</v>
      </c>
      <c r="E38" s="5" t="n">
        <v>-25</v>
      </c>
      <c r="F38" s="5" t="n">
        <v>-27</v>
      </c>
      <c r="G38" s="5" t="n">
        <v>-81</v>
      </c>
      <c r="H38" s="5" t="n">
        <v>796</v>
      </c>
      <c r="I38" s="5" t="n">
        <v>550</v>
      </c>
      <c r="J38" s="5" t="n">
        <v>276</v>
      </c>
      <c r="K38" s="5" t="n">
        <v>398</v>
      </c>
      <c r="L38" s="5" t="n">
        <v>0</v>
      </c>
      <c r="M38" s="5" t="n">
        <v>99</v>
      </c>
    </row>
    <row r="39">
      <c r="A39" s="5" t="inlineStr">
        <is>
          <t>Net increase/(decrease) in cash and cash equivalents</t>
        </is>
      </c>
      <c r="B39" s="5" t="n"/>
      <c r="C39" s="5" t="n"/>
      <c r="D39" s="5" t="n">
        <v>1936</v>
      </c>
      <c r="E39" s="5" t="n">
        <v>-1594</v>
      </c>
      <c r="F39" s="5" t="n">
        <v>573</v>
      </c>
      <c r="G39" s="5" t="n">
        <v>4</v>
      </c>
      <c r="H39" s="5" t="n">
        <v>517</v>
      </c>
      <c r="I39" s="5" t="n">
        <v>260</v>
      </c>
      <c r="J39" s="5" t="n">
        <v>1712</v>
      </c>
      <c r="K39" s="5" t="n">
        <v>218</v>
      </c>
      <c r="L39" s="5" t="n">
        <v>66</v>
      </c>
      <c r="M39" s="5" t="n">
        <v>-47</v>
      </c>
    </row>
    <row r="40">
      <c r="A40" s="6" t="inlineStr">
        <is>
          <t>Cash and cash equivalents at start of year</t>
        </is>
      </c>
      <c r="B40" s="6" t="n"/>
      <c r="C40" s="6" t="n"/>
      <c r="D40" s="6" t="n">
        <v>1953</v>
      </c>
      <c r="E40" s="6" t="n">
        <v>3547</v>
      </c>
      <c r="F40" s="6" t="n">
        <v>2974</v>
      </c>
      <c r="G40" s="6" t="n">
        <v>2989</v>
      </c>
      <c r="H40" s="6" t="n">
        <v>2472</v>
      </c>
      <c r="I40" s="6" t="n">
        <v>2212</v>
      </c>
      <c r="J40" s="6" t="n">
        <v>500</v>
      </c>
      <c r="K40" s="6" t="n">
        <v>282</v>
      </c>
      <c r="L40" s="6" t="n">
        <v>216</v>
      </c>
      <c r="M40" s="6" t="n">
        <v>263</v>
      </c>
    </row>
    <row r="41">
      <c r="A41" s="5" t="inlineStr">
        <is>
          <t>Cash and cash equivalents at end of year</t>
        </is>
      </c>
      <c r="B41" s="5" t="n"/>
      <c r="C41" s="5" t="n"/>
      <c r="D41" s="5" t="n">
        <v>3889</v>
      </c>
      <c r="E41" s="5" t="n">
        <v>1953</v>
      </c>
      <c r="F41" s="5" t="n">
        <v>3547</v>
      </c>
      <c r="G41" s="5" t="n">
        <v>2993</v>
      </c>
      <c r="H41" s="5" t="n">
        <v>2989</v>
      </c>
      <c r="I41" s="5" t="n">
        <v>2472</v>
      </c>
      <c r="J41" s="5" t="n">
        <v>2212</v>
      </c>
      <c r="K41" s="5" t="n">
        <v>500</v>
      </c>
      <c r="L41" s="5" t="n">
        <v>282</v>
      </c>
      <c r="M41" s="5" t="n">
        <v>216</v>
      </c>
    </row>
    <row r="43" ht="260" customHeight="1">
      <c r="A43" s="8" t="inlineStr">
        <is>
          <t>ROUNDING NOTE (HD-049): FY2014-FY2017 source figures were originally reported in £'000 and are converted here to whole £m per line item; the reconciliation totals use each year's own as-reported £m-equivalent total, so summing the independently-rounded component rows can be off by £1m from the total in a few years (FY2014, FY2016, FY2017) - this is a rounding artifact of the conversion, not a data error.
Sources - Metro Bank PLC Company/standalone cash flows, £m:
FY2023 &amp; FY2022: Metro Bank PLC Annual Report 2023, p.147 (Company cash flow statement) - https://www.metrobankonline.co.uk/globalassets/documents/customer_documents/business-and-commercial/metro-bank-plc-annual-report-2023.pdf
FY2022 &amp; FY2021: Metro Bank PLC Annual Report and Accounts 2022, p.185 (Company column) - https://www.metrobankonline.co.uk/globalassets/documents/customer_documents/business-and-commercial/metro-bank-annual-report-and-accounts-2022.pdf.pdf
FY2021: Metro Bank PLC Annual Report and Accounts 2021, p.165 (Company column)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HD-049: FY2014-FY2020 reproduce each year's own Consolidated Cash Flow Statement line items (impairment/write-offs, D&amp;A, share option charge, gain on sale, accrued interest, lease interest, grant income, amounts provided for) rather than collapsing them into 'Adjustments for non-cash items' as the Company statement does for FY2021-FY2023 - both presentations are as-reported, not reclassified by this workbook.</t>
        </is>
      </c>
    </row>
  </sheetData>
  <mergeCells count="1">
    <mergeCell ref="A43:M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Asset Quality</t>
        </is>
      </c>
    </row>
    <row r="2">
      <c r="A2" s="2" t="inlineStr">
        <is>
          <t>Group/consolidated basis, £m (Group loans and advances to customers ties exactly to the Consolidated Balance Sheet, not the Company balance sheet above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by portfolio, Group basis</t>
        </is>
      </c>
      <c r="B4" s="6" t="n"/>
      <c r="C4" s="6" t="n"/>
      <c r="D4" s="6" t="n"/>
      <c r="E4" s="6" t="n"/>
      <c r="F4" s="6" t="n"/>
      <c r="G4" s="6" t="n"/>
      <c r="H4" s="6" t="n"/>
      <c r="I4" s="6" t="n"/>
      <c r="J4" s="6" t="n"/>
      <c r="K4" s="6" t="n"/>
      <c r="L4" s="6" t="n"/>
      <c r="M4" s="6" t="n"/>
    </row>
    <row r="5">
      <c r="A5" s="6" t="inlineStr">
        <is>
          <t>Retail mortgages</t>
        </is>
      </c>
      <c r="B5" s="6" t="n">
        <v>4940</v>
      </c>
      <c r="C5" s="6" t="n">
        <v>5145</v>
      </c>
      <c r="D5" s="6" t="n">
        <v>7817</v>
      </c>
      <c r="E5" s="6" t="n">
        <v>7649</v>
      </c>
      <c r="F5" s="6" t="n">
        <v>6723</v>
      </c>
      <c r="G5" s="6" t="n"/>
      <c r="H5" s="6" t="n"/>
      <c r="I5" s="6" t="n"/>
      <c r="J5" s="6" t="n"/>
      <c r="K5" s="6" t="n"/>
      <c r="L5" s="6" t="n"/>
      <c r="M5" s="6" t="n"/>
    </row>
    <row r="6">
      <c r="A6" s="6" t="inlineStr">
        <is>
          <t>Consumer lending</t>
        </is>
      </c>
      <c r="B6" s="6" t="n">
        <v>114</v>
      </c>
      <c r="C6" s="6" t="n">
        <v>745</v>
      </c>
      <c r="D6" s="6" t="n">
        <v>1297</v>
      </c>
      <c r="E6" s="6" t="n">
        <v>1480</v>
      </c>
      <c r="F6" s="6" t="n">
        <v>890</v>
      </c>
      <c r="G6" s="6" t="n"/>
      <c r="H6" s="6" t="n"/>
      <c r="I6" s="6" t="n"/>
      <c r="J6" s="6" t="n"/>
      <c r="K6" s="6" t="n"/>
      <c r="L6" s="6" t="n"/>
      <c r="M6" s="6" t="n"/>
    </row>
    <row r="7">
      <c r="A7" s="6" t="inlineStr">
        <is>
          <t>Commercial / corporate and commercial lending</t>
        </is>
      </c>
      <c r="B7" s="6" t="n">
        <v>3939</v>
      </c>
      <c r="C7" s="6" t="n">
        <v>3314</v>
      </c>
      <c r="D7" s="6" t="n">
        <v>3382</v>
      </c>
      <c r="E7" s="6" t="n">
        <v>4160</v>
      </c>
      <c r="F7" s="6" t="n">
        <v>4846</v>
      </c>
      <c r="G7" s="6" t="n"/>
      <c r="H7" s="6" t="n"/>
      <c r="I7" s="6" t="n"/>
      <c r="J7" s="6" t="n"/>
      <c r="K7" s="6" t="n"/>
      <c r="L7" s="6" t="n"/>
      <c r="M7" s="6" t="n"/>
    </row>
    <row r="8">
      <c r="A8" s="5" t="inlineStr">
        <is>
          <t>Total loans and advances to customers, gross</t>
        </is>
      </c>
      <c r="B8" s="5" t="n">
        <v>8993</v>
      </c>
      <c r="C8" s="5" t="n">
        <v>9204</v>
      </c>
      <c r="D8" s="5" t="n">
        <v>12496</v>
      </c>
      <c r="E8" s="5" t="n">
        <v>13289</v>
      </c>
      <c r="F8" s="5" t="n">
        <v>12459</v>
      </c>
      <c r="G8" s="5" t="n"/>
      <c r="H8" s="5" t="n"/>
      <c r="I8" s="5" t="n"/>
      <c r="J8" s="5" t="n"/>
      <c r="K8" s="5" t="n"/>
      <c r="L8" s="5" t="n"/>
      <c r="M8" s="5" t="n"/>
    </row>
    <row r="9">
      <c r="A9" s="6" t="inlineStr">
        <is>
          <t>ECL allowance - retail mortgages</t>
        </is>
      </c>
      <c r="B9" s="6" t="n">
        <v>-16</v>
      </c>
      <c r="C9" s="6" t="n">
        <v>-15</v>
      </c>
      <c r="D9" s="6" t="n">
        <v>-19</v>
      </c>
      <c r="E9" s="6" t="n">
        <v>-20</v>
      </c>
      <c r="F9" s="6" t="n">
        <v>-19</v>
      </c>
      <c r="G9" s="6" t="n"/>
      <c r="H9" s="6" t="n"/>
      <c r="I9" s="6" t="n"/>
      <c r="J9" s="6" t="n"/>
      <c r="K9" s="6" t="n"/>
      <c r="L9" s="6" t="n"/>
      <c r="M9" s="6" t="n"/>
    </row>
    <row r="10">
      <c r="A10" s="6" t="inlineStr">
        <is>
          <t>ECL allowance - consumer lending</t>
        </is>
      </c>
      <c r="B10" s="6" t="n">
        <v>-67</v>
      </c>
      <c r="C10" s="6" t="n">
        <v>-108</v>
      </c>
      <c r="D10" s="6" t="n">
        <v>-108</v>
      </c>
      <c r="E10" s="6" t="n">
        <v>-75</v>
      </c>
      <c r="F10" s="6" t="n">
        <v>-42</v>
      </c>
      <c r="G10" s="6" t="n"/>
      <c r="H10" s="6" t="n"/>
      <c r="I10" s="6" t="n"/>
      <c r="J10" s="6" t="n"/>
      <c r="K10" s="6" t="n"/>
      <c r="L10" s="6" t="n"/>
      <c r="M10" s="6" t="n"/>
    </row>
    <row r="11">
      <c r="A11" s="6" t="inlineStr">
        <is>
          <t>ECL allowance - commercial / corporate and commercial lending</t>
        </is>
      </c>
      <c r="B11" s="6" t="n">
        <v>-87</v>
      </c>
      <c r="C11" s="6" t="n">
        <v>-68</v>
      </c>
      <c r="D11" s="6" t="n">
        <v>-72</v>
      </c>
      <c r="E11" s="6" t="n">
        <v>-92</v>
      </c>
      <c r="F11" s="6" t="n">
        <v>-108</v>
      </c>
      <c r="G11" s="6" t="n"/>
      <c r="H11" s="6" t="n"/>
      <c r="I11" s="6" t="n"/>
      <c r="J11" s="6" t="n"/>
      <c r="K11" s="6" t="n"/>
      <c r="L11" s="6" t="n"/>
      <c r="M11" s="6" t="n"/>
    </row>
    <row r="12">
      <c r="A12" s="5" t="inlineStr">
        <is>
          <t>Total ECL allowance</t>
        </is>
      </c>
      <c r="B12" s="5" t="n">
        <v>-170</v>
      </c>
      <c r="C12" s="5" t="n">
        <v>-191</v>
      </c>
      <c r="D12" s="5" t="n">
        <v>-199</v>
      </c>
      <c r="E12" s="5" t="n">
        <v>-187</v>
      </c>
      <c r="F12" s="5" t="n">
        <v>-169</v>
      </c>
      <c r="G12" s="5" t="n"/>
      <c r="H12" s="5" t="n"/>
      <c r="I12" s="5" t="n"/>
      <c r="J12" s="5" t="n"/>
      <c r="K12" s="5" t="n"/>
      <c r="L12" s="5" t="n"/>
      <c r="M12" s="5" t="n"/>
    </row>
    <row r="13">
      <c r="A13" s="5" t="inlineStr">
        <is>
          <t>Total loans and advances to customers, net</t>
        </is>
      </c>
      <c r="B13" s="5" t="n">
        <v>8823</v>
      </c>
      <c r="C13" s="5" t="n">
        <v>9013</v>
      </c>
      <c r="D13" s="5" t="n">
        <v>12297</v>
      </c>
      <c r="E13" s="5" t="n">
        <v>13102</v>
      </c>
      <c r="F13" s="5" t="n">
        <v>12290</v>
      </c>
      <c r="G13" s="5" t="n"/>
      <c r="H13" s="5" t="n"/>
      <c r="I13" s="5" t="n"/>
      <c r="J13" s="5" t="n"/>
      <c r="K13" s="5" t="n"/>
      <c r="L13" s="5" t="n"/>
      <c r="M13" s="5" t="n"/>
    </row>
    <row r="14">
      <c r="A14" s="5" t="inlineStr">
        <is>
          <t>IFRS 9 stage split and coverage, portfolio-total level</t>
        </is>
      </c>
      <c r="B14" s="6" t="n"/>
      <c r="C14" s="6" t="n"/>
      <c r="D14" s="6" t="n"/>
      <c r="E14" s="6" t="n"/>
      <c r="F14" s="6" t="n"/>
      <c r="G14" s="6" t="n"/>
      <c r="H14" s="6" t="n"/>
      <c r="I14" s="6" t="n"/>
      <c r="J14" s="6" t="n"/>
      <c r="K14" s="6" t="n"/>
      <c r="L14" s="6" t="n"/>
      <c r="M14" s="6" t="n"/>
    </row>
    <row r="15">
      <c r="A15" s="6" t="inlineStr">
        <is>
          <t>Stage 1, gross carrying amount</t>
        </is>
      </c>
      <c r="B15" s="6" t="n">
        <v>7819</v>
      </c>
      <c r="C15" s="6" t="n">
        <v>7723</v>
      </c>
      <c r="D15" s="6" t="n"/>
      <c r="E15" s="6" t="n"/>
      <c r="F15" s="6" t="n"/>
      <c r="G15" s="6" t="n"/>
      <c r="H15" s="6" t="n"/>
      <c r="I15" s="6" t="n"/>
      <c r="J15" s="6" t="n"/>
      <c r="K15" s="6" t="n"/>
      <c r="L15" s="6" t="n"/>
      <c r="M15" s="6" t="n"/>
    </row>
    <row r="16">
      <c r="A16" s="6" t="inlineStr">
        <is>
          <t>Stage 2, gross carrying amount</t>
        </is>
      </c>
      <c r="B16" s="6" t="n">
        <v>713</v>
      </c>
      <c r="C16" s="6" t="n">
        <v>978</v>
      </c>
      <c r="D16" s="6" t="n"/>
      <c r="E16" s="6" t="n"/>
      <c r="F16" s="6" t="n"/>
      <c r="G16" s="6" t="n"/>
      <c r="H16" s="6" t="n"/>
      <c r="I16" s="6" t="n"/>
      <c r="J16" s="6" t="n"/>
      <c r="K16" s="6" t="n"/>
      <c r="L16" s="6" t="n"/>
      <c r="M16" s="6" t="n"/>
    </row>
    <row r="17">
      <c r="A17" s="6" t="inlineStr">
        <is>
          <t>Stage 3, gross carrying amount</t>
        </is>
      </c>
      <c r="B17" s="6" t="n">
        <v>462</v>
      </c>
      <c r="C17" s="6" t="n">
        <v>504</v>
      </c>
      <c r="D17" s="6" t="n"/>
      <c r="E17" s="6" t="n"/>
      <c r="F17" s="6" t="n"/>
      <c r="G17" s="6" t="n"/>
      <c r="H17" s="6" t="n"/>
      <c r="I17" s="6" t="n"/>
      <c r="J17" s="6" t="n"/>
      <c r="K17" s="6" t="n"/>
      <c r="L17" s="6" t="n"/>
      <c r="M17" s="6" t="n"/>
    </row>
    <row r="18">
      <c r="A18" s="6" t="inlineStr">
        <is>
          <t>% loans in Stage 2</t>
        </is>
      </c>
      <c r="B18" s="6" t="inlineStr">
        <is>
          <t>7.9%</t>
        </is>
      </c>
      <c r="C18" s="6" t="inlineStr">
        <is>
          <t>11%</t>
        </is>
      </c>
      <c r="D18" s="6" t="inlineStr">
        <is>
          <t>12%</t>
        </is>
      </c>
      <c r="E18" s="6" t="inlineStr">
        <is>
          <t>16%</t>
        </is>
      </c>
      <c r="F18" s="6" t="inlineStr">
        <is>
          <t>15%</t>
        </is>
      </c>
      <c r="G18" s="6" t="n"/>
      <c r="H18" s="6" t="n"/>
      <c r="I18" s="6" t="n"/>
      <c r="J18" s="6" t="n"/>
      <c r="K18" s="6" t="n"/>
      <c r="L18" s="6" t="n"/>
      <c r="M18" s="6" t="n"/>
    </row>
    <row r="19">
      <c r="A19" s="6" t="inlineStr">
        <is>
          <t>% loans in Stage 3</t>
        </is>
      </c>
      <c r="B19" s="6" t="inlineStr">
        <is>
          <t>5.1%</t>
        </is>
      </c>
      <c r="C19" s="6" t="inlineStr">
        <is>
          <t>5%</t>
        </is>
      </c>
      <c r="D19" s="6" t="inlineStr">
        <is>
          <t>3%</t>
        </is>
      </c>
      <c r="E19" s="6" t="inlineStr">
        <is>
          <t>3%</t>
        </is>
      </c>
      <c r="F19" s="6" t="inlineStr">
        <is>
          <t>4%</t>
        </is>
      </c>
      <c r="G19" s="6" t="n"/>
      <c r="H19" s="6" t="n"/>
      <c r="I19" s="6" t="n"/>
      <c r="J19" s="6" t="n"/>
      <c r="K19" s="6" t="n"/>
      <c r="L19" s="6" t="n"/>
      <c r="M19" s="6" t="n"/>
    </row>
    <row r="20">
      <c r="A20" s="6" t="inlineStr">
        <is>
          <t>Coverage ratio (ECL allowance / gross lending, including Stage 3)</t>
        </is>
      </c>
      <c r="B20" s="6" t="inlineStr">
        <is>
          <t>1.89%</t>
        </is>
      </c>
      <c r="C20" s="6" t="inlineStr">
        <is>
          <t>2.07%</t>
        </is>
      </c>
      <c r="D20" s="6" t="inlineStr">
        <is>
          <t>1.59%</t>
        </is>
      </c>
      <c r="E20" s="6" t="inlineStr">
        <is>
          <t>1.41%</t>
        </is>
      </c>
      <c r="F20" s="6" t="inlineStr">
        <is>
          <t>1.36%</t>
        </is>
      </c>
      <c r="G20" s="6" t="n"/>
      <c r="H20" s="6" t="n"/>
      <c r="I20" s="6" t="n"/>
      <c r="J20" s="6" t="n"/>
      <c r="K20" s="6" t="n"/>
      <c r="L20" s="6" t="n"/>
      <c r="M20" s="6" t="n"/>
    </row>
    <row r="21">
      <c r="A21" s="6" t="inlineStr">
        <is>
          <t>90+ days past due</t>
        </is>
      </c>
      <c r="B21" s="6" t="n"/>
      <c r="C21" s="6" t="inlineStr">
        <is>
          <t>3%</t>
        </is>
      </c>
      <c r="D21" s="6" t="inlineStr">
        <is>
          <t>2%</t>
        </is>
      </c>
      <c r="E21" s="6" t="inlineStr">
        <is>
          <t>1%</t>
        </is>
      </c>
      <c r="F21" s="6" t="inlineStr">
        <is>
          <t>2%</t>
        </is>
      </c>
      <c r="G21" s="6" t="n"/>
      <c r="H21" s="6" t="n"/>
      <c r="I21" s="6" t="n"/>
      <c r="J21" s="6" t="n"/>
      <c r="K21" s="6" t="n"/>
      <c r="L21" s="6" t="n"/>
      <c r="M21" s="6" t="n"/>
    </row>
    <row r="22">
      <c r="A22" s="5" t="inlineStr">
        <is>
          <t>Non-performing loans (NPLs) by portfolio</t>
        </is>
      </c>
      <c r="B22" s="6" t="n"/>
      <c r="C22" s="6" t="n"/>
      <c r="D22" s="6" t="n"/>
      <c r="E22" s="6" t="n"/>
      <c r="F22" s="6" t="n"/>
      <c r="G22" s="6" t="n"/>
      <c r="H22" s="6" t="n"/>
      <c r="I22" s="6" t="n"/>
      <c r="J22" s="6" t="n"/>
      <c r="K22" s="6" t="n"/>
      <c r="L22" s="6" t="n"/>
      <c r="M22" s="6" t="n"/>
    </row>
    <row r="23">
      <c r="A23" s="6" t="inlineStr">
        <is>
          <t>Retail mortgages NPLs</t>
        </is>
      </c>
      <c r="B23" s="6" t="n">
        <v>220</v>
      </c>
      <c r="C23" s="6" t="n">
        <v>203</v>
      </c>
      <c r="D23" s="6" t="n">
        <v>146</v>
      </c>
      <c r="E23" s="6" t="n">
        <v>111</v>
      </c>
      <c r="F23" s="6" t="n">
        <v>114</v>
      </c>
      <c r="G23" s="6" t="n">
        <v>118</v>
      </c>
      <c r="H23" s="6" t="n">
        <v>25</v>
      </c>
      <c r="I23" s="6" t="n">
        <v>9</v>
      </c>
      <c r="J23" s="6" t="n"/>
      <c r="K23" s="6" t="n"/>
      <c r="L23" s="6" t="n"/>
      <c r="M23" s="6" t="n"/>
    </row>
    <row r="24">
      <c r="A24" s="6" t="inlineStr">
        <is>
          <t>Consumer NPLs</t>
        </is>
      </c>
      <c r="B24" s="6" t="n">
        <v>74</v>
      </c>
      <c r="C24" s="6" t="n">
        <v>97</v>
      </c>
      <c r="D24" s="6" t="n">
        <v>77</v>
      </c>
      <c r="E24" s="6" t="n">
        <v>50</v>
      </c>
      <c r="F24" s="6" t="n">
        <v>21</v>
      </c>
      <c r="G24" s="6" t="n">
        <v>13</v>
      </c>
      <c r="H24" s="6" t="n">
        <v>10</v>
      </c>
      <c r="I24" s="6" t="n">
        <v>5</v>
      </c>
      <c r="J24" s="6" t="n"/>
      <c r="K24" s="6" t="n"/>
      <c r="L24" s="6" t="n"/>
      <c r="M24" s="6" t="n"/>
    </row>
    <row r="25">
      <c r="A25" s="6" t="inlineStr">
        <is>
          <t>Commercial / corporate and commercial NPLs</t>
        </is>
      </c>
      <c r="B25" s="6" t="n">
        <v>168</v>
      </c>
      <c r="C25" s="6" t="n">
        <v>204</v>
      </c>
      <c r="D25" s="6" t="n">
        <v>166</v>
      </c>
      <c r="E25" s="6" t="n">
        <v>191</v>
      </c>
      <c r="F25" s="6" t="n">
        <v>327</v>
      </c>
      <c r="G25" s="6" t="n">
        <v>127</v>
      </c>
      <c r="H25" s="6" t="n">
        <v>42</v>
      </c>
      <c r="I25" s="6" t="n">
        <v>7</v>
      </c>
      <c r="J25" s="6" t="n"/>
      <c r="K25" s="6" t="n"/>
      <c r="L25" s="6" t="n"/>
      <c r="M25" s="6" t="n"/>
    </row>
    <row r="26">
      <c r="A26" s="5" t="inlineStr">
        <is>
          <t>Total NPLs</t>
        </is>
      </c>
      <c r="B26" s="5" t="n">
        <v>462</v>
      </c>
      <c r="C26" s="5" t="n">
        <v>504</v>
      </c>
      <c r="D26" s="5" t="n">
        <v>389</v>
      </c>
      <c r="E26" s="5" t="n">
        <v>352</v>
      </c>
      <c r="F26" s="5" t="n">
        <v>462</v>
      </c>
      <c r="G26" s="5" t="n">
        <v>258</v>
      </c>
      <c r="H26" s="5" t="n">
        <v>77</v>
      </c>
      <c r="I26" s="5" t="n">
        <v>21</v>
      </c>
      <c r="J26" s="5" t="n"/>
      <c r="K26" s="5" t="n"/>
      <c r="L26" s="5" t="n"/>
      <c r="M26" s="5" t="n"/>
    </row>
    <row r="27">
      <c r="A27" s="6" t="inlineStr">
        <is>
          <t>Total NPL ratio</t>
        </is>
      </c>
      <c r="B27" s="6" t="inlineStr">
        <is>
          <t>5.14%</t>
        </is>
      </c>
      <c r="C27" s="6" t="inlineStr">
        <is>
          <t>5.48%</t>
        </is>
      </c>
      <c r="D27" s="6" t="inlineStr">
        <is>
          <t>3.11%</t>
        </is>
      </c>
      <c r="E27" s="6" t="inlineStr">
        <is>
          <t>2.65%</t>
        </is>
      </c>
      <c r="F27" s="6" t="inlineStr">
        <is>
          <t>3.71%</t>
        </is>
      </c>
      <c r="G27" s="6" t="inlineStr">
        <is>
          <t>2.10%</t>
        </is>
      </c>
      <c r="H27" s="6" t="inlineStr">
        <is>
          <t>0.53%</t>
        </is>
      </c>
      <c r="I27" s="6" t="inlineStr">
        <is>
          <t>0.15%</t>
        </is>
      </c>
      <c r="J27" s="6" t="inlineStr">
        <is>
          <t>0.27%</t>
        </is>
      </c>
      <c r="K27" s="6" t="n"/>
      <c r="L27" s="6" t="n"/>
      <c r="M27" s="6" t="n"/>
    </row>
    <row r="29" ht="340" customHeight="1">
      <c r="A29"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Asset Quality tables: FY2025 - AR2025 'Table 1' (Financial review, p.17) and Note 30 Expected credit loss (p.185-186); FY2024 - AR2024 'Table 1'/'Table 2'/'Table 3' (Financial risks, p.126-127) and Note 30; FY2023 - AR2023 'Table 1'/'Table 2'/'Table 3' (Financial risks, p.62-63); FY2022 - AR2022 'Table 1'/'Table 2' (Risk report, p.72-74) and AR2023's FY2022 comparative for 'Table 3' NPLs by portfolio; FY2021 - AR2022's FY2021 comparative for 'Table 1'/'Table 2', and AR2021's own 'Table 1: Non-performing loans' (p.69).
DATA QUALITY NOTE: FY2025's % Stage 2/% Stage 3 are computed here from Note 30's absolute Stage 1/2/3 gross carrying amounts (713/8,993 and 462/8,993) rather than a disclosed percentage - AR2025 stopped disclosing the FY2021-FY2024 'Table 2: Total portfolio credit performance' percentage table in that exact form. FY2025's 90+ days past due percentage was not located in the reviewed disclosure and is left blank rather than estimated. 'Commercial lending' (FY2021-FY2024 label) and 'Corporate and commercial' (FY2025 label) are the same portfolio, simply relabelled between years.
HD-049: FY2018-FY2020 NPLs by portfolio and Total NPL ratio are from each AR's own 'Table 9: Non-performing loans' (labelled 'Retail-residential mortgages'/'Retail-consumer and other'/'Commercial (including asset and invoice finance)' - the same three portfolios as the FY2021+ rows above, under earlier labels). FY2017's Total NPL ratio (0.27%) is a prior-year comparator quoted in AR2018's own narrative; no portfolio breakdown or FY2014-FY2016 NPL/stage data was located within this session's effort. Gross carrying amount by portfolio, ECL allowance by portfolio, and IFRS 9 stage split are not populated for FY2014-FY2020: FY2014-FY2017 pre-date IFRS 9 (incurred-loss model, no stage concept, and portfolio-level gross/ECL tables in a comparable format were not located), and FY2018-FY2020's portfolio-level gross/ECL tables were not extracted this session (only the Group Balance Sheet's single net loans and advances to customers figure and the NPL table above were sourced) - left blank rather than estimated.</t>
        </is>
      </c>
    </row>
  </sheetData>
  <mergeCells count="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840</v>
      </c>
      <c r="C4" s="6" t="n">
        <v>808</v>
      </c>
      <c r="D4" s="6" t="n">
        <v>985</v>
      </c>
      <c r="E4" s="6" t="n">
        <v>819</v>
      </c>
      <c r="F4" s="6" t="n">
        <v>936</v>
      </c>
      <c r="G4" s="6" t="n">
        <v>1192</v>
      </c>
      <c r="H4" s="6" t="n">
        <v>1427</v>
      </c>
      <c r="I4" s="6" t="n">
        <v>1171</v>
      </c>
      <c r="J4" s="6" t="n">
        <v>897</v>
      </c>
      <c r="K4" s="6" t="n">
        <v>651</v>
      </c>
      <c r="L4" s="6" t="n">
        <v>300</v>
      </c>
      <c r="M4" s="6" t="n">
        <v>384</v>
      </c>
    </row>
    <row r="5" ht="60" customHeight="1">
      <c r="A5" s="7" t="inlineStr">
        <is>
          <t>Note: FY2023-FY2025 are Holdings Group figures following the May 2023 holding-company insertion; FY2021-FY2022 are Metro Bank PLC consolidated prudential figures. CORRECTED 2026-09-03 (ST-026): FY2023-FY2025 previously showed the 30 June interim KM1 column instead of the 31 December year-end column (e.g. FY2024 was 937, the 30 June 2024 figure - the year-end figure is 808); found while cross-checking against the RWA Breakdown sheet's own OV1/KM1 source tables. FY2021-FY2022 were already correct. HD-049: FY2014/FY2015 are Total regulatory capital (=CET1=Tier1=Total capital, no AT1/Tier 2 disclosed in either year) from the Annual Report's own Capital management note/capital structure table, not a Pillar 3 disclosure - see P3_SOURCES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12.5%</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row>
    <row r="5" ht="60" customHeight="1">
      <c r="A5" s="7" t="inlineStr">
        <is>
          <t>Note: CORRECTED 2026-09-03 (ST-026): FY2023-FY2025 previously showed the 30 June interim column instead of 31 December year-end (see CET1 Capital sheet's note). HD-049: FY2014/FY2015 from the Annual Report (not Pillar 3) - see CET1 Capital sheet's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1082</v>
      </c>
      <c r="C4" s="6" t="n">
        <v>808</v>
      </c>
      <c r="D4" s="6" t="n">
        <v>985</v>
      </c>
      <c r="E4" s="6" t="n">
        <v>819</v>
      </c>
      <c r="F4" s="6" t="n">
        <v>936</v>
      </c>
      <c r="G4" s="6" t="n">
        <v>1192</v>
      </c>
      <c r="H4" s="6" t="n">
        <v>1427</v>
      </c>
      <c r="I4" s="6" t="n">
        <v>1171</v>
      </c>
      <c r="J4" s="6" t="n">
        <v>897</v>
      </c>
      <c r="K4" s="6" t="n">
        <v>651</v>
      </c>
      <c r="L4" s="6" t="n">
        <v>300</v>
      </c>
      <c r="M4" s="6" t="n">
        <v>384</v>
      </c>
    </row>
    <row r="5" ht="60" customHeight="1">
      <c r="A5" s="7" t="inlineStr">
        <is>
          <t>Note: CORRECTED 2026-09-03 (ST-026): FY2023-FY2025 previously showed the 30 June interim column instead of 31 December year-end (see CET1 Capital sheet's note). HD-049: FY2014-FY2017 Tier 1 = CET1 (no AT1 disclosed) - see CET1 Capital sheet's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16.1%</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row>
    <row r="5" ht="60" customHeight="1">
      <c r="A5" s="7" t="inlineStr">
        <is>
          <t>Note: CORRECTED 2026-09-03 (ST-026): FY2023-FY2025 previously showed the 30 June interim column instead of 31 December year-end (see CET1 Capital sheet's note). HD-049: FY2014-FY2017 Tier 1 ratio = CET1 ratio (no AT1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1232</v>
      </c>
      <c r="C4" s="6" t="n">
        <v>958</v>
      </c>
      <c r="D4" s="6" t="n">
        <v>1135</v>
      </c>
      <c r="E4" s="6" t="n">
        <v>1069</v>
      </c>
      <c r="F4" s="6" t="n">
        <v>1184</v>
      </c>
      <c r="G4" s="6" t="n">
        <v>1441</v>
      </c>
      <c r="H4" s="6" t="n">
        <v>1676</v>
      </c>
      <c r="I4" s="6" t="n">
        <v>1420</v>
      </c>
      <c r="J4" s="6" t="n">
        <v>897</v>
      </c>
      <c r="K4" s="6" t="n">
        <v>651</v>
      </c>
      <c r="L4" s="6" t="n">
        <v>300</v>
      </c>
      <c r="M4" s="6" t="n">
        <v>384</v>
      </c>
    </row>
    <row r="5" ht="60" customHeight="1">
      <c r="A5" s="7" t="inlineStr">
        <is>
          <t>Note: CORRECTED 2026-09-03 (ST-026): FY2023-FY2025 previously showed the 30 June interim column instead of 31 December year-end (see CET1 Capital sheet's note). HD-049: FY2014-FY2017 Total capital = Tier 1 (no Tier 2 disclosed until FY2018's £249m debt securities). FY2014/FY2015 from the Annual Report, not Pillar 3.</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18.4%</t>
        </is>
      </c>
      <c r="C4" s="6" t="inlineStr">
        <is>
          <t>14.9%</t>
        </is>
      </c>
      <c r="D4" s="6" t="inlineStr">
        <is>
          <t>15.1%</t>
        </is>
      </c>
      <c r="E4" s="6" t="inlineStr">
        <is>
          <t>13.4%</t>
        </is>
      </c>
      <c r="F4" s="6" t="inlineStr">
        <is>
          <t>15.9%</t>
        </is>
      </c>
      <c r="G4" s="6" t="inlineStr">
        <is>
          <t>18.1%</t>
        </is>
      </c>
      <c r="H4" s="6" t="inlineStr">
        <is>
          <t>18.3%</t>
        </is>
      </c>
      <c r="I4" s="6" t="inlineStr">
        <is>
          <t>15.9%</t>
        </is>
      </c>
      <c r="J4" s="6" t="inlineStr">
        <is>
          <t>15.25%</t>
        </is>
      </c>
      <c r="K4" s="6" t="inlineStr">
        <is>
          <t>18.16%</t>
        </is>
      </c>
      <c r="L4" s="6" t="inlineStr">
        <is>
          <t>13%</t>
        </is>
      </c>
      <c r="M4" s="6" t="inlineStr">
        <is>
          <t>28%</t>
        </is>
      </c>
    </row>
    <row r="5" ht="60" customHeight="1">
      <c r="A5" s="7" t="inlineStr">
        <is>
          <t>Note: CORRECTED 2026-09-03 (ST-026): FY2023-FY2025 previously showed the 30 June interim column instead of 31 December year-end (see CET1 Capital sheet's note). HD-049: FY2014-FY2017 Total capital ratio = CET1 ratio (no Tier 2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6711</v>
      </c>
      <c r="C4" s="6" t="n">
        <v>6442</v>
      </c>
      <c r="D4" s="6" t="n">
        <v>7533</v>
      </c>
      <c r="E4" s="6" t="n">
        <v>7990</v>
      </c>
      <c r="F4" s="6" t="n">
        <v>7454</v>
      </c>
      <c r="G4" s="6" t="n">
        <v>7957</v>
      </c>
      <c r="H4" s="6" t="n">
        <v>9147</v>
      </c>
      <c r="I4" s="6" t="n">
        <v>8936</v>
      </c>
      <c r="J4" s="6" t="n">
        <v>5882</v>
      </c>
      <c r="K4" s="6" t="n">
        <v>3590</v>
      </c>
      <c r="L4" s="6" t="n"/>
      <c r="M4" s="6" t="n"/>
    </row>
    <row r="5" ht="60" customHeight="1">
      <c r="A5" s="7" t="inlineStr">
        <is>
          <t>Note: CORRECTED 2026-09-03 (ST-026): FY2023-FY2025 previously showed the 30 June interim column instead of 31 December year-end (e.g. FY2024 was 7239, the 30 June 2024 figure - the year-end figure is 6442, confirmed against both the KM1 Key metrics table and the OV1 RWA-by-risk-type table, and against the RWA Breakdown sheet's own total). FY2021-FY2022 were already correct. HD-049: FY2014/FY2015 RWAs were not disclosed in the Annual Report (only capital and ratios) and are left blank rather than derived by dividing capital by the ratio.</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RWA Breakdown</t>
        </is>
      </c>
    </row>
    <row r="2">
      <c r="A2" s="2" t="inlineStr">
        <is>
          <t>Pillar 3 UK/EU OV1 template. FY2023-FY2025 are Holdings Group figures; FY2021-FY2022 are the Metro Bank PLC prudential perimeter (same basis split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counterparty credit risk)</t>
        </is>
      </c>
      <c r="B4" s="6" t="n">
        <v>5793</v>
      </c>
      <c r="C4" s="6" t="n">
        <v>5572</v>
      </c>
      <c r="D4" s="6" t="n">
        <v>6667</v>
      </c>
      <c r="E4" s="6" t="n">
        <v>7071</v>
      </c>
      <c r="F4" s="6" t="n">
        <v>6444</v>
      </c>
      <c r="G4" s="6" t="n">
        <v>7251</v>
      </c>
      <c r="H4" s="6" t="n">
        <v>8591</v>
      </c>
      <c r="I4" s="6" t="n">
        <v>8560</v>
      </c>
      <c r="J4" s="6" t="n">
        <v>5020</v>
      </c>
      <c r="K4" s="6" t="n">
        <v>2959</v>
      </c>
      <c r="L4" s="6" t="n"/>
      <c r="M4" s="6" t="n"/>
    </row>
    <row r="5">
      <c r="A5" s="6" t="inlineStr">
        <is>
          <t>Counterparty credit risk</t>
        </is>
      </c>
      <c r="B5" s="6" t="n">
        <v>5</v>
      </c>
      <c r="C5" s="6" t="n">
        <v>19</v>
      </c>
      <c r="D5" s="6" t="n">
        <v>26</v>
      </c>
      <c r="E5" s="6" t="n">
        <v>9</v>
      </c>
      <c r="F5" s="6" t="n">
        <v>6</v>
      </c>
      <c r="G5" s="6" t="n">
        <v>7</v>
      </c>
      <c r="H5" s="6" t="n">
        <v>5</v>
      </c>
      <c r="I5" s="6" t="n">
        <v>2</v>
      </c>
      <c r="J5" s="6" t="n">
        <v>0</v>
      </c>
      <c r="K5" s="6" t="n">
        <v>0</v>
      </c>
      <c r="L5" s="6" t="n"/>
      <c r="M5" s="6" t="n"/>
    </row>
    <row r="6">
      <c r="A6" s="6" t="inlineStr">
        <is>
          <t>Securitisation exposures in the banking book (after the cap)</t>
        </is>
      </c>
      <c r="B6" s="6" t="n">
        <v>138</v>
      </c>
      <c r="C6" s="6" t="n">
        <v>124</v>
      </c>
      <c r="D6" s="6" t="n">
        <v>129</v>
      </c>
      <c r="E6" s="6" t="n">
        <v>166</v>
      </c>
      <c r="F6" s="6" t="n">
        <v>261</v>
      </c>
      <c r="G6" s="6" t="n"/>
      <c r="H6" s="6" t="n"/>
      <c r="I6" s="6" t="n"/>
      <c r="J6" s="6" t="n">
        <v>626</v>
      </c>
      <c r="K6" s="6" t="n">
        <v>494</v>
      </c>
      <c r="L6" s="6" t="n"/>
      <c r="M6" s="6" t="n"/>
    </row>
    <row r="7">
      <c r="A7" s="6" t="inlineStr">
        <is>
          <t>Market risk</t>
        </is>
      </c>
      <c r="B7" s="6" t="n"/>
      <c r="C7" s="6" t="n"/>
      <c r="D7" s="6" t="n"/>
      <c r="E7" s="6" t="n">
        <v>0</v>
      </c>
      <c r="F7" s="6" t="n">
        <v>9</v>
      </c>
      <c r="G7" s="6" t="n">
        <v>14</v>
      </c>
      <c r="H7" s="6" t="n">
        <v>5</v>
      </c>
      <c r="I7" s="6" t="n">
        <v>4</v>
      </c>
      <c r="J7" s="6" t="n">
        <v>2</v>
      </c>
      <c r="K7" s="6" t="n">
        <v>1</v>
      </c>
      <c r="L7" s="6" t="n"/>
      <c r="M7" s="6" t="n"/>
    </row>
    <row r="8">
      <c r="A8" s="6" t="inlineStr">
        <is>
          <t>Operational risk</t>
        </is>
      </c>
      <c r="B8" s="6" t="n">
        <v>759</v>
      </c>
      <c r="C8" s="6" t="n">
        <v>720</v>
      </c>
      <c r="D8" s="6" t="n">
        <v>703</v>
      </c>
      <c r="E8" s="6" t="n">
        <v>739</v>
      </c>
      <c r="F8" s="6" t="n">
        <v>729</v>
      </c>
      <c r="G8" s="6" t="n">
        <v>686</v>
      </c>
      <c r="H8" s="6" t="n">
        <v>546</v>
      </c>
      <c r="I8" s="6" t="n">
        <v>370</v>
      </c>
      <c r="J8" s="6" t="n">
        <v>234</v>
      </c>
      <c r="K8" s="6" t="n">
        <v>136</v>
      </c>
      <c r="L8" s="6" t="n"/>
      <c r="M8" s="6" t="n"/>
    </row>
    <row r="9">
      <c r="A9" s="6" t="inlineStr">
        <is>
          <t>Amounts below the thresholds for deduction (subject to 250% risk weight)</t>
        </is>
      </c>
      <c r="B9" s="6" t="n">
        <v>16</v>
      </c>
      <c r="C9" s="6" t="n">
        <v>7</v>
      </c>
      <c r="D9" s="6" t="n">
        <v>8</v>
      </c>
      <c r="E9" s="6" t="n">
        <v>5</v>
      </c>
      <c r="F9" s="6" t="n">
        <v>5</v>
      </c>
      <c r="G9" s="6" t="n"/>
      <c r="H9" s="6" t="n"/>
      <c r="I9" s="6" t="n"/>
      <c r="J9" s="6" t="n"/>
      <c r="K9" s="6" t="n"/>
      <c r="L9" s="6" t="n"/>
      <c r="M9" s="6" t="n"/>
    </row>
    <row r="10">
      <c r="A10" s="5" t="inlineStr">
        <is>
          <t>Total</t>
        </is>
      </c>
      <c r="B10" s="5" t="n">
        <v>6711</v>
      </c>
      <c r="C10" s="5" t="n">
        <v>6442</v>
      </c>
      <c r="D10" s="5" t="n">
        <v>7533</v>
      </c>
      <c r="E10" s="5" t="n">
        <v>7990</v>
      </c>
      <c r="F10" s="5" t="n">
        <v>7454</v>
      </c>
      <c r="G10" s="5" t="n">
        <v>7957</v>
      </c>
      <c r="H10" s="5" t="n">
        <v>9147</v>
      </c>
      <c r="I10" s="5" t="n">
        <v>8936</v>
      </c>
      <c r="J10" s="5" t="n">
        <v>5882</v>
      </c>
      <c r="K10" s="5" t="n">
        <v>3590</v>
      </c>
      <c r="L10" s="5" t="n"/>
      <c r="M10" s="5" t="n"/>
    </row>
    <row r="12" ht="250" customHeight="1">
      <c r="A12"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RWA Breakdown table: FY2025 - Pillar 3 Disclosure 2025, Table 6 UK OV1, p.12. FY2024 - Pillar 3 Disclosure 2024, Table 6 UK OV1, p.14. FY2023 - Pillar 3 Disclosure 2023, Table 6 UK OV1, p.14. FY2022 - Pillar 3 Disclosure 2022, Table 5 UK OV1, p.12. FY2021 - Pillar 3 Disclosure 2021, Table 10 EU OV1, p.52. All 5 years' totals tie exactly to the (corrected) Total RWAs sheet.
HD-049: FY2020/FY2019/FY2018 - Pillar 3 2020/2019/2018 EU OV1 tables (no separate securitisation line - embedded within credit risk under the post-2018 template, hence blank). FY2017/FY2016 - each year's own 'Risk Weighted Assets - Pillar 1' table in the 2017 Pillar 3 Disclosure (Credit risk shown standardised approach, securitisation broken out separately under the pre-2018 template).</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13837</v>
      </c>
      <c r="C4" s="6" t="n">
        <v>14417</v>
      </c>
      <c r="D4" s="6" t="n">
        <v>18420</v>
      </c>
      <c r="E4" s="6" t="n">
        <v>19348</v>
      </c>
      <c r="F4" s="6" t="n">
        <v>17869</v>
      </c>
      <c r="G4" s="6" t="n"/>
      <c r="H4" s="6" t="n"/>
      <c r="I4" s="6" t="n"/>
      <c r="J4" s="6" t="n"/>
      <c r="K4" s="6" t="n"/>
      <c r="L4" s="6" t="n"/>
      <c r="M4" s="6" t="n"/>
    </row>
    <row r="5">
      <c r="A5" s="6" t="inlineStr">
        <is>
          <t>Leverage ratio excluding claims on central banks</t>
        </is>
      </c>
      <c r="B5" s="6" t="inlineStr">
        <is>
          <t>7.8%</t>
        </is>
      </c>
      <c r="C5" s="6" t="inlineStr">
        <is>
          <t>5.6%</t>
        </is>
      </c>
      <c r="D5" s="6" t="inlineStr">
        <is>
          <t>5.3%</t>
        </is>
      </c>
      <c r="E5" s="6" t="inlineStr">
        <is>
          <t>4.2%</t>
        </is>
      </c>
      <c r="F5" s="6" t="inlineStr">
        <is>
          <t>5.2%</t>
        </is>
      </c>
      <c r="G5" s="6" t="n"/>
      <c r="H5" s="6" t="n"/>
      <c r="I5" s="6" t="n"/>
      <c r="J5" s="6" t="n"/>
      <c r="K5" s="6" t="n"/>
      <c r="L5" s="6" t="n"/>
      <c r="M5" s="6" t="n"/>
    </row>
    <row r="6">
      <c r="A6" s="6" t="inlineStr">
        <is>
          <t>Total exposure measure (as originally disclosed, including central bank claims)</t>
        </is>
      </c>
      <c r="B6" s="6" t="n"/>
      <c r="C6" s="6" t="n"/>
      <c r="D6" s="6" t="n"/>
      <c r="E6" s="6" t="n"/>
      <c r="F6" s="6" t="n"/>
      <c r="G6" s="6" t="n"/>
      <c r="H6" s="6" t="n">
        <v>21506</v>
      </c>
      <c r="I6" s="6" t="n">
        <v>21704</v>
      </c>
      <c r="J6" s="6" t="n">
        <v>16450</v>
      </c>
      <c r="K6" s="6" t="n">
        <v>10004</v>
      </c>
      <c r="L6" s="6" t="n"/>
      <c r="M6" s="6" t="n"/>
    </row>
    <row r="7">
      <c r="A7" s="6" t="inlineStr">
        <is>
          <t>Regulatory leverage ratio (as originally disclosed, including central bank claims)</t>
        </is>
      </c>
      <c r="B7" s="6" t="n"/>
      <c r="C7" s="6" t="n"/>
      <c r="D7" s="6" t="n"/>
      <c r="E7" s="6" t="n"/>
      <c r="F7" s="6" t="n"/>
      <c r="G7" s="6" t="inlineStr">
        <is>
          <t>5.6%</t>
        </is>
      </c>
      <c r="H7" s="6" t="inlineStr">
        <is>
          <t>6.6%</t>
        </is>
      </c>
      <c r="I7" s="6" t="inlineStr">
        <is>
          <t>5.4%</t>
        </is>
      </c>
      <c r="J7" s="6" t="inlineStr">
        <is>
          <t>5.5%</t>
        </is>
      </c>
      <c r="K7" s="6" t="inlineStr">
        <is>
          <t>6.5%</t>
        </is>
      </c>
      <c r="L7" s="6" t="inlineStr">
        <is>
          <t>4.9%</t>
        </is>
      </c>
      <c r="M7" s="6" t="inlineStr">
        <is>
          <t>10%</t>
        </is>
      </c>
    </row>
    <row r="8" ht="60" customHeight="1">
      <c r="A8" s="7" t="inlineStr">
        <is>
          <t>Note: The 2023-2025 figures are Holdings Group figures; 2021-2022 are the Metro Bank PLC prudential perimeter. The 2021-2022 disclosures restate the leverage measure to exclude central-bank claims for comparability. CORRECTED 2026-09-03 (ST-026): FY2023-FY2025 previously showed the 30 June interim column instead of 31 December year-end. HD-049: FY2014-FY2020 predate the 2021-2022 central-bank-claims exclusion methodology entirely, so a separate pair of rows is used for the as-originally-disclosed 'Regulatory leverage ratio' (including central bank claims) rather than conflating the two definitions; FY2020's total exposure measure was not located (only the ratio) and is left blank.</t>
        </is>
      </c>
    </row>
    <row r="10" ht="190" customHeight="1">
      <c r="A10"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M8"/>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 average</t>
        </is>
      </c>
      <c r="B4" s="6" t="n">
        <v>5552</v>
      </c>
      <c r="C4" s="6" t="n">
        <v>7189</v>
      </c>
      <c r="D4" s="6" t="n">
        <v>5056</v>
      </c>
      <c r="E4" s="6" t="n">
        <v>6051</v>
      </c>
      <c r="F4" s="6" t="n">
        <v>6900</v>
      </c>
      <c r="G4" s="6" t="n"/>
      <c r="H4" s="6" t="n">
        <v>3356</v>
      </c>
      <c r="I4" s="6" t="n">
        <v>3489</v>
      </c>
      <c r="J4" s="6" t="n"/>
      <c r="K4" s="6" t="n"/>
      <c r="L4" s="6" t="n"/>
      <c r="M4" s="6" t="n"/>
    </row>
    <row r="5">
      <c r="A5" s="6" t="inlineStr">
        <is>
          <t>Total net cash outflows, adjusted value</t>
        </is>
      </c>
      <c r="B5" s="6" t="n">
        <v>1773</v>
      </c>
      <c r="C5" s="6" t="n">
        <v>1854</v>
      </c>
      <c r="D5" s="6" t="n">
        <v>2079</v>
      </c>
      <c r="E5" s="6" t="n">
        <v>2465</v>
      </c>
      <c r="F5" s="6" t="n">
        <v>2169</v>
      </c>
      <c r="G5" s="6" t="n"/>
      <c r="H5" s="6" t="n">
        <v>1708</v>
      </c>
      <c r="I5" s="6" t="n">
        <v>2506</v>
      </c>
      <c r="J5" s="6" t="n"/>
      <c r="K5" s="6" t="n"/>
      <c r="L5" s="6" t="n"/>
      <c r="M5" s="6" t="n"/>
    </row>
    <row r="6">
      <c r="A6" s="6" t="inlineStr">
        <is>
          <t>Liquidity Coverage Ratio</t>
        </is>
      </c>
      <c r="B6" s="6" t="inlineStr">
        <is>
          <t>314%</t>
        </is>
      </c>
      <c r="C6" s="6" t="inlineStr">
        <is>
          <t>444%</t>
        </is>
      </c>
      <c r="D6" s="6" t="inlineStr">
        <is>
          <t>244%</t>
        </is>
      </c>
      <c r="E6" s="6" t="inlineStr">
        <is>
          <t>246%</t>
        </is>
      </c>
      <c r="F6" s="6" t="inlineStr">
        <is>
          <t>281%</t>
        </is>
      </c>
      <c r="G6" s="6" t="inlineStr">
        <is>
          <t>187%</t>
        </is>
      </c>
      <c r="H6" s="6" t="inlineStr">
        <is>
          <t>197%</t>
        </is>
      </c>
      <c r="I6" s="6" t="inlineStr">
        <is>
          <t>139%</t>
        </is>
      </c>
      <c r="J6" s="6" t="inlineStr">
        <is>
          <t>141%</t>
        </is>
      </c>
      <c r="K6" s="6" t="inlineStr">
        <is>
          <t>136%</t>
        </is>
      </c>
      <c r="L6" s="6" t="n"/>
      <c r="M6" s="6" t="n"/>
    </row>
    <row r="7" ht="60" customHeight="1">
      <c r="A7" s="7" t="inlineStr">
        <is>
          <t>Note: The source tables disclose HQLA/net outflow components on different reporting bases across years; the headline ratios are reproduced as reported. Basis changes after the holding-company insertion are described on the Cash Flow Statement and source note. CORRECTED 2026-09-03 (ST-026): FY2023-FY2025 previously showed the 30 June interim column instead of 31 December year-end. HD-049: FY2020 and FY2014/FY2015 absolute HQLA/net outflow £m were not located (Pillar 3 2020 discloses only the ratio in the executive summary reviewed this session; FY2014/FY2015 have no LCR disclosure at all) and are left blank rather than estimated.</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13965</v>
      </c>
      <c r="C4" s="6" t="n">
        <v>16676</v>
      </c>
      <c r="D4" s="6" t="n">
        <v>18277</v>
      </c>
      <c r="E4" s="6" t="n">
        <v>18903</v>
      </c>
      <c r="F4" s="6" t="n"/>
      <c r="G4" s="6" t="n"/>
      <c r="H4" s="6" t="n"/>
      <c r="I4" s="6" t="n"/>
      <c r="J4" s="6" t="n"/>
      <c r="K4" s="6" t="n"/>
      <c r="L4" s="6" t="n"/>
      <c r="M4" s="6" t="n"/>
    </row>
    <row r="5">
      <c r="A5" s="6" t="inlineStr">
        <is>
          <t>Total required stable funding</t>
        </is>
      </c>
      <c r="B5" s="6" t="n">
        <v>8448</v>
      </c>
      <c r="C5" s="6" t="n">
        <v>10475</v>
      </c>
      <c r="D5" s="6" t="n">
        <v>13442</v>
      </c>
      <c r="E5" s="6" t="n">
        <v>13225</v>
      </c>
      <c r="F5" s="6" t="n"/>
      <c r="G5" s="6" t="n"/>
      <c r="H5" s="6" t="n"/>
      <c r="I5" s="6" t="n"/>
      <c r="J5" s="6" t="n"/>
      <c r="K5" s="6" t="n"/>
      <c r="L5" s="6" t="n"/>
      <c r="M5" s="6" t="n"/>
    </row>
    <row r="6">
      <c r="A6" s="6" t="inlineStr">
        <is>
          <t>Net stable funding ratio</t>
        </is>
      </c>
      <c r="B6" s="6" t="inlineStr">
        <is>
          <t>165%</t>
        </is>
      </c>
      <c r="C6" s="6" t="inlineStr">
        <is>
          <t>160%</t>
        </is>
      </c>
      <c r="D6" s="6" t="inlineStr">
        <is>
          <t>136%</t>
        </is>
      </c>
      <c r="E6" s="6" t="inlineStr">
        <is>
          <t>143%</t>
        </is>
      </c>
      <c r="F6" s="6" t="n"/>
      <c r="G6" s="6" t="n"/>
      <c r="H6" s="6" t="n"/>
      <c r="I6" s="6" t="n"/>
      <c r="J6" s="6" t="n"/>
      <c r="K6" s="6" t="n"/>
      <c r="L6" s="6" t="n"/>
      <c r="M6" s="6" t="n"/>
    </row>
    <row r="7" ht="60" customHeight="1">
      <c r="A7" s="7" t="inlineStr">
        <is>
          <t>Note: NSFR disclosures were required from 1 January 2023; FY2014-FY2021 are blank (not yet a UK/EU disclosure requirement). FY2023-FY2025 are Holdings Group figures after the restructure. CORRECTED 2026-09-03 (ST-026): FY2023-FY2025 previously showed the 30 June interim column instead of 31 December year-end.</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disclosed</t>
        </is>
      </c>
      <c r="C4" s="6" t="inlineStr">
        <is>
          <t>Not disclosed</t>
        </is>
      </c>
      <c r="D4" s="6" t="inlineStr">
        <is>
          <t>Not disclosed</t>
        </is>
      </c>
      <c r="E4" s="6" t="inlineStr">
        <is>
          <t>Not disclosed</t>
        </is>
      </c>
      <c r="F4" s="6" t="inlineStr">
        <is>
          <t>20.5%</t>
        </is>
      </c>
      <c r="G4" s="6" t="inlineStr">
        <is>
          <t>22.4% (total capital plus MREL ratio)</t>
        </is>
      </c>
      <c r="H4" s="6" t="inlineStr">
        <is>
          <t>22.1% (total capital plus MREL ratio)</t>
        </is>
      </c>
      <c r="I4" s="6" t="inlineStr">
        <is>
          <t>Not disclosed (pre-dates MREL requirement)</t>
        </is>
      </c>
      <c r="J4" s="6" t="inlineStr">
        <is>
          <t>Not disclosed (pre-dates MREL requirement)</t>
        </is>
      </c>
      <c r="K4" s="6" t="inlineStr">
        <is>
          <t>Not disclosed (pre-dates MREL requirement)</t>
        </is>
      </c>
      <c r="L4" s="6" t="inlineStr">
        <is>
          <t>Not disclosed (pre-dates MREL requirement)</t>
        </is>
      </c>
      <c r="M4" s="6" t="inlineStr">
        <is>
          <t>Not disclosed (pre-dates MREL requirement)</t>
        </is>
      </c>
    </row>
    <row r="5" ht="60" customHeight="1">
      <c r="A5" s="7" t="inlineStr">
        <is>
          <t>Note: The 2021 Pillar 3 report discloses 20.5%. No quantitative MREL ratio was located in the later KM1 tables reviewed; the 2022-2025 cells are therefore not publicly disclosed rather than zero. HD-049: FY2019/FY2020 Pillar 3 disclosures report a 'Total capital plus MREL ratio' (22.1%/22.4%) rather than a standalone MREL ratio - a different (broader) metric than the FY2021 '20.5%', reproduced as-disclosed and labelled accordingly rather than treated as directly comparable. FY2014-FY2018 pre-date the interim MREL requirement referenced in the FY2019 disclosure.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Metro Bank PLC - Interim Pillar 3 Disclosures</t>
        </is>
      </c>
    </row>
    <row r="2">
      <c r="A2" s="2" t="inlineStr">
        <is>
          <t>Entity-level Metro Bank PLC basis where available; later Holdings Group disclosures are not substituted.</t>
        </is>
      </c>
    </row>
    <row r="4">
      <c r="A4" s="4" t="inlineStr">
        <is>
          <t>Metric</t>
        </is>
      </c>
      <c r="B4" s="4" t="inlineStr">
        <is>
          <t>Unit</t>
        </is>
      </c>
      <c r="C4" s="4" t="inlineStr">
        <is>
          <t>Basis</t>
        </is>
      </c>
      <c r="D4" s="4" t="inlineStr">
        <is>
          <t>30 Jun 2021</t>
        </is>
      </c>
      <c r="E4" s="4" t="inlineStr">
        <is>
          <t>30 Jun 2022</t>
        </is>
      </c>
      <c r="F4" s="4" t="inlineStr">
        <is>
          <t>30 Jun 2023</t>
        </is>
      </c>
      <c r="G4" s="4" t="inlineStr">
        <is>
          <t>30 Jun 2024</t>
        </is>
      </c>
      <c r="H4" s="4" t="inlineStr">
        <is>
          <t>30 Jun 2025</t>
        </is>
      </c>
    </row>
    <row r="5">
      <c r="A5" s="6" t="inlineStr">
        <is>
          <t>CET1 capital</t>
        </is>
      </c>
      <c r="B5" s="6" t="inlineStr">
        <is>
          <t>£m</t>
        </is>
      </c>
      <c r="C5" s="6" t="inlineStr">
        <is>
          <t>Metro Bank PLC consolidated basis</t>
        </is>
      </c>
      <c r="D5" s="9" t="n">
        <v>1052</v>
      </c>
      <c r="E5" s="9" t="n">
        <v>816</v>
      </c>
      <c r="F5" s="6" t="n"/>
      <c r="G5" s="6" t="n"/>
      <c r="H5" s="6" t="n"/>
    </row>
    <row r="6">
      <c r="A6" s="6" t="inlineStr">
        <is>
          <t>Tier 1 capital</t>
        </is>
      </c>
      <c r="B6" s="6" t="inlineStr">
        <is>
          <t>£m</t>
        </is>
      </c>
      <c r="C6" s="6" t="inlineStr">
        <is>
          <t>Metro Bank PLC consolidated basis</t>
        </is>
      </c>
      <c r="D6" s="9" t="n">
        <v>1052</v>
      </c>
      <c r="E6" s="9" t="n">
        <v>816</v>
      </c>
      <c r="F6" s="6" t="n"/>
      <c r="G6" s="6" t="n"/>
      <c r="H6" s="6" t="n"/>
    </row>
    <row r="7">
      <c r="A7" s="6" t="inlineStr">
        <is>
          <t>Total capital</t>
        </is>
      </c>
      <c r="B7" s="6" t="inlineStr">
        <is>
          <t>£m</t>
        </is>
      </c>
      <c r="C7" s="6" t="inlineStr">
        <is>
          <t>Metro Bank PLC consolidated basis</t>
        </is>
      </c>
      <c r="D7" s="9" t="n">
        <v>1301</v>
      </c>
      <c r="E7" s="9" t="n">
        <v>1065</v>
      </c>
      <c r="F7" s="6" t="n"/>
      <c r="G7" s="6" t="n"/>
      <c r="H7" s="6" t="n"/>
    </row>
    <row r="8">
      <c r="A8" s="6" t="inlineStr">
        <is>
          <t>Total risk-weighted exposure amount</t>
        </is>
      </c>
      <c r="B8" s="6" t="inlineStr">
        <is>
          <t>£m</t>
        </is>
      </c>
      <c r="C8" s="6" t="inlineStr">
        <is>
          <t>Metro Bank PLC consolidated basis</t>
        </is>
      </c>
      <c r="D8" s="9" t="n">
        <v>7563</v>
      </c>
      <c r="E8" s="9" t="n">
        <v>7702</v>
      </c>
      <c r="F8" s="6" t="n"/>
      <c r="G8" s="6" t="n"/>
      <c r="H8" s="6" t="n"/>
    </row>
    <row r="9">
      <c r="A9" s="6" t="inlineStr">
        <is>
          <t>CET1 ratio</t>
        </is>
      </c>
      <c r="B9" s="6" t="inlineStr">
        <is>
          <t>%</t>
        </is>
      </c>
      <c r="C9" s="6" t="inlineStr">
        <is>
          <t>Metro Bank PLC consolidated basis</t>
        </is>
      </c>
      <c r="D9" s="9" t="inlineStr">
        <is>
          <t>13.9%</t>
        </is>
      </c>
      <c r="E9" s="9" t="inlineStr">
        <is>
          <t>10.6%</t>
        </is>
      </c>
      <c r="F9" s="6" t="n"/>
      <c r="G9" s="6" t="n"/>
      <c r="H9" s="6" t="n"/>
    </row>
    <row r="10">
      <c r="A10" s="6" t="inlineStr">
        <is>
          <t>Tier 1 ratio</t>
        </is>
      </c>
      <c r="B10" s="6" t="inlineStr">
        <is>
          <t>%</t>
        </is>
      </c>
      <c r="C10" s="6" t="inlineStr">
        <is>
          <t>Metro Bank PLC consolidated basis</t>
        </is>
      </c>
      <c r="D10" s="9" t="inlineStr">
        <is>
          <t>13.9%</t>
        </is>
      </c>
      <c r="E10" s="9" t="inlineStr">
        <is>
          <t>10.6%</t>
        </is>
      </c>
      <c r="F10" s="6" t="n"/>
      <c r="G10" s="6" t="n"/>
      <c r="H10" s="6" t="n"/>
    </row>
    <row r="11">
      <c r="A11" s="6" t="inlineStr">
        <is>
          <t>Total capital ratio</t>
        </is>
      </c>
      <c r="B11" s="6" t="inlineStr">
        <is>
          <t>%</t>
        </is>
      </c>
      <c r="C11" s="6" t="inlineStr">
        <is>
          <t>Metro Bank PLC consolidated basis</t>
        </is>
      </c>
      <c r="D11" s="9" t="inlineStr">
        <is>
          <t>17.2%</t>
        </is>
      </c>
      <c r="E11" s="9" t="inlineStr">
        <is>
          <t>13.8%</t>
        </is>
      </c>
      <c r="F11" s="6" t="n"/>
      <c r="G11" s="6" t="n"/>
      <c r="H11" s="6" t="n"/>
    </row>
    <row r="12">
      <c r="A12" s="6" t="inlineStr">
        <is>
          <t>Total exposure measure excluding claims on central banks</t>
        </is>
      </c>
      <c r="B12" s="6" t="inlineStr">
        <is>
          <t>£m</t>
        </is>
      </c>
      <c r="C12" s="6" t="inlineStr">
        <is>
          <t>Metro Bank PLC consolidated basis</t>
        </is>
      </c>
      <c r="D12" s="9" t="n">
        <v>16909</v>
      </c>
      <c r="E12" s="9" t="n">
        <v>18809</v>
      </c>
      <c r="F12" s="6" t="n"/>
      <c r="G12" s="6" t="n"/>
      <c r="H12" s="6" t="n"/>
    </row>
    <row r="13">
      <c r="A13" s="6" t="inlineStr">
        <is>
          <t>Leverage ratio excluding claims on central banks</t>
        </is>
      </c>
      <c r="B13" s="6" t="inlineStr">
        <is>
          <t>%</t>
        </is>
      </c>
      <c r="C13" s="6" t="inlineStr">
        <is>
          <t>Metro Bank PLC consolidated basis</t>
        </is>
      </c>
      <c r="D13" s="9" t="inlineStr">
        <is>
          <t>6.2%</t>
        </is>
      </c>
      <c r="E13" s="9" t="inlineStr">
        <is>
          <t>4.3%</t>
        </is>
      </c>
      <c r="F13" s="6" t="n"/>
      <c r="G13" s="6" t="n"/>
      <c r="H13" s="6" t="n"/>
    </row>
    <row r="14">
      <c r="A14" s="6" t="inlineStr">
        <is>
          <t>Total HQLA, weighted value - average</t>
        </is>
      </c>
      <c r="B14" s="6" t="inlineStr">
        <is>
          <t>£m</t>
        </is>
      </c>
      <c r="C14" s="6" t="inlineStr">
        <is>
          <t>Metro Bank PLC consolidated basis</t>
        </is>
      </c>
      <c r="D14" s="6" t="n"/>
      <c r="E14" s="9" t="n">
        <v>6687</v>
      </c>
      <c r="F14" s="6" t="n"/>
      <c r="G14" s="6" t="n"/>
      <c r="H14" s="6" t="n"/>
    </row>
    <row r="15">
      <c r="A15" s="6" t="inlineStr">
        <is>
          <t>Total net cash outflows, adjusted value</t>
        </is>
      </c>
      <c r="B15" s="6" t="inlineStr">
        <is>
          <t>£m</t>
        </is>
      </c>
      <c r="C15" s="6" t="inlineStr">
        <is>
          <t>Metro Bank PLC consolidated basis</t>
        </is>
      </c>
      <c r="D15" s="6" t="n"/>
      <c r="E15" s="9" t="n">
        <v>2374</v>
      </c>
      <c r="F15" s="6" t="n"/>
      <c r="G15" s="6" t="n"/>
      <c r="H15" s="6" t="n"/>
    </row>
    <row r="16">
      <c r="A16" s="6" t="inlineStr">
        <is>
          <t>Liquidity coverage ratio</t>
        </is>
      </c>
      <c r="B16" s="6" t="inlineStr">
        <is>
          <t>%</t>
        </is>
      </c>
      <c r="C16" s="6" t="inlineStr">
        <is>
          <t>Metro Bank PLC consolidated basis</t>
        </is>
      </c>
      <c r="D16" s="6" t="n"/>
      <c r="E16" s="9" t="inlineStr">
        <is>
          <t>282%</t>
        </is>
      </c>
      <c r="F16" s="6" t="n"/>
      <c r="G16" s="6" t="n"/>
      <c r="H16" s="6" t="n"/>
    </row>
    <row r="17">
      <c r="A17" s="6" t="inlineStr">
        <is>
          <t>Total available stable funding</t>
        </is>
      </c>
      <c r="B17" s="6" t="inlineStr">
        <is>
          <t>£m</t>
        </is>
      </c>
      <c r="C17" s="6" t="inlineStr">
        <is>
          <t>Metro Bank PLC consolidated basis</t>
        </is>
      </c>
      <c r="D17" s="9" t="inlineStr">
        <is>
          <t>Not yet required</t>
        </is>
      </c>
      <c r="E17" s="9" t="inlineStr">
        <is>
          <t>Not disclosed</t>
        </is>
      </c>
      <c r="F17" s="6" t="n"/>
      <c r="G17" s="6" t="n"/>
      <c r="H17" s="6" t="n"/>
    </row>
    <row r="18">
      <c r="A18" s="6" t="inlineStr">
        <is>
          <t>Total required stable funding</t>
        </is>
      </c>
      <c r="B18" s="6" t="inlineStr">
        <is>
          <t>£m</t>
        </is>
      </c>
      <c r="C18" s="6" t="inlineStr">
        <is>
          <t>Metro Bank PLC consolidated basis</t>
        </is>
      </c>
      <c r="D18" s="9" t="inlineStr">
        <is>
          <t>Not yet required</t>
        </is>
      </c>
      <c r="E18" s="9" t="inlineStr">
        <is>
          <t>Not disclosed</t>
        </is>
      </c>
      <c r="F18" s="6" t="n"/>
      <c r="G18" s="6" t="n"/>
      <c r="H18" s="6" t="n"/>
    </row>
    <row r="19">
      <c r="A19" s="6" t="inlineStr">
        <is>
          <t>NSFR ratio</t>
        </is>
      </c>
      <c r="B19" s="6" t="inlineStr">
        <is>
          <t>%</t>
        </is>
      </c>
      <c r="C19" s="6" t="inlineStr">
        <is>
          <t>Metro Bank PLC consolidated basis</t>
        </is>
      </c>
      <c r="D19" s="9" t="inlineStr">
        <is>
          <t>Not yet required</t>
        </is>
      </c>
      <c r="E19" s="9" t="inlineStr">
        <is>
          <t>Not disclosed</t>
        </is>
      </c>
      <c r="F19" s="6" t="n"/>
      <c r="G19" s="6" t="n"/>
      <c r="H19" s="6" t="n"/>
    </row>
    <row r="20">
      <c r="A20" s="6" t="inlineStr">
        <is>
          <t>MREL ratio</t>
        </is>
      </c>
      <c r="B20" s="6" t="inlineStr">
        <is>
          <t>%</t>
        </is>
      </c>
      <c r="C20" s="6" t="inlineStr">
        <is>
          <t>Metro Bank PLC consolidated basis</t>
        </is>
      </c>
      <c r="D20" s="9" t="inlineStr">
        <is>
          <t>Not disclosed</t>
        </is>
      </c>
      <c r="E20" s="9" t="inlineStr">
        <is>
          <t>Not disclosed</t>
        </is>
      </c>
      <c r="F20" s="6" t="n"/>
      <c r="G20" s="6" t="n"/>
      <c r="H20" s="6" t="n"/>
    </row>
    <row r="21">
      <c r="A21" s="6" t="inlineStr">
        <is>
          <t>All Metro Bank PLC entity-level interim metrics</t>
        </is>
      </c>
      <c r="B21" s="6" t="inlineStr">
        <is>
          <t>n/a</t>
        </is>
      </c>
      <c r="C21" s="6" t="inlineStr">
        <is>
          <t>Metro Bank Holdings PLC group disclosure after 19 May 2023 restructure</t>
        </is>
      </c>
      <c r="D21" s="6" t="n"/>
      <c r="E21" s="6" t="n"/>
      <c r="F21" s="9" t="inlineStr">
        <is>
          <t>Not separately disclosed</t>
        </is>
      </c>
      <c r="G21" s="9" t="inlineStr">
        <is>
          <t>Not separately disclosed</t>
        </is>
      </c>
      <c r="H21" s="9" t="inlineStr">
        <is>
          <t>Not separately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30 Jun 2021</t>
        </is>
      </c>
      <c r="B26" s="6" t="inlineStr">
        <is>
          <t>H1 Pillar 3 disclosure</t>
        </is>
      </c>
      <c r="C26" s="9" t="inlineStr">
        <is>
          <t>https://www.metrobankonline.co.uk/globalassets/documents/customer_documents/business-and-commercial/pillar-3-disclosure---h1-2022.pdf</t>
        </is>
      </c>
      <c r="D26" s="6" t="inlineStr">
        <is>
          <t>3, UK KM1</t>
        </is>
      </c>
    </row>
    <row r="27">
      <c r="A27" s="6" t="inlineStr">
        <is>
          <t>30 Jun 2022</t>
        </is>
      </c>
      <c r="B27" s="6" t="inlineStr">
        <is>
          <t>H1 Pillar 3 disclosure</t>
        </is>
      </c>
      <c r="C27" s="9" t="inlineStr">
        <is>
          <t>https://www.metrobankonline.co.uk/globalassets/documents/customer_documents/business-and-commercial/pillar-3-disclosure---h1-2022.pdf</t>
        </is>
      </c>
      <c r="D27" s="6" t="inlineStr">
        <is>
          <t>3, UK KM1</t>
        </is>
      </c>
    </row>
    <row r="28">
      <c r="A28" s="6" t="inlineStr">
        <is>
          <t>30 Jun 2023</t>
        </is>
      </c>
      <c r="B28" s="6" t="inlineStr">
        <is>
          <t>H1 Pillar 3 disclosure</t>
        </is>
      </c>
      <c r="C28" s="9" t="inlineStr">
        <is>
          <t>https://www.metrobankonline.co.uk/globalassets/documents/customer_documents/personal/pillar-3-disclosure-h1-2023.pdf</t>
        </is>
      </c>
      <c r="D28" s="6" t="inlineStr">
        <is>
          <t>Basis note</t>
        </is>
      </c>
    </row>
    <row r="29">
      <c r="A29" s="6" t="inlineStr">
        <is>
          <t>30 Jun 2024</t>
        </is>
      </c>
      <c r="B29" s="6" t="inlineStr">
        <is>
          <t>H1 Pillar 3 disclosure</t>
        </is>
      </c>
      <c r="C29" s="9" t="inlineStr">
        <is>
          <t>https://www.metrobankonline.co.uk/globalassets/documents/customer_documents/intermediaries/pillar-3-disclosure-h1-2024.pdf</t>
        </is>
      </c>
      <c r="D29" s="6" t="inlineStr">
        <is>
          <t>Basis note</t>
        </is>
      </c>
    </row>
    <row r="30">
      <c r="A30" s="6" t="inlineStr">
        <is>
          <t>30 Jun 2025</t>
        </is>
      </c>
      <c r="B30" s="6" t="inlineStr">
        <is>
          <t>H1 Pillar 3 disclosure</t>
        </is>
      </c>
      <c r="C30" s="9" t="inlineStr">
        <is>
          <t>https://www.metrobankonline.co.uk/globalassets/h1-2025-pillar-3-final.pdf</t>
        </is>
      </c>
      <c r="D30" s="6" t="inlineStr">
        <is>
          <t>Basis note</t>
        </is>
      </c>
    </row>
    <row r="32" ht="60" customHeight="1">
      <c r="A32" s="10" t="inlineStr">
        <is>
          <t>Note: H1 2021 and H1 2022 use the official Metro Bank PLC consolidated UK KM1 table. From 19 May 2023 the ultimate holding company changed to Metro Bank Holdings PLC; H1 2023-H1 2025 official disclosures are Holdings Group figures and do not provide a defensible standalone Metro Bank PLC series, so those periods are explicitly recorded as not separately disclosed.</t>
        </is>
      </c>
    </row>
  </sheetData>
  <mergeCells count="1">
    <mergeCell ref="A32:H3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E14" r:id="rId19"/>
    <hyperlink xmlns:r="http://schemas.openxmlformats.org/officeDocument/2006/relationships" ref="E15" r:id="rId20"/>
    <hyperlink xmlns:r="http://schemas.openxmlformats.org/officeDocument/2006/relationships" ref="E16" r:id="rId21"/>
    <hyperlink xmlns:r="http://schemas.openxmlformats.org/officeDocument/2006/relationships" ref="D17" r:id="rId22"/>
    <hyperlink xmlns:r="http://schemas.openxmlformats.org/officeDocument/2006/relationships" ref="E17" r:id="rId23"/>
    <hyperlink xmlns:r="http://schemas.openxmlformats.org/officeDocument/2006/relationships" ref="D18" r:id="rId24"/>
    <hyperlink xmlns:r="http://schemas.openxmlformats.org/officeDocument/2006/relationships" ref="E18" r:id="rId25"/>
    <hyperlink xmlns:r="http://schemas.openxmlformats.org/officeDocument/2006/relationships" ref="D19" r:id="rId26"/>
    <hyperlink xmlns:r="http://schemas.openxmlformats.org/officeDocument/2006/relationships" ref="E19" r:id="rId27"/>
    <hyperlink xmlns:r="http://schemas.openxmlformats.org/officeDocument/2006/relationships" ref="D20" r:id="rId28"/>
    <hyperlink xmlns:r="http://schemas.openxmlformats.org/officeDocument/2006/relationships" ref="E20" r:id="rId29"/>
    <hyperlink xmlns:r="http://schemas.openxmlformats.org/officeDocument/2006/relationships" ref="F21" r:id="rId30"/>
    <hyperlink xmlns:r="http://schemas.openxmlformats.org/officeDocument/2006/relationships" ref="G21" r:id="rId31"/>
    <hyperlink xmlns:r="http://schemas.openxmlformats.org/officeDocument/2006/relationships" ref="H21" r:id="rId32"/>
    <hyperlink xmlns:r="http://schemas.openxmlformats.org/officeDocument/2006/relationships" ref="C26" r:id="rId33"/>
    <hyperlink xmlns:r="http://schemas.openxmlformats.org/officeDocument/2006/relationships" ref="C27" r:id="rId34"/>
    <hyperlink xmlns:r="http://schemas.openxmlformats.org/officeDocument/2006/relationships" ref="C28" r:id="rId35"/>
    <hyperlink xmlns:r="http://schemas.openxmlformats.org/officeDocument/2006/relationships" ref="C29" r:id="rId36"/>
    <hyperlink xmlns:r="http://schemas.openxmlformats.org/officeDocument/2006/relationships" ref="C30" r:id="rId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2026-09-06T08:35:13Z</dcterms:created>
  <dcterms:modified xmlns:dcterms="http://purl.org/dc/terms/" xmlns:xsi="http://www.w3.org/2001/XMLSchema-instance" xsi:type="dcterms:W3CDTF">2026-09-06T08:35:13Z</dcterms:modified>
</cp:coreProperties>
</file>