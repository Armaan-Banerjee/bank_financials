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ser>
          <idx val="4"/>
          <order val="4"/>
          <tx>
            <strRef>
              <f>'Overview'!BF24</f>
            </strRef>
          </tx>
          <spPr>
            <a:ln xmlns:a="http://schemas.openxmlformats.org/drawingml/2006/main">
              <a:prstDash val="solid"/>
            </a:ln>
          </spPr>
          <cat>
            <numRef>
              <f>'Overview'!$BG$19:$BV$19</f>
            </numRef>
          </cat>
          <val>
            <numRef>
              <f>'Overview'!$BG$24:$BV$24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'Overview'!BY28</f>
            </strRef>
          </tx>
          <spPr>
            <a:ln xmlns:a="http://schemas.openxmlformats.org/drawingml/2006/main">
              <a:prstDash val="solid"/>
            </a:ln>
          </spPr>
          <cat>
            <numRef>
              <f>'Overview'!$BZ$27:$CO$27</f>
            </numRef>
          </cat>
          <val>
            <numRef>
              <f>'Overview'!$BZ$28:$CO$28</f>
            </numRef>
          </val>
        </ser>
        <ser>
          <idx val="1"/>
          <order val="1"/>
          <tx>
            <strRef>
              <f>'Overview'!BY29</f>
            </strRef>
          </tx>
          <spPr>
            <a:ln xmlns:a="http://schemas.openxmlformats.org/drawingml/2006/main">
              <a:prstDash val="solid"/>
            </a:ln>
          </spPr>
          <cat>
            <numRef>
              <f>'Overview'!$BZ$27:$CO$27</f>
            </numRef>
          </cat>
          <val>
            <numRef>
              <f>'Overview'!$BZ$29:$CO$29</f>
            </numRef>
          </val>
        </ser>
        <ser>
          <idx val="2"/>
          <order val="2"/>
          <tx>
            <strRef>
              <f>'Overview'!BY30</f>
            </strRef>
          </tx>
          <spPr>
            <a:ln xmlns:a="http://schemas.openxmlformats.org/drawingml/2006/main">
              <a:prstDash val="solid"/>
            </a:ln>
          </spPr>
          <cat>
            <numRef>
              <f>'Overview'!$BZ$27:$CO$27</f>
            </numRef>
          </cat>
          <val>
            <numRef>
              <f>'Overview'!$BZ$30:$CO$30</f>
            </numRef>
          </val>
        </ser>
        <ser>
          <idx val="3"/>
          <order val="3"/>
          <tx>
            <strRef>
              <f>'Overview'!BY31</f>
            </strRef>
          </tx>
          <spPr>
            <a:ln xmlns:a="http://schemas.openxmlformats.org/drawingml/2006/main">
              <a:prstDash val="solid"/>
            </a:ln>
          </spPr>
          <cat>
            <numRef>
              <f>'Overview'!$BZ$27:$CO$27</f>
            </numRef>
          </cat>
          <val>
            <numRef>
              <f>'Overview'!$BZ$31:$CO$31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 (16m)</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c r="C6" s="5" t="n"/>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CR6" t="inlineStr">
        <is>
          <t>CET1 Ratio</t>
        </is>
      </c>
      <c r="CW6" t="n">
        <v>28</v>
      </c>
      <c r="CX6" t="n">
        <v>13</v>
      </c>
      <c r="CY6" t="n">
        <v>18.16</v>
      </c>
      <c r="CZ6" t="n">
        <v>15.25</v>
      </c>
      <c r="DA6" t="n">
        <v>13.1</v>
      </c>
      <c r="DB6" t="n">
        <v>15.6</v>
      </c>
      <c r="DC6" t="n">
        <v>15</v>
      </c>
      <c r="DD6" t="n">
        <v>12.6</v>
      </c>
      <c r="DE6" t="n">
        <v>10.3</v>
      </c>
      <c r="DF6" t="n">
        <v>13.1</v>
      </c>
      <c r="DG6" t="n">
        <v>12.5</v>
      </c>
      <c r="DH6" t="n">
        <v>12.5</v>
      </c>
    </row>
    <row r="7">
      <c r="A7" s="5" t="inlineStr">
        <is>
          <t>Loans and advances to customers</t>
        </is>
      </c>
      <c r="B7" s="5" t="n"/>
      <c r="C7" s="5" t="n"/>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CR7" t="inlineStr">
        <is>
          <t>Total Capital Ratio</t>
        </is>
      </c>
      <c r="CW7" t="n">
        <v>28</v>
      </c>
      <c r="CX7" t="n">
        <v>13</v>
      </c>
      <c r="CY7" t="n">
        <v>18.16</v>
      </c>
      <c r="CZ7" t="n">
        <v>15.25</v>
      </c>
      <c r="DA7" t="n">
        <v>15.9</v>
      </c>
      <c r="DB7" t="n">
        <v>18.3</v>
      </c>
      <c r="DC7" t="n">
        <v>18.1</v>
      </c>
      <c r="DD7" t="n">
        <v>15.9</v>
      </c>
      <c r="DE7" t="n">
        <v>13.4</v>
      </c>
      <c r="DF7" t="n">
        <v>15.1</v>
      </c>
      <c r="DG7" t="n">
        <v>14.9</v>
      </c>
      <c r="DH7" t="n">
        <v>18.4</v>
      </c>
    </row>
    <row r="8">
      <c r="A8" s="5" t="inlineStr">
        <is>
          <t>Deposits from customers</t>
        </is>
      </c>
      <c r="B8" s="5" t="n"/>
      <c r="C8" s="5" t="n"/>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CR8" t="inlineStr">
        <is>
          <t>Leverage Ratio</t>
        </is>
      </c>
      <c r="CW8" t="n">
        <v>10</v>
      </c>
      <c r="CX8" t="n">
        <v>4.9</v>
      </c>
      <c r="CY8" t="n">
        <v>6.5</v>
      </c>
      <c r="CZ8" t="n">
        <v>5.5</v>
      </c>
      <c r="DA8" t="n">
        <v>5.4</v>
      </c>
      <c r="DB8" t="n">
        <v>6.6</v>
      </c>
      <c r="DC8" t="n">
        <v>5.6</v>
      </c>
      <c r="DD8" t="n">
        <v>5.2</v>
      </c>
      <c r="DE8" t="n">
        <v>4.2</v>
      </c>
      <c r="DF8" t="n">
        <v>5.3</v>
      </c>
      <c r="DG8" t="n">
        <v>5.6</v>
      </c>
      <c r="DH8" t="n">
        <v>7.8</v>
      </c>
    </row>
    <row r="9">
      <c r="A9" s="5" t="inlineStr">
        <is>
          <t>Total equity</t>
        </is>
      </c>
      <c r="B9" s="5" t="n"/>
      <c r="C9" s="5" t="n"/>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CR9" t="inlineStr">
        <is>
          <t>LCR</t>
        </is>
      </c>
      <c r="CY9" t="n">
        <v>136</v>
      </c>
      <c r="CZ9" t="n">
        <v>141</v>
      </c>
      <c r="DA9" t="n">
        <v>139</v>
      </c>
      <c r="DB9" t="n">
        <v>197</v>
      </c>
      <c r="DC9" t="n">
        <v>187</v>
      </c>
      <c r="DD9" t="n">
        <v>281</v>
      </c>
      <c r="DE9" t="n">
        <v>246</v>
      </c>
      <c r="DF9" t="n">
        <v>244</v>
      </c>
      <c r="DG9" t="n">
        <v>444</v>
      </c>
      <c r="DH9" t="n">
        <v>314</v>
      </c>
    </row>
    <row r="10">
      <c r="CR10" t="inlineStr">
        <is>
          <t>NSFR</t>
        </is>
      </c>
      <c r="DE10" t="n">
        <v>143</v>
      </c>
      <c r="DF10" t="n">
        <v>136</v>
      </c>
      <c r="DG10" t="n">
        <v>160</v>
      </c>
      <c r="DH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 (16m)</t>
        </is>
      </c>
      <c r="BG19" t="inlineStr">
        <is>
          <t>FY2010 (16m)</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N20" s="5" t="n"/>
      <c r="O20" s="5" t="n"/>
      <c r="P20" s="5" t="n"/>
      <c r="Q20" s="5" t="n"/>
      <c r="BF20" t="inlineStr">
        <is>
          <t>Opening equity</t>
        </is>
      </c>
      <c r="BK20" t="n">
        <v>401</v>
      </c>
      <c r="BL20" t="n">
        <v>462</v>
      </c>
      <c r="BM20" t="n">
        <v>407</v>
      </c>
      <c r="BN20" t="n">
        <v>805</v>
      </c>
      <c r="BO20" t="n">
        <v>1096</v>
      </c>
      <c r="BP20" t="n">
        <v>1403</v>
      </c>
      <c r="BQ20" t="n">
        <v>1583</v>
      </c>
      <c r="BR20" t="n">
        <v>1294</v>
      </c>
      <c r="BS20" t="n">
        <v>1036</v>
      </c>
      <c r="BT20" t="n">
        <v>957</v>
      </c>
    </row>
    <row r="21">
      <c r="A21" s="5" t="inlineStr">
        <is>
          <t>Total comprehensive income for the year</t>
        </is>
      </c>
      <c r="B21" s="5" t="n"/>
      <c r="C21" s="5" t="n"/>
      <c r="D21" s="5" t="n">
        <v>48</v>
      </c>
      <c r="E21" s="5" t="n"/>
      <c r="F21" s="5" t="n"/>
      <c r="G21" s="5" t="n"/>
      <c r="H21" s="5" t="n"/>
      <c r="I21" s="5" t="n">
        <v>23</v>
      </c>
      <c r="J21" s="5" t="n">
        <v>10</v>
      </c>
      <c r="K21" s="5" t="n"/>
      <c r="L21" s="5" t="n"/>
      <c r="M21" s="5" t="n"/>
      <c r="N21" s="5" t="n"/>
      <c r="O21" s="5" t="n"/>
      <c r="P21" s="5" t="n"/>
      <c r="Q21" s="5" t="n"/>
      <c r="BF21" t="inlineStr">
        <is>
          <t>Total comprehensive income for the year</t>
        </is>
      </c>
      <c r="BN21" t="n">
        <v>10</v>
      </c>
      <c r="BO21" t="n">
        <v>23</v>
      </c>
      <c r="BT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N22" s="5" t="n"/>
      <c r="O22" s="5" t="n"/>
      <c r="P22" s="5" t="n"/>
      <c r="Q22" s="5" t="n"/>
      <c r="BF22" t="inlineStr">
        <is>
          <t>Total comprehensive loss for the year</t>
        </is>
      </c>
      <c r="BK22" t="n">
        <v>-38</v>
      </c>
      <c r="BL22" t="n">
        <v>-57</v>
      </c>
      <c r="BM22" t="n">
        <v>-8</v>
      </c>
      <c r="BP22" t="n">
        <v>-183</v>
      </c>
      <c r="BQ22" t="n">
        <v>-296</v>
      </c>
      <c r="BR22" t="n">
        <v>-260</v>
      </c>
      <c r="BS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N23" s="5" t="n"/>
      <c r="O23" s="5" t="n"/>
      <c r="P23" s="5" t="n"/>
      <c r="Q23" s="5" t="n"/>
      <c r="BF23" t="inlineStr">
        <is>
          <t>Other equity movements, net</t>
        </is>
      </c>
      <c r="BK23" t="n">
        <v>100</v>
      </c>
      <c r="BL23" t="n">
        <v>2</v>
      </c>
      <c r="BM23" t="n">
        <v>406</v>
      </c>
      <c r="BN23" t="n">
        <v>282</v>
      </c>
      <c r="BO23" t="n">
        <v>283</v>
      </c>
      <c r="BP23" t="n">
        <v>363</v>
      </c>
      <c r="BQ23" t="n">
        <v>2</v>
      </c>
      <c r="BR23" t="n">
        <v>2</v>
      </c>
      <c r="BS23" t="n">
        <v>2</v>
      </c>
      <c r="BT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N24" s="5" t="n"/>
      <c r="O24" s="5" t="n"/>
      <c r="P24" s="5" t="n"/>
      <c r="Q24" s="5" t="n"/>
      <c r="BF24" t="inlineStr">
        <is>
          <t>Closing equity</t>
        </is>
      </c>
      <c r="BK24" t="n">
        <v>462</v>
      </c>
      <c r="BL24" t="n">
        <v>407</v>
      </c>
      <c r="BM24" t="n">
        <v>805</v>
      </c>
      <c r="BN24" t="n">
        <v>1096</v>
      </c>
      <c r="BO24" t="n">
        <v>1403</v>
      </c>
      <c r="BP24" t="n">
        <v>1583</v>
      </c>
      <c r="BQ24" t="n">
        <v>1289</v>
      </c>
      <c r="BR24" t="n">
        <v>1036</v>
      </c>
      <c r="BS24" t="n">
        <v>957</v>
      </c>
      <c r="BT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Z27" t="inlineStr">
        <is>
          <t>FY2010 (16m)</t>
        </is>
      </c>
      <c r="CA27" t="inlineStr">
        <is>
          <t>FY2011</t>
        </is>
      </c>
      <c r="CB27" t="inlineStr">
        <is>
          <t>FY2012</t>
        </is>
      </c>
      <c r="CC27" t="inlineStr">
        <is>
          <t>FY2013</t>
        </is>
      </c>
      <c r="CD27" t="inlineStr">
        <is>
          <t>FY2014</t>
        </is>
      </c>
      <c r="CE27" t="inlineStr">
        <is>
          <t>FY2015</t>
        </is>
      </c>
      <c r="CF27" t="inlineStr">
        <is>
          <t>FY2016</t>
        </is>
      </c>
      <c r="CG27" t="inlineStr">
        <is>
          <t>FY2017</t>
        </is>
      </c>
      <c r="CH27" t="inlineStr">
        <is>
          <t>FY2018</t>
        </is>
      </c>
      <c r="CI27" t="inlineStr">
        <is>
          <t>FY2019</t>
        </is>
      </c>
      <c r="CJ27" t="inlineStr">
        <is>
          <t>FY2020</t>
        </is>
      </c>
      <c r="CK27" t="inlineStr">
        <is>
          <t>FY2021</t>
        </is>
      </c>
      <c r="CL27" t="inlineStr">
        <is>
          <t>FY2022</t>
        </is>
      </c>
      <c r="CM27" t="inlineStr">
        <is>
          <t>FY2023</t>
        </is>
      </c>
      <c r="CN27" t="inlineStr">
        <is>
          <t>FY2024</t>
        </is>
      </c>
      <c r="CO27" t="inlineStr">
        <is>
          <t>FY2025</t>
        </is>
      </c>
    </row>
    <row r="28">
      <c r="A28" s="5" t="inlineStr">
        <is>
          <t>Net cash inflows/(outflows) from operating activities</t>
        </is>
      </c>
      <c r="B28" s="5" t="n"/>
      <c r="C28" s="5" t="n"/>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Y28" t="inlineStr">
        <is>
          <t>Net cash inflows/(outflows) from operating activities</t>
        </is>
      </c>
      <c r="BZ28" t="n">
        <v>-6.5</v>
      </c>
      <c r="CA28" t="n">
        <v>63.7</v>
      </c>
      <c r="CB28" t="n">
        <v>255.8</v>
      </c>
      <c r="CC28" t="n">
        <v>249.3</v>
      </c>
      <c r="CD28" t="n">
        <v>810</v>
      </c>
      <c r="CE28" t="n">
        <v>546</v>
      </c>
      <c r="CF28" t="n">
        <v>1169</v>
      </c>
      <c r="CG28" t="n">
        <v>2294</v>
      </c>
      <c r="CH28" t="n">
        <v>153</v>
      </c>
      <c r="CI28" t="n">
        <v>-1655</v>
      </c>
      <c r="CJ28" t="n">
        <v>1041</v>
      </c>
      <c r="CK28" t="n">
        <v>2874</v>
      </c>
      <c r="CL28" t="n">
        <v>-1167</v>
      </c>
      <c r="CM28" t="n">
        <v>612</v>
      </c>
    </row>
    <row r="29">
      <c r="A29" s="5" t="inlineStr">
        <is>
          <t>Net cash inflows/(outflows) from investing activities</t>
        </is>
      </c>
      <c r="B29" s="5" t="n"/>
      <c r="C29" s="5" t="n"/>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Y29" t="inlineStr">
        <is>
          <t>Net cash inflows/(outflows) from investing activities</t>
        </is>
      </c>
      <c r="BZ29" t="n">
        <v>-62</v>
      </c>
      <c r="CA29" t="n">
        <v>-59.1</v>
      </c>
      <c r="CB29" t="n">
        <v>-365.3</v>
      </c>
      <c r="CC29" t="n">
        <v>-344.6</v>
      </c>
      <c r="CD29" t="n">
        <v>-957</v>
      </c>
      <c r="CE29" t="n">
        <v>-480</v>
      </c>
      <c r="CF29" t="n">
        <v>-1349</v>
      </c>
      <c r="CG29" t="n">
        <v>-858</v>
      </c>
      <c r="CH29" t="n">
        <v>-443</v>
      </c>
      <c r="CI29" t="n">
        <v>1376</v>
      </c>
      <c r="CJ29" t="n">
        <v>-956</v>
      </c>
      <c r="CK29" t="n">
        <v>-2274</v>
      </c>
      <c r="CL29" t="n">
        <v>-402</v>
      </c>
      <c r="CM29" t="n">
        <v>1028</v>
      </c>
    </row>
    <row r="30">
      <c r="A30" s="5" t="inlineStr">
        <is>
          <t>Net cash inflows/(outflows) from financing activities</t>
        </is>
      </c>
      <c r="B30" s="5" t="n"/>
      <c r="C30" s="5" t="n"/>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Y30" t="inlineStr">
        <is>
          <t>Net cash inflows/(outflows) from financing activities</t>
        </is>
      </c>
      <c r="BZ30" t="n">
        <v>120.1</v>
      </c>
      <c r="CA30" t="n">
        <v>0</v>
      </c>
      <c r="CB30" t="n">
        <v>126</v>
      </c>
      <c r="CC30" t="n">
        <v>284.3</v>
      </c>
      <c r="CD30" t="n">
        <v>99</v>
      </c>
      <c r="CE30" t="n">
        <v>0</v>
      </c>
      <c r="CF30" t="n">
        <v>398</v>
      </c>
      <c r="CG30" t="n">
        <v>276</v>
      </c>
      <c r="CH30" t="n">
        <v>550</v>
      </c>
      <c r="CI30" t="n">
        <v>796</v>
      </c>
      <c r="CJ30" t="n">
        <v>-81</v>
      </c>
      <c r="CK30" t="n">
        <v>-27</v>
      </c>
      <c r="CL30" t="n">
        <v>-25</v>
      </c>
      <c r="CM30" t="n">
        <v>296</v>
      </c>
    </row>
    <row r="31">
      <c r="A31" s="5" t="inlineStr">
        <is>
          <t>Cash and cash equivalents at end of year</t>
        </is>
      </c>
      <c r="B31" s="5" t="n"/>
      <c r="C31" s="5" t="n"/>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Y31" t="inlineStr">
        <is>
          <t>Cash and cash equivalents at end of year</t>
        </is>
      </c>
      <c r="BZ31" t="n">
        <v>52.9</v>
      </c>
      <c r="CA31" t="n">
        <v>57.6</v>
      </c>
      <c r="CB31" t="n">
        <v>74.09999999999999</v>
      </c>
      <c r="CC31" t="n">
        <v>263.2</v>
      </c>
      <c r="CD31" t="n">
        <v>216</v>
      </c>
      <c r="CE31" t="n">
        <v>282</v>
      </c>
      <c r="CF31" t="n">
        <v>500</v>
      </c>
      <c r="CG31" t="n">
        <v>2212</v>
      </c>
      <c r="CH31" t="n">
        <v>2472</v>
      </c>
      <c r="CI31" t="n">
        <v>2989</v>
      </c>
      <c r="CJ31" t="n">
        <v>2993</v>
      </c>
      <c r="CK31" t="n">
        <v>3547</v>
      </c>
      <c r="CL31" t="n">
        <v>1953</v>
      </c>
      <c r="CM31" t="n">
        <v>3889</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c r="N34" s="4" t="inlineStr">
        <is>
          <t>FY2013</t>
        </is>
      </c>
      <c r="O34" s="4" t="inlineStr">
        <is>
          <t>FY2012</t>
        </is>
      </c>
      <c r="P34" s="4" t="inlineStr">
        <is>
          <t>FY2011</t>
        </is>
      </c>
      <c r="Q34" s="4" t="inlineStr">
        <is>
          <t>FY2010 (16m)</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c r="N35" s="6" t="n"/>
      <c r="O35" s="6" t="n"/>
      <c r="P35" s="6" t="n"/>
      <c r="Q35" s="6" t="n"/>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c r="N36" s="6" t="n"/>
      <c r="O36" s="6" t="n"/>
      <c r="P36" s="6" t="n"/>
      <c r="Q36" s="6" t="n"/>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c r="N37" s="6" t="n"/>
      <c r="O37" s="6" t="n"/>
      <c r="P37" s="6" t="n"/>
      <c r="Q37" s="6" t="n"/>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c r="N38" s="6" t="n"/>
      <c r="O38" s="6" t="n"/>
      <c r="P38" s="6" t="n"/>
      <c r="Q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c r="N39" s="6" t="n"/>
      <c r="O39" s="6" t="n"/>
      <c r="P39" s="6" t="n"/>
      <c r="Q39" s="6" t="n"/>
    </row>
    <row r="41" ht="45" customHeight="1">
      <c r="A41" s="7" t="inlineStr">
        <is>
          <t>Note: Metro Bank PLC entity basis. Balance Sheet/Equity Changes summaries are Company/standalone (FY2024-FY2025 blank - no standalone Metro Bank PLC accounts located); Profit &amp; Loss summary is Group/consolidated (Metro Bank PLC does not publish its own income statement); cash-flow is Company/standalone with the same FY2024-FY2025 gap.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not located (see source note) - same basis and gap as the Cash Flow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c r="C5" s="6" t="n"/>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c r="C7" s="6" t="n"/>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c r="C8" s="6" t="n"/>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c r="C9" s="6" t="n"/>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c r="C14" s="6" t="n"/>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c r="C15" s="6" t="n"/>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c r="C16" s="6" t="n"/>
      <c r="D16" s="6" t="n">
        <v>15</v>
      </c>
      <c r="E16" s="6" t="n">
        <v>31</v>
      </c>
      <c r="F16" s="6" t="n">
        <v>31</v>
      </c>
      <c r="G16" s="6" t="n"/>
      <c r="H16" s="6" t="n"/>
      <c r="I16" s="6" t="n"/>
      <c r="J16" s="6" t="n"/>
      <c r="K16" s="6" t="n"/>
      <c r="L16" s="6" t="n"/>
      <c r="M16" s="6" t="n"/>
      <c r="N16" s="6" t="n"/>
      <c r="O16" s="6" t="n"/>
      <c r="P16" s="6" t="n"/>
      <c r="Q16" s="6" t="n"/>
    </row>
    <row r="17">
      <c r="A17" s="6" t="inlineStr">
        <is>
          <t>Intangible assets</t>
        </is>
      </c>
      <c r="B17" s="6" t="n"/>
      <c r="C17" s="6" t="n"/>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c r="C18" s="6" t="n"/>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c r="C19" s="6" t="n"/>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c r="C21" s="6" t="n"/>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c r="C22" s="5" t="n"/>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c r="C24" s="6" t="n"/>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c r="C25" s="6" t="n"/>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c r="C26" s="6" t="n"/>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c r="C28" s="6" t="n"/>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c r="C29" s="6" t="n"/>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c r="C30" s="6" t="n"/>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c r="C31" s="6" t="n"/>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c r="C32" s="6" t="n"/>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c r="C34" s="6" t="n"/>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c r="C35" s="5" t="n"/>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c r="C37" s="6" t="n"/>
      <c r="D37" s="6" t="n"/>
      <c r="E37" s="6" t="n"/>
      <c r="F37" s="6" t="n"/>
      <c r="G37" s="6" t="n"/>
      <c r="H37" s="6" t="n"/>
      <c r="I37" s="6" t="n"/>
      <c r="J37" s="6" t="n"/>
      <c r="K37" s="6" t="n"/>
      <c r="L37" s="6" t="n"/>
      <c r="M37" s="6" t="n"/>
      <c r="N37" s="6" t="n"/>
      <c r="O37" s="6" t="n"/>
      <c r="P37" s="6" t="n"/>
      <c r="Q37" s="6" t="n"/>
    </row>
    <row r="38">
      <c r="A38" s="6" t="inlineStr">
        <is>
          <t>Share premium</t>
        </is>
      </c>
      <c r="B38" s="6" t="n"/>
      <c r="C38" s="6" t="n"/>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c r="C39" s="6" t="n"/>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reserves</t>
        </is>
      </c>
      <c r="B40" s="6" t="n"/>
      <c r="C40" s="6" t="n"/>
      <c r="D40" s="6" t="n">
        <v>12</v>
      </c>
      <c r="E40" s="6" t="n">
        <v>7</v>
      </c>
      <c r="F40" s="6" t="n">
        <v>13</v>
      </c>
      <c r="G40" s="6" t="n">
        <v>19</v>
      </c>
      <c r="H40" s="6" t="n">
        <v>11</v>
      </c>
      <c r="I40" s="6" t="n">
        <v>7</v>
      </c>
      <c r="J40" s="6" t="n">
        <v>12</v>
      </c>
      <c r="K40" s="6" t="n">
        <v>7</v>
      </c>
      <c r="L40" s="6" t="n">
        <v>-9</v>
      </c>
      <c r="M40" s="6" t="n">
        <v>-3</v>
      </c>
      <c r="N40" s="6" t="n">
        <v>-6.8</v>
      </c>
      <c r="O40" s="6" t="n">
        <v>8.9</v>
      </c>
      <c r="P40" s="6" t="n">
        <v>0.2</v>
      </c>
      <c r="Q40" s="6" t="n"/>
    </row>
    <row r="41">
      <c r="A41" s="5" t="inlineStr">
        <is>
          <t>Total equity</t>
        </is>
      </c>
      <c r="B41" s="5" t="n"/>
      <c r="C41" s="5" t="n"/>
      <c r="D41" s="5" t="n">
        <v>1152</v>
      </c>
      <c r="E41" s="5" t="n">
        <v>957</v>
      </c>
      <c r="F41" s="5" t="n">
        <v>1036</v>
      </c>
      <c r="G41" s="5" t="n">
        <v>1289</v>
      </c>
      <c r="H41" s="5" t="n">
        <v>1583</v>
      </c>
      <c r="I41" s="5" t="n">
        <v>1403</v>
      </c>
      <c r="J41" s="5" t="n">
        <v>1096</v>
      </c>
      <c r="K41" s="5" t="n">
        <v>805</v>
      </c>
      <c r="L41" s="5" t="n">
        <v>407</v>
      </c>
      <c r="M41" s="5" t="n">
        <v>462</v>
      </c>
      <c r="N41" s="5" t="n">
        <v>405</v>
      </c>
      <c r="O41" s="5" t="n">
        <v>178.2</v>
      </c>
      <c r="P41" s="5" t="n">
        <v>78</v>
      </c>
      <c r="Q41" s="5" t="n">
        <v>96.8</v>
      </c>
    </row>
    <row r="42">
      <c r="A42" s="5" t="inlineStr">
        <is>
          <t>Total equity and liabilities</t>
        </is>
      </c>
      <c r="B42" s="5" t="n"/>
      <c r="C42" s="5" t="n"/>
      <c r="D42" s="5" t="n">
        <v>22257</v>
      </c>
      <c r="E42" s="5" t="n">
        <v>22126</v>
      </c>
      <c r="F42" s="5" t="n">
        <v>22583</v>
      </c>
      <c r="G42" s="5" t="n">
        <v>22579</v>
      </c>
      <c r="H42" s="5" t="n">
        <v>21400</v>
      </c>
      <c r="I42" s="5" t="n">
        <v>21647</v>
      </c>
      <c r="J42" s="5" t="n">
        <v>16355</v>
      </c>
      <c r="K42" s="5" t="n">
        <v>10057</v>
      </c>
      <c r="L42" s="5" t="n">
        <v>6148</v>
      </c>
      <c r="M42" s="5" t="n">
        <v>3661</v>
      </c>
      <c r="N42" s="5" t="n">
        <v>1891.6</v>
      </c>
      <c r="O42" s="5" t="n">
        <v>771.2</v>
      </c>
      <c r="P42" s="5" t="n">
        <v>240.3</v>
      </c>
      <c r="Q42" s="5" t="n">
        <v>119.1</v>
      </c>
    </row>
    <row r="44" ht="340" customHeight="1">
      <c r="A44"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44:Q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30:Q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FY2021-FY2023 are Company/standalone basis (see HD-049 basis note); FY2024-FY2025 not located - same gap as the Balance Sheet and Cash Flow Statement.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Total equity</t>
        </is>
      </c>
    </row>
    <row r="4">
      <c r="A4" s="5" t="inlineStr">
        <is>
          <t>Balance at 19 September 2009 (opening, Company basis - conversion to PLC)</t>
        </is>
      </c>
      <c r="B4" s="5" t="n">
        <v>0.1</v>
      </c>
      <c r="C4" s="5" t="n">
        <v>0</v>
      </c>
      <c r="D4" s="5" t="n">
        <v>0</v>
      </c>
      <c r="E4" s="5" t="n"/>
      <c r="F4" s="5" t="n"/>
      <c r="G4" s="5" t="n"/>
      <c r="H4" s="5" t="n">
        <v>0.1</v>
      </c>
    </row>
    <row r="5">
      <c r="A5" s="6" t="inlineStr">
        <is>
          <t>Net loss for the period (16 months to 31 December 2010)</t>
        </is>
      </c>
      <c r="B5" s="6" t="n"/>
      <c r="C5" s="6" t="n"/>
      <c r="D5" s="6" t="n">
        <v>-23.4</v>
      </c>
      <c r="E5" s="6" t="n"/>
      <c r="F5" s="6" t="n"/>
      <c r="G5" s="6" t="n"/>
      <c r="H5" s="6" t="n">
        <v>-23.4</v>
      </c>
    </row>
    <row r="6">
      <c r="A6" s="6" t="inlineStr">
        <is>
          <t>Issue of new ordinary shares</t>
        </is>
      </c>
      <c r="B6" s="6" t="n"/>
      <c r="C6" s="6" t="n">
        <v>120.1</v>
      </c>
      <c r="D6" s="6" t="n"/>
      <c r="E6" s="6" t="n"/>
      <c r="F6" s="6" t="n"/>
      <c r="G6" s="6" t="n"/>
      <c r="H6" s="6" t="n">
        <v>120.1</v>
      </c>
    </row>
    <row r="7">
      <c r="A7" s="6" t="inlineStr">
        <is>
          <t>Repayment of preference shares</t>
        </is>
      </c>
      <c r="B7" s="6" t="n">
        <v>-0.1</v>
      </c>
      <c r="C7" s="6" t="n"/>
      <c r="D7" s="6" t="n"/>
      <c r="E7" s="6" t="n"/>
      <c r="F7" s="6" t="n"/>
      <c r="G7" s="6" t="n"/>
      <c r="H7" s="6" t="n">
        <v>-0.1</v>
      </c>
    </row>
    <row r="8">
      <c r="A8" s="5" t="inlineStr">
        <is>
          <t>Balance as at 31 December 2010 (FY2010 closing, 16-month first accounts, Company basis)</t>
        </is>
      </c>
      <c r="B8" s="5" t="n">
        <v>0</v>
      </c>
      <c r="C8" s="5" t="n">
        <v>120.1</v>
      </c>
      <c r="D8" s="5" t="n">
        <v>-23.3</v>
      </c>
      <c r="E8" s="5" t="n"/>
      <c r="F8" s="5" t="n"/>
      <c r="G8" s="5" t="n"/>
      <c r="H8" s="5" t="n">
        <v>96.8</v>
      </c>
    </row>
    <row r="9">
      <c r="A9" s="6" t="inlineStr">
        <is>
          <t>Net loss for the year</t>
        </is>
      </c>
      <c r="B9" s="6" t="n"/>
      <c r="C9" s="6" t="n"/>
      <c r="D9" s="6" t="n">
        <v>-19</v>
      </c>
      <c r="E9" s="6" t="n"/>
      <c r="F9" s="6" t="n"/>
      <c r="G9" s="6" t="n"/>
      <c r="H9" s="6" t="n">
        <v>-19</v>
      </c>
    </row>
    <row r="10">
      <c r="A10" s="6" t="inlineStr">
        <is>
          <t>Other comprehensive income relating to available-for-sale investments, net of tax</t>
        </is>
      </c>
      <c r="B10" s="6" t="n"/>
      <c r="C10" s="6" t="n"/>
      <c r="D10" s="6" t="n"/>
      <c r="E10" s="6" t="n">
        <v>0.1</v>
      </c>
      <c r="F10" s="6" t="n"/>
      <c r="G10" s="6" t="n"/>
      <c r="H10" s="6" t="n">
        <v>0.1</v>
      </c>
    </row>
    <row r="11">
      <c r="A11" s="6" t="inlineStr">
        <is>
          <t>Share options at fair value</t>
        </is>
      </c>
      <c r="B11" s="6" t="n"/>
      <c r="C11" s="6" t="n"/>
      <c r="D11" s="6" t="n"/>
      <c r="E11" s="6" t="n"/>
      <c r="F11" s="6" t="n">
        <v>0.1</v>
      </c>
      <c r="G11" s="6" t="n"/>
      <c r="H11" s="6" t="n">
        <v>0.1</v>
      </c>
    </row>
    <row r="12">
      <c r="A12" s="5" t="inlineStr">
        <is>
          <t>Balance as at 31 December 2011 (FY2011 closing, Company basis)</t>
        </is>
      </c>
      <c r="B12" s="5" t="n">
        <v>0</v>
      </c>
      <c r="C12" s="5" t="n">
        <v>120.1</v>
      </c>
      <c r="D12" s="5" t="n">
        <v>-42.3</v>
      </c>
      <c r="E12" s="5" t="n">
        <v>0.1</v>
      </c>
      <c r="F12" s="5" t="n">
        <v>0.1</v>
      </c>
      <c r="G12" s="5" t="n"/>
      <c r="H12" s="5" t="n">
        <v>78</v>
      </c>
    </row>
    <row r="13">
      <c r="A13" s="6" t="inlineStr">
        <is>
          <t>Share issue</t>
        </is>
      </c>
      <c r="B13" s="6" t="n"/>
      <c r="C13" s="6" t="n">
        <v>126</v>
      </c>
      <c r="D13" s="6" t="n"/>
      <c r="E13" s="6" t="n"/>
      <c r="F13" s="6" t="n"/>
      <c r="G13" s="6" t="n"/>
      <c r="H13" s="6" t="n">
        <v>126</v>
      </c>
    </row>
    <row r="14">
      <c r="A14" s="6" t="inlineStr">
        <is>
          <t>Net loss for the year</t>
        </is>
      </c>
      <c r="B14" s="6" t="n"/>
      <c r="C14" s="6" t="n"/>
      <c r="D14" s="6" t="n">
        <v>-34.6</v>
      </c>
      <c r="E14" s="6" t="n"/>
      <c r="F14" s="6" t="n"/>
      <c r="G14" s="6" t="n"/>
      <c r="H14" s="6" t="n">
        <v>-34.6</v>
      </c>
    </row>
    <row r="15">
      <c r="A15" s="6" t="inlineStr">
        <is>
          <t>Other comprehensive income relating to available-for-sale investments, net of tax</t>
        </is>
      </c>
      <c r="B15" s="6" t="n"/>
      <c r="C15" s="6" t="n"/>
      <c r="D15" s="6" t="n"/>
      <c r="E15" s="6" t="n">
        <v>8.5</v>
      </c>
      <c r="F15" s="6" t="n"/>
      <c r="G15" s="6" t="n"/>
      <c r="H15" s="6" t="n">
        <v>8.5</v>
      </c>
    </row>
    <row r="16">
      <c r="A16" s="6" t="inlineStr">
        <is>
          <t>Share options at fair value</t>
        </is>
      </c>
      <c r="B16" s="6" t="n"/>
      <c r="C16" s="6" t="n"/>
      <c r="D16" s="6" t="n"/>
      <c r="E16" s="6" t="n"/>
      <c r="F16" s="6" t="n">
        <v>0.3</v>
      </c>
      <c r="G16" s="6" t="n"/>
      <c r="H16" s="6" t="n">
        <v>0.3</v>
      </c>
    </row>
    <row r="17">
      <c r="A17" s="5" t="inlineStr">
        <is>
          <t>Balance as at 31 December 2012 (FY2012 closing, Company basis)</t>
        </is>
      </c>
      <c r="B17" s="5" t="n">
        <v>0</v>
      </c>
      <c r="C17" s="5" t="n">
        <v>246.2</v>
      </c>
      <c r="D17" s="5" t="n">
        <v>-76.90000000000001</v>
      </c>
      <c r="E17" s="5" t="n">
        <v>8.6</v>
      </c>
      <c r="F17" s="5" t="n">
        <v>0.4</v>
      </c>
      <c r="G17" s="5" t="n"/>
      <c r="H17" s="5" t="n">
        <v>178.2</v>
      </c>
    </row>
    <row r="18">
      <c r="A18" s="6" t="inlineStr">
        <is>
          <t>Share issue</t>
        </is>
      </c>
      <c r="B18" s="6" t="n"/>
      <c r="C18" s="6" t="n">
        <v>284.3</v>
      </c>
      <c r="D18" s="6" t="n"/>
      <c r="E18" s="6" t="n"/>
      <c r="F18" s="6" t="n"/>
      <c r="G18" s="6" t="n"/>
      <c r="H18" s="6" t="n">
        <v>284.3</v>
      </c>
    </row>
    <row r="19">
      <c r="A19" s="6" t="inlineStr">
        <is>
          <t>Net loss for the year</t>
        </is>
      </c>
      <c r="B19" s="6" t="n"/>
      <c r="C19" s="6" t="n"/>
      <c r="D19" s="6" t="n">
        <v>-41.8</v>
      </c>
      <c r="E19" s="6" t="n"/>
      <c r="F19" s="6" t="n"/>
      <c r="G19" s="6" t="n"/>
      <c r="H19" s="6" t="n">
        <v>-41.8</v>
      </c>
    </row>
    <row r="20">
      <c r="A20" s="6" t="inlineStr">
        <is>
          <t>Other comprehensive expense relating to available-for-sale investments, net of tax</t>
        </is>
      </c>
      <c r="B20" s="6" t="n"/>
      <c r="C20" s="6" t="n"/>
      <c r="D20" s="6" t="n"/>
      <c r="E20" s="6" t="n">
        <v>-16.1</v>
      </c>
      <c r="F20" s="6" t="n"/>
      <c r="G20" s="6" t="n"/>
      <c r="H20" s="6" t="n">
        <v>-16.1</v>
      </c>
    </row>
    <row r="21">
      <c r="A21" s="6" t="inlineStr">
        <is>
          <t>Share options at fair value</t>
        </is>
      </c>
      <c r="B21" s="6" t="n"/>
      <c r="C21" s="6" t="n"/>
      <c r="D21" s="6" t="n"/>
      <c r="E21" s="6" t="n"/>
      <c r="F21" s="6" t="n">
        <v>0.4</v>
      </c>
      <c r="G21" s="6" t="n"/>
      <c r="H21" s="6" t="n">
        <v>0.4</v>
      </c>
    </row>
    <row r="22">
      <c r="A22" s="5" t="inlineStr">
        <is>
          <t>Balance as at 31 December 2013 (FY2013 closing, own contemporaneous figures, Group basis)</t>
        </is>
      </c>
      <c r="B22" s="5" t="n">
        <v>0</v>
      </c>
      <c r="C22" s="5" t="n">
        <v>530.5</v>
      </c>
      <c r="D22" s="5" t="n">
        <v>-118.7</v>
      </c>
      <c r="E22" s="5" t="n">
        <v>-7.5</v>
      </c>
      <c r="F22" s="5" t="n">
        <v>0.8</v>
      </c>
      <c r="G22" s="5" t="n"/>
      <c r="H22" s="5" t="n">
        <v>405</v>
      </c>
    </row>
    <row r="23">
      <c r="A23" s="5" t="inlineStr">
        <is>
          <t>At 1 January 2014 (FY2014 opening, restated, Group basis)</t>
        </is>
      </c>
      <c r="B23" s="5" t="n">
        <v>0</v>
      </c>
      <c r="C23" s="5" t="n">
        <v>530</v>
      </c>
      <c r="D23" s="5" t="n">
        <v>-123</v>
      </c>
      <c r="E23" s="5" t="n">
        <v>-8</v>
      </c>
      <c r="F23" s="5" t="n">
        <v>1</v>
      </c>
      <c r="G23" s="5" t="n"/>
      <c r="H23" s="5" t="n">
        <v>401</v>
      </c>
    </row>
    <row r="24">
      <c r="A24" s="6" t="inlineStr">
        <is>
          <t>Loss for the year</t>
        </is>
      </c>
      <c r="B24" s="6" t="n"/>
      <c r="C24" s="6" t="n"/>
      <c r="D24" s="6" t="n">
        <v>-41</v>
      </c>
      <c r="E24" s="6" t="n"/>
      <c r="F24" s="6" t="n"/>
      <c r="G24" s="6" t="n"/>
      <c r="H24" s="6" t="n">
        <v>-41</v>
      </c>
    </row>
    <row r="25">
      <c r="A25" s="6" t="inlineStr">
        <is>
          <t>Other comprehensive income relating to available-for-sale investments, net of tax</t>
        </is>
      </c>
      <c r="B25" s="6" t="n"/>
      <c r="C25" s="6" t="n"/>
      <c r="D25" s="6" t="n"/>
      <c r="E25" s="6" t="n">
        <v>3</v>
      </c>
      <c r="F25" s="6" t="n"/>
      <c r="G25" s="6" t="n"/>
      <c r="H25" s="6" t="n">
        <v>3</v>
      </c>
    </row>
    <row r="26">
      <c r="A26" s="6" t="inlineStr">
        <is>
          <t>Share issue</t>
        </is>
      </c>
      <c r="B26" s="6" t="n"/>
      <c r="C26" s="6" t="n">
        <v>99</v>
      </c>
      <c r="D26" s="6" t="n"/>
      <c r="E26" s="6" t="n"/>
      <c r="F26" s="6" t="n"/>
      <c r="G26" s="6" t="n"/>
      <c r="H26" s="6" t="n">
        <v>99</v>
      </c>
    </row>
    <row r="27">
      <c r="A27" s="6" t="inlineStr">
        <is>
          <t>Share options at fair value</t>
        </is>
      </c>
      <c r="B27" s="6" t="n"/>
      <c r="C27" s="6" t="n"/>
      <c r="D27" s="6" t="n"/>
      <c r="E27" s="6" t="n"/>
      <c r="F27" s="6" t="n">
        <v>1</v>
      </c>
      <c r="G27" s="6" t="n"/>
      <c r="H27" s="6" t="n">
        <v>1</v>
      </c>
    </row>
    <row r="28">
      <c r="A28" s="5" t="inlineStr">
        <is>
          <t>At 31 December 2014 (FY2014 closing, restated)</t>
        </is>
      </c>
      <c r="B28" s="5" t="n">
        <v>0</v>
      </c>
      <c r="C28" s="5" t="n">
        <v>629</v>
      </c>
      <c r="D28" s="5" t="n">
        <v>-164</v>
      </c>
      <c r="E28" s="5" t="n">
        <v>-4</v>
      </c>
      <c r="F28" s="5" t="n">
        <v>2</v>
      </c>
      <c r="G28" s="5" t="n"/>
      <c r="H28" s="5" t="n">
        <v>462</v>
      </c>
    </row>
    <row r="29">
      <c r="A29" s="6" t="inlineStr">
        <is>
          <t>Loss for the year</t>
        </is>
      </c>
      <c r="B29" s="6" t="n"/>
      <c r="C29" s="6" t="n"/>
      <c r="D29" s="6" t="n">
        <v>-49</v>
      </c>
      <c r="E29" s="6" t="n"/>
      <c r="F29" s="6" t="n"/>
      <c r="G29" s="6" t="n"/>
      <c r="H29" s="6" t="n">
        <v>-49</v>
      </c>
    </row>
    <row r="30">
      <c r="A30" s="6" t="inlineStr">
        <is>
          <t>Other comprehensive expense relating to available-for-sale investments, net of tax</t>
        </is>
      </c>
      <c r="B30" s="6" t="n"/>
      <c r="C30" s="6" t="n"/>
      <c r="D30" s="6" t="n"/>
      <c r="E30" s="6" t="n">
        <v>-8</v>
      </c>
      <c r="F30" s="6" t="n"/>
      <c r="G30" s="6" t="n"/>
      <c r="H30" s="6" t="n">
        <v>-8</v>
      </c>
    </row>
    <row r="31">
      <c r="A31" s="6" t="inlineStr">
        <is>
          <t>Share options at fair value</t>
        </is>
      </c>
      <c r="B31" s="6" t="n"/>
      <c r="C31" s="6" t="n"/>
      <c r="D31" s="6" t="n"/>
      <c r="E31" s="6" t="n"/>
      <c r="F31" s="6" t="n">
        <v>2</v>
      </c>
      <c r="G31" s="6" t="n"/>
      <c r="H31" s="6" t="n">
        <v>2</v>
      </c>
    </row>
    <row r="32">
      <c r="A32" s="5" t="inlineStr">
        <is>
          <t>At 31 December 2015 (FY2015 closing)</t>
        </is>
      </c>
      <c r="B32" s="5" t="n">
        <v>0</v>
      </c>
      <c r="C32" s="5" t="n">
        <v>629</v>
      </c>
      <c r="D32" s="5" t="n">
        <v>-213</v>
      </c>
      <c r="E32" s="5" t="n">
        <v>-12</v>
      </c>
      <c r="F32" s="5" t="n">
        <v>3</v>
      </c>
      <c r="G32" s="5" t="n"/>
      <c r="H32" s="5" t="n">
        <v>407</v>
      </c>
    </row>
    <row r="33">
      <c r="A33" s="6" t="inlineStr">
        <is>
          <t>Loss for the year</t>
        </is>
      </c>
      <c r="B33" s="6" t="n"/>
      <c r="C33" s="6" t="n"/>
      <c r="D33" s="6" t="n">
        <v>-17</v>
      </c>
      <c r="E33" s="6" t="n"/>
      <c r="F33" s="6" t="n"/>
      <c r="G33" s="6" t="n"/>
      <c r="H33" s="6" t="n">
        <v>-17</v>
      </c>
    </row>
    <row r="34">
      <c r="A34" s="6" t="inlineStr">
        <is>
          <t>Other comprehensive income relating to available-for-sale investments, net of tax</t>
        </is>
      </c>
      <c r="B34" s="6" t="n"/>
      <c r="C34" s="6" t="n"/>
      <c r="D34" s="6" t="n"/>
      <c r="E34" s="6" t="n">
        <v>9</v>
      </c>
      <c r="F34" s="6" t="n"/>
      <c r="G34" s="6" t="n"/>
      <c r="H34" s="6" t="n">
        <v>9</v>
      </c>
    </row>
    <row r="35">
      <c r="A35" s="6" t="inlineStr">
        <is>
          <t>Share issue</t>
        </is>
      </c>
      <c r="B35" s="6" t="n"/>
      <c r="C35" s="6" t="n">
        <v>404</v>
      </c>
      <c r="D35" s="6" t="n"/>
      <c r="E35" s="6" t="n"/>
      <c r="F35" s="6" t="n"/>
      <c r="G35" s="6" t="n"/>
      <c r="H35" s="6" t="n">
        <v>404</v>
      </c>
    </row>
    <row r="36">
      <c r="A36" s="6" t="inlineStr">
        <is>
          <t>Cost of share issue</t>
        </is>
      </c>
      <c r="B36" s="6" t="n"/>
      <c r="C36" s="6" t="n">
        <v>-5</v>
      </c>
      <c r="D36" s="6" t="n"/>
      <c r="E36" s="6" t="n"/>
      <c r="F36" s="6" t="n"/>
      <c r="G36" s="6" t="n"/>
      <c r="H36" s="6" t="n">
        <v>-5</v>
      </c>
    </row>
    <row r="37">
      <c r="A37" s="6" t="inlineStr">
        <is>
          <t>Share options at fair value</t>
        </is>
      </c>
      <c r="B37" s="6" t="n"/>
      <c r="C37" s="6" t="n"/>
      <c r="D37" s="6" t="n"/>
      <c r="E37" s="6" t="n"/>
      <c r="F37" s="6" t="n">
        <v>7</v>
      </c>
      <c r="G37" s="6" t="n"/>
      <c r="H37" s="6" t="n">
        <v>7</v>
      </c>
    </row>
    <row r="38">
      <c r="A38" s="5" t="inlineStr">
        <is>
          <t>At 31 December 2016 (FY2016 closing)</t>
        </is>
      </c>
      <c r="B38" s="5" t="n">
        <v>0</v>
      </c>
      <c r="C38" s="5" t="n">
        <v>1028</v>
      </c>
      <c r="D38" s="5" t="n">
        <v>-230</v>
      </c>
      <c r="E38" s="5" t="n">
        <v>-3</v>
      </c>
      <c r="F38" s="5" t="n">
        <v>11</v>
      </c>
      <c r="G38" s="5" t="n"/>
      <c r="H38" s="5" t="n">
        <v>805</v>
      </c>
    </row>
    <row r="39">
      <c r="A39" s="6" t="inlineStr">
        <is>
          <t>Profit for the year</t>
        </is>
      </c>
      <c r="B39" s="6" t="n"/>
      <c r="C39" s="6" t="n"/>
      <c r="D39" s="6" t="n">
        <v>11</v>
      </c>
      <c r="E39" s="6" t="n"/>
      <c r="F39" s="6" t="n"/>
      <c r="G39" s="6" t="n"/>
      <c r="H39" s="6" t="n">
        <v>11</v>
      </c>
    </row>
    <row r="40">
      <c r="A40" s="6" t="inlineStr">
        <is>
          <t>Other comprehensive expense relating to available-for-sale investments, net of tax</t>
        </is>
      </c>
      <c r="B40" s="6" t="n"/>
      <c r="C40" s="6" t="n"/>
      <c r="D40" s="6" t="n"/>
      <c r="E40" s="6" t="n">
        <v>-1</v>
      </c>
      <c r="F40" s="6" t="n"/>
      <c r="G40" s="6" t="n"/>
      <c r="H40" s="6" t="n">
        <v>-1</v>
      </c>
    </row>
    <row r="41">
      <c r="A41" s="6" t="inlineStr">
        <is>
          <t>Share issue</t>
        </is>
      </c>
      <c r="B41" s="6" t="n"/>
      <c r="C41" s="6" t="n">
        <v>279</v>
      </c>
      <c r="D41" s="6" t="n"/>
      <c r="E41" s="6" t="n"/>
      <c r="F41" s="6" t="n"/>
      <c r="G41" s="6" t="n"/>
      <c r="H41" s="6" t="n">
        <v>279</v>
      </c>
    </row>
    <row r="42">
      <c r="A42" s="6" t="inlineStr">
        <is>
          <t>Cost of share issue</t>
        </is>
      </c>
      <c r="B42" s="6" t="n"/>
      <c r="C42" s="6" t="n">
        <v>-3</v>
      </c>
      <c r="D42" s="6" t="n"/>
      <c r="E42" s="6" t="n"/>
      <c r="F42" s="6" t="n"/>
      <c r="G42" s="6" t="n"/>
      <c r="H42" s="6" t="n">
        <v>-3</v>
      </c>
    </row>
    <row r="43">
      <c r="A43" s="6" t="inlineStr">
        <is>
          <t>Net share option movements</t>
        </is>
      </c>
      <c r="B43" s="6" t="n"/>
      <c r="C43" s="6" t="n"/>
      <c r="D43" s="6" t="n"/>
      <c r="E43" s="6" t="n"/>
      <c r="F43" s="6" t="n">
        <v>6</v>
      </c>
      <c r="G43" s="6" t="n"/>
      <c r="H43" s="6" t="n">
        <v>6</v>
      </c>
    </row>
    <row r="44">
      <c r="A44" s="5" t="inlineStr">
        <is>
          <t>At 31 December 2017 (FY2017 closing)</t>
        </is>
      </c>
      <c r="B44" s="5" t="n">
        <v>0</v>
      </c>
      <c r="C44" s="5" t="n">
        <v>1304</v>
      </c>
      <c r="D44" s="5" t="n">
        <v>-219</v>
      </c>
      <c r="E44" s="5" t="n">
        <v>-4</v>
      </c>
      <c r="F44" s="5" t="n">
        <v>16</v>
      </c>
      <c r="G44" s="5" t="n"/>
      <c r="H44" s="5" t="n">
        <v>1096</v>
      </c>
    </row>
    <row r="45">
      <c r="A45" s="6" t="inlineStr">
        <is>
          <t>IFRS 9 transition adjustment, net of tax (AFS reserve replaced by FVOCI reserve)</t>
        </is>
      </c>
      <c r="B45" s="6" t="n"/>
      <c r="C45" s="6" t="n"/>
      <c r="D45" s="6" t="n">
        <v>-17</v>
      </c>
      <c r="E45" s="6" t="n">
        <v>5</v>
      </c>
      <c r="F45" s="6" t="n"/>
      <c r="G45" s="6" t="n"/>
      <c r="H45" s="6" t="n">
        <v>-12</v>
      </c>
    </row>
    <row r="46">
      <c r="A46" s="6" t="inlineStr">
        <is>
          <t>Profit for the year</t>
        </is>
      </c>
      <c r="B46" s="6" t="n"/>
      <c r="C46" s="6" t="n"/>
      <c r="D46" s="6" t="n">
        <v>27</v>
      </c>
      <c r="E46" s="6" t="n"/>
      <c r="F46" s="6" t="n"/>
      <c r="G46" s="6" t="n"/>
      <c r="H46" s="6" t="n">
        <v>27</v>
      </c>
    </row>
    <row r="47">
      <c r="A47" s="6" t="inlineStr">
        <is>
          <t>Other comprehensive expense relating to investment securities designated at FVOCI, net of tax</t>
        </is>
      </c>
      <c r="B47" s="6" t="n"/>
      <c r="C47" s="6" t="n"/>
      <c r="D47" s="6" t="n"/>
      <c r="E47" s="6" t="n">
        <v>-4</v>
      </c>
      <c r="F47" s="6" t="n"/>
      <c r="G47" s="6" t="n"/>
      <c r="H47" s="6" t="n">
        <v>-4</v>
      </c>
    </row>
    <row r="48">
      <c r="A48" s="6" t="inlineStr">
        <is>
          <t>Shares issued</t>
        </is>
      </c>
      <c r="B48" s="6" t="n"/>
      <c r="C48" s="6" t="n">
        <v>304</v>
      </c>
      <c r="D48" s="6" t="n"/>
      <c r="E48" s="6" t="n"/>
      <c r="F48" s="6" t="n"/>
      <c r="G48" s="6" t="n"/>
      <c r="H48" s="6" t="n">
        <v>304</v>
      </c>
    </row>
    <row r="49">
      <c r="A49" s="6" t="inlineStr">
        <is>
          <t>Cost of shares issued</t>
        </is>
      </c>
      <c r="B49" s="6" t="n"/>
      <c r="C49" s="6" t="n">
        <v>-3</v>
      </c>
      <c r="D49" s="6" t="n"/>
      <c r="E49" s="6" t="n"/>
      <c r="F49" s="6" t="n"/>
      <c r="G49" s="6" t="n"/>
      <c r="H49" s="6" t="n">
        <v>-3</v>
      </c>
    </row>
    <row r="50">
      <c r="A50" s="6" t="inlineStr">
        <is>
          <t>Net share option movements</t>
        </is>
      </c>
      <c r="B50" s="6" t="n"/>
      <c r="C50" s="6" t="n"/>
      <c r="D50" s="6" t="n"/>
      <c r="E50" s="6" t="n"/>
      <c r="F50" s="6" t="n">
        <v>-6</v>
      </c>
      <c r="G50" s="6" t="n"/>
      <c r="H50" s="6" t="n">
        <v>-6</v>
      </c>
    </row>
    <row r="51">
      <c r="A51" s="5" t="inlineStr">
        <is>
          <t>At 31 December 2018 (FY2018 closing)</t>
        </is>
      </c>
      <c r="B51" s="5" t="n">
        <v>0</v>
      </c>
      <c r="C51" s="5" t="n">
        <v>1605</v>
      </c>
      <c r="D51" s="5" t="n">
        <v>-209</v>
      </c>
      <c r="E51" s="5" t="n">
        <v>-3</v>
      </c>
      <c r="F51" s="5" t="n">
        <v>10</v>
      </c>
      <c r="G51" s="5" t="n"/>
      <c r="H51" s="5" t="n">
        <v>1403</v>
      </c>
    </row>
    <row r="52">
      <c r="A52" s="6" t="inlineStr">
        <is>
          <t>Loss for the year</t>
        </is>
      </c>
      <c r="B52" s="6" t="n"/>
      <c r="C52" s="6" t="n"/>
      <c r="D52" s="6" t="n">
        <v>-183</v>
      </c>
      <c r="E52" s="6" t="n"/>
      <c r="F52" s="6" t="n"/>
      <c r="G52" s="6" t="n"/>
      <c r="H52" s="6" t="n">
        <v>-183</v>
      </c>
    </row>
    <row r="53">
      <c r="A53" s="6" t="inlineStr">
        <is>
          <t>Shares issued</t>
        </is>
      </c>
      <c r="B53" s="6" t="n"/>
      <c r="C53" s="6" t="n">
        <v>375</v>
      </c>
      <c r="D53" s="6" t="n"/>
      <c r="E53" s="6" t="n"/>
      <c r="F53" s="6" t="n"/>
      <c r="G53" s="6" t="n"/>
      <c r="H53" s="6" t="n">
        <v>375</v>
      </c>
    </row>
    <row r="54">
      <c r="A54" s="6" t="inlineStr">
        <is>
          <t>Cost of shares issued</t>
        </is>
      </c>
      <c r="B54" s="6" t="n"/>
      <c r="C54" s="6" t="n">
        <v>-16</v>
      </c>
      <c r="D54" s="6" t="n"/>
      <c r="E54" s="6" t="n"/>
      <c r="F54" s="6" t="n"/>
      <c r="G54" s="6" t="n"/>
      <c r="H54" s="6" t="n">
        <v>-16</v>
      </c>
    </row>
    <row r="55">
      <c r="A55" s="6" t="inlineStr">
        <is>
          <t>Net share option movements</t>
        </is>
      </c>
      <c r="B55" s="6" t="n"/>
      <c r="C55" s="6" t="n"/>
      <c r="D55" s="6" t="n"/>
      <c r="E55" s="6" t="n"/>
      <c r="F55" s="6" t="n">
        <v>4</v>
      </c>
      <c r="G55" s="6" t="n"/>
      <c r="H55" s="6" t="n">
        <v>4</v>
      </c>
    </row>
    <row r="56">
      <c r="A56" s="5" t="inlineStr">
        <is>
          <t>At 31 December 2019 (FY2019 closing)</t>
        </is>
      </c>
      <c r="B56" s="5" t="n">
        <v>0</v>
      </c>
      <c r="C56" s="5" t="n">
        <v>1964</v>
      </c>
      <c r="D56" s="5" t="n">
        <v>-392</v>
      </c>
      <c r="E56" s="5" t="n">
        <v>-3</v>
      </c>
      <c r="F56" s="5" t="n">
        <v>14</v>
      </c>
      <c r="G56" s="5" t="n"/>
      <c r="H56" s="5" t="n">
        <v>1583</v>
      </c>
    </row>
    <row r="57">
      <c r="A57" s="6" t="inlineStr">
        <is>
          <t>Loss for the year</t>
        </is>
      </c>
      <c r="B57" s="6" t="n"/>
      <c r="C57" s="6" t="n"/>
      <c r="D57" s="6" t="n">
        <v>-302</v>
      </c>
      <c r="E57" s="6" t="n"/>
      <c r="F57" s="6" t="n"/>
      <c r="G57" s="6" t="n"/>
      <c r="H57" s="6" t="n">
        <v>-302</v>
      </c>
    </row>
    <row r="58">
      <c r="A58" s="6" t="inlineStr">
        <is>
          <t>Other comprehensive income relating to investment securities designated at FVOCI, net of tax</t>
        </is>
      </c>
      <c r="B58" s="6" t="n"/>
      <c r="C58" s="6" t="n"/>
      <c r="D58" s="6" t="n"/>
      <c r="E58" s="6" t="n">
        <v>6</v>
      </c>
      <c r="F58" s="6" t="n"/>
      <c r="G58" s="6" t="n"/>
      <c r="H58" s="6" t="n">
        <v>6</v>
      </c>
    </row>
    <row r="59">
      <c r="A59" s="6" t="inlineStr">
        <is>
          <t>Net share option movements</t>
        </is>
      </c>
      <c r="B59" s="6" t="n"/>
      <c r="C59" s="6" t="n"/>
      <c r="D59" s="6" t="n"/>
      <c r="E59" s="6" t="n"/>
      <c r="F59" s="6" t="n">
        <v>2</v>
      </c>
      <c r="G59" s="6" t="n"/>
      <c r="H59" s="6" t="n">
        <v>2</v>
      </c>
    </row>
    <row r="60">
      <c r="A60" s="5" t="inlineStr">
        <is>
          <t>At 31 December 2020 (FY2020 closing, Group basis)</t>
        </is>
      </c>
      <c r="B60" s="5" t="n">
        <v>0</v>
      </c>
      <c r="C60" s="5" t="n">
        <v>1964</v>
      </c>
      <c r="D60" s="5" t="n">
        <v>-694</v>
      </c>
      <c r="E60" s="5" t="n">
        <v>3</v>
      </c>
      <c r="F60" s="5" t="n">
        <v>16</v>
      </c>
      <c r="G60" s="5" t="n"/>
      <c r="H60" s="5" t="n">
        <v>1289</v>
      </c>
    </row>
    <row r="61">
      <c r="A61" s="5" t="inlineStr">
        <is>
          <t>At 1 January 2021 (FY2021 opening)</t>
        </is>
      </c>
      <c r="B61" s="5" t="n">
        <v>0</v>
      </c>
      <c r="C61" s="5" t="n">
        <v>1964</v>
      </c>
      <c r="D61" s="5" t="n">
        <v>-689</v>
      </c>
      <c r="E61" s="5" t="n">
        <v>3</v>
      </c>
      <c r="F61" s="5" t="n">
        <v>16</v>
      </c>
      <c r="G61" s="5" t="n"/>
      <c r="H61" s="5" t="n">
        <v>1294</v>
      </c>
    </row>
    <row r="62">
      <c r="A62" s="6" t="inlineStr">
        <is>
          <t>Loss for the year</t>
        </is>
      </c>
      <c r="B62" s="6" t="n"/>
      <c r="C62" s="6" t="n"/>
      <c r="D62" s="6" t="n">
        <v>-252</v>
      </c>
      <c r="E62" s="6" t="n"/>
      <c r="F62" s="6" t="n"/>
      <c r="G62" s="6" t="n"/>
      <c r="H62" s="6" t="n">
        <v>-252</v>
      </c>
    </row>
    <row r="63">
      <c r="A63" s="6" t="inlineStr">
        <is>
          <t>Other comprehensive expense relating to investment securities designated at FVOCI, net of tax</t>
        </is>
      </c>
      <c r="B63" s="6" t="n"/>
      <c r="C63" s="6" t="n"/>
      <c r="D63" s="6" t="n"/>
      <c r="E63" s="6" t="n">
        <v>-8</v>
      </c>
      <c r="F63" s="6" t="n"/>
      <c r="G63" s="6" t="n"/>
      <c r="H63" s="6" t="n">
        <v>-8</v>
      </c>
    </row>
    <row r="64">
      <c r="A64" s="6" t="inlineStr">
        <is>
          <t>Net share option movements</t>
        </is>
      </c>
      <c r="B64" s="6" t="n"/>
      <c r="C64" s="6" t="n"/>
      <c r="D64" s="6" t="n"/>
      <c r="E64" s="6" t="n"/>
      <c r="F64" s="6" t="n">
        <v>2</v>
      </c>
      <c r="G64" s="6" t="n"/>
      <c r="H64" s="6" t="n">
        <v>2</v>
      </c>
    </row>
    <row r="65">
      <c r="A65" s="5" t="inlineStr">
        <is>
          <t>At 31 December 2021 (FY2021 closing)</t>
        </is>
      </c>
      <c r="B65" s="5" t="n">
        <v>0</v>
      </c>
      <c r="C65" s="5" t="n">
        <v>1964</v>
      </c>
      <c r="D65" s="5" t="n">
        <v>-941</v>
      </c>
      <c r="E65" s="5" t="n">
        <v>-5</v>
      </c>
      <c r="F65" s="5" t="n">
        <v>18</v>
      </c>
      <c r="G65" s="5" t="n"/>
      <c r="H65" s="5" t="n">
        <v>1036</v>
      </c>
    </row>
    <row r="66">
      <c r="A66" s="6" t="inlineStr">
        <is>
          <t>Loss for the year</t>
        </is>
      </c>
      <c r="B66" s="6" t="n"/>
      <c r="C66" s="6" t="n"/>
      <c r="D66" s="6" t="n">
        <v>-73</v>
      </c>
      <c r="E66" s="6" t="n"/>
      <c r="F66" s="6" t="n"/>
      <c r="G66" s="6" t="n"/>
      <c r="H66" s="6" t="n">
        <v>-73</v>
      </c>
    </row>
    <row r="67">
      <c r="A67" s="6" t="inlineStr">
        <is>
          <t>Other comprehensive expense relating to investment securities designated at FVOCI, net of tax</t>
        </is>
      </c>
      <c r="B67" s="6" t="n"/>
      <c r="C67" s="6" t="n"/>
      <c r="D67" s="6" t="n"/>
      <c r="E67" s="6" t="n">
        <v>-8</v>
      </c>
      <c r="F67" s="6" t="n"/>
      <c r="G67" s="6" t="n"/>
      <c r="H67" s="6" t="n">
        <v>-8</v>
      </c>
    </row>
    <row r="68">
      <c r="A68" s="6" t="inlineStr">
        <is>
          <t>Net share option movements</t>
        </is>
      </c>
      <c r="B68" s="6" t="n"/>
      <c r="C68" s="6" t="n"/>
      <c r="D68" s="6" t="n"/>
      <c r="E68" s="6" t="n"/>
      <c r="F68" s="6" t="n">
        <v>2</v>
      </c>
      <c r="G68" s="6" t="n"/>
      <c r="H68" s="6" t="n">
        <v>2</v>
      </c>
    </row>
    <row r="69">
      <c r="A69" s="5" t="inlineStr">
        <is>
          <t>At 31 December 2022 (FY2022 closing)</t>
        </is>
      </c>
      <c r="B69" s="5" t="n">
        <v>0</v>
      </c>
      <c r="C69" s="5" t="n">
        <v>1964</v>
      </c>
      <c r="D69" s="5" t="n">
        <v>-1014</v>
      </c>
      <c r="E69" s="5" t="n">
        <v>-13</v>
      </c>
      <c r="F69" s="5" t="n">
        <v>20</v>
      </c>
      <c r="G69" s="5" t="n"/>
      <c r="H69" s="5" t="n">
        <v>957</v>
      </c>
    </row>
    <row r="70">
      <c r="A70" s="6" t="inlineStr">
        <is>
          <t>Profit for the year</t>
        </is>
      </c>
      <c r="B70" s="6" t="n"/>
      <c r="C70" s="6" t="n"/>
      <c r="D70" s="6" t="n">
        <v>46</v>
      </c>
      <c r="E70" s="6" t="n"/>
      <c r="F70" s="6" t="n"/>
      <c r="G70" s="6" t="n"/>
      <c r="H70" s="6" t="n">
        <v>46</v>
      </c>
    </row>
    <row r="71">
      <c r="A71" s="6" t="inlineStr">
        <is>
          <t>Other comprehensive income relating to investment securities designated at FVOCI, net of tax</t>
        </is>
      </c>
      <c r="B71" s="6" t="n"/>
      <c r="C71" s="6" t="n"/>
      <c r="D71" s="6" t="n"/>
      <c r="E71" s="6" t="n">
        <v>2</v>
      </c>
      <c r="F71" s="6" t="n"/>
      <c r="G71" s="6" t="n"/>
      <c r="H71" s="6" t="n">
        <v>2</v>
      </c>
    </row>
    <row r="72">
      <c r="A72" s="6" t="inlineStr">
        <is>
          <t>Net share option movements</t>
        </is>
      </c>
      <c r="B72" s="6" t="n"/>
      <c r="C72" s="6" t="n"/>
      <c r="D72" s="6" t="n"/>
      <c r="E72" s="6" t="n"/>
      <c r="F72" s="6" t="n">
        <v>3</v>
      </c>
      <c r="G72" s="6" t="n"/>
      <c r="H72" s="6" t="n">
        <v>3</v>
      </c>
    </row>
    <row r="73">
      <c r="A73" s="6" t="inlineStr">
        <is>
          <t>Transfer of share option reserve upon insertion of new holding company</t>
        </is>
      </c>
      <c r="B73" s="6" t="n"/>
      <c r="C73" s="6" t="n"/>
      <c r="D73" s="6" t="n"/>
      <c r="E73" s="6" t="n"/>
      <c r="F73" s="6" t="n">
        <v>-23</v>
      </c>
      <c r="G73" s="6" t="n">
        <v>23</v>
      </c>
      <c r="H73" s="6" t="n">
        <v>0</v>
      </c>
    </row>
    <row r="74">
      <c r="A74" s="6" t="inlineStr">
        <is>
          <t>Cancellation of Metro Bank PLC share capital and share premium</t>
        </is>
      </c>
      <c r="B74" s="6" t="n"/>
      <c r="C74" s="6" t="n">
        <v>-1964</v>
      </c>
      <c r="D74" s="6" t="n">
        <v>1964</v>
      </c>
      <c r="E74" s="6" t="n"/>
      <c r="F74" s="6" t="n"/>
      <c r="G74" s="6" t="n"/>
      <c r="H74" s="6" t="n">
        <v>0</v>
      </c>
    </row>
    <row r="75">
      <c r="A75" s="6" t="inlineStr">
        <is>
          <t>Shares issued</t>
        </is>
      </c>
      <c r="B75" s="6" t="n"/>
      <c r="C75" s="6" t="n">
        <v>144</v>
      </c>
      <c r="D75" s="6" t="n"/>
      <c r="E75" s="6" t="n"/>
      <c r="F75" s="6" t="n"/>
      <c r="G75" s="6" t="n"/>
      <c r="H75" s="6" t="n">
        <v>144</v>
      </c>
    </row>
    <row r="76">
      <c r="A76" s="5" t="inlineStr">
        <is>
          <t>At 31 December 2023 (FY2023 closing)</t>
        </is>
      </c>
      <c r="B76" s="5" t="n">
        <v>0</v>
      </c>
      <c r="C76" s="5" t="n">
        <v>144</v>
      </c>
      <c r="D76" s="5" t="n">
        <v>996</v>
      </c>
      <c r="E76" s="5" t="n">
        <v>-11</v>
      </c>
      <c r="F76" s="5" t="n">
        <v>0</v>
      </c>
      <c r="G76" s="5" t="n">
        <v>23</v>
      </c>
      <c r="H76" s="5" t="n">
        <v>1152</v>
      </c>
    </row>
    <row r="78" ht="150" customHeight="1">
      <c r="A78"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78:H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standalone accounts not located.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c r="C21" s="5" t="n"/>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c r="C23" s="6" t="n"/>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c r="C24" s="6" t="n"/>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c r="C25" s="6" t="n"/>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c r="C27" s="6" t="n"/>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c r="C30" s="5" t="n"/>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c r="C33" s="6" t="n"/>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medium-term notes/subordinated debt (net of costs)</t>
        </is>
      </c>
      <c r="B36" s="6" t="n"/>
      <c r="C36" s="6" t="n"/>
      <c r="D36" s="6" t="n">
        <v>175</v>
      </c>
      <c r="E36" s="6" t="n"/>
      <c r="F36" s="6" t="n"/>
      <c r="G36" s="6" t="n"/>
      <c r="H36" s="6" t="n">
        <v>350</v>
      </c>
      <c r="I36" s="6" t="n">
        <v>250</v>
      </c>
      <c r="J36" s="6" t="n"/>
      <c r="K36" s="6" t="n"/>
      <c r="L36" s="6" t="n"/>
      <c r="M36" s="6" t="n"/>
      <c r="N36" s="6" t="n"/>
      <c r="O36" s="6" t="n"/>
      <c r="P36" s="6" t="n"/>
      <c r="Q36" s="6" t="n"/>
    </row>
    <row r="37">
      <c r="A37" s="6" t="inlineStr">
        <is>
          <t>Cost of debt issued</t>
        </is>
      </c>
      <c r="B37" s="6" t="n"/>
      <c r="C37" s="6" t="n"/>
      <c r="D37" s="6" t="n"/>
      <c r="E37" s="6" t="n"/>
      <c r="F37" s="6" t="n"/>
      <c r="G37" s="6" t="n"/>
      <c r="H37" s="6" t="n">
        <v>-8</v>
      </c>
      <c r="I37" s="6" t="n">
        <v>-1</v>
      </c>
      <c r="J37" s="6" t="n"/>
      <c r="K37" s="6" t="n"/>
      <c r="L37" s="6" t="n"/>
      <c r="M37" s="6" t="n"/>
      <c r="N37" s="6" t="n"/>
      <c r="O37" s="6" t="n"/>
      <c r="P37" s="6" t="n"/>
      <c r="Q37" s="6" t="n"/>
    </row>
    <row r="38">
      <c r="A38" s="6" t="inlineStr">
        <is>
          <t>Grant (repaid)/received</t>
        </is>
      </c>
      <c r="B38" s="6" t="n"/>
      <c r="C38" s="6" t="n"/>
      <c r="D38" s="6" t="n"/>
      <c r="E38" s="6" t="n"/>
      <c r="F38" s="6" t="n"/>
      <c r="G38" s="6" t="n">
        <v>-50</v>
      </c>
      <c r="H38" s="6" t="n">
        <v>120</v>
      </c>
      <c r="I38" s="6" t="n"/>
      <c r="J38" s="6" t="n"/>
      <c r="K38" s="6" t="n"/>
      <c r="L38" s="6" t="n"/>
      <c r="M38" s="6" t="n"/>
      <c r="N38" s="6" t="n"/>
      <c r="O38" s="6" t="n"/>
      <c r="P38" s="6" t="n"/>
      <c r="Q38" s="6" t="n"/>
    </row>
    <row r="39">
      <c r="A39" s="5" t="inlineStr">
        <is>
          <t>Net cash inflows/(outflows) from financing activities</t>
        </is>
      </c>
      <c r="B39" s="5" t="n"/>
      <c r="C39" s="5" t="n"/>
      <c r="D39" s="5" t="n">
        <v>296</v>
      </c>
      <c r="E39" s="5" t="n">
        <v>-25</v>
      </c>
      <c r="F39" s="5" t="n">
        <v>-27</v>
      </c>
      <c r="G39" s="5" t="n">
        <v>-81</v>
      </c>
      <c r="H39" s="5" t="n">
        <v>796</v>
      </c>
      <c r="I39" s="5" t="n">
        <v>550</v>
      </c>
      <c r="J39" s="5" t="n">
        <v>276</v>
      </c>
      <c r="K39" s="5" t="n">
        <v>398</v>
      </c>
      <c r="L39" s="5" t="n">
        <v>0</v>
      </c>
      <c r="M39" s="5" t="n">
        <v>99</v>
      </c>
      <c r="N39" s="5" t="n">
        <v>284.3</v>
      </c>
      <c r="O39" s="5" t="n">
        <v>126</v>
      </c>
      <c r="P39" s="5" t="n">
        <v>0</v>
      </c>
      <c r="Q39" s="5" t="n">
        <v>120.1</v>
      </c>
    </row>
    <row r="40">
      <c r="A40" s="5" t="inlineStr">
        <is>
          <t>Net increase/(decrease) in cash and cash equivalents</t>
        </is>
      </c>
      <c r="B40" s="5" t="n"/>
      <c r="C40" s="5" t="n"/>
      <c r="D40" s="5" t="n">
        <v>1936</v>
      </c>
      <c r="E40" s="5" t="n">
        <v>-1594</v>
      </c>
      <c r="F40" s="5" t="n">
        <v>573</v>
      </c>
      <c r="G40" s="5" t="n">
        <v>4</v>
      </c>
      <c r="H40" s="5" t="n">
        <v>517</v>
      </c>
      <c r="I40" s="5" t="n">
        <v>260</v>
      </c>
      <c r="J40" s="5" t="n">
        <v>1712</v>
      </c>
      <c r="K40" s="5" t="n">
        <v>218</v>
      </c>
      <c r="L40" s="5" t="n">
        <v>66</v>
      </c>
      <c r="M40" s="5" t="n">
        <v>-47</v>
      </c>
      <c r="N40" s="5" t="n">
        <v>189.1</v>
      </c>
      <c r="O40" s="5" t="n">
        <v>16.5</v>
      </c>
      <c r="P40" s="5" t="n">
        <v>4.7</v>
      </c>
      <c r="Q40" s="5" t="n">
        <v>51.6</v>
      </c>
    </row>
    <row r="41">
      <c r="A41" s="6" t="inlineStr">
        <is>
          <t>Cash and cash equivalents at start of year</t>
        </is>
      </c>
      <c r="B41" s="6" t="n"/>
      <c r="C41" s="6" t="n"/>
      <c r="D41" s="6" t="n">
        <v>1953</v>
      </c>
      <c r="E41" s="6" t="n">
        <v>3547</v>
      </c>
      <c r="F41" s="6" t="n">
        <v>2974</v>
      </c>
      <c r="G41" s="6" t="n">
        <v>2989</v>
      </c>
      <c r="H41" s="6" t="n">
        <v>2472</v>
      </c>
      <c r="I41" s="6" t="n">
        <v>2212</v>
      </c>
      <c r="J41" s="6" t="n">
        <v>500</v>
      </c>
      <c r="K41" s="6" t="n">
        <v>282</v>
      </c>
      <c r="L41" s="6" t="n">
        <v>216</v>
      </c>
      <c r="M41" s="6" t="n">
        <v>263</v>
      </c>
      <c r="N41" s="6" t="n">
        <v>74.09999999999999</v>
      </c>
      <c r="O41" s="6" t="n">
        <v>57.6</v>
      </c>
      <c r="P41" s="6" t="n">
        <v>52.9</v>
      </c>
      <c r="Q41" s="6" t="n">
        <v>1.3</v>
      </c>
    </row>
    <row r="42">
      <c r="A42" s="5" t="inlineStr">
        <is>
          <t>Cash and cash equivalents at end of year</t>
        </is>
      </c>
      <c r="B42" s="5" t="n"/>
      <c r="C42" s="5" t="n"/>
      <c r="D42" s="5" t="n">
        <v>3889</v>
      </c>
      <c r="E42" s="5" t="n">
        <v>1953</v>
      </c>
      <c r="F42" s="5" t="n">
        <v>3547</v>
      </c>
      <c r="G42" s="5" t="n">
        <v>2993</v>
      </c>
      <c r="H42" s="5" t="n">
        <v>2989</v>
      </c>
      <c r="I42" s="5" t="n">
        <v>2472</v>
      </c>
      <c r="J42" s="5" t="n">
        <v>2212</v>
      </c>
      <c r="K42" s="5" t="n">
        <v>500</v>
      </c>
      <c r="L42" s="5" t="n">
        <v>282</v>
      </c>
      <c r="M42" s="5" t="n">
        <v>216</v>
      </c>
      <c r="N42" s="5" t="n">
        <v>263.2</v>
      </c>
      <c r="O42" s="5" t="n">
        <v>74.09999999999999</v>
      </c>
      <c r="P42" s="5" t="n">
        <v>57.6</v>
      </c>
      <c r="Q42" s="5" t="n">
        <v>52.9</v>
      </c>
    </row>
    <row r="44" ht="260" customHeight="1">
      <c r="A44"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t>
        </is>
      </c>
    </row>
  </sheetData>
  <mergeCells count="1">
    <mergeCell ref="A44:Q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by portfolio, Group basis</t>
        </is>
      </c>
      <c r="B4" s="6" t="n"/>
      <c r="C4" s="6" t="n"/>
      <c r="D4" s="6" t="n"/>
      <c r="E4" s="6" t="n"/>
      <c r="F4" s="6" t="n"/>
      <c r="G4" s="6" t="n"/>
      <c r="H4" s="6" t="n"/>
      <c r="I4" s="6" t="n"/>
      <c r="J4" s="6" t="n"/>
      <c r="K4" s="6" t="n"/>
      <c r="L4" s="6" t="n"/>
      <c r="M4" s="6" t="n"/>
    </row>
    <row r="5">
      <c r="A5" s="6" t="inlineStr">
        <is>
          <t>Retail mortgages</t>
        </is>
      </c>
      <c r="B5" s="6" t="n">
        <v>4940</v>
      </c>
      <c r="C5" s="6" t="n">
        <v>5145</v>
      </c>
      <c r="D5" s="6" t="n">
        <v>7817</v>
      </c>
      <c r="E5" s="6" t="n">
        <v>7649</v>
      </c>
      <c r="F5" s="6" t="n">
        <v>6723</v>
      </c>
      <c r="G5" s="6" t="n"/>
      <c r="H5" s="6" t="n"/>
      <c r="I5" s="6" t="n"/>
      <c r="J5" s="6" t="n"/>
      <c r="K5" s="6" t="n"/>
      <c r="L5" s="6" t="n"/>
      <c r="M5" s="6" t="n"/>
    </row>
    <row r="6">
      <c r="A6" s="6" t="inlineStr">
        <is>
          <t>Consumer lending</t>
        </is>
      </c>
      <c r="B6" s="6" t="n">
        <v>114</v>
      </c>
      <c r="C6" s="6" t="n">
        <v>745</v>
      </c>
      <c r="D6" s="6" t="n">
        <v>1297</v>
      </c>
      <c r="E6" s="6" t="n">
        <v>1480</v>
      </c>
      <c r="F6" s="6" t="n">
        <v>890</v>
      </c>
      <c r="G6" s="6" t="n"/>
      <c r="H6" s="6" t="n"/>
      <c r="I6" s="6" t="n"/>
      <c r="J6" s="6" t="n"/>
      <c r="K6" s="6" t="n"/>
      <c r="L6" s="6" t="n"/>
      <c r="M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row>
    <row r="9">
      <c r="A9" s="6" t="inlineStr">
        <is>
          <t>ECL allowance - retail mortgages</t>
        </is>
      </c>
      <c r="B9" s="6" t="n">
        <v>-16</v>
      </c>
      <c r="C9" s="6" t="n">
        <v>-15</v>
      </c>
      <c r="D9" s="6" t="n">
        <v>-19</v>
      </c>
      <c r="E9" s="6" t="n">
        <v>-20</v>
      </c>
      <c r="F9" s="6" t="n">
        <v>-19</v>
      </c>
      <c r="G9" s="6" t="n"/>
      <c r="H9" s="6" t="n"/>
      <c r="I9" s="6" t="n"/>
      <c r="J9" s="6" t="n"/>
      <c r="K9" s="6" t="n"/>
      <c r="L9" s="6" t="n"/>
      <c r="M9" s="6" t="n"/>
    </row>
    <row r="10">
      <c r="A10" s="6" t="inlineStr">
        <is>
          <t>ECL allowance - consumer lending</t>
        </is>
      </c>
      <c r="B10" s="6" t="n">
        <v>-67</v>
      </c>
      <c r="C10" s="6" t="n">
        <v>-108</v>
      </c>
      <c r="D10" s="6" t="n">
        <v>-108</v>
      </c>
      <c r="E10" s="6" t="n">
        <v>-75</v>
      </c>
      <c r="F10" s="6" t="n">
        <v>-42</v>
      </c>
      <c r="G10" s="6" t="n"/>
      <c r="H10" s="6" t="n"/>
      <c r="I10" s="6" t="n"/>
      <c r="J10" s="6" t="n"/>
      <c r="K10" s="6" t="n"/>
      <c r="L10" s="6" t="n"/>
      <c r="M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row>
    <row r="12">
      <c r="A12" s="5" t="inlineStr">
        <is>
          <t>Total ECL allowance</t>
        </is>
      </c>
      <c r="B12" s="5" t="n">
        <v>-170</v>
      </c>
      <c r="C12" s="5" t="n">
        <v>-191</v>
      </c>
      <c r="D12" s="5" t="n">
        <v>-199</v>
      </c>
      <c r="E12" s="5" t="n">
        <v>-187</v>
      </c>
      <c r="F12" s="5" t="n">
        <v>-169</v>
      </c>
      <c r="G12" s="5" t="n"/>
      <c r="H12" s="5" t="n"/>
      <c r="I12" s="5" t="n"/>
      <c r="J12" s="5" t="n"/>
      <c r="K12" s="5" t="n"/>
      <c r="L12" s="5" t="n"/>
      <c r="M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row>
    <row r="14">
      <c r="A14" s="5" t="inlineStr">
        <is>
          <t>IFRS 9 stage split and coverage, portfolio-total level</t>
        </is>
      </c>
      <c r="B14" s="6" t="n"/>
      <c r="C14" s="6" t="n"/>
      <c r="D14" s="6" t="n"/>
      <c r="E14" s="6" t="n"/>
      <c r="F14" s="6" t="n"/>
      <c r="G14" s="6" t="n"/>
      <c r="H14" s="6" t="n"/>
      <c r="I14" s="6" t="n"/>
      <c r="J14" s="6" t="n"/>
      <c r="K14" s="6" t="n"/>
      <c r="L14" s="6" t="n"/>
      <c r="M14" s="6" t="n"/>
    </row>
    <row r="15">
      <c r="A15" s="6" t="inlineStr">
        <is>
          <t>Stage 1, gross carrying amount</t>
        </is>
      </c>
      <c r="B15" s="6" t="n">
        <v>7819</v>
      </c>
      <c r="C15" s="6" t="n">
        <v>7723</v>
      </c>
      <c r="D15" s="6" t="n"/>
      <c r="E15" s="6" t="n"/>
      <c r="F15" s="6" t="n"/>
      <c r="G15" s="6" t="n"/>
      <c r="H15" s="6" t="n"/>
      <c r="I15" s="6" t="n"/>
      <c r="J15" s="6" t="n"/>
      <c r="K15" s="6" t="n"/>
      <c r="L15" s="6" t="n"/>
      <c r="M15" s="6" t="n"/>
    </row>
    <row r="16">
      <c r="A16" s="6" t="inlineStr">
        <is>
          <t>Stage 2, gross carrying amount</t>
        </is>
      </c>
      <c r="B16" s="6" t="n">
        <v>713</v>
      </c>
      <c r="C16" s="6" t="n">
        <v>978</v>
      </c>
      <c r="D16" s="6" t="n"/>
      <c r="E16" s="6" t="n"/>
      <c r="F16" s="6" t="n"/>
      <c r="G16" s="6" t="n"/>
      <c r="H16" s="6" t="n"/>
      <c r="I16" s="6" t="n"/>
      <c r="J16" s="6" t="n"/>
      <c r="K16" s="6" t="n"/>
      <c r="L16" s="6" t="n"/>
      <c r="M16" s="6" t="n"/>
    </row>
    <row r="17">
      <c r="A17" s="6" t="inlineStr">
        <is>
          <t>Stage 3, gross carrying amount</t>
        </is>
      </c>
      <c r="B17" s="6" t="n">
        <v>462</v>
      </c>
      <c r="C17" s="6" t="n">
        <v>504</v>
      </c>
      <c r="D17" s="6" t="n"/>
      <c r="E17" s="6" t="n"/>
      <c r="F17" s="6" t="n"/>
      <c r="G17" s="6" t="n"/>
      <c r="H17" s="6" t="n"/>
      <c r="I17" s="6" t="n"/>
      <c r="J17" s="6" t="n"/>
      <c r="K17" s="6" t="n"/>
      <c r="L17" s="6" t="n"/>
      <c r="M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row>
    <row r="22">
      <c r="A22" s="5" t="inlineStr">
        <is>
          <t>Non-performing loans (NPLs) by portfolio</t>
        </is>
      </c>
      <c r="B22" s="6" t="n"/>
      <c r="C22" s="6" t="n"/>
      <c r="D22" s="6" t="n"/>
      <c r="E22" s="6" t="n"/>
      <c r="F22" s="6" t="n"/>
      <c r="G22" s="6" t="n"/>
      <c r="H22" s="6" t="n"/>
      <c r="I22" s="6" t="n"/>
      <c r="J22" s="6" t="n"/>
      <c r="K22" s="6" t="n"/>
      <c r="L22" s="6" t="n"/>
      <c r="M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row>
    <row r="24">
      <c r="A24" s="6" t="inlineStr">
        <is>
          <t>Consumer NPLs</t>
        </is>
      </c>
      <c r="B24" s="6" t="n">
        <v>74</v>
      </c>
      <c r="C24" s="6" t="n">
        <v>97</v>
      </c>
      <c r="D24" s="6" t="n">
        <v>77</v>
      </c>
      <c r="E24" s="6" t="n">
        <v>50</v>
      </c>
      <c r="F24" s="6" t="n">
        <v>21</v>
      </c>
      <c r="G24" s="6" t="n">
        <v>13</v>
      </c>
      <c r="H24" s="6" t="n">
        <v>10</v>
      </c>
      <c r="I24" s="6" t="n">
        <v>5</v>
      </c>
      <c r="J24" s="6" t="n"/>
      <c r="K24" s="6" t="n"/>
      <c r="L24" s="6" t="n"/>
      <c r="M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row>
    <row r="29" ht="340" customHeight="1">
      <c r="A29"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row>
    <row r="5" ht="60" customHeight="1">
      <c r="A5" s="7" t="inlineStr">
        <is>
          <t>Note: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1082</v>
      </c>
      <c r="C4" s="6" t="n">
        <v>808</v>
      </c>
      <c r="D4" s="6" t="n">
        <v>985</v>
      </c>
      <c r="E4" s="6" t="n">
        <v>819</v>
      </c>
      <c r="F4" s="6" t="n">
        <v>936</v>
      </c>
      <c r="G4" s="6" t="n">
        <v>1192</v>
      </c>
      <c r="H4" s="6" t="n">
        <v>1427</v>
      </c>
      <c r="I4" s="6" t="n">
        <v>1171</v>
      </c>
      <c r="J4" s="6" t="n">
        <v>897</v>
      </c>
      <c r="K4" s="6" t="n">
        <v>651</v>
      </c>
      <c r="L4" s="6" t="n">
        <v>300</v>
      </c>
      <c r="M4" s="6" t="n">
        <v>384</v>
      </c>
    </row>
    <row r="5" ht="60" customHeight="1">
      <c r="A5" s="7" t="inlineStr">
        <is>
          <t>Note: CORRECTED 2026-09-03 (ST-026): FY2023-FY2025 previously showed the 30 June interim column instead of 31 December year-end (see CET1 Capital sheet's note). HD-049: FY2014-FY2017 Tier 1 = CET1 (no AT1 disclosed)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1232</v>
      </c>
      <c r="C4" s="6" t="n">
        <v>958</v>
      </c>
      <c r="D4" s="6" t="n">
        <v>1135</v>
      </c>
      <c r="E4" s="6" t="n">
        <v>1069</v>
      </c>
      <c r="F4" s="6" t="n">
        <v>1184</v>
      </c>
      <c r="G4" s="6" t="n">
        <v>1441</v>
      </c>
      <c r="H4" s="6" t="n">
        <v>1676</v>
      </c>
      <c r="I4" s="6" t="n">
        <v>1420</v>
      </c>
      <c r="J4" s="6" t="n">
        <v>897</v>
      </c>
      <c r="K4" s="6" t="n">
        <v>651</v>
      </c>
      <c r="L4" s="6" t="n">
        <v>300</v>
      </c>
      <c r="M4" s="6" t="n">
        <v>384</v>
      </c>
    </row>
    <row r="5" ht="60" customHeight="1">
      <c r="A5" s="7" t="inlineStr">
        <is>
          <t>Note: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row>
    <row r="5" ht="60" customHeight="1">
      <c r="A5" s="7" t="inlineStr">
        <is>
          <t>Note: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c r="M4" s="6" t="n"/>
    </row>
    <row r="5" ht="60" customHeight="1">
      <c r="A5" s="7" t="inlineStr">
        <is>
          <t>Note: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FY2014/FY2015 RWAs were not disclosed in the Annual Report (only capital and ratios) and are left blank rather than derived by dividing capital by the ratio.</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row>
    <row r="7">
      <c r="A7" s="6" t="inlineStr">
        <is>
          <t>Market risk</t>
        </is>
      </c>
      <c r="B7" s="6" t="n"/>
      <c r="C7" s="6" t="n"/>
      <c r="D7" s="6" t="n"/>
      <c r="E7" s="6" t="n">
        <v>0</v>
      </c>
      <c r="F7" s="6" t="n">
        <v>9</v>
      </c>
      <c r="G7" s="6" t="n">
        <v>14</v>
      </c>
      <c r="H7" s="6" t="n">
        <v>5</v>
      </c>
      <c r="I7" s="6" t="n">
        <v>4</v>
      </c>
      <c r="J7" s="6" t="n">
        <v>2</v>
      </c>
      <c r="K7" s="6" t="n">
        <v>1</v>
      </c>
      <c r="L7" s="6" t="n"/>
      <c r="M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row>
    <row r="9">
      <c r="A9" s="6" t="inlineStr">
        <is>
          <t>Amounts below the thresholds for deduction (subject to 250% risk weight)</t>
        </is>
      </c>
      <c r="B9" s="6" t="n">
        <v>16</v>
      </c>
      <c r="C9" s="6" t="n">
        <v>7</v>
      </c>
      <c r="D9" s="6" t="n">
        <v>8</v>
      </c>
      <c r="E9" s="6" t="n">
        <v>5</v>
      </c>
      <c r="F9" s="6" t="n">
        <v>5</v>
      </c>
      <c r="G9" s="6" t="n"/>
      <c r="H9" s="6" t="n"/>
      <c r="I9" s="6" t="n"/>
      <c r="J9" s="6" t="n"/>
      <c r="K9" s="6" t="n"/>
      <c r="L9" s="6" t="n"/>
      <c r="M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row>
    <row r="12" ht="250" customHeight="1">
      <c r="A12"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row>
    <row r="8" ht="60" customHeight="1">
      <c r="A8" s="7" t="inlineStr">
        <is>
          <t>Note: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n"/>
      <c r="M6" s="6" t="n"/>
    </row>
    <row r="7" ht="60" customHeight="1">
      <c r="A7" s="7" t="inlineStr">
        <is>
          <t>Note: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HD-049: FY2020 and FY2014/FY2015 absolute HQLA/net outflow £m were not located (Pillar 3 2020 discloses only the ratio in the executive summary reviewed this session; FY2014/FY2015 have no LCR disclosure at all) and are left blank rather than estimated.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13965</v>
      </c>
      <c r="C4" s="6" t="n">
        <v>16676</v>
      </c>
      <c r="D4" s="6" t="n">
        <v>18277</v>
      </c>
      <c r="E4" s="6" t="n">
        <v>18903</v>
      </c>
      <c r="F4" s="6" t="n"/>
      <c r="G4" s="6" t="n"/>
      <c r="H4" s="6" t="n"/>
      <c r="I4" s="6" t="n"/>
      <c r="J4" s="6" t="n"/>
      <c r="K4" s="6" t="n"/>
      <c r="L4" s="6" t="n"/>
      <c r="M4" s="6" t="n"/>
    </row>
    <row r="5">
      <c r="A5" s="6" t="inlineStr">
        <is>
          <t>Total required stable funding</t>
        </is>
      </c>
      <c r="B5" s="6" t="n">
        <v>8448</v>
      </c>
      <c r="C5" s="6" t="n">
        <v>10475</v>
      </c>
      <c r="D5" s="6" t="n">
        <v>13442</v>
      </c>
      <c r="E5" s="6" t="n">
        <v>13225</v>
      </c>
      <c r="F5" s="6" t="n"/>
      <c r="G5" s="6" t="n"/>
      <c r="H5" s="6" t="n"/>
      <c r="I5" s="6" t="n"/>
      <c r="J5" s="6" t="n"/>
      <c r="K5" s="6" t="n"/>
      <c r="L5" s="6" t="n"/>
      <c r="M5" s="6" t="n"/>
    </row>
    <row r="6">
      <c r="A6" s="6" t="inlineStr">
        <is>
          <t>Net stable funding ratio</t>
        </is>
      </c>
      <c r="B6" s="6" t="inlineStr">
        <is>
          <t>165%</t>
        </is>
      </c>
      <c r="C6" s="6" t="inlineStr">
        <is>
          <t>160%</t>
        </is>
      </c>
      <c r="D6" s="6" t="inlineStr">
        <is>
          <t>136%</t>
        </is>
      </c>
      <c r="E6" s="6" t="inlineStr">
        <is>
          <t>143%</t>
        </is>
      </c>
      <c r="F6" s="6" t="n"/>
      <c r="G6" s="6" t="n"/>
      <c r="H6" s="6" t="n"/>
      <c r="I6" s="6" t="n"/>
      <c r="J6" s="6" t="n"/>
      <c r="K6" s="6" t="n"/>
      <c r="L6" s="6" t="n"/>
      <c r="M6" s="6" t="n"/>
    </row>
    <row r="7" ht="60" customHeight="1">
      <c r="A7" s="7" t="inlineStr">
        <is>
          <t>Note: NSFR disclosures were required from 1 January 2023; FY2014-FY2021 are blank (not yet a UK/EU disclosure requirement).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row>
    <row r="5" ht="60" customHeight="1">
      <c r="A5" s="7" t="inlineStr">
        <is>
          <t>Note: The 2021 Pillar 3 report discloses 20.5%. No quantitative MREL ratio was located in the later KM1 tables reviewed; the 2022-2025 cells are therefore not publicly disclosed rather than zero.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Disclosure 2019, Table 2 Key Ratios, KM1 and Table 8 EU OV1 -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2026-09-07T01:44:25Z</dcterms:created>
  <dcterms:modified xmlns:dcterms="http://purl.org/dc/terms/" xmlns:xsi="http://www.w3.org/2001/XMLSchema-instance" xsi:type="dcterms:W3CDTF">2026-09-07T01:44:25Z</dcterms:modified>
</cp:coreProperties>
</file>