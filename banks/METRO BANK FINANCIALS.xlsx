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ser>
          <idx val="4"/>
          <order val="4"/>
          <tx>
            <strRef>
              <f>'Overview'!Y24</f>
            </strRef>
          </tx>
          <spPr>
            <a:ln xmlns:a="http://schemas.openxmlformats.org/drawingml/2006/main">
              <a:prstDash val="solid"/>
            </a:ln>
          </spPr>
          <cat>
            <numRef>
              <f>'Overview'!$Z$19:$AD$19</f>
            </numRef>
          </cat>
          <val>
            <numRef>
              <f>'Overview'!$Z$24:$AD$24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'Overview'!AG28</f>
            </strRef>
          </tx>
          <spPr>
            <a:ln xmlns:a="http://schemas.openxmlformats.org/drawingml/2006/main">
              <a:prstDash val="solid"/>
            </a:ln>
          </spPr>
          <cat>
            <numRef>
              <f>'Overview'!$AH$27:$AL$27</f>
            </numRef>
          </cat>
          <val>
            <numRef>
              <f>'Overview'!$AH$28:$AL$28</f>
            </numRef>
          </val>
        </ser>
        <ser>
          <idx val="1"/>
          <order val="1"/>
          <tx>
            <strRef>
              <f>'Overview'!AG29</f>
            </strRef>
          </tx>
          <spPr>
            <a:ln xmlns:a="http://schemas.openxmlformats.org/drawingml/2006/main">
              <a:prstDash val="solid"/>
            </a:ln>
          </spPr>
          <cat>
            <numRef>
              <f>'Overview'!$AH$27:$AL$27</f>
            </numRef>
          </cat>
          <val>
            <numRef>
              <f>'Overview'!$AH$29:$AL$29</f>
            </numRef>
          </val>
        </ser>
        <ser>
          <idx val="2"/>
          <order val="2"/>
          <tx>
            <strRef>
              <f>'Overview'!AG30</f>
            </strRef>
          </tx>
          <spPr>
            <a:ln xmlns:a="http://schemas.openxmlformats.org/drawingml/2006/main">
              <a:prstDash val="solid"/>
            </a:ln>
          </spPr>
          <cat>
            <numRef>
              <f>'Overview'!$AH$27:$AL$27</f>
            </numRef>
          </cat>
          <val>
            <numRef>
              <f>'Overview'!$AH$30:$AL$30</f>
            </numRef>
          </val>
        </ser>
        <ser>
          <idx val="3"/>
          <order val="3"/>
          <tx>
            <strRef>
              <f>'Overview'!AG31</f>
            </strRef>
          </tx>
          <spPr>
            <a:ln xmlns:a="http://schemas.openxmlformats.org/drawingml/2006/main">
              <a:prstDash val="solid"/>
            </a:ln>
          </spPr>
          <cat>
            <numRef>
              <f>'Overview'!$AH$27:$AL$27</f>
            </numRef>
          </cat>
          <val>
            <numRef>
              <f>'Overview'!$AH$31:$AL$31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c r="C6" s="5" t="n"/>
      <c r="D6" s="5" t="n">
        <v>22257</v>
      </c>
      <c r="E6" s="5" t="n">
        <v>22126</v>
      </c>
      <c r="F6" s="5" t="n">
        <v>22583</v>
      </c>
      <c r="I6" t="inlineStr">
        <is>
          <t>Total assets</t>
        </is>
      </c>
      <c r="J6" t="n">
        <v>22583</v>
      </c>
      <c r="K6" t="n">
        <v>22126</v>
      </c>
      <c r="L6" t="n">
        <v>22257</v>
      </c>
      <c r="AO6" t="inlineStr">
        <is>
          <t>CET1 Ratio</t>
        </is>
      </c>
      <c r="AP6" t="n">
        <v>12.6</v>
      </c>
      <c r="AQ6" t="n">
        <v>10.3</v>
      </c>
      <c r="AR6" t="n">
        <v>13.1</v>
      </c>
      <c r="AS6" t="n">
        <v>12.5</v>
      </c>
      <c r="AT6" t="n">
        <v>12.5</v>
      </c>
    </row>
    <row r="7">
      <c r="A7" s="5" t="inlineStr">
        <is>
          <t>Loans and advances to customers</t>
        </is>
      </c>
      <c r="B7" s="5" t="n"/>
      <c r="C7" s="5" t="n"/>
      <c r="D7" s="5" t="n">
        <v>11844</v>
      </c>
      <c r="E7" s="5" t="n">
        <v>12698</v>
      </c>
      <c r="F7" s="5" t="n">
        <v>11976</v>
      </c>
      <c r="I7" t="inlineStr">
        <is>
          <t>Loans and advances to customers</t>
        </is>
      </c>
      <c r="J7" t="n">
        <v>11976</v>
      </c>
      <c r="K7" t="n">
        <v>12698</v>
      </c>
      <c r="L7" t="n">
        <v>11844</v>
      </c>
      <c r="AO7" t="inlineStr">
        <is>
          <t>Total Capital Ratio</t>
        </is>
      </c>
      <c r="AP7" t="n">
        <v>15.9</v>
      </c>
      <c r="AQ7" t="n">
        <v>13.4</v>
      </c>
      <c r="AR7" t="n">
        <v>15.1</v>
      </c>
      <c r="AS7" t="n">
        <v>14.9</v>
      </c>
      <c r="AT7" t="n">
        <v>18.4</v>
      </c>
    </row>
    <row r="8">
      <c r="A8" s="5" t="inlineStr">
        <is>
          <t>Deposits from customers</t>
        </is>
      </c>
      <c r="B8" s="5" t="n"/>
      <c r="C8" s="5" t="n"/>
      <c r="D8" s="5" t="n">
        <v>15623</v>
      </c>
      <c r="E8" s="5" t="n">
        <v>16014</v>
      </c>
      <c r="F8" s="5" t="n">
        <v>16448</v>
      </c>
      <c r="I8" t="inlineStr">
        <is>
          <t>Deposits from customers</t>
        </is>
      </c>
      <c r="J8" t="n">
        <v>16448</v>
      </c>
      <c r="K8" t="n">
        <v>16014</v>
      </c>
      <c r="L8" t="n">
        <v>15623</v>
      </c>
      <c r="AO8" t="inlineStr">
        <is>
          <t>Leverage Ratio</t>
        </is>
      </c>
      <c r="AP8" t="n">
        <v>5.2</v>
      </c>
      <c r="AQ8" t="n">
        <v>4.2</v>
      </c>
      <c r="AR8" t="n">
        <v>5.3</v>
      </c>
      <c r="AS8" t="n">
        <v>5.6</v>
      </c>
      <c r="AT8" t="n">
        <v>7.8</v>
      </c>
    </row>
    <row r="9">
      <c r="A9" s="5" t="inlineStr">
        <is>
          <t>Total equity</t>
        </is>
      </c>
      <c r="B9" s="5" t="n"/>
      <c r="C9" s="5" t="n"/>
      <c r="D9" s="5" t="n">
        <v>1152</v>
      </c>
      <c r="E9" s="5" t="n">
        <v>957</v>
      </c>
      <c r="F9" s="5" t="n">
        <v>1036</v>
      </c>
      <c r="I9" t="inlineStr">
        <is>
          <t>Total equity</t>
        </is>
      </c>
      <c r="J9" t="n">
        <v>1036</v>
      </c>
      <c r="K9" t="n">
        <v>957</v>
      </c>
      <c r="L9" t="n">
        <v>1152</v>
      </c>
      <c r="AO9" t="inlineStr">
        <is>
          <t>LCR</t>
        </is>
      </c>
      <c r="AP9" t="n">
        <v>281</v>
      </c>
      <c r="AQ9" t="n">
        <v>246</v>
      </c>
      <c r="AR9" t="n">
        <v>244</v>
      </c>
      <c r="AS9" t="n">
        <v>444</v>
      </c>
      <c r="AT9" t="n">
        <v>314</v>
      </c>
    </row>
    <row r="10">
      <c r="AO10" t="inlineStr">
        <is>
          <t>NSFR</t>
        </is>
      </c>
      <c r="AQ10" t="n">
        <v>143</v>
      </c>
      <c r="AR10" t="n">
        <v>136</v>
      </c>
      <c r="AS10" t="n">
        <v>160</v>
      </c>
      <c r="AT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593.3</v>
      </c>
      <c r="C13" s="5" t="n">
        <v>405.3</v>
      </c>
      <c r="D13" s="5" t="n">
        <v>648.9</v>
      </c>
      <c r="E13" s="5" t="n">
        <v>523.5</v>
      </c>
      <c r="F13" s="5" t="n">
        <v>418.5</v>
      </c>
      <c r="Q13" t="inlineStr">
        <is>
          <t>Total income</t>
        </is>
      </c>
      <c r="R13" t="n">
        <v>418.5</v>
      </c>
      <c r="S13" t="n">
        <v>523.5</v>
      </c>
      <c r="T13" t="n">
        <v>648.9</v>
      </c>
      <c r="U13" t="n">
        <v>405.3</v>
      </c>
      <c r="V13" t="n">
        <v>593.3</v>
      </c>
    </row>
    <row r="14">
      <c r="A14" s="5" t="inlineStr">
        <is>
          <t>Total operating expenses</t>
        </is>
      </c>
      <c r="B14" s="5" t="n">
        <v>-491.8</v>
      </c>
      <c r="C14" s="5" t="n">
        <v>-610.3</v>
      </c>
      <c r="D14" s="5" t="n">
        <v>-566.4</v>
      </c>
      <c r="E14" s="5" t="n">
        <v>-554.3</v>
      </c>
      <c r="F14" s="5" t="n">
        <v>-641.2</v>
      </c>
      <c r="Q14" t="inlineStr">
        <is>
          <t>Total operating expenses</t>
        </is>
      </c>
      <c r="R14" t="n">
        <v>-641.2</v>
      </c>
      <c r="S14" t="n">
        <v>-554.3</v>
      </c>
      <c r="T14" t="n">
        <v>-566.4</v>
      </c>
      <c r="U14" t="n">
        <v>-610.3</v>
      </c>
      <c r="V14" t="n">
        <v>-491.8</v>
      </c>
    </row>
    <row r="15">
      <c r="A15" s="5" t="inlineStr">
        <is>
          <t>Profit/(loss) before tax</t>
        </is>
      </c>
      <c r="B15" s="5" t="n">
        <v>87.2</v>
      </c>
      <c r="C15" s="5" t="n">
        <v>-212.1</v>
      </c>
      <c r="D15" s="5" t="n">
        <v>49.3</v>
      </c>
      <c r="E15" s="5" t="n">
        <v>-70.7</v>
      </c>
      <c r="F15" s="5" t="n">
        <v>-245.1</v>
      </c>
      <c r="Q15" t="inlineStr">
        <is>
          <t>Profit/(loss) before tax</t>
        </is>
      </c>
      <c r="R15" t="n">
        <v>-245.1</v>
      </c>
      <c r="S15" t="n">
        <v>-70.7</v>
      </c>
      <c r="T15" t="n">
        <v>49.3</v>
      </c>
      <c r="U15" t="n">
        <v>-212.1</v>
      </c>
      <c r="V15" t="n">
        <v>87.2</v>
      </c>
    </row>
    <row r="16">
      <c r="A16" s="5" t="inlineStr">
        <is>
          <t>Profit/(loss) for the year</t>
        </is>
      </c>
      <c r="B16" s="5" t="n">
        <v>69.7</v>
      </c>
      <c r="C16" s="5" t="n">
        <v>42.5</v>
      </c>
      <c r="D16" s="5" t="n">
        <v>48.3</v>
      </c>
      <c r="E16" s="5" t="n">
        <v>-72.7</v>
      </c>
      <c r="F16" s="5" t="n">
        <v>-248.2</v>
      </c>
      <c r="Q16" t="inlineStr">
        <is>
          <t>Profit/(loss) for the year</t>
        </is>
      </c>
      <c r="R16" t="n">
        <v>-248.2</v>
      </c>
      <c r="S16" t="n">
        <v>-72.7</v>
      </c>
      <c r="T16" t="n">
        <v>48.3</v>
      </c>
      <c r="U16" t="n">
        <v>42.5</v>
      </c>
      <c r="V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c r="C20" s="5" t="n"/>
      <c r="D20" s="5" t="n">
        <v>957</v>
      </c>
      <c r="E20" s="5" t="n">
        <v>1036</v>
      </c>
      <c r="F20" s="5" t="n">
        <v>1294</v>
      </c>
      <c r="Y20" t="inlineStr">
        <is>
          <t>Opening equity</t>
        </is>
      </c>
      <c r="Z20" t="n">
        <v>1294</v>
      </c>
      <c r="AA20" t="n">
        <v>1036</v>
      </c>
      <c r="AB20" t="n">
        <v>957</v>
      </c>
    </row>
    <row r="21">
      <c r="A21" s="5" t="inlineStr">
        <is>
          <t>Total comprehensive income for the year</t>
        </is>
      </c>
      <c r="B21" s="5" t="n"/>
      <c r="C21" s="5" t="n"/>
      <c r="D21" s="5" t="n">
        <v>48</v>
      </c>
      <c r="E21" s="5" t="n"/>
      <c r="F21" s="5" t="n"/>
      <c r="Y21" t="inlineStr">
        <is>
          <t>Total comprehensive income for the year</t>
        </is>
      </c>
      <c r="AB21" t="n">
        <v>48</v>
      </c>
    </row>
    <row r="22">
      <c r="A22" s="5" t="inlineStr">
        <is>
          <t>Total comprehensive loss for the year</t>
        </is>
      </c>
      <c r="B22" s="5" t="n"/>
      <c r="C22" s="5" t="n"/>
      <c r="D22" s="5" t="n"/>
      <c r="E22" s="5" t="n">
        <v>-81</v>
      </c>
      <c r="F22" s="5" t="n">
        <v>-260</v>
      </c>
      <c r="Y22" t="inlineStr">
        <is>
          <t>Total comprehensive loss for the year</t>
        </is>
      </c>
      <c r="Z22" t="n">
        <v>-260</v>
      </c>
      <c r="AA22" t="n">
        <v>-81</v>
      </c>
    </row>
    <row r="23">
      <c r="A23" s="5" t="inlineStr">
        <is>
          <t>Other equity movements, net</t>
        </is>
      </c>
      <c r="B23" s="5" t="n"/>
      <c r="C23" s="5" t="n"/>
      <c r="D23" s="5" t="n">
        <v>147</v>
      </c>
      <c r="E23" s="5" t="n">
        <v>2</v>
      </c>
      <c r="F23" s="5" t="n">
        <v>2</v>
      </c>
      <c r="Y23" t="inlineStr">
        <is>
          <t>Other equity movements, net</t>
        </is>
      </c>
      <c r="Z23" t="n">
        <v>2</v>
      </c>
      <c r="AA23" t="n">
        <v>2</v>
      </c>
      <c r="AB23" t="n">
        <v>147</v>
      </c>
    </row>
    <row r="24">
      <c r="A24" s="5" t="inlineStr">
        <is>
          <t>Closing equity</t>
        </is>
      </c>
      <c r="B24" s="5" t="n"/>
      <c r="C24" s="5" t="n"/>
      <c r="D24" s="5" t="n">
        <v>1152</v>
      </c>
      <c r="E24" s="5" t="n">
        <v>957</v>
      </c>
      <c r="F24" s="5" t="n">
        <v>1036</v>
      </c>
      <c r="Y24" t="inlineStr">
        <is>
          <t>Closing equity</t>
        </is>
      </c>
      <c r="Z24" t="n">
        <v>1036</v>
      </c>
      <c r="AA24" t="n">
        <v>957</v>
      </c>
      <c r="AB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AH27" t="inlineStr">
        <is>
          <t>FY2021</t>
        </is>
      </c>
      <c r="AI27" t="inlineStr">
        <is>
          <t>FY2022</t>
        </is>
      </c>
      <c r="AJ27" t="inlineStr">
        <is>
          <t>FY2023</t>
        </is>
      </c>
      <c r="AK27" t="inlineStr">
        <is>
          <t>FY2024</t>
        </is>
      </c>
      <c r="AL27" t="inlineStr">
        <is>
          <t>FY2025</t>
        </is>
      </c>
    </row>
    <row r="28">
      <c r="A28" s="5" t="inlineStr">
        <is>
          <t>Net cash inflows/(outflows) from operating activities</t>
        </is>
      </c>
      <c r="B28" s="5" t="n"/>
      <c r="C28" s="5" t="n"/>
      <c r="D28" s="5" t="n">
        <v>612</v>
      </c>
      <c r="E28" s="5" t="n">
        <v>-1167</v>
      </c>
      <c r="F28" s="5" t="n">
        <v>2874</v>
      </c>
      <c r="AG28" t="inlineStr">
        <is>
          <t>Net cash inflows/(outflows) from operating activities</t>
        </is>
      </c>
      <c r="AH28" t="n">
        <v>2874</v>
      </c>
      <c r="AI28" t="n">
        <v>-1167</v>
      </c>
      <c r="AJ28" t="n">
        <v>612</v>
      </c>
    </row>
    <row r="29">
      <c r="A29" s="5" t="inlineStr">
        <is>
          <t>Net cash inflows/(outflows) from investing activities</t>
        </is>
      </c>
      <c r="B29" s="5" t="n"/>
      <c r="C29" s="5" t="n"/>
      <c r="D29" s="5" t="n">
        <v>1028</v>
      </c>
      <c r="E29" s="5" t="n">
        <v>-402</v>
      </c>
      <c r="F29" s="5" t="n">
        <v>-2274</v>
      </c>
      <c r="AG29" t="inlineStr">
        <is>
          <t>Net cash inflows/(outflows) from investing activities</t>
        </is>
      </c>
      <c r="AH29" t="n">
        <v>-2274</v>
      </c>
      <c r="AI29" t="n">
        <v>-402</v>
      </c>
      <c r="AJ29" t="n">
        <v>1028</v>
      </c>
    </row>
    <row r="30">
      <c r="A30" s="5" t="inlineStr">
        <is>
          <t>Net cash inflows/(outflows) from financing activities</t>
        </is>
      </c>
      <c r="B30" s="5" t="n"/>
      <c r="C30" s="5" t="n"/>
      <c r="D30" s="5" t="n">
        <v>296</v>
      </c>
      <c r="E30" s="5" t="n">
        <v>-25</v>
      </c>
      <c r="F30" s="5" t="n">
        <v>-27</v>
      </c>
      <c r="AG30" t="inlineStr">
        <is>
          <t>Net cash inflows/(outflows) from financing activities</t>
        </is>
      </c>
      <c r="AH30" t="n">
        <v>-27</v>
      </c>
      <c r="AI30" t="n">
        <v>-25</v>
      </c>
      <c r="AJ30" t="n">
        <v>296</v>
      </c>
    </row>
    <row r="31">
      <c r="A31" s="5" t="inlineStr">
        <is>
          <t>Cash and cash equivalents at end of year</t>
        </is>
      </c>
      <c r="B31" s="5" t="n"/>
      <c r="C31" s="5" t="n"/>
      <c r="D31" s="5" t="n">
        <v>3889</v>
      </c>
      <c r="E31" s="5" t="n">
        <v>1953</v>
      </c>
      <c r="F31" s="5" t="n">
        <v>3547</v>
      </c>
      <c r="AG31" t="inlineStr">
        <is>
          <t>Cash and cash equivalents at end of year</t>
        </is>
      </c>
      <c r="AH31" t="n">
        <v>3547</v>
      </c>
      <c r="AI31" t="n">
        <v>1953</v>
      </c>
      <c r="AJ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row>
    <row r="35">
      <c r="A35" s="6" t="inlineStr">
        <is>
          <t>CET1 Ratio</t>
        </is>
      </c>
      <c r="B35" s="6" t="inlineStr">
        <is>
          <t>12.5%</t>
        </is>
      </c>
      <c r="C35" s="6" t="inlineStr">
        <is>
          <t>12.5%</t>
        </is>
      </c>
      <c r="D35" s="6" t="inlineStr">
        <is>
          <t>13.1%</t>
        </is>
      </c>
      <c r="E35" s="6" t="inlineStr">
        <is>
          <t>10.3%</t>
        </is>
      </c>
      <c r="F35" s="6" t="inlineStr">
        <is>
          <t>12.6%</t>
        </is>
      </c>
    </row>
    <row r="36">
      <c r="A36" s="6" t="inlineStr">
        <is>
          <t>Total Capital Ratio</t>
        </is>
      </c>
      <c r="B36" s="6" t="inlineStr">
        <is>
          <t>18.4%</t>
        </is>
      </c>
      <c r="C36" s="6" t="inlineStr">
        <is>
          <t>14.9%</t>
        </is>
      </c>
      <c r="D36" s="6" t="inlineStr">
        <is>
          <t>15.1%</t>
        </is>
      </c>
      <c r="E36" s="6" t="inlineStr">
        <is>
          <t>13.4%</t>
        </is>
      </c>
      <c r="F36" s="6" t="inlineStr">
        <is>
          <t>15.9%</t>
        </is>
      </c>
    </row>
    <row r="37">
      <c r="A37" s="6" t="inlineStr">
        <is>
          <t>Leverage Ratio</t>
        </is>
      </c>
      <c r="B37" s="6" t="inlineStr">
        <is>
          <t>7.8%</t>
        </is>
      </c>
      <c r="C37" s="6" t="inlineStr">
        <is>
          <t>5.6%</t>
        </is>
      </c>
      <c r="D37" s="6" t="inlineStr">
        <is>
          <t>5.3%</t>
        </is>
      </c>
      <c r="E37" s="6" t="inlineStr">
        <is>
          <t>4.2%</t>
        </is>
      </c>
      <c r="F37" s="6" t="inlineStr">
        <is>
          <t>5.2%</t>
        </is>
      </c>
    </row>
    <row r="38">
      <c r="A38" s="6" t="inlineStr">
        <is>
          <t>LCR</t>
        </is>
      </c>
      <c r="B38" s="6" t="inlineStr">
        <is>
          <t>314%</t>
        </is>
      </c>
      <c r="C38" s="6" t="inlineStr">
        <is>
          <t>444%</t>
        </is>
      </c>
      <c r="D38" s="6" t="inlineStr">
        <is>
          <t>244%</t>
        </is>
      </c>
      <c r="E38" s="6" t="inlineStr">
        <is>
          <t>246%</t>
        </is>
      </c>
      <c r="F38" s="6" t="inlineStr">
        <is>
          <t>281%</t>
        </is>
      </c>
    </row>
    <row r="39">
      <c r="A39" s="6" t="inlineStr">
        <is>
          <t>NSFR</t>
        </is>
      </c>
      <c r="B39" s="6" t="inlineStr">
        <is>
          <t>165%</t>
        </is>
      </c>
      <c r="C39" s="6" t="inlineStr">
        <is>
          <t>160%</t>
        </is>
      </c>
      <c r="D39" s="6" t="inlineStr">
        <is>
          <t>136%</t>
        </is>
      </c>
      <c r="E39" s="6" t="inlineStr">
        <is>
          <t>143%</t>
        </is>
      </c>
      <c r="F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Metro Bank PLC - Balance Sheet</t>
        </is>
      </c>
    </row>
    <row r="2">
      <c r="A2" s="2" t="inlineStr">
        <is>
          <t>Company/standalone basis, £m; 31 December year-end.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with the Bank of England</t>
        </is>
      </c>
      <c r="B5" s="6" t="n"/>
      <c r="C5" s="6" t="n"/>
      <c r="D5" s="6" t="n">
        <v>3889</v>
      </c>
      <c r="E5" s="6" t="n">
        <v>1953</v>
      </c>
      <c r="F5" s="6" t="n">
        <v>3547</v>
      </c>
    </row>
    <row r="6">
      <c r="A6" s="6" t="inlineStr">
        <is>
          <t>Loans and advances to customers</t>
        </is>
      </c>
      <c r="B6" s="6" t="n"/>
      <c r="C6" s="6" t="n"/>
      <c r="D6" s="6" t="n">
        <v>11844</v>
      </c>
      <c r="E6" s="6" t="n">
        <v>12698</v>
      </c>
      <c r="F6" s="6" t="n">
        <v>11976</v>
      </c>
    </row>
    <row r="7">
      <c r="A7" s="6" t="inlineStr">
        <is>
          <t>Investment securities held at FVOCI</t>
        </is>
      </c>
      <c r="B7" s="6" t="n"/>
      <c r="C7" s="6" t="n"/>
      <c r="D7" s="6" t="n">
        <v>476</v>
      </c>
      <c r="E7" s="6" t="n">
        <v>571</v>
      </c>
      <c r="F7" s="6" t="n">
        <v>798</v>
      </c>
    </row>
    <row r="8">
      <c r="A8" s="6" t="inlineStr">
        <is>
          <t>Investment securities held at amortised cost</t>
        </is>
      </c>
      <c r="B8" s="6" t="n"/>
      <c r="C8" s="6" t="n"/>
      <c r="D8" s="6" t="n">
        <v>4403</v>
      </c>
      <c r="E8" s="6" t="n">
        <v>5343</v>
      </c>
      <c r="F8" s="6" t="n">
        <v>4776</v>
      </c>
    </row>
    <row r="9">
      <c r="A9" s="6" t="inlineStr">
        <is>
          <t>Financial assets held at fair value through profit and loss</t>
        </is>
      </c>
      <c r="B9" s="6" t="n"/>
      <c r="C9" s="6" t="n"/>
      <c r="D9" s="6" t="n"/>
      <c r="E9" s="6" t="n">
        <v>1</v>
      </c>
      <c r="F9" s="6" t="n">
        <v>3</v>
      </c>
    </row>
    <row r="10">
      <c r="A10" s="6" t="inlineStr">
        <is>
          <t>Derivative financial assets</t>
        </is>
      </c>
      <c r="B10" s="6" t="n"/>
      <c r="C10" s="6" t="n"/>
      <c r="D10" s="6" t="n">
        <v>36</v>
      </c>
      <c r="E10" s="6" t="n">
        <v>23</v>
      </c>
      <c r="F10" s="6" t="n"/>
    </row>
    <row r="11">
      <c r="A11" s="6" t="inlineStr">
        <is>
          <t>Property, plant and equipment</t>
        </is>
      </c>
      <c r="B11" s="6" t="n"/>
      <c r="C11" s="6" t="n"/>
      <c r="D11" s="6" t="n">
        <v>723</v>
      </c>
      <c r="E11" s="6" t="n">
        <v>748</v>
      </c>
      <c r="F11" s="6" t="n">
        <v>765</v>
      </c>
    </row>
    <row r="12">
      <c r="A12" s="6" t="inlineStr">
        <is>
          <t>Investment in subsidiaries</t>
        </is>
      </c>
      <c r="B12" s="6" t="n"/>
      <c r="C12" s="6" t="n"/>
      <c r="D12" s="6" t="n">
        <v>15</v>
      </c>
      <c r="E12" s="6" t="n">
        <v>31</v>
      </c>
      <c r="F12" s="6" t="n">
        <v>31</v>
      </c>
    </row>
    <row r="13">
      <c r="A13" s="6" t="inlineStr">
        <is>
          <t>Intangible assets</t>
        </is>
      </c>
      <c r="B13" s="6" t="n"/>
      <c r="C13" s="6" t="n"/>
      <c r="D13" s="6" t="n">
        <v>188</v>
      </c>
      <c r="E13" s="6" t="n">
        <v>204</v>
      </c>
      <c r="F13" s="6" t="n">
        <v>231</v>
      </c>
    </row>
    <row r="14">
      <c r="A14" s="6" t="inlineStr">
        <is>
          <t>Prepayments and accrued income</t>
        </is>
      </c>
      <c r="B14" s="6" t="n"/>
      <c r="C14" s="6" t="n"/>
      <c r="D14" s="6" t="n">
        <v>111</v>
      </c>
      <c r="E14" s="6" t="n">
        <v>80</v>
      </c>
      <c r="F14" s="6" t="n">
        <v>64</v>
      </c>
    </row>
    <row r="15">
      <c r="A15" s="6" t="inlineStr">
        <is>
          <t>Assets classified as held for sale</t>
        </is>
      </c>
      <c r="B15" s="6" t="n"/>
      <c r="C15" s="6" t="n"/>
      <c r="D15" s="6" t="n"/>
      <c r="E15" s="6" t="n">
        <v>1</v>
      </c>
      <c r="F15" s="6" t="n"/>
    </row>
    <row r="16">
      <c r="A16" s="6" t="inlineStr">
        <is>
          <t>Other assets</t>
        </is>
      </c>
      <c r="B16" s="6" t="n"/>
      <c r="C16" s="6" t="n"/>
      <c r="D16" s="6" t="n">
        <v>572</v>
      </c>
      <c r="E16" s="6" t="n">
        <v>473</v>
      </c>
      <c r="F16" s="6" t="n">
        <v>392</v>
      </c>
    </row>
    <row r="17">
      <c r="A17" s="5" t="inlineStr">
        <is>
          <t>Total assets</t>
        </is>
      </c>
      <c r="B17" s="5" t="n"/>
      <c r="C17" s="5" t="n"/>
      <c r="D17" s="5" t="n">
        <v>22257</v>
      </c>
      <c r="E17" s="5" t="n">
        <v>22126</v>
      </c>
      <c r="F17" s="5" t="n">
        <v>22583</v>
      </c>
    </row>
    <row r="18">
      <c r="A18" s="5" t="inlineStr">
        <is>
          <t>Liabilities</t>
        </is>
      </c>
      <c r="B18" s="6" t="n"/>
      <c r="C18" s="6" t="n"/>
      <c r="D18" s="6" t="n"/>
      <c r="E18" s="6" t="n"/>
      <c r="F18" s="6" t="n"/>
    </row>
    <row r="19">
      <c r="A19" s="6" t="inlineStr">
        <is>
          <t>Deposits from customers</t>
        </is>
      </c>
      <c r="B19" s="6" t="n"/>
      <c r="C19" s="6" t="n"/>
      <c r="D19" s="6" t="n">
        <v>15623</v>
      </c>
      <c r="E19" s="6" t="n">
        <v>16014</v>
      </c>
      <c r="F19" s="6" t="n">
        <v>16448</v>
      </c>
    </row>
    <row r="20">
      <c r="A20" s="6" t="inlineStr">
        <is>
          <t>Deposits from central banks</t>
        </is>
      </c>
      <c r="B20" s="6" t="n"/>
      <c r="C20" s="6" t="n"/>
      <c r="D20" s="6" t="n">
        <v>3050</v>
      </c>
      <c r="E20" s="6" t="n">
        <v>3800</v>
      </c>
      <c r="F20" s="6" t="n">
        <v>3800</v>
      </c>
    </row>
    <row r="21">
      <c r="A21" s="6" t="inlineStr">
        <is>
          <t>Debt securities</t>
        </is>
      </c>
      <c r="B21" s="6" t="n"/>
      <c r="C21" s="6" t="n"/>
      <c r="D21" s="6" t="n">
        <v>699</v>
      </c>
      <c r="E21" s="6" t="n">
        <v>571</v>
      </c>
      <c r="F21" s="6" t="n">
        <v>588</v>
      </c>
    </row>
    <row r="22">
      <c r="A22" s="6" t="inlineStr">
        <is>
          <t>Repurchase agreements</t>
        </is>
      </c>
      <c r="B22" s="6" t="n"/>
      <c r="C22" s="6" t="n"/>
      <c r="D22" s="6" t="n">
        <v>1191</v>
      </c>
      <c r="E22" s="6" t="n">
        <v>238</v>
      </c>
      <c r="F22" s="6" t="n">
        <v>169</v>
      </c>
    </row>
    <row r="23">
      <c r="A23" s="6" t="inlineStr">
        <is>
          <t>Derivative financial liabilities</t>
        </is>
      </c>
      <c r="B23" s="6" t="n"/>
      <c r="C23" s="6" t="n"/>
      <c r="D23" s="6" t="n"/>
      <c r="E23" s="6" t="n">
        <v>26</v>
      </c>
      <c r="F23" s="6" t="n">
        <v>10</v>
      </c>
    </row>
    <row r="24">
      <c r="A24" s="6" t="inlineStr">
        <is>
          <t>Lease liabilities</t>
        </is>
      </c>
      <c r="B24" s="6" t="n"/>
      <c r="C24" s="6" t="n"/>
      <c r="D24" s="6" t="n">
        <v>234</v>
      </c>
      <c r="E24" s="6" t="n">
        <v>248</v>
      </c>
      <c r="F24" s="6" t="n">
        <v>269</v>
      </c>
    </row>
    <row r="25">
      <c r="A25" s="6" t="inlineStr">
        <is>
          <t>Deferred grants</t>
        </is>
      </c>
      <c r="B25" s="6" t="n"/>
      <c r="C25" s="6" t="n"/>
      <c r="D25" s="6" t="n">
        <v>16</v>
      </c>
      <c r="E25" s="6" t="n">
        <v>17</v>
      </c>
      <c r="F25" s="6" t="n">
        <v>19</v>
      </c>
    </row>
    <row r="26">
      <c r="A26" s="6" t="inlineStr">
        <is>
          <t>Provisions</t>
        </is>
      </c>
      <c r="B26" s="6" t="n"/>
      <c r="C26" s="6" t="n"/>
      <c r="D26" s="6" t="n">
        <v>23</v>
      </c>
      <c r="E26" s="6" t="n">
        <v>7</v>
      </c>
      <c r="F26" s="6" t="n">
        <v>15</v>
      </c>
    </row>
    <row r="27">
      <c r="A27" s="6" t="inlineStr">
        <is>
          <t>Deferred tax liability</t>
        </is>
      </c>
      <c r="B27" s="6" t="n"/>
      <c r="C27" s="6" t="n"/>
      <c r="D27" s="6" t="n">
        <v>13</v>
      </c>
      <c r="E27" s="6" t="n">
        <v>12</v>
      </c>
      <c r="F27" s="6" t="n">
        <v>12</v>
      </c>
    </row>
    <row r="28">
      <c r="A28" s="6" t="inlineStr">
        <is>
          <t>Other liabilities</t>
        </is>
      </c>
      <c r="B28" s="6" t="n"/>
      <c r="C28" s="6" t="n"/>
      <c r="D28" s="6" t="n">
        <v>256</v>
      </c>
      <c r="E28" s="6" t="n">
        <v>236</v>
      </c>
      <c r="F28" s="6" t="n">
        <v>217</v>
      </c>
    </row>
    <row r="29">
      <c r="A29" s="5" t="inlineStr">
        <is>
          <t>Total liabilities</t>
        </is>
      </c>
      <c r="B29" s="5" t="n"/>
      <c r="C29" s="5" t="n"/>
      <c r="D29" s="5" t="n">
        <v>21105</v>
      </c>
      <c r="E29" s="5" t="n">
        <v>21169</v>
      </c>
      <c r="F29" s="5" t="n">
        <v>21547</v>
      </c>
    </row>
    <row r="30">
      <c r="A30" s="5" t="inlineStr">
        <is>
          <t>Equity</t>
        </is>
      </c>
      <c r="B30" s="6" t="n"/>
      <c r="C30" s="6" t="n"/>
      <c r="D30" s="6" t="n"/>
      <c r="E30" s="6" t="n"/>
      <c r="F30" s="6" t="n"/>
    </row>
    <row r="31">
      <c r="A31" s="6" t="inlineStr">
        <is>
          <t>Called-up share capital</t>
        </is>
      </c>
      <c r="B31" s="6" t="n"/>
      <c r="C31" s="6" t="n"/>
      <c r="D31" s="6" t="n"/>
      <c r="E31" s="6" t="n"/>
      <c r="F31" s="6" t="n"/>
    </row>
    <row r="32">
      <c r="A32" s="6" t="inlineStr">
        <is>
          <t>Share premium</t>
        </is>
      </c>
      <c r="B32" s="6" t="n"/>
      <c r="C32" s="6" t="n"/>
      <c r="D32" s="6" t="n">
        <v>144</v>
      </c>
      <c r="E32" s="6" t="n">
        <v>1964</v>
      </c>
      <c r="F32" s="6" t="n">
        <v>1964</v>
      </c>
    </row>
    <row r="33">
      <c r="A33" s="6" t="inlineStr">
        <is>
          <t>Retained earnings/(losses)</t>
        </is>
      </c>
      <c r="B33" s="6" t="n"/>
      <c r="C33" s="6" t="n"/>
      <c r="D33" s="6" t="n">
        <v>996</v>
      </c>
      <c r="E33" s="6" t="n">
        <v>-1014</v>
      </c>
      <c r="F33" s="6" t="n">
        <v>-941</v>
      </c>
    </row>
    <row r="34">
      <c r="A34" s="6" t="inlineStr">
        <is>
          <t>Other reserves</t>
        </is>
      </c>
      <c r="B34" s="6" t="n"/>
      <c r="C34" s="6" t="n"/>
      <c r="D34" s="6" t="n">
        <v>12</v>
      </c>
      <c r="E34" s="6" t="n">
        <v>7</v>
      </c>
      <c r="F34" s="6" t="n">
        <v>13</v>
      </c>
    </row>
    <row r="35">
      <c r="A35" s="5" t="inlineStr">
        <is>
          <t>Total equity</t>
        </is>
      </c>
      <c r="B35" s="5" t="n"/>
      <c r="C35" s="5" t="n"/>
      <c r="D35" s="5" t="n">
        <v>1152</v>
      </c>
      <c r="E35" s="5" t="n">
        <v>957</v>
      </c>
      <c r="F35" s="5" t="n">
        <v>1036</v>
      </c>
    </row>
    <row r="36">
      <c r="A36" s="5" t="inlineStr">
        <is>
          <t>Total equity and liabilities</t>
        </is>
      </c>
      <c r="B36" s="5" t="n"/>
      <c r="C36" s="5" t="n"/>
      <c r="D36" s="5" t="n">
        <v>22257</v>
      </c>
      <c r="E36" s="5" t="n">
        <v>22126</v>
      </c>
      <c r="F36" s="5" t="n">
        <v>22583</v>
      </c>
    </row>
    <row r="38" ht="340" customHeight="1">
      <c r="A38" s="8" t="inlineStr">
        <is>
          <t>Sources - Metro Bank PLC statements, £m: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Metro Bank PLC - Profit &amp; Loss</t>
        </is>
      </c>
    </row>
    <row r="2">
      <c r="A2" s="2" t="inlineStr">
        <is>
          <t>Group/consolidated basis, £m (Metro Bank PLC does not publish its own standalone income statement in any year reviewed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725.4</v>
      </c>
      <c r="C5" s="6" t="n">
        <v>935.4</v>
      </c>
      <c r="D5" s="6" t="n">
        <v>855.7</v>
      </c>
      <c r="E5" s="6" t="n">
        <v>563.7</v>
      </c>
      <c r="F5" s="6" t="n">
        <v>405.7</v>
      </c>
    </row>
    <row r="6">
      <c r="A6" s="6" t="inlineStr">
        <is>
          <t>Interest expense</t>
        </is>
      </c>
      <c r="B6" s="6" t="n">
        <v>-265.1</v>
      </c>
      <c r="C6" s="6" t="n">
        <v>-557.5</v>
      </c>
      <c r="D6" s="6" t="n">
        <v>-443.8</v>
      </c>
      <c r="E6" s="6" t="n">
        <v>-159.6</v>
      </c>
      <c r="F6" s="6" t="n">
        <v>-110.4</v>
      </c>
    </row>
    <row r="7">
      <c r="A7" s="5" t="inlineStr">
        <is>
          <t>Net interest income</t>
        </is>
      </c>
      <c r="B7" s="5" t="n">
        <v>460.3</v>
      </c>
      <c r="C7" s="5" t="n">
        <v>377.9</v>
      </c>
      <c r="D7" s="5" t="n">
        <v>411.9</v>
      </c>
      <c r="E7" s="5" t="n">
        <v>404.1</v>
      </c>
      <c r="F7" s="5" t="n">
        <v>295.3</v>
      </c>
    </row>
    <row r="8">
      <c r="A8" s="6" t="inlineStr">
        <is>
          <t>Fee and commission income</t>
        </is>
      </c>
      <c r="B8" s="6" t="n">
        <v>96.7</v>
      </c>
      <c r="C8" s="6" t="n">
        <v>98</v>
      </c>
      <c r="D8" s="6" t="n">
        <v>95</v>
      </c>
      <c r="E8" s="6" t="n">
        <v>84.40000000000001</v>
      </c>
      <c r="F8" s="6" t="n">
        <v>71.2</v>
      </c>
    </row>
    <row r="9">
      <c r="A9" s="6" t="inlineStr">
        <is>
          <t>Fee and commission expense</t>
        </is>
      </c>
      <c r="B9" s="6" t="n">
        <v>-5.6</v>
      </c>
      <c r="C9" s="6" t="n">
        <v>-4.8</v>
      </c>
      <c r="D9" s="6" t="n">
        <v>-4.6</v>
      </c>
      <c r="E9" s="6" t="n">
        <v>-2.6</v>
      </c>
      <c r="F9" s="6" t="n">
        <v>-1.6</v>
      </c>
    </row>
    <row r="10">
      <c r="A10" s="5" t="inlineStr">
        <is>
          <t>Net fee and commission income</t>
        </is>
      </c>
      <c r="B10" s="5" t="n">
        <v>91.09999999999999</v>
      </c>
      <c r="C10" s="5" t="n">
        <v>93.2</v>
      </c>
      <c r="D10" s="5" t="n">
        <v>90.40000000000001</v>
      </c>
      <c r="E10" s="5" t="n">
        <v>81.8</v>
      </c>
      <c r="F10" s="5" t="n">
        <v>69.59999999999999</v>
      </c>
    </row>
    <row r="11">
      <c r="A11" s="6" t="inlineStr">
        <is>
          <t>Net gain/(loss) on sale of assets</t>
        </is>
      </c>
      <c r="B11" s="6" t="n">
        <v>5.2</v>
      </c>
      <c r="C11" s="6" t="n">
        <v>-101.4</v>
      </c>
      <c r="D11" s="6" t="n">
        <v>2.7</v>
      </c>
      <c r="E11" s="6" t="n"/>
      <c r="F11" s="6" t="n">
        <v>9.4</v>
      </c>
    </row>
    <row r="12">
      <c r="A12" s="6" t="inlineStr">
        <is>
          <t>Other income</t>
        </is>
      </c>
      <c r="B12" s="6" t="n">
        <v>36.7</v>
      </c>
      <c r="C12" s="6" t="n">
        <v>35.6</v>
      </c>
      <c r="D12" s="6" t="n">
        <v>143.9</v>
      </c>
      <c r="E12" s="6" t="n">
        <v>37.6</v>
      </c>
      <c r="F12" s="6" t="n">
        <v>44.2</v>
      </c>
    </row>
    <row r="13">
      <c r="A13" s="5" t="inlineStr">
        <is>
          <t>Total income</t>
        </is>
      </c>
      <c r="B13" s="5" t="n">
        <v>593.3</v>
      </c>
      <c r="C13" s="5" t="n">
        <v>405.3</v>
      </c>
      <c r="D13" s="5" t="n">
        <v>648.9</v>
      </c>
      <c r="E13" s="5" t="n">
        <v>523.5</v>
      </c>
      <c r="F13" s="5" t="n">
        <v>418.5</v>
      </c>
    </row>
    <row r="14">
      <c r="A14" s="6" t="inlineStr">
        <is>
          <t>General operating expenses</t>
        </is>
      </c>
      <c r="B14" s="6" t="n">
        <v>-429.4</v>
      </c>
      <c r="C14" s="6" t="n">
        <v>-489</v>
      </c>
      <c r="D14" s="6" t="n">
        <v>-484.1</v>
      </c>
      <c r="E14" s="6" t="n">
        <v>-467.6</v>
      </c>
      <c r="F14" s="6" t="n">
        <v>-536.1</v>
      </c>
    </row>
    <row r="15">
      <c r="A15" s="6" t="inlineStr">
        <is>
          <t>Depreciation and amortisation</t>
        </is>
      </c>
      <c r="B15" s="6" t="n">
        <v>-61.7</v>
      </c>
      <c r="C15" s="6" t="n">
        <v>-77.3</v>
      </c>
      <c r="D15" s="6" t="n">
        <v>-77.7</v>
      </c>
      <c r="E15" s="6" t="n">
        <v>-77</v>
      </c>
      <c r="F15" s="6" t="n">
        <v>-80.2</v>
      </c>
    </row>
    <row r="16">
      <c r="A16" s="6" t="inlineStr">
        <is>
          <t>Impairment and write-offs of property, plant, equipment and intangible assets</t>
        </is>
      </c>
      <c r="B16" s="6" t="n">
        <v>-0.7</v>
      </c>
      <c r="C16" s="6" t="n">
        <v>-44</v>
      </c>
      <c r="D16" s="6" t="n">
        <v>-4.6</v>
      </c>
      <c r="E16" s="6" t="n">
        <v>-9.699999999999999</v>
      </c>
      <c r="F16" s="6" t="n">
        <v>-24.9</v>
      </c>
    </row>
    <row r="17">
      <c r="A17" s="5" t="inlineStr">
        <is>
          <t>Total operating expenses</t>
        </is>
      </c>
      <c r="B17" s="5" t="n">
        <v>-491.8</v>
      </c>
      <c r="C17" s="5" t="n">
        <v>-610.3</v>
      </c>
      <c r="D17" s="5" t="n">
        <v>-566.4</v>
      </c>
      <c r="E17" s="5" t="n">
        <v>-554.3</v>
      </c>
      <c r="F17" s="5" t="n">
        <v>-641.2</v>
      </c>
    </row>
    <row r="18">
      <c r="A18" s="6" t="inlineStr">
        <is>
          <t>Expected credit loss expense</t>
        </is>
      </c>
      <c r="B18" s="6" t="n">
        <v>-14.3</v>
      </c>
      <c r="C18" s="6" t="n">
        <v>-7.1</v>
      </c>
      <c r="D18" s="6" t="n">
        <v>-33.2</v>
      </c>
      <c r="E18" s="6" t="n">
        <v>-39.9</v>
      </c>
      <c r="F18" s="6" t="n">
        <v>-22.4</v>
      </c>
    </row>
    <row r="19">
      <c r="A19" s="5" t="inlineStr">
        <is>
          <t>Profit/(loss) before tax</t>
        </is>
      </c>
      <c r="B19" s="5" t="n">
        <v>87.2</v>
      </c>
      <c r="C19" s="5" t="n">
        <v>-212.1</v>
      </c>
      <c r="D19" s="5" t="n">
        <v>49.3</v>
      </c>
      <c r="E19" s="5" t="n">
        <v>-70.7</v>
      </c>
      <c r="F19" s="5" t="n">
        <v>-245.1</v>
      </c>
    </row>
    <row r="20">
      <c r="A20" s="6" t="inlineStr">
        <is>
          <t>Taxation credit/(expense)</t>
        </is>
      </c>
      <c r="B20" s="6" t="n">
        <v>-17.5</v>
      </c>
      <c r="C20" s="6" t="n">
        <v>254.6</v>
      </c>
      <c r="D20" s="6" t="n">
        <v>-1</v>
      </c>
      <c r="E20" s="6" t="n">
        <v>-2</v>
      </c>
      <c r="F20" s="6" t="n">
        <v>-3.1</v>
      </c>
    </row>
    <row r="21">
      <c r="A21" s="5" t="inlineStr">
        <is>
          <t>Profit/(loss) for the year</t>
        </is>
      </c>
      <c r="B21" s="5" t="n">
        <v>69.7</v>
      </c>
      <c r="C21" s="5" t="n">
        <v>42.5</v>
      </c>
      <c r="D21" s="5" t="n">
        <v>48.3</v>
      </c>
      <c r="E21" s="5" t="n">
        <v>-72.7</v>
      </c>
      <c r="F21" s="5" t="n">
        <v>-248.2</v>
      </c>
    </row>
    <row r="22">
      <c r="A22" s="5" t="inlineStr">
        <is>
          <t>Other comprehensive income/(expense) for the year</t>
        </is>
      </c>
      <c r="B22" s="6" t="n"/>
      <c r="C22" s="6" t="n"/>
      <c r="D22" s="6" t="n"/>
      <c r="E22" s="6" t="n"/>
      <c r="F22" s="6" t="n"/>
    </row>
    <row r="23">
      <c r="A23" s="6" t="inlineStr">
        <is>
          <t>Movement in investment securities held at FVOCI - changes in fair value (net of tax)</t>
        </is>
      </c>
      <c r="B23" s="6" t="n">
        <v>4.2</v>
      </c>
      <c r="C23" s="6" t="n">
        <v>3.4</v>
      </c>
      <c r="D23" s="6" t="n">
        <v>2.4</v>
      </c>
      <c r="E23" s="6" t="n">
        <v>-7.6</v>
      </c>
      <c r="F23" s="6" t="n">
        <v>-8.1</v>
      </c>
    </row>
    <row r="24">
      <c r="A24" s="6" t="inlineStr">
        <is>
          <t>FV changes transferred to the income statement on disposal (net of tax)</t>
        </is>
      </c>
      <c r="B24" s="6" t="n"/>
      <c r="C24" s="6" t="n"/>
      <c r="D24" s="6" t="n"/>
      <c r="E24" s="6" t="n"/>
      <c r="F24" s="6" t="n">
        <v>-0.3</v>
      </c>
    </row>
    <row r="25">
      <c r="A25" s="5" t="inlineStr">
        <is>
          <t>Total other comprehensive income/(expense)</t>
        </is>
      </c>
      <c r="B25" s="5" t="n">
        <v>4.2</v>
      </c>
      <c r="C25" s="5" t="n">
        <v>3.4</v>
      </c>
      <c r="D25" s="5" t="n">
        <v>2.4</v>
      </c>
      <c r="E25" s="5" t="n">
        <v>-7.6</v>
      </c>
      <c r="F25" s="5" t="n">
        <v>-8.4</v>
      </c>
    </row>
    <row r="26">
      <c r="A26" s="5" t="inlineStr">
        <is>
          <t>Total comprehensive income/(loss) for the year</t>
        </is>
      </c>
      <c r="B26" s="5" t="n">
        <v>73.90000000000001</v>
      </c>
      <c r="C26" s="5" t="n">
        <v>45.9</v>
      </c>
      <c r="D26" s="5" t="n">
        <v>50.7</v>
      </c>
      <c r="E26" s="5" t="n">
        <v>-80.3</v>
      </c>
      <c r="F26" s="5" t="n">
        <v>-256.6</v>
      </c>
    </row>
    <row r="28" ht="340" customHeight="1">
      <c r="A28" s="8" t="inlineStr">
        <is>
          <t>Sources - Metro Bank PLC statements, £m: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Company/standalone basis, £m. FY2024-FY2025 not located - same basis and gap as the Balance Sheet and Cash Flow Statement. Equity reconciliation ladder confirmed: each year's own closing balance ties exactly to both the next year's own opening balance and that year's own Balance Sheet Total equity. The ladder's mandated scan caught the insertion of Metro Bank Holdings PLC as new ultimate parent in 2023 - a genuine cancellation of Metro Bank PLC's £1,964m share capital/premium (offset into retained earnings) and £144m of new shares issued, not a plug.</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At 1 January 2021 (FY2021 opening)</t>
        </is>
      </c>
      <c r="B4" s="5" t="n">
        <v>0</v>
      </c>
      <c r="C4" s="5" t="n">
        <v>1964</v>
      </c>
      <c r="D4" s="5" t="n">
        <v>-689</v>
      </c>
      <c r="E4" s="5" t="n">
        <v>3</v>
      </c>
      <c r="F4" s="5" t="n">
        <v>16</v>
      </c>
      <c r="G4" s="5" t="n"/>
      <c r="H4" s="5" t="n">
        <v>1294</v>
      </c>
    </row>
    <row r="5">
      <c r="A5" s="6" t="inlineStr">
        <is>
          <t>Loss for the year</t>
        </is>
      </c>
      <c r="B5" s="6" t="n"/>
      <c r="C5" s="6" t="n"/>
      <c r="D5" s="6" t="n">
        <v>-252</v>
      </c>
      <c r="E5" s="6" t="n"/>
      <c r="F5" s="6" t="n"/>
      <c r="G5" s="6" t="n"/>
      <c r="H5" s="6" t="n">
        <v>-252</v>
      </c>
    </row>
    <row r="6">
      <c r="A6" s="6" t="inlineStr">
        <is>
          <t>Other comprehensive expense relating to investment securities designated at FVOCI, net of tax</t>
        </is>
      </c>
      <c r="B6" s="6" t="n"/>
      <c r="C6" s="6" t="n"/>
      <c r="D6" s="6" t="n"/>
      <c r="E6" s="6" t="n">
        <v>-8</v>
      </c>
      <c r="F6" s="6" t="n"/>
      <c r="G6" s="6" t="n"/>
      <c r="H6" s="6" t="n">
        <v>-8</v>
      </c>
    </row>
    <row r="7">
      <c r="A7" s="6" t="inlineStr">
        <is>
          <t>Net share option movements</t>
        </is>
      </c>
      <c r="B7" s="6" t="n"/>
      <c r="C7" s="6" t="n"/>
      <c r="D7" s="6" t="n"/>
      <c r="E7" s="6" t="n"/>
      <c r="F7" s="6" t="n">
        <v>2</v>
      </c>
      <c r="G7" s="6" t="n"/>
      <c r="H7" s="6" t="n">
        <v>2</v>
      </c>
    </row>
    <row r="8">
      <c r="A8" s="5" t="inlineStr">
        <is>
          <t>At 31 December 2021 (FY2021 closing)</t>
        </is>
      </c>
      <c r="B8" s="5" t="n">
        <v>0</v>
      </c>
      <c r="C8" s="5" t="n">
        <v>1964</v>
      </c>
      <c r="D8" s="5" t="n">
        <v>-941</v>
      </c>
      <c r="E8" s="5" t="n">
        <v>-5</v>
      </c>
      <c r="F8" s="5" t="n">
        <v>18</v>
      </c>
      <c r="G8" s="5" t="n"/>
      <c r="H8" s="5" t="n">
        <v>1036</v>
      </c>
    </row>
    <row r="9">
      <c r="A9" s="6" t="inlineStr">
        <is>
          <t>Loss for the year</t>
        </is>
      </c>
      <c r="B9" s="6" t="n"/>
      <c r="C9" s="6" t="n"/>
      <c r="D9" s="6" t="n">
        <v>-73</v>
      </c>
      <c r="E9" s="6" t="n"/>
      <c r="F9" s="6" t="n"/>
      <c r="G9" s="6" t="n"/>
      <c r="H9" s="6" t="n">
        <v>-73</v>
      </c>
    </row>
    <row r="10">
      <c r="A10" s="6" t="inlineStr">
        <is>
          <t>Other comprehensive expense relating to investment securities designated at FVOCI, net of tax</t>
        </is>
      </c>
      <c r="B10" s="6" t="n"/>
      <c r="C10" s="6" t="n"/>
      <c r="D10" s="6" t="n"/>
      <c r="E10" s="6" t="n">
        <v>-8</v>
      </c>
      <c r="F10" s="6" t="n"/>
      <c r="G10" s="6" t="n"/>
      <c r="H10" s="6" t="n">
        <v>-8</v>
      </c>
    </row>
    <row r="11">
      <c r="A11" s="6" t="inlineStr">
        <is>
          <t>Net share option movements</t>
        </is>
      </c>
      <c r="B11" s="6" t="n"/>
      <c r="C11" s="6" t="n"/>
      <c r="D11" s="6" t="n"/>
      <c r="E11" s="6" t="n"/>
      <c r="F11" s="6" t="n">
        <v>2</v>
      </c>
      <c r="G11" s="6" t="n"/>
      <c r="H11" s="6" t="n">
        <v>2</v>
      </c>
    </row>
    <row r="12">
      <c r="A12" s="5" t="inlineStr">
        <is>
          <t>At 31 December 2022 (FY2022 closing)</t>
        </is>
      </c>
      <c r="B12" s="5" t="n">
        <v>0</v>
      </c>
      <c r="C12" s="5" t="n">
        <v>1964</v>
      </c>
      <c r="D12" s="5" t="n">
        <v>-1014</v>
      </c>
      <c r="E12" s="5" t="n">
        <v>-13</v>
      </c>
      <c r="F12" s="5" t="n">
        <v>20</v>
      </c>
      <c r="G12" s="5" t="n"/>
      <c r="H12" s="5" t="n">
        <v>957</v>
      </c>
    </row>
    <row r="13">
      <c r="A13" s="6" t="inlineStr">
        <is>
          <t>Profit for the year</t>
        </is>
      </c>
      <c r="B13" s="6" t="n"/>
      <c r="C13" s="6" t="n"/>
      <c r="D13" s="6" t="n">
        <v>46</v>
      </c>
      <c r="E13" s="6" t="n"/>
      <c r="F13" s="6" t="n"/>
      <c r="G13" s="6" t="n"/>
      <c r="H13" s="6" t="n">
        <v>46</v>
      </c>
    </row>
    <row r="14">
      <c r="A14" s="6" t="inlineStr">
        <is>
          <t>Other comprehensive income relating to investment securities designated at FVOCI, net of tax</t>
        </is>
      </c>
      <c r="B14" s="6" t="n"/>
      <c r="C14" s="6" t="n"/>
      <c r="D14" s="6" t="n"/>
      <c r="E14" s="6" t="n">
        <v>2</v>
      </c>
      <c r="F14" s="6" t="n"/>
      <c r="G14" s="6" t="n"/>
      <c r="H14" s="6" t="n">
        <v>2</v>
      </c>
    </row>
    <row r="15">
      <c r="A15" s="6" t="inlineStr">
        <is>
          <t>Net share option movements</t>
        </is>
      </c>
      <c r="B15" s="6" t="n"/>
      <c r="C15" s="6" t="n"/>
      <c r="D15" s="6" t="n"/>
      <c r="E15" s="6" t="n"/>
      <c r="F15" s="6" t="n">
        <v>3</v>
      </c>
      <c r="G15" s="6" t="n"/>
      <c r="H15" s="6" t="n">
        <v>3</v>
      </c>
    </row>
    <row r="16">
      <c r="A16" s="6" t="inlineStr">
        <is>
          <t>Transfer of share option reserve upon insertion of new holding company</t>
        </is>
      </c>
      <c r="B16" s="6" t="n"/>
      <c r="C16" s="6" t="n"/>
      <c r="D16" s="6" t="n"/>
      <c r="E16" s="6" t="n"/>
      <c r="F16" s="6" t="n">
        <v>-23</v>
      </c>
      <c r="G16" s="6" t="n">
        <v>23</v>
      </c>
      <c r="H16" s="6" t="n">
        <v>0</v>
      </c>
    </row>
    <row r="17">
      <c r="A17" s="6" t="inlineStr">
        <is>
          <t>Cancellation of Metro Bank PLC share capital and share premium</t>
        </is>
      </c>
      <c r="B17" s="6" t="n"/>
      <c r="C17" s="6" t="n">
        <v>-1964</v>
      </c>
      <c r="D17" s="6" t="n">
        <v>1964</v>
      </c>
      <c r="E17" s="6" t="n"/>
      <c r="F17" s="6" t="n"/>
      <c r="G17" s="6" t="n"/>
      <c r="H17" s="6" t="n">
        <v>0</v>
      </c>
    </row>
    <row r="18">
      <c r="A18" s="6" t="inlineStr">
        <is>
          <t>Shares issued</t>
        </is>
      </c>
      <c r="B18" s="6" t="n"/>
      <c r="C18" s="6" t="n">
        <v>144</v>
      </c>
      <c r="D18" s="6" t="n"/>
      <c r="E18" s="6" t="n"/>
      <c r="F18" s="6" t="n"/>
      <c r="G18" s="6" t="n"/>
      <c r="H18" s="6" t="n">
        <v>144</v>
      </c>
    </row>
    <row r="19">
      <c r="A19" s="5" t="inlineStr">
        <is>
          <t>At 31 December 2023 (FY2023 closing)</t>
        </is>
      </c>
      <c r="B19" s="5" t="n">
        <v>0</v>
      </c>
      <c r="C19" s="5" t="n">
        <v>144</v>
      </c>
      <c r="D19" s="5" t="n">
        <v>996</v>
      </c>
      <c r="E19" s="5" t="n">
        <v>-11</v>
      </c>
      <c r="F19" s="5" t="n">
        <v>0</v>
      </c>
      <c r="G19" s="5" t="n">
        <v>23</v>
      </c>
      <c r="H19" s="5" t="n">
        <v>1152</v>
      </c>
    </row>
    <row r="21" ht="150" customHeight="1">
      <c r="A21" s="8" t="inlineStr">
        <is>
          <t>Sources - Metro Bank PLC statements, £m: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t>
        </is>
      </c>
    </row>
  </sheetData>
  <mergeCells count="1">
    <mergeCell ref="A21:H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Metro Bank PLC - Company Cash Flow Statement</t>
        </is>
      </c>
    </row>
    <row r="2">
      <c r="A2" s="2" t="inlineStr">
        <is>
          <t>Company/standalone basis, £m; 31 December year-end.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profit/(loss) before tax to net cash flows from operating activities</t>
        </is>
      </c>
      <c r="B4" s="6" t="n"/>
      <c r="C4" s="6" t="n"/>
      <c r="D4" s="6" t="n"/>
      <c r="E4" s="6" t="n"/>
      <c r="F4" s="6" t="n"/>
    </row>
    <row r="5">
      <c r="A5" s="6" t="inlineStr">
        <is>
          <t>Profit/(loss) before tax</t>
        </is>
      </c>
      <c r="B5" s="6" t="n"/>
      <c r="C5" s="6" t="n"/>
      <c r="D5" s="6" t="n">
        <v>46</v>
      </c>
      <c r="E5" s="6" t="n">
        <v>-71</v>
      </c>
      <c r="F5" s="6" t="n">
        <v>-245</v>
      </c>
    </row>
    <row r="6">
      <c r="A6" s="6" t="inlineStr">
        <is>
          <t>Adjustments for non-cash items</t>
        </is>
      </c>
      <c r="B6" s="6" t="n"/>
      <c r="C6" s="6" t="n"/>
      <c r="D6" s="6" t="n">
        <v>-376</v>
      </c>
      <c r="E6" s="6" t="n">
        <v>-259</v>
      </c>
      <c r="F6" s="6" t="n">
        <v>-132</v>
      </c>
    </row>
    <row r="7">
      <c r="A7" s="6" t="inlineStr">
        <is>
          <t>Interest received</t>
        </is>
      </c>
      <c r="B7" s="6" t="n"/>
      <c r="C7" s="6" t="n"/>
      <c r="D7" s="6" t="n">
        <v>834</v>
      </c>
      <c r="E7" s="6" t="n">
        <v>538</v>
      </c>
      <c r="F7" s="6" t="n">
        <v>394</v>
      </c>
    </row>
    <row r="8">
      <c r="A8" s="6" t="inlineStr">
        <is>
          <t>Interest paid</t>
        </is>
      </c>
      <c r="B8" s="6" t="n"/>
      <c r="C8" s="6" t="n"/>
      <c r="D8" s="6" t="n">
        <v>-370</v>
      </c>
      <c r="E8" s="6" t="n">
        <v>-124</v>
      </c>
      <c r="F8" s="6" t="n">
        <v>-126</v>
      </c>
    </row>
    <row r="9">
      <c r="A9" s="6" t="inlineStr">
        <is>
          <t>Changes in other operating assets</t>
        </is>
      </c>
      <c r="B9" s="6" t="n"/>
      <c r="C9" s="6" t="n"/>
      <c r="D9" s="6" t="n">
        <v>729</v>
      </c>
      <c r="E9" s="6" t="n">
        <v>-842</v>
      </c>
      <c r="F9" s="6" t="n">
        <v>2613</v>
      </c>
    </row>
    <row r="10">
      <c r="A10" s="6" t="inlineStr">
        <is>
          <t>Changes in other operating liabilities</t>
        </is>
      </c>
      <c r="B10" s="6" t="n"/>
      <c r="C10" s="6" t="n"/>
      <c r="D10" s="6" t="n">
        <v>-251</v>
      </c>
      <c r="E10" s="6" t="n">
        <v>-409</v>
      </c>
      <c r="F10" s="6" t="n">
        <v>370</v>
      </c>
    </row>
    <row r="11">
      <c r="A11" s="5" t="inlineStr">
        <is>
          <t>Net cash inflows/(outflows) from operating activities</t>
        </is>
      </c>
      <c r="B11" s="5" t="n"/>
      <c r="C11" s="5" t="n"/>
      <c r="D11" s="5" t="n">
        <v>612</v>
      </c>
      <c r="E11" s="5" t="n">
        <v>-1167</v>
      </c>
      <c r="F11" s="5" t="n">
        <v>2874</v>
      </c>
    </row>
    <row r="12">
      <c r="A12" s="5" t="inlineStr">
        <is>
          <t>Cash flows from investing activities</t>
        </is>
      </c>
      <c r="B12" s="6" t="n"/>
      <c r="C12" s="6" t="n"/>
      <c r="D12" s="6" t="n"/>
      <c r="E12" s="6" t="n"/>
      <c r="F12" s="6" t="n"/>
    </row>
    <row r="13">
      <c r="A13" s="6" t="inlineStr">
        <is>
          <t>Sales of investment securities</t>
        </is>
      </c>
      <c r="B13" s="6" t="n"/>
      <c r="C13" s="6" t="n"/>
      <c r="D13" s="6" t="n">
        <v>1870</v>
      </c>
      <c r="E13" s="6" t="n">
        <v>857</v>
      </c>
      <c r="F13" s="6" t="n">
        <v>1269</v>
      </c>
    </row>
    <row r="14">
      <c r="A14" s="6" t="inlineStr">
        <is>
          <t>Purchase of investment securities</t>
        </is>
      </c>
      <c r="B14" s="6" t="n"/>
      <c r="C14" s="6" t="n"/>
      <c r="D14" s="6" t="n">
        <v>-816</v>
      </c>
      <c r="E14" s="6" t="n">
        <v>-1206</v>
      </c>
      <c r="F14" s="6" t="n">
        <v>-3438</v>
      </c>
    </row>
    <row r="15">
      <c r="A15" s="6" t="inlineStr">
        <is>
          <t>Purchase of property, plant and equipment</t>
        </is>
      </c>
      <c r="B15" s="6" t="n"/>
      <c r="C15" s="6" t="n"/>
      <c r="D15" s="6" t="n">
        <v>-12</v>
      </c>
      <c r="E15" s="6" t="n">
        <v>-29</v>
      </c>
      <c r="F15" s="6" t="n">
        <v>-41</v>
      </c>
    </row>
    <row r="16">
      <c r="A16" s="6" t="inlineStr">
        <is>
          <t>Purchase and development of intangible assets</t>
        </is>
      </c>
      <c r="B16" s="6" t="n"/>
      <c r="C16" s="6" t="n"/>
      <c r="D16" s="6" t="n">
        <v>-26</v>
      </c>
      <c r="E16" s="6" t="n">
        <v>-24</v>
      </c>
      <c r="F16" s="6" t="n">
        <v>-64</v>
      </c>
    </row>
    <row r="17">
      <c r="A17" s="6" t="inlineStr">
        <is>
          <t>Dividends received from subsidiaries</t>
        </is>
      </c>
      <c r="B17" s="6" t="n"/>
      <c r="C17" s="6" t="n"/>
      <c r="D17" s="6" t="n">
        <v>12</v>
      </c>
      <c r="E17" s="6" t="n"/>
      <c r="F17" s="6" t="n"/>
    </row>
    <row r="18">
      <c r="A18" s="5" t="inlineStr">
        <is>
          <t>Net cash inflows/(outflows) from investing activities</t>
        </is>
      </c>
      <c r="B18" s="5" t="n"/>
      <c r="C18" s="5" t="n"/>
      <c r="D18" s="5" t="n">
        <v>1028</v>
      </c>
      <c r="E18" s="5" t="n">
        <v>-402</v>
      </c>
      <c r="F18" s="5" t="n">
        <v>-2274</v>
      </c>
    </row>
    <row r="19">
      <c r="A19" s="5" t="inlineStr">
        <is>
          <t>Cash flows from financing activities</t>
        </is>
      </c>
      <c r="B19" s="6" t="n"/>
      <c r="C19" s="6" t="n"/>
      <c r="D19" s="6" t="n"/>
      <c r="E19" s="6" t="n"/>
      <c r="F19" s="6" t="n"/>
    </row>
    <row r="20">
      <c r="A20" s="6" t="inlineStr">
        <is>
          <t>Repayment of capital elements of leases</t>
        </is>
      </c>
      <c r="B20" s="6" t="n"/>
      <c r="C20" s="6" t="n"/>
      <c r="D20" s="6" t="n">
        <v>-23</v>
      </c>
      <c r="E20" s="6" t="n">
        <v>-25</v>
      </c>
      <c r="F20" s="6" t="n">
        <v>-27</v>
      </c>
    </row>
    <row r="21">
      <c r="A21" s="6" t="inlineStr">
        <is>
          <t>Issuance of new shares</t>
        </is>
      </c>
      <c r="B21" s="6" t="n"/>
      <c r="C21" s="6" t="n"/>
      <c r="D21" s="6" t="n">
        <v>144</v>
      </c>
      <c r="E21" s="6" t="n"/>
      <c r="F21" s="6" t="n"/>
    </row>
    <row r="22">
      <c r="A22" s="6" t="inlineStr">
        <is>
          <t>Issuance of medium-term notes/subordinated debt (net of costs)</t>
        </is>
      </c>
      <c r="B22" s="6" t="n"/>
      <c r="C22" s="6" t="n"/>
      <c r="D22" s="6" t="n">
        <v>175</v>
      </c>
      <c r="E22" s="6" t="n"/>
      <c r="F22" s="6" t="n"/>
    </row>
    <row r="23">
      <c r="A23" s="5" t="inlineStr">
        <is>
          <t>Net cash inflows/(outflows) from financing activities</t>
        </is>
      </c>
      <c r="B23" s="5" t="n"/>
      <c r="C23" s="5" t="n"/>
      <c r="D23" s="5" t="n">
        <v>296</v>
      </c>
      <c r="E23" s="5" t="n">
        <v>-25</v>
      </c>
      <c r="F23" s="5" t="n">
        <v>-27</v>
      </c>
    </row>
    <row r="24">
      <c r="A24" s="5" t="inlineStr">
        <is>
          <t>Net increase/(decrease) in cash and cash equivalents</t>
        </is>
      </c>
      <c r="B24" s="5" t="n"/>
      <c r="C24" s="5" t="n"/>
      <c r="D24" s="5" t="n">
        <v>1936</v>
      </c>
      <c r="E24" s="5" t="n">
        <v>-1594</v>
      </c>
      <c r="F24" s="5" t="n">
        <v>573</v>
      </c>
    </row>
    <row r="25">
      <c r="A25" s="6" t="inlineStr">
        <is>
          <t>Cash and cash equivalents at start of year</t>
        </is>
      </c>
      <c r="B25" s="6" t="n"/>
      <c r="C25" s="6" t="n"/>
      <c r="D25" s="6" t="n">
        <v>1953</v>
      </c>
      <c r="E25" s="6" t="n">
        <v>3547</v>
      </c>
      <c r="F25" s="6" t="n">
        <v>2974</v>
      </c>
    </row>
    <row r="26">
      <c r="A26" s="5" t="inlineStr">
        <is>
          <t>Cash and cash equivalents at end of year</t>
        </is>
      </c>
      <c r="B26" s="5" t="n"/>
      <c r="C26" s="5" t="n"/>
      <c r="D26" s="5" t="n">
        <v>3889</v>
      </c>
      <c r="E26" s="5" t="n">
        <v>1953</v>
      </c>
      <c r="F26" s="5" t="n">
        <v>3547</v>
      </c>
    </row>
    <row r="28" ht="220" customHeight="1">
      <c r="A28" s="8" t="inlineStr">
        <is>
          <t>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1">
    <mergeCell ref="A28:F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portfolio, Group basis</t>
        </is>
      </c>
      <c r="B4" s="6" t="n"/>
      <c r="C4" s="6" t="n"/>
      <c r="D4" s="6" t="n"/>
      <c r="E4" s="6" t="n"/>
      <c r="F4" s="6" t="n"/>
    </row>
    <row r="5">
      <c r="A5" s="6" t="inlineStr">
        <is>
          <t>Retail mortgages</t>
        </is>
      </c>
      <c r="B5" s="6" t="n">
        <v>4940</v>
      </c>
      <c r="C5" s="6" t="n">
        <v>5145</v>
      </c>
      <c r="D5" s="6" t="n">
        <v>7817</v>
      </c>
      <c r="E5" s="6" t="n">
        <v>7649</v>
      </c>
      <c r="F5" s="6" t="n">
        <v>6723</v>
      </c>
    </row>
    <row r="6">
      <c r="A6" s="6" t="inlineStr">
        <is>
          <t>Consumer lending</t>
        </is>
      </c>
      <c r="B6" s="6" t="n">
        <v>114</v>
      </c>
      <c r="C6" s="6" t="n">
        <v>745</v>
      </c>
      <c r="D6" s="6" t="n">
        <v>1297</v>
      </c>
      <c r="E6" s="6" t="n">
        <v>1480</v>
      </c>
      <c r="F6" s="6" t="n">
        <v>890</v>
      </c>
    </row>
    <row r="7">
      <c r="A7" s="6" t="inlineStr">
        <is>
          <t>Commercial / corporate and commercial lending</t>
        </is>
      </c>
      <c r="B7" s="6" t="n">
        <v>3939</v>
      </c>
      <c r="C7" s="6" t="n">
        <v>3314</v>
      </c>
      <c r="D7" s="6" t="n">
        <v>3382</v>
      </c>
      <c r="E7" s="6" t="n">
        <v>4160</v>
      </c>
      <c r="F7" s="6" t="n">
        <v>4846</v>
      </c>
    </row>
    <row r="8">
      <c r="A8" s="5" t="inlineStr">
        <is>
          <t>Total loans and advances to customers, gross</t>
        </is>
      </c>
      <c r="B8" s="5" t="n">
        <v>8993</v>
      </c>
      <c r="C8" s="5" t="n">
        <v>9204</v>
      </c>
      <c r="D8" s="5" t="n">
        <v>12496</v>
      </c>
      <c r="E8" s="5" t="n">
        <v>13289</v>
      </c>
      <c r="F8" s="5" t="n">
        <v>12459</v>
      </c>
    </row>
    <row r="9">
      <c r="A9" s="6" t="inlineStr">
        <is>
          <t>ECL allowance - retail mortgages</t>
        </is>
      </c>
      <c r="B9" s="6" t="n">
        <v>-16</v>
      </c>
      <c r="C9" s="6" t="n">
        <v>-15</v>
      </c>
      <c r="D9" s="6" t="n">
        <v>-19</v>
      </c>
      <c r="E9" s="6" t="n">
        <v>-20</v>
      </c>
      <c r="F9" s="6" t="n">
        <v>-19</v>
      </c>
    </row>
    <row r="10">
      <c r="A10" s="6" t="inlineStr">
        <is>
          <t>ECL allowance - consumer lending</t>
        </is>
      </c>
      <c r="B10" s="6" t="n">
        <v>-67</v>
      </c>
      <c r="C10" s="6" t="n">
        <v>-108</v>
      </c>
      <c r="D10" s="6" t="n">
        <v>-108</v>
      </c>
      <c r="E10" s="6" t="n">
        <v>-75</v>
      </c>
      <c r="F10" s="6" t="n">
        <v>-42</v>
      </c>
    </row>
    <row r="11">
      <c r="A11" s="6" t="inlineStr">
        <is>
          <t>ECL allowance - commercial / corporate and commercial lending</t>
        </is>
      </c>
      <c r="B11" s="6" t="n">
        <v>-87</v>
      </c>
      <c r="C11" s="6" t="n">
        <v>-68</v>
      </c>
      <c r="D11" s="6" t="n">
        <v>-72</v>
      </c>
      <c r="E11" s="6" t="n">
        <v>-92</v>
      </c>
      <c r="F11" s="6" t="n">
        <v>-108</v>
      </c>
    </row>
    <row r="12">
      <c r="A12" s="5" t="inlineStr">
        <is>
          <t>Total ECL allowance</t>
        </is>
      </c>
      <c r="B12" s="5" t="n">
        <v>-170</v>
      </c>
      <c r="C12" s="5" t="n">
        <v>-191</v>
      </c>
      <c r="D12" s="5" t="n">
        <v>-199</v>
      </c>
      <c r="E12" s="5" t="n">
        <v>-187</v>
      </c>
      <c r="F12" s="5" t="n">
        <v>-169</v>
      </c>
    </row>
    <row r="13">
      <c r="A13" s="5" t="inlineStr">
        <is>
          <t>Total loans and advances to customers, net</t>
        </is>
      </c>
      <c r="B13" s="5" t="n">
        <v>8823</v>
      </c>
      <c r="C13" s="5" t="n">
        <v>9013</v>
      </c>
      <c r="D13" s="5" t="n">
        <v>12297</v>
      </c>
      <c r="E13" s="5" t="n">
        <v>13102</v>
      </c>
      <c r="F13" s="5" t="n">
        <v>12290</v>
      </c>
    </row>
    <row r="14">
      <c r="A14" s="5" t="inlineStr">
        <is>
          <t>IFRS 9 stage split and coverage, portfolio-total level</t>
        </is>
      </c>
      <c r="B14" s="6" t="n"/>
      <c r="C14" s="6" t="n"/>
      <c r="D14" s="6" t="n"/>
      <c r="E14" s="6" t="n"/>
      <c r="F14" s="6" t="n"/>
    </row>
    <row r="15">
      <c r="A15" s="6" t="inlineStr">
        <is>
          <t>Stage 1, gross carrying amount</t>
        </is>
      </c>
      <c r="B15" s="6" t="n">
        <v>7819</v>
      </c>
      <c r="C15" s="6" t="n">
        <v>7723</v>
      </c>
      <c r="D15" s="6" t="n"/>
      <c r="E15" s="6" t="n"/>
      <c r="F15" s="6" t="n"/>
    </row>
    <row r="16">
      <c r="A16" s="6" t="inlineStr">
        <is>
          <t>Stage 2, gross carrying amount</t>
        </is>
      </c>
      <c r="B16" s="6" t="n">
        <v>713</v>
      </c>
      <c r="C16" s="6" t="n">
        <v>978</v>
      </c>
      <c r="D16" s="6" t="n"/>
      <c r="E16" s="6" t="n"/>
      <c r="F16" s="6" t="n"/>
    </row>
    <row r="17">
      <c r="A17" s="6" t="inlineStr">
        <is>
          <t>Stage 3, gross carrying amount</t>
        </is>
      </c>
      <c r="B17" s="6" t="n">
        <v>462</v>
      </c>
      <c r="C17" s="6" t="n">
        <v>504</v>
      </c>
      <c r="D17" s="6" t="n"/>
      <c r="E17" s="6" t="n"/>
      <c r="F17" s="6" t="n"/>
    </row>
    <row r="18">
      <c r="A18" s="6" t="inlineStr">
        <is>
          <t>% loans in Stage 2</t>
        </is>
      </c>
      <c r="B18" s="6" t="inlineStr">
        <is>
          <t>7.9%</t>
        </is>
      </c>
      <c r="C18" s="6" t="inlineStr">
        <is>
          <t>11%</t>
        </is>
      </c>
      <c r="D18" s="6" t="inlineStr">
        <is>
          <t>12%</t>
        </is>
      </c>
      <c r="E18" s="6" t="inlineStr">
        <is>
          <t>16%</t>
        </is>
      </c>
      <c r="F18" s="6" t="inlineStr">
        <is>
          <t>15%</t>
        </is>
      </c>
    </row>
    <row r="19">
      <c r="A19" s="6" t="inlineStr">
        <is>
          <t>% loans in Stage 3</t>
        </is>
      </c>
      <c r="B19" s="6" t="inlineStr">
        <is>
          <t>5.1%</t>
        </is>
      </c>
      <c r="C19" s="6" t="inlineStr">
        <is>
          <t>5%</t>
        </is>
      </c>
      <c r="D19" s="6" t="inlineStr">
        <is>
          <t>3%</t>
        </is>
      </c>
      <c r="E19" s="6" t="inlineStr">
        <is>
          <t>3%</t>
        </is>
      </c>
      <c r="F19" s="6" t="inlineStr">
        <is>
          <t>4%</t>
        </is>
      </c>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row>
    <row r="21">
      <c r="A21" s="6" t="inlineStr">
        <is>
          <t>90+ days past due</t>
        </is>
      </c>
      <c r="B21" s="6" t="n"/>
      <c r="C21" s="6" t="inlineStr">
        <is>
          <t>3%</t>
        </is>
      </c>
      <c r="D21" s="6" t="inlineStr">
        <is>
          <t>2%</t>
        </is>
      </c>
      <c r="E21" s="6" t="inlineStr">
        <is>
          <t>1%</t>
        </is>
      </c>
      <c r="F21" s="6" t="inlineStr">
        <is>
          <t>2%</t>
        </is>
      </c>
    </row>
    <row r="22">
      <c r="A22" s="5" t="inlineStr">
        <is>
          <t>Non-performing loans (NPLs) by portfolio</t>
        </is>
      </c>
      <c r="B22" s="6" t="n"/>
      <c r="C22" s="6" t="n"/>
      <c r="D22" s="6" t="n"/>
      <c r="E22" s="6" t="n"/>
      <c r="F22" s="6" t="n"/>
    </row>
    <row r="23">
      <c r="A23" s="6" t="inlineStr">
        <is>
          <t>Retail mortgages NPLs</t>
        </is>
      </c>
      <c r="B23" s="6" t="n">
        <v>220</v>
      </c>
      <c r="C23" s="6" t="n">
        <v>203</v>
      </c>
      <c r="D23" s="6" t="n">
        <v>146</v>
      </c>
      <c r="E23" s="6" t="n">
        <v>111</v>
      </c>
      <c r="F23" s="6" t="n">
        <v>114</v>
      </c>
    </row>
    <row r="24">
      <c r="A24" s="6" t="inlineStr">
        <is>
          <t>Consumer NPLs</t>
        </is>
      </c>
      <c r="B24" s="6" t="n">
        <v>74</v>
      </c>
      <c r="C24" s="6" t="n">
        <v>97</v>
      </c>
      <c r="D24" s="6" t="n">
        <v>77</v>
      </c>
      <c r="E24" s="6" t="n">
        <v>50</v>
      </c>
      <c r="F24" s="6" t="n">
        <v>21</v>
      </c>
    </row>
    <row r="25">
      <c r="A25" s="6" t="inlineStr">
        <is>
          <t>Commercial / corporate and commercial NPLs</t>
        </is>
      </c>
      <c r="B25" s="6" t="n">
        <v>168</v>
      </c>
      <c r="C25" s="6" t="n">
        <v>204</v>
      </c>
      <c r="D25" s="6" t="n">
        <v>166</v>
      </c>
      <c r="E25" s="6" t="n">
        <v>191</v>
      </c>
      <c r="F25" s="6" t="n">
        <v>327</v>
      </c>
    </row>
    <row r="26">
      <c r="A26" s="5" t="inlineStr">
        <is>
          <t>Total NPLs</t>
        </is>
      </c>
      <c r="B26" s="5" t="n">
        <v>462</v>
      </c>
      <c r="C26" s="5" t="n">
        <v>504</v>
      </c>
      <c r="D26" s="5" t="n">
        <v>389</v>
      </c>
      <c r="E26" s="5" t="n">
        <v>352</v>
      </c>
      <c r="F26" s="5" t="n">
        <v>462</v>
      </c>
    </row>
    <row r="27">
      <c r="A27" s="6" t="inlineStr">
        <is>
          <t>Total NPL ratio</t>
        </is>
      </c>
      <c r="B27" s="6" t="inlineStr">
        <is>
          <t>5.14%</t>
        </is>
      </c>
      <c r="C27" s="6" t="inlineStr">
        <is>
          <t>5.48%</t>
        </is>
      </c>
      <c r="D27" s="6" t="inlineStr">
        <is>
          <t>3.11%</t>
        </is>
      </c>
      <c r="E27" s="6" t="inlineStr">
        <is>
          <t>2.65%</t>
        </is>
      </c>
      <c r="F27" s="6" t="inlineStr">
        <is>
          <t>3.71%</t>
        </is>
      </c>
    </row>
    <row r="29" ht="340" customHeight="1">
      <c r="A29" s="8" t="inlineStr">
        <is>
          <t>Sources - Metro Bank PLC statements, £m: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840</v>
      </c>
      <c r="C4" s="6" t="n">
        <v>808</v>
      </c>
      <c r="D4" s="6" t="n">
        <v>985</v>
      </c>
      <c r="E4" s="6" t="n">
        <v>819</v>
      </c>
      <c r="F4" s="6" t="n">
        <v>936</v>
      </c>
    </row>
    <row r="5" ht="60" customHeight="1">
      <c r="A5" s="7" t="inlineStr">
        <is>
          <t>Note: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12.5%</t>
        </is>
      </c>
      <c r="C4" s="6" t="inlineStr">
        <is>
          <t>12.5%</t>
        </is>
      </c>
      <c r="D4" s="6" t="inlineStr">
        <is>
          <t>13.1%</t>
        </is>
      </c>
      <c r="E4" s="6" t="inlineStr">
        <is>
          <t>10.3%</t>
        </is>
      </c>
      <c r="F4" s="6" t="inlineStr">
        <is>
          <t>12.6%</t>
        </is>
      </c>
    </row>
    <row r="5" ht="60" customHeight="1">
      <c r="A5" s="7" t="inlineStr">
        <is>
          <t>Note: CORRECTED 2026-09-03 (ST-026): FY2023-FY2025 previously showed the 30 June interim column instead of 31 December year-end (see CET1 Capital sheet's note).</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1082</v>
      </c>
      <c r="C4" s="6" t="n">
        <v>808</v>
      </c>
      <c r="D4" s="6" t="n">
        <v>985</v>
      </c>
      <c r="E4" s="6" t="n">
        <v>819</v>
      </c>
      <c r="F4" s="6" t="n">
        <v>936</v>
      </c>
    </row>
    <row r="5" ht="60" customHeight="1">
      <c r="A5" s="7" t="inlineStr">
        <is>
          <t>Note: CORRECTED 2026-09-03 (ST-026): FY2023-FY2025 previously showed the 30 June interim column instead of 31 December year-end (see CET1 Capital sheet's note).</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16.1%</t>
        </is>
      </c>
      <c r="C4" s="6" t="inlineStr">
        <is>
          <t>12.5%</t>
        </is>
      </c>
      <c r="D4" s="6" t="inlineStr">
        <is>
          <t>13.1%</t>
        </is>
      </c>
      <c r="E4" s="6" t="inlineStr">
        <is>
          <t>10.3%</t>
        </is>
      </c>
      <c r="F4" s="6" t="inlineStr">
        <is>
          <t>12.6%</t>
        </is>
      </c>
    </row>
    <row r="5" ht="60" customHeight="1">
      <c r="A5" s="7" t="inlineStr">
        <is>
          <t>Note: CORRECTED 2026-09-03 (ST-026): FY2023-FY2025 previously showed the 30 June interim column instead of 31 December year-end (see CET1 Capital sheet's note).</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1232</v>
      </c>
      <c r="C4" s="6" t="n">
        <v>958</v>
      </c>
      <c r="D4" s="6" t="n">
        <v>1135</v>
      </c>
      <c r="E4" s="6" t="n">
        <v>1069</v>
      </c>
      <c r="F4" s="6" t="n">
        <v>1184</v>
      </c>
    </row>
    <row r="5" ht="60" customHeight="1">
      <c r="A5" s="7" t="inlineStr">
        <is>
          <t>Note: CORRECTED 2026-09-03 (ST-026): FY2023-FY2025 previously showed the 30 June interim column instead of 31 December year-end (see CET1 Capital sheet's note).</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14.9%</t>
        </is>
      </c>
      <c r="D4" s="6" t="inlineStr">
        <is>
          <t>15.1%</t>
        </is>
      </c>
      <c r="E4" s="6" t="inlineStr">
        <is>
          <t>13.4%</t>
        </is>
      </c>
      <c r="F4" s="6" t="inlineStr">
        <is>
          <t>15.9%</t>
        </is>
      </c>
    </row>
    <row r="5" ht="60" customHeight="1">
      <c r="A5" s="7" t="inlineStr">
        <is>
          <t>Note: CORRECTED 2026-09-03 (ST-026): FY2023-FY2025 previously showed the 30 June interim column instead of 31 December year-end (see CET1 Capital sheet's note).</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6711</v>
      </c>
      <c r="C4" s="6" t="n">
        <v>6442</v>
      </c>
      <c r="D4" s="6" t="n">
        <v>7533</v>
      </c>
      <c r="E4" s="6" t="n">
        <v>7990</v>
      </c>
      <c r="F4" s="6" t="n">
        <v>7454</v>
      </c>
    </row>
    <row r="5" ht="60" customHeight="1">
      <c r="A5" s="7" t="inlineStr">
        <is>
          <t>Note: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5793</v>
      </c>
      <c r="C4" s="6" t="n">
        <v>5572</v>
      </c>
      <c r="D4" s="6" t="n">
        <v>6667</v>
      </c>
      <c r="E4" s="6" t="n">
        <v>7071</v>
      </c>
      <c r="F4" s="6" t="n">
        <v>6444</v>
      </c>
    </row>
    <row r="5">
      <c r="A5" s="6" t="inlineStr">
        <is>
          <t>Counterparty credit risk</t>
        </is>
      </c>
      <c r="B5" s="6" t="n">
        <v>5</v>
      </c>
      <c r="C5" s="6" t="n">
        <v>19</v>
      </c>
      <c r="D5" s="6" t="n">
        <v>26</v>
      </c>
      <c r="E5" s="6" t="n">
        <v>9</v>
      </c>
      <c r="F5" s="6" t="n">
        <v>6</v>
      </c>
    </row>
    <row r="6">
      <c r="A6" s="6" t="inlineStr">
        <is>
          <t>Securitisation exposures in the banking book (after the cap)</t>
        </is>
      </c>
      <c r="B6" s="6" t="n">
        <v>138</v>
      </c>
      <c r="C6" s="6" t="n">
        <v>124</v>
      </c>
      <c r="D6" s="6" t="n">
        <v>129</v>
      </c>
      <c r="E6" s="6" t="n">
        <v>166</v>
      </c>
      <c r="F6" s="6" t="n">
        <v>261</v>
      </c>
    </row>
    <row r="7">
      <c r="A7" s="6" t="inlineStr">
        <is>
          <t>Market risk</t>
        </is>
      </c>
      <c r="B7" s="6" t="n"/>
      <c r="C7" s="6" t="n"/>
      <c r="D7" s="6" t="n"/>
      <c r="E7" s="6" t="n">
        <v>0</v>
      </c>
      <c r="F7" s="6" t="n">
        <v>9</v>
      </c>
    </row>
    <row r="8">
      <c r="A8" s="6" t="inlineStr">
        <is>
          <t>Operational risk</t>
        </is>
      </c>
      <c r="B8" s="6" t="n">
        <v>759</v>
      </c>
      <c r="C8" s="6" t="n">
        <v>720</v>
      </c>
      <c r="D8" s="6" t="n">
        <v>703</v>
      </c>
      <c r="E8" s="6" t="n">
        <v>739</v>
      </c>
      <c r="F8" s="6" t="n">
        <v>729</v>
      </c>
    </row>
    <row r="9">
      <c r="A9" s="6" t="inlineStr">
        <is>
          <t>Amounts below the thresholds for deduction (subject to 250% risk weight)</t>
        </is>
      </c>
      <c r="B9" s="6" t="n">
        <v>16</v>
      </c>
      <c r="C9" s="6" t="n">
        <v>7</v>
      </c>
      <c r="D9" s="6" t="n">
        <v>8</v>
      </c>
      <c r="E9" s="6" t="n">
        <v>5</v>
      </c>
      <c r="F9" s="6" t="n">
        <v>5</v>
      </c>
    </row>
    <row r="10">
      <c r="A10" s="5" t="inlineStr">
        <is>
          <t>Total</t>
        </is>
      </c>
      <c r="B10" s="5" t="n">
        <v>6711</v>
      </c>
      <c r="C10" s="5" t="n">
        <v>6442</v>
      </c>
      <c r="D10" s="5" t="n">
        <v>7533</v>
      </c>
      <c r="E10" s="5" t="n">
        <v>7990</v>
      </c>
      <c r="F10" s="5" t="n">
        <v>7454</v>
      </c>
    </row>
    <row r="12" ht="250" customHeight="1">
      <c r="A12"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13837</v>
      </c>
      <c r="C4" s="6" t="n">
        <v>14417</v>
      </c>
      <c r="D4" s="6" t="n">
        <v>18420</v>
      </c>
      <c r="E4" s="6" t="n">
        <v>19348</v>
      </c>
      <c r="F4" s="6" t="n">
        <v>17869</v>
      </c>
    </row>
    <row r="5">
      <c r="A5" s="6" t="inlineStr">
        <is>
          <t>Leverage ratio excluding claims on central banks</t>
        </is>
      </c>
      <c r="B5" s="6" t="inlineStr">
        <is>
          <t>7.8%</t>
        </is>
      </c>
      <c r="C5" s="6" t="inlineStr">
        <is>
          <t>5.6%</t>
        </is>
      </c>
      <c r="D5" s="6" t="inlineStr">
        <is>
          <t>5.3%</t>
        </is>
      </c>
      <c r="E5" s="6" t="inlineStr">
        <is>
          <t>4.2%</t>
        </is>
      </c>
      <c r="F5" s="6" t="inlineStr">
        <is>
          <t>5.2%</t>
        </is>
      </c>
    </row>
    <row r="6" ht="60" customHeight="1">
      <c r="A6" s="7" t="inlineStr">
        <is>
          <t>Note: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t>
        </is>
      </c>
    </row>
    <row r="8" ht="190" customHeight="1">
      <c r="A8"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5552</v>
      </c>
      <c r="C4" s="6" t="n">
        <v>7189</v>
      </c>
      <c r="D4" s="6" t="n">
        <v>5056</v>
      </c>
      <c r="E4" s="6" t="n">
        <v>6051</v>
      </c>
      <c r="F4" s="6" t="n">
        <v>6900</v>
      </c>
    </row>
    <row r="5">
      <c r="A5" s="6" t="inlineStr">
        <is>
          <t>Total net cash outflows, adjusted value</t>
        </is>
      </c>
      <c r="B5" s="6" t="n">
        <v>1773</v>
      </c>
      <c r="C5" s="6" t="n">
        <v>1854</v>
      </c>
      <c r="D5" s="6" t="n">
        <v>2079</v>
      </c>
      <c r="E5" s="6" t="n">
        <v>2465</v>
      </c>
      <c r="F5" s="6" t="n">
        <v>2169</v>
      </c>
    </row>
    <row r="6">
      <c r="A6" s="6" t="inlineStr">
        <is>
          <t>Liquidity Coverage Ratio</t>
        </is>
      </c>
      <c r="B6" s="6" t="inlineStr">
        <is>
          <t>314%</t>
        </is>
      </c>
      <c r="C6" s="6" t="inlineStr">
        <is>
          <t>444%</t>
        </is>
      </c>
      <c r="D6" s="6" t="inlineStr">
        <is>
          <t>244%</t>
        </is>
      </c>
      <c r="E6" s="6" t="inlineStr">
        <is>
          <t>246%</t>
        </is>
      </c>
      <c r="F6" s="6" t="inlineStr">
        <is>
          <t>281%</t>
        </is>
      </c>
    </row>
    <row r="7" ht="60" customHeight="1">
      <c r="A7" s="7" t="inlineStr">
        <is>
          <t>Note: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t>
        </is>
      </c>
    </row>
    <row r="9" ht="190" customHeight="1">
      <c r="A9"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13965</v>
      </c>
      <c r="C4" s="6" t="n">
        <v>16676</v>
      </c>
      <c r="D4" s="6" t="n">
        <v>18277</v>
      </c>
      <c r="E4" s="6" t="n">
        <v>18903</v>
      </c>
      <c r="F4" s="6" t="n"/>
    </row>
    <row r="5">
      <c r="A5" s="6" t="inlineStr">
        <is>
          <t>Total required stable funding</t>
        </is>
      </c>
      <c r="B5" s="6" t="n">
        <v>8448</v>
      </c>
      <c r="C5" s="6" t="n">
        <v>10475</v>
      </c>
      <c r="D5" s="6" t="n">
        <v>13442</v>
      </c>
      <c r="E5" s="6" t="n">
        <v>13225</v>
      </c>
      <c r="F5" s="6" t="n"/>
    </row>
    <row r="6">
      <c r="A6" s="6" t="inlineStr">
        <is>
          <t>Net stable funding ratio</t>
        </is>
      </c>
      <c r="B6" s="6" t="inlineStr">
        <is>
          <t>165%</t>
        </is>
      </c>
      <c r="C6" s="6" t="inlineStr">
        <is>
          <t>160%</t>
        </is>
      </c>
      <c r="D6" s="6" t="inlineStr">
        <is>
          <t>136%</t>
        </is>
      </c>
      <c r="E6" s="6" t="inlineStr">
        <is>
          <t>143%</t>
        </is>
      </c>
      <c r="F6" s="6" t="n"/>
    </row>
    <row r="7" ht="60" customHeight="1">
      <c r="A7" s="7" t="inlineStr">
        <is>
          <t>Note: NSFR disclosures were required from 1 January 2023; FY2021 is blank.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20.5%</t>
        </is>
      </c>
    </row>
    <row r="5" ht="60" customHeight="1">
      <c r="A5" s="7" t="inlineStr">
        <is>
          <t>Note: The 2021 Pillar 3 report discloses 20.5%. No quantitative MREL ratio was located in the later KM1 tables reviewed; the 2022-2025 cells are therefore not publicly disclosed rather than zero.</t>
        </is>
      </c>
    </row>
    <row r="7" ht="190" customHeight="1">
      <c r="A7" s="8" t="inlineStr">
        <is>
          <t>Sources - Metro Bank regulatory key metrics: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2026-09-03T16:19:44Z</dcterms:created>
  <dcterms:modified xmlns:dcterms="http://purl.org/dc/terms/" xmlns:xsi="http://www.w3.org/2001/XMLSchema-instance" xsi:type="dcterms:W3CDTF">2026-09-03T16:19:44Z</dcterms:modified>
</cp:coreProperties>
</file>