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 xmlns:r="http://schemas.openxmlformats.org/officeDocument/2006/relationships" name="Interim Pillar 3"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43</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V1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Metro Bank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inflows/(outflows) from operating activities</t>
        </is>
      </c>
      <c r="B6" s="5" t="n"/>
      <c r="C6" s="5" t="n"/>
      <c r="D6" s="5" t="n">
        <v>612</v>
      </c>
      <c r="E6" s="5" t="n">
        <v>-1167</v>
      </c>
      <c r="F6" s="5" t="n">
        <v>2874</v>
      </c>
      <c r="I6" t="inlineStr">
        <is>
          <t>Net cash inflows/(outflows) from operating activities</t>
        </is>
      </c>
      <c r="J6" t="n">
        <v>2874</v>
      </c>
      <c r="K6" t="n">
        <v>-1167</v>
      </c>
      <c r="L6" t="n">
        <v>612</v>
      </c>
      <c r="Q6" t="inlineStr">
        <is>
          <t>CET1 Ratio</t>
        </is>
      </c>
      <c r="R6" t="n">
        <v>12.6</v>
      </c>
      <c r="S6" t="n">
        <v>10.3</v>
      </c>
      <c r="T6" t="n">
        <v>10.4</v>
      </c>
      <c r="U6" t="n">
        <v>12.9</v>
      </c>
      <c r="V6" t="n">
        <v>12.8</v>
      </c>
    </row>
    <row r="7">
      <c r="A7" s="5" t="inlineStr">
        <is>
          <t>Net cash inflows/(outflows) from investing activities</t>
        </is>
      </c>
      <c r="B7" s="5" t="n"/>
      <c r="C7" s="5" t="n"/>
      <c r="D7" s="5" t="n">
        <v>1028</v>
      </c>
      <c r="E7" s="5" t="n">
        <v>-402</v>
      </c>
      <c r="F7" s="5" t="n">
        <v>-2274</v>
      </c>
      <c r="I7" t="inlineStr">
        <is>
          <t>Net cash inflows/(outflows) from investing activities</t>
        </is>
      </c>
      <c r="J7" t="n">
        <v>-2274</v>
      </c>
      <c r="K7" t="n">
        <v>-402</v>
      </c>
      <c r="L7" t="n">
        <v>1028</v>
      </c>
      <c r="Q7" t="inlineStr">
        <is>
          <t>Total Capital Ratio</t>
        </is>
      </c>
      <c r="R7" t="n">
        <v>15.9</v>
      </c>
      <c r="S7" t="n">
        <v>13.4</v>
      </c>
      <c r="T7" t="n">
        <v>13.2</v>
      </c>
      <c r="U7" t="n">
        <v>15</v>
      </c>
      <c r="V7" t="n">
        <v>18.9</v>
      </c>
    </row>
    <row r="8">
      <c r="A8" s="5" t="inlineStr">
        <is>
          <t>Net cash inflows/(outflows) from financing activities</t>
        </is>
      </c>
      <c r="B8" s="5" t="n"/>
      <c r="C8" s="5" t="n"/>
      <c r="D8" s="5" t="n">
        <v>296</v>
      </c>
      <c r="E8" s="5" t="n">
        <v>-25</v>
      </c>
      <c r="F8" s="5" t="n">
        <v>-27</v>
      </c>
      <c r="I8" t="inlineStr">
        <is>
          <t>Net cash inflows/(outflows) from financing activities</t>
        </is>
      </c>
      <c r="J8" t="n">
        <v>-27</v>
      </c>
      <c r="K8" t="n">
        <v>-25</v>
      </c>
      <c r="L8" t="n">
        <v>296</v>
      </c>
      <c r="Q8" t="inlineStr">
        <is>
          <t>Leverage Ratio</t>
        </is>
      </c>
      <c r="R8" t="n">
        <v>5.2</v>
      </c>
      <c r="S8" t="n">
        <v>4.2</v>
      </c>
      <c r="T8" t="n">
        <v>4.4</v>
      </c>
      <c r="U8" t="n">
        <v>5.5</v>
      </c>
      <c r="V8" t="n">
        <v>7.9</v>
      </c>
    </row>
    <row r="9">
      <c r="A9" s="5" t="inlineStr">
        <is>
          <t>Cash and cash equivalents at end of year</t>
        </is>
      </c>
      <c r="B9" s="5" t="n"/>
      <c r="C9" s="5" t="n"/>
      <c r="D9" s="5" t="n">
        <v>3889</v>
      </c>
      <c r="E9" s="5" t="n">
        <v>1953</v>
      </c>
      <c r="F9" s="5" t="n">
        <v>3547</v>
      </c>
      <c r="I9" t="inlineStr">
        <is>
          <t>Cash and cash equivalents at end of year</t>
        </is>
      </c>
      <c r="J9" t="n">
        <v>3547</v>
      </c>
      <c r="K9" t="n">
        <v>1953</v>
      </c>
      <c r="L9" t="n">
        <v>3889</v>
      </c>
      <c r="Q9" t="inlineStr">
        <is>
          <t>LCR</t>
        </is>
      </c>
      <c r="R9" t="n">
        <v>281</v>
      </c>
      <c r="S9" t="n">
        <v>246</v>
      </c>
      <c r="T9" t="n">
        <v>219</v>
      </c>
      <c r="U9" t="n">
        <v>319</v>
      </c>
      <c r="V9" t="n">
        <v>427</v>
      </c>
    </row>
    <row r="10">
      <c r="Q10" t="inlineStr">
        <is>
          <t>NSFR</t>
        </is>
      </c>
      <c r="S10" t="n">
        <v>143</v>
      </c>
      <c r="T10" t="n">
        <v>135</v>
      </c>
      <c r="U10" t="n">
        <v>147</v>
      </c>
      <c r="V10" t="n">
        <v>169</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12.8%</t>
        </is>
      </c>
      <c r="C13" s="6" t="inlineStr">
        <is>
          <t>12.9%</t>
        </is>
      </c>
      <c r="D13" s="6" t="inlineStr">
        <is>
          <t>10.4%</t>
        </is>
      </c>
      <c r="E13" s="6" t="inlineStr">
        <is>
          <t>10.3%</t>
        </is>
      </c>
      <c r="F13" s="6" t="inlineStr">
        <is>
          <t>12.6%</t>
        </is>
      </c>
    </row>
    <row r="14">
      <c r="A14" s="6" t="inlineStr">
        <is>
          <t>Total Capital Ratio</t>
        </is>
      </c>
      <c r="B14" s="6" t="inlineStr">
        <is>
          <t>18.9%</t>
        </is>
      </c>
      <c r="C14" s="6" t="inlineStr">
        <is>
          <t>15.0%</t>
        </is>
      </c>
      <c r="D14" s="6" t="inlineStr">
        <is>
          <t>13.2%</t>
        </is>
      </c>
      <c r="E14" s="6" t="inlineStr">
        <is>
          <t>13.4%</t>
        </is>
      </c>
      <c r="F14" s="6" t="inlineStr">
        <is>
          <t>15.9%</t>
        </is>
      </c>
    </row>
    <row r="15">
      <c r="A15" s="6" t="inlineStr">
        <is>
          <t>Leverage Ratio</t>
        </is>
      </c>
      <c r="B15" s="6" t="inlineStr">
        <is>
          <t>7.9%</t>
        </is>
      </c>
      <c r="C15" s="6" t="inlineStr">
        <is>
          <t>5.5%</t>
        </is>
      </c>
      <c r="D15" s="6" t="inlineStr">
        <is>
          <t>4.4%</t>
        </is>
      </c>
      <c r="E15" s="6" t="inlineStr">
        <is>
          <t>4.2%</t>
        </is>
      </c>
      <c r="F15" s="6" t="inlineStr">
        <is>
          <t>5.2%</t>
        </is>
      </c>
    </row>
    <row r="16">
      <c r="A16" s="6" t="inlineStr">
        <is>
          <t>LCR</t>
        </is>
      </c>
      <c r="B16" s="6" t="inlineStr">
        <is>
          <t>427%</t>
        </is>
      </c>
      <c r="C16" s="6" t="inlineStr">
        <is>
          <t>319%</t>
        </is>
      </c>
      <c r="D16" s="6" t="inlineStr">
        <is>
          <t>219%</t>
        </is>
      </c>
      <c r="E16" s="6" t="inlineStr">
        <is>
          <t>246%</t>
        </is>
      </c>
      <c r="F16" s="6" t="inlineStr">
        <is>
          <t>281%</t>
        </is>
      </c>
    </row>
    <row r="17">
      <c r="A17" s="6" t="inlineStr">
        <is>
          <t>NSFR</t>
        </is>
      </c>
      <c r="B17" s="6" t="inlineStr">
        <is>
          <t>169%</t>
        </is>
      </c>
      <c r="C17" s="6" t="inlineStr">
        <is>
          <t>147%</t>
        </is>
      </c>
      <c r="D17" s="6" t="inlineStr">
        <is>
          <t>135%</t>
        </is>
      </c>
      <c r="E17" s="6" t="inlineStr">
        <is>
          <t>143%</t>
        </is>
      </c>
      <c r="F17" s="6" t="n"/>
    </row>
    <row r="19" ht="45" customHeight="1">
      <c r="A19" s="7" t="inlineStr">
        <is>
          <t>Note: Metro Bank PLC entity basis. FY2024-FY2025 company cash-flow data is blank because the reviewed official reports are Holdings PLC reports rather than standalone Metro Bank PLC accounts. Regulatory figures change from Metro Bank PLC consolidated basis to Holdings Group basis after the 19 May 2023 restructure; see the metric and interim-sheet notes.</t>
        </is>
      </c>
    </row>
  </sheetData>
  <mergeCells count="1">
    <mergeCell ref="A19:F1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Metro Bank PLC - Company Cash Flow Statement</t>
        </is>
      </c>
    </row>
    <row r="2">
      <c r="A2" s="2" t="inlineStr">
        <is>
          <t>Company/standalone basis, £m; 31 December year-end. FY2024-FY2025 standalone accounts not located.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profit/(loss) before tax to net cash flows from operating activities</t>
        </is>
      </c>
      <c r="B4" s="6" t="n"/>
      <c r="C4" s="6" t="n"/>
      <c r="D4" s="6" t="n"/>
      <c r="E4" s="6" t="n"/>
      <c r="F4" s="6" t="n"/>
    </row>
    <row r="5">
      <c r="A5" s="6" t="inlineStr">
        <is>
          <t>Profit/(loss) before tax</t>
        </is>
      </c>
      <c r="B5" s="6" t="n"/>
      <c r="C5" s="6" t="n"/>
      <c r="D5" s="6" t="n">
        <v>46</v>
      </c>
      <c r="E5" s="6" t="n">
        <v>-71</v>
      </c>
      <c r="F5" s="6" t="n">
        <v>-245</v>
      </c>
    </row>
    <row r="6">
      <c r="A6" s="6" t="inlineStr">
        <is>
          <t>Adjustments for non-cash items</t>
        </is>
      </c>
      <c r="B6" s="6" t="n"/>
      <c r="C6" s="6" t="n"/>
      <c r="D6" s="6" t="n">
        <v>-376</v>
      </c>
      <c r="E6" s="6" t="n">
        <v>-259</v>
      </c>
      <c r="F6" s="6" t="n">
        <v>-132</v>
      </c>
    </row>
    <row r="7">
      <c r="A7" s="6" t="inlineStr">
        <is>
          <t>Interest received</t>
        </is>
      </c>
      <c r="B7" s="6" t="n"/>
      <c r="C7" s="6" t="n"/>
      <c r="D7" s="6" t="n">
        <v>834</v>
      </c>
      <c r="E7" s="6" t="n">
        <v>538</v>
      </c>
      <c r="F7" s="6" t="n">
        <v>394</v>
      </c>
    </row>
    <row r="8">
      <c r="A8" s="6" t="inlineStr">
        <is>
          <t>Interest paid</t>
        </is>
      </c>
      <c r="B8" s="6" t="n"/>
      <c r="C8" s="6" t="n"/>
      <c r="D8" s="6" t="n">
        <v>-370</v>
      </c>
      <c r="E8" s="6" t="n">
        <v>-124</v>
      </c>
      <c r="F8" s="6" t="n">
        <v>-126</v>
      </c>
    </row>
    <row r="9">
      <c r="A9" s="6" t="inlineStr">
        <is>
          <t>Changes in other operating assets</t>
        </is>
      </c>
      <c r="B9" s="6" t="n"/>
      <c r="C9" s="6" t="n"/>
      <c r="D9" s="6" t="n">
        <v>729</v>
      </c>
      <c r="E9" s="6" t="n">
        <v>-842</v>
      </c>
      <c r="F9" s="6" t="n">
        <v>2613</v>
      </c>
    </row>
    <row r="10">
      <c r="A10" s="6" t="inlineStr">
        <is>
          <t>Changes in other operating liabilities</t>
        </is>
      </c>
      <c r="B10" s="6" t="n"/>
      <c r="C10" s="6" t="n"/>
      <c r="D10" s="6" t="n">
        <v>-251</v>
      </c>
      <c r="E10" s="6" t="n">
        <v>-409</v>
      </c>
      <c r="F10" s="6" t="n">
        <v>370</v>
      </c>
    </row>
    <row r="11">
      <c r="A11" s="5" t="inlineStr">
        <is>
          <t>Net cash inflows/(outflows) from operating activities</t>
        </is>
      </c>
      <c r="B11" s="5" t="n"/>
      <c r="C11" s="5" t="n"/>
      <c r="D11" s="5" t="n">
        <v>612</v>
      </c>
      <c r="E11" s="5" t="n">
        <v>-1167</v>
      </c>
      <c r="F11" s="5" t="n">
        <v>2874</v>
      </c>
    </row>
    <row r="12">
      <c r="A12" s="5" t="inlineStr">
        <is>
          <t>Cash flows from investing activities</t>
        </is>
      </c>
      <c r="B12" s="6" t="n"/>
      <c r="C12" s="6" t="n"/>
      <c r="D12" s="6" t="n"/>
      <c r="E12" s="6" t="n"/>
      <c r="F12" s="6" t="n"/>
    </row>
    <row r="13">
      <c r="A13" s="6" t="inlineStr">
        <is>
          <t>Sales of investment securities</t>
        </is>
      </c>
      <c r="B13" s="6" t="n"/>
      <c r="C13" s="6" t="n"/>
      <c r="D13" s="6" t="n">
        <v>1870</v>
      </c>
      <c r="E13" s="6" t="n">
        <v>857</v>
      </c>
      <c r="F13" s="6" t="n">
        <v>1269</v>
      </c>
    </row>
    <row r="14">
      <c r="A14" s="6" t="inlineStr">
        <is>
          <t>Purchase of investment securities</t>
        </is>
      </c>
      <c r="B14" s="6" t="n"/>
      <c r="C14" s="6" t="n"/>
      <c r="D14" s="6" t="n">
        <v>-816</v>
      </c>
      <c r="E14" s="6" t="n">
        <v>-1206</v>
      </c>
      <c r="F14" s="6" t="n">
        <v>-3438</v>
      </c>
    </row>
    <row r="15">
      <c r="A15" s="6" t="inlineStr">
        <is>
          <t>Purchase of property, plant and equipment</t>
        </is>
      </c>
      <c r="B15" s="6" t="n"/>
      <c r="C15" s="6" t="n"/>
      <c r="D15" s="6" t="n">
        <v>-12</v>
      </c>
      <c r="E15" s="6" t="n">
        <v>-29</v>
      </c>
      <c r="F15" s="6" t="n">
        <v>-41</v>
      </c>
    </row>
    <row r="16">
      <c r="A16" s="6" t="inlineStr">
        <is>
          <t>Purchase and development of intangible assets</t>
        </is>
      </c>
      <c r="B16" s="6" t="n"/>
      <c r="C16" s="6" t="n"/>
      <c r="D16" s="6" t="n">
        <v>-26</v>
      </c>
      <c r="E16" s="6" t="n">
        <v>-24</v>
      </c>
      <c r="F16" s="6" t="n">
        <v>-64</v>
      </c>
    </row>
    <row r="17">
      <c r="A17" s="6" t="inlineStr">
        <is>
          <t>Dividends received from subsidiaries</t>
        </is>
      </c>
      <c r="B17" s="6" t="n"/>
      <c r="C17" s="6" t="n"/>
      <c r="D17" s="6" t="n">
        <v>12</v>
      </c>
      <c r="E17" s="6" t="n"/>
      <c r="F17" s="6" t="n"/>
    </row>
    <row r="18">
      <c r="A18" s="5" t="inlineStr">
        <is>
          <t>Net cash inflows/(outflows) from investing activities</t>
        </is>
      </c>
      <c r="B18" s="5" t="n"/>
      <c r="C18" s="5" t="n"/>
      <c r="D18" s="5" t="n">
        <v>1028</v>
      </c>
      <c r="E18" s="5" t="n">
        <v>-402</v>
      </c>
      <c r="F18" s="5" t="n">
        <v>-2274</v>
      </c>
    </row>
    <row r="19">
      <c r="A19" s="5" t="inlineStr">
        <is>
          <t>Cash flows from financing activities</t>
        </is>
      </c>
      <c r="B19" s="6" t="n"/>
      <c r="C19" s="6" t="n"/>
      <c r="D19" s="6" t="n"/>
      <c r="E19" s="6" t="n"/>
      <c r="F19" s="6" t="n"/>
    </row>
    <row r="20">
      <c r="A20" s="6" t="inlineStr">
        <is>
          <t>Repayment of capital elements of leases</t>
        </is>
      </c>
      <c r="B20" s="6" t="n"/>
      <c r="C20" s="6" t="n"/>
      <c r="D20" s="6" t="n">
        <v>-23</v>
      </c>
      <c r="E20" s="6" t="n">
        <v>-25</v>
      </c>
      <c r="F20" s="6" t="n">
        <v>-27</v>
      </c>
    </row>
    <row r="21">
      <c r="A21" s="6" t="inlineStr">
        <is>
          <t>Issuance of new shares</t>
        </is>
      </c>
      <c r="B21" s="6" t="n"/>
      <c r="C21" s="6" t="n"/>
      <c r="D21" s="6" t="n">
        <v>144</v>
      </c>
      <c r="E21" s="6" t="n"/>
      <c r="F21" s="6" t="n"/>
    </row>
    <row r="22">
      <c r="A22" s="6" t="inlineStr">
        <is>
          <t>Issuance of medium-term notes/subordinated debt (net of costs)</t>
        </is>
      </c>
      <c r="B22" s="6" t="n"/>
      <c r="C22" s="6" t="n"/>
      <c r="D22" s="6" t="n">
        <v>175</v>
      </c>
      <c r="E22" s="6" t="n"/>
      <c r="F22" s="6" t="n"/>
    </row>
    <row r="23">
      <c r="A23" s="5" t="inlineStr">
        <is>
          <t>Net cash inflows/(outflows) from financing activities</t>
        </is>
      </c>
      <c r="B23" s="5" t="n"/>
      <c r="C23" s="5" t="n"/>
      <c r="D23" s="5" t="n">
        <v>296</v>
      </c>
      <c r="E23" s="5" t="n">
        <v>-25</v>
      </c>
      <c r="F23" s="5" t="n">
        <v>-27</v>
      </c>
    </row>
    <row r="24">
      <c r="A24" s="5" t="inlineStr">
        <is>
          <t>Net increase/(decrease) in cash and cash equivalents</t>
        </is>
      </c>
      <c r="B24" s="5" t="n"/>
      <c r="C24" s="5" t="n"/>
      <c r="D24" s="5" t="n">
        <v>1936</v>
      </c>
      <c r="E24" s="5" t="n">
        <v>-1594</v>
      </c>
      <c r="F24" s="5" t="n">
        <v>573</v>
      </c>
    </row>
    <row r="25">
      <c r="A25" s="6" t="inlineStr">
        <is>
          <t>Cash and cash equivalents at start of year</t>
        </is>
      </c>
      <c r="B25" s="6" t="n"/>
      <c r="C25" s="6" t="n"/>
      <c r="D25" s="6" t="n">
        <v>1953</v>
      </c>
      <c r="E25" s="6" t="n">
        <v>3547</v>
      </c>
      <c r="F25" s="6" t="n">
        <v>2974</v>
      </c>
    </row>
    <row r="26">
      <c r="A26" s="5" t="inlineStr">
        <is>
          <t>Cash and cash equivalents at end of year</t>
        </is>
      </c>
      <c r="B26" s="5" t="n"/>
      <c r="C26" s="5" t="n"/>
      <c r="D26" s="5" t="n">
        <v>3889</v>
      </c>
      <c r="E26" s="5" t="n">
        <v>1953</v>
      </c>
      <c r="F26" s="5" t="n">
        <v>3547</v>
      </c>
    </row>
    <row r="28" ht="220" customHeight="1">
      <c r="A28" s="8" t="inlineStr">
        <is>
          <t>Sources - Metro Bank PLC Company/standalone cash flows, £m: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826</v>
      </c>
      <c r="C4" s="6" t="n">
        <v>937</v>
      </c>
      <c r="D4" s="6" t="n">
        <v>813</v>
      </c>
      <c r="E4" s="6" t="n">
        <v>819</v>
      </c>
      <c r="F4" s="6" t="n">
        <v>936</v>
      </c>
    </row>
    <row r="5" ht="60" customHeight="1">
      <c r="A5" s="7" t="inlineStr">
        <is>
          <t>Note: FY2023-FY2025 are Holdings Group figures following the May 2023 holding-company insertion; FY2021-FY2022 are Metro Bank PLC consolidated prudential figures.</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12.8%</t>
        </is>
      </c>
      <c r="C4" s="6" t="inlineStr">
        <is>
          <t>12.9%</t>
        </is>
      </c>
      <c r="D4" s="6" t="inlineStr">
        <is>
          <t>10.4%</t>
        </is>
      </c>
      <c r="E4" s="6" t="inlineStr">
        <is>
          <t>10.3%</t>
        </is>
      </c>
      <c r="F4" s="6" t="inlineStr">
        <is>
          <t>12.6%</t>
        </is>
      </c>
    </row>
    <row r="6" ht="190" customHeight="1">
      <c r="A6"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1068</v>
      </c>
      <c r="C4" s="6" t="n">
        <v>937</v>
      </c>
      <c r="D4" s="6" t="n">
        <v>813</v>
      </c>
      <c r="E4" s="6" t="n">
        <v>819</v>
      </c>
      <c r="F4" s="6" t="n">
        <v>936</v>
      </c>
    </row>
    <row r="6" ht="190" customHeight="1">
      <c r="A6"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16.6%</t>
        </is>
      </c>
      <c r="C4" s="6" t="inlineStr">
        <is>
          <t>12.9%</t>
        </is>
      </c>
      <c r="D4" s="6" t="inlineStr">
        <is>
          <t>10.4%</t>
        </is>
      </c>
      <c r="E4" s="6" t="inlineStr">
        <is>
          <t>10.3%</t>
        </is>
      </c>
      <c r="F4" s="6" t="inlineStr">
        <is>
          <t>12.6%</t>
        </is>
      </c>
    </row>
    <row r="6" ht="190" customHeight="1">
      <c r="A6"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1218</v>
      </c>
      <c r="C4" s="6" t="n">
        <v>1087</v>
      </c>
      <c r="D4" s="6" t="n">
        <v>1030</v>
      </c>
      <c r="E4" s="6" t="n">
        <v>1069</v>
      </c>
      <c r="F4" s="6" t="n">
        <v>1184</v>
      </c>
    </row>
    <row r="6" ht="190" customHeight="1">
      <c r="A6"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18.9%</t>
        </is>
      </c>
      <c r="C4" s="6" t="inlineStr">
        <is>
          <t>15.0%</t>
        </is>
      </c>
      <c r="D4" s="6" t="inlineStr">
        <is>
          <t>13.2%</t>
        </is>
      </c>
      <c r="E4" s="6" t="inlineStr">
        <is>
          <t>13.4%</t>
        </is>
      </c>
      <c r="F4" s="6" t="inlineStr">
        <is>
          <t>15.9%</t>
        </is>
      </c>
    </row>
    <row r="6" ht="190" customHeight="1">
      <c r="A6"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6437</v>
      </c>
      <c r="C4" s="6" t="n">
        <v>7239</v>
      </c>
      <c r="D4" s="6" t="n">
        <v>7802</v>
      </c>
      <c r="E4" s="6" t="n">
        <v>7990</v>
      </c>
      <c r="F4" s="6" t="n">
        <v>7454</v>
      </c>
    </row>
    <row r="6" ht="190" customHeight="1">
      <c r="A6"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13560</v>
      </c>
      <c r="C4" s="6" t="n">
        <v>17185</v>
      </c>
      <c r="D4" s="6" t="n">
        <v>18550</v>
      </c>
      <c r="E4" s="6" t="n">
        <v>19348</v>
      </c>
      <c r="F4" s="6" t="n">
        <v>17869</v>
      </c>
    </row>
    <row r="5">
      <c r="A5" s="6" t="inlineStr">
        <is>
          <t>Leverage ratio excluding claims on central banks</t>
        </is>
      </c>
      <c r="B5" s="6" t="inlineStr">
        <is>
          <t>7.9%</t>
        </is>
      </c>
      <c r="C5" s="6" t="inlineStr">
        <is>
          <t>5.5%</t>
        </is>
      </c>
      <c r="D5" s="6" t="inlineStr">
        <is>
          <t>4.4%</t>
        </is>
      </c>
      <c r="E5" s="6" t="inlineStr">
        <is>
          <t>4.2%</t>
        </is>
      </c>
      <c r="F5" s="6" t="inlineStr">
        <is>
          <t>5.2%</t>
        </is>
      </c>
    </row>
    <row r="6" ht="60" customHeight="1">
      <c r="A6" s="7" t="inlineStr">
        <is>
          <t>Note: The 2023-2025 figures are Holdings Group figures; 2021-2022 are the Metro Bank PLC prudential perimeter. The 2021-2022 disclosures restate the leverage measure to exclude central-bank claims for comparability.</t>
        </is>
      </c>
    </row>
    <row r="8" ht="190" customHeight="1">
      <c r="A8"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6289</v>
      </c>
      <c r="C4" s="6" t="n">
        <v>6509</v>
      </c>
      <c r="D4" s="6" t="n">
        <v>5063</v>
      </c>
      <c r="E4" s="6" t="n">
        <v>6051</v>
      </c>
      <c r="F4" s="6" t="n">
        <v>6900</v>
      </c>
    </row>
    <row r="5">
      <c r="A5" s="6" t="inlineStr">
        <is>
          <t>Total net cash outflows, adjusted value</t>
        </is>
      </c>
      <c r="B5" s="6" t="n">
        <v>1689</v>
      </c>
      <c r="C5" s="6" t="n">
        <v>2037</v>
      </c>
      <c r="D5" s="6" t="n">
        <v>2310</v>
      </c>
      <c r="E5" s="6" t="n">
        <v>2465</v>
      </c>
      <c r="F5" s="6" t="n">
        <v>2169</v>
      </c>
    </row>
    <row r="6">
      <c r="A6" s="6" t="inlineStr">
        <is>
          <t>Liquidity Coverage Ratio</t>
        </is>
      </c>
      <c r="B6" s="6" t="inlineStr">
        <is>
          <t>427%</t>
        </is>
      </c>
      <c r="C6" s="6" t="inlineStr">
        <is>
          <t>319%</t>
        </is>
      </c>
      <c r="D6" s="6" t="inlineStr">
        <is>
          <t>219%</t>
        </is>
      </c>
      <c r="E6" s="6" t="inlineStr">
        <is>
          <t>246%</t>
        </is>
      </c>
      <c r="F6" s="6" t="inlineStr">
        <is>
          <t>281%</t>
        </is>
      </c>
    </row>
    <row r="7" ht="60" customHeight="1">
      <c r="A7" s="7" t="inlineStr">
        <is>
          <t>Note: The source tables disclose HQLA/net outflow components on different reporting bases across years; the headline ratios are reproduced as reported. Basis changes after the holding-company insertion are described on the Cash Flow Statement and source note.</t>
        </is>
      </c>
    </row>
    <row r="9" ht="190" customHeight="1">
      <c r="A9"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14465</v>
      </c>
      <c r="C4" s="6" t="n">
        <v>18361</v>
      </c>
      <c r="D4" s="6" t="n">
        <v>18564</v>
      </c>
      <c r="E4" s="6" t="n">
        <v>18903</v>
      </c>
      <c r="F4" s="6" t="n"/>
    </row>
    <row r="5">
      <c r="A5" s="6" t="inlineStr">
        <is>
          <t>Total required stable funding</t>
        </is>
      </c>
      <c r="B5" s="6" t="n">
        <v>8560</v>
      </c>
      <c r="C5" s="6" t="n">
        <v>12512</v>
      </c>
      <c r="D5" s="6" t="n">
        <v>13790</v>
      </c>
      <c r="E5" s="6" t="n">
        <v>13225</v>
      </c>
      <c r="F5" s="6" t="n"/>
    </row>
    <row r="6">
      <c r="A6" s="6" t="inlineStr">
        <is>
          <t>Net stable funding ratio</t>
        </is>
      </c>
      <c r="B6" s="6" t="inlineStr">
        <is>
          <t>169%</t>
        </is>
      </c>
      <c r="C6" s="6" t="inlineStr">
        <is>
          <t>147%</t>
        </is>
      </c>
      <c r="D6" s="6" t="inlineStr">
        <is>
          <t>135%</t>
        </is>
      </c>
      <c r="E6" s="6" t="inlineStr">
        <is>
          <t>143%</t>
        </is>
      </c>
      <c r="F6" s="6" t="n"/>
    </row>
    <row r="7" ht="60" customHeight="1">
      <c r="A7" s="7" t="inlineStr">
        <is>
          <t>Note: NSFR disclosures were required from 1 January 2023; FY2021 is blank. FY2023-FY2025 are Holdings Group figures after the restructure.</t>
        </is>
      </c>
    </row>
    <row r="9" ht="190" customHeight="1">
      <c r="A9"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disclosed</t>
        </is>
      </c>
      <c r="C4" s="6" t="inlineStr">
        <is>
          <t>Not disclosed</t>
        </is>
      </c>
      <c r="D4" s="6" t="inlineStr">
        <is>
          <t>Not disclosed</t>
        </is>
      </c>
      <c r="E4" s="6" t="inlineStr">
        <is>
          <t>Not disclosed</t>
        </is>
      </c>
      <c r="F4" s="6" t="inlineStr">
        <is>
          <t>20.5%</t>
        </is>
      </c>
    </row>
    <row r="5" ht="60" customHeight="1">
      <c r="A5" s="7" t="inlineStr">
        <is>
          <t>Note: The 2021 Pillar 3 report discloses 20.5%. No quantitative MREL ratio was located in the later KM1 tables reviewed; the 2022-2025 cells are therefore not publicly disclosed rather than zero.</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2026-09-01T21:26:57Z</dcterms:created>
  <dcterms:modified xmlns:dcterms="http://purl.org/dc/terms/" xmlns:xsi="http://www.w3.org/2001/XMLSchema-instance" xsi:type="dcterms:W3CDTF">2026-09-01T21:26:57Z</dcterms:modified>
</cp:coreProperties>
</file>