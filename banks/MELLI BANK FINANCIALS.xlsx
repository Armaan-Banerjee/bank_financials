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a:prstDash val="solid"/>
            </a:ln>
          </spPr>
          <cat>
            <numRef>
              <f>'Overview'!$AH$25:$AL$25</f>
            </numRef>
          </cat>
          <val>
            <numRef>
              <f>'Overview'!$AH$26:$AL$26</f>
            </numRef>
          </val>
        </ser>
        <ser>
          <idx val="1"/>
          <order val="1"/>
          <tx>
            <strRef>
              <f>'Overview'!AG27</f>
            </strRef>
          </tx>
          <spPr>
            <a:ln>
              <a:prstDash val="solid"/>
            </a:ln>
          </spPr>
          <cat>
            <numRef>
              <f>'Overview'!$AH$25:$AL$25</f>
            </numRef>
          </cat>
          <val>
            <numRef>
              <f>'Overview'!$AH$27:$AL$27</f>
            </numRef>
          </val>
        </ser>
        <ser>
          <idx val="2"/>
          <order val="2"/>
          <tx>
            <strRef>
              <f>'Overview'!AG28</f>
            </strRef>
          </tx>
          <spPr>
            <a:l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37</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59</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81</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103</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125</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O6" t="inlineStr">
        <is>
          <t>CET1 Ratio</t>
        </is>
      </c>
      <c r="AP6" t="n">
        <v>64</v>
      </c>
      <c r="AQ6" t="n">
        <v>60</v>
      </c>
      <c r="AR6" t="n">
        <v>51</v>
      </c>
      <c r="AS6" t="n">
        <v>55</v>
      </c>
      <c r="AT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O7" t="inlineStr">
        <is>
          <t>LCR</t>
        </is>
      </c>
      <c r="AP7" t="n">
        <v>350</v>
      </c>
      <c r="AQ7" t="n">
        <v>617</v>
      </c>
      <c r="AR7" t="n">
        <v>529</v>
      </c>
      <c r="AS7" t="n">
        <v>697</v>
      </c>
      <c r="AT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-21600</v>
      </c>
      <c r="C26" s="5" t="n">
        <v>13753</v>
      </c>
      <c r="D26" s="5" t="n">
        <v>-27408</v>
      </c>
      <c r="E26" s="5" t="n">
        <v>-52056</v>
      </c>
      <c r="F26" s="5" t="n"/>
      <c r="AG26" t="inlineStr">
        <is>
          <t>Net cash from operating activities</t>
        </is>
      </c>
      <c r="AI26" t="n">
        <v>-52056</v>
      </c>
      <c r="AJ26" t="n">
        <v>-27408</v>
      </c>
      <c r="AK26" t="n">
        <v>13753</v>
      </c>
      <c r="AL26" t="n">
        <v>-21600</v>
      </c>
    </row>
    <row r="27">
      <c r="A27" s="5" t="inlineStr">
        <is>
          <t>Net cash from investing activities</t>
        </is>
      </c>
      <c r="B27" s="5" t="n">
        <v>-274</v>
      </c>
      <c r="C27" s="5" t="n">
        <v>-664</v>
      </c>
      <c r="D27" s="5" t="n">
        <v>-258</v>
      </c>
      <c r="E27" s="5" t="n">
        <v>-47</v>
      </c>
      <c r="F27" s="5" t="n"/>
      <c r="AG27" t="inlineStr">
        <is>
          <t>Net cash from investing activities</t>
        </is>
      </c>
      <c r="AI27" t="n">
        <v>-47</v>
      </c>
      <c r="AJ27" t="n">
        <v>-258</v>
      </c>
      <c r="AK27" t="n">
        <v>-664</v>
      </c>
      <c r="AL27" t="n">
        <v>-274</v>
      </c>
    </row>
    <row r="28">
      <c r="A28" s="5" t="inlineStr">
        <is>
          <t>Cash and cash equivalents at end of year</t>
        </is>
      </c>
      <c r="B28" s="5" t="n">
        <v>30504</v>
      </c>
      <c r="C28" s="5" t="n">
        <v>52378</v>
      </c>
      <c r="D28" s="5" t="n">
        <v>39289</v>
      </c>
      <c r="E28" s="5" t="n">
        <v>66955</v>
      </c>
      <c r="F28" s="5" t="n"/>
      <c r="AG28" t="inlineStr">
        <is>
          <t>Cash and cash equivalents at end of year</t>
        </is>
      </c>
      <c r="AI28" t="n">
        <v>66955</v>
      </c>
      <c r="AJ28" t="n">
        <v>39289</v>
      </c>
      <c r="AK28" t="n">
        <v>52378</v>
      </c>
      <c r="AL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6" t="inlineStr">
        <is>
          <t>Other charges - DB Pension Scheme / Other income (same underlying pension remeasurement item, presented as an add-back 'Other charges' in FY2024/FY2025's own account and as 'Other income' in FY2023/FY2022's own account)</t>
        </is>
      </c>
      <c r="B15" s="6" t="n">
        <v>0</v>
      </c>
      <c r="C15" s="6" t="n">
        <v>224</v>
      </c>
      <c r="D15" s="6" t="n">
        <v>228</v>
      </c>
      <c r="E15" s="6" t="n">
        <v>41</v>
      </c>
      <c r="F15" s="6" t="n">
        <v>12</v>
      </c>
    </row>
    <row r="16">
      <c r="A16" s="5" t="inlineStr">
        <is>
          <t>Operating profit/(loss) (FY2021's own subtotal position, before Other charges)</t>
        </is>
      </c>
      <c r="B16" s="5" t="n"/>
      <c r="C16" s="5" t="n"/>
      <c r="D16" s="5" t="n"/>
      <c r="E16" s="5" t="n"/>
      <c r="F16" s="5" t="n">
        <v>-4677</v>
      </c>
    </row>
    <row r="17">
      <c r="A17" s="5" t="inlineStr">
        <is>
          <t>Profit before provision and taxation (FY2022/FY2023's own subtotal position, after Other income)</t>
        </is>
      </c>
      <c r="B17" s="5" t="n"/>
      <c r="C17" s="5" t="n"/>
      <c r="D17" s="5" t="n">
        <v>630</v>
      </c>
      <c r="E17" s="5" t="n">
        <v>585</v>
      </c>
      <c r="F17" s="5" t="n"/>
    </row>
    <row r="18">
      <c r="A18" s="6" t="inlineStr">
        <is>
          <t>Impairment - other / Impairment on loans and advances</t>
        </is>
      </c>
      <c r="B18" s="6" t="n">
        <v>0</v>
      </c>
      <c r="C18" s="6" t="n">
        <v>-1203</v>
      </c>
      <c r="D18" s="6" t="n">
        <v>0</v>
      </c>
      <c r="E18" s="6" t="n">
        <v>-26</v>
      </c>
      <c r="F18" s="6" t="n">
        <v>-2643</v>
      </c>
    </row>
    <row r="19">
      <c r="A19" s="5" t="inlineStr">
        <is>
          <t>Profit/(loss) before taxation</t>
        </is>
      </c>
      <c r="B19" s="5" t="n">
        <v>181</v>
      </c>
      <c r="C19" s="5" t="n">
        <v>2356</v>
      </c>
      <c r="D19" s="5" t="n">
        <v>630</v>
      </c>
      <c r="E19" s="5" t="n">
        <v>559</v>
      </c>
      <c r="F19" s="5" t="n">
        <v>-7308</v>
      </c>
    </row>
    <row r="20">
      <c r="A20" s="6" t="inlineStr">
        <is>
          <t>Tax</t>
        </is>
      </c>
      <c r="B20" s="6" t="n">
        <v>0</v>
      </c>
      <c r="C20" s="6" t="n">
        <v>0</v>
      </c>
      <c r="D20" s="6" t="n">
        <v>0</v>
      </c>
      <c r="E20" s="6" t="n">
        <v>0</v>
      </c>
      <c r="F20" s="6" t="n">
        <v>0</v>
      </c>
    </row>
    <row r="21">
      <c r="A21" s="5" t="inlineStr">
        <is>
          <t>Profit/(loss) for the financial year</t>
        </is>
      </c>
      <c r="B21" s="5" t="n">
        <v>181</v>
      </c>
      <c r="C21" s="5" t="n">
        <v>2356</v>
      </c>
      <c r="D21" s="5" t="n">
        <v>630</v>
      </c>
      <c r="E21" s="5" t="n">
        <v>559</v>
      </c>
      <c r="F21" s="5" t="n">
        <v>-7308</v>
      </c>
    </row>
    <row r="22">
      <c r="A22" s="5" t="inlineStr">
        <is>
          <t>Other comprehensive income</t>
        </is>
      </c>
      <c r="B22" s="6" t="n"/>
      <c r="C22" s="6" t="n"/>
      <c r="D22" s="6" t="n"/>
      <c r="E22" s="6" t="n"/>
      <c r="F22" s="6" t="n"/>
    </row>
    <row r="23">
      <c r="A23" s="6" t="inlineStr">
        <is>
          <t>Remeasurements of net defined benefit pension obligations</t>
        </is>
      </c>
      <c r="B23" s="6" t="n">
        <v>0</v>
      </c>
      <c r="C23" s="6" t="n">
        <v>-224</v>
      </c>
      <c r="D23" s="6" t="n">
        <v>-228</v>
      </c>
      <c r="E23" s="6" t="n">
        <v>-41</v>
      </c>
      <c r="F23" s="6" t="n">
        <v>-12</v>
      </c>
    </row>
    <row r="24">
      <c r="A24" s="6" t="inlineStr">
        <is>
          <t>Movement in other reserves</t>
        </is>
      </c>
      <c r="B24" s="6" t="n"/>
      <c r="C24" s="6" t="n"/>
      <c r="D24" s="6" t="n"/>
      <c r="E24" s="6" t="n"/>
      <c r="F24" s="6" t="n">
        <v>0</v>
      </c>
    </row>
    <row r="25">
      <c r="A25" s="5" t="inlineStr">
        <is>
          <t>Other comprehensive income/(loss) for the year</t>
        </is>
      </c>
      <c r="B25" s="5" t="n">
        <v>0</v>
      </c>
      <c r="C25" s="5" t="n">
        <v>-224</v>
      </c>
      <c r="D25" s="5" t="n">
        <v>-228</v>
      </c>
      <c r="E25" s="5" t="n">
        <v>-41</v>
      </c>
      <c r="F25" s="5" t="n">
        <v>-12</v>
      </c>
    </row>
    <row r="26">
      <c r="A26" s="5" t="inlineStr">
        <is>
          <t>Total comprehensive income/(loss) for the year, net of tax</t>
        </is>
      </c>
      <c r="B26" s="5" t="n">
        <v>181</v>
      </c>
      <c r="C26" s="5" t="n">
        <v>2132</v>
      </c>
      <c r="D26" s="5" t="n">
        <v>402</v>
      </c>
      <c r="E26" s="5" t="n">
        <v>518</v>
      </c>
      <c r="F26" s="5" t="n">
        <v>-7320</v>
      </c>
    </row>
    <row r="28" ht="280" customHeight="1">
      <c r="A28"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Operating activities</t>
        </is>
      </c>
      <c r="B4" s="6" t="n"/>
      <c r="C4" s="6" t="n"/>
      <c r="D4" s="6" t="n"/>
      <c r="E4" s="6" t="n"/>
      <c r="F4" s="6" t="n"/>
    </row>
    <row r="5">
      <c r="A5" s="5" t="inlineStr">
        <is>
          <t>Net cash from operating activities</t>
        </is>
      </c>
      <c r="B5" s="5" t="n">
        <v>-21600</v>
      </c>
      <c r="C5" s="5" t="n">
        <v>13753</v>
      </c>
      <c r="D5" s="5" t="n">
        <v>-27408</v>
      </c>
      <c r="E5" s="5" t="n">
        <v>-52056</v>
      </c>
      <c r="F5" s="5" t="n"/>
    </row>
    <row r="6">
      <c r="A6" s="5" t="inlineStr">
        <is>
          <t>Investing activities</t>
        </is>
      </c>
      <c r="B6" s="6" t="n"/>
      <c r="C6" s="6" t="n"/>
      <c r="D6" s="6" t="n"/>
      <c r="E6" s="6" t="n"/>
      <c r="F6" s="6" t="n"/>
    </row>
    <row r="7">
      <c r="A7" s="5" t="inlineStr">
        <is>
          <t>Net cash from investing activities</t>
        </is>
      </c>
      <c r="B7" s="5" t="n">
        <v>-274</v>
      </c>
      <c r="C7" s="5" t="n">
        <v>-664</v>
      </c>
      <c r="D7" s="5" t="n">
        <v>-258</v>
      </c>
      <c r="E7" s="5" t="n">
        <v>-47</v>
      </c>
      <c r="F7" s="5" t="n"/>
    </row>
    <row r="8">
      <c r="A8" s="5" t="inlineStr">
        <is>
          <t>Net increase/(decrease) in cash and cash equivalents</t>
        </is>
      </c>
      <c r="B8" s="5" t="n">
        <v>-21874</v>
      </c>
      <c r="C8" s="5" t="n">
        <v>13089</v>
      </c>
      <c r="D8" s="5" t="n">
        <v>-27666</v>
      </c>
      <c r="E8" s="5" t="n">
        <v>-52103</v>
      </c>
      <c r="F8" s="5" t="n"/>
    </row>
    <row r="9">
      <c r="A9" s="6" t="inlineStr">
        <is>
          <t>Cash and cash equivalents at the beginning of the period</t>
        </is>
      </c>
      <c r="B9" s="6" t="n">
        <v>52378</v>
      </c>
      <c r="C9" s="6" t="n">
        <v>39289</v>
      </c>
      <c r="D9" s="6" t="n">
        <v>66955</v>
      </c>
      <c r="E9" s="6" t="n">
        <v>119058</v>
      </c>
      <c r="F9" s="6" t="n"/>
    </row>
    <row r="10">
      <c r="A10" s="5" t="inlineStr">
        <is>
          <t>Cash and cash equivalents at the end of the period</t>
        </is>
      </c>
      <c r="B10" s="5" t="n">
        <v>30504</v>
      </c>
      <c r="C10" s="5" t="n">
        <v>52378</v>
      </c>
      <c r="D10" s="5" t="n">
        <v>39289</v>
      </c>
      <c r="E10" s="5" t="n">
        <v>66955</v>
      </c>
      <c r="F10" s="5" t="n"/>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F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 eligible regulatory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 eligible regulatory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eligible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v>458000</v>
      </c>
      <c r="C4" s="6" t="n">
        <v>466000</v>
      </c>
      <c r="D4" s="6" t="n">
        <v>498000</v>
      </c>
      <c r="E4" s="6" t="n">
        <v>423000</v>
      </c>
      <c r="F4" s="6" t="n">
        <v>399000</v>
      </c>
    </row>
    <row r="5" ht="60" customHeight="1">
      <c r="A5" s="7" t="inlineStr">
        <is>
          <t>Note: Total Risk Exposure Amount is the directly disclosed regulatory KPI, shown in EUR '000 (source table reports EUR millions for every year FY2021-FY2025, so no year loses precision relative to another here - unlike the Eligible Capital figure, see CET1 Capital sheet note).</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Melli Bank plc — RWA Breakdown</t>
        </is>
      </c>
    </row>
    <row r="2">
      <c r="A2" s="2" t="inlineStr">
        <is>
          <t>Not publicly disclosed at category level for any year. EUR '000.</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6" t="inlineStr">
        <is>
          <t>RWA breakdown by risk category</t>
        </is>
      </c>
      <c r="B4" s="6" t="n"/>
      <c r="C4" s="6" t="n"/>
      <c r="D4" s="6" t="n"/>
      <c r="E4" s="6" t="n"/>
      <c r="F4" s="6" t="n"/>
    </row>
    <row r="6" ht="28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
RWA BREAKDOWN: no category-level (credit risk / market risk / operational risk / CVA) breakdown was found in any of the 5 years' Annual Reports -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Confirmed a genuine non-disclosure, not an access gap - all 5 Annual Reports were fully read this session, including the current FY2025 report.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n"/>
    </row>
    <row r="5" ht="60" customHeight="1">
      <c r="A5" s="7" t="inlineStr">
        <is>
          <t>Note: Not publicly disclosed for this entity/year in the reviewed official source set. The Bank's reports state that Pillar 3 disclosure is available on request; no public current KM1 document was located.</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679%</t>
        </is>
      </c>
      <c r="C4" s="6" t="inlineStr">
        <is>
          <t>697%</t>
        </is>
      </c>
      <c r="D4" s="6" t="inlineStr">
        <is>
          <t>529%</t>
        </is>
      </c>
      <c r="E4" s="6" t="inlineStr">
        <is>
          <t>617%</t>
        </is>
      </c>
      <c r="F4" s="6" t="inlineStr">
        <is>
          <t>350%</t>
        </is>
      </c>
    </row>
    <row r="5" ht="60" customHeight="1">
      <c r="A5" s="7" t="inlineStr">
        <is>
          <t>Note: Directly disclosed in the KPI tables. FY2021 is reported in the FY2023 Annual Report KPI comparative table (p.9); FY2022-FY2025 are reported in the later corresponding KPI tables.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2026-09-06T09:38:48Z</dcterms:created>
  <dcterms:modified xsi:type="dcterms:W3CDTF">2026-09-06T09:38:48Z</dcterms:modified>
</cp:coreProperties>
</file>