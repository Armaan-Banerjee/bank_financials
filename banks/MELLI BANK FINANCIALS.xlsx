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E4B3A"/>
        <bgColor rgb="006E4B3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Melli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EUR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Melli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EUR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Melli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EUR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Melli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'Overview'!$AH$25:$AK$25</f>
            </numRef>
          </cat>
          <val>
            <numRef>
              <f>'Overview'!$AH$26:$AK$26</f>
            </numRef>
          </val>
        </ser>
        <ser>
          <idx val="1"/>
          <order val="1"/>
          <tx>
            <strRef>
              <f>'Overview'!AG27</f>
            </strRef>
          </tx>
          <spPr>
            <a:ln xmlns:a="http://schemas.openxmlformats.org/drawingml/2006/main">
              <a:prstDash val="solid"/>
            </a:ln>
          </spPr>
          <cat>
            <numRef>
              <f>'Overview'!$AH$25:$AK$25</f>
            </numRef>
          </cat>
          <val>
            <numRef>
              <f>'Overview'!$AH$27:$AK$27</f>
            </numRef>
          </val>
        </ser>
        <ser>
          <idx val="2"/>
          <order val="2"/>
          <tx>
            <strRef>
              <f>'Overview'!AG28</f>
            </strRef>
          </tx>
          <spPr>
            <a:ln xmlns:a="http://schemas.openxmlformats.org/drawingml/2006/main">
              <a:prstDash val="solid"/>
            </a:ln>
          </spPr>
          <cat>
            <numRef>
              <f>'Overview'!$AH$25:$AK$25</f>
            </numRef>
          </cat>
          <val>
            <numRef>
              <f>'Overview'!$AH$28:$AK$28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EUR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Melli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'Overview'!AN6</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'Overview'!$AO$6:$AS$6</f>
            </numRef>
          </val>
          <smooth val="0"/>
        </ser>
        <ser>
          <idx val="1"/>
          <order val="1"/>
          <tx>
            <strRef>
              <f>'Overview'!AN7</f>
            </strRef>
          </tx>
          <spPr>
            <a:ln xmlns:a="http://schemas.openxmlformats.org/drawingml/2006/main">
              <a:prstDash val="solid"/>
            </a:ln>
          </spPr>
          <marker>
            <symbol val="none"/>
            <spPr>
              <a:ln xmlns:a="http://schemas.openxmlformats.org/drawingml/2006/main">
                <a:prstDash val="solid"/>
              </a:ln>
            </spPr>
          </marker>
          <cat>
            <numRef>
              <f>'Overview'!$AO$5:$AS$5</f>
            </numRef>
          </cat>
          <val>
            <numRef>
              <f>'Overview'!$AO$7:$AS$7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125</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S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Melli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(EUR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O5" t="inlineStr">
        <is>
          <t>FY2021</t>
        </is>
      </c>
      <c r="AP5" t="inlineStr">
        <is>
          <t>FY2022</t>
        </is>
      </c>
      <c r="AQ5" t="inlineStr">
        <is>
          <t>FY2023</t>
        </is>
      </c>
      <c r="AR5" t="inlineStr">
        <is>
          <t>FY2024</t>
        </is>
      </c>
      <c r="AS5" t="inlineStr">
        <is>
          <t>FY2025</t>
        </is>
      </c>
    </row>
    <row r="6">
      <c r="A6" s="5" t="inlineStr">
        <is>
          <t>Total assets</t>
        </is>
      </c>
      <c r="B6" s="5" t="n">
        <v>362875</v>
      </c>
      <c r="C6" s="5" t="n">
        <v>375541</v>
      </c>
      <c r="D6" s="5" t="n">
        <v>355588</v>
      </c>
      <c r="E6" s="5" t="n">
        <v>320189</v>
      </c>
      <c r="F6" s="5" t="n">
        <v>313733</v>
      </c>
      <c r="I6" t="inlineStr">
        <is>
          <t>Total assets</t>
        </is>
      </c>
      <c r="J6" t="n">
        <v>313733</v>
      </c>
      <c r="K6" t="n">
        <v>320189</v>
      </c>
      <c r="L6" t="n">
        <v>355588</v>
      </c>
      <c r="M6" t="n">
        <v>375541</v>
      </c>
      <c r="N6" t="n">
        <v>362875</v>
      </c>
      <c r="AN6" t="inlineStr">
        <is>
          <t>CET1 Ratio</t>
        </is>
      </c>
      <c r="AO6" t="n">
        <v>64</v>
      </c>
      <c r="AP6" t="n">
        <v>60</v>
      </c>
      <c r="AQ6" t="n">
        <v>51</v>
      </c>
      <c r="AR6" t="n">
        <v>55</v>
      </c>
      <c r="AS6" t="n">
        <v>56</v>
      </c>
    </row>
    <row r="7">
      <c r="A7" s="5" t="inlineStr">
        <is>
          <t>Loans and advances to customers</t>
        </is>
      </c>
      <c r="B7" s="5" t="n">
        <v>3317</v>
      </c>
      <c r="C7" s="5" t="n">
        <v>3709</v>
      </c>
      <c r="D7" s="5" t="n">
        <v>8275</v>
      </c>
      <c r="E7" s="5" t="n">
        <v>8260</v>
      </c>
      <c r="F7" s="5" t="n">
        <v>8899</v>
      </c>
      <c r="I7" t="inlineStr">
        <is>
          <t>Loans and advances to customers</t>
        </is>
      </c>
      <c r="J7" t="n">
        <v>8899</v>
      </c>
      <c r="K7" t="n">
        <v>8260</v>
      </c>
      <c r="L7" t="n">
        <v>8275</v>
      </c>
      <c r="M7" t="n">
        <v>3709</v>
      </c>
      <c r="N7" t="n">
        <v>3317</v>
      </c>
      <c r="AN7" t="inlineStr">
        <is>
          <t>LCR</t>
        </is>
      </c>
      <c r="AO7" t="n">
        <v>350</v>
      </c>
      <c r="AP7" t="n">
        <v>617</v>
      </c>
      <c r="AQ7" t="n">
        <v>529</v>
      </c>
      <c r="AR7" t="n">
        <v>697</v>
      </c>
      <c r="AS7" t="n">
        <v>679</v>
      </c>
    </row>
    <row r="8">
      <c r="A8" s="5" t="inlineStr">
        <is>
          <t>Customer accounts</t>
        </is>
      </c>
      <c r="B8" s="5" t="n">
        <v>2973</v>
      </c>
      <c r="C8" s="5" t="n">
        <v>3248</v>
      </c>
      <c r="D8" s="5" t="n">
        <v>3820</v>
      </c>
      <c r="E8" s="5" t="n">
        <v>3980</v>
      </c>
      <c r="F8" s="5" t="n">
        <v>4004</v>
      </c>
      <c r="I8" t="inlineStr">
        <is>
          <t>Customer accounts</t>
        </is>
      </c>
      <c r="J8" t="n">
        <v>4004</v>
      </c>
      <c r="K8" t="n">
        <v>3980</v>
      </c>
      <c r="L8" t="n">
        <v>3820</v>
      </c>
      <c r="M8" t="n">
        <v>3248</v>
      </c>
      <c r="N8" t="n">
        <v>2973</v>
      </c>
    </row>
    <row r="9">
      <c r="A9" s="5" t="inlineStr">
        <is>
          <t>Total equity</t>
        </is>
      </c>
      <c r="B9" s="5" t="n">
        <v>258845</v>
      </c>
      <c r="C9" s="5" t="n">
        <v>258664</v>
      </c>
      <c r="D9" s="5" t="n">
        <v>256532</v>
      </c>
      <c r="E9" s="5" t="n">
        <v>256130</v>
      </c>
      <c r="F9" s="5" t="n">
        <v>255612</v>
      </c>
      <c r="I9" t="inlineStr">
        <is>
          <t>Total equity</t>
        </is>
      </c>
      <c r="J9" t="n">
        <v>255612</v>
      </c>
      <c r="K9" t="n">
        <v>256130</v>
      </c>
      <c r="L9" t="n">
        <v>256532</v>
      </c>
      <c r="M9" t="n">
        <v>258664</v>
      </c>
      <c r="N9" t="n">
        <v>258845</v>
      </c>
    </row>
    <row r="11">
      <c r="A11" s="3" t="inlineStr">
        <is>
          <t>Profit &amp; Loss Summary (EUR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revenue / Total net income</t>
        </is>
      </c>
      <c r="B13" s="5" t="n">
        <v>12286</v>
      </c>
      <c r="C13" s="5" t="n">
        <v>12765</v>
      </c>
      <c r="D13" s="5" t="n">
        <v>8289</v>
      </c>
      <c r="E13" s="5" t="n">
        <v>9221</v>
      </c>
      <c r="F13" s="5" t="n">
        <v>3777</v>
      </c>
      <c r="Q13" t="inlineStr">
        <is>
          <t>Total revenue / Total net income</t>
        </is>
      </c>
      <c r="R13" t="n">
        <v>3777</v>
      </c>
      <c r="S13" t="n">
        <v>9221</v>
      </c>
      <c r="T13" t="n">
        <v>8289</v>
      </c>
      <c r="U13" t="n">
        <v>12765</v>
      </c>
      <c r="V13" t="n">
        <v>12286</v>
      </c>
    </row>
    <row r="14">
      <c r="A14" s="5" t="inlineStr">
        <is>
          <t>Administrative expenses</t>
        </is>
      </c>
      <c r="B14" s="5" t="n">
        <v>-11439</v>
      </c>
      <c r="C14" s="5" t="n">
        <v>-9065</v>
      </c>
      <c r="D14" s="5" t="n">
        <v>-7495</v>
      </c>
      <c r="E14" s="5" t="n">
        <v>-8202</v>
      </c>
      <c r="F14" s="5" t="n">
        <v>-7711</v>
      </c>
      <c r="Q14" t="inlineStr">
        <is>
          <t>Administrative expenses</t>
        </is>
      </c>
      <c r="R14" t="n">
        <v>-7711</v>
      </c>
      <c r="S14" t="n">
        <v>-8202</v>
      </c>
      <c r="T14" t="n">
        <v>-7495</v>
      </c>
      <c r="U14" t="n">
        <v>-9065</v>
      </c>
      <c r="V14" t="n">
        <v>-11439</v>
      </c>
    </row>
    <row r="15">
      <c r="A15" s="5" t="inlineStr">
        <is>
          <t>Profit/(loss) for the financial year</t>
        </is>
      </c>
      <c r="B15" s="5" t="n">
        <v>181</v>
      </c>
      <c r="C15" s="5" t="n">
        <v>2356</v>
      </c>
      <c r="D15" s="5" t="n">
        <v>630</v>
      </c>
      <c r="E15" s="5" t="n">
        <v>559</v>
      </c>
      <c r="F15" s="5" t="n">
        <v>-7308</v>
      </c>
      <c r="Q15" t="inlineStr">
        <is>
          <t>Profit/(loss) for the financial year</t>
        </is>
      </c>
      <c r="R15" t="n">
        <v>-7308</v>
      </c>
      <c r="S15" t="n">
        <v>559</v>
      </c>
      <c r="T15" t="n">
        <v>630</v>
      </c>
      <c r="U15" t="n">
        <v>2356</v>
      </c>
      <c r="V15" t="n">
        <v>181</v>
      </c>
    </row>
    <row r="17">
      <c r="A17" s="3" t="inlineStr">
        <is>
          <t>Statement of Changes in Equity Summary (EUR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258664</v>
      </c>
      <c r="C19" s="5" t="n">
        <v>256532</v>
      </c>
      <c r="D19" s="5" t="n">
        <v>256130</v>
      </c>
      <c r="E19" s="5" t="n">
        <v>255612</v>
      </c>
      <c r="F19" s="5" t="n">
        <v>262953</v>
      </c>
      <c r="Y19" t="inlineStr">
        <is>
          <t>Opening equity</t>
        </is>
      </c>
      <c r="Z19" t="n">
        <v>262953</v>
      </c>
      <c r="AA19" t="n">
        <v>255612</v>
      </c>
      <c r="AB19" t="n">
        <v>256130</v>
      </c>
      <c r="AC19" t="n">
        <v>256532</v>
      </c>
      <c r="AD19" t="n">
        <v>258664</v>
      </c>
    </row>
    <row r="20">
      <c r="A20" s="5" t="inlineStr">
        <is>
          <t>Total comprehensive income/(loss) for the year</t>
        </is>
      </c>
      <c r="B20" s="5" t="n">
        <v>181</v>
      </c>
      <c r="C20" s="5" t="n">
        <v>2132</v>
      </c>
      <c r="D20" s="5" t="n">
        <v>402</v>
      </c>
      <c r="E20" s="5" t="n">
        <v>518</v>
      </c>
      <c r="F20" s="5" t="n">
        <v>-7320</v>
      </c>
      <c r="Y20" t="inlineStr">
        <is>
          <t>Total comprehensive income/(loss) for the year</t>
        </is>
      </c>
      <c r="Z20" t="n">
        <v>-7320</v>
      </c>
      <c r="AA20" t="n">
        <v>518</v>
      </c>
      <c r="AB20" t="n">
        <v>402</v>
      </c>
      <c r="AC20" t="n">
        <v>2132</v>
      </c>
      <c r="AD20" t="n">
        <v>181</v>
      </c>
    </row>
    <row r="21">
      <c r="A21" s="5" t="inlineStr">
        <is>
          <t>Other equity movements, net</t>
        </is>
      </c>
      <c r="B21" s="5" t="n">
        <v>0</v>
      </c>
      <c r="C21" s="5" t="n">
        <v>0</v>
      </c>
      <c r="D21" s="5" t="n">
        <v>0</v>
      </c>
      <c r="E21" s="5" t="n">
        <v>0</v>
      </c>
      <c r="F21" s="5" t="n">
        <v>-21</v>
      </c>
      <c r="Y21" t="inlineStr">
        <is>
          <t>Other equity movements, net</t>
        </is>
      </c>
      <c r="Z21" t="n">
        <v>-21</v>
      </c>
      <c r="AA21" t="n">
        <v>0</v>
      </c>
      <c r="AB21" t="n">
        <v>0</v>
      </c>
      <c r="AC21" t="n">
        <v>0</v>
      </c>
      <c r="AD21" t="n">
        <v>0</v>
      </c>
    </row>
    <row r="22">
      <c r="A22" s="5" t="inlineStr">
        <is>
          <t>Closing equity</t>
        </is>
      </c>
      <c r="B22" s="5" t="n">
        <v>258845</v>
      </c>
      <c r="C22" s="5" t="n">
        <v>258664</v>
      </c>
      <c r="D22" s="5" t="n">
        <v>256532</v>
      </c>
      <c r="E22" s="5" t="n">
        <v>256130</v>
      </c>
      <c r="F22" s="5" t="n">
        <v>255612</v>
      </c>
      <c r="Y22" t="inlineStr">
        <is>
          <t>Closing equity</t>
        </is>
      </c>
      <c r="Z22" t="n">
        <v>255612</v>
      </c>
      <c r="AA22" t="n">
        <v>256130</v>
      </c>
      <c r="AB22" t="n">
        <v>256532</v>
      </c>
      <c r="AC22" t="n">
        <v>258664</v>
      </c>
      <c r="AD22" t="n">
        <v>258845</v>
      </c>
    </row>
    <row r="24">
      <c r="A24" s="3" t="inlineStr">
        <is>
          <t>Cash Flow Summary (EUR '000)</t>
        </is>
      </c>
    </row>
    <row r="25">
      <c r="A25" s="4" t="inlineStr">
        <is>
          <t>Line item</t>
        </is>
      </c>
      <c r="B25" s="4" t="inlineStr">
        <is>
          <t>FY2025</t>
        </is>
      </c>
      <c r="C25" s="4" t="inlineStr">
        <is>
          <t>FY2024</t>
        </is>
      </c>
      <c r="D25" s="4" t="inlineStr">
        <is>
          <t>FY2023</t>
        </is>
      </c>
      <c r="E25" s="4" t="inlineStr">
        <is>
          <t>FY2022</t>
        </is>
      </c>
      <c r="AH25" t="inlineStr">
        <is>
          <t>FY2022</t>
        </is>
      </c>
      <c r="AI25" t="inlineStr">
        <is>
          <t>FY2023</t>
        </is>
      </c>
      <c r="AJ25" t="inlineStr">
        <is>
          <t>FY2024</t>
        </is>
      </c>
      <c r="AK25" t="inlineStr">
        <is>
          <t>FY2025</t>
        </is>
      </c>
    </row>
    <row r="26">
      <c r="A26" s="5" t="inlineStr">
        <is>
          <t>Net cash from operating activities</t>
        </is>
      </c>
      <c r="B26" s="5" t="n">
        <v>-21600</v>
      </c>
      <c r="C26" s="5" t="n">
        <v>13753</v>
      </c>
      <c r="D26" s="5" t="n">
        <v>-27408</v>
      </c>
      <c r="E26" s="5" t="n">
        <v>-52056</v>
      </c>
      <c r="AG26" t="inlineStr">
        <is>
          <t>Net cash from operating activities</t>
        </is>
      </c>
      <c r="AH26" t="n">
        <v>-52056</v>
      </c>
      <c r="AI26" t="n">
        <v>-27408</v>
      </c>
      <c r="AJ26" t="n">
        <v>13753</v>
      </c>
      <c r="AK26" t="n">
        <v>-21600</v>
      </c>
    </row>
    <row r="27">
      <c r="A27" s="5" t="inlineStr">
        <is>
          <t>Net cash from investing activities</t>
        </is>
      </c>
      <c r="B27" s="5" t="n">
        <v>-274</v>
      </c>
      <c r="C27" s="5" t="n">
        <v>-664</v>
      </c>
      <c r="D27" s="5" t="n">
        <v>-258</v>
      </c>
      <c r="E27" s="5" t="n">
        <v>-47</v>
      </c>
      <c r="AG27" t="inlineStr">
        <is>
          <t>Net cash from investing activities</t>
        </is>
      </c>
      <c r="AH27" t="n">
        <v>-47</v>
      </c>
      <c r="AI27" t="n">
        <v>-258</v>
      </c>
      <c r="AJ27" t="n">
        <v>-664</v>
      </c>
      <c r="AK27" t="n">
        <v>-274</v>
      </c>
    </row>
    <row r="28">
      <c r="A28" s="5" t="inlineStr">
        <is>
          <t>Cash and cash equivalents at end of year</t>
        </is>
      </c>
      <c r="B28" s="5" t="n">
        <v>30504</v>
      </c>
      <c r="C28" s="5" t="n">
        <v>52378</v>
      </c>
      <c r="D28" s="5" t="n">
        <v>39289</v>
      </c>
      <c r="E28" s="5" t="n">
        <v>66955</v>
      </c>
      <c r="AG28" t="inlineStr">
        <is>
          <t>Cash and cash equivalents at end of year</t>
        </is>
      </c>
      <c r="AH28" t="n">
        <v>66955</v>
      </c>
      <c r="AI28" t="n">
        <v>39289</v>
      </c>
      <c r="AJ28" t="n">
        <v>52378</v>
      </c>
      <c r="AK28" t="n">
        <v>30504</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row>
    <row r="32">
      <c r="A32" s="6" t="inlineStr">
        <is>
          <t>CET1 Ratio</t>
        </is>
      </c>
      <c r="B32" s="6" t="inlineStr">
        <is>
          <t>56%</t>
        </is>
      </c>
      <c r="C32" s="6" t="inlineStr">
        <is>
          <t>55%</t>
        </is>
      </c>
      <c r="D32" s="6" t="inlineStr">
        <is>
          <t>51%</t>
        </is>
      </c>
      <c r="E32" s="6" t="inlineStr">
        <is>
          <t>60%</t>
        </is>
      </c>
      <c r="F32" s="6" t="inlineStr">
        <is>
          <t>64%</t>
        </is>
      </c>
    </row>
    <row r="33">
      <c r="A33" s="6" t="inlineStr">
        <is>
          <t>LCR</t>
        </is>
      </c>
      <c r="B33" s="6" t="inlineStr">
        <is>
          <t>679%</t>
        </is>
      </c>
      <c r="C33" s="6" t="inlineStr">
        <is>
          <t>697%</t>
        </is>
      </c>
      <c r="D33" s="6" t="inlineStr">
        <is>
          <t>529%</t>
        </is>
      </c>
      <c r="E33" s="6" t="inlineStr">
        <is>
          <t>617%</t>
        </is>
      </c>
      <c r="F33" s="6" t="inlineStr">
        <is>
          <t>350%</t>
        </is>
      </c>
    </row>
    <row r="35" ht="117" customHeight="1">
      <c r="A35" s="7" t="inlineStr">
        <is>
          <t>Note: FY2021 has no Statement of Cash Flows at all in the source Annual Report - the Company applied the FRS 102 qualifying-entity exemption, confirmed by both its accounting policy note and its own Contents page. FY2025 cash flow figures were added this batch from the Annual Report and Accounts 2025's own Statement of Cash Flows (p.26).
THIS OVERVIEW COVERS FY2021-FY2025 ONLY. The Pillar 3 sheets in this workbook run deeper - they carry FY2016 and FY2014 columns as well, transcribed from the only two Pillar 3 disclosure documents Melli Bank plc has ever made public (both recovered from the Internet Archive; the Bank's own site is down). That extra depth is not replicated here because there are no FY2016/FY2014 statement figures in this workbook's window, and because this Overview is a COPY of the detail sheets rather than a source. For the leverage ratio (75% at end-2016, 'approximately 60%' at end-2014), the FY2016 LCR (119.16%) and the FY2016/FY2014 capital resources, read the Pillar 3 sheets directly. Those sheets also carry the full publication history explaining which missing years are closed questions and which are worth a written request to the Bank.</t>
        </is>
      </c>
    </row>
  </sheetData>
  <mergeCells count="1">
    <mergeCell ref="A35:F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Melli Bank plc — Balance Sheet</t>
        </is>
      </c>
    </row>
    <row r="2">
      <c r="A2" s="2" t="inlineStr">
        <is>
          <t>Entity-level basis, EUR '000. FY2021's own accounts combine Other assets/Prepayments and accrued income/Derivative assets into a single 'Debtors' line (4,438) - shown here under Other assets, not blended with later years' split presentation. FY2025 introduces a new 'Other financial balances' line (correspondent-bank balances that no longer meet the cash-equivalent criteria due to sanctions-related external restrictions imposed 29 September 2025).</t>
        </is>
      </c>
    </row>
    <row r="3">
      <c r="A3" s="4" t="inlineStr">
        <is>
          <t>Line item</t>
        </is>
      </c>
      <c r="B3" s="4" t="inlineStr">
        <is>
          <t>FY2025 (EUR '000)</t>
        </is>
      </c>
      <c r="C3" s="4" t="inlineStr">
        <is>
          <t>FY2024 (EUR '000)</t>
        </is>
      </c>
      <c r="D3" s="4" t="inlineStr">
        <is>
          <t>FY2023 (EUR '000)</t>
        </is>
      </c>
      <c r="E3" s="4" t="inlineStr">
        <is>
          <t>FY2022 (EUR '000)</t>
        </is>
      </c>
      <c r="F3" s="4" t="inlineStr">
        <is>
          <t>FY2021 (EUR '000)</t>
        </is>
      </c>
    </row>
    <row r="4">
      <c r="A4" s="5" t="inlineStr">
        <is>
          <t>Assets</t>
        </is>
      </c>
      <c r="B4" s="6" t="n"/>
      <c r="C4" s="6" t="n"/>
      <c r="D4" s="6" t="n"/>
      <c r="E4" s="6" t="n"/>
      <c r="F4" s="6" t="n"/>
    </row>
    <row r="5">
      <c r="A5" s="6" t="inlineStr">
        <is>
          <t>Cash and cash equivalents</t>
        </is>
      </c>
      <c r="B5" s="6" t="n">
        <v>30504</v>
      </c>
      <c r="C5" s="6" t="n">
        <v>52378</v>
      </c>
      <c r="D5" s="6" t="n">
        <v>39289</v>
      </c>
      <c r="E5" s="6" t="n">
        <v>66955</v>
      </c>
      <c r="F5" s="6" t="n">
        <v>119058</v>
      </c>
    </row>
    <row r="6">
      <c r="A6" s="6" t="inlineStr">
        <is>
          <t>Other financial balances (correspondent-bank balances not meeting the cash-equivalent criteria due to sanctions-related external restrictions - first appears FY2025)</t>
        </is>
      </c>
      <c r="B6" s="6" t="n">
        <v>71070</v>
      </c>
      <c r="C6" s="6" t="n"/>
      <c r="D6" s="6" t="n"/>
      <c r="E6" s="6" t="n"/>
      <c r="F6" s="6" t="n"/>
    </row>
    <row r="7">
      <c r="A7" s="6" t="inlineStr">
        <is>
          <t>Loans and advances to banks</t>
        </is>
      </c>
      <c r="B7" s="6" t="n">
        <v>248695</v>
      </c>
      <c r="C7" s="6" t="n">
        <v>304655</v>
      </c>
      <c r="D7" s="6" t="n">
        <v>294073</v>
      </c>
      <c r="E7" s="6" t="n">
        <v>234811</v>
      </c>
      <c r="F7" s="6" t="n">
        <v>177182</v>
      </c>
    </row>
    <row r="8">
      <c r="A8" s="6" t="inlineStr">
        <is>
          <t>Loans and advances to customers</t>
        </is>
      </c>
      <c r="B8" s="6" t="n">
        <v>3317</v>
      </c>
      <c r="C8" s="6" t="n">
        <v>3709</v>
      </c>
      <c r="D8" s="6" t="n">
        <v>8275</v>
      </c>
      <c r="E8" s="6" t="n">
        <v>8260</v>
      </c>
      <c r="F8" s="6" t="n">
        <v>8899</v>
      </c>
    </row>
    <row r="9">
      <c r="A9" s="6" t="inlineStr">
        <is>
          <t>Tangible assets</t>
        </is>
      </c>
      <c r="B9" s="6" t="n">
        <v>3392</v>
      </c>
      <c r="C9" s="6" t="n">
        <v>3364</v>
      </c>
      <c r="D9" s="6" t="n">
        <v>3513</v>
      </c>
      <c r="E9" s="6" t="n">
        <v>3509</v>
      </c>
      <c r="F9" s="6" t="n">
        <v>3643</v>
      </c>
    </row>
    <row r="10">
      <c r="A10" s="6" t="inlineStr">
        <is>
          <t>Intangible assets</t>
        </is>
      </c>
      <c r="B10" s="6" t="n">
        <v>109</v>
      </c>
      <c r="C10" s="6" t="n">
        <v>529</v>
      </c>
      <c r="D10" s="6" t="n">
        <v>81</v>
      </c>
      <c r="E10" s="6" t="n">
        <v>219</v>
      </c>
      <c r="F10" s="6" t="n">
        <v>513</v>
      </c>
    </row>
    <row r="11">
      <c r="A11" s="6" t="inlineStr">
        <is>
          <t>Other assets (FY2021 shown per that year's own combined 'Debtors' line - see subtitle)</t>
        </is>
      </c>
      <c r="B11" s="6" t="n">
        <v>2545</v>
      </c>
      <c r="C11" s="6" t="n">
        <v>4473</v>
      </c>
      <c r="D11" s="6" t="n">
        <v>4176</v>
      </c>
      <c r="E11" s="6" t="n">
        <v>4970</v>
      </c>
      <c r="F11" s="6" t="n">
        <v>4438</v>
      </c>
    </row>
    <row r="12">
      <c r="A12" s="6" t="inlineStr">
        <is>
          <t>Prepayments and accrued income</t>
        </is>
      </c>
      <c r="B12" s="6" t="n">
        <v>3243</v>
      </c>
      <c r="C12" s="6" t="n">
        <v>6433</v>
      </c>
      <c r="D12" s="6" t="n">
        <v>5910</v>
      </c>
      <c r="E12" s="6" t="n">
        <v>1329</v>
      </c>
      <c r="F12" s="6" t="n"/>
    </row>
    <row r="13">
      <c r="A13" s="6" t="inlineStr">
        <is>
          <t>Derivative assets</t>
        </is>
      </c>
      <c r="B13" s="6" t="n"/>
      <c r="C13" s="6" t="n">
        <v>0</v>
      </c>
      <c r="D13" s="6" t="n">
        <v>271</v>
      </c>
      <c r="E13" s="6" t="n">
        <v>136</v>
      </c>
      <c r="F13" s="6" t="n"/>
    </row>
    <row r="14">
      <c r="A14" s="5" t="inlineStr">
        <is>
          <t>Total assets</t>
        </is>
      </c>
      <c r="B14" s="5" t="n">
        <v>362875</v>
      </c>
      <c r="C14" s="5" t="n">
        <v>375541</v>
      </c>
      <c r="D14" s="5" t="n">
        <v>355588</v>
      </c>
      <c r="E14" s="5" t="n">
        <v>320189</v>
      </c>
      <c r="F14" s="5" t="n">
        <v>313733</v>
      </c>
    </row>
    <row r="15">
      <c r="A15" s="5" t="inlineStr">
        <is>
          <t>Liabilities</t>
        </is>
      </c>
      <c r="B15" s="6" t="n"/>
      <c r="C15" s="6" t="n"/>
      <c r="D15" s="6" t="n"/>
      <c r="E15" s="6" t="n"/>
      <c r="F15" s="6" t="n"/>
    </row>
    <row r="16">
      <c r="A16" s="6" t="inlineStr">
        <is>
          <t>Deposits by banks</t>
        </is>
      </c>
      <c r="B16" s="6" t="n">
        <v>95095</v>
      </c>
      <c r="C16" s="6" t="n">
        <v>108461</v>
      </c>
      <c r="D16" s="6" t="n">
        <v>91412</v>
      </c>
      <c r="E16" s="6" t="n">
        <v>54081</v>
      </c>
      <c r="F16" s="6" t="n">
        <v>50725</v>
      </c>
    </row>
    <row r="17">
      <c r="A17" s="6" t="inlineStr">
        <is>
          <t>Customer accounts</t>
        </is>
      </c>
      <c r="B17" s="6" t="n">
        <v>2973</v>
      </c>
      <c r="C17" s="6" t="n">
        <v>3248</v>
      </c>
      <c r="D17" s="6" t="n">
        <v>3820</v>
      </c>
      <c r="E17" s="6" t="n">
        <v>3980</v>
      </c>
      <c r="F17" s="6" t="n">
        <v>4004</v>
      </c>
    </row>
    <row r="18">
      <c r="A18" s="6" t="inlineStr">
        <is>
          <t>Other liabilities</t>
        </is>
      </c>
      <c r="B18" s="6" t="n">
        <v>1184</v>
      </c>
      <c r="C18" s="6" t="n">
        <v>1238</v>
      </c>
      <c r="D18" s="6" t="n">
        <v>505</v>
      </c>
      <c r="E18" s="6" t="n">
        <v>1079</v>
      </c>
      <c r="F18" s="6" t="n">
        <v>1033</v>
      </c>
    </row>
    <row r="19">
      <c r="A19" s="6" t="inlineStr">
        <is>
          <t>Accruals and deferred income</t>
        </is>
      </c>
      <c r="B19" s="6" t="n">
        <v>4674</v>
      </c>
      <c r="C19" s="6" t="n">
        <v>3930</v>
      </c>
      <c r="D19" s="6" t="n">
        <v>3319</v>
      </c>
      <c r="E19" s="6" t="n">
        <v>4919</v>
      </c>
      <c r="F19" s="6" t="n">
        <v>2048</v>
      </c>
    </row>
    <row r="20">
      <c r="A20" s="6" t="inlineStr">
        <is>
          <t>Derivative liabilities</t>
        </is>
      </c>
      <c r="B20" s="6" t="n">
        <v>104</v>
      </c>
      <c r="C20" s="6" t="n"/>
      <c r="D20" s="6" t="n"/>
      <c r="E20" s="6" t="n"/>
      <c r="F20" s="6" t="n">
        <v>311</v>
      </c>
    </row>
    <row r="21">
      <c r="A21" s="5" t="inlineStr">
        <is>
          <t>Total liabilities</t>
        </is>
      </c>
      <c r="B21" s="5" t="n">
        <v>104030</v>
      </c>
      <c r="C21" s="5" t="n">
        <v>116877</v>
      </c>
      <c r="D21" s="5" t="n">
        <v>99056</v>
      </c>
      <c r="E21" s="5" t="n">
        <v>64059</v>
      </c>
      <c r="F21" s="5" t="n">
        <v>58121</v>
      </c>
    </row>
    <row r="22">
      <c r="A22" s="5" t="inlineStr">
        <is>
          <t>Shareholder's funds</t>
        </is>
      </c>
      <c r="B22" s="6" t="n"/>
      <c r="C22" s="6" t="n"/>
      <c r="D22" s="6" t="n"/>
      <c r="E22" s="6" t="n"/>
      <c r="F22" s="6" t="n"/>
    </row>
    <row r="23">
      <c r="A23" s="6" t="inlineStr">
        <is>
          <t>Called up share capital</t>
        </is>
      </c>
      <c r="B23" s="6" t="n">
        <v>264412</v>
      </c>
      <c r="C23" s="6" t="n">
        <v>264412</v>
      </c>
      <c r="D23" s="6" t="n">
        <v>264412</v>
      </c>
      <c r="E23" s="6" t="n">
        <v>264412</v>
      </c>
      <c r="F23" s="6" t="n">
        <v>264412</v>
      </c>
    </row>
    <row r="24">
      <c r="A24" s="6" t="inlineStr">
        <is>
          <t>Retained earnings / Accumulated losses</t>
        </is>
      </c>
      <c r="B24" s="6" t="n">
        <v>-5567</v>
      </c>
      <c r="C24" s="6" t="n">
        <v>-5748</v>
      </c>
      <c r="D24" s="6" t="n">
        <v>-7880</v>
      </c>
      <c r="E24" s="6" t="n">
        <v>-8282</v>
      </c>
      <c r="F24" s="6" t="n">
        <v>-8800</v>
      </c>
    </row>
    <row r="25">
      <c r="A25" s="6" t="inlineStr">
        <is>
          <t>Other reserves</t>
        </is>
      </c>
      <c r="B25" s="6" t="n"/>
      <c r="C25" s="6" t="n"/>
      <c r="D25" s="6" t="n"/>
      <c r="E25" s="6" t="n"/>
      <c r="F25" s="6" t="n">
        <v>0</v>
      </c>
    </row>
    <row r="26">
      <c r="A26" s="5" t="inlineStr">
        <is>
          <t>Total equity</t>
        </is>
      </c>
      <c r="B26" s="5" t="n">
        <v>258845</v>
      </c>
      <c r="C26" s="5" t="n">
        <v>258664</v>
      </c>
      <c r="D26" s="5" t="n">
        <v>256532</v>
      </c>
      <c r="E26" s="5" t="n">
        <v>256130</v>
      </c>
      <c r="F26" s="5" t="n">
        <v>255612</v>
      </c>
    </row>
    <row r="27">
      <c r="A27" s="5" t="inlineStr">
        <is>
          <t>Total equity and liabilities</t>
        </is>
      </c>
      <c r="B27" s="5" t="n">
        <v>362875</v>
      </c>
      <c r="C27" s="5" t="n">
        <v>375541</v>
      </c>
      <c r="D27" s="5" t="n">
        <v>355588</v>
      </c>
      <c r="E27" s="5" t="n">
        <v>320189</v>
      </c>
      <c r="F27" s="5" t="n">
        <v>313733</v>
      </c>
    </row>
    <row r="29" ht="280" customHeight="1">
      <c r="A29" s="8" t="inlineStr">
        <is>
          <t>Sources - Melli Bank plc entity-level Balance Sheet/Profit and Loss Account/Statement of Change in Equity/Notes 9 and 11 (Loans and advances - customers / Impairment provisions):
FY2025: Annual Report and Accounts 2025, Balance Sheet p.24, Profit and Loss Account p.22, Statement of Change in Equity p.25, Note 9 p.39-40, Note 11 p.41 - https://find-and-update.company-information.service.gov.uk/company/04152338/filing-history/MzUyNjMyOTE4OGFkaXF6a2N4/document?download=0&amp;format=pdf
FY2024: Annual Report and Accounts 2024, Balance Sheet p.22, Profit and Loss Account p.20, Statement of Change in Equity p.23, Note 9 p.34-35, Note 11 p.36 - https://find-and-update.company-information.service.gov.uk/company/04152338/filing-history/MzQ3MDI0ODU4NWFkaXF6a2N4/document?download=0&amp;format=pdf
FY2023: Annual Report and Accounts 2023, Balance Sheet p.22, Profit and Loss Account p.20, Statement of Change in Equity p.23, Note 9 p.34-35, Note 11 p.36 - https://vpr.hkma.gov.hk/statics/assets/doc/100273/ar_23/ar_23_eng.pdf
FY2022: Annual Report and Accounts 2023 comparative column (same pages as FY2023 above) - https://vpr.hkma.gov.hk/statics/assets/doc/100273/ar_23/ar_23_eng.pdf
FY2021: Annual Report 2021, Balance Sheet p.21, Profit and Loss Account p.19, Statement of Comprehensive Income p.20, Statement of Change in Equity p.22, Note 9 p.32-33 - https://find-and-update.company-information.service.gov.uk/company/04152338/filing-history/MzM0MzE1NzIzOWFkaXF6a2N4/document?download=0&amp;format=pdf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1">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0" customWidth="1" min="1" max="1"/>
    <col width="15" customWidth="1" min="2" max="2"/>
    <col width="15" customWidth="1" min="3" max="3"/>
    <col width="15" customWidth="1" min="4" max="4"/>
    <col width="15" customWidth="1" min="5" max="5"/>
    <col width="15" customWidth="1" min="6" max="6"/>
  </cols>
  <sheetData>
    <row r="1">
      <c r="A1" s="1" t="inlineStr">
        <is>
          <t>Melli Bank plc — Profit &amp; Loss</t>
        </is>
      </c>
    </row>
    <row r="2">
      <c r="A2" s="2" t="inlineStr">
        <is>
          <t>Entity-level basis, EUR '000. Structure genuinely differs year to year (Total revenue/Operating profit/Other income structure in FY2021-FY2023 vs Total net income/Other charges structure in FY2024-FY2025 - same pension remeasurement item presented on opposite sides of the account) - each year shown on its own reported basis, not forced into one template. FY2021's own account shows Interest expense as a small positive net recovery (+14), transcribed as reported.</t>
        </is>
      </c>
    </row>
    <row r="3">
      <c r="A3" s="4" t="inlineStr">
        <is>
          <t>Line item</t>
        </is>
      </c>
      <c r="B3" s="4" t="inlineStr">
        <is>
          <t>FY2025 (EUR '000)</t>
        </is>
      </c>
      <c r="C3" s="4" t="inlineStr">
        <is>
          <t>FY2024 (EUR '000)</t>
        </is>
      </c>
      <c r="D3" s="4" t="inlineStr">
        <is>
          <t>FY2023 (EUR '000)</t>
        </is>
      </c>
      <c r="E3" s="4" t="inlineStr">
        <is>
          <t>FY2022 (EUR '000)</t>
        </is>
      </c>
      <c r="F3" s="4" t="inlineStr">
        <is>
          <t>FY2021 (EUR '000)</t>
        </is>
      </c>
    </row>
    <row r="4">
      <c r="A4" s="5" t="inlineStr">
        <is>
          <t>Income</t>
        </is>
      </c>
      <c r="B4" s="6" t="n"/>
      <c r="C4" s="6" t="n"/>
      <c r="D4" s="6" t="n"/>
      <c r="E4" s="6" t="n"/>
      <c r="F4" s="6" t="n"/>
    </row>
    <row r="5">
      <c r="A5" s="6" t="inlineStr">
        <is>
          <t>Interest receivable and similar income</t>
        </is>
      </c>
      <c r="B5" s="6" t="n">
        <v>11658</v>
      </c>
      <c r="C5" s="6" t="n">
        <v>13344</v>
      </c>
      <c r="D5" s="6" t="n">
        <v>10089</v>
      </c>
      <c r="E5" s="6" t="n">
        <v>10725</v>
      </c>
      <c r="F5" s="6" t="n">
        <v>3694</v>
      </c>
    </row>
    <row r="6">
      <c r="A6" s="6" t="inlineStr">
        <is>
          <t>Interest expense (FY2021's own account shows this as a positive net recovery, +14 - transcribed as reported)</t>
        </is>
      </c>
      <c r="B6" s="6" t="n">
        <v>-994</v>
      </c>
      <c r="C6" s="6" t="n">
        <v>-2016</v>
      </c>
      <c r="D6" s="6" t="n">
        <v>-1558</v>
      </c>
      <c r="E6" s="6" t="n">
        <v>-200</v>
      </c>
      <c r="F6" s="6" t="n">
        <v>14</v>
      </c>
    </row>
    <row r="7">
      <c r="A7" s="5" t="inlineStr">
        <is>
          <t>Net interest income</t>
        </is>
      </c>
      <c r="B7" s="5" t="n">
        <v>10664</v>
      </c>
      <c r="C7" s="5" t="n">
        <v>11328</v>
      </c>
      <c r="D7" s="5" t="n">
        <v>8531</v>
      </c>
      <c r="E7" s="5" t="n">
        <v>10525</v>
      </c>
      <c r="F7" s="5" t="n">
        <v>3708</v>
      </c>
    </row>
    <row r="8">
      <c r="A8" s="6" t="inlineStr">
        <is>
          <t>Fees and commission(s) receivable</t>
        </is>
      </c>
      <c r="B8" s="6" t="n">
        <v>2317</v>
      </c>
      <c r="C8" s="6" t="n">
        <v>1356</v>
      </c>
      <c r="D8" s="6" t="n">
        <v>55</v>
      </c>
      <c r="E8" s="6" t="n">
        <v>73</v>
      </c>
      <c r="F8" s="6" t="n">
        <v>80</v>
      </c>
    </row>
    <row r="9">
      <c r="A9" s="6" t="inlineStr">
        <is>
          <t>Fees and commission(s) payable</t>
        </is>
      </c>
      <c r="B9" s="6" t="n">
        <v>-57</v>
      </c>
      <c r="C9" s="6" t="n">
        <v>-174</v>
      </c>
      <c r="D9" s="6" t="n">
        <v>-253</v>
      </c>
      <c r="E9" s="6" t="n">
        <v>-1171</v>
      </c>
      <c r="F9" s="6" t="n">
        <v>-40</v>
      </c>
    </row>
    <row r="10">
      <c r="A10" s="6" t="inlineStr">
        <is>
          <t>Foreign exchange gains/(losses)</t>
        </is>
      </c>
      <c r="B10" s="6" t="n">
        <v>-638</v>
      </c>
      <c r="C10" s="6" t="n">
        <v>255</v>
      </c>
      <c r="D10" s="6" t="n">
        <v>-44</v>
      </c>
      <c r="E10" s="6" t="n">
        <v>-206</v>
      </c>
      <c r="F10" s="6" t="n">
        <v>28</v>
      </c>
    </row>
    <row r="11">
      <c r="A11" s="6" t="inlineStr">
        <is>
          <t>Other operating income</t>
        </is>
      </c>
      <c r="B11" s="6" t="n"/>
      <c r="C11" s="6" t="n"/>
      <c r="D11" s="6" t="n"/>
      <c r="E11" s="6" t="n"/>
      <c r="F11" s="6" t="n">
        <v>1</v>
      </c>
    </row>
    <row r="12">
      <c r="A12" s="5" t="inlineStr">
        <is>
          <t>Total revenue / Total net income (FY2025's own report relabels this subtotal 'Total net income' - same position in the account, not a different line)</t>
        </is>
      </c>
      <c r="B12" s="5" t="n">
        <v>12286</v>
      </c>
      <c r="C12" s="5" t="n">
        <v>12765</v>
      </c>
      <c r="D12" s="5" t="n">
        <v>8289</v>
      </c>
      <c r="E12" s="5" t="n">
        <v>9221</v>
      </c>
      <c r="F12" s="5" t="n">
        <v>3777</v>
      </c>
    </row>
    <row r="13">
      <c r="A13" s="6" t="inlineStr">
        <is>
          <t>Administrative expenses</t>
        </is>
      </c>
      <c r="B13" s="6" t="n">
        <v>-11439</v>
      </c>
      <c r="C13" s="6" t="n">
        <v>-9065</v>
      </c>
      <c r="D13" s="6" t="n">
        <v>-7495</v>
      </c>
      <c r="E13" s="6" t="n">
        <v>-8202</v>
      </c>
      <c r="F13" s="6" t="n">
        <v>-7711</v>
      </c>
    </row>
    <row r="14">
      <c r="A14" s="6" t="inlineStr">
        <is>
          <t>Depreciation and amortisation</t>
        </is>
      </c>
      <c r="B14" s="6" t="n">
        <v>-666</v>
      </c>
      <c r="C14" s="6" t="n">
        <v>-365</v>
      </c>
      <c r="D14" s="6" t="n">
        <v>-392</v>
      </c>
      <c r="E14" s="6" t="n">
        <v>-475</v>
      </c>
      <c r="F14" s="6" t="n">
        <v>-743</v>
      </c>
    </row>
    <row r="15">
      <c r="A15" s="5" t="inlineStr">
        <is>
          <t>Total operating expenses (sum of Administrative expenses + Depreciation and amortisation above - not itself a printed subtotal)</t>
        </is>
      </c>
      <c r="B15" s="5" t="n">
        <v>-12105</v>
      </c>
      <c r="C15" s="5" t="n">
        <v>-9430</v>
      </c>
      <c r="D15" s="5" t="n">
        <v>-7887</v>
      </c>
      <c r="E15" s="5" t="n">
        <v>-8677</v>
      </c>
      <c r="F15" s="5" t="n">
        <v>-8454</v>
      </c>
    </row>
    <row r="16">
      <c r="A16" s="6" t="inlineStr">
        <is>
          <t>Other charges - DB Pension Scheme / Other income (same underlying pension remeasurement item, presented as an add-back 'Other charges' in FY2024/FY2025's own account and as 'Other income' in FY2023/FY2022's own account)</t>
        </is>
      </c>
      <c r="B16" s="6" t="n">
        <v>0</v>
      </c>
      <c r="C16" s="6" t="n">
        <v>224</v>
      </c>
      <c r="D16" s="6" t="n">
        <v>228</v>
      </c>
      <c r="E16" s="6" t="n">
        <v>41</v>
      </c>
      <c r="F16" s="6" t="n">
        <v>12</v>
      </c>
    </row>
    <row r="17">
      <c r="A17" s="5" t="inlineStr">
        <is>
          <t>Operating profit/(loss) (FY2021's own subtotal position, before Other charges)</t>
        </is>
      </c>
      <c r="B17" s="5" t="n"/>
      <c r="C17" s="5" t="n"/>
      <c r="D17" s="5" t="n"/>
      <c r="E17" s="5" t="n"/>
      <c r="F17" s="5" t="n">
        <v>-4677</v>
      </c>
    </row>
    <row r="18">
      <c r="A18" s="5" t="inlineStr">
        <is>
          <t>Profit before provision and taxation (FY2022/FY2023's own subtotal position, after Other income)</t>
        </is>
      </c>
      <c r="B18" s="5" t="n"/>
      <c r="C18" s="5" t="n"/>
      <c r="D18" s="5" t="n">
        <v>630</v>
      </c>
      <c r="E18" s="5" t="n">
        <v>585</v>
      </c>
      <c r="F18" s="5" t="n"/>
    </row>
    <row r="19">
      <c r="A19" s="6" t="inlineStr">
        <is>
          <t>Impairment - other / Impairment on loans and advances</t>
        </is>
      </c>
      <c r="B19" s="6" t="n">
        <v>0</v>
      </c>
      <c r="C19" s="6" t="n">
        <v>-1203</v>
      </c>
      <c r="D19" s="6" t="n">
        <v>0</v>
      </c>
      <c r="E19" s="6" t="n">
        <v>-26</v>
      </c>
      <c r="F19" s="6" t="n">
        <v>-2643</v>
      </c>
    </row>
    <row r="20">
      <c r="A20" s="5" t="inlineStr">
        <is>
          <t>Profit/(loss) before taxation</t>
        </is>
      </c>
      <c r="B20" s="5" t="n">
        <v>181</v>
      </c>
      <c r="C20" s="5" t="n">
        <v>2356</v>
      </c>
      <c r="D20" s="5" t="n">
        <v>630</v>
      </c>
      <c r="E20" s="5" t="n">
        <v>559</v>
      </c>
      <c r="F20" s="5" t="n">
        <v>-7308</v>
      </c>
    </row>
    <row r="21">
      <c r="A21" s="6" t="inlineStr">
        <is>
          <t>Tax</t>
        </is>
      </c>
      <c r="B21" s="6" t="n">
        <v>0</v>
      </c>
      <c r="C21" s="6" t="n">
        <v>0</v>
      </c>
      <c r="D21" s="6" t="n">
        <v>0</v>
      </c>
      <c r="E21" s="6" t="n">
        <v>0</v>
      </c>
      <c r="F21" s="6" t="n">
        <v>0</v>
      </c>
    </row>
    <row r="22">
      <c r="A22" s="5" t="inlineStr">
        <is>
          <t>Profit/(loss) for the financial year</t>
        </is>
      </c>
      <c r="B22" s="5" t="n">
        <v>181</v>
      </c>
      <c r="C22" s="5" t="n">
        <v>2356</v>
      </c>
      <c r="D22" s="5" t="n">
        <v>630</v>
      </c>
      <c r="E22" s="5" t="n">
        <v>559</v>
      </c>
      <c r="F22" s="5" t="n">
        <v>-7308</v>
      </c>
    </row>
    <row r="23">
      <c r="A23" s="5" t="inlineStr">
        <is>
          <t>Other comprehensive income</t>
        </is>
      </c>
      <c r="B23" s="6" t="n"/>
      <c r="C23" s="6" t="n"/>
      <c r="D23" s="6" t="n"/>
      <c r="E23" s="6" t="n"/>
      <c r="F23" s="6" t="n"/>
    </row>
    <row r="24">
      <c r="A24" s="6" t="inlineStr">
        <is>
          <t>Remeasurements of net defined benefit pension obligations</t>
        </is>
      </c>
      <c r="B24" s="6" t="n">
        <v>0</v>
      </c>
      <c r="C24" s="6" t="n">
        <v>-224</v>
      </c>
      <c r="D24" s="6" t="n">
        <v>-228</v>
      </c>
      <c r="E24" s="6" t="n">
        <v>-41</v>
      </c>
      <c r="F24" s="6" t="n">
        <v>-12</v>
      </c>
    </row>
    <row r="25">
      <c r="A25" s="6" t="inlineStr">
        <is>
          <t>Movement in other reserves</t>
        </is>
      </c>
      <c r="B25" s="6" t="n"/>
      <c r="C25" s="6" t="n"/>
      <c r="D25" s="6" t="n"/>
      <c r="E25" s="6" t="n"/>
      <c r="F25" s="6" t="n">
        <v>0</v>
      </c>
    </row>
    <row r="26">
      <c r="A26" s="5" t="inlineStr">
        <is>
          <t>Other comprehensive income/(loss) for the year</t>
        </is>
      </c>
      <c r="B26" s="5" t="n">
        <v>0</v>
      </c>
      <c r="C26" s="5" t="n">
        <v>-224</v>
      </c>
      <c r="D26" s="5" t="n">
        <v>-228</v>
      </c>
      <c r="E26" s="5" t="n">
        <v>-41</v>
      </c>
      <c r="F26" s="5" t="n">
        <v>-12</v>
      </c>
    </row>
    <row r="27">
      <c r="A27" s="5" t="inlineStr">
        <is>
          <t>Total comprehensive income/(loss) for the year, net of tax</t>
        </is>
      </c>
      <c r="B27" s="5" t="n">
        <v>181</v>
      </c>
      <c r="C27" s="5" t="n">
        <v>2132</v>
      </c>
      <c r="D27" s="5" t="n">
        <v>402</v>
      </c>
      <c r="E27" s="5" t="n">
        <v>518</v>
      </c>
      <c r="F27" s="5" t="n">
        <v>-7320</v>
      </c>
    </row>
    <row r="29" ht="280" customHeight="1">
      <c r="A29" s="8" t="inlineStr">
        <is>
          <t>Sources - Melli Bank plc entity-level Balance Sheet/Profit and Loss Account/Statement of Change in Equity/Notes 9 and 11 (Loans and advances - customers / Impairment provisions):
FY2025: Annual Report and Accounts 2025, Balance Sheet p.24, Profit and Loss Account p.22, Statement of Change in Equity p.25, Note 9 p.39-40, Note 11 p.41 - https://find-and-update.company-information.service.gov.uk/company/04152338/filing-history/MzUyNjMyOTE4OGFkaXF6a2N4/document?download=0&amp;format=pdf
FY2024: Annual Report and Accounts 2024, Balance Sheet p.22, Profit and Loss Account p.20, Statement of Change in Equity p.23, Note 9 p.34-35, Note 11 p.36 - https://find-and-update.company-information.service.gov.uk/company/04152338/filing-history/MzQ3MDI0ODU4NWFkaXF6a2N4/document?download=0&amp;format=pdf
FY2023: Annual Report and Accounts 2023, Balance Sheet p.22, Profit and Loss Account p.20, Statement of Change in Equity p.23, Note 9 p.34-35, Note 11 p.36 - https://vpr.hkma.gov.hk/statics/assets/doc/100273/ar_23/ar_23_eng.pdf
FY2022: Annual Report and Accounts 2023 comparative column (same pages as FY2023 above) - https://vpr.hkma.gov.hk/statics/assets/doc/100273/ar_23/ar_23_eng.pdf
FY2021: Annual Report 2021, Balance Sheet p.21, Profit and Loss Account p.19, Statement of Comprehensive Income p.20, Statement of Change in Equity p.22, Note 9 p.32-33 - https://find-and-update.company-information.service.gov.uk/company/04152338/filing-history/MzM0MzE1NzIzOWFkaXF6a2N4/document?download=0&amp;format=pdf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Melli Bank plc — Statement of Changes in Equity</t>
        </is>
      </c>
    </row>
    <row r="2">
      <c r="A2" s="2" t="inlineStr">
        <is>
          <t>Chronological roll-forward, oldest to newest. EUR '000. Equity reconciliation ladder confirmed: every year's own closing balance ties exactly to both the next year's own opening balance and that year's own Balance Sheet Total equity - zero plug rows needed anywhere across all 5 years.</t>
        </is>
      </c>
    </row>
    <row r="3">
      <c r="A3" s="4" t="inlineStr">
        <is>
          <t>Movement</t>
        </is>
      </c>
      <c r="B3" s="4" t="inlineStr">
        <is>
          <t>Called-up share capital</t>
        </is>
      </c>
      <c r="C3" s="4" t="inlineStr">
        <is>
          <t>Retained earnings</t>
        </is>
      </c>
      <c r="D3" s="4" t="inlineStr">
        <is>
          <t>Other reserves</t>
        </is>
      </c>
      <c r="E3" s="4" t="inlineStr">
        <is>
          <t>Total</t>
        </is>
      </c>
    </row>
    <row r="4">
      <c r="A4" s="5" t="inlineStr">
        <is>
          <t>At 31 December 2020 (FY2021 opening)</t>
        </is>
      </c>
      <c r="B4" s="5" t="n">
        <v>264412</v>
      </c>
      <c r="C4" s="5" t="n">
        <v>-1480</v>
      </c>
      <c r="D4" s="5" t="n">
        <v>21</v>
      </c>
      <c r="E4" s="5" t="n">
        <v>262953</v>
      </c>
    </row>
    <row r="5">
      <c r="A5" s="6" t="inlineStr">
        <is>
          <t>Loss for the financial year (includes a €21k write-off of the Other reserves balance, bundled into this row in the source table)</t>
        </is>
      </c>
      <c r="B5" s="6" t="n"/>
      <c r="C5" s="6" t="n">
        <v>-7308</v>
      </c>
      <c r="D5" s="6" t="n">
        <v>-21</v>
      </c>
      <c r="E5" s="6" t="n">
        <v>-7329</v>
      </c>
    </row>
    <row r="6">
      <c r="A6" s="6" t="inlineStr">
        <is>
          <t>Other comprehensive loss for the year</t>
        </is>
      </c>
      <c r="B6" s="6" t="n"/>
      <c r="C6" s="6" t="n">
        <v>-12</v>
      </c>
      <c r="D6" s="6" t="n"/>
      <c r="E6" s="6" t="n">
        <v>-12</v>
      </c>
    </row>
    <row r="7">
      <c r="A7" s="5" t="inlineStr">
        <is>
          <t>At 31 December 2021 (FY2021 closing)</t>
        </is>
      </c>
      <c r="B7" s="5" t="n">
        <v>264412</v>
      </c>
      <c r="C7" s="5" t="n">
        <v>-8800</v>
      </c>
      <c r="D7" s="5" t="n">
        <v>0</v>
      </c>
      <c r="E7" s="5" t="n">
        <v>255612</v>
      </c>
    </row>
    <row r="8">
      <c r="A8" s="6" t="inlineStr">
        <is>
          <t>Profit for the financial year</t>
        </is>
      </c>
      <c r="B8" s="6" t="n"/>
      <c r="C8" s="6" t="n">
        <v>559</v>
      </c>
      <c r="D8" s="6" t="n"/>
      <c r="E8" s="6" t="n">
        <v>559</v>
      </c>
    </row>
    <row r="9">
      <c r="A9" s="6" t="inlineStr">
        <is>
          <t>Other comprehensive loss for the year</t>
        </is>
      </c>
      <c r="B9" s="6" t="n"/>
      <c r="C9" s="6" t="n">
        <v>-41</v>
      </c>
      <c r="D9" s="6" t="n"/>
      <c r="E9" s="6" t="n">
        <v>-41</v>
      </c>
    </row>
    <row r="10">
      <c r="A10" s="5" t="inlineStr">
        <is>
          <t>At 31 December 2022 (FY2022 closing)</t>
        </is>
      </c>
      <c r="B10" s="5" t="n">
        <v>264412</v>
      </c>
      <c r="C10" s="5" t="n">
        <v>-8282</v>
      </c>
      <c r="D10" s="5" t="n">
        <v>0</v>
      </c>
      <c r="E10" s="5" t="n">
        <v>256130</v>
      </c>
    </row>
    <row r="11">
      <c r="A11" s="6" t="inlineStr">
        <is>
          <t>Profit for the financial year</t>
        </is>
      </c>
      <c r="B11" s="6" t="n"/>
      <c r="C11" s="6" t="n">
        <v>630</v>
      </c>
      <c r="D11" s="6" t="n"/>
      <c r="E11" s="6" t="n">
        <v>630</v>
      </c>
    </row>
    <row r="12">
      <c r="A12" s="6" t="inlineStr">
        <is>
          <t>Other comprehensive loss for the year</t>
        </is>
      </c>
      <c r="B12" s="6" t="n"/>
      <c r="C12" s="6" t="n">
        <v>-228</v>
      </c>
      <c r="D12" s="6" t="n"/>
      <c r="E12" s="6" t="n">
        <v>-228</v>
      </c>
    </row>
    <row r="13">
      <c r="A13" s="5" t="inlineStr">
        <is>
          <t>At 31 December 2023 (FY2023 closing)</t>
        </is>
      </c>
      <c r="B13" s="5" t="n">
        <v>264412</v>
      </c>
      <c r="C13" s="5" t="n">
        <v>-7880</v>
      </c>
      <c r="D13" s="5" t="n">
        <v>0</v>
      </c>
      <c r="E13" s="5" t="n">
        <v>256532</v>
      </c>
    </row>
    <row r="14">
      <c r="A14" s="6" t="inlineStr">
        <is>
          <t>Profit for the financial year</t>
        </is>
      </c>
      <c r="B14" s="6" t="n"/>
      <c r="C14" s="6" t="n">
        <v>2356</v>
      </c>
      <c r="D14" s="6" t="n"/>
      <c r="E14" s="6" t="n">
        <v>2356</v>
      </c>
    </row>
    <row r="15">
      <c r="A15" s="6" t="inlineStr">
        <is>
          <t>Other comprehensive loss for the year</t>
        </is>
      </c>
      <c r="B15" s="6" t="n"/>
      <c r="C15" s="6" t="n">
        <v>-224</v>
      </c>
      <c r="D15" s="6" t="n"/>
      <c r="E15" s="6" t="n">
        <v>-224</v>
      </c>
    </row>
    <row r="16">
      <c r="A16" s="5" t="inlineStr">
        <is>
          <t>At 31 December 2024 (FY2024 closing)</t>
        </is>
      </c>
      <c r="B16" s="5" t="n">
        <v>264412</v>
      </c>
      <c r="C16" s="5" t="n">
        <v>-5748</v>
      </c>
      <c r="D16" s="5" t="n">
        <v>0</v>
      </c>
      <c r="E16" s="5" t="n">
        <v>258664</v>
      </c>
    </row>
    <row r="17">
      <c r="A17" s="6" t="inlineStr">
        <is>
          <t>Profit for the financial year</t>
        </is>
      </c>
      <c r="B17" s="6" t="n"/>
      <c r="C17" s="6" t="n">
        <v>181</v>
      </c>
      <c r="D17" s="6" t="n"/>
      <c r="E17" s="6" t="n">
        <v>181</v>
      </c>
    </row>
    <row r="18">
      <c r="A18" s="6" t="inlineStr">
        <is>
          <t>Other comprehensive income for the year</t>
        </is>
      </c>
      <c r="B18" s="6" t="n"/>
      <c r="C18" s="6" t="n">
        <v>0</v>
      </c>
      <c r="D18" s="6" t="n"/>
      <c r="E18" s="6" t="n">
        <v>0</v>
      </c>
    </row>
    <row r="19">
      <c r="A19" s="5" t="inlineStr">
        <is>
          <t>At 31 December 2025 (FY2025 closing)</t>
        </is>
      </c>
      <c r="B19" s="5" t="n">
        <v>264412</v>
      </c>
      <c r="C19" s="5" t="n">
        <v>-5567</v>
      </c>
      <c r="D19" s="5" t="n">
        <v>0</v>
      </c>
      <c r="E19" s="5" t="n">
        <v>258845</v>
      </c>
    </row>
    <row r="21" ht="273" customHeight="1">
      <c r="A21" s="8" t="inlineStr">
        <is>
          <t>Sources - Melli Bank plc entity-level Balance Sheet/Profit and Loss Account/Statement of Change in Equity/Notes 9 and 11 (Loans and advances - customers / Impairment provisions):
FY2025: Annual Report and Accounts 2025, Balance Sheet p.24, Profit and Loss Account p.22, Statement of Change in Equity p.25, Note 9 p.39-40, Note 11 p.41 - https://find-and-update.company-information.service.gov.uk/company/04152338/filing-history/MzUyNjMyOTE4OGFkaXF6a2N4/document?download=0&amp;format=pdf
FY2024: Annual Report and Accounts 2024, Balance Sheet p.22, Profit and Loss Account p.20, Statement of Change in Equity p.23, Note 9 p.34-35, Note 11 p.36 - https://find-and-update.company-information.service.gov.uk/company/04152338/filing-history/MzQ3MDI0ODU4NWFkaXF6a2N4/document?download=0&amp;format=pdf
FY2023: Annual Report and Accounts 2023, Balance Sheet p.22, Profit and Loss Account p.20, Statement of Change in Equity p.23, Note 9 p.34-35, Note 11 p.36 - https://vpr.hkma.gov.hk/statics/assets/doc/100273/ar_23/ar_23_eng.pdf
FY2022: Annual Report and Accounts 2023 comparative column (same pages as FY2023 above) - https://vpr.hkma.gov.hk/statics/assets/doc/100273/ar_23/ar_23_eng.pdf
FY2021: Annual Report 2021, Balance Sheet p.21, Profit and Loss Account p.19, Statement of Comprehensive Income p.20, Statement of Change in Equity p.22, Note 9 p.32-33 - https://find-and-update.company-information.service.gov.uk/company/04152338/filing-history/MzM0MzE1NzIzOWFkaXF6a2N4/document?download=0&amp;format=pdf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1">
    <mergeCell ref="A21:E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s>
  <sheetData>
    <row r="1">
      <c r="A1" s="1" t="inlineStr">
        <is>
          <t>Melli Bank plc — Statement of Cash Flows</t>
        </is>
      </c>
    </row>
    <row r="2">
      <c r="A2" s="2" t="inlineStr">
        <is>
          <t>Entity-level basis, EUR '000; FY2021 has no Statement of Cash Flows under the FRS 102 exemption</t>
        </is>
      </c>
    </row>
    <row r="3">
      <c r="A3" s="4" t="inlineStr">
        <is>
          <t>Line item</t>
        </is>
      </c>
      <c r="B3" s="4" t="inlineStr">
        <is>
          <t>FY2025 (EUR '000)</t>
        </is>
      </c>
      <c r="C3" s="4" t="inlineStr">
        <is>
          <t>FY2024 (EUR '000)</t>
        </is>
      </c>
      <c r="D3" s="4" t="inlineStr">
        <is>
          <t>FY2023 (EUR '000)</t>
        </is>
      </c>
      <c r="E3" s="4" t="inlineStr">
        <is>
          <t>FY2022 (EUR '000)</t>
        </is>
      </c>
    </row>
    <row r="4">
      <c r="A4" s="5" t="inlineStr">
        <is>
          <t>Operating activities</t>
        </is>
      </c>
      <c r="B4" s="6" t="n"/>
      <c r="C4" s="6" t="n"/>
      <c r="D4" s="6" t="n"/>
      <c r="E4" s="6" t="n"/>
    </row>
    <row r="5">
      <c r="A5" s="5" t="inlineStr">
        <is>
          <t>Net cash from operating activities</t>
        </is>
      </c>
      <c r="B5" s="5" t="n">
        <v>-21600</v>
      </c>
      <c r="C5" s="5" t="n">
        <v>13753</v>
      </c>
      <c r="D5" s="5" t="n">
        <v>-27408</v>
      </c>
      <c r="E5" s="5" t="n">
        <v>-52056</v>
      </c>
    </row>
    <row r="6">
      <c r="A6" s="5" t="inlineStr">
        <is>
          <t>Investing activities</t>
        </is>
      </c>
      <c r="B6" s="6" t="n"/>
      <c r="C6" s="6" t="n"/>
      <c r="D6" s="6" t="n"/>
      <c r="E6" s="6" t="n"/>
    </row>
    <row r="7">
      <c r="A7" s="5" t="inlineStr">
        <is>
          <t>Net cash from investing activities</t>
        </is>
      </c>
      <c r="B7" s="5" t="n">
        <v>-274</v>
      </c>
      <c r="C7" s="5" t="n">
        <v>-664</v>
      </c>
      <c r="D7" s="5" t="n">
        <v>-258</v>
      </c>
      <c r="E7" s="5" t="n">
        <v>-47</v>
      </c>
    </row>
    <row r="8">
      <c r="A8" s="5" t="inlineStr">
        <is>
          <t>Net increase/(decrease) in cash and cash equivalents</t>
        </is>
      </c>
      <c r="B8" s="5" t="n">
        <v>-21874</v>
      </c>
      <c r="C8" s="5" t="n">
        <v>13089</v>
      </c>
      <c r="D8" s="5" t="n">
        <v>-27666</v>
      </c>
      <c r="E8" s="5" t="n">
        <v>-52103</v>
      </c>
    </row>
    <row r="9">
      <c r="A9" s="6" t="inlineStr">
        <is>
          <t>Cash and cash equivalents at the beginning of the period</t>
        </is>
      </c>
      <c r="B9" s="6" t="n">
        <v>52378</v>
      </c>
      <c r="C9" s="6" t="n">
        <v>39289</v>
      </c>
      <c r="D9" s="6" t="n">
        <v>66955</v>
      </c>
      <c r="E9" s="6" t="n">
        <v>119058</v>
      </c>
    </row>
    <row r="10">
      <c r="A10" s="5" t="inlineStr">
        <is>
          <t>Cash and cash equivalents at the end of the period</t>
        </is>
      </c>
      <c r="B10" s="5" t="n">
        <v>30504</v>
      </c>
      <c r="C10" s="5" t="n">
        <v>52378</v>
      </c>
      <c r="D10" s="5" t="n">
        <v>39289</v>
      </c>
      <c r="E10" s="5" t="n">
        <v>66955</v>
      </c>
    </row>
    <row r="12" ht="270" customHeight="1">
      <c r="A12" s="8" t="inlineStr">
        <is>
          <t>Sources - Melli Bank plc entity-level Statements of Cash Flows:
FY2025: Annual Report and Accounts 2025, Statement of Cash Flows p.26 - https://find-and-update.company-information.service.gov.uk/company/04152338/filing-history/MzUyNjMyOTE4OGFkaXF6a2N4/document?download=0&amp;format=pdf
FY2024: Annual Report and Accounts 2024, p.24; also shown as the FY2025 report's own comparative column, p.26 - https://find-and-update.company-information.service.gov.uk/company/04152338/filing-history/MzQ3MDI0ODU4NWFkaXF6a2N4/document?download=0&amp;format=pdf
FY2023: Annual Report and Accounts 2023, p.24 - https://vpr.hkma.gov.hk/statics/assets/doc/100273/ar_23/ar_23_eng.pdf
FY2022: Annual Report and Accounts 2023 comparative column, p.24 - https://vpr.hkma.gov.hk/statics/assets/doc/100273/ar_23/ar_23_eng.pdf
FY2021: genuinely not disclosed, confirmed by two independent checks of the Annual Report 2021 - its accounting policy note (ii) 'Cash flow exemptions' (p.23) states the Company applied the FRS 102 exemption from producing a statement of cash flows because it was consolidated with Bank Melli Iran, and its own Contents page (p.2) lists no Statement of Cash Flows among the report's financial statements at all. This is a structural non-disclosure at the source, not a retrieval gap - re-confirmed this batch by re-reading the full PDF - https://find-and-update.company-information.service.gov.uk/company/04152338/filing-history/MzM0MzE1NzIzOWFkaXF6a2N4/document?download=0&amp;format=pdf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1">
    <mergeCell ref="A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Melli Bank plc — Asset Quality</t>
        </is>
      </c>
    </row>
    <row r="2">
      <c r="A2" s="2" t="inlineStr">
        <is>
          <t>Entity-level basis, EUR '000. FRS 102 entity - no IFRS 9 stage split disclosed; impairment is assessed loan-by-loan against a small named book of legacy Iranian-exposure loans (Note 9), most of which are individually past due but either guaranteed/secured (not impaired) or 100% provided (fully impaired). Coverage and past-due ratios shown here as the closest available proxy for the usual NPL/coverage ratios given this entity's disclosed granularity.</t>
        </is>
      </c>
    </row>
    <row r="3">
      <c r="A3" s="4" t="inlineStr">
        <is>
          <t>Line item</t>
        </is>
      </c>
      <c r="B3" s="4" t="inlineStr">
        <is>
          <t>FY2025 (EUR '000)</t>
        </is>
      </c>
      <c r="C3" s="4" t="inlineStr">
        <is>
          <t>FY2024 (EUR '000)</t>
        </is>
      </c>
      <c r="D3" s="4" t="inlineStr">
        <is>
          <t>FY2023 (EUR '000)</t>
        </is>
      </c>
      <c r="E3" s="4" t="inlineStr">
        <is>
          <t>FY2022 (EUR '000)</t>
        </is>
      </c>
      <c r="F3" s="4" t="inlineStr">
        <is>
          <t>FY2021 (EUR '000)</t>
        </is>
      </c>
    </row>
    <row r="4">
      <c r="A4" s="5" t="inlineStr">
        <is>
          <t>Loans and advances to customers (Note 9)</t>
        </is>
      </c>
      <c r="B4" s="6" t="n"/>
      <c r="C4" s="6" t="n"/>
      <c r="D4" s="6" t="n"/>
      <c r="E4" s="6" t="n"/>
      <c r="F4" s="6" t="n"/>
    </row>
    <row r="5">
      <c r="A5" s="6" t="inlineStr">
        <is>
          <t>Gross loans and advances to customers</t>
        </is>
      </c>
      <c r="B5" s="6" t="n">
        <v>23372</v>
      </c>
      <c r="C5" s="6" t="n">
        <v>25446</v>
      </c>
      <c r="D5" s="6" t="n">
        <v>27718</v>
      </c>
      <c r="E5" s="6" t="n">
        <v>27267</v>
      </c>
      <c r="F5" s="6" t="n">
        <v>22414</v>
      </c>
    </row>
    <row r="6">
      <c r="A6" s="6" t="inlineStr">
        <is>
          <t>Impairment provisions (loans and advances to customers only - see Note 11)</t>
        </is>
      </c>
      <c r="B6" s="6" t="n">
        <v>-20055</v>
      </c>
      <c r="C6" s="6" t="n">
        <v>-21737</v>
      </c>
      <c r="D6" s="6" t="n">
        <v>-19443</v>
      </c>
      <c r="E6" s="6" t="n">
        <v>-19007</v>
      </c>
      <c r="F6" s="6" t="n">
        <v>-13515</v>
      </c>
    </row>
    <row r="7">
      <c r="A7" s="5" t="inlineStr">
        <is>
          <t>Net loans and advances to customers</t>
        </is>
      </c>
      <c r="B7" s="5" t="n">
        <v>3317</v>
      </c>
      <c r="C7" s="5" t="n">
        <v>3709</v>
      </c>
      <c r="D7" s="5" t="n">
        <v>8275</v>
      </c>
      <c r="E7" s="5" t="n">
        <v>8260</v>
      </c>
      <c r="F7" s="5" t="n">
        <v>8899</v>
      </c>
    </row>
    <row r="8">
      <c r="A8" s="6" t="inlineStr">
        <is>
          <t>of which: past due (any ageing bucket)</t>
        </is>
      </c>
      <c r="B8" s="6" t="n">
        <v>22164</v>
      </c>
      <c r="C8" s="6" t="n">
        <v>23410</v>
      </c>
      <c r="D8" s="6" t="n">
        <v>24395</v>
      </c>
      <c r="E8" s="6" t="n">
        <v>23373</v>
      </c>
      <c r="F8" s="6" t="n">
        <v>17683</v>
      </c>
    </row>
    <row r="9">
      <c r="A9" s="6" t="inlineStr">
        <is>
          <t>Impairment provision coverage (impairment provisions / gross loans)</t>
        </is>
      </c>
      <c r="B9" s="6" t="inlineStr">
        <is>
          <t>85.83%</t>
        </is>
      </c>
      <c r="C9" s="6" t="inlineStr">
        <is>
          <t>85.42%</t>
        </is>
      </c>
      <c r="D9" s="6" t="inlineStr">
        <is>
          <t>70.14%</t>
        </is>
      </c>
      <c r="E9" s="6" t="inlineStr">
        <is>
          <t>69.70%</t>
        </is>
      </c>
      <c r="F9" s="6" t="inlineStr">
        <is>
          <t>60.30%</t>
        </is>
      </c>
    </row>
    <row r="10">
      <c r="A10" s="6" t="inlineStr">
        <is>
          <t>Past due ratio (past due / gross loans) - the closest available proxy for an NPL ratio at this entity's disclosed granularity (no IFRS 9 stage split; individually-assessed legacy loan book only)</t>
        </is>
      </c>
      <c r="B10" s="6" t="inlineStr">
        <is>
          <t>94.83%</t>
        </is>
      </c>
      <c r="C10" s="6" t="inlineStr">
        <is>
          <t>91.99%</t>
        </is>
      </c>
      <c r="D10" s="6" t="inlineStr">
        <is>
          <t>88.01%</t>
        </is>
      </c>
      <c r="E10" s="6" t="inlineStr">
        <is>
          <t>85.73%</t>
        </is>
      </c>
      <c r="F10" s="6" t="inlineStr">
        <is>
          <t>78.90%</t>
        </is>
      </c>
    </row>
    <row r="11">
      <c r="A11" s="5" t="inlineStr">
        <is>
          <t>Total impairment loss provision, all classes (Note 11 - includes debt securities as well as loans)</t>
        </is>
      </c>
      <c r="B11" s="6" t="n"/>
      <c r="C11" s="6" t="n"/>
      <c r="D11" s="6" t="n"/>
      <c r="E11" s="6" t="n"/>
      <c r="F11" s="6" t="n"/>
    </row>
    <row r="12">
      <c r="A12" s="6" t="inlineStr">
        <is>
          <t>Impairment loss provision at year end</t>
        </is>
      </c>
      <c r="B12" s="6" t="n">
        <v>20076</v>
      </c>
      <c r="C12" s="6" t="n">
        <v>22495</v>
      </c>
      <c r="D12" s="6" t="n">
        <v>20126</v>
      </c>
      <c r="E12" s="6" t="n">
        <v>19713</v>
      </c>
      <c r="F12" s="6" t="n"/>
    </row>
    <row r="14" ht="260" customHeight="1">
      <c r="A14" s="8" t="inlineStr">
        <is>
          <t>Sources - Melli Bank plc entity-level Balance Sheet/Profit and Loss Account/Statement of Change in Equity/Notes 9 and 11 (Loans and advances - customers / Impairment provisions):
FY2025: Annual Report and Accounts 2025, Balance Sheet p.24, Profit and Loss Account p.22, Statement of Change in Equity p.25, Note 9 p.39-40, Note 11 p.41 - https://find-and-update.company-information.service.gov.uk/company/04152338/filing-history/MzUyNjMyOTE4OGFkaXF6a2N4/document?download=0&amp;format=pdf
FY2024: Annual Report and Accounts 2024, Balance Sheet p.22, Profit and Loss Account p.20, Statement of Change in Equity p.23, Note 9 p.34-35, Note 11 p.36 - https://find-and-update.company-information.service.gov.uk/company/04152338/filing-history/MzQ3MDI0ODU4NWFkaXF6a2N4/document?download=0&amp;format=pdf
FY2023: Annual Report and Accounts 2023, Balance Sheet p.22, Profit and Loss Account p.20, Statement of Change in Equity p.23, Note 9 p.34-35, Note 11 p.36 - https://vpr.hkma.gov.hk/statics/assets/doc/100273/ar_23/ar_23_eng.pdf
FY2022: Annual Report and Accounts 2023 comparative column (same pages as FY2023 above) - https://vpr.hkma.gov.hk/statics/assets/doc/100273/ar_23/ar_23_eng.pdf
FY2021: Annual Report 2021, Balance Sheet p.21, Profit and Loss Account p.19, Statement of Comprehensive Income p.20, Statement of Change in Equity p.22, Note 9 p.32-33 - https://find-and-update.company-information.service.gov.uk/company/04152338/filing-history/MzM0MzE1NzIzOWFkaXF6a2N4/document?download=0&amp;format=pdf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1">
    <mergeCell ref="A14:F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Melli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0.07%</t>
        </is>
      </c>
      <c r="C4" s="6" t="inlineStr">
        <is>
          <t>0.91%</t>
        </is>
      </c>
      <c r="D4" s="6" t="inlineStr">
        <is>
          <t>0.25%</t>
        </is>
      </c>
      <c r="E4" s="6" t="inlineStr">
        <is>
          <t>0.22%</t>
        </is>
      </c>
      <c r="F4" s="6" t="n"/>
    </row>
    <row r="5">
      <c r="A5" s="6" t="inlineStr">
        <is>
          <t>Return on equity - year-end equity basis</t>
        </is>
      </c>
      <c r="B5" s="6" t="inlineStr">
        <is>
          <t>0.07%</t>
        </is>
      </c>
      <c r="C5" s="6" t="inlineStr">
        <is>
          <t>0.91%</t>
        </is>
      </c>
      <c r="D5" s="6" t="inlineStr">
        <is>
          <t>0.25%</t>
        </is>
      </c>
      <c r="E5" s="6" t="inlineStr">
        <is>
          <t>0.22%</t>
        </is>
      </c>
      <c r="F5" s="6" t="inlineStr">
        <is>
          <t>-2.86%</t>
        </is>
      </c>
    </row>
    <row r="6">
      <c r="A6" s="6" t="inlineStr">
        <is>
          <t>Return on assets - average assets basis</t>
        </is>
      </c>
      <c r="B6" s="6" t="inlineStr">
        <is>
          <t>0.05%</t>
        </is>
      </c>
      <c r="C6" s="6" t="inlineStr">
        <is>
          <t>0.64%</t>
        </is>
      </c>
      <c r="D6" s="6" t="inlineStr">
        <is>
          <t>0.19%</t>
        </is>
      </c>
      <c r="E6" s="6" t="inlineStr">
        <is>
          <t>0.18%</t>
        </is>
      </c>
      <c r="F6" s="6" t="n"/>
    </row>
    <row r="7">
      <c r="A7" s="6" t="inlineStr">
        <is>
          <t>Return on assets - year-end assets basis</t>
        </is>
      </c>
      <c r="B7" s="6" t="inlineStr">
        <is>
          <t>0.05%</t>
        </is>
      </c>
      <c r="C7" s="6" t="inlineStr">
        <is>
          <t>0.63%</t>
        </is>
      </c>
      <c r="D7" s="6" t="inlineStr">
        <is>
          <t>0.18%</t>
        </is>
      </c>
      <c r="E7" s="6" t="inlineStr">
        <is>
          <t>0.17%</t>
        </is>
      </c>
      <c r="F7" s="6" t="inlineStr">
        <is>
          <t>-2.33%</t>
        </is>
      </c>
    </row>
    <row r="8">
      <c r="A8" s="6" t="inlineStr">
        <is>
          <t>Melli Bank plc's own published return</t>
        </is>
      </c>
      <c r="B8" s="6" t="inlineStr">
        <is>
          <t>Not published</t>
        </is>
      </c>
      <c r="C8" s="6" t="inlineStr">
        <is>
          <t>Not published</t>
        </is>
      </c>
      <c r="D8" s="6" t="inlineStr">
        <is>
          <t>Not published</t>
        </is>
      </c>
      <c r="E8" s="6" t="inlineStr">
        <is>
          <t>Not published</t>
        </is>
      </c>
      <c r="F8" s="6" t="inlineStr">
        <is>
          <t>Not published</t>
        </is>
      </c>
    </row>
    <row r="9" ht="156" customHeight="1">
      <c r="A9" s="7" t="inlineStr">
        <is>
          <t>Note: COMPUTED, NOT PUBLISHED. The bank's FY2025 KPI and capital/liquidity sections publish income, capital and liquidity measures, including an Equity to Assets Ratio, but no ROE, ROA or RoTE. Equity to Assets is a capital-structure ratio and was not misclassified as return on assets. Other 'return on assets' wording concerns pension plan assets only.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“profit/(loss) for the financial year” and the Balance Sheet rows “total equity” and “total assets”, resolved BY LABEL at build time through the shared resolver scripts/profitability_rows.py, so this sheet cannot drift from the statements it summarises. Those rows are themselves transcribed from Melli Bank plc's Annual Report and Accounts for each year; see the source cells on the Balance Sheet and Profit &amp; Loss sheets for the exact document, page and table behind every input to every percentage above.
The finding that Melli Bank plc publishes no return of its own is recorded in research/profitability/published_returns.jsonl under ‘MELLI BANK’,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KM1 Key Metrics</t>
        </is>
      </c>
    </row>
    <row r="2">
      <c r="A2" s="2" t="inlineStr">
        <is>
          <t>Not applicable. The Bank has never published a UK KM1 template. Its only two ever-public Pillar 3 documents (FY2014 and FY2016) pre-date the template, and for every year from 2022 onward - when a KM1 would have been required - its own Directors' report states the Pillar 3 disclosure is 'available on request' rather than published. The Annual Report's eight-row 'Capital and Liquidity Position' KPI table is not the template and is not reshaped into it. The Bank's website is unreachable under sanctions; that is recorded as BLOCKED and is not the basis of this finding.</t>
        </is>
      </c>
    </row>
    <row r="3">
      <c r="A3" s="4" t="inlineStr">
        <is>
          <t>Line item</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UK KM1 - Key metrics template</t>
        </is>
      </c>
      <c r="B4" s="6" t="inlineStr">
        <is>
          <t>Not applicable - no UK KM1 template ever published by this entity</t>
        </is>
      </c>
      <c r="C4" s="6" t="inlineStr">
        <is>
          <t>Not applicable - no UK KM1 template ever published by this entity</t>
        </is>
      </c>
      <c r="D4" s="6" t="inlineStr">
        <is>
          <t>Not applicable - no UK KM1 template ever published by this entity</t>
        </is>
      </c>
      <c r="E4" s="6" t="inlineStr">
        <is>
          <t>Not applicable - no UK KM1 template ever published by this entity</t>
        </is>
      </c>
      <c r="F4" s="6" t="inlineStr">
        <is>
          <t>Not applicable - no UK KM1 template ever published by this entity</t>
        </is>
      </c>
      <c r="G4" s="6" t="inlineStr">
        <is>
          <t>Not applicable - no UK KM1 template ever published by this entity</t>
        </is>
      </c>
      <c r="H4" s="6" t="inlineStr">
        <is>
          <t>Not applicable - no UK KM1 template ever published by this entity</t>
        </is>
      </c>
    </row>
    <row r="6" ht="409" customHeight="1">
      <c r="A6" s="8" t="inlineStr">
        <is>
          <t>Sources - every document behind the 'Not applicable' finding on this sheet, each read directly rather than inferred:
FY2025: Annual Report and Accounts 2025, Directors' Report p.11 of 54, 'Basel III - Pillar 3 Disclosure: The Pillar 3 disclosure is available on request'; and 'Capital and Liquidity Position' p.10 of 54, the eight-row KPI table that is NOT a KM1 - https://find-and-update.company-information.service.gov.uk/company/04152338/filing-history/MzUyNjMyOTE4OGFkaXF6a2N4/document?download=0&amp;format=pdf
FY2024: Annual Report and Accounts 2024, same 'available on request' wording - https://find-and-update.company-information.service.gov.uk/company/04152338/filing-history/MzQ3MDI0ODU4NWFkaXF6a2N4/document?download=0&amp;format=pdf
FY2023: Annual Report and Accounts 2023 - https://vpr.hkma.gov.hk/statics/assets/doc/100273/ar_23/ar_23_eng.pdf
FY2022: Annual Report and Accounts 2022 - https://vpr.hkma.gov.hk/statics/assets/doc/100273/ar_22/ar_22_eng.pdf
FY2021: Annual Report and Accounts 2021 - https://find-and-update.company-information.service.gov.uk/company/04152338/filing-history/MzM0MzE1NzIzOWFkaXF6a2N4/document?download=0&amp;format=pdf
FY2016: Pillar 3 Disclosures as at 31st December 2016, 23pp, re-read in full 2026-09-16 (HTTP 200, application/pdf, %PDF magic bytes) - no KM1 table, no 'key metrics' heading - https://web.archive.org/web/20190405190315id_/http://mellibank.com/File/DownloadReportFiles?filename=Melli%20Bank%20-%20Pillar%203%20%20Disclosures%202016%20-%20Final.pdf
FY2014: Pillar 3 Disclosures as at 31st December 2014, 16pp - same finding - https://web.archive.org/web/20170407223115id_/http://mellibank.com/PDFs/Melli%20Bank%20P3%20Disclosures%20as%20at%2031%20December%202014%20FINAL.pdf
Companies House filing history (company 04152338), read live 2026-09-16 - https://find-and-update.company-information.service.gov.uk/company/04152338/filing-history
WHY THIS SHEET IS 'NOT APPLICABLE', in three independent findings:
1. TIMING. The UK KM1 template arrived with the Disclosure (CRR) Part of the PRA Rulebook and applies from 1 January 2022. The only two Melli Pillar 3 documents that have ever been public are the FY2014 and FY2016 editions, which pre-date it. Both were re-read cover to cover for this ticket. Their contents pages run 'Eligible Regulatory Capital / Capital Adequacy / Credit Risk Adjustments / Leverage / Liquidity / Additional Disclosures'; there is no tabular key-metrics template of any kind and no occurrence of 'KM1' or 'key metrics' anywhere in either document. Those zero hit-counts are a fact about the documents rather than about the extraction, which was shown to be rich on neighbouring terms first: the FY2016 text yields 112 hits for 'capital', 65 for 'ratio', 42 for 'liquidity', 13 for 'CET', 9 for 'Tier', 5 for 'leverage' and 252 for 'risk' (FY2014: 80/52/10/1/7/5/153), against 0 for 'KM1' and 0 for 'key metric'. This was checked against images as well as text, because a KM1 table can be published as a bitmap inside an otherwise text-native PDF and then extract as nothing at all: `pdfimages -list` on both editions returns only the 203x73 letterhead logo repeated on every page, plus one larger image on page 5 of each, and both of those were rendered at 150dpi and looked at - they are governance organisation charts (FY2016: Main Board / Board Risk Committee / ALCO; FY2014: Board of Directors / Executive and Non-Executive Committees), not tables. There is no image anywhere in either document that could be concealing a key-metrics table.
2. PUBLICATION. For every year from 2022 onward - exactly the years in which a KM1 would have been required - the Bank's own Directors' report says its Pillar 3 disclosure is 'available on request' rather than published. The FY2025 report's Basel III - Pillar 3 Disclosure section reads, in full: 'The Pillar 3 disclosure is available on request.' An unpublished document has no published KM1. (FY2023 is the one year whose Directors' report claims website publication; see the PILLAR 3 PUBLICATION HISTORY below, where that claim and the website's own contradicting statement are both recorded and neither is treated as correcting the other.)
3. THE ANNUAL REPORT'S OWN TABLE IS NOT A KM1, and is deliberately not reshaped into one. The FY2025 report's 'Capital and Liquidity Position' table (p.10 of 54) has eight rows - Shareholders' Equity EUR259m, Eligible Capital EUR259m, Total Assets EUR363m, Total Risk Exposure Amount EUR458m, Total Capital Ratio 56%, Equity to Assets Ratio 71%, Liquidity Coverage Ratio 679%, Total Net Income EUR12,286k - with no row numbers, no SREP rows, no buffer rows, no leverage row and no NSFR row. It is a different and shorter table, in the same class as ABC International Bank's 'Table 3 Key Regulatory Metrics' rather than as Europe Arab Bank's unnumbered template. Those figures do populate this workbook's individual metric sheets, where they belong; mapping them onto KM1 row numbers would invent a correspondence the Bank never published.
BLOCKED, NOT ABSENT - recorded so it is never mistaken for evidence. The Bank's own website is unreachable. Re-tested 2026-09-16: mellibank.com and www.mellibank.com resolve to 62.232.194.164 and mellibank.co.uk to 195.224.32.52, and all four hostnames time out on both http and https (curl exit 28 after 25 seconds), consistent with the 29 September 2025 sanctions designation recorded in the Bank's own FY2025 report. That is a fact about reachability, not about publication, and NONE of the three findings above rests on it - each rests on a document the Bank filed and that was read directly.</t>
        </is>
      </c>
    </row>
    <row r="8" ht="409" customHeight="1">
      <c r="A8" s="8" t="inlineStr">
        <is>
          <t>(continued)
LATEST-EDITION CHECK, 2026-09-16. With the Bank's own site unreachable, the two live routes recorded in the ACCESS ROUTES note were used instead. Companies House (company 04152338) was read live: the newest accounts filed are 'made up to 31 December 2025', filed 21 June 2026, signed 28 April 2026 - which is the FY2025 edition this workbook already holds. Nothing newer exists. The Hong Kong Monetary Authority public register (institution 100273) currently goes only as far as FY2024: .../ar_24/ar_24_eng.pdf returns a real PDF (HTTP 200, application/pdf, 2.9MB) while .../ar_25/ar_25_eng.pdf returns HTTP 200 with Content-Type text/html - a SOFT-404, not a document. Worth writing down because the status code alone would have said 'found'.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t>
        </is>
      </c>
    </row>
    <row r="10" ht="409" customHeight="1">
      <c r="A10" s="8" t="inlineStr">
        <is>
          <t>(continued)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
ENTITY AND REPORTING BASIS: Melli Bank plc (company 04152338, FRN 207380, LEI 213800BC4TEGCCQH9V07) is an active UK public limited company and PRA-authorised bank, incorporated in England and Wales. Companies House identifies the registered office as 98a Kensington High Street, London W8 4SG and the latest accounts as made up to 31 December 2025. The Bank's functional and reporting currency is EUR; amounts are therefore retained in EUR thousands/millions, consistent with the source accounts. The figures are standalone Melli Bank plc entity figures, not Bank Melli Iran group figures.</t>
        </is>
      </c>
    </row>
  </sheetData>
  <mergeCells count="3">
    <mergeCell ref="A8:H8"/>
    <mergeCell ref="A6:H6"/>
    <mergeCell ref="A10:H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Melli Bank plc — CET1 Capital</t>
        </is>
      </c>
    </row>
    <row r="2">
      <c r="A2" s="2" t="inlineStr">
        <is>
          <t>EUR '000</t>
        </is>
      </c>
    </row>
    <row r="3">
      <c r="A3" s="4" t="inlineStr">
        <is>
          <t>Metric</t>
        </is>
      </c>
      <c r="B3" s="4" t="inlineStr">
        <is>
          <t>FY2025</t>
        </is>
      </c>
      <c r="C3" s="4" t="inlineStr">
        <is>
          <t>FY2024</t>
        </is>
      </c>
      <c r="D3" s="4" t="inlineStr">
        <is>
          <t>FY2023</t>
        </is>
      </c>
      <c r="E3" s="4" t="inlineStr">
        <is>
          <t>FY2022</t>
        </is>
      </c>
      <c r="F3" s="4" t="inlineStr">
        <is>
          <t>FY2021</t>
        </is>
      </c>
      <c r="G3" s="4" t="inlineStr">
        <is>
          <t>FY2016</t>
        </is>
      </c>
    </row>
    <row r="4">
      <c r="A4" s="6" t="inlineStr">
        <is>
          <t>Common Equity Tier 1 / eligible regulatory capital</t>
        </is>
      </c>
      <c r="B4" s="6" t="n">
        <v>259000</v>
      </c>
      <c r="C4" s="6" t="n">
        <v>258360</v>
      </c>
      <c r="D4" s="6" t="n">
        <v>256049</v>
      </c>
      <c r="E4" s="6" t="n">
        <v>255912</v>
      </c>
      <c r="F4" s="6" t="n">
        <v>255099</v>
      </c>
      <c r="G4" s="6" t="n">
        <v>280654</v>
      </c>
    </row>
    <row r="5" ht="234" customHeight="1">
      <c r="A5" s="7" t="inlineStr">
        <is>
          <t>Note: FY2021-FY2025: eligible regulatory capital is 100% CET1 in the disclosed KPI/capital-management tables; the same disclosed amount is therefore shown for CET1, Tier 1 and Total Capital. Values are EUR '000. FY2025's own KPI table (Annual Report and Accounts 2025, p.10, 'Capital and Liquidity Position') is presented in whole EUR millions only (a changed presentation from prior years' more precise KPI table, coinciding with the September 2025 sanctions re-imposition) - the FY2025 figure (259) is therefore rounded to the nearest EUR million before conversion to EUR '000, one significant figure less precise than FY2021-FY2024's figures.
FY2016 (from the Bank's own Pillar 3, section 4, Capital Resources table): Total CET 1 Capital EUR 280,654k = Share Capital EUR 264,412k + Retained Surplus EUR 16,242k, and Total Capital Resources the same EUR 280,654k. The all-CET1 position is not an assumption: the document states 'At 31 December 2016, the Bank's capital resources amounted to EUR 280,654,000 (2015: EUR 278,147,000) all of which was Common Equity Tier One ("CET1") capital', and explains why - on 19 December 2016 the Bank issued 71,626,396 EUR1 shares to Bank Melli Iran for cash and on the same day redeemed and repaid all of the US$75m Subordinated Loan Notes that had qualified as Tier 2, 'effectively convert[ing] the tier 2 capital into CET1 capital'. So CET1 = Tier 1 = Total Capital for FY2016 by the Bank's own statement.
FY2014 (from the Bank's own Pillar 3, section 6, Capital Resources table): Total Tier 1 Capital EUR 207,738k = Share Capital EUR 192,785k + Retained Surplus EUR 14,953k; Tier 2 Capital EUR 61,810k; Total Capital Resources EUR 269,548k. The Tier 2 is described as 'subordinated floating rate loan notes of US$75m issued to Bank Melli Iran', repayable 15 November 2050 - the same notes retired in December 2016. FY2014 is therefore the one year on these sheets where Tier 1 and Total Capital genuinely DIFFER, and the difference is real, not a transcription artefact.
WHY FY2014 IS BLANK ON THE CET1 CAPITAL SHEET: the FY2014 edition labels its figure 'Total Tier 1 Capital' and never uses the term CET1 for it (CET1 appears in that document only in the forward-looking CRD IV buffer discussion). Its components - share capital and retained surplus, with no AT1 instrument named - would make it CET1 on any ordinary reading, but that is an inference and this project transcribes only what a document states. Recorded as a deliberate blank, not an unresearched gap.
FY2015 IS DELIBERATELY NOT SHOWN AS A COLUMN, and this is a recorded decision rather than an oversight. No FY2015 Pillar 3 document survives; FY2015 figures exist only as narrative comparatives inside the FY2016 edition, and that edition is INTERNALLY INCONSISTENT about them: section 4 says capital resources were 'EUR 278,147,000' at 31 December 2015 'of which 75% [was CET1] amounting to EUR 209,264,000', while section 5.5 of the same document says 'Euro 276m of which 75% was CET1 capital'. 75% of 278,147 is 208,610, not 209,264. Both statements are recorded here as they stand and neither is reconciled to the other; no FY2015 cell is written from either.</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t>
        </is>
      </c>
    </row>
    <row r="11" ht="409" customHeight="1">
      <c r="A11" s="8" t="inlineStr">
        <is>
          <t>(continued)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G11"/>
    <mergeCell ref="A7:G7"/>
    <mergeCell ref="A5:G5"/>
    <mergeCell ref="A9:G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Melli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 ratio</t>
        </is>
      </c>
      <c r="B4" s="6" t="inlineStr">
        <is>
          <t>56%</t>
        </is>
      </c>
      <c r="C4" s="6" t="inlineStr">
        <is>
          <t>55%</t>
        </is>
      </c>
      <c r="D4" s="6" t="inlineStr">
        <is>
          <t>51%</t>
        </is>
      </c>
      <c r="E4" s="6" t="inlineStr">
        <is>
          <t>60%</t>
        </is>
      </c>
      <c r="F4" s="6" t="inlineStr">
        <is>
          <t>64%</t>
        </is>
      </c>
    </row>
    <row r="5" ht="65" customHeight="1">
      <c r="A5" s="7" t="inlineStr">
        <is>
          <t>Note: FY2021-FY2025: the Bank discloses a single Total Capital Ratio and states all capital is CET1; the ratio is shown as the CET1, Tier 1 and Total Capital ratio.
FY2016 AND FY2014 ARE BLANK BECAUSE NO RATIO IS DISCLOSED, AND MUST NOT BE COMPUTED. Neither Pillar 3 edition states a capital ratio as a percentage anywhere. The FY2016 edition comes closest - 'significantly strengthening the core CET1 capital ratio, which is now equal to the Total Capital Ratio' - but gives no number. Both editions disclose a Pillar 1 MINIMUM CAPITAL REQUIREMENT (FY2016 EUR 30,383k, FY2014 EUR 23,792k) and describe it as capital held 'of at least 8%' against risk weighted exposure. Dividing capital resources by a requirement grossed up at 8% would be back-solving a ratio from a floor, which this project forbids and which would in any case produce a number the Bank never published. Left blank deliberately.</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t>
        </is>
      </c>
    </row>
    <row r="11" ht="409" customHeight="1">
      <c r="A11" s="8" t="inlineStr">
        <is>
          <t>(continued)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F11"/>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Tier 1 Capital</t>
        </is>
      </c>
    </row>
    <row r="2">
      <c r="A2" s="2" t="inlineStr">
        <is>
          <t>EUR '000</t>
        </is>
      </c>
    </row>
    <row r="3">
      <c r="A3" s="4" t="inlineStr">
        <is>
          <t>Metric</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Tier 1 / eligible regulatory capital</t>
        </is>
      </c>
      <c r="B4" s="6" t="n">
        <v>259000</v>
      </c>
      <c r="C4" s="6" t="n">
        <v>258360</v>
      </c>
      <c r="D4" s="6" t="n">
        <v>256049</v>
      </c>
      <c r="E4" s="6" t="n">
        <v>255912</v>
      </c>
      <c r="F4" s="6" t="n">
        <v>255099</v>
      </c>
      <c r="G4" s="6" t="n">
        <v>280654</v>
      </c>
      <c r="H4" s="6" t="n">
        <v>207738</v>
      </c>
    </row>
    <row r="5" ht="208" customHeight="1">
      <c r="A5" s="7" t="inlineStr">
        <is>
          <t>Note: FY2021-FY2025: eligible regulatory capital is 100% CET1 in the disclosed KPI/capital-management tables; the same disclosed amount is therefore shown for CET1, Tier 1 and Total Capital. Values are EUR '000. FY2025's own KPI table (Annual Report and Accounts 2025, p.10, 'Capital and Liquidity Position') is presented in whole EUR millions only (a changed presentation from prior years' more precise KPI table, coinciding with the September 2025 sanctions re-imposition) - the FY2025 figure (259) is therefore rounded to the nearest EUR million before conversion to EUR '000, one significant figure less precise than FY2021-FY2024's figures.
FY2016 (from the Bank's own Pillar 3, section 4, Capital Resources table): Total CET 1 Capital EUR 280,654k = Share Capital EUR 264,412k + Retained Surplus EUR 16,242k, and Total Capital Resources the same EUR 280,654k. The all-CET1 position is not an assumption: the document states 'At 31 December 2016, the Bank's capital resources amounted to EUR 280,654,000 (2015: EUR 278,147,000) all of which was Common Equity Tier One ("CET1") capital', and explains why - on 19 December 2016 the Bank issued 71,626,396 EUR1 shares to Bank Melli Iran for cash and on the same day redeemed and repaid all of the US$75m Subordinated Loan Notes that had qualified as Tier 2, 'effectively convert[ing] the tier 2 capital into CET1 capital'. So CET1 = Tier 1 = Total Capital for FY2016 by the Bank's own statement.
FY2014 (from the Bank's own Pillar 3, section 6, Capital Resources table): Total Tier 1 Capital EUR 207,738k = Share Capital EUR 192,785k + Retained Surplus EUR 14,953k; Tier 2 Capital EUR 61,810k; Total Capital Resources EUR 269,548k. The Tier 2 is described as 'subordinated floating rate loan notes of US$75m issued to Bank Melli Iran', repayable 15 November 2050 - the same notes retired in December 2016. FY2014 is therefore the one year on these sheets where Tier 1 and Total Capital genuinely DIFFER, and the difference is real, not a transcription artefact.
WHY FY2014 IS BLANK ON THE CET1 CAPITAL SHEET: the FY2014 edition labels its figure 'Total Tier 1 Capital' and never uses the term CET1 for it (CET1 appears in that document only in the forward-looking CRD IV buffer discussion). Its components - share capital and retained surplus, with no AT1 instrument named - would make it CET1 on any ordinary reading, but that is an inference and this project transcribes only what a document states. Recorded as a deliberate blank, not an unresearched gap.
FY2015 IS DELIBERATELY NOT SHOWN AS A COLUMN, and this is a recorded decision rather than an oversight. No FY2015 Pillar 3 document survives; FY2015 figures exist only as narrative comparatives inside the FY2016 edition, and that edition is INTERNALLY INCONSISTENT about them: section 4 says capital resources were 'EUR 278,147,000' at 31 December 2015 'of which 75% [was CET1] amounting to EUR 209,264,000', while section 5.5 of the same document says 'Euro 276m of which 75% was CET1 capital'. 75% of 278,147 is 208,610, not 209,264. Both statements are recorded here as they stand and neither is reconciled to the other; no FY2015 cell is written from either.</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t>
        </is>
      </c>
    </row>
    <row r="9" ht="409" customHeight="1">
      <c r="A9" s="8" t="inlineStr">
        <is>
          <t>(continued)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7:H7"/>
    <mergeCell ref="A9:H9"/>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Melli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56%</t>
        </is>
      </c>
      <c r="C4" s="6" t="inlineStr">
        <is>
          <t>55%</t>
        </is>
      </c>
      <c r="D4" s="6" t="inlineStr">
        <is>
          <t>51%</t>
        </is>
      </c>
      <c r="E4" s="6" t="inlineStr">
        <is>
          <t>60%</t>
        </is>
      </c>
      <c r="F4" s="6" t="inlineStr">
        <is>
          <t>64%</t>
        </is>
      </c>
    </row>
    <row r="5" ht="65" customHeight="1">
      <c r="A5" s="7" t="inlineStr">
        <is>
          <t>Note: FY2021-FY2025: the Bank discloses a single Total Capital Ratio and states all capital is CET1; the ratio is shown as the CET1, Tier 1 and Total Capital ratio.
FY2016 AND FY2014 ARE BLANK BECAUSE NO RATIO IS DISCLOSED, AND MUST NOT BE COMPUTED. Neither Pillar 3 edition states a capital ratio as a percentage anywhere. The FY2016 edition comes closest - 'significantly strengthening the core CET1 capital ratio, which is now equal to the Total Capital Ratio' - but gives no number. Both editions disclose a Pillar 1 MINIMUM CAPITAL REQUIREMENT (FY2016 EUR 30,383k, FY2014 EUR 23,792k) and describe it as capital held 'of at least 8%' against risk weighted exposure. Dividing capital resources by a requirement grossed up at 8% would be back-solving a ratio from a floor, which this project forbids and which would in any case produce a number the Bank never published. Left blank deliberately.</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t>
        </is>
      </c>
    </row>
    <row r="11" ht="409" customHeight="1">
      <c r="A11" s="8" t="inlineStr">
        <is>
          <t>(continued)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F11"/>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Total Capital</t>
        </is>
      </c>
    </row>
    <row r="2">
      <c r="A2" s="2" t="inlineStr">
        <is>
          <t>EUR '000</t>
        </is>
      </c>
    </row>
    <row r="3">
      <c r="A3" s="4" t="inlineStr">
        <is>
          <t>Metric</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Total regulatory capital / eligible capital</t>
        </is>
      </c>
      <c r="B4" s="6" t="n">
        <v>259000</v>
      </c>
      <c r="C4" s="6" t="n">
        <v>258360</v>
      </c>
      <c r="D4" s="6" t="n">
        <v>256049</v>
      </c>
      <c r="E4" s="6" t="n">
        <v>255912</v>
      </c>
      <c r="F4" s="6" t="n">
        <v>255099</v>
      </c>
      <c r="G4" s="6" t="n">
        <v>280654</v>
      </c>
      <c r="H4" s="6" t="n">
        <v>269548</v>
      </c>
    </row>
    <row r="5">
      <c r="A5" s="6" t="inlineStr">
        <is>
          <t>of which: Tier 2 capital (US$75m subordinated floating rate loan notes issued to Bank Melli Iran, redeemed and repaid in full 19 December 2016)</t>
        </is>
      </c>
      <c r="B5" s="6" t="n"/>
      <c r="C5" s="6" t="n"/>
      <c r="D5" s="6" t="n"/>
      <c r="E5" s="6" t="n"/>
      <c r="F5" s="6" t="n"/>
      <c r="G5" s="6" t="n"/>
      <c r="H5" s="6" t="n">
        <v>61810</v>
      </c>
    </row>
    <row r="6" ht="208" customHeight="1">
      <c r="A6" s="7" t="inlineStr">
        <is>
          <t>Note: FY2021-FY2025: eligible regulatory capital is 100% CET1 in the disclosed KPI/capital-management tables; the same disclosed amount is therefore shown for CET1, Tier 1 and Total Capital. Values are EUR '000. FY2025's own KPI table (Annual Report and Accounts 2025, p.10, 'Capital and Liquidity Position') is presented in whole EUR millions only (a changed presentation from prior years' more precise KPI table, coinciding with the September 2025 sanctions re-imposition) - the FY2025 figure (259) is therefore rounded to the nearest EUR million before conversion to EUR '000, one significant figure less precise than FY2021-FY2024's figures.
FY2016 (from the Bank's own Pillar 3, section 4, Capital Resources table): Total CET 1 Capital EUR 280,654k = Share Capital EUR 264,412k + Retained Surplus EUR 16,242k, and Total Capital Resources the same EUR 280,654k. The all-CET1 position is not an assumption: the document states 'At 31 December 2016, the Bank's capital resources amounted to EUR 280,654,000 (2015: EUR 278,147,000) all of which was Common Equity Tier One ("CET1") capital', and explains why - on 19 December 2016 the Bank issued 71,626,396 EUR1 shares to Bank Melli Iran for cash and on the same day redeemed and repaid all of the US$75m Subordinated Loan Notes that had qualified as Tier 2, 'effectively convert[ing] the tier 2 capital into CET1 capital'. So CET1 = Tier 1 = Total Capital for FY2016 by the Bank's own statement.
FY2014 (from the Bank's own Pillar 3, section 6, Capital Resources table): Total Tier 1 Capital EUR 207,738k = Share Capital EUR 192,785k + Retained Surplus EUR 14,953k; Tier 2 Capital EUR 61,810k; Total Capital Resources EUR 269,548k. The Tier 2 is described as 'subordinated floating rate loan notes of US$75m issued to Bank Melli Iran', repayable 15 November 2050 - the same notes retired in December 2016. FY2014 is therefore the one year on these sheets where Tier 1 and Total Capital genuinely DIFFER, and the difference is real, not a transcription artefact.
WHY FY2014 IS BLANK ON THE CET1 CAPITAL SHEET: the FY2014 edition labels its figure 'Total Tier 1 Capital' and never uses the term CET1 for it (CET1 appears in that document only in the forward-looking CRD IV buffer discussion). Its components - share capital and retained surplus, with no AT1 instrument named - would make it CET1 on any ordinary reading, but that is an inference and this project transcribes only what a document states. Recorded as a deliberate blank, not an unresearched gap.
FY2015 IS DELIBERATELY NOT SHOWN AS A COLUMN, and this is a recorded decision rather than an oversight. No FY2015 Pillar 3 document survives; FY2015 figures exist only as narrative comparatives inside the FY2016 edition, and that edition is INTERNALLY INCONSISTENT about them: section 4 says capital resources were 'EUR 278,147,000' at 31 December 2015 'of which 75% [was CET1] amounting to EUR 209,264,000', while section 5.5 of the same document says 'Euro 276m of which 75% was CET1 capital'. 75% of 278,147 is 208,610, not 209,264. Both statements are recorded here as they stand and neither is reconciled to the other; no FY2015 cell is written from either.</t>
        </is>
      </c>
    </row>
    <row r="8" ht="409" customHeight="1">
      <c r="A8"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t>
        </is>
      </c>
    </row>
    <row r="10" ht="409" customHeight="1">
      <c r="A10" s="8" t="inlineStr">
        <is>
          <t>(continued)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8:H8"/>
    <mergeCell ref="A6:H6"/>
    <mergeCell ref="A10:H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Melli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56%</t>
        </is>
      </c>
      <c r="C4" s="6" t="inlineStr">
        <is>
          <t>55%</t>
        </is>
      </c>
      <c r="D4" s="6" t="inlineStr">
        <is>
          <t>51%</t>
        </is>
      </c>
      <c r="E4" s="6" t="inlineStr">
        <is>
          <t>60%</t>
        </is>
      </c>
      <c r="F4" s="6" t="inlineStr">
        <is>
          <t>64%</t>
        </is>
      </c>
    </row>
    <row r="5" ht="65" customHeight="1">
      <c r="A5" s="7" t="inlineStr">
        <is>
          <t>Note: FY2021-FY2025: the Bank discloses a single Total Capital Ratio and states all capital is CET1; the ratio is shown as the CET1, Tier 1 and Total Capital ratio.
FY2016 AND FY2014 ARE BLANK BECAUSE NO RATIO IS DISCLOSED, AND MUST NOT BE COMPUTED. Neither Pillar 3 edition states a capital ratio as a percentage anywhere. The FY2016 edition comes closest - 'significantly strengthening the core CET1 capital ratio, which is now equal to the Total Capital Ratio' - but gives no number. Both editions disclose a Pillar 1 MINIMUM CAPITAL REQUIREMENT (FY2016 EUR 30,383k, FY2014 EUR 23,792k) and describe it as capital held 'of at least 8%' against risk weighted exposure. Dividing capital resources by a requirement grossed up at 8% would be back-solving a ratio from a floor, which this project forbids and which would in any case produce a number the Bank never published. Left blank deliberately.</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t>
        </is>
      </c>
    </row>
    <row r="11" ht="409" customHeight="1">
      <c r="A11" s="8" t="inlineStr">
        <is>
          <t>(continued)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F11"/>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Melli Bank plc — Total RWAs</t>
        </is>
      </c>
    </row>
    <row r="2">
      <c r="A2" s="2" t="inlineStr">
        <is>
          <t>EUR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exposure amount</t>
        </is>
      </c>
      <c r="B4" s="6" t="n">
        <v>458000</v>
      </c>
      <c r="C4" s="6" t="n">
        <v>466000</v>
      </c>
      <c r="D4" s="6" t="n">
        <v>498000</v>
      </c>
      <c r="E4" s="6" t="n">
        <v>423000</v>
      </c>
      <c r="F4" s="6" t="n">
        <v>399000</v>
      </c>
    </row>
    <row r="5" ht="156" customHeight="1">
      <c r="A5" s="7" t="inlineStr">
        <is>
          <t>Note: FY2021-FY2025: Total Risk Exposure Amount is the directly disclosed regulatory KPI, shown in EUR '000 (source table reports EUR millions for every year FY2021-FY2025, so no year loses precision relative to another here - unlike the Eligible Capital figure, see CET1 Capital sheet note).
FY2016 AND FY2014 ARE BLANK, AND DELIBERATELY SO. Neither Pillar 3 edition states a risk weighted assets or total risk exposure amount figure. What each DOES state is the Pillar 1 minimum capital requirement, broken down by risk category (EUR '000):
  FY2016 - Credit risk 29,249; Market risk nil ('The Bank does not have a trading book' and 'does not allocate capital for market risk as the net foreign exchange position is less than 2% of total own funds'); Operational risk 1,134 (Basic Indicator Approach); TOTAL 30,383.
  FY2014 - Credit risk 22,658; Market risk 0; Operational risk 1,134; TOTAL 23,792.
  FY2016 credit risk by exposure class: Central governments or Central banks 7,439; Institutions 18,460; Exposures in default 2,691; Other items 659.
  FY2014 credit risk by exposure class: Central governments or Central banks 4,659; Institutions 13,448; Corporates 104; Past due items 3,474; Other items 972.
These are CAPITAL REQUIREMENTS, not RWAs. Multiplying them by 12.5 (the inverse of the 8% floor each document cites) would be back-solving, and the result would not be a disclosed figure - so it is not done here, and no RWA cell is written for FY2016 or FY2014. The figures are recorded in this note so the disclosure is not lost, and are kept OUT of the RWA Breakdown sheet's rows so they can never be read as RWAs by anything consuming this workbook.</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t>
        </is>
      </c>
    </row>
    <row r="11" ht="409" customHeight="1">
      <c r="A11" s="8" t="inlineStr">
        <is>
          <t>(continued)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F11"/>
    <mergeCell ref="A5:F5"/>
    <mergeCell ref="A7:F7"/>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RWA Breakdown</t>
        </is>
      </c>
    </row>
    <row r="2">
      <c r="A2" s="2" t="inlineStr">
        <is>
          <t>Not disclosed at category level for any year - including in the Bank's own FY2016 and FY2014 Pillar 3 documents. EUR '000. See source note.</t>
        </is>
      </c>
    </row>
    <row r="3">
      <c r="A3" s="4" t="inlineStr">
        <is>
          <t>Line item</t>
        </is>
      </c>
      <c r="B3" s="4" t="inlineStr">
        <is>
          <t>FY2025 (EUR '000)</t>
        </is>
      </c>
      <c r="C3" s="4" t="inlineStr">
        <is>
          <t>FY2024 (EUR '000)</t>
        </is>
      </c>
      <c r="D3" s="4" t="inlineStr">
        <is>
          <t>FY2023 (EUR '000)</t>
        </is>
      </c>
      <c r="E3" s="4" t="inlineStr">
        <is>
          <t>FY2022 (EUR '000)</t>
        </is>
      </c>
      <c r="F3" s="4" t="inlineStr">
        <is>
          <t>FY2021 (EUR '000)</t>
        </is>
      </c>
      <c r="G3" s="4" t="inlineStr">
        <is>
          <t>FY2016 (EUR '000)</t>
        </is>
      </c>
      <c r="H3" s="4" t="inlineStr">
        <is>
          <t>FY2014 (EUR '000)</t>
        </is>
      </c>
    </row>
    <row r="4">
      <c r="A4" s="6" t="inlineStr">
        <is>
          <t>RWA breakdown by risk category</t>
        </is>
      </c>
      <c r="B4" s="6" t="inlineStr">
        <is>
          <t>Not disclosed at category level in any surviving source</t>
        </is>
      </c>
      <c r="C4" s="6" t="inlineStr">
        <is>
          <t>Not disclosed at category level in any surviving source</t>
        </is>
      </c>
      <c r="D4" s="6" t="inlineStr">
        <is>
          <t>Not disclosed at category level in any surviving source</t>
        </is>
      </c>
      <c r="E4" s="6" t="inlineStr">
        <is>
          <t>Not disclosed at category level in any surviving source</t>
        </is>
      </c>
      <c r="F4" s="6" t="inlineStr">
        <is>
          <t>Not disclosed at category level in any surviving source</t>
        </is>
      </c>
      <c r="G4" s="6" t="inlineStr">
        <is>
          <t>Not disclosed at category level in any surviving source</t>
        </is>
      </c>
      <c r="H4" s="6" t="inlineStr">
        <is>
          <t>Not disclosed at category level in any surviving source</t>
        </is>
      </c>
    </row>
    <row r="6" ht="409" customHeight="1">
      <c r="A6"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RWA BREAKDOWN: no category-level (credit risk / market risk / operational risk / CVA) RWA breakdown is disclosed for ANY year, FY2014 through FY2025 - and as of 2026-09-16 that now covers the Bank's own Pillar 3 documents as well as its Annual Reports, so it is an evidenced non-disclosure across every surviving source rather than an inference from the annual reports alone.
FY2021-FY2025: each year's own 'Capital management' note (and, for FY2025, the 'Capital and Liquidity Position' KPI table on p.10) discloses only the aggregate Total Risk Exposure Amount shown on the Total RWAs sheet, consistent with the reports' own statement that full Pillar 3 disclosure is available on request rather than published. All 5 Annual Reports were fully read, including the current FY2025 report. RE-VERIFIED 2026-09-12 (independent second pass): re-downloaded and OCR'd the live FY2025 Annual Report directly and confirmed the same 'Basel III - Pillar 3 Disclosure / The Pillar 3 disclosure is available on request' statement, plus the KPI table's Total Risk Exposure Amount (EUR 458m FY2025 / EUR 466m FY2024) with no category split anywhere in the document.
FY2016 AND FY2014: the two surviving Pillar 3 documents were read in full on 2026-09-16. Neither states an RWA figure at all - not in total and not by category. What each discloses instead is the Pillar 1 MINIMUM CAPITAL REQUIREMENT by risk category and by exposure class; those numbers are set out in full on the Total RWAs sheet's note. They are NOT reproduced as rows on this sheet, and deliberately so: a capital requirement placed in an RWA breakdown would be understated by a factor of 12.5 to anything reading this workbook, and grossing it up to an RWA would be back-solving from the 8% floor. So this sheet stays empty for those two years while the underlying disclosure is preserved in prose.
PILLAR 3 PUBLICATION HISTORY - THE COMPLETE ANSWER FOR THIS BANK (compiled 2026-09-16; do not re-chase).</t>
        </is>
      </c>
    </row>
    <row r="8" ht="409" customHeight="1">
      <c r="A8" s="8" t="inlineStr">
        <is>
          <t>(continued)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t>
        </is>
      </c>
    </row>
    <row r="10" ht="409" customHeight="1">
      <c r="A10" s="8" t="inlineStr">
        <is>
          <t>(continued)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8:H8"/>
    <mergeCell ref="A6:H6"/>
    <mergeCell ref="A10:H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Leverage ratio (year-end, Basel III)</t>
        </is>
      </c>
      <c r="B4" s="6" t="inlineStr">
        <is>
          <t>Not published – no leverage ratio in Melli AR FY2025 (OCR, 2026-09-19); Directors' report says Pillar 3 is 'available on request' only.</t>
        </is>
      </c>
      <c r="C4" s="6" t="inlineStr">
        <is>
          <t>Not published – no leverage ratio in Melli AR FY2024 (OCR, 2026-09-19); Directors' report says Pillar 3 is 'available on request' only.</t>
        </is>
      </c>
      <c r="D4" s="6" t="inlineStr">
        <is>
          <t>Unreached today – FY2023 AR (no leverage ratio) points to the website, but mellibank.com/reports (Wayback Jun 2023-May 2026) says Pillar 3 is 'available on request'; site times out (2026-09-19); Common Crawl 2024-10..2026-39 checked.</t>
        </is>
      </c>
      <c r="E4" s="6" t="inlineStr">
        <is>
          <t>Not published – no leverage ratio in Melli AR FY2022 (OCR, 2026-09-19); Directors' report says Pillar 3 is 'available on request' only.</t>
        </is>
      </c>
      <c r="F4" s="6" t="inlineStr">
        <is>
          <t>Not published – no leverage ratio in Melli AR FY2021 (OCR, 2026-09-19); Directors' report says Pillar 3 is 'available on request' only.</t>
        </is>
      </c>
      <c r="G4" s="6" t="inlineStr">
        <is>
          <t>75%</t>
        </is>
      </c>
      <c r="H4" s="6" t="inlineStr">
        <is>
          <t>approximately 60%</t>
        </is>
      </c>
    </row>
    <row r="5" ht="195" customHeight="1">
      <c r="A5" s="7" t="inlineStr">
        <is>
          <t>Note: FY2016 and FY2014 are the only years with a leverage ratio, and both come from the Bank's own Pillar 3 documents:
  FY2016 (section 7, Leverage): 'The Bank's year-end 2016 Leverage Ratio under Basel III is 75% (versus a minimum regulatory requirement of 3%).'
  FY2014 (section 9, Leverage): 'The Bank's year-end Leverage Ratio under Basel 3 is APPROXIMATELY 60% (versus a minimum of 3%).' The word 'approximately' is the Bank's own and is preserved verbatim in the cell rather than being silently rendered as a precise 60% - the document does not offer a precise figure, and both editions add that 'detailed statistics will not become relevant until normal business recommences and significant balance sheet expansion takes place', the position of a sanctioned bank holding a large capital base against a shrunken balance sheet.
FY2021-FY2025 record 'Not publicly disclosed': no leverage ratio appears in any of those years' Annual Reports, and no Pillar 3 document exists for them to appear in.
LEVERAGE BASIS: THE QUESTION DOES NOT ARISE FOR THIS BANK (GA-026, 2026-10-09). The UK dual-basis leverage split - template UK LR2's row 24 INCLUDING claims on central banks against UK-24b EXCLUDING them - is effective only for periods from 1 January 2022. Melli's only two disclosed leverage figures are FY2016 and FY2014, both struck under Basel III years before that date and both quoted against a 3% minimum, so neither could carry the split and no basis distinction is available to record. No edition covering a post-2022 period exists.
EVIDENCE FOR THAT ABSENCE, re-established independently 2026-09-18 (GA-006), because every Melli source is an image scan and a zero from an unreadable document is worth nothing. The FY2025 Annual Report (Companies House, a go-tiff2pdf scan with no text layer at all - pdftotext returns zero characters for all 54 pages) was rendered at 200dpi and OCR'd across its whole front section. 'Leverage' appears ZERO times, against a richness control in the SAME extraction of 19 hits for 'capital', 65 for 'ratio' and 18 for 'liquidity' - so the zero is a fact about the document, not about the extraction. Decisively, the 'Capital and Liquidity Position' KPI table was read in full and its eight rows are: Shareholders' Equity, Eligible Capital, Total Assets, Total Risk Exposure Amount, Total Capital Ratio, Equity to Assets Ratio, Liquidity Coverage Ratio, Total Net Income. There is no leverage row, and that table is the only place the metric could sit. Its two columns are 2025 and 2024, so FY2024 is covered by the same reading. The FY2023 edition (Hong Kong Monetary Authority register, also an image scan) was checked the same way and gives the same result - zero 'leverage' against 18 'capital', 41 'ratio' and 11 'liquidity' - which covers FY2023 and its FY2022 comparative. This is an evidenced absence, not a failed search.</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t>
        </is>
      </c>
    </row>
    <row r="9" ht="409" customHeight="1">
      <c r="A9" s="8" t="inlineStr">
        <is>
          <t>(continued)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7:H7"/>
    <mergeCell ref="A9:H9"/>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Melli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FY2016</t>
        </is>
      </c>
    </row>
    <row r="4">
      <c r="A4" s="6" t="inlineStr">
        <is>
          <t>Liquidity Coverage Ratio (point-in-time, year-end)</t>
        </is>
      </c>
      <c r="B4" s="6" t="inlineStr">
        <is>
          <t>679%</t>
        </is>
      </c>
      <c r="C4" s="6" t="inlineStr">
        <is>
          <t>697%</t>
        </is>
      </c>
      <c r="D4" s="6" t="inlineStr">
        <is>
          <t>529%</t>
        </is>
      </c>
      <c r="E4" s="6" t="inlineStr">
        <is>
          <t>617%</t>
        </is>
      </c>
      <c r="F4" s="6" t="inlineStr">
        <is>
          <t>350%</t>
        </is>
      </c>
      <c r="G4" s="6" t="inlineStr">
        <is>
          <t>119.16%</t>
        </is>
      </c>
    </row>
    <row r="5" ht="104" customHeight="1">
      <c r="A5" s="7" t="inlineStr">
        <is>
          <t>Note: FY2021-FY2025: directly disclosed in the Annual Report KPI tables. FY2021 is reported in the FY2023 Annual Report KPI comparative table (p.9); FY2022-FY2025 are reported in the later corresponding KPI tables.
FY2016: 119.16%, from the Bank's own Pillar 3 document, section 8 (Liquidity): 'The Bank's year-end 2016 Liquidity Coverage Ratio was 119.16% (versus a minimum regulatory requirement of 80%).'
BASIS - IMPORTANT: every figure on this row is a POINT-IN-TIME YEAR-END ratio, not a 12-month average. The FY2016 figure says 'year-end' in terms. Melli publishes no UK KM1 table (which would carry a 12-month average), so there is no average series in existence for this bank; if one is ever obtained it must go on its own row and must not be merged into this one.
FY2014 IS BLANK, and the FY2014 Pillar 3 explains why in its own words: its entire Liquidity section reads 'Whilst the Bank maintains large short term deposit balances with banks, the PRA acknowledges that the sanctions prevent it undertaking most financial transactions (including the purchase of higher quality assets) which prevent the Bank from improving its Liquidity Coverage Ratio.' The ratio is discussed but never quantified. That is a disclosed non-disclosure, not a retrieval gap.</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t>
        </is>
      </c>
    </row>
    <row r="9" ht="409" customHeight="1">
      <c r="A9" s="8" t="inlineStr">
        <is>
          <t>(continued)
FY2016 - 23 pages, cover 'Pillar 3 Disclosures / As at 31st December 2016', 'Registered number 4152338' - https://web.archive.org/web/20190405190315id_/http://mellibank.com/File/DownloadReportFiles?filename=Melli%20Bank%20-%20Pillar%203%20%20Disclosures%202016%20-%20Final.pdf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t>
        </is>
      </c>
    </row>
    <row r="11" ht="409" customHeight="1">
      <c r="A11" s="8" t="inlineStr">
        <is>
          <t>(continued)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4">
    <mergeCell ref="A11:G11"/>
    <mergeCell ref="A7:G7"/>
    <mergeCell ref="A5:G5"/>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NSFR</t>
        </is>
      </c>
      <c r="B4" s="6" t="inlineStr">
        <is>
          <t>Not published – no NSFR figure in Melli AR FY2025 (OCR, 2026-09-19); Directors' report says Pillar 3 is 'available on request' only.</t>
        </is>
      </c>
      <c r="C4" s="6" t="inlineStr">
        <is>
          <t>Not published – no NSFR figure in Melli AR FY2024 (OCR, 2026-09-19); Directors' report says Pillar 3 is 'available on request' only.</t>
        </is>
      </c>
      <c r="D4" s="6" t="inlineStr">
        <is>
          <t>Unreached today – FY2023 AR (no NSFR figure) points to the website, but mellibank.com/reports (Wayback Jun 2023-May 2026) says Pillar 3 is 'available on request'; site times out (2026-09-19); Common Crawl 2024-10..2026-39 checked.</t>
        </is>
      </c>
      <c r="E4" s="6" t="inlineStr">
        <is>
          <t>Not published – no NSFR figure in Melli AR FY2022 (OCR, 2026-09-19); Directors' report says Pillar 3 is 'available on request' only.</t>
        </is>
      </c>
      <c r="F4" s="6" t="inlineStr">
        <is>
          <t>Not published – no NSFR figure in Melli AR FY2021 (OCR, 2026-09-19); Directors' report says Pillar 3 is 'available on request' only.</t>
        </is>
      </c>
      <c r="G4" s="6" t="inlineStr">
        <is>
          <t>Not published – Melli Pillar 3 FY2016 (read in full) says NSFR is used to manage funding risk but gives no figure.</t>
        </is>
      </c>
      <c r="H4" s="6" t="inlineStr">
        <is>
          <t>Not published – Melli Pillar 3 FY2014 (read in full) does not mention stable funding.</t>
        </is>
      </c>
    </row>
    <row r="5" ht="65" customHeight="1">
      <c r="A5" s="7" t="inlineStr">
        <is>
          <t>Note: Not publicly disclosed for this entity/year in the reviewed official source set. For FY2021-FY2025 the Bank's own reports state that the Pillar 3 disclosure is available on request rather than published, and no public KM1 document exists. For FY2016 and FY2014 the Bank's actual Pillar 3 documents were obtained and read in full (see the source note below) and simply do not disclose this metric.
SPECIFIC TO FY2016: the Bank's own FY2016 Pillar 3 document mentions the NSFR - 'In addition to the Liquidity Coverage Ratio, the Bank also uses the Liquidity Maintenance Ratio (for the Hong Kong Branch) and the Net Stable Funding Ratio to manage its liquidity and funding risk' - but gives no figure for it. The FY2014 edition does not mention stable funding at all. Both blanks are therefore evidenced against the primary documents. Note also that the UK NSFR became a binding requirement only from 1 January 2022, so FY2014 and FY2016 blanks are structural as well as evidenced.</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t>
        </is>
      </c>
    </row>
    <row r="9" ht="409" customHeight="1">
      <c r="A9" s="8" t="inlineStr">
        <is>
          <t>(continued)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7:H7"/>
    <mergeCell ref="A9:H9"/>
    <mergeCell ref="A5:H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Melli Bank plc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FY2016</t>
        </is>
      </c>
      <c r="H3" s="4" t="inlineStr">
        <is>
          <t>FY2014</t>
        </is>
      </c>
    </row>
    <row r="4">
      <c r="A4" s="6" t="inlineStr">
        <is>
          <t>MREL Ratio</t>
        </is>
      </c>
      <c r="B4" s="6" t="inlineStr">
        <is>
          <t>Not published – no MREL figure in Melli AR FY2025 (OCR, 2026-09-19); Directors' report says Pillar 3 is 'available on request' only.</t>
        </is>
      </c>
      <c r="C4" s="6" t="inlineStr">
        <is>
          <t>Not published – no MREL figure in Melli AR FY2024 (OCR, 2026-09-19); Directors' report says Pillar 3 is 'available on request' only.</t>
        </is>
      </c>
      <c r="D4" s="6" t="inlineStr">
        <is>
          <t>Unreached today – FY2023 AR (no MREL figure) points to the website, but mellibank.com/reports (Wayback Jun 2023-May 2026) says Pillar 3 is 'available on request'; site times out (2026-09-19); Common Crawl 2024-10..2026-39 checked.</t>
        </is>
      </c>
      <c r="E4" s="6" t="inlineStr">
        <is>
          <t>Not published – no MREL figure in Melli AR FY2022 (OCR, 2026-09-19); Directors' report says Pillar 3 is 'available on request' only.</t>
        </is>
      </c>
      <c r="F4" s="6" t="inlineStr">
        <is>
          <t>Not published – no MREL figure in Melli AR FY2021 (OCR, 2026-09-19); Directors' report says Pillar 3 is 'available on request' only.</t>
        </is>
      </c>
      <c r="G4" s="6" t="inlineStr">
        <is>
          <t>Not published – Melli Pillar 3 FY2016 (read in full) does not mention MREL or eligible liabilities.</t>
        </is>
      </c>
      <c r="H4" s="6" t="inlineStr">
        <is>
          <t>Not published – Melli Pillar 3 FY2014 (read in full) does not mention MREL or eligible liabilities.</t>
        </is>
      </c>
    </row>
    <row r="5" ht="65" customHeight="1">
      <c r="A5" s="7" t="inlineStr">
        <is>
          <t>Note: Not publicly disclosed for this entity/year in the reviewed official source set. For FY2021-FY2025 the Bank's own reports state that the Pillar 3 disclosure is available on request rather than published, and no public KM1 document exists. For FY2016 and FY2014 the Bank's actual Pillar 3 documents were obtained and read in full (see the source note below) and simply do not disclose this metric.
SPECIFIC TO FY2016 AND FY2014: both Pillar 3 documents were read in full and neither mentions MREL, minimum requirement for own funds and eligible liabilities, or resolution planning of any kind - unsurprising for a sanctioned bank whose stated objective in both documents is simply 'to ensure that it continues to meet the Threshold Conditions of the PRA and retains its authorisation', and which pre-dates the UK MREL regime's application to firms of this size. Evidenced blanks, not gaps.</t>
        </is>
      </c>
    </row>
    <row r="7" ht="409" customHeight="1">
      <c r="A7" s="8" t="inlineStr">
        <is>
          <t>Sources - Melli Bank plc entity-level regulatory KPI and capital disclosures:
FY2024/FY2023: Annual Report and Accounts 2024, KPI p.9 and capital management p.49 - https://find-and-update.company-information.service.gov.uk/company/04152338/filing-history/MzQ3MDI0ODU4NWFkaXF6a2N4/document?download=0&amp;format=pdf
FY2023/FY2022/FY2021: Annual Report and Accounts 2023, KPI p.9 and capital management p.49 - https://vpr.hkma.gov.hk/statics/assets/doc/100273/ar_23/ar_23_eng.pdf
FY2021 comparative context: Annual Report 2021, KPI p.8 and capital management p.46 - https://find-and-update.company-information.service.gov.uk/company/04152338/filing-history/MzM0MzE1NzIzOWFkaXF6a2N4/document?download=0&amp;format=pdf
FY2025: Annual Report and Accounts 2025, 'Capital and Liquidity Position' KPI table p.10 - https://find-and-update.company-information.service.gov.uk/company/04152338/filing-history/MzUyNjMyOTE4OGFkaXF6a2N4/document?download=0&amp;format=pdf
FY2016: Pillar 3 Disclosures as at 31st December 2016 (the Bank's OWN Pillar 3 document, 23pp) - https://web.archive.org/web/20190405190315id_/http://mellibank.com/File/DownloadReportFiles?filename=Melli%20Bank%20-%20Pillar%203%20%20Disclosures%202016%20-%20Final.pdf
FY2014: Pillar 3 Disclosures as at 31st December 2014 (the Bank's OWN Pillar 3 document, 16pp) - https://web.archive.org/web/20170407223115id_/http://mellibank.com/PDFs/Melli%20Bank%20P3%20Disclosures%20as%20at%2031%20December%202014%20FINAL.pdf
BASIS NOTE - TWO DIFFERENT KINDS OF SOURCE ON ONE SHEET. FY2021-FY2025 figures come from the Annual Report's own KPI / capital-management tables, because no Pillar 3 document exists for those years (the reports themselves say so - see PILLAR 3 PUBLICATION HISTORY below). FY2016 and FY2014 come from the Bank's actual Pillar 3 disclosure documents. The two are not the same disclosure regime and the columns are not a continuous series: FY2014's is a CRD IV-transition-era document with Tier 2 capital outstanding, FY2016's is post-conversion all-CET1, and FY2021-FY2025's are annual-report KPI extracts. Years between them are absent, not blank-because-unresearched - see the publication history.
PILLAR 3 PUBLICATION HISTORY - THE COMPLETE ANSWER FOR THIS BANK (compiled 2026-09-16; do not re-chase).
Melli Bank plc's Directors' report states, in terms, what the Bank did with its Pillar 3 disclosure each year. All thirteen annual reports FY2013-FY2025 were read from Companies House (company 04152338) and the wording extracted year by year. It is not one policy but four phases, and the phase matters because it determines whether a missing document was ever public at all:
  FY2013-FY2015: the disclosures 'will be posted to the Bank's website, www.mellibank.com' (FY2013 adds the condition 'after the agreement of the capital planning buffer with the PRA') - a FORWARD-LOOKING promise.
  FY2016-FY2019: the disclosures 'have been posted to the Bank's website' - a statement that publication HAS HAPPENED.
  FY2020-FY2022: 'available on request from the Bank' - a declared NON-publication.
  FY2023: 'The Pillar 3 disclosure is available on the Bank's website (www.mellibank.com)' - this REVERSES to website publication, for one year only.
  FY2024-FY2025: back to 'available on request'. The FY2025 report also records the 29 September 2025 sanctions designation.
WHAT SURVIVES: exactly TWO editions, both recovered from the Internet Archive and both transcribed into this workbook's Pillar 3 sheets (the FY2016 and FY2014 columns):
  FY2016 - 23 pages, cover 'Pillar 3 Disclosures / As at 31st December 2016', 'Registered number 4152338' - https://web.archive.org/web/20190405190315id_/http://mellibank.com/File/DownloadReportFiles?filename=Melli%20Bank%20-%20Pillar%203%20%20Disclosures%202016%20-%20Final.pdf</t>
        </is>
      </c>
    </row>
    <row r="9" ht="409" customHeight="1">
      <c r="A9" s="8" t="inlineStr">
        <is>
          <t>(continued)
FY2014 - 16 pages, cover 'Pillar 3 Disclosures / As at 31st December 2014', 'Registered number 4152338' - https://web.archive.org/web/20170407223115id_/http://mellibank.com/PDFs/Melli%20Bank%20P3%20Disclosures%20as%20at%2031%20December%202014%20FINAL.pdf
  (the FY2014 document is additionally archived on the retired domain mellibank.co.uk, capture 20160221234533 - https://web.archive.org/web/20160221234533*/mellibank.co.uk)
The registered number on both covers is 4152338, which is Melli Bank plc the UK entity - these are entity-basis documents, not Bank Melli Iran group disclosures. Both were verified on retrieval (%PDF magic bytes, page count, cover text) rather than trusted on URL alone.
WHAT DOES NOT SURVIVE, AND WHY THAT IS A FINDING RATHER THAN A GAP: no Pillar 3 later than the FY2016 edition is archived anywhere on mellibank.com. Captures of the domain continue into MAY 2026, so this is an EVIDENCED absence, not a crawl gap. The site's own DownloadReportFiles index was enumerated and holds Annual Reports 2002-2008 and 2016, plus the FY2016 Pillar 3, and nothing else.
THE FY2023 CLAIM IS CONTRADICTED BY THE BANK'S OWN WEBSITE - recorded, deliberately not resolved. The FY2023 Annual Report says the Pillar 3 disclosure 'is available on the Bank's website (www.mellibank.com)'. The archived mellibank.com /reports page was read across five captures spanning September 2021, April 2023, June 2023, June 2025, February 2026 and May 2026. EVERY ONE of them says: 'Financial Statements and Pillar 3 Disclosures are available on request.' So throughout the period in which the Annual Report asserted website publication, the website itself said available on request. That is a tension between TWO OF THE BANK'S OWN STATEMENTS - a Directors' report and its own web page - not between a claim and a hole in the archive. Both are recorded here as they stand; neither is treated as correcting the other, and no FY2023 Pillar 3 figure is inferred from the Annual Report's assertion that one was published. COMMON CRAWL (2026-09-19) agrees: mellibank.com and mellibank.co.uk, every host and path, in all 31 crawls CC-MAIN-2024-10 to CC-MAIN-2026-39 hold compliance PDFs only (Wolfsberg, FSCS, AML, W-8BEN) and no Pillar 3 or report file; the /reports page captured 3 November 2024 (CC-MAIN-2024-46) carries the same 'available on request' sentence and no report link. FY2023 therefore stays Unreached.
WHAT THIS MEANS FOR FUTURE PASSES, year by year:
  FY2013-FY2019 and FY2023 - the Bank states the documents were (or would be) published. These are PUBLISHED-THEN-LOST, a materially stronger position than never-published, and a written request to the Bank for a document it says it published is a reasonable ask. The Wayback route above already redeems two of them (FY2014, FY2016); FY2013, FY2015, FY2017, FY2018, FY2019 and FY2023 are the remaining candidates.
  FY2020-FY2022 and FY2024-FY2025 - a DECLARED NON-PUBLICATION. The Bank says the document was never put on the website; it exists only on request. This is a COMPLETE ANSWER, the same shape as Havin's elsewhere in this project, and these years must NOT be re-chased through archives or link permutation. Nothing is there to find.
ACCESS ROUTES - RECORDED SO THEY ARE NOT REDISCOVERED. Melli Bank plc's own domains are down: mellibank.com resolves (62.232.194.164) but times out on both ports, consistent with the 29 September 2025 sanctions designation, and mellibank.co.uk is long gone. Three routes work and between them supply every document cited in this workbook:
  (1) COMPANIES HOUSE, company 04152338 - the filing history carries every annual report from FY2002 to FY2025 as a downloadable PDF. This is the route for all the statutory accounts: https://find-and-update.company-information.service.gov.uk/company/04152338/filing-history
  (2) THE HONG KONG MONETARY AUTHORITY PUBLIC REGISTER - a non-obvious route worth keeping. Melli Bank plc has a Hong Kong branch regulated by the HKMA (stated in its own Pillar 3: 'The Bank has one branch in Hong Kong which is regulated by the Hong Kong Monetary Authority'), and the HKMA register therefore hosts readable copies of the Bank's annual reports under institution id 100273 - e.g. https://vpr.hkma.gov.hk/statics/assets/doc/100273/ar_23/ar_23_eng.pdf (FY2023) and https://vpr.hkma.gov.hk/statics/assets/doc/100273/ar_22/ar_22_eng.pdf (FY2022). Nothing about a UK bank's name suggests searching a Hong Kong regulator's register; it was found via the branch disclosure.
  (3) THE INTERNET ARCHIVE, for the two surviving Pillar 3 documents only - see PILLAR3_HISTORY_NOTE. Use the 'id_' raw-capture form of the Wayback URL; the ordinary wayback form returns the archive's HTML wrapper.</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2026-10-26T09:36:09Z</dcterms:created>
  <dcterms:modified xmlns:dcterms="http://purl.org/dc/terms/" xmlns:xsi="http://www.w3.org/2001/XMLSchema-instance" xsi:type="dcterms:W3CDTF">2026-10-26T09:36:09Z</dcterms:modified>
</cp:coreProperties>
</file>