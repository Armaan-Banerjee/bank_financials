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'Overview'!$AC$18:$AG$18</f>
            </numRef>
          </cat>
          <val>
            <numRef>
              <f>'Overview'!$AC$19:$AG$19</f>
            </numRef>
          </val>
        </ser>
        <ser>
          <idx val="1"/>
          <order val="1"/>
          <tx>
            <strRef>
              <f>'Overview'!AB20</f>
            </strRef>
          </tx>
          <spPr>
            <a:ln xmlns:a="http://schemas.openxmlformats.org/drawingml/2006/main">
              <a:prstDash val="solid"/>
            </a:ln>
          </spPr>
          <cat>
            <numRef>
              <f>'Overview'!$AC$18:$AG$18</f>
            </numRef>
          </cat>
          <val>
            <numRef>
              <f>'Overview'!$AC$20:$AG$20</f>
            </numRef>
          </val>
        </ser>
        <ser>
          <idx val="2"/>
          <order val="2"/>
          <tx>
            <strRef>
              <f>'Overview'!AB21</f>
            </strRef>
          </tx>
          <spPr>
            <a:ln xmlns:a="http://schemas.openxmlformats.org/drawingml/2006/main">
              <a:prstDash val="solid"/>
            </a:ln>
          </spPr>
          <cat>
            <numRef>
              <f>'Overview'!$AC$18:$AG$18</f>
            </numRef>
          </cat>
          <val>
            <numRef>
              <f>'Overview'!$AC$21:$AG$21</f>
            </numRef>
          </val>
        </ser>
        <ser>
          <idx val="3"/>
          <order val="3"/>
          <tx>
            <strRef>
              <f>'Overview'!AB22</f>
            </strRef>
          </tx>
          <spPr>
            <a:ln xmlns:a="http://schemas.openxmlformats.org/drawingml/2006/main">
              <a:prstDash val="solid"/>
            </a:ln>
          </spPr>
          <cat>
            <numRef>
              <f>'Overview'!$AC$18:$AG$18</f>
            </numRef>
          </cat>
          <val>
            <numRef>
              <f>'Overview'!$AC$22:$AG$22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 - FY2021 omitted, see Statement of Changes in Equity sheet's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'Overview'!AJ26</f>
            </strRef>
          </tx>
          <spPr>
            <a:ln xmlns:a="http://schemas.openxmlformats.org/drawingml/2006/main">
              <a:prstDash val="solid"/>
            </a:ln>
          </spPr>
          <cat>
            <numRef>
              <f>'Overview'!$AK$25:$AP$25</f>
            </numRef>
          </cat>
          <val>
            <numRef>
              <f>'Overview'!$AK$26:$AP$26</f>
            </numRef>
          </val>
        </ser>
        <ser>
          <idx val="1"/>
          <order val="1"/>
          <tx>
            <strRef>
              <f>'Overview'!AJ27</f>
            </strRef>
          </tx>
          <spPr>
            <a:ln xmlns:a="http://schemas.openxmlformats.org/drawingml/2006/main">
              <a:prstDash val="solid"/>
            </a:ln>
          </spPr>
          <cat>
            <numRef>
              <f>'Overview'!$AK$25:$AP$25</f>
            </numRef>
          </cat>
          <val>
            <numRef>
              <f>'Overview'!$AK$27:$AP$27</f>
            </numRef>
          </val>
        </ser>
        <ser>
          <idx val="2"/>
          <order val="2"/>
          <tx>
            <strRef>
              <f>'Overview'!AJ28</f>
            </strRef>
          </tx>
          <spPr>
            <a:ln xmlns:a="http://schemas.openxmlformats.org/drawingml/2006/main">
              <a:prstDash val="solid"/>
            </a:ln>
          </spPr>
          <cat>
            <numRef>
              <f>'Overview'!$AK$25:$AP$25</f>
            </numRef>
          </cat>
          <val>
            <numRef>
              <f>'Overview'!$AK$28:$AP$28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'Overview'!$AT$6:$AY$6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'Overview'!$AT$7:$AY$7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'Overview'!$AT$8:$AY$8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Y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s>
  <sheetData>
    <row r="1">
      <c r="A1" s="1" t="inlineStr">
        <is>
          <t>Bank Sepah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c r="AT5" t="inlineStr">
        <is>
          <t>FY2021</t>
        </is>
      </c>
      <c r="AU5" t="inlineStr">
        <is>
          <t>FY2022</t>
        </is>
      </c>
      <c r="AV5" t="inlineStr">
        <is>
          <t>FY2023</t>
        </is>
      </c>
      <c r="AW5" t="inlineStr">
        <is>
          <t>FY2024</t>
        </is>
      </c>
      <c r="AX5" t="inlineStr">
        <is>
          <t>FY2025</t>
        </is>
      </c>
      <c r="AY5" t="inlineStr">
        <is>
          <t>FY2026</t>
        </is>
      </c>
    </row>
    <row r="6">
      <c r="A6" s="5" t="inlineStr">
        <is>
          <t>Total assets</t>
        </is>
      </c>
      <c r="B6" s="5" t="n">
        <v>274578.2</v>
      </c>
      <c r="C6" s="5" t="n">
        <v>263292.2</v>
      </c>
      <c r="D6" s="5" t="n">
        <v>267959.3</v>
      </c>
      <c r="E6" s="5" t="n">
        <v>275595</v>
      </c>
      <c r="F6" s="5" t="n">
        <v>307991.3</v>
      </c>
      <c r="G6" s="5" t="n">
        <v>306523.2</v>
      </c>
      <c r="J6" t="inlineStr">
        <is>
          <t>Total assets</t>
        </is>
      </c>
      <c r="K6" t="n">
        <v>306523.2</v>
      </c>
      <c r="L6" t="n">
        <v>307991.3</v>
      </c>
      <c r="M6" t="n">
        <v>275595</v>
      </c>
      <c r="N6" t="n">
        <v>267959.3</v>
      </c>
      <c r="O6" t="n">
        <v>263292.2</v>
      </c>
      <c r="P6" t="n">
        <v>274578.2</v>
      </c>
      <c r="AS6" t="inlineStr">
        <is>
          <t>CET1 Ratio</t>
        </is>
      </c>
      <c r="AT6" t="n">
        <v>61.2</v>
      </c>
      <c r="AU6" t="n">
        <v>67.5</v>
      </c>
      <c r="AV6" t="n">
        <v>81.5</v>
      </c>
      <c r="AW6" t="n">
        <v>91.8</v>
      </c>
      <c r="AX6" t="n">
        <v>102.7</v>
      </c>
      <c r="AY6" t="n">
        <v>85</v>
      </c>
    </row>
    <row r="7">
      <c r="A7" s="5" t="inlineStr">
        <is>
          <t>Loans and advances to customers</t>
        </is>
      </c>
      <c r="B7" s="5" t="n">
        <v>442.8</v>
      </c>
      <c r="C7" s="5" t="n">
        <v>333.3</v>
      </c>
      <c r="D7" s="5" t="n">
        <v>409.4</v>
      </c>
      <c r="E7" s="5" t="n">
        <v>24678.3</v>
      </c>
      <c r="F7" s="5" t="n">
        <v>24551.4</v>
      </c>
      <c r="G7" s="5" t="n">
        <v>2470.8</v>
      </c>
      <c r="J7" t="inlineStr">
        <is>
          <t>Loans and advances to customers</t>
        </is>
      </c>
      <c r="K7" t="n">
        <v>2470.8</v>
      </c>
      <c r="L7" t="n">
        <v>24551.4</v>
      </c>
      <c r="M7" t="n">
        <v>24678.3</v>
      </c>
      <c r="N7" t="n">
        <v>409.4</v>
      </c>
      <c r="O7" t="n">
        <v>333.3</v>
      </c>
      <c r="P7" t="n">
        <v>442.8</v>
      </c>
      <c r="AS7" t="inlineStr">
        <is>
          <t>Tier 1 Ratio</t>
        </is>
      </c>
      <c r="AT7" t="n">
        <v>61.2</v>
      </c>
      <c r="AU7" t="n">
        <v>67.5</v>
      </c>
      <c r="AV7" t="n">
        <v>81.5</v>
      </c>
      <c r="AW7" t="n">
        <v>91.8</v>
      </c>
      <c r="AX7" t="n">
        <v>102.7</v>
      </c>
      <c r="AY7" t="n">
        <v>85</v>
      </c>
    </row>
    <row r="8">
      <c r="A8" s="5" t="inlineStr">
        <is>
          <t>Amounts owed to other depositors</t>
        </is>
      </c>
      <c r="B8" s="5" t="n">
        <v>1675.8</v>
      </c>
      <c r="C8" s="5" t="n">
        <v>1635.7</v>
      </c>
      <c r="D8" s="5" t="n">
        <v>1744.6</v>
      </c>
      <c r="E8" s="5" t="n">
        <v>1737.1</v>
      </c>
      <c r="F8" s="5" t="n">
        <v>1745.1</v>
      </c>
      <c r="G8" s="5" t="n">
        <v>1734.7</v>
      </c>
      <c r="J8" t="inlineStr">
        <is>
          <t>Amounts owed to other depositors</t>
        </is>
      </c>
      <c r="K8" t="n">
        <v>1734.7</v>
      </c>
      <c r="L8" t="n">
        <v>1745.1</v>
      </c>
      <c r="M8" t="n">
        <v>1737.1</v>
      </c>
      <c r="N8" t="n">
        <v>1744.6</v>
      </c>
      <c r="O8" t="n">
        <v>1635.7</v>
      </c>
      <c r="P8" t="n">
        <v>1675.8</v>
      </c>
      <c r="AS8" t="inlineStr">
        <is>
          <t>Total Capital Ratio</t>
        </is>
      </c>
      <c r="AT8" t="n">
        <v>61.2</v>
      </c>
      <c r="AU8" t="n">
        <v>67.5</v>
      </c>
      <c r="AV8" t="n">
        <v>81.5</v>
      </c>
      <c r="AW8" t="n">
        <v>91.8</v>
      </c>
      <c r="AX8" t="n">
        <v>102.7</v>
      </c>
      <c r="AY8" t="n">
        <v>85</v>
      </c>
    </row>
    <row r="9">
      <c r="A9" s="5" t="inlineStr">
        <is>
          <t>Total equity</t>
        </is>
      </c>
      <c r="B9" s="5" t="n">
        <v>149147.9</v>
      </c>
      <c r="C9" s="5" t="n">
        <v>144339.6</v>
      </c>
      <c r="D9" s="5" t="n">
        <v>147035</v>
      </c>
      <c r="E9" s="5" t="n">
        <v>150875.6</v>
      </c>
      <c r="F9" s="5" t="n">
        <v>144319.8</v>
      </c>
      <c r="G9" s="5" t="n">
        <v>144043.4</v>
      </c>
      <c r="J9" t="inlineStr">
        <is>
          <t>Total equity</t>
        </is>
      </c>
      <c r="K9" t="n">
        <v>144043.4</v>
      </c>
      <c r="L9" t="n">
        <v>144319.8</v>
      </c>
      <c r="M9" t="n">
        <v>150875.6</v>
      </c>
      <c r="N9" t="n">
        <v>147035</v>
      </c>
      <c r="O9" t="n">
        <v>144339.6</v>
      </c>
      <c r="P9" t="n">
        <v>149147.9</v>
      </c>
    </row>
    <row r="11">
      <c r="A11" s="3" t="inlineStr">
        <is>
          <t>Profit &amp; Loss Summary (£'000 (conv. from EUR))</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Net interest income</t>
        </is>
      </c>
      <c r="B13" s="5" t="n">
        <v>5638.3</v>
      </c>
      <c r="C13" s="5" t="n">
        <v>5422</v>
      </c>
      <c r="D13" s="5" t="n">
        <v>8256.9</v>
      </c>
      <c r="E13" s="5" t="n">
        <v>6410.3</v>
      </c>
      <c r="F13" s="5" t="n">
        <v>5555.9</v>
      </c>
      <c r="G13" s="5" t="n">
        <v>5924</v>
      </c>
      <c r="S13" t="inlineStr">
        <is>
          <t>Net interest income</t>
        </is>
      </c>
      <c r="T13" t="n">
        <v>5924</v>
      </c>
      <c r="U13" t="n">
        <v>5555.9</v>
      </c>
      <c r="V13" t="n">
        <v>6410.3</v>
      </c>
      <c r="W13" t="n">
        <v>8256.9</v>
      </c>
      <c r="X13" t="n">
        <v>5422</v>
      </c>
      <c r="Y13" t="n">
        <v>5638.3</v>
      </c>
    </row>
    <row r="14">
      <c r="A14" s="5" t="inlineStr">
        <is>
          <t>General administrative expenses</t>
        </is>
      </c>
      <c r="B14" s="5" t="n">
        <v>-5125.2</v>
      </c>
      <c r="C14" s="5" t="n">
        <v>-4650.1</v>
      </c>
      <c r="D14" s="5" t="n">
        <v>-4324.9</v>
      </c>
      <c r="E14" s="5" t="n">
        <v>-4064</v>
      </c>
      <c r="F14" s="5" t="n">
        <v>-4069.2</v>
      </c>
      <c r="G14" s="5" t="n">
        <v>-4370.8</v>
      </c>
      <c r="S14" t="inlineStr">
        <is>
          <t>General administrative expenses</t>
        </is>
      </c>
      <c r="T14" t="n">
        <v>-4370.8</v>
      </c>
      <c r="U14" t="n">
        <v>-4069.2</v>
      </c>
      <c r="V14" t="n">
        <v>-4064</v>
      </c>
      <c r="W14" t="n">
        <v>-4324.9</v>
      </c>
      <c r="X14" t="n">
        <v>-4650.1</v>
      </c>
      <c r="Y14" t="n">
        <v>-5125.2</v>
      </c>
    </row>
    <row r="15">
      <c r="A15" s="5" t="inlineStr">
        <is>
          <t>Profit for the year after taxation</t>
        </is>
      </c>
      <c r="B15" s="5" t="n">
        <v>-873.1</v>
      </c>
      <c r="C15" s="5" t="n">
        <v>646.5</v>
      </c>
      <c r="D15" s="5" t="n">
        <v>181.4</v>
      </c>
      <c r="E15" s="5" t="n">
        <v>1028.8</v>
      </c>
      <c r="F15" s="5" t="n">
        <v>1294.2</v>
      </c>
      <c r="G15" s="5" t="n">
        <v>1448.9</v>
      </c>
      <c r="S15" t="inlineStr">
        <is>
          <t>Profit for the year after taxation</t>
        </is>
      </c>
      <c r="T15" t="n">
        <v>1448.9</v>
      </c>
      <c r="U15" t="n">
        <v>1294.2</v>
      </c>
      <c r="V15" t="n">
        <v>1028.8</v>
      </c>
      <c r="W15" t="n">
        <v>181.4</v>
      </c>
      <c r="X15" t="n">
        <v>646.5</v>
      </c>
      <c r="Y15" t="n">
        <v>-873.1</v>
      </c>
    </row>
    <row r="17">
      <c r="A17" s="3" t="inlineStr">
        <is>
          <t>Statement of Changes in Equity Summary (£'000 (conv. from EUR) - FY2021 omitted, see Statement of Changes in Equity sheet's note)</t>
        </is>
      </c>
    </row>
    <row r="18">
      <c r="A18" s="4" t="inlineStr">
        <is>
          <t>Line item</t>
        </is>
      </c>
      <c r="B18" s="4" t="inlineStr">
        <is>
          <t>FY2026</t>
        </is>
      </c>
      <c r="C18" s="4" t="inlineStr">
        <is>
          <t>FY2025</t>
        </is>
      </c>
      <c r="D18" s="4" t="inlineStr">
        <is>
          <t>FY2024</t>
        </is>
      </c>
      <c r="E18" s="4" t="inlineStr">
        <is>
          <t>FY2023</t>
        </is>
      </c>
      <c r="F18" s="4" t="inlineStr">
        <is>
          <t>FY2022</t>
        </is>
      </c>
      <c r="AC18" t="inlineStr">
        <is>
          <t>FY2022</t>
        </is>
      </c>
      <c r="AD18" t="inlineStr">
        <is>
          <t>FY2023</t>
        </is>
      </c>
      <c r="AE18" t="inlineStr">
        <is>
          <t>FY2024</t>
        </is>
      </c>
      <c r="AF18" t="inlineStr">
        <is>
          <t>FY2025</t>
        </is>
      </c>
      <c r="AG18" t="inlineStr">
        <is>
          <t>FY2026</t>
        </is>
      </c>
    </row>
    <row r="19">
      <c r="A19" s="5" t="inlineStr">
        <is>
          <t>Opening equity</t>
        </is>
      </c>
      <c r="B19" s="5" t="n">
        <v>144339.6</v>
      </c>
      <c r="C19" s="5" t="n">
        <v>147035</v>
      </c>
      <c r="D19" s="5" t="n">
        <v>150875.6</v>
      </c>
      <c r="E19" s="5" t="n">
        <v>144319.8</v>
      </c>
      <c r="F19" s="5" t="n">
        <v>144042.5</v>
      </c>
      <c r="AB19" t="inlineStr">
        <is>
          <t>Opening equity</t>
        </is>
      </c>
      <c r="AC19" t="n">
        <v>144042.5</v>
      </c>
      <c r="AD19" t="n">
        <v>144319.8</v>
      </c>
      <c r="AE19" t="n">
        <v>150875.6</v>
      </c>
      <c r="AF19" t="n">
        <v>147035</v>
      </c>
      <c r="AG19" t="n">
        <v>144339.6</v>
      </c>
    </row>
    <row r="20">
      <c r="A20" s="5" t="inlineStr">
        <is>
          <t>Total comprehensive income for the year</t>
        </is>
      </c>
      <c r="B20" s="5" t="n">
        <v>-873.1</v>
      </c>
      <c r="C20" s="5" t="n">
        <v>646.5</v>
      </c>
      <c r="D20" s="5" t="n">
        <v>181.4</v>
      </c>
      <c r="E20" s="5" t="n">
        <v>1028.8</v>
      </c>
      <c r="F20" s="5" t="n">
        <v>1294.2</v>
      </c>
      <c r="AB20" t="inlineStr">
        <is>
          <t>Total comprehensive income for the year</t>
        </is>
      </c>
      <c r="AC20" t="n">
        <v>1294.2</v>
      </c>
      <c r="AD20" t="n">
        <v>1028.8</v>
      </c>
      <c r="AE20" t="n">
        <v>181.4</v>
      </c>
      <c r="AF20" t="n">
        <v>646.5</v>
      </c>
      <c r="AG20" t="n">
        <v>-873.1</v>
      </c>
    </row>
    <row r="21">
      <c r="A21" s="5" t="inlineStr">
        <is>
          <t>Other movements, net (FX translation effect)</t>
        </is>
      </c>
      <c r="B21" s="5" t="n">
        <v>5681.4</v>
      </c>
      <c r="C21" s="5" t="n">
        <v>-3341.9</v>
      </c>
      <c r="D21" s="5" t="n">
        <v>-4022</v>
      </c>
      <c r="E21" s="5" t="n">
        <v>5527</v>
      </c>
      <c r="F21" s="5" t="n">
        <v>-1016.9</v>
      </c>
      <c r="AB21" t="inlineStr">
        <is>
          <t>Other movements, net (FX translation effect)</t>
        </is>
      </c>
      <c r="AC21" t="n">
        <v>-1016.9</v>
      </c>
      <c r="AD21" t="n">
        <v>5527</v>
      </c>
      <c r="AE21" t="n">
        <v>-4022</v>
      </c>
      <c r="AF21" t="n">
        <v>-3341.9</v>
      </c>
      <c r="AG21" t="n">
        <v>5681.4</v>
      </c>
    </row>
    <row r="22">
      <c r="A22" s="5" t="inlineStr">
        <is>
          <t>Closing equity</t>
        </is>
      </c>
      <c r="B22" s="5" t="n">
        <v>149147.9</v>
      </c>
      <c r="C22" s="5" t="n">
        <v>144339.6</v>
      </c>
      <c r="D22" s="5" t="n">
        <v>147035</v>
      </c>
      <c r="E22" s="5" t="n">
        <v>150875.6</v>
      </c>
      <c r="F22" s="5" t="n">
        <v>144319.8</v>
      </c>
      <c r="AB22" t="inlineStr">
        <is>
          <t>Closing equity</t>
        </is>
      </c>
      <c r="AC22" t="n">
        <v>144319.8</v>
      </c>
      <c r="AD22" t="n">
        <v>150875.6</v>
      </c>
      <c r="AE22" t="n">
        <v>147035</v>
      </c>
      <c r="AF22" t="n">
        <v>144339.6</v>
      </c>
      <c r="AG22" t="n">
        <v>149147.9</v>
      </c>
    </row>
    <row r="24">
      <c r="A24" s="3" t="inlineStr">
        <is>
          <t>Cash Flow Summary (£'000 (conv. from EUR))</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AK25" t="inlineStr">
        <is>
          <t>FY2021</t>
        </is>
      </c>
      <c r="AL25" t="inlineStr">
        <is>
          <t>FY2022</t>
        </is>
      </c>
      <c r="AM25" t="inlineStr">
        <is>
          <t>FY2023</t>
        </is>
      </c>
      <c r="AN25" t="inlineStr">
        <is>
          <t>FY2024</t>
        </is>
      </c>
      <c r="AO25" t="inlineStr">
        <is>
          <t>FY2025</t>
        </is>
      </c>
      <c r="AP25" t="inlineStr">
        <is>
          <t>FY2026</t>
        </is>
      </c>
    </row>
    <row r="26">
      <c r="A26" s="5" t="inlineStr">
        <is>
          <t>Net cash from/(used in) operating activities</t>
        </is>
      </c>
      <c r="B26" s="5" t="n">
        <v>2709.3</v>
      </c>
      <c r="C26" s="5" t="n">
        <v>-6395.2</v>
      </c>
      <c r="D26" s="5" t="n">
        <v>4505.4</v>
      </c>
      <c r="E26" s="5" t="n">
        <v>-44131.9</v>
      </c>
      <c r="F26" s="5" t="n">
        <v>15093.9</v>
      </c>
      <c r="G26" s="5" t="n">
        <v>1950.6</v>
      </c>
      <c r="AJ26" t="inlineStr">
        <is>
          <t>Net cash from/(used in) operating activities</t>
        </is>
      </c>
      <c r="AK26" t="n">
        <v>1950.6</v>
      </c>
      <c r="AL26" t="n">
        <v>15093.9</v>
      </c>
      <c r="AM26" t="n">
        <v>-44131.9</v>
      </c>
      <c r="AN26" t="n">
        <v>4505.4</v>
      </c>
      <c r="AO26" t="n">
        <v>-6395.2</v>
      </c>
      <c r="AP26" t="n">
        <v>2709.3</v>
      </c>
    </row>
    <row r="27">
      <c r="A27" s="5" t="inlineStr">
        <is>
          <t>Net cash from/(used in) investing activities</t>
        </is>
      </c>
      <c r="B27" s="5" t="n">
        <v>8523.200000000001</v>
      </c>
      <c r="C27" s="5" t="n">
        <v>957.1</v>
      </c>
      <c r="D27" s="5" t="n">
        <v>-1832.6</v>
      </c>
      <c r="E27" s="5" t="n">
        <v>-105.5</v>
      </c>
      <c r="F27" s="5" t="n">
        <v>-430.8</v>
      </c>
      <c r="G27" s="5" t="n">
        <v>-444.7</v>
      </c>
      <c r="AJ27" t="inlineStr">
        <is>
          <t>Net cash from/(used in) investing activities</t>
        </is>
      </c>
      <c r="AK27" t="n">
        <v>-444.7</v>
      </c>
      <c r="AL27" t="n">
        <v>-430.8</v>
      </c>
      <c r="AM27" t="n">
        <v>-105.5</v>
      </c>
      <c r="AN27" t="n">
        <v>-1832.6</v>
      </c>
      <c r="AO27" t="n">
        <v>957.1</v>
      </c>
      <c r="AP27" t="n">
        <v>8523.200000000001</v>
      </c>
    </row>
    <row r="28">
      <c r="A28" s="5" t="inlineStr">
        <is>
          <t>Cash and cash equivalents at end of year</t>
        </is>
      </c>
      <c r="B28" s="5" t="n">
        <v>140887.8</v>
      </c>
      <c r="C28" s="5" t="n">
        <v>124894.8</v>
      </c>
      <c r="D28" s="5" t="n">
        <v>133407.8</v>
      </c>
      <c r="E28" s="5" t="n">
        <v>134380.4</v>
      </c>
      <c r="F28" s="5" t="n">
        <v>172946.8</v>
      </c>
      <c r="G28" s="5" t="n">
        <v>159502.1</v>
      </c>
      <c r="AJ28" t="inlineStr">
        <is>
          <t>Cash and cash equivalents at end of year</t>
        </is>
      </c>
      <c r="AK28" t="n">
        <v>159502.1</v>
      </c>
      <c r="AL28" t="n">
        <v>172946.8</v>
      </c>
      <c r="AM28" t="n">
        <v>134380.4</v>
      </c>
      <c r="AN28" t="n">
        <v>133407.8</v>
      </c>
      <c r="AO28" t="n">
        <v>124894.8</v>
      </c>
      <c r="AP28" t="n">
        <v>140887.8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row>
    <row r="32">
      <c r="A32" s="6" t="inlineStr">
        <is>
          <t>CET1 Ratio</t>
        </is>
      </c>
      <c r="B32" s="6" t="inlineStr">
        <is>
          <t>85%</t>
        </is>
      </c>
      <c r="C32" s="6" t="inlineStr">
        <is>
          <t>102.7%</t>
        </is>
      </c>
      <c r="D32" s="6" t="inlineStr">
        <is>
          <t>91.8%</t>
        </is>
      </c>
      <c r="E32" s="6" t="inlineStr">
        <is>
          <t>81.5%</t>
        </is>
      </c>
      <c r="F32" s="6" t="inlineStr">
        <is>
          <t>67.5%</t>
        </is>
      </c>
      <c r="G32" s="6" t="inlineStr">
        <is>
          <t>61.2%</t>
        </is>
      </c>
    </row>
    <row r="33">
      <c r="A33" s="6" t="inlineStr">
        <is>
          <t>Tier 1 Ratio</t>
        </is>
      </c>
      <c r="B33" s="6" t="inlineStr">
        <is>
          <t>85%</t>
        </is>
      </c>
      <c r="C33" s="6" t="inlineStr">
        <is>
          <t>102.7%</t>
        </is>
      </c>
      <c r="D33" s="6" t="inlineStr">
        <is>
          <t>91.8%</t>
        </is>
      </c>
      <c r="E33" s="6" t="inlineStr">
        <is>
          <t>81.5%</t>
        </is>
      </c>
      <c r="F33" s="6" t="inlineStr">
        <is>
          <t>67.5%</t>
        </is>
      </c>
      <c r="G33" s="6" t="inlineStr">
        <is>
          <t>61.2%</t>
        </is>
      </c>
    </row>
    <row r="34">
      <c r="A34" s="6" t="inlineStr">
        <is>
          <t>Total Capital Ratio</t>
        </is>
      </c>
      <c r="B34" s="6" t="inlineStr">
        <is>
          <t>85%</t>
        </is>
      </c>
      <c r="C34" s="6" t="inlineStr">
        <is>
          <t>102.7%</t>
        </is>
      </c>
      <c r="D34" s="6" t="inlineStr">
        <is>
          <t>91.8%</t>
        </is>
      </c>
      <c r="E34" s="6" t="inlineStr">
        <is>
          <t>81.5%</t>
        </is>
      </c>
      <c r="F34" s="6" t="inlineStr">
        <is>
          <t>67.5%</t>
        </is>
      </c>
      <c r="G34" s="6" t="inlineStr">
        <is>
          <t>61.2%</t>
        </is>
      </c>
    </row>
    <row r="36" ht="39" customHeight="1">
      <c r="A36" s="7" t="inlineStr">
        <is>
          <t>Note: Figures are duplicated from the detail sheets for at-a-glance trend viewing; see each sheet's own source citation for the underlying document/page. All capital ratios are identical every year (no AT1/Tier 2 capital) so all three lines overlap on the chart. The Statement of Changes in Equity block omits FY2021 - no verified FY2020 EUR/GBP rate exists for this bank (see that sheet's own note).</t>
        </is>
      </c>
    </row>
  </sheetData>
  <mergeCells count="1">
    <mergeCell ref="A36:G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Financial Position</t>
        </is>
      </c>
    </row>
    <row r="2">
      <c r="A2" s="2" t="inlineStr">
        <is>
          <t>£'000, converted from EUR - see source note at bottom for FX methodology and rates used.</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Assets - FY2026 edition presentation (order of liquidity, no current/non-current split)</t>
        </is>
      </c>
      <c r="B4" s="6" t="n"/>
      <c r="C4" s="6" t="n"/>
      <c r="D4" s="6" t="n"/>
      <c r="E4" s="6" t="n"/>
      <c r="F4" s="6" t="n"/>
      <c r="G4" s="6" t="n"/>
    </row>
    <row r="5">
      <c r="A5" s="6" t="inlineStr">
        <is>
          <t>Cash and cash equivalents</t>
        </is>
      </c>
      <c r="B5" s="6" t="n">
        <v>138787.3</v>
      </c>
      <c r="C5" s="6" t="n"/>
      <c r="D5" s="6" t="n"/>
      <c r="E5" s="6" t="n"/>
      <c r="F5" s="6" t="n"/>
      <c r="G5" s="6" t="n"/>
    </row>
    <row r="6">
      <c r="A6" s="6" t="inlineStr">
        <is>
          <t>Placements with and loans and advances to banks</t>
        </is>
      </c>
      <c r="B6" s="6" t="n">
        <v>116266.2</v>
      </c>
      <c r="C6" s="6" t="n"/>
      <c r="D6" s="6" t="n"/>
      <c r="E6" s="6" t="n"/>
      <c r="F6" s="6" t="n"/>
      <c r="G6" s="6" t="n"/>
    </row>
    <row r="7">
      <c r="A7" s="6" t="inlineStr">
        <is>
          <t>Loans and advances to customers</t>
        </is>
      </c>
      <c r="B7" s="6" t="n">
        <v>442.8</v>
      </c>
      <c r="C7" s="6" t="n"/>
      <c r="D7" s="6" t="n"/>
      <c r="E7" s="6" t="n"/>
      <c r="F7" s="6" t="n"/>
      <c r="G7" s="6" t="n"/>
    </row>
    <row r="8">
      <c r="A8" s="6" t="inlineStr">
        <is>
          <t>Debt instruments</t>
        </is>
      </c>
      <c r="B8" s="6" t="n">
        <v>7197.3</v>
      </c>
      <c r="C8" s="6" t="n"/>
      <c r="D8" s="6" t="n"/>
      <c r="E8" s="6" t="n"/>
      <c r="F8" s="6" t="n"/>
      <c r="G8" s="6" t="n"/>
    </row>
    <row r="9">
      <c r="A9" s="6" t="inlineStr">
        <is>
          <t>Other assets</t>
        </is>
      </c>
      <c r="B9" s="6" t="n">
        <v>7351.9</v>
      </c>
      <c r="C9" s="6" t="n"/>
      <c r="D9" s="6" t="n"/>
      <c r="E9" s="6" t="n"/>
      <c r="F9" s="6" t="n"/>
      <c r="G9" s="6" t="n"/>
    </row>
    <row r="10">
      <c r="A10" s="6" t="inlineStr">
        <is>
          <t>Prepayments and accrued income</t>
        </is>
      </c>
      <c r="B10" s="6" t="n">
        <v>2198.5</v>
      </c>
      <c r="C10" s="6" t="n"/>
      <c r="D10" s="6" t="n"/>
      <c r="E10" s="6" t="n"/>
      <c r="F10" s="6" t="n"/>
      <c r="G10" s="6" t="n"/>
    </row>
    <row r="11">
      <c r="A11" s="6" t="inlineStr">
        <is>
          <t>Property, plant and equipment</t>
        </is>
      </c>
      <c r="B11" s="6" t="n">
        <v>2274.9</v>
      </c>
      <c r="C11" s="6" t="n"/>
      <c r="D11" s="6" t="n"/>
      <c r="E11" s="6" t="n"/>
      <c r="F11" s="6" t="n"/>
      <c r="G11" s="6" t="n"/>
    </row>
    <row r="12">
      <c r="A12" s="6" t="inlineStr">
        <is>
          <t>Intangibles</t>
        </is>
      </c>
      <c r="B12" s="6" t="n">
        <v>59</v>
      </c>
      <c r="C12" s="6" t="n"/>
      <c r="D12" s="6" t="n"/>
      <c r="E12" s="6" t="n"/>
      <c r="F12" s="6" t="n"/>
      <c r="G12" s="6" t="n"/>
    </row>
    <row r="13">
      <c r="A13" s="5" t="inlineStr">
        <is>
          <t>Total assets (FY2026 presentation)</t>
        </is>
      </c>
      <c r="B13" s="5" t="n">
        <v>274578.2</v>
      </c>
      <c r="C13" s="5" t="n"/>
      <c r="D13" s="5" t="n"/>
      <c r="E13" s="5" t="n"/>
      <c r="F13" s="5" t="n"/>
      <c r="G13" s="5" t="n"/>
    </row>
    <row r="14">
      <c r="A14" s="5" t="inlineStr">
        <is>
          <t>Liabilities - FY2026 edition presentation (order of liquidity, no current/non-current split)</t>
        </is>
      </c>
      <c r="B14" s="6" t="n"/>
      <c r="C14" s="6" t="n"/>
      <c r="D14" s="6" t="n"/>
      <c r="E14" s="6" t="n"/>
      <c r="F14" s="6" t="n"/>
      <c r="G14" s="6" t="n"/>
    </row>
    <row r="15">
      <c r="A15" s="6" t="inlineStr">
        <is>
          <t>Deposits from banks</t>
        </is>
      </c>
      <c r="B15" s="6" t="n">
        <v>119459</v>
      </c>
      <c r="C15" s="6" t="n"/>
      <c r="D15" s="6" t="n"/>
      <c r="E15" s="6" t="n"/>
      <c r="F15" s="6" t="n"/>
      <c r="G15" s="6" t="n"/>
    </row>
    <row r="16">
      <c r="A16" s="6" t="inlineStr">
        <is>
          <t>Amounts owed to other depositors</t>
        </is>
      </c>
      <c r="B16" s="6" t="n">
        <v>1675.8</v>
      </c>
      <c r="C16" s="6" t="n"/>
      <c r="D16" s="6" t="n"/>
      <c r="E16" s="6" t="n"/>
      <c r="F16" s="6" t="n"/>
      <c r="G16" s="6" t="n"/>
    </row>
    <row r="17">
      <c r="A17" s="6" t="inlineStr">
        <is>
          <t>Corporation taxation</t>
        </is>
      </c>
      <c r="B17" s="6" t="n">
        <v>35.6</v>
      </c>
      <c r="C17" s="6" t="n"/>
      <c r="D17" s="6" t="n"/>
      <c r="E17" s="6" t="n"/>
      <c r="F17" s="6" t="n"/>
      <c r="G17" s="6" t="n"/>
    </row>
    <row r="18">
      <c r="A18" s="6" t="inlineStr">
        <is>
          <t>Other liabilities</t>
        </is>
      </c>
      <c r="B18" s="6" t="n">
        <v>464.5</v>
      </c>
      <c r="C18" s="6" t="n"/>
      <c r="D18" s="6" t="n"/>
      <c r="E18" s="6" t="n"/>
      <c r="F18" s="6" t="n"/>
      <c r="G18" s="6" t="n"/>
    </row>
    <row r="19">
      <c r="A19" s="6" t="inlineStr">
        <is>
          <t>Accruals and deferred income</t>
        </is>
      </c>
      <c r="B19" s="6" t="n">
        <v>3795.3</v>
      </c>
      <c r="C19" s="6" t="n"/>
      <c r="D19" s="6" t="n"/>
      <c r="E19" s="6" t="n"/>
      <c r="F19" s="6" t="n"/>
      <c r="G19" s="6" t="n"/>
    </row>
    <row r="20">
      <c r="A20" s="5" t="inlineStr">
        <is>
          <t>Total liabilities (FY2026 presentation)</t>
        </is>
      </c>
      <c r="B20" s="5" t="n">
        <v>125430.3</v>
      </c>
      <c r="C20" s="5" t="n"/>
      <c r="D20" s="5" t="n"/>
      <c r="E20" s="5" t="n"/>
      <c r="F20" s="5" t="n"/>
      <c r="G20" s="5" t="n"/>
    </row>
    <row r="21">
      <c r="A21" s="5" t="inlineStr">
        <is>
          <t>Non-current assets (FY2021-FY2025 editions' presentation)</t>
        </is>
      </c>
      <c r="B21" s="6" t="n"/>
      <c r="C21" s="6" t="n"/>
      <c r="D21" s="6" t="n"/>
      <c r="E21" s="6" t="n"/>
      <c r="F21" s="6" t="n"/>
      <c r="G21" s="6" t="n"/>
    </row>
    <row r="22">
      <c r="A22" s="6" t="inlineStr">
        <is>
          <t>Restricted cash and cash equivalents</t>
        </is>
      </c>
      <c r="B22" s="6" t="n"/>
      <c r="C22" s="6" t="n">
        <v>826.2</v>
      </c>
      <c r="D22" s="6" t="n"/>
      <c r="E22" s="6" t="n"/>
      <c r="F22" s="6" t="n"/>
      <c r="G22" s="6" t="n"/>
    </row>
    <row r="23">
      <c r="A23" s="6" t="inlineStr">
        <is>
          <t>Placements with and loans and advances to banks</t>
        </is>
      </c>
      <c r="B23" s="6" t="n"/>
      <c r="C23" s="6" t="n">
        <v>8282.200000000001</v>
      </c>
      <c r="D23" s="6" t="n">
        <v>7889.8</v>
      </c>
      <c r="E23" s="6" t="n">
        <v>7667.6</v>
      </c>
      <c r="F23" s="6" t="n">
        <v>7383.9</v>
      </c>
      <c r="G23" s="6" t="n">
        <v>7439.7</v>
      </c>
    </row>
    <row r="24">
      <c r="A24" s="6" t="inlineStr">
        <is>
          <t>Property and equipment</t>
        </is>
      </c>
      <c r="B24" s="6" t="n"/>
      <c r="C24" s="6" t="n">
        <v>2147</v>
      </c>
      <c r="D24" s="6" t="n">
        <v>2224.2</v>
      </c>
      <c r="E24" s="6" t="n">
        <v>1890.8</v>
      </c>
      <c r="F24" s="6" t="n">
        <v>1844.1</v>
      </c>
      <c r="G24" s="6" t="n">
        <v>1879.5</v>
      </c>
    </row>
    <row r="25">
      <c r="A25" s="6" t="inlineStr">
        <is>
          <t>Intangible assets</t>
        </is>
      </c>
      <c r="B25" s="6" t="n"/>
      <c r="C25" s="6" t="n">
        <v>362.6</v>
      </c>
      <c r="D25" s="6" t="n">
        <v>490.7</v>
      </c>
      <c r="E25" s="6" t="n">
        <v>516.4</v>
      </c>
      <c r="F25" s="6" t="n">
        <v>667.4</v>
      </c>
      <c r="G25" s="6" t="n">
        <v>922.7</v>
      </c>
    </row>
    <row r="26">
      <c r="A26" s="6" t="inlineStr">
        <is>
          <t>Debt instruments</t>
        </is>
      </c>
      <c r="B26" s="6" t="n"/>
      <c r="C26" s="6" t="n">
        <v>8059.1</v>
      </c>
      <c r="D26" s="6" t="n">
        <v>13602.4</v>
      </c>
      <c r="E26" s="6" t="n">
        <v>13526.9</v>
      </c>
      <c r="F26" s="6" t="n">
        <v>15056.2</v>
      </c>
      <c r="G26" s="6" t="n">
        <v>14884.4</v>
      </c>
    </row>
    <row r="27">
      <c r="A27" s="5" t="inlineStr">
        <is>
          <t>Total non-current assets</t>
        </is>
      </c>
      <c r="B27" s="5" t="n"/>
      <c r="C27" s="5" t="n">
        <v>19677</v>
      </c>
      <c r="D27" s="5" t="n">
        <v>24207.1</v>
      </c>
      <c r="E27" s="5" t="n">
        <v>23601.6</v>
      </c>
      <c r="F27" s="5" t="n">
        <v>24951.5</v>
      </c>
      <c r="G27" s="5" t="n">
        <v>25126.3</v>
      </c>
    </row>
    <row r="28">
      <c r="A28" s="5" t="inlineStr">
        <is>
          <t>Current assets</t>
        </is>
      </c>
      <c r="B28" s="6" t="n"/>
      <c r="C28" s="6" t="n"/>
      <c r="D28" s="6" t="n"/>
      <c r="E28" s="6" t="n"/>
      <c r="F28" s="6" t="n"/>
      <c r="G28" s="6" t="n"/>
    </row>
    <row r="29">
      <c r="A29" s="6" t="inlineStr">
        <is>
          <t>Cash and cash equivalents</t>
        </is>
      </c>
      <c r="B29" s="6" t="n"/>
      <c r="C29" s="6" t="n">
        <v>122642.6</v>
      </c>
      <c r="D29" s="6" t="n">
        <v>131808.5</v>
      </c>
      <c r="E29" s="6" t="n">
        <v>134219.7</v>
      </c>
      <c r="F29" s="6" t="n">
        <v>172785.2</v>
      </c>
      <c r="G29" s="6" t="n">
        <v>159333.4</v>
      </c>
    </row>
    <row r="30">
      <c r="A30" s="6" t="inlineStr">
        <is>
          <t>Placements with and loans and advances to banks</t>
        </is>
      </c>
      <c r="B30" s="6" t="n"/>
      <c r="C30" s="6" t="n">
        <v>106339.7</v>
      </c>
      <c r="D30" s="6" t="n">
        <v>101360.5</v>
      </c>
      <c r="E30" s="6" t="n">
        <v>82869.60000000001</v>
      </c>
      <c r="F30" s="6" t="n">
        <v>79791.2</v>
      </c>
      <c r="G30" s="6" t="n">
        <v>113253</v>
      </c>
    </row>
    <row r="31">
      <c r="A31" s="6" t="inlineStr">
        <is>
          <t>Loans and advances to customers</t>
        </is>
      </c>
      <c r="B31" s="6" t="n"/>
      <c r="C31" s="6" t="n">
        <v>333.3</v>
      </c>
      <c r="D31" s="6" t="n">
        <v>409.4</v>
      </c>
      <c r="E31" s="6" t="n">
        <v>24678.3</v>
      </c>
      <c r="F31" s="6" t="n">
        <v>24551.4</v>
      </c>
      <c r="G31" s="6" t="n">
        <v>2470.8</v>
      </c>
    </row>
    <row r="32">
      <c r="A32" s="6" t="inlineStr">
        <is>
          <t>Other assets</t>
        </is>
      </c>
      <c r="B32" s="6" t="n"/>
      <c r="C32" s="6" t="n">
        <v>5787.7</v>
      </c>
      <c r="D32" s="6" t="n">
        <v>5639.1</v>
      </c>
      <c r="E32" s="6" t="n">
        <v>6662</v>
      </c>
      <c r="F32" s="6" t="n">
        <v>5442.5</v>
      </c>
      <c r="G32" s="6" t="n">
        <v>5592.5</v>
      </c>
    </row>
    <row r="33">
      <c r="A33" s="6" t="inlineStr">
        <is>
          <t>Debt instruments</t>
        </is>
      </c>
      <c r="B33" s="6" t="n"/>
      <c r="C33" s="6" t="n">
        <v>7161</v>
      </c>
      <c r="D33" s="6" t="n">
        <v>3095.2</v>
      </c>
      <c r="E33" s="6" t="n">
        <v>2257</v>
      </c>
      <c r="F33" s="6" t="n"/>
      <c r="G33" s="6" t="n"/>
    </row>
    <row r="34">
      <c r="A34" s="6" t="inlineStr">
        <is>
          <t>Prepayments and accrued income</t>
        </is>
      </c>
      <c r="B34" s="6" t="n"/>
      <c r="C34" s="6" t="n">
        <v>1350.8</v>
      </c>
      <c r="D34" s="6" t="n">
        <v>1439.5</v>
      </c>
      <c r="E34" s="6" t="n">
        <v>1306.8</v>
      </c>
      <c r="F34" s="6" t="n">
        <v>469.5</v>
      </c>
      <c r="G34" s="6" t="n">
        <v>747.2</v>
      </c>
    </row>
    <row r="35">
      <c r="A35" s="5" t="inlineStr">
        <is>
          <t>Total assets</t>
        </is>
      </c>
      <c r="B35" s="5" t="n"/>
      <c r="C35" s="5" t="n">
        <v>263292.2</v>
      </c>
      <c r="D35" s="5" t="n">
        <v>267959.3</v>
      </c>
      <c r="E35" s="5" t="n">
        <v>275595</v>
      </c>
      <c r="F35" s="5" t="n">
        <v>307991.3</v>
      </c>
      <c r="G35" s="5" t="n">
        <v>306523.2</v>
      </c>
    </row>
    <row r="36">
      <c r="A36" s="5" t="inlineStr">
        <is>
          <t>Current liabilities</t>
        </is>
      </c>
      <c r="B36" s="6" t="n"/>
      <c r="C36" s="6" t="n"/>
      <c r="D36" s="6" t="n"/>
      <c r="E36" s="6" t="n"/>
      <c r="F36" s="6" t="n"/>
      <c r="G36" s="6" t="n"/>
    </row>
    <row r="37">
      <c r="A37" s="6" t="inlineStr">
        <is>
          <t>Deposits from banks</t>
        </is>
      </c>
      <c r="B37" s="6" t="n"/>
      <c r="C37" s="6" t="n">
        <v>6451</v>
      </c>
      <c r="D37" s="6" t="n">
        <v>6604.2</v>
      </c>
      <c r="E37" s="6" t="n">
        <v>6758.6</v>
      </c>
      <c r="F37" s="6" t="n">
        <v>158677.3</v>
      </c>
      <c r="G37" s="6" t="n">
        <v>159618.8</v>
      </c>
    </row>
    <row r="38">
      <c r="A38" s="6" t="inlineStr">
        <is>
          <t>Amounts owed to other depositors</t>
        </is>
      </c>
      <c r="B38" s="6" t="n"/>
      <c r="C38" s="6" t="n">
        <v>1635.7</v>
      </c>
      <c r="D38" s="6" t="n">
        <v>1744.6</v>
      </c>
      <c r="E38" s="6" t="n">
        <v>1737.1</v>
      </c>
      <c r="F38" s="6" t="n">
        <v>1745.1</v>
      </c>
      <c r="G38" s="6" t="n">
        <v>1734.7</v>
      </c>
    </row>
    <row r="39">
      <c r="A39" s="6" t="inlineStr">
        <is>
          <t>Corporation taxation</t>
        </is>
      </c>
      <c r="B39" s="6" t="n"/>
      <c r="C39" s="6" t="n">
        <v>188</v>
      </c>
      <c r="D39" s="6" t="n"/>
      <c r="E39" s="6" t="n">
        <v>197.6</v>
      </c>
      <c r="F39" s="6" t="n">
        <v>118.4</v>
      </c>
      <c r="G39" s="6" t="n"/>
    </row>
    <row r="40">
      <c r="A40" s="6" t="inlineStr">
        <is>
          <t>Other liabilities</t>
        </is>
      </c>
      <c r="B40" s="6" t="n"/>
      <c r="C40" s="6" t="n">
        <v>472</v>
      </c>
      <c r="D40" s="6" t="n">
        <v>473.6</v>
      </c>
      <c r="E40" s="6" t="n">
        <v>1015.2</v>
      </c>
      <c r="F40" s="6" t="n">
        <v>2201</v>
      </c>
      <c r="G40" s="6" t="n">
        <v>451.6</v>
      </c>
    </row>
    <row r="41">
      <c r="A41" s="6" t="inlineStr">
        <is>
          <t>Accruals and deferred income</t>
        </is>
      </c>
      <c r="B41" s="6" t="n"/>
      <c r="C41" s="6" t="n">
        <v>1604</v>
      </c>
      <c r="D41" s="6" t="n">
        <v>977.9</v>
      </c>
      <c r="E41" s="6" t="n">
        <v>844.8</v>
      </c>
      <c r="F41" s="6" t="n">
        <v>929.6</v>
      </c>
      <c r="G41" s="6" t="n">
        <v>674.8</v>
      </c>
    </row>
    <row r="42">
      <c r="A42" s="5" t="inlineStr">
        <is>
          <t>Total current liabilities</t>
        </is>
      </c>
      <c r="B42" s="5" t="n"/>
      <c r="C42" s="5" t="n">
        <v>10350.6</v>
      </c>
      <c r="D42" s="5" t="n">
        <v>9800.299999999999</v>
      </c>
      <c r="E42" s="5" t="n">
        <v>10553.3</v>
      </c>
      <c r="F42" s="5" t="n">
        <v>163671.5</v>
      </c>
      <c r="G42" s="5" t="n">
        <v>162479.8</v>
      </c>
    </row>
    <row r="43">
      <c r="A43" s="5" t="inlineStr">
        <is>
          <t>Non-current liabilities</t>
        </is>
      </c>
      <c r="B43" s="6" t="n"/>
      <c r="C43" s="6" t="n"/>
      <c r="D43" s="6" t="n"/>
      <c r="E43" s="6" t="n"/>
      <c r="F43" s="6" t="n"/>
      <c r="G43" s="6" t="n"/>
    </row>
    <row r="44">
      <c r="A44" s="6" t="inlineStr">
        <is>
          <t>Deposits from banks</t>
        </is>
      </c>
      <c r="B44" s="6" t="n"/>
      <c r="C44" s="6" t="n">
        <v>108602</v>
      </c>
      <c r="D44" s="6" t="n">
        <v>111124</v>
      </c>
      <c r="E44" s="6" t="n">
        <v>114166</v>
      </c>
      <c r="F44" s="6" t="n"/>
      <c r="G44" s="6" t="n"/>
    </row>
    <row r="45">
      <c r="A45" s="5" t="inlineStr">
        <is>
          <t>Total liabilities</t>
        </is>
      </c>
      <c r="B45" s="5" t="n"/>
      <c r="C45" s="5" t="n">
        <v>118952.6</v>
      </c>
      <c r="D45" s="5" t="n">
        <v>120924.3</v>
      </c>
      <c r="E45" s="5" t="n">
        <v>124719.3</v>
      </c>
      <c r="F45" s="5" t="n">
        <v>163671.5</v>
      </c>
      <c r="G45" s="5" t="n">
        <v>162479.8</v>
      </c>
    </row>
    <row r="46">
      <c r="A46" s="5" t="inlineStr">
        <is>
          <t>Equity</t>
        </is>
      </c>
      <c r="B46" s="6" t="n"/>
      <c r="C46" s="6" t="n"/>
      <c r="D46" s="6" t="n"/>
      <c r="E46" s="6" t="n"/>
      <c r="F46" s="6" t="n"/>
      <c r="G46" s="6" t="n"/>
    </row>
    <row r="47">
      <c r="A47" s="6" t="inlineStr">
        <is>
          <t>Called up share capital</t>
        </is>
      </c>
      <c r="B47" s="6" t="n">
        <v>138928</v>
      </c>
      <c r="C47" s="6" t="n">
        <v>133664</v>
      </c>
      <c r="D47" s="6" t="n">
        <v>136768</v>
      </c>
      <c r="E47" s="6" t="n">
        <v>140512</v>
      </c>
      <c r="F47" s="6" t="n">
        <v>135344</v>
      </c>
      <c r="G47" s="6" t="n">
        <v>136320</v>
      </c>
    </row>
    <row r="48">
      <c r="A48" s="6" t="inlineStr">
        <is>
          <t>Retained earnings</t>
        </is>
      </c>
      <c r="B48" s="6" t="n">
        <v>10219.9</v>
      </c>
      <c r="C48" s="6" t="n">
        <v>10675.6</v>
      </c>
      <c r="D48" s="6" t="n">
        <v>10267</v>
      </c>
      <c r="E48" s="6" t="n">
        <v>10363.6</v>
      </c>
      <c r="F48" s="6" t="n">
        <v>8975.799999999999</v>
      </c>
      <c r="G48" s="6" t="n">
        <v>7723.4</v>
      </c>
    </row>
    <row r="49">
      <c r="A49" s="5" t="inlineStr">
        <is>
          <t>Total equity</t>
        </is>
      </c>
      <c r="B49" s="5" t="n">
        <v>149147.9</v>
      </c>
      <c r="C49" s="5" t="n">
        <v>144339.6</v>
      </c>
      <c r="D49" s="5" t="n">
        <v>147035</v>
      </c>
      <c r="E49" s="5" t="n">
        <v>150875.6</v>
      </c>
      <c r="F49" s="5" t="n">
        <v>144319.8</v>
      </c>
      <c r="G49" s="5" t="n">
        <v>144043.4</v>
      </c>
    </row>
    <row r="50">
      <c r="A50" s="5" t="inlineStr">
        <is>
          <t>Total liabilities and equity</t>
        </is>
      </c>
      <c r="B50" s="5" t="n">
        <v>274578.2</v>
      </c>
      <c r="C50" s="5" t="n">
        <v>263292.2</v>
      </c>
      <c r="D50" s="5" t="n">
        <v>267959.3</v>
      </c>
      <c r="E50" s="5" t="n">
        <v>275595</v>
      </c>
      <c r="F50" s="5" t="n">
        <v>307991.3</v>
      </c>
      <c r="G50" s="5" t="n">
        <v>306523.2</v>
      </c>
    </row>
    <row r="52" ht="409" customHeight="1">
      <c r="A52"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row r="54" ht="409" customHeight="1">
      <c r="A54" s="8" t="inlineStr">
        <is>
          <t>(continued)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t>
        </is>
      </c>
    </row>
  </sheetData>
  <mergeCells count="2">
    <mergeCell ref="A54:G54"/>
    <mergeCell ref="A52: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Comprehensive Income</t>
        </is>
      </c>
    </row>
    <row r="2">
      <c r="A2" s="2" t="inlineStr">
        <is>
          <t>£'000, converted from EUR - see source note at bottom for FX methodology and rates used.</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Income</t>
        </is>
      </c>
      <c r="B4" s="6" t="n"/>
      <c r="C4" s="6" t="n"/>
      <c r="D4" s="6" t="n"/>
      <c r="E4" s="6" t="n"/>
      <c r="F4" s="6" t="n"/>
      <c r="G4" s="6" t="n"/>
    </row>
    <row r="5">
      <c r="A5" s="6" t="inlineStr">
        <is>
          <t>Interest and similar income</t>
        </is>
      </c>
      <c r="B5" s="6" t="n">
        <v>8547.4</v>
      </c>
      <c r="C5" s="6" t="n">
        <v>8485.299999999999</v>
      </c>
      <c r="D5" s="6" t="n">
        <v>8259.5</v>
      </c>
      <c r="E5" s="6" t="n">
        <v>6590.9</v>
      </c>
      <c r="F5" s="6" t="n">
        <v>6124.7</v>
      </c>
      <c r="G5" s="6" t="n">
        <v>6415.9</v>
      </c>
    </row>
    <row r="6">
      <c r="A6" s="6" t="inlineStr">
        <is>
          <t>Interest expense and similar charges</t>
        </is>
      </c>
      <c r="B6" s="6" t="n">
        <v>-2909.1</v>
      </c>
      <c r="C6" s="6" t="n">
        <v>-3063.3</v>
      </c>
      <c r="D6" s="6" t="n">
        <v>-2.6</v>
      </c>
      <c r="E6" s="6" t="n">
        <v>-180.7</v>
      </c>
      <c r="F6" s="6" t="n">
        <v>-568.9</v>
      </c>
      <c r="G6" s="6" t="n">
        <v>-491.9</v>
      </c>
    </row>
    <row r="7">
      <c r="A7" s="5" t="inlineStr">
        <is>
          <t>Net interest income</t>
        </is>
      </c>
      <c r="B7" s="5" t="n">
        <v>5638.3</v>
      </c>
      <c r="C7" s="5" t="n">
        <v>5422</v>
      </c>
      <c r="D7" s="5" t="n">
        <v>8256.9</v>
      </c>
      <c r="E7" s="5" t="n">
        <v>6410.3</v>
      </c>
      <c r="F7" s="5" t="n">
        <v>5555.9</v>
      </c>
      <c r="G7" s="5" t="n">
        <v>5924</v>
      </c>
    </row>
    <row r="8">
      <c r="A8" s="6" t="inlineStr">
        <is>
          <t>Net fee and commission expense</t>
        </is>
      </c>
      <c r="B8" s="6" t="n">
        <v>-53.6</v>
      </c>
      <c r="C8" s="6" t="n">
        <v>-64.8</v>
      </c>
      <c r="D8" s="6" t="n">
        <v>-103.6</v>
      </c>
      <c r="E8" s="6" t="n">
        <v>-182.4</v>
      </c>
      <c r="F8" s="6" t="n">
        <v>-104.6</v>
      </c>
      <c r="G8" s="6" t="n">
        <v>-77.5</v>
      </c>
    </row>
    <row r="9">
      <c r="A9" s="6" t="inlineStr">
        <is>
          <t>Foreign currency (loss)/gain</t>
        </is>
      </c>
      <c r="B9" s="6" t="n">
        <v>-167.9</v>
      </c>
      <c r="C9" s="6" t="n">
        <v>-2.5</v>
      </c>
      <c r="D9" s="6" t="n">
        <v>-9.5</v>
      </c>
      <c r="E9" s="6" t="n">
        <v>-92.5</v>
      </c>
      <c r="F9" s="6" t="n">
        <v>-4.2</v>
      </c>
      <c r="G9" s="6" t="n">
        <v>98</v>
      </c>
    </row>
    <row r="10">
      <c r="A10" s="6" t="inlineStr">
        <is>
          <t>Other operating income</t>
        </is>
      </c>
      <c r="B10" s="6" t="n">
        <v>228.4</v>
      </c>
      <c r="C10" s="6" t="n">
        <v>60.6</v>
      </c>
      <c r="D10" s="6" t="n">
        <v>1114.9</v>
      </c>
      <c r="E10" s="6" t="n">
        <v>0</v>
      </c>
      <c r="F10" s="6" t="n">
        <v>0</v>
      </c>
      <c r="G10" s="6" t="n">
        <v>0</v>
      </c>
    </row>
    <row r="11">
      <c r="A11" s="5" t="inlineStr">
        <is>
          <t>Total operating income</t>
        </is>
      </c>
      <c r="B11" s="5" t="n">
        <v>5645.2</v>
      </c>
      <c r="C11" s="5" t="n">
        <v>5415.3</v>
      </c>
      <c r="D11" s="5" t="n">
        <v>9258.700000000001</v>
      </c>
      <c r="E11" s="5" t="n">
        <v>6135.4</v>
      </c>
      <c r="F11" s="5" t="n">
        <v>5447.1</v>
      </c>
      <c r="G11" s="5" t="n">
        <v>5944.5</v>
      </c>
    </row>
    <row r="12">
      <c r="A12" s="6" t="inlineStr">
        <is>
          <t>General administrative expenses</t>
        </is>
      </c>
      <c r="B12" s="6" t="n">
        <v>-5125.2</v>
      </c>
      <c r="C12" s="6" t="n">
        <v>-4650.1</v>
      </c>
      <c r="D12" s="6" t="n">
        <v>-4324.9</v>
      </c>
      <c r="E12" s="6" t="n">
        <v>-4064</v>
      </c>
      <c r="F12" s="6" t="n">
        <v>-4069.2</v>
      </c>
      <c r="G12" s="6" t="n">
        <v>-4370.8</v>
      </c>
    </row>
    <row r="13">
      <c r="A13" s="6" t="inlineStr">
        <is>
          <t>Credit impairment gains/(losses)</t>
        </is>
      </c>
      <c r="B13" s="6" t="n">
        <v>-1552.3</v>
      </c>
      <c r="C13" s="6" t="n">
        <v>101</v>
      </c>
      <c r="D13" s="6" t="n">
        <v>-4761</v>
      </c>
      <c r="E13" s="6" t="n">
        <v>-848.1</v>
      </c>
      <c r="F13" s="6" t="n">
        <v>33.5</v>
      </c>
      <c r="G13" s="6" t="n">
        <v>-124.8</v>
      </c>
    </row>
    <row r="14">
      <c r="A14" s="5" t="inlineStr">
        <is>
          <t>Profit before taxation</t>
        </is>
      </c>
      <c r="B14" s="5" t="n">
        <v>-1032.3</v>
      </c>
      <c r="C14" s="5" t="n">
        <v>866.2</v>
      </c>
      <c r="D14" s="5" t="n">
        <v>172.7</v>
      </c>
      <c r="E14" s="5" t="n">
        <v>1223.3</v>
      </c>
      <c r="F14" s="5" t="n">
        <v>1411.3</v>
      </c>
      <c r="G14" s="5" t="n">
        <v>1448.9</v>
      </c>
    </row>
    <row r="15">
      <c r="A15" s="6" t="inlineStr">
        <is>
          <t>Taxation (charge)/credit</t>
        </is>
      </c>
      <c r="B15" s="6" t="n">
        <v>159.2</v>
      </c>
      <c r="C15" s="6" t="n">
        <v>-219.7</v>
      </c>
      <c r="D15" s="6" t="n">
        <v>8.6</v>
      </c>
      <c r="E15" s="6" t="n">
        <v>-194.5</v>
      </c>
      <c r="F15" s="6" t="n">
        <v>-117.1</v>
      </c>
      <c r="G15" s="6" t="n">
        <v>0</v>
      </c>
    </row>
    <row r="16">
      <c r="A16" s="5" t="inlineStr">
        <is>
          <t>Profit for the year after taxation</t>
        </is>
      </c>
      <c r="B16" s="5" t="n">
        <v>-873.1</v>
      </c>
      <c r="C16" s="5" t="n">
        <v>646.5</v>
      </c>
      <c r="D16" s="5" t="n">
        <v>181.4</v>
      </c>
      <c r="E16" s="5" t="n">
        <v>1028.8</v>
      </c>
      <c r="F16" s="5" t="n">
        <v>1294.2</v>
      </c>
      <c r="G16" s="5" t="n">
        <v>1448.9</v>
      </c>
    </row>
    <row r="17">
      <c r="A17" s="5" t="inlineStr">
        <is>
          <t>Other comprehensive income</t>
        </is>
      </c>
      <c r="B17" s="6" t="n"/>
      <c r="C17" s="6" t="n"/>
      <c r="D17" s="6" t="n"/>
      <c r="E17" s="6" t="n"/>
      <c r="F17" s="6" t="n"/>
      <c r="G17" s="6" t="n"/>
    </row>
    <row r="18">
      <c r="A18" s="6" t="inlineStr">
        <is>
          <t>Other comprehensive income</t>
        </is>
      </c>
      <c r="B18" s="6" t="inlineStr">
        <is>
          <t>-</t>
        </is>
      </c>
      <c r="C18" s="6" t="n">
        <v>0</v>
      </c>
      <c r="D18" s="6" t="n">
        <v>0</v>
      </c>
      <c r="E18" s="6" t="n">
        <v>0</v>
      </c>
      <c r="F18" s="6" t="n">
        <v>0</v>
      </c>
      <c r="G18" s="6" t="n">
        <v>0</v>
      </c>
    </row>
    <row r="19">
      <c r="A19" s="5" t="inlineStr">
        <is>
          <t>Total comprehensive income for the year</t>
        </is>
      </c>
      <c r="B19" s="5" t="n">
        <v>-873.1</v>
      </c>
      <c r="C19" s="5" t="n">
        <v>646.5</v>
      </c>
      <c r="D19" s="5" t="n">
        <v>181.4</v>
      </c>
      <c r="E19" s="5" t="n">
        <v>1028.8</v>
      </c>
      <c r="F19" s="5" t="n">
        <v>1294.2</v>
      </c>
      <c r="G19" s="5" t="n">
        <v>1448.9</v>
      </c>
    </row>
    <row r="21" ht="409" customHeight="1">
      <c r="A21"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row r="23" ht="409" customHeight="1">
      <c r="A23" s="8" t="inlineStr">
        <is>
          <t>(continued)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t>
        </is>
      </c>
    </row>
  </sheetData>
  <mergeCells count="2">
    <mergeCell ref="A21:G21"/>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Bank Sepah International Plc — Statement of Changes in Equity</t>
        </is>
      </c>
    </row>
    <row r="2">
      <c r="A2" s="2" t="inlineStr">
        <is>
          <t>£'000, converted from EUR - see source note at bottom for FX methodology; an 'FX translation effect' row is included since Called up share capital is EUR-constant but still shifts in £ terms because each snapshot is converted at that period's own spot rate. FY2021's own movement is omitted - see note below.</t>
        </is>
      </c>
    </row>
    <row r="3">
      <c r="A3" s="4" t="inlineStr">
        <is>
          <t>Movement</t>
        </is>
      </c>
      <c r="B3" s="4" t="inlineStr">
        <is>
          <t>Called up share capital</t>
        </is>
      </c>
      <c r="C3" s="4" t="inlineStr">
        <is>
          <t>Retained earnings</t>
        </is>
      </c>
      <c r="D3" s="4" t="inlineStr">
        <is>
          <t>Total</t>
        </is>
      </c>
    </row>
    <row r="4">
      <c r="A4" s="5" t="inlineStr">
        <is>
          <t>At 31 March 2021 / 1 April 2021</t>
        </is>
      </c>
      <c r="B4" s="5" t="n">
        <v>136320</v>
      </c>
      <c r="C4" s="5" t="n">
        <v>7722.5</v>
      </c>
      <c r="D4" s="5" t="n">
        <v>144042.5</v>
      </c>
    </row>
    <row r="5">
      <c r="A5" s="6" t="inlineStr">
        <is>
          <t>Profit and total comprehensive income for the year (FY2022)</t>
        </is>
      </c>
      <c r="B5" s="6" t="n"/>
      <c r="C5" s="6" t="n">
        <v>1294.2</v>
      </c>
      <c r="D5" s="6" t="n">
        <v>1294.2</v>
      </c>
    </row>
    <row r="6">
      <c r="A6" s="6" t="inlineStr">
        <is>
          <t>FX translation effect on equity, net</t>
        </is>
      </c>
      <c r="B6" s="6" t="n">
        <v>-976</v>
      </c>
      <c r="C6" s="6" t="n">
        <v>-40.9</v>
      </c>
      <c r="D6" s="6" t="n">
        <v>-1016.9</v>
      </c>
    </row>
    <row r="7">
      <c r="A7" s="5" t="inlineStr">
        <is>
          <t>At 31 Mar. 2022</t>
        </is>
      </c>
      <c r="B7" s="5" t="n">
        <v>135344</v>
      </c>
      <c r="C7" s="5" t="n">
        <v>8975.799999999999</v>
      </c>
      <c r="D7" s="5" t="n">
        <v>144319.8</v>
      </c>
    </row>
    <row r="8">
      <c r="A8" s="6" t="inlineStr">
        <is>
          <t>Profit and total comprehensive income for the year (FY2023)</t>
        </is>
      </c>
      <c r="B8" s="6" t="n"/>
      <c r="C8" s="6" t="n">
        <v>1028.8</v>
      </c>
      <c r="D8" s="6" t="n">
        <v>1028.8</v>
      </c>
    </row>
    <row r="9">
      <c r="A9" s="6" t="inlineStr">
        <is>
          <t>FX translation effect on equity, net</t>
        </is>
      </c>
      <c r="B9" s="6" t="n">
        <v>5168</v>
      </c>
      <c r="C9" s="6" t="n">
        <v>359</v>
      </c>
      <c r="D9" s="6" t="n">
        <v>5527</v>
      </c>
    </row>
    <row r="10">
      <c r="A10" s="5" t="inlineStr">
        <is>
          <t>At 31 Mar. 2023</t>
        </is>
      </c>
      <c r="B10" s="5" t="n">
        <v>140512</v>
      </c>
      <c r="C10" s="5" t="n">
        <v>10363.6</v>
      </c>
      <c r="D10" s="5" t="n">
        <v>150875.6</v>
      </c>
    </row>
    <row r="11">
      <c r="A11" s="6" t="inlineStr">
        <is>
          <t>Profit and total comprehensive income for the year (FY2024)</t>
        </is>
      </c>
      <c r="B11" s="6" t="n"/>
      <c r="C11" s="6" t="n">
        <v>181.4</v>
      </c>
      <c r="D11" s="6" t="n">
        <v>181.4</v>
      </c>
    </row>
    <row r="12">
      <c r="A12" s="6" t="inlineStr">
        <is>
          <t>FX translation effect on equity, net</t>
        </is>
      </c>
      <c r="B12" s="6" t="n">
        <v>-3744</v>
      </c>
      <c r="C12" s="6" t="n">
        <v>-278</v>
      </c>
      <c r="D12" s="6" t="n">
        <v>-4022</v>
      </c>
    </row>
    <row r="13">
      <c r="A13" s="5" t="inlineStr">
        <is>
          <t>At 31 Mar. 2024</t>
        </is>
      </c>
      <c r="B13" s="5" t="n">
        <v>136768</v>
      </c>
      <c r="C13" s="5" t="n">
        <v>10267</v>
      </c>
      <c r="D13" s="5" t="n">
        <v>147035</v>
      </c>
    </row>
    <row r="14">
      <c r="A14" s="6" t="inlineStr">
        <is>
          <t>Profit and total comprehensive income for the year (FY2025)</t>
        </is>
      </c>
      <c r="B14" s="6" t="n"/>
      <c r="C14" s="6" t="n">
        <v>646.5</v>
      </c>
      <c r="D14" s="6" t="n">
        <v>646.5</v>
      </c>
    </row>
    <row r="15">
      <c r="A15" s="6" t="inlineStr">
        <is>
          <t>FX translation effect on equity, net</t>
        </is>
      </c>
      <c r="B15" s="6" t="n">
        <v>-3104</v>
      </c>
      <c r="C15" s="6" t="n">
        <v>-237.9</v>
      </c>
      <c r="D15" s="6" t="n">
        <v>-3341.9</v>
      </c>
    </row>
    <row r="16">
      <c r="A16" s="5" t="inlineStr">
        <is>
          <t>At 31 Mar. 2025</t>
        </is>
      </c>
      <c r="B16" s="5" t="n">
        <v>133664</v>
      </c>
      <c r="C16" s="5" t="n">
        <v>10675.6</v>
      </c>
      <c r="D16" s="5" t="n">
        <v>144339.6</v>
      </c>
    </row>
    <row r="17">
      <c r="A17" s="6" t="inlineStr">
        <is>
          <t>Loss and total comprehensive income for the year (FY2026)</t>
        </is>
      </c>
      <c r="B17" s="6" t="n"/>
      <c r="C17" s="6" t="n">
        <v>-873.1</v>
      </c>
      <c r="D17" s="6" t="n">
        <v>-873.1</v>
      </c>
    </row>
    <row r="18">
      <c r="A18" s="6" t="inlineStr">
        <is>
          <t>FX translation effect on equity, net</t>
        </is>
      </c>
      <c r="B18" s="6" t="n">
        <v>5264</v>
      </c>
      <c r="C18" s="6" t="n">
        <v>417.4</v>
      </c>
      <c r="D18" s="6" t="n">
        <v>5681.4</v>
      </c>
    </row>
    <row r="19">
      <c r="A19" s="5" t="inlineStr">
        <is>
          <t>At 31 Mar. 2026</t>
        </is>
      </c>
      <c r="B19" s="5" t="n">
        <v>138928</v>
      </c>
      <c r="C19" s="5" t="n">
        <v>10219.9</v>
      </c>
      <c r="D19" s="5" t="n">
        <v>149147.9</v>
      </c>
    </row>
    <row r="21" ht="409" customHeight="1">
      <c r="A21"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t>
        </is>
      </c>
    </row>
    <row r="23" ht="409" customHeight="1">
      <c r="A23" s="8" t="inlineStr">
        <is>
          <t>(continued)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row r="25" ht="409" customHeight="1">
      <c r="A25" s="8" t="inlineStr">
        <is>
          <t>(continued)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
Note: FY2021's own opening balance (at 1 April 2020) and profit movement are omitted - no verified FY2020 EUR/GBP rate exists for this bank (same reason the Cash Flow Statement sheet leaves FY2021's opening cash blank); the sheet instead opens at 31 March 2021 (FY2021's closing / FY2022's opening), which IS converted at a verified rate. The opening figure used here (EUR9,064k) is the Bank's own Statement of Changes in Equity figure for that date - see PRESENTATION_NOTE for a EUR1k rounding gap vs. the Balance Sheet sheet's own figure (EUR9,065k) for the same date, both from the same source document.</t>
        </is>
      </c>
    </row>
  </sheetData>
  <mergeCells count="3">
    <mergeCell ref="A23:D23"/>
    <mergeCell ref="A25:D25"/>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Operating activities</t>
        </is>
      </c>
      <c r="B4" s="6" t="n"/>
      <c r="C4" s="6" t="n"/>
      <c r="D4" s="6" t="n"/>
      <c r="E4" s="6" t="n"/>
      <c r="F4" s="6" t="n"/>
      <c r="G4" s="6" t="n"/>
    </row>
    <row r="5">
      <c r="A5" s="5" t="inlineStr">
        <is>
          <t>Net cash from/(used in) operating activities</t>
        </is>
      </c>
      <c r="B5" s="5" t="n">
        <v>2709.3</v>
      </c>
      <c r="C5" s="5" t="n">
        <v>-6395.2</v>
      </c>
      <c r="D5" s="5" t="n">
        <v>4505.4</v>
      </c>
      <c r="E5" s="5" t="n">
        <v>-44131.9</v>
      </c>
      <c r="F5" s="5" t="n">
        <v>15093.9</v>
      </c>
      <c r="G5" s="5" t="n">
        <v>1950.6</v>
      </c>
    </row>
    <row r="6">
      <c r="A6" s="5" t="inlineStr">
        <is>
          <t>Investing activities</t>
        </is>
      </c>
      <c r="B6" s="6" t="n"/>
      <c r="C6" s="6" t="n"/>
      <c r="D6" s="6" t="n"/>
      <c r="E6" s="6" t="n"/>
      <c r="F6" s="6" t="n"/>
      <c r="G6" s="6" t="n"/>
    </row>
    <row r="7">
      <c r="A7" s="5" t="inlineStr">
        <is>
          <t>Net cash from/(used in) investing activities</t>
        </is>
      </c>
      <c r="B7" s="5" t="n">
        <v>8523.200000000001</v>
      </c>
      <c r="C7" s="5" t="n">
        <v>957.1</v>
      </c>
      <c r="D7" s="5" t="n">
        <v>-1832.6</v>
      </c>
      <c r="E7" s="5" t="n">
        <v>-105.5</v>
      </c>
      <c r="F7" s="5" t="n">
        <v>-430.8</v>
      </c>
      <c r="G7" s="5" t="n">
        <v>-444.7</v>
      </c>
    </row>
    <row r="8">
      <c r="A8" s="5" t="inlineStr">
        <is>
          <t>Net (decrease)/increase in cash and cash equivalents</t>
        </is>
      </c>
      <c r="B8" s="5" t="n">
        <v>11232.5</v>
      </c>
      <c r="C8" s="5" t="n">
        <v>-5438</v>
      </c>
      <c r="D8" s="5" t="n">
        <v>2681.5</v>
      </c>
      <c r="E8" s="5" t="n">
        <v>-44237.3</v>
      </c>
      <c r="F8" s="5" t="n">
        <v>14396.2</v>
      </c>
      <c r="G8" s="5" t="n">
        <v>1506</v>
      </c>
    </row>
    <row r="9">
      <c r="A9" s="6" t="inlineStr">
        <is>
          <t>Foreign currency exchange (loss)/gain (Bank's own, EUR functional currency)</t>
        </is>
      </c>
      <c r="B9" s="6" t="n">
        <v>-196.4</v>
      </c>
      <c r="C9" s="6" t="n">
        <v>-89.2</v>
      </c>
      <c r="D9" s="6" t="n">
        <v>-38</v>
      </c>
      <c r="E9" s="6" t="n">
        <v>-228.2</v>
      </c>
      <c r="F9" s="6" t="n">
        <v>30.1</v>
      </c>
      <c r="G9" s="6" t="n">
        <v>-230.8</v>
      </c>
    </row>
    <row r="10">
      <c r="A10" s="6" t="inlineStr">
        <is>
          <t>Effect of GBP/EUR translation (this workbook's own conversion, not in the source)</t>
        </is>
      </c>
      <c r="B10" s="6" t="n">
        <v>4956.9</v>
      </c>
      <c r="C10" s="6" t="n">
        <v>-2985.8</v>
      </c>
      <c r="D10" s="6" t="n">
        <v>-3616.1</v>
      </c>
      <c r="E10" s="6" t="n">
        <v>5899.1</v>
      </c>
      <c r="F10" s="6" t="n">
        <v>-981.6</v>
      </c>
      <c r="G10" s="6" t="n"/>
    </row>
    <row r="11">
      <c r="A11" s="6" t="inlineStr">
        <is>
          <t>Cash and cash equivalents at the beginning of the year</t>
        </is>
      </c>
      <c r="B11" s="6" t="n">
        <v>124894.8</v>
      </c>
      <c r="C11" s="6" t="n">
        <v>133407.8</v>
      </c>
      <c r="D11" s="6" t="n">
        <v>134380.4</v>
      </c>
      <c r="E11" s="6" t="n">
        <v>172946.8</v>
      </c>
      <c r="F11" s="6" t="n">
        <v>159502.1</v>
      </c>
      <c r="G11" s="6" t="n"/>
    </row>
    <row r="12">
      <c r="A12" s="5" t="inlineStr">
        <is>
          <t>Cash and cash equivalents at the end of the year</t>
        </is>
      </c>
      <c r="B12" s="5" t="n">
        <v>140887.8</v>
      </c>
      <c r="C12" s="5" t="n">
        <v>124894.8</v>
      </c>
      <c r="D12" s="5" t="n">
        <v>133407.8</v>
      </c>
      <c r="E12" s="5" t="n">
        <v>134380.4</v>
      </c>
      <c r="F12" s="5" t="n">
        <v>172946.8</v>
      </c>
      <c r="G12" s="5" t="n">
        <v>159502.1</v>
      </c>
    </row>
    <row r="14" ht="299" customHeight="1">
      <c r="A14" s="8" t="inlineStr">
        <is>
          <t>Sources - Bank Sepah International Plc's own Statement of Cash Flows (Companies House filings):
FY2026: Full accounts to 31 March 2026 (filed 16 Sep 2026), p.27 - https://find-and-update.company-information.service.gov.uk/company/04189598/filing-history/MzU0NTE3NTc3MGFkaXF6a2N4/document?format=pdf&amp;download=0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4 filings are fully scanned/image-only (0 text blocks/page) - rendered and read visually, cross-checked where years overlap between filings (FY2024 figures match exactly between the FY2024 and FY2025 accounts; FY2025's operating/investing/net change/FX/opening/closing figures match exactly between the FY2025 and FY2026 accounts).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Asset Quality / Credit Risk Disclosures</t>
        </is>
      </c>
    </row>
    <row r="2">
      <c r="A2" s="2" t="inlineStr">
        <is>
          <t>£'000, converted from EUR. Almost all of this Bank's ECL provision sits against Loans and advances to customers (a small share of total assets - most of the balance sheet is interbank placements), so the total ECL-by-stage view (across ALL financial asset classes) is included alongside the customer loan book split for a fuller risk picture.</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Loans and advances to customers (Note 10/11)</t>
        </is>
      </c>
      <c r="B4" s="6" t="n"/>
      <c r="C4" s="6" t="n"/>
      <c r="D4" s="6" t="n"/>
      <c r="E4" s="6" t="n"/>
      <c r="F4" s="6" t="n"/>
      <c r="G4" s="6" t="n"/>
    </row>
    <row r="5">
      <c r="A5" s="6" t="inlineStr">
        <is>
          <t>Gross loans and advances to customers</t>
        </is>
      </c>
      <c r="B5" s="6" t="n">
        <v>4792.1</v>
      </c>
      <c r="C5" s="6" t="n">
        <v>4775.1</v>
      </c>
      <c r="D5" s="6" t="n">
        <v>4966.4</v>
      </c>
      <c r="E5" s="6" t="n">
        <v>27579.9</v>
      </c>
      <c r="F5" s="6" t="n">
        <v>26466.5</v>
      </c>
      <c r="G5" s="6" t="n">
        <v>4243</v>
      </c>
    </row>
    <row r="6">
      <c r="A6" s="6" t="inlineStr">
        <is>
          <t>Less: IFRS 9 impairment provisions</t>
        </is>
      </c>
      <c r="B6" s="6" t="n">
        <v>-4349.3</v>
      </c>
      <c r="C6" s="6" t="n">
        <v>-4441.8</v>
      </c>
      <c r="D6" s="6" t="n">
        <v>-4556.9</v>
      </c>
      <c r="E6" s="6" t="n">
        <v>-2901.6</v>
      </c>
      <c r="F6" s="6" t="n">
        <v>-1915.1</v>
      </c>
      <c r="G6" s="6" t="n">
        <v>-1772.2</v>
      </c>
    </row>
    <row r="7">
      <c r="A7" s="5" t="inlineStr">
        <is>
          <t>Net loans and advances to customers</t>
        </is>
      </c>
      <c r="B7" s="5" t="n">
        <v>442.8</v>
      </c>
      <c r="C7" s="5" t="n">
        <v>333.3</v>
      </c>
      <c r="D7" s="5" t="n">
        <v>409.4</v>
      </c>
      <c r="E7" s="5" t="n">
        <v>24678.3</v>
      </c>
      <c r="F7" s="5" t="n">
        <v>24551.4</v>
      </c>
      <c r="G7" s="5" t="n">
        <v>2470.8</v>
      </c>
    </row>
    <row r="8">
      <c r="A8" s="6" t="inlineStr">
        <is>
          <t>Allowance coverage ratio (allowance / gross loans to customers)</t>
        </is>
      </c>
      <c r="B8" s="6" t="inlineStr">
        <is>
          <t>90.8%</t>
        </is>
      </c>
      <c r="C8" s="6" t="inlineStr">
        <is>
          <t>93.0%</t>
        </is>
      </c>
      <c r="D8" s="6" t="inlineStr">
        <is>
          <t>91.8%</t>
        </is>
      </c>
      <c r="E8" s="6" t="inlineStr">
        <is>
          <t>10.5%</t>
        </is>
      </c>
      <c r="F8" s="6" t="inlineStr">
        <is>
          <t>7.2%</t>
        </is>
      </c>
      <c r="G8" s="6" t="inlineStr">
        <is>
          <t>41.8%</t>
        </is>
      </c>
    </row>
    <row r="9">
      <c r="A9" s="5" t="inlineStr">
        <is>
          <t>Total ECL provisions, all financial asset classes, by IFRS 9 stage (Note 11/12)</t>
        </is>
      </c>
      <c r="B9" s="6" t="n"/>
      <c r="C9" s="6" t="n"/>
      <c r="D9" s="6" t="n"/>
      <c r="E9" s="6" t="n"/>
      <c r="F9" s="6" t="n"/>
      <c r="G9" s="6" t="n"/>
    </row>
    <row r="10">
      <c r="A10" s="6" t="inlineStr">
        <is>
          <t>Stage 1 (12-month ECL)</t>
        </is>
      </c>
      <c r="B10" s="6" t="n">
        <v>9.6</v>
      </c>
      <c r="C10" s="6" t="n">
        <v>1682.5</v>
      </c>
      <c r="D10" s="6" t="n">
        <v>1878.9</v>
      </c>
      <c r="E10" s="6" t="n">
        <v>265.2</v>
      </c>
      <c r="F10" s="6" t="n">
        <v>316.4</v>
      </c>
      <c r="G10" s="6" t="n">
        <v>356.1</v>
      </c>
    </row>
    <row r="11">
      <c r="A11" s="6" t="inlineStr">
        <is>
          <t>Stage 2 (lifetime ECL, not credit-impaired)</t>
        </is>
      </c>
      <c r="B11" s="6" t="n">
        <v>4688.8</v>
      </c>
      <c r="C11" s="6" t="n">
        <v>1339.1</v>
      </c>
      <c r="D11" s="6" t="n">
        <v>1325.8</v>
      </c>
      <c r="E11" s="6" t="n">
        <v>1.8</v>
      </c>
      <c r="F11" s="6" t="n">
        <v>4.2</v>
      </c>
      <c r="G11" s="6" t="n">
        <v>0.9</v>
      </c>
    </row>
    <row r="12">
      <c r="A12" s="6" t="inlineStr">
        <is>
          <t>Stage 3 (lifetime ECL, credit-impaired)</t>
        </is>
      </c>
      <c r="B12" s="6" t="n">
        <v>4358</v>
      </c>
      <c r="C12" s="6" t="n">
        <v>4451</v>
      </c>
      <c r="D12" s="6" t="n">
        <v>4552.7</v>
      </c>
      <c r="E12" s="6" t="n">
        <v>2898.1</v>
      </c>
      <c r="F12" s="6" t="n">
        <v>1858.4</v>
      </c>
      <c r="G12" s="6" t="n">
        <v>2107.8</v>
      </c>
    </row>
    <row r="13">
      <c r="A13" s="5" t="inlineStr">
        <is>
          <t>Total ECL provisions across all financial assets</t>
        </is>
      </c>
      <c r="B13" s="5" t="n">
        <v>9056.4</v>
      </c>
      <c r="C13" s="5" t="n">
        <v>7472.7</v>
      </c>
      <c r="D13" s="5" t="n">
        <v>7757.3</v>
      </c>
      <c r="E13" s="5" t="n">
        <v>3165</v>
      </c>
      <c r="F13" s="5" t="n">
        <v>2179</v>
      </c>
      <c r="G13" s="5" t="n">
        <v>2464.8</v>
      </c>
    </row>
    <row r="14">
      <c r="A14" s="6" t="inlineStr">
        <is>
          <t>Stage 3 share of total ECL provisions</t>
        </is>
      </c>
      <c r="B14" s="6" t="inlineStr">
        <is>
          <t>48.1%</t>
        </is>
      </c>
      <c r="C14" s="6" t="inlineStr">
        <is>
          <t>59.6%</t>
        </is>
      </c>
      <c r="D14" s="6" t="inlineStr">
        <is>
          <t>58.7%</t>
        </is>
      </c>
      <c r="E14" s="6" t="inlineStr">
        <is>
          <t>91.6%</t>
        </is>
      </c>
      <c r="F14" s="6" t="inlineStr">
        <is>
          <t>85.3%</t>
        </is>
      </c>
      <c r="G14" s="6" t="inlineStr">
        <is>
          <t>85.5%</t>
        </is>
      </c>
    </row>
    <row r="16" ht="409" customHeight="1">
      <c r="A16" s="8" t="inlineStr">
        <is>
          <t>Sources - Bank Sepah International Plc's own Note 10/11 (Loans and advances to customers) and Note 11/12 (IFRS 9 Impairment losses, by stage, all financial asset classes):
FY2026: Full accounts to 31 March 2026 (filed 16 Sep 2026), Notes 11 and 12, p.38 - https://find-and-update.company-information.service.gov.uk/company/04189598/filing-history/MzU0NTE3NTc3MGFkaXF6a2N4/document?format=pdf&amp;download=0
FY2025: Full accounts to 31 March 2025, p.39 - https://find-and-update.company-information.service.gov.uk/company/04189598/filing-history/MzQ3Mzg4ODM0MGFkaXF6a2N4/document?format=pdf&amp;download=0
FY2024/FY2023: Full accounts to 31 March 2024, pp.40-41 - https://find-and-update.company-information.service.gov.uk/company/04189598/filing-history/MzQyOTk1Mjg2NmFkaXF6a2N4/document?format=pdf&amp;download=0
FY2022/FY2021: Full accounts to 31 March 2022, pp.36-37 - https://find-and-update.company-information.service.gov.uk/company/04189598/filing-history/MzM1MTIwNTQ2MGFkaXF6a2N4/document?format=pdf&amp;download=0
Note: the FY2025/FY2024 tables label the Stage 2 column 'Specific' while FY2023-FY2021 label it 'Collective' - reproduced exactly as each year's own report presents it, not reclassified. The FY2026 edition's Note 12 table heads its columns simply 'Stage 1 / Stage 2 / Stage 3 / Total'. FY2026 figures foot as printed: gross 5,519 (511 performing + 5,008 overdue) less 5,009 = 510; ECL by stage 11 + 5,400 + 5,019 = 10,430 (EUR'000). The FY2026 Stage 2 jump (EUR1,603k to EUR5,400k) sits entirely on cash and cash equivalents (2,405) and loans and advances to banks (2,995), which the edition shows by asset class; the FY2026 credit impairment charge is EUR1,794k (2025: recovery EUR120k).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6:G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KM1 Key Metrics</t>
        </is>
      </c>
    </row>
    <row r="2">
      <c r="A2" s="2" t="inlineStr">
        <is>
          <t>The Bank's own 'Table 1 Summary of Key Metrics', year-end (March) column of each edition - EUR'000 as published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[No Table 1 published for this year yet - see note below]</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n"/>
      <c r="D4" s="6" t="n"/>
      <c r="E4" s="6" t="n"/>
      <c r="F4" s="6" t="n"/>
      <c r="G4" s="6" t="n"/>
    </row>
    <row r="5">
      <c r="A5" s="5" t="inlineStr">
        <is>
          <t>TABLE 1  SUMMARY OF KEY METRICS (the Bank's own caption; amounts in EUR'000)</t>
        </is>
      </c>
      <c r="B5" s="6" t="n"/>
      <c r="C5" s="6" t="n"/>
      <c r="D5" s="6" t="n"/>
      <c r="E5" s="6" t="n"/>
      <c r="F5" s="6" t="n"/>
      <c r="G5" s="6" t="n"/>
    </row>
    <row r="6">
      <c r="A6" s="6" t="inlineStr">
        <is>
          <t>CET1 (€'000)</t>
        </is>
      </c>
      <c r="B6" s="6" t="n"/>
      <c r="C6" s="6" t="n">
        <v>172779</v>
      </c>
      <c r="D6" s="6" t="n">
        <v>172011</v>
      </c>
      <c r="E6" s="6" t="n">
        <v>172027</v>
      </c>
      <c r="F6" s="6" t="n">
        <v>170751</v>
      </c>
      <c r="G6" s="6" t="n">
        <v>169065</v>
      </c>
    </row>
    <row r="7">
      <c r="A7" s="6" t="inlineStr">
        <is>
          <t>Total Risk Exposure (€'000)</t>
        </is>
      </c>
      <c r="B7" s="6" t="n"/>
      <c r="C7" s="6" t="n">
        <v>167006</v>
      </c>
      <c r="D7" s="6" t="n">
        <v>188600</v>
      </c>
      <c r="E7" s="6" t="n">
        <v>208649</v>
      </c>
      <c r="F7" s="6" t="n">
        <v>252734</v>
      </c>
      <c r="G7" s="6" t="n">
        <v>277208</v>
      </c>
    </row>
    <row r="8">
      <c r="A8" s="6" t="inlineStr">
        <is>
          <t>CET1 as a % of TRE</t>
        </is>
      </c>
      <c r="B8" s="6" t="n"/>
      <c r="C8" s="6" t="inlineStr">
        <is>
          <t>103%</t>
        </is>
      </c>
      <c r="D8" s="6" t="inlineStr">
        <is>
          <t>91%</t>
        </is>
      </c>
      <c r="E8" s="6" t="inlineStr">
        <is>
          <t>82%</t>
        </is>
      </c>
      <c r="F8" s="6" t="inlineStr">
        <is>
          <t>68%</t>
        </is>
      </c>
      <c r="G8" s="6" t="inlineStr">
        <is>
          <t>61%</t>
        </is>
      </c>
    </row>
    <row r="9">
      <c r="A9" s="6" t="inlineStr">
        <is>
          <t>Capital Conservation Buffer</t>
        </is>
      </c>
      <c r="B9" s="6" t="n"/>
      <c r="C9" s="6" t="inlineStr">
        <is>
          <t>2.50%</t>
        </is>
      </c>
      <c r="D9" s="6" t="inlineStr">
        <is>
          <t>2.50%</t>
        </is>
      </c>
      <c r="E9" s="6" t="inlineStr">
        <is>
          <t>2.50%</t>
        </is>
      </c>
      <c r="F9" s="6" t="inlineStr">
        <is>
          <t>2.5%</t>
        </is>
      </c>
      <c r="G9" s="6" t="inlineStr">
        <is>
          <t>2.5%</t>
        </is>
      </c>
    </row>
    <row r="10">
      <c r="A10" s="6" t="inlineStr">
        <is>
          <t>Countercyclical buffer %</t>
        </is>
      </c>
      <c r="B10" s="6" t="n"/>
      <c r="C10" s="6" t="inlineStr">
        <is>
          <t>-</t>
        </is>
      </c>
      <c r="D10" s="6" t="inlineStr">
        <is>
          <t>-</t>
        </is>
      </c>
      <c r="E10" s="6" t="inlineStr">
        <is>
          <t>-</t>
        </is>
      </c>
      <c r="F10" s="6" t="inlineStr">
        <is>
          <t>-</t>
        </is>
      </c>
      <c r="G10" s="6" t="inlineStr">
        <is>
          <t>0%</t>
        </is>
      </c>
    </row>
    <row r="11">
      <c r="A11" s="6" t="inlineStr">
        <is>
          <t>CET1 available after meeting Minimum Capital Requirement as a % of TRE</t>
        </is>
      </c>
      <c r="B11" s="6" t="n"/>
      <c r="C11" s="6" t="inlineStr">
        <is>
          <t>95%</t>
        </is>
      </c>
      <c r="D11" s="6" t="inlineStr">
        <is>
          <t>83%</t>
        </is>
      </c>
      <c r="E11" s="6" t="inlineStr">
        <is>
          <t>74%</t>
        </is>
      </c>
      <c r="F11" s="6" t="inlineStr">
        <is>
          <t>60%</t>
        </is>
      </c>
      <c r="G11" s="6" t="inlineStr">
        <is>
          <t>53%</t>
        </is>
      </c>
    </row>
    <row r="12">
      <c r="A12" s="6" t="inlineStr">
        <is>
          <t>Leverage ratio</t>
        </is>
      </c>
      <c r="B12" s="6" t="n"/>
      <c r="C12" s="6" t="inlineStr">
        <is>
          <t>55%</t>
        </is>
      </c>
      <c r="D12" s="6" t="inlineStr">
        <is>
          <t>55%</t>
        </is>
      </c>
      <c r="E12" s="6" t="inlineStr">
        <is>
          <t>54%</t>
        </is>
      </c>
      <c r="F12" s="6" t="inlineStr">
        <is>
          <t>46%</t>
        </is>
      </c>
      <c r="G12" s="6" t="inlineStr">
        <is>
          <t>47%</t>
        </is>
      </c>
    </row>
    <row r="13">
      <c r="A13" s="6" t="inlineStr">
        <is>
          <t>Total HQLA (€'000)</t>
        </is>
      </c>
      <c r="B13" s="6" t="n"/>
      <c r="C13" s="6" t="n">
        <v>19041</v>
      </c>
      <c r="D13" s="6" t="n">
        <v>20009</v>
      </c>
      <c r="E13" s="6" t="n">
        <v>16244</v>
      </c>
      <c r="F13" s="6" t="n">
        <v>14609</v>
      </c>
      <c r="G13" s="6" t="n">
        <v>13585</v>
      </c>
    </row>
    <row r="14">
      <c r="A14" s="6" t="inlineStr">
        <is>
          <t>Cash Outflows (€'000)</t>
        </is>
      </c>
      <c r="B14" s="6" t="n"/>
      <c r="C14" s="6" t="n">
        <v>3744</v>
      </c>
      <c r="D14" s="6" t="n">
        <v>2782</v>
      </c>
      <c r="E14" s="6" t="n">
        <v>2778</v>
      </c>
      <c r="F14" s="6" t="n">
        <v>53766</v>
      </c>
      <c r="G14" s="6" t="n"/>
    </row>
    <row r="15">
      <c r="A15" s="6" t="inlineStr">
        <is>
          <t>Cash Inflows (€'000)</t>
        </is>
      </c>
      <c r="B15" s="6" t="n"/>
      <c r="C15" s="6" t="n">
        <v>152541</v>
      </c>
      <c r="D15" s="6" t="n">
        <v>158931</v>
      </c>
      <c r="E15" s="6" t="n">
        <v>156620</v>
      </c>
      <c r="F15" s="6" t="n">
        <v>255734</v>
      </c>
      <c r="G15" s="6" t="n"/>
    </row>
    <row r="16">
      <c r="A16" s="6" t="inlineStr">
        <is>
          <t>Total net cash outflows (€'000)</t>
        </is>
      </c>
      <c r="B16" s="6" t="n"/>
      <c r="C16" s="6" t="n">
        <v>936</v>
      </c>
      <c r="D16" s="6" t="n">
        <v>696</v>
      </c>
      <c r="E16" s="6" t="n">
        <v>695</v>
      </c>
      <c r="F16" s="6" t="n">
        <v>13419</v>
      </c>
      <c r="G16" s="6" t="n">
        <v>918</v>
      </c>
    </row>
    <row r="17">
      <c r="A17" s="6" t="inlineStr">
        <is>
          <t>LCR %</t>
        </is>
      </c>
      <c r="B17" s="6" t="n"/>
      <c r="C17" s="6" t="inlineStr">
        <is>
          <t>2034%</t>
        </is>
      </c>
      <c r="D17" s="6" t="inlineStr">
        <is>
          <t>2877%</t>
        </is>
      </c>
      <c r="E17" s="6" t="inlineStr">
        <is>
          <t>2339%</t>
        </is>
      </c>
      <c r="F17" s="6" t="inlineStr">
        <is>
          <t>109%</t>
        </is>
      </c>
      <c r="G17" s="6" t="inlineStr">
        <is>
          <t>1480%</t>
        </is>
      </c>
    </row>
    <row r="18">
      <c r="A18" s="6" t="inlineStr">
        <is>
          <t>Total available stable funding (€'000)</t>
        </is>
      </c>
      <c r="B18" s="6" t="n"/>
      <c r="C18" s="6" t="n">
        <v>306143</v>
      </c>
      <c r="D18" s="6" t="n">
        <v>305367</v>
      </c>
      <c r="E18" s="6" t="n">
        <v>304095</v>
      </c>
      <c r="F18" s="6" t="n">
        <v>302584</v>
      </c>
      <c r="G18" s="6" t="n">
        <v>300254</v>
      </c>
    </row>
    <row r="19">
      <c r="A19" s="6" t="inlineStr">
        <is>
          <t>Total required sable funding (€'000)</t>
        </is>
      </c>
      <c r="B19" s="6" t="n"/>
      <c r="C19" s="6" t="n">
        <v>52659</v>
      </c>
      <c r="D19" s="6" t="n">
        <v>80677</v>
      </c>
      <c r="E19" s="6" t="n">
        <v>33914</v>
      </c>
      <c r="F19" s="6" t="n">
        <v>66013</v>
      </c>
      <c r="G19" s="6" t="n">
        <v>81302</v>
      </c>
    </row>
    <row r="20">
      <c r="A20" s="6" t="inlineStr">
        <is>
          <t>NSFR %</t>
        </is>
      </c>
      <c r="B20" s="6" t="n"/>
      <c r="C20" s="6" t="inlineStr">
        <is>
          <t>581%</t>
        </is>
      </c>
      <c r="D20" s="6" t="inlineStr">
        <is>
          <t>379%</t>
        </is>
      </c>
      <c r="E20" s="6" t="inlineStr">
        <is>
          <t>897%</t>
        </is>
      </c>
      <c r="F20" s="6" t="inlineStr">
        <is>
          <t>458%</t>
        </is>
      </c>
      <c r="G20" s="6" t="inlineStr">
        <is>
          <t>369%</t>
        </is>
      </c>
    </row>
    <row r="22" ht="409" customHeight="1">
      <c r="A22" s="8" t="inlineStr">
        <is>
          <t>Source - Bank Sepah International Plc's own 'Table 1 Summary of Key Metrics', p.5 of each year's Pillar 3 Disclosures, reproduced exactly as printed: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p.5 - https://www.banksepah.co.uk/uploads/documents/Pillar_3_Disclosures_31_March_2022.pdf
FY2021 ('Mar 21' column): Pillar 3 Disclosures 31 March 2021, p.5 - https://www.banksepah.co.uk/uploads/documents/Pillar-3-Disclosures-31-March-2021.pdf
AMOUNTS ARE IN EURO THOUSANDS (EUR'000), NOT STERLING. The Bank reports in euro and prints this table headed '€000'. It is reproduced in its published currency and is therefore NOT comparable cell-for-cell with the individual metric sheets in this workbook, which are converted to sterling at the Bank's own disclosed year-end rates (see the FX note on those sheets). No conversion, and no derivation of any kind, has been applied to anything on this sheet.
THE COLUMNS IN THE SOURCE ARE QUARTER-ENDS, NOT YEARS. Each edition prints five columns - its own financial year-end followed by the preceding four quarters (e.g. the March-2025 edition prints Mar 25, Dec 24, Sep 24, Jun 24, Mar 24). The Bank's year-end is 31 MARCH, so only the 'Mar' column of each edition is that financial year, and that is the only column used here. The four quarterly columns are not reproduced.
EACH YEAR COMES FROM ITS OWN EDITION, WHICH MATTERS HERE - the same date is printed differently in different editions, and the own-edition figure is the one used:
  March 2022: Total Risk Exposure 252,734 in the March-2022 edition vs 252,058 as the March-2023 edition's comparative; NSFR 458% vs 459%.
  March 2023: CET1 172,027 and TRE 208,649 in the March-2023 edition vs 171,801 and 209,637 as the March-2024 edition's comparatives.
  March 2024: LCR 2877% in the March-2024 edition vs 2875% as the March-2025 edition's comparative.
ROW-SET NOTE. The Bank captions this 'Summary of Key Metrics' and prints no template row numbers. It carries the backbone of the KM1 template - capital, total risk exposure, the capital ratio, the conservation and countercyclical buffers, CET1 available after the minimum requirement, the leverage ratio, the LCR with its HQLA/outflow/inflow components, and the NSFR with its available/required stable funding components - but it does NOT print separate Tier 1 or Total capital rows (the Bank has no AT1 or Tier 2 instruments, so CET1 = Tier 1 = Total capital), nor a leverage exposure measure, nor the SREP or combined-buffer blocks. Row labels are reproduced exactly as the Bank prints them, including 'Total required sable funding', which is spelled that way - missing the 't' - in all five editions. Because these labels are the Bank's own rather than the template's, the workbook verifier's KM1 cross-check matches none of them and reports zero cross-checked cells for this sheet. That is the expected result, not a failure: the rows were not renamed to force agreement.
ROW DIFFERENCES BETWEEN EDITIONS (a row not printed is left blank, never filled from another year): the March-2021 edition prints neither a 'Cash Outflows' nor a 'Cash Inflows' row, and labels its net figure 'Total net cash outflow' in the singular. It also prints the countercyclical buffer as 0%, where every later edition prints a dash - so FY2021 carries a zero and the other four years carry that dash. The two are deliberately not the same cell: at March 2021 the Bank measured its countercyclical buffer and reported nil, and from March 2022 onward it printed a dash instead, saying the line did not apply to it. Flattening both to an empty cell, or both to a zero, would erase a change the Bank itself made. Verified 2026-09-18 by retrieving all five editions and reading each year from its own Table 1, printed page 5, first column (each edition also prints the four preceding quarter-ends, which are not used here).</t>
        </is>
      </c>
    </row>
    <row r="24" ht="409" customHeight="1">
      <c r="A24" s="8" t="inlineStr">
        <is>
          <t>(continued)
LATEST-EDITION CHECK, 2026-09-16: the Bank's own documents page (https://www.banksepah.co.uk/information) lists the March 2023, March 2024 and March 2025 Pillar 3 disclosures; March 2025 is the newest and this workbook already holds it. No March-2026 edition has been published. Note that the page no longer links the March-2021 or March-2022 editions even though both URLs still serve the documents, so the citation list above is a better record of what exists than the live page is. Retrieval requires certificate validation to be bypassed - the site's TLS certificate is expired, which makes a default fetch fail with no HTTP status at all; that is a certificate-date problem, not a dead link (see the expired-certificate note elsewhere in this workbook).
ENTITY: Bank Sepah International Plc, the UK-authorised bank, on its own solo basis. No parent figure is used anywhere on this sheet.
FY2026 (year to 31 March 2026), checked 2026-09-19: the FY2026 statutory accounts ARE published (Companies House, filed 16 Sep 2026 - https://find-and-update.company-information.service.gov.uk/company/04189598/filing-history/MzU0NTE3NTc3MGFkaXF6a2N4/document?format=pdf&amp;download=0), but the March 2026 Pillar 3 is NOT. The Bank's documents page still lists March 2025 as the newest edition, every FY2026 variant of the Bank's filename patterns returns 404 while the March 2025 URL fetched with the same flags returns the PDF, and Wayback holds no 2026 document. The FY2026 column therefore carries a single statement row and no figures: the Annual Report is a different document and none of its numbers are placed on this template sheet (it prints the capital ratio as 85% and the LCR as 1310%, which appear on the single-metric sheets with that citation).</t>
        </is>
      </c>
    </row>
  </sheetData>
  <mergeCells count="2">
    <mergeCell ref="A24:G24"/>
    <mergeCell ref="A22:G2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CET1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149.3</v>
      </c>
      <c r="C4" s="6" t="n">
        <v>144.5</v>
      </c>
      <c r="D4" s="6" t="n">
        <v>147</v>
      </c>
      <c r="E4" s="6" t="n">
        <v>151.1</v>
      </c>
      <c r="F4" s="6" t="n">
        <v>143.8</v>
      </c>
      <c r="G4" s="6" t="n">
        <v>144</v>
      </c>
    </row>
    <row r="5" ht="30" customHeight="1">
      <c r="A5" s="7" t="inlineStr">
        <is>
          <t>Note: CET1 = Tier 1 = Total Capital every year - the Bank discloses only a single combined capital figure, no AT1/Tier 2 instruments mentioned anywhere in the Annual Report.</t>
        </is>
      </c>
    </row>
    <row r="7" ht="409"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t>
        </is>
      </c>
    </row>
    <row r="9" ht="409" customHeight="1">
      <c r="A9" s="8" t="inlineStr">
        <is>
          <t>(continued)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CET1 to total risk-weighted assets</t>
        </is>
      </c>
      <c r="B4" s="6" t="inlineStr">
        <is>
          <t>85%</t>
        </is>
      </c>
      <c r="C4" s="6" t="inlineStr">
        <is>
          <t>102.7%</t>
        </is>
      </c>
      <c r="D4" s="6" t="inlineStr">
        <is>
          <t>91.8%</t>
        </is>
      </c>
      <c r="E4" s="6" t="inlineStr">
        <is>
          <t>81.5%</t>
        </is>
      </c>
      <c r="F4" s="6" t="inlineStr">
        <is>
          <t>67.5%</t>
        </is>
      </c>
      <c r="G4" s="6" t="inlineStr">
        <is>
          <t>61.2%</t>
        </is>
      </c>
    </row>
    <row r="5" ht="30" customHeight="1">
      <c r="A5" s="7" t="inlineStr">
        <is>
          <t>Note: The Bank discloses one 'Total capital / Tier 1 capital to total risk-weighted assets' ratio (identical each year, confirming no AT1/Tier 2) - used for CET1/Tier1/Total Capital Ratio alike.</t>
        </is>
      </c>
    </row>
    <row r="7" ht="409"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t>
        </is>
      </c>
    </row>
    <row r="9" ht="409" customHeight="1">
      <c r="A9" s="8" t="inlineStr">
        <is>
          <t>(continued)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Tier 1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t>
        </is>
      </c>
      <c r="B4" s="6" t="n">
        <v>149.3</v>
      </c>
      <c r="C4" s="6" t="n">
        <v>144.5</v>
      </c>
      <c r="D4" s="6" t="n">
        <v>147</v>
      </c>
      <c r="E4" s="6" t="n">
        <v>151.1</v>
      </c>
      <c r="F4" s="6" t="n">
        <v>143.8</v>
      </c>
      <c r="G4" s="6" t="n">
        <v>144</v>
      </c>
    </row>
    <row r="5" ht="30" customHeight="1">
      <c r="A5" s="7" t="inlineStr">
        <is>
          <t>Note: CET1 = Tier 1 = Total Capital every year - the Bank discloses only a single combined capital figure, no AT1/Tier 2 instruments mentioned anywhere in the Annual Report.</t>
        </is>
      </c>
    </row>
    <row r="7" ht="409"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t>
        </is>
      </c>
    </row>
    <row r="9" ht="409" customHeight="1">
      <c r="A9" s="8" t="inlineStr">
        <is>
          <t>(continued)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 to total risk-weighted assets</t>
        </is>
      </c>
      <c r="B4" s="6" t="inlineStr">
        <is>
          <t>85%</t>
        </is>
      </c>
      <c r="C4" s="6" t="inlineStr">
        <is>
          <t>102.7%</t>
        </is>
      </c>
      <c r="D4" s="6" t="inlineStr">
        <is>
          <t>91.8%</t>
        </is>
      </c>
      <c r="E4" s="6" t="inlineStr">
        <is>
          <t>81.5%</t>
        </is>
      </c>
      <c r="F4" s="6" t="inlineStr">
        <is>
          <t>67.5%</t>
        </is>
      </c>
      <c r="G4" s="6" t="inlineStr">
        <is>
          <t>61.2%</t>
        </is>
      </c>
    </row>
    <row r="5" ht="30" customHeight="1">
      <c r="A5" s="7" t="inlineStr">
        <is>
          <t>Note: The Bank discloses one 'Total capital / Tier 1 capital to total risk-weighted assets' ratio (identical each year, confirming no AT1/Tier 2) - used for CET1/Tier1/Total Capital Ratio alike.</t>
        </is>
      </c>
    </row>
    <row r="7" ht="409"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t>
        </is>
      </c>
    </row>
    <row r="9" ht="409" customHeight="1">
      <c r="A9" s="8" t="inlineStr">
        <is>
          <t>(continued)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 resources</t>
        </is>
      </c>
      <c r="B4" s="6" t="n">
        <v>149.3</v>
      </c>
      <c r="C4" s="6" t="n">
        <v>144.5</v>
      </c>
      <c r="D4" s="6" t="n">
        <v>147</v>
      </c>
      <c r="E4" s="6" t="n">
        <v>151.1</v>
      </c>
      <c r="F4" s="6" t="n">
        <v>143.8</v>
      </c>
      <c r="G4" s="6" t="n">
        <v>144</v>
      </c>
    </row>
    <row r="5" ht="30" customHeight="1">
      <c r="A5" s="7" t="inlineStr">
        <is>
          <t>Note: CET1 = Tier 1 = Total Capital every year - the Bank discloses only a single combined capital figure, no AT1/Tier 2 instruments mentioned anywhere in the Annual Report.</t>
        </is>
      </c>
    </row>
    <row r="7" ht="409"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t>
        </is>
      </c>
    </row>
    <row r="9" ht="409" customHeight="1">
      <c r="A9" s="8" t="inlineStr">
        <is>
          <t>(continued)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 to total risk-weighted assets</t>
        </is>
      </c>
      <c r="B4" s="6" t="inlineStr">
        <is>
          <t>85%</t>
        </is>
      </c>
      <c r="C4" s="6" t="inlineStr">
        <is>
          <t>102.7%</t>
        </is>
      </c>
      <c r="D4" s="6" t="inlineStr">
        <is>
          <t>91.8%</t>
        </is>
      </c>
      <c r="E4" s="6" t="inlineStr">
        <is>
          <t>81.5%</t>
        </is>
      </c>
      <c r="F4" s="6" t="inlineStr">
        <is>
          <t>67.5%</t>
        </is>
      </c>
      <c r="G4" s="6" t="inlineStr">
        <is>
          <t>61.2%</t>
        </is>
      </c>
    </row>
    <row r="5" ht="30" customHeight="1">
      <c r="A5" s="7" t="inlineStr">
        <is>
          <t>Note: The Bank discloses one 'Total capital / Tier 1 capital to total risk-weighted assets' ratio (identical each year, confirming no AT1/Tier 2) - used for CET1/Tier1/Total Capital Ratio alike.</t>
        </is>
      </c>
    </row>
    <row r="7" ht="409"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t>
        </is>
      </c>
    </row>
    <row r="9" ht="409" customHeight="1">
      <c r="A9" s="8" t="inlineStr">
        <is>
          <t>(continued)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RWAs</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risk-weighted assets</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n">
        <v>139.5</v>
      </c>
      <c r="D4" s="6" t="n">
        <v>161.2</v>
      </c>
      <c r="E4" s="6" t="n">
        <v>184.1</v>
      </c>
      <c r="F4" s="6" t="n">
        <v>213.7</v>
      </c>
      <c r="G4" s="6" t="n">
        <v>236.2</v>
      </c>
    </row>
    <row r="5" ht="30" customHeight="1">
      <c r="A5" s="7" t="inlineStr">
        <is>
          <t>Note: DIRECTLY DISCLOSED by the Bank's own Pillar 3 Table 4 'Total Risk Exposure' (equivalent to Total Risk Weighted Assets), rather than calculated from rounded capital ratios. Each year's own report is used (March 2025/2024/2023/2022/2021, Table 4 p.16). EUR amounts are converted to GBP at the Bank's own year-end EUR/GBP rate.</t>
        </is>
      </c>
    </row>
    <row r="7" ht="409"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t>
        </is>
      </c>
    </row>
    <row r="9" ht="409" customHeight="1">
      <c r="A9" s="8" t="inlineStr">
        <is>
          <t>(continued)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RWA Breakdown</t>
        </is>
      </c>
    </row>
    <row r="2">
      <c r="A2" s="2" t="inlineStr">
        <is>
          <t>£m (conv. from EUR) — risk type split, as disclosed</t>
        </is>
      </c>
    </row>
    <row r="3">
      <c r="A3" s="4" t="inlineStr">
        <is>
          <t>Line item</t>
        </is>
      </c>
      <c r="B3" s="4" t="inlineStr">
        <is>
          <t>FY2026 (£m, conv. from EUR)</t>
        </is>
      </c>
      <c r="C3" s="4" t="inlineStr">
        <is>
          <t>FY2025 (£m, conv. from EUR)</t>
        </is>
      </c>
      <c r="D3" s="4" t="inlineStr">
        <is>
          <t>FY2024 (£m, conv. from EUR)</t>
        </is>
      </c>
      <c r="E3" s="4" t="inlineStr">
        <is>
          <t>FY2023 (£m, conv. from EUR)</t>
        </is>
      </c>
      <c r="F3" s="4" t="inlineStr">
        <is>
          <t>FY2022 (£m, conv. from EUR)</t>
        </is>
      </c>
      <c r="G3" s="4" t="inlineStr">
        <is>
          <t>FY2021 (£m, conv. from EUR)</t>
        </is>
      </c>
    </row>
    <row r="4">
      <c r="A4" s="6" t="inlineStr">
        <is>
          <t>Credit risk</t>
        </is>
      </c>
      <c r="B4" s="6" t="n"/>
      <c r="C4" s="6" t="n">
        <v>124.6</v>
      </c>
      <c r="D4" s="6" t="n">
        <v>146.7</v>
      </c>
      <c r="E4" s="6" t="n">
        <v>171.5</v>
      </c>
      <c r="F4" s="6" t="n">
        <v>202.6</v>
      </c>
      <c r="G4" s="6" t="n">
        <v>225.3</v>
      </c>
    </row>
    <row r="5">
      <c r="A5" s="6" t="inlineStr">
        <is>
          <t>Market risk</t>
        </is>
      </c>
      <c r="B5" s="6" t="n"/>
      <c r="C5" s="6" t="n">
        <v>3</v>
      </c>
      <c r="D5" s="6" t="n">
        <v>2.2</v>
      </c>
      <c r="E5" s="6" t="n">
        <v>1.5</v>
      </c>
      <c r="F5" s="6" t="n">
        <v>1.2</v>
      </c>
      <c r="G5" s="6" t="n">
        <v>1.4</v>
      </c>
    </row>
    <row r="6">
      <c r="A6" s="6" t="inlineStr">
        <is>
          <t>Operational risk</t>
        </is>
      </c>
      <c r="B6" s="6" t="n"/>
      <c r="C6" s="6" t="n">
        <v>12</v>
      </c>
      <c r="D6" s="6" t="n">
        <v>12.3</v>
      </c>
      <c r="E6" s="6" t="n">
        <v>11.1</v>
      </c>
      <c r="F6" s="6" t="n">
        <v>9.9</v>
      </c>
      <c r="G6" s="6" t="n">
        <v>9.5</v>
      </c>
    </row>
    <row r="7">
      <c r="A7" s="5" t="inlineStr">
        <is>
          <t>Total Risk Exposure</t>
        </is>
      </c>
      <c r="B7" s="5"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7" s="5" t="n">
        <v>139.5</v>
      </c>
      <c r="D7" s="5" t="n">
        <v>161.2</v>
      </c>
      <c r="E7" s="5" t="n">
        <v>184.1</v>
      </c>
      <c r="F7" s="5" t="n">
        <v>213.7</v>
      </c>
      <c r="G7" s="5" t="n">
        <v>236.2</v>
      </c>
    </row>
    <row r="9" ht="409" customHeight="1">
      <c r="A9"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t>
        </is>
      </c>
    </row>
    <row r="11" ht="409" customHeight="1">
      <c r="A11" s="8" t="inlineStr">
        <is>
          <t>(continued)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
The Bank's own Pillar 3 Table 4 directly discloses the risk-type split Bank's own Pillar 3 Disclosures documents (see the Leverage Ratio/LCR/NSFR sheets' citations - these were successfully fetched despite the site's expired TLS certificate). Those documents' own Table 4 'Total Risk Exposure' splits Total Risk Exposure only 3 ways, by risk TYPE (credit/market/operational, e.g. EUR149,153k/3,547k/14,305k at March 2025) - not by risk CATEGORY/asset class in the UK OV1 format this sheet is structured for (sovereign, institutions, corporate, retail, etc.). The directly disclosed risk-type split is provided above; it is the Bank's own Table 4 classification and sums to Total Risk Exposure (minor GBP conversion rounding may leave a 0.1m difference).
FY2026: the March 2026 Pillar 3 (and so its Table 4) is not published yet - see the statement in the FY2026 cell and the KM1 Key Metrics sheet's note.</t>
        </is>
      </c>
    </row>
  </sheetData>
  <mergeCells count="2">
    <mergeCell ref="A11:G1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Leverage ratio - including claims on central banks; the Bank's own Table 20 deducts none (see note)</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inlineStr">
        <is>
          <t>55%</t>
        </is>
      </c>
      <c r="D4" s="6" t="inlineStr">
        <is>
          <t>55%</t>
        </is>
      </c>
      <c r="E4" s="6" t="inlineStr">
        <is>
          <t>54%</t>
        </is>
      </c>
      <c r="F4" s="6" t="inlineStr">
        <is>
          <t>46%</t>
        </is>
      </c>
      <c r="G4" s="6" t="inlineStr">
        <is>
          <t>47%</t>
        </is>
      </c>
    </row>
    <row r="5" ht="351" customHeight="1">
      <c r="A5" s="7" t="inlineStr">
        <is>
          <t>Note: Sourced from the Bank's own Pillar 3 Disclosures documents (Table 1 'Summary of Key Metrics'), not the Annual Report - see this sheet's own source citation below for the exact PDFs/pages and the TLS-certificate workaround used to fetch them.
GA-026 LEVERAGE BASIS (2026-10-10): INCLUDING CLAIMS ON CENTRAL BANKS, determinable from the Bank's own stated calculation. Bank Sepah International publishes no UK KM1 and no UK LR2 template, so there is no row 24 / UK-24a / UK-24b / UK-25c to read. What it publishes instead is an explicit formula and a reconciliation, and both settle the question. Section 13 'Leverage Ratio' of the March 2025 Pillar 3 (p.28) states: "The leverage ratio is calculated by dividing the Bank's CET 1 capital by the total of on and off-balance sheet exposures." Table 20 on p.29 then sets out that total in full, and it contains NO deduction line of any kind: Total on balance sheet exposures (net of provisions) 315,169; Total off balance sheet exposures (post CCF) nil; Total exposures 315,169; CET1 Capital 172,779; less Intangible Assets 434; Total Eligible CET1 Capital 172,345; Leverage ratio 55% (EUR'000). 172,345 / 315,169 = 54.68%, which rounds to the 55% printed. Read at 300 dpi (pdftoppm -r 300, PDF page 29), not from the text layer alone.
WHY THE ABSENCE OF A DEDUCTION LINE IS DECISIVE HERE RATHER THAN MERELY SUGGESTIVE. The Bank's own s.11 states that "the majority of asset exposure is to central banks and credit institutions", and its HQLA "consist mainly of deposits with central banks". On an excluding basis the denominator would therefore fall by a large fraction of 315,169 and the ratio would be far above 55% - it could not round to the printed figure. The arithmetic ties on the including basis and could not tie on the excluding one, so this is not an inference from silence: the published numerator, denominator and ratio are mutually consistent on exactly one reading. This is the same shape as Jordan International Bank and United National Bank, where a printed reconciliation that deducts nothing is what makes the basis readable, and the mirror of Bank of Ceylon UK, whose reconciliation carries an explicit Bank of England deduction and is therefore excluding.
SCOPE AND FRAMEWORK. The document cites CRD IV, not the UK CRR two-basis presentation, consistent with a bank that never adopted the UK KM1 template; the two-basis presentation is in any case effective only for periods from 1 January 2022. The normalised phrase scan (text joined across line breaks before matching) returns ZERO hits for 'excluding/including claims on central banks' in the March 2025 edition - the basis here is established by the arithmetic of the Bank's own table, not by a form of words, and the row label records that distinction. The Bank's year-end is 31 MARCH, so this edition (31 March 2025) is the FY2025 column; its Table 1 'Summary of Key Metrics' prints the quarterly series Mar 25 / Dec 24 / Sep 24 / Jun 24 / Mar 24 as 55% / 54% / 55% / 55% / 55%, and only the year-end March columns are carried onto this sheet. The basis finding above is read from the March 2025 edition; the earlier editions (which this workbook also cites) were not re-read for it on 2026-10-10, so FY2024 and earlier are not independently confirmed here.
RETRIEVAL. The March 2025 PDF was re-fetched on 2026-10-10 following the practice already documented in P3_FETCH_NOTE above: the server's TLS certificate is EXPIRED, not absent or mismatched. Inspected the same day with openssl: subject CN=banksepah.co.uk (the correct host), issuer ZeroSSL RSA Domain Secure Site CA (C=AT, O=ZeroSSL), notBefore 25 Jun 2025, notAfter 25 Jun 2026, SHA-256 fingerprint 8C:7B:F4:6D:C4:4E:D4:28:E9:EB:4F:1E:13:4D:BB:84:72:B5:F6:A1:97:8D:BE:3F:75:AF:FB:E2:8B:50:CC:AF. Host identity was therefore verified before the date check was bypassed; the retrieved file is a genuine 31-page Bank Sepah International plc Pillar 3 bearing the Bank's own branding.</t>
        </is>
      </c>
    </row>
    <row r="7" ht="409"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t>
        </is>
      </c>
    </row>
    <row r="9" ht="409" customHeight="1">
      <c r="A9" s="8" t="inlineStr">
        <is>
          <t>(continued)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Liquidity Coverage Ratio</t>
        </is>
      </c>
      <c r="B4" s="6" t="inlineStr">
        <is>
          <t>1310%</t>
        </is>
      </c>
      <c r="C4" s="6" t="inlineStr">
        <is>
          <t>2034%</t>
        </is>
      </c>
      <c r="D4" s="6" t="inlineStr">
        <is>
          <t>2877%</t>
        </is>
      </c>
      <c r="E4" s="6" t="inlineStr">
        <is>
          <t>2339%</t>
        </is>
      </c>
      <c r="F4" s="6" t="inlineStr">
        <is>
          <t>109%</t>
        </is>
      </c>
      <c r="G4" s="6" t="inlineStr">
        <is>
          <t>1480%</t>
        </is>
      </c>
    </row>
    <row r="5" ht="3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409"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t>
        </is>
      </c>
    </row>
    <row r="9" ht="409" customHeight="1">
      <c r="A9" s="8" t="inlineStr">
        <is>
          <t>(continued)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Net Stable Funding Ratio</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inlineStr">
        <is>
          <t>581%</t>
        </is>
      </c>
      <c r="D4" s="6" t="inlineStr">
        <is>
          <t>379%</t>
        </is>
      </c>
      <c r="E4" s="6" t="inlineStr">
        <is>
          <t>897%</t>
        </is>
      </c>
      <c r="F4" s="6" t="inlineStr">
        <is>
          <t>458%</t>
        </is>
      </c>
      <c r="G4" s="6" t="inlineStr">
        <is>
          <t>369%</t>
        </is>
      </c>
    </row>
    <row r="5" ht="3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409"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t>
        </is>
      </c>
    </row>
    <row r="9" ht="409" customHeight="1">
      <c r="A9" s="8" t="inlineStr">
        <is>
          <t>(continued)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MREL Ratio</t>
        </is>
      </c>
      <c r="B4" s="6" t="inlineStr">
        <is>
          <t>Not published yet – no MREL figure in the FY2026 Annual Report (p.5-6 capital and liquidity sections); the March 2026 Pillar 3 is not on banksepah.co.uk at 2026-09-19</t>
        </is>
      </c>
      <c r="C4" s="6" t="inlineStr">
        <is>
          <t>Not published – no MREL line in the bank's Pillar 3 Table 1 'Summary of Key Metrics' or its Annual Report for this year (full-text search recorded in sheet note)</t>
        </is>
      </c>
      <c r="D4" s="6" t="inlineStr">
        <is>
          <t>Not published – no MREL line in the bank's Pillar 3 Table 1 'Summary of Key Metrics' or its Annual Report for this year (full-text search recorded in sheet note)</t>
        </is>
      </c>
      <c r="E4" s="6" t="inlineStr">
        <is>
          <t>Not published – no MREL line in the bank's Pillar 3 Table 1 'Summary of Key Metrics' or its Annual Report for this year (full-text search recorded in sheet note)</t>
        </is>
      </c>
      <c r="F4" s="6" t="inlineStr">
        <is>
          <t>Not published – no MREL line in the bank's Pillar 3 Table 1 'Summary of Key Metrics' or its Annual Report for this year (full-text search recorded in sheet note)</t>
        </is>
      </c>
      <c r="G4" s="6" t="inlineStr">
        <is>
          <t>Not published – no MREL figure in the FY2021 Annual Report (recorded in sheet note) or in the March 2021 Pillar 3 (text searched 2026-09-19: no 'MREL' or 'eligible liabilities')</t>
        </is>
      </c>
    </row>
    <row r="5" ht="65" customHeight="1">
      <c r="A5" s="7" t="inlineStr">
        <is>
          <t>Note: Not publicly disclosed - no MREL figure appears in the FY2021-FY2025 Annual Reports, nor in the Bank's own Pillar 3 Disclosures documents for FY2022-FY2025 (see the Leverage Ratio/LCR/NSFR sheets' citations - the same Table 1 'Summary of Key Metrics' that discloses those three ratios has no MREL line; the full text of all 4 available Pillar 3 PDFs was also searched for the word 'MREL' and found no matches). The March 2021 Pillar 3 (cited on the RWA and liquidity sheets) was searched the same way on 2026-09-19 and has no 'MREL' or 'eligible liabilities' either. The FY2026 Annual Report has no MREL figure; the March 2026 Pillar 3 is not published yet. Consistent with the PRA classifying BSIP as a small, non-systemic firm (Category 3 as at FY2025, Category 5 in earlier years) - such firms are not generally subject to a bail-in MREL requirement.</t>
        </is>
      </c>
    </row>
    <row r="7" ht="377"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t>
        </is>
      </c>
    </row>
    <row r="9" ht="169" customHeight="1">
      <c r="A9" s="8" t="inlineStr">
        <is>
          <t>(continued)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3">
    <mergeCell ref="A7:G7"/>
    <mergeCell ref="A5:G5"/>
    <mergeCell ref="A9:G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2026-10-10T15:08:21Z</dcterms:created>
  <dcterms:modified xmlns:dcterms="http://purl.org/dc/terms/" xmlns:xsi="http://www.w3.org/2001/XMLSchema-instance" xsi:type="dcterms:W3CDTF">2026-10-10T15:08:21Z</dcterms:modified>
</cp:coreProperties>
</file>