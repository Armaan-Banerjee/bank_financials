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263292.2</v>
      </c>
      <c r="C6" s="5" t="n">
        <v>267959.3</v>
      </c>
      <c r="D6" s="5" t="n">
        <v>275595</v>
      </c>
      <c r="E6" s="5" t="n">
        <v>307991.3</v>
      </c>
      <c r="F6" s="5" t="n">
        <v>306523.2</v>
      </c>
      <c r="I6" t="inlineStr">
        <is>
          <t>Total assets</t>
        </is>
      </c>
      <c r="J6" t="n">
        <v>306523.2</v>
      </c>
      <c r="K6" t="n">
        <v>307991.3</v>
      </c>
      <c r="L6" t="n">
        <v>275595</v>
      </c>
      <c r="M6" t="n">
        <v>267959.3</v>
      </c>
      <c r="N6" t="n">
        <v>263292.2</v>
      </c>
      <c r="AO6" t="inlineStr">
        <is>
          <t>CET1 Ratio</t>
        </is>
      </c>
      <c r="AP6" t="n">
        <v>61.2</v>
      </c>
      <c r="AQ6" t="n">
        <v>67.5</v>
      </c>
      <c r="AR6" t="n">
        <v>81.5</v>
      </c>
      <c r="AS6" t="n">
        <v>91.8</v>
      </c>
      <c r="AT6" t="n">
        <v>102.7</v>
      </c>
    </row>
    <row r="7">
      <c r="A7" s="5" t="inlineStr">
        <is>
          <t>Loans and advances to customers</t>
        </is>
      </c>
      <c r="B7" s="5" t="n">
        <v>333.3</v>
      </c>
      <c r="C7" s="5" t="n">
        <v>409.4</v>
      </c>
      <c r="D7" s="5" t="n">
        <v>24678.3</v>
      </c>
      <c r="E7" s="5" t="n">
        <v>24551.4</v>
      </c>
      <c r="F7" s="5" t="n">
        <v>2470.8</v>
      </c>
      <c r="I7" t="inlineStr">
        <is>
          <t>Loans and advances to customers</t>
        </is>
      </c>
      <c r="J7" t="n">
        <v>2470.8</v>
      </c>
      <c r="K7" t="n">
        <v>24551.4</v>
      </c>
      <c r="L7" t="n">
        <v>24678.3</v>
      </c>
      <c r="M7" t="n">
        <v>409.4</v>
      </c>
      <c r="N7" t="n">
        <v>333.3</v>
      </c>
      <c r="AO7" t="inlineStr">
        <is>
          <t>Tier 1 Ratio</t>
        </is>
      </c>
      <c r="AP7" t="n">
        <v>61.2</v>
      </c>
      <c r="AQ7" t="n">
        <v>67.5</v>
      </c>
      <c r="AR7" t="n">
        <v>81.5</v>
      </c>
      <c r="AS7" t="n">
        <v>91.8</v>
      </c>
      <c r="AT7" t="n">
        <v>102.7</v>
      </c>
    </row>
    <row r="8">
      <c r="A8" s="5" t="inlineStr">
        <is>
          <t>Amounts owed to other depositors</t>
        </is>
      </c>
      <c r="B8" s="5" t="n">
        <v>1635.7</v>
      </c>
      <c r="C8" s="5" t="n">
        <v>1744.6</v>
      </c>
      <c r="D8" s="5" t="n">
        <v>1737.1</v>
      </c>
      <c r="E8" s="5" t="n">
        <v>1745.1</v>
      </c>
      <c r="F8" s="5" t="n">
        <v>1734.7</v>
      </c>
      <c r="I8" t="inlineStr">
        <is>
          <t>Amounts owed to other depositors</t>
        </is>
      </c>
      <c r="J8" t="n">
        <v>1734.7</v>
      </c>
      <c r="K8" t="n">
        <v>1745.1</v>
      </c>
      <c r="L8" t="n">
        <v>1737.1</v>
      </c>
      <c r="M8" t="n">
        <v>1744.6</v>
      </c>
      <c r="N8" t="n">
        <v>1635.7</v>
      </c>
      <c r="AO8" t="inlineStr">
        <is>
          <t>Total Capital Ratio</t>
        </is>
      </c>
      <c r="AP8" t="n">
        <v>61.2</v>
      </c>
      <c r="AQ8" t="n">
        <v>67.5</v>
      </c>
      <c r="AR8" t="n">
        <v>81.5</v>
      </c>
      <c r="AS8" t="n">
        <v>91.8</v>
      </c>
      <c r="AT8" t="n">
        <v>102.7</v>
      </c>
    </row>
    <row r="9">
      <c r="A9" s="5" t="inlineStr">
        <is>
          <t>Total equity</t>
        </is>
      </c>
      <c r="B9" s="5" t="n">
        <v>144339.6</v>
      </c>
      <c r="C9" s="5" t="n">
        <v>147035</v>
      </c>
      <c r="D9" s="5" t="n">
        <v>150875.6</v>
      </c>
      <c r="E9" s="5" t="n">
        <v>144319.8</v>
      </c>
      <c r="F9" s="5" t="n">
        <v>144043.4</v>
      </c>
      <c r="I9" t="inlineStr">
        <is>
          <t>Total equity</t>
        </is>
      </c>
      <c r="J9" t="n">
        <v>144043.4</v>
      </c>
      <c r="K9" t="n">
        <v>144319.8</v>
      </c>
      <c r="L9" t="n">
        <v>150875.6</v>
      </c>
      <c r="M9" t="n">
        <v>147035</v>
      </c>
      <c r="N9" t="n">
        <v>144339.6</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5422</v>
      </c>
      <c r="C13" s="5" t="n">
        <v>8256.9</v>
      </c>
      <c r="D13" s="5" t="n">
        <v>6410.3</v>
      </c>
      <c r="E13" s="5" t="n">
        <v>5555.9</v>
      </c>
      <c r="F13" s="5" t="n">
        <v>5924</v>
      </c>
      <c r="Q13" t="inlineStr">
        <is>
          <t>Net interest income</t>
        </is>
      </c>
      <c r="R13" t="n">
        <v>5924</v>
      </c>
      <c r="S13" t="n">
        <v>5555.9</v>
      </c>
      <c r="T13" t="n">
        <v>6410.3</v>
      </c>
      <c r="U13" t="n">
        <v>8256.9</v>
      </c>
      <c r="V13" t="n">
        <v>5422</v>
      </c>
    </row>
    <row r="14">
      <c r="A14" s="5" t="inlineStr">
        <is>
          <t>General administrative expenses</t>
        </is>
      </c>
      <c r="B14" s="5" t="n">
        <v>-4650.1</v>
      </c>
      <c r="C14" s="5" t="n">
        <v>-4324.9</v>
      </c>
      <c r="D14" s="5" t="n">
        <v>-4064</v>
      </c>
      <c r="E14" s="5" t="n">
        <v>-4069.2</v>
      </c>
      <c r="F14" s="5" t="n">
        <v>-4370.8</v>
      </c>
      <c r="Q14" t="inlineStr">
        <is>
          <t>General administrative expenses</t>
        </is>
      </c>
      <c r="R14" t="n">
        <v>-4370.8</v>
      </c>
      <c r="S14" t="n">
        <v>-4069.2</v>
      </c>
      <c r="T14" t="n">
        <v>-4064</v>
      </c>
      <c r="U14" t="n">
        <v>-4324.9</v>
      </c>
      <c r="V14" t="n">
        <v>-4650.1</v>
      </c>
    </row>
    <row r="15">
      <c r="A15" s="5" t="inlineStr">
        <is>
          <t>Profit for the year after taxation</t>
        </is>
      </c>
      <c r="B15" s="5" t="n">
        <v>646.5</v>
      </c>
      <c r="C15" s="5" t="n">
        <v>181.4</v>
      </c>
      <c r="D15" s="5" t="n">
        <v>1028.8</v>
      </c>
      <c r="E15" s="5" t="n">
        <v>1294.2</v>
      </c>
      <c r="F15" s="5" t="n">
        <v>1448.9</v>
      </c>
      <c r="Q15" t="inlineStr">
        <is>
          <t>Profit for the year after taxation</t>
        </is>
      </c>
      <c r="R15" t="n">
        <v>1448.9</v>
      </c>
      <c r="S15" t="n">
        <v>1294.2</v>
      </c>
      <c r="T15" t="n">
        <v>1028.8</v>
      </c>
      <c r="U15" t="n">
        <v>181.4</v>
      </c>
      <c r="V15" t="n">
        <v>646.5</v>
      </c>
    </row>
    <row r="17">
      <c r="A17" s="3" t="inlineStr">
        <is>
          <t>Statement of Changes in Equity Summary (£'000 (conv. from EUR) - FY2021 omitted, see Statement of Changes in Equity sheet's note)</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147035</v>
      </c>
      <c r="C19" s="5" t="n">
        <v>150875.6</v>
      </c>
      <c r="D19" s="5" t="n">
        <v>144319.8</v>
      </c>
      <c r="E19" s="5" t="n">
        <v>144042.5</v>
      </c>
      <c r="F19" s="5" t="n"/>
      <c r="Y19" t="inlineStr">
        <is>
          <t>Opening equity</t>
        </is>
      </c>
      <c r="AA19" t="n">
        <v>144042.5</v>
      </c>
      <c r="AB19" t="n">
        <v>144319.8</v>
      </c>
      <c r="AC19" t="n">
        <v>150875.6</v>
      </c>
      <c r="AD19" t="n">
        <v>147035</v>
      </c>
    </row>
    <row r="20">
      <c r="A20" s="5" t="inlineStr">
        <is>
          <t>Total comprehensive income for the year</t>
        </is>
      </c>
      <c r="B20" s="5" t="n">
        <v>646.5</v>
      </c>
      <c r="C20" s="5" t="n">
        <v>181.4</v>
      </c>
      <c r="D20" s="5" t="n">
        <v>1028.8</v>
      </c>
      <c r="E20" s="5" t="n">
        <v>1294.2</v>
      </c>
      <c r="F20" s="5" t="n"/>
      <c r="Y20" t="inlineStr">
        <is>
          <t>Total comprehensive income for the year</t>
        </is>
      </c>
      <c r="AA20" t="n">
        <v>1294.2</v>
      </c>
      <c r="AB20" t="n">
        <v>1028.8</v>
      </c>
      <c r="AC20" t="n">
        <v>181.4</v>
      </c>
      <c r="AD20" t="n">
        <v>646.5</v>
      </c>
    </row>
    <row r="21">
      <c r="A21" s="5" t="inlineStr">
        <is>
          <t>Other movements, net (FX translation effect)</t>
        </is>
      </c>
      <c r="B21" s="5" t="n">
        <v>-3341.9</v>
      </c>
      <c r="C21" s="5" t="n">
        <v>-4022</v>
      </c>
      <c r="D21" s="5" t="n">
        <v>5527</v>
      </c>
      <c r="E21" s="5" t="n">
        <v>-1016.9</v>
      </c>
      <c r="F21" s="5" t="n"/>
      <c r="Y21" t="inlineStr">
        <is>
          <t>Other movements, net (FX translation effect)</t>
        </is>
      </c>
      <c r="AA21" t="n">
        <v>-1016.9</v>
      </c>
      <c r="AB21" t="n">
        <v>5527</v>
      </c>
      <c r="AC21" t="n">
        <v>-4022</v>
      </c>
      <c r="AD21" t="n">
        <v>-3341.9</v>
      </c>
    </row>
    <row r="22">
      <c r="A22" s="5" t="inlineStr">
        <is>
          <t>Closing equity</t>
        </is>
      </c>
      <c r="B22" s="5" t="n">
        <v>144339.6</v>
      </c>
      <c r="C22" s="5" t="n">
        <v>147035</v>
      </c>
      <c r="D22" s="5" t="n">
        <v>150875.6</v>
      </c>
      <c r="E22" s="5" t="n">
        <v>144319.8</v>
      </c>
      <c r="F22" s="5" t="n"/>
      <c r="Y22" t="inlineStr">
        <is>
          <t>Closing equity</t>
        </is>
      </c>
      <c r="AA22" t="n">
        <v>144319.8</v>
      </c>
      <c r="AB22" t="n">
        <v>150875.6</v>
      </c>
      <c r="AC22" t="n">
        <v>147035</v>
      </c>
      <c r="AD22" t="n">
        <v>144339.6</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-6395.2</v>
      </c>
      <c r="C26" s="5" t="n">
        <v>4505.4</v>
      </c>
      <c r="D26" s="5" t="n">
        <v>-44131.9</v>
      </c>
      <c r="E26" s="5" t="n">
        <v>15093.9</v>
      </c>
      <c r="F26" s="5" t="n">
        <v>1950.6</v>
      </c>
      <c r="AG26" t="inlineStr">
        <is>
          <t>Net cash from/(used in) operating activities</t>
        </is>
      </c>
      <c r="AH26" t="n">
        <v>1950.6</v>
      </c>
      <c r="AI26" t="n">
        <v>15093.9</v>
      </c>
      <c r="AJ26" t="n">
        <v>-44131.9</v>
      </c>
      <c r="AK26" t="n">
        <v>4505.4</v>
      </c>
      <c r="AL26" t="n">
        <v>-6395.2</v>
      </c>
    </row>
    <row r="27">
      <c r="A27" s="5" t="inlineStr">
        <is>
          <t>Net cash from/(used in) investing activities</t>
        </is>
      </c>
      <c r="B27" s="5" t="n">
        <v>957.1</v>
      </c>
      <c r="C27" s="5" t="n">
        <v>-1832.6</v>
      </c>
      <c r="D27" s="5" t="n">
        <v>-105.5</v>
      </c>
      <c r="E27" s="5" t="n">
        <v>-430.8</v>
      </c>
      <c r="F27" s="5" t="n">
        <v>-444.7</v>
      </c>
      <c r="AG27" t="inlineStr">
        <is>
          <t>Net cash from/(used in) investing activities</t>
        </is>
      </c>
      <c r="AH27" t="n">
        <v>-444.7</v>
      </c>
      <c r="AI27" t="n">
        <v>-430.8</v>
      </c>
      <c r="AJ27" t="n">
        <v>-105.5</v>
      </c>
      <c r="AK27" t="n">
        <v>-1832.6</v>
      </c>
      <c r="AL27" t="n">
        <v>957.1</v>
      </c>
    </row>
    <row r="28">
      <c r="A28" s="5" t="inlineStr">
        <is>
          <t>Cash and cash equivalents at end of year</t>
        </is>
      </c>
      <c r="B28" s="5" t="n">
        <v>124894.8</v>
      </c>
      <c r="C28" s="5" t="n">
        <v>133407.8</v>
      </c>
      <c r="D28" s="5" t="n">
        <v>134380.4</v>
      </c>
      <c r="E28" s="5" t="n">
        <v>172946.8</v>
      </c>
      <c r="F28" s="5" t="n">
        <v>159502.1</v>
      </c>
      <c r="AG28" t="inlineStr">
        <is>
          <t>Cash and cash equivalents at end of year</t>
        </is>
      </c>
      <c r="AH28" t="n">
        <v>159502.1</v>
      </c>
      <c r="AI28" t="n">
        <v>172946.8</v>
      </c>
      <c r="AJ28" t="n">
        <v>134380.4</v>
      </c>
      <c r="AK28" t="n">
        <v>133407.8</v>
      </c>
      <c r="AL28" t="n">
        <v>124894.8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102.7%</t>
        </is>
      </c>
      <c r="C32" s="6" t="inlineStr">
        <is>
          <t>91.8%</t>
        </is>
      </c>
      <c r="D32" s="6" t="inlineStr">
        <is>
          <t>81.5%</t>
        </is>
      </c>
      <c r="E32" s="6" t="inlineStr">
        <is>
          <t>67.5%</t>
        </is>
      </c>
      <c r="F32" s="6" t="inlineStr">
        <is>
          <t>61.2%</t>
        </is>
      </c>
    </row>
    <row r="33">
      <c r="A33" s="6" t="inlineStr">
        <is>
          <t>Tier 1 Ratio</t>
        </is>
      </c>
      <c r="B33" s="6" t="inlineStr">
        <is>
          <t>102.7%</t>
        </is>
      </c>
      <c r="C33" s="6" t="inlineStr">
        <is>
          <t>91.8%</t>
        </is>
      </c>
      <c r="D33" s="6" t="inlineStr">
        <is>
          <t>81.5%</t>
        </is>
      </c>
      <c r="E33" s="6" t="inlineStr">
        <is>
          <t>67.5%</t>
        </is>
      </c>
      <c r="F33" s="6" t="inlineStr">
        <is>
          <t>61.2%</t>
        </is>
      </c>
    </row>
    <row r="34">
      <c r="A34" s="6" t="inlineStr">
        <is>
          <t>Total Capital Ratio</t>
        </is>
      </c>
      <c r="B34" s="6" t="inlineStr">
        <is>
          <t>102.7%</t>
        </is>
      </c>
      <c r="C34" s="6" t="inlineStr">
        <is>
          <t>91.8%</t>
        </is>
      </c>
      <c r="D34" s="6" t="inlineStr">
        <is>
          <t>81.5%</t>
        </is>
      </c>
      <c r="E34" s="6" t="inlineStr">
        <is>
          <t>67.5%</t>
        </is>
      </c>
      <c r="F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Non-current assets</t>
        </is>
      </c>
      <c r="B4" s="6" t="n"/>
      <c r="C4" s="6" t="n"/>
      <c r="D4" s="6" t="n"/>
      <c r="E4" s="6" t="n"/>
      <c r="F4" s="6" t="n"/>
    </row>
    <row r="5">
      <c r="A5" s="6" t="inlineStr">
        <is>
          <t>Restricted cash and cash equivalents</t>
        </is>
      </c>
      <c r="B5" s="6" t="n">
        <v>826.2</v>
      </c>
      <c r="C5" s="6" t="n"/>
      <c r="D5" s="6" t="n"/>
      <c r="E5" s="6" t="n"/>
      <c r="F5" s="6" t="n"/>
    </row>
    <row r="6">
      <c r="A6" s="6" t="inlineStr">
        <is>
          <t>Placements with and loans and advances to banks</t>
        </is>
      </c>
      <c r="B6" s="6" t="n">
        <v>8282.200000000001</v>
      </c>
      <c r="C6" s="6" t="n">
        <v>7889.8</v>
      </c>
      <c r="D6" s="6" t="n">
        <v>7667.6</v>
      </c>
      <c r="E6" s="6" t="n">
        <v>7383.9</v>
      </c>
      <c r="F6" s="6" t="n">
        <v>7439.7</v>
      </c>
    </row>
    <row r="7">
      <c r="A7" s="6" t="inlineStr">
        <is>
          <t>Property and equipment</t>
        </is>
      </c>
      <c r="B7" s="6" t="n">
        <v>2147</v>
      </c>
      <c r="C7" s="6" t="n">
        <v>2224.2</v>
      </c>
      <c r="D7" s="6" t="n">
        <v>1890.8</v>
      </c>
      <c r="E7" s="6" t="n">
        <v>1844.1</v>
      </c>
      <c r="F7" s="6" t="n">
        <v>1879.5</v>
      </c>
    </row>
    <row r="8">
      <c r="A8" s="6" t="inlineStr">
        <is>
          <t>Intangible assets</t>
        </is>
      </c>
      <c r="B8" s="6" t="n">
        <v>362.6</v>
      </c>
      <c r="C8" s="6" t="n">
        <v>490.7</v>
      </c>
      <c r="D8" s="6" t="n">
        <v>516.4</v>
      </c>
      <c r="E8" s="6" t="n">
        <v>667.4</v>
      </c>
      <c r="F8" s="6" t="n">
        <v>922.7</v>
      </c>
    </row>
    <row r="9">
      <c r="A9" s="6" t="inlineStr">
        <is>
          <t>Debt instruments</t>
        </is>
      </c>
      <c r="B9" s="6" t="n">
        <v>8059.1</v>
      </c>
      <c r="C9" s="6" t="n">
        <v>13602.4</v>
      </c>
      <c r="D9" s="6" t="n">
        <v>13526.9</v>
      </c>
      <c r="E9" s="6" t="n">
        <v>15056.2</v>
      </c>
      <c r="F9" s="6" t="n">
        <v>14884.4</v>
      </c>
    </row>
    <row r="10">
      <c r="A10" s="5" t="inlineStr">
        <is>
          <t>Total non-current assets</t>
        </is>
      </c>
      <c r="B10" s="5" t="n">
        <v>19677</v>
      </c>
      <c r="C10" s="5" t="n">
        <v>24207.1</v>
      </c>
      <c r="D10" s="5" t="n">
        <v>23601.6</v>
      </c>
      <c r="E10" s="5" t="n">
        <v>24951.5</v>
      </c>
      <c r="F10" s="5" t="n">
        <v>25126.3</v>
      </c>
    </row>
    <row r="11">
      <c r="A11" s="5" t="inlineStr">
        <is>
          <t>Current assets</t>
        </is>
      </c>
      <c r="B11" s="6" t="n"/>
      <c r="C11" s="6" t="n"/>
      <c r="D11" s="6" t="n"/>
      <c r="E11" s="6" t="n"/>
      <c r="F11" s="6" t="n"/>
    </row>
    <row r="12">
      <c r="A12" s="6" t="inlineStr">
        <is>
          <t>Cash and cash equivalents</t>
        </is>
      </c>
      <c r="B12" s="6" t="n">
        <v>122642.6</v>
      </c>
      <c r="C12" s="6" t="n">
        <v>131808.5</v>
      </c>
      <c r="D12" s="6" t="n">
        <v>134219.7</v>
      </c>
      <c r="E12" s="6" t="n">
        <v>172785.2</v>
      </c>
      <c r="F12" s="6" t="n">
        <v>159333.4</v>
      </c>
    </row>
    <row r="13">
      <c r="A13" s="6" t="inlineStr">
        <is>
          <t>Placements with and loans and advances to banks</t>
        </is>
      </c>
      <c r="B13" s="6" t="n">
        <v>106339.7</v>
      </c>
      <c r="C13" s="6" t="n">
        <v>101360.5</v>
      </c>
      <c r="D13" s="6" t="n">
        <v>82869.60000000001</v>
      </c>
      <c r="E13" s="6" t="n">
        <v>79791.2</v>
      </c>
      <c r="F13" s="6" t="n">
        <v>113253</v>
      </c>
    </row>
    <row r="14">
      <c r="A14" s="6" t="inlineStr">
        <is>
          <t>Loans and advances to customers</t>
        </is>
      </c>
      <c r="B14" s="6" t="n">
        <v>333.3</v>
      </c>
      <c r="C14" s="6" t="n">
        <v>409.4</v>
      </c>
      <c r="D14" s="6" t="n">
        <v>24678.3</v>
      </c>
      <c r="E14" s="6" t="n">
        <v>24551.4</v>
      </c>
      <c r="F14" s="6" t="n">
        <v>2470.8</v>
      </c>
    </row>
    <row r="15">
      <c r="A15" s="6" t="inlineStr">
        <is>
          <t>Other assets</t>
        </is>
      </c>
      <c r="B15" s="6" t="n">
        <v>5787.7</v>
      </c>
      <c r="C15" s="6" t="n">
        <v>5639.1</v>
      </c>
      <c r="D15" s="6" t="n">
        <v>6662</v>
      </c>
      <c r="E15" s="6" t="n">
        <v>5442.5</v>
      </c>
      <c r="F15" s="6" t="n">
        <v>5592.5</v>
      </c>
    </row>
    <row r="16">
      <c r="A16" s="6" t="inlineStr">
        <is>
          <t>Debt instruments</t>
        </is>
      </c>
      <c r="B16" s="6" t="n">
        <v>7161</v>
      </c>
      <c r="C16" s="6" t="n">
        <v>3095.2</v>
      </c>
      <c r="D16" s="6" t="n">
        <v>2257</v>
      </c>
      <c r="E16" s="6" t="n"/>
      <c r="F16" s="6" t="n"/>
    </row>
    <row r="17">
      <c r="A17" s="6" t="inlineStr">
        <is>
          <t>Prepayments and accrued income</t>
        </is>
      </c>
      <c r="B17" s="6" t="n">
        <v>1350.8</v>
      </c>
      <c r="C17" s="6" t="n">
        <v>1439.5</v>
      </c>
      <c r="D17" s="6" t="n">
        <v>1306.8</v>
      </c>
      <c r="E17" s="6" t="n">
        <v>469.5</v>
      </c>
      <c r="F17" s="6" t="n">
        <v>747.2</v>
      </c>
    </row>
    <row r="18">
      <c r="A18" s="5" t="inlineStr">
        <is>
          <t>Total assets</t>
        </is>
      </c>
      <c r="B18" s="5" t="n">
        <v>263292.2</v>
      </c>
      <c r="C18" s="5" t="n">
        <v>267959.3</v>
      </c>
      <c r="D18" s="5" t="n">
        <v>275595</v>
      </c>
      <c r="E18" s="5" t="n">
        <v>307991.3</v>
      </c>
      <c r="F18" s="5" t="n">
        <v>306523.2</v>
      </c>
    </row>
    <row r="19">
      <c r="A19" s="5" t="inlineStr">
        <is>
          <t>Current liabilities</t>
        </is>
      </c>
      <c r="B19" s="6" t="n"/>
      <c r="C19" s="6" t="n"/>
      <c r="D19" s="6" t="n"/>
      <c r="E19" s="6" t="n"/>
      <c r="F19" s="6" t="n"/>
    </row>
    <row r="20">
      <c r="A20" s="6" t="inlineStr">
        <is>
          <t>Deposits from banks</t>
        </is>
      </c>
      <c r="B20" s="6" t="n">
        <v>6451</v>
      </c>
      <c r="C20" s="6" t="n">
        <v>6604.2</v>
      </c>
      <c r="D20" s="6" t="n">
        <v>6758.6</v>
      </c>
      <c r="E20" s="6" t="n">
        <v>158677.3</v>
      </c>
      <c r="F20" s="6" t="n">
        <v>159618.8</v>
      </c>
    </row>
    <row r="21">
      <c r="A21" s="6" t="inlineStr">
        <is>
          <t>Amounts owed to other depositors</t>
        </is>
      </c>
      <c r="B21" s="6" t="n">
        <v>1635.7</v>
      </c>
      <c r="C21" s="6" t="n">
        <v>1744.6</v>
      </c>
      <c r="D21" s="6" t="n">
        <v>1737.1</v>
      </c>
      <c r="E21" s="6" t="n">
        <v>1745.1</v>
      </c>
      <c r="F21" s="6" t="n">
        <v>1734.7</v>
      </c>
    </row>
    <row r="22">
      <c r="A22" s="6" t="inlineStr">
        <is>
          <t>Corporation taxation</t>
        </is>
      </c>
      <c r="B22" s="6" t="n">
        <v>188</v>
      </c>
      <c r="C22" s="6" t="n"/>
      <c r="D22" s="6" t="n">
        <v>197.6</v>
      </c>
      <c r="E22" s="6" t="n">
        <v>118.4</v>
      </c>
      <c r="F22" s="6" t="n"/>
    </row>
    <row r="23">
      <c r="A23" s="6" t="inlineStr">
        <is>
          <t>Other liabilities</t>
        </is>
      </c>
      <c r="B23" s="6" t="n">
        <v>472</v>
      </c>
      <c r="C23" s="6" t="n">
        <v>473.6</v>
      </c>
      <c r="D23" s="6" t="n">
        <v>1015.2</v>
      </c>
      <c r="E23" s="6" t="n">
        <v>2201</v>
      </c>
      <c r="F23" s="6" t="n">
        <v>451.6</v>
      </c>
    </row>
    <row r="24">
      <c r="A24" s="6" t="inlineStr">
        <is>
          <t>Accruals and deferred income</t>
        </is>
      </c>
      <c r="B24" s="6" t="n">
        <v>1604</v>
      </c>
      <c r="C24" s="6" t="n">
        <v>977.9</v>
      </c>
      <c r="D24" s="6" t="n">
        <v>844.8</v>
      </c>
      <c r="E24" s="6" t="n">
        <v>929.6</v>
      </c>
      <c r="F24" s="6" t="n">
        <v>674.8</v>
      </c>
    </row>
    <row r="25">
      <c r="A25" s="5" t="inlineStr">
        <is>
          <t>Total current liabilities</t>
        </is>
      </c>
      <c r="B25" s="5" t="n">
        <v>10350.6</v>
      </c>
      <c r="C25" s="5" t="n">
        <v>9800.299999999999</v>
      </c>
      <c r="D25" s="5" t="n">
        <v>10553.3</v>
      </c>
      <c r="E25" s="5" t="n">
        <v>163671.5</v>
      </c>
      <c r="F25" s="5" t="n">
        <v>162479.8</v>
      </c>
    </row>
    <row r="26">
      <c r="A26" s="5" t="inlineStr">
        <is>
          <t>Non-current liabilities</t>
        </is>
      </c>
      <c r="B26" s="6" t="n"/>
      <c r="C26" s="6" t="n"/>
      <c r="D26" s="6" t="n"/>
      <c r="E26" s="6" t="n"/>
      <c r="F26" s="6" t="n"/>
    </row>
    <row r="27">
      <c r="A27" s="6" t="inlineStr">
        <is>
          <t>Deposits from banks</t>
        </is>
      </c>
      <c r="B27" s="6" t="n">
        <v>108602</v>
      </c>
      <c r="C27" s="6" t="n">
        <v>111124</v>
      </c>
      <c r="D27" s="6" t="n">
        <v>114166</v>
      </c>
      <c r="E27" s="6" t="n"/>
      <c r="F27" s="6" t="n"/>
    </row>
    <row r="28">
      <c r="A28" s="5" t="inlineStr">
        <is>
          <t>Total liabilities</t>
        </is>
      </c>
      <c r="B28" s="5" t="n">
        <v>118952.6</v>
      </c>
      <c r="C28" s="5" t="n">
        <v>120924.3</v>
      </c>
      <c r="D28" s="5" t="n">
        <v>124719.3</v>
      </c>
      <c r="E28" s="5" t="n">
        <v>163671.5</v>
      </c>
      <c r="F28" s="5" t="n">
        <v>162479.8</v>
      </c>
    </row>
    <row r="29">
      <c r="A29" s="5" t="inlineStr">
        <is>
          <t>Equity</t>
        </is>
      </c>
      <c r="B29" s="6" t="n"/>
      <c r="C29" s="6" t="n"/>
      <c r="D29" s="6" t="n"/>
      <c r="E29" s="6" t="n"/>
      <c r="F29" s="6" t="n"/>
    </row>
    <row r="30">
      <c r="A30" s="6" t="inlineStr">
        <is>
          <t>Called up share capital</t>
        </is>
      </c>
      <c r="B30" s="6" t="n">
        <v>133664</v>
      </c>
      <c r="C30" s="6" t="n">
        <v>136768</v>
      </c>
      <c r="D30" s="6" t="n">
        <v>140512</v>
      </c>
      <c r="E30" s="6" t="n">
        <v>135344</v>
      </c>
      <c r="F30" s="6" t="n">
        <v>136320</v>
      </c>
    </row>
    <row r="31">
      <c r="A31" s="6" t="inlineStr">
        <is>
          <t>Retained earnings</t>
        </is>
      </c>
      <c r="B31" s="6" t="n">
        <v>10675.6</v>
      </c>
      <c r="C31" s="6" t="n">
        <v>10267</v>
      </c>
      <c r="D31" s="6" t="n">
        <v>10363.6</v>
      </c>
      <c r="E31" s="6" t="n">
        <v>8975.799999999999</v>
      </c>
      <c r="F31" s="6" t="n">
        <v>7723.4</v>
      </c>
    </row>
    <row r="32">
      <c r="A32" s="5" t="inlineStr">
        <is>
          <t>Total equity</t>
        </is>
      </c>
      <c r="B32" s="5" t="n">
        <v>144339.6</v>
      </c>
      <c r="C32" s="5" t="n">
        <v>147035</v>
      </c>
      <c r="D32" s="5" t="n">
        <v>150875.6</v>
      </c>
      <c r="E32" s="5" t="n">
        <v>144319.8</v>
      </c>
      <c r="F32" s="5" t="n">
        <v>144043.4</v>
      </c>
    </row>
    <row r="33">
      <c r="A33" s="5" t="inlineStr">
        <is>
          <t>Total liabilities and equity</t>
        </is>
      </c>
      <c r="B33" s="5" t="n">
        <v>263292.2</v>
      </c>
      <c r="C33" s="5" t="n">
        <v>267959.3</v>
      </c>
      <c r="D33" s="5" t="n">
        <v>275595</v>
      </c>
      <c r="E33" s="5" t="n">
        <v>307991.3</v>
      </c>
      <c r="F33" s="5" t="n">
        <v>306523.2</v>
      </c>
    </row>
    <row r="35" ht="460" customHeight="1">
      <c r="A35"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8485.299999999999</v>
      </c>
      <c r="C5" s="6" t="n">
        <v>8259.5</v>
      </c>
      <c r="D5" s="6" t="n">
        <v>6590.9</v>
      </c>
      <c r="E5" s="6" t="n">
        <v>6124.7</v>
      </c>
      <c r="F5" s="6" t="n">
        <v>6415.9</v>
      </c>
    </row>
    <row r="6">
      <c r="A6" s="6" t="inlineStr">
        <is>
          <t>Interest expense and similar charges</t>
        </is>
      </c>
      <c r="B6" s="6" t="n">
        <v>-3063.3</v>
      </c>
      <c r="C6" s="6" t="n">
        <v>-2.6</v>
      </c>
      <c r="D6" s="6" t="n">
        <v>-180.7</v>
      </c>
      <c r="E6" s="6" t="n">
        <v>-568.9</v>
      </c>
      <c r="F6" s="6" t="n">
        <v>-491.9</v>
      </c>
    </row>
    <row r="7">
      <c r="A7" s="5" t="inlineStr">
        <is>
          <t>Net interest income</t>
        </is>
      </c>
      <c r="B7" s="5" t="n">
        <v>5422</v>
      </c>
      <c r="C7" s="5" t="n">
        <v>8256.9</v>
      </c>
      <c r="D7" s="5" t="n">
        <v>6410.3</v>
      </c>
      <c r="E7" s="5" t="n">
        <v>5555.9</v>
      </c>
      <c r="F7" s="5" t="n">
        <v>5924</v>
      </c>
    </row>
    <row r="8">
      <c r="A8" s="6" t="inlineStr">
        <is>
          <t>Net fee and commission expense</t>
        </is>
      </c>
      <c r="B8" s="6" t="n">
        <v>-64.8</v>
      </c>
      <c r="C8" s="6" t="n">
        <v>-103.6</v>
      </c>
      <c r="D8" s="6" t="n">
        <v>-182.4</v>
      </c>
      <c r="E8" s="6" t="n">
        <v>-104.6</v>
      </c>
      <c r="F8" s="6" t="n">
        <v>-77.5</v>
      </c>
    </row>
    <row r="9">
      <c r="A9" s="6" t="inlineStr">
        <is>
          <t>Foreign currency (loss)/gain</t>
        </is>
      </c>
      <c r="B9" s="6" t="n">
        <v>-2.5</v>
      </c>
      <c r="C9" s="6" t="n">
        <v>-9.5</v>
      </c>
      <c r="D9" s="6" t="n">
        <v>-92.5</v>
      </c>
      <c r="E9" s="6" t="n">
        <v>-4.2</v>
      </c>
      <c r="F9" s="6" t="n">
        <v>98</v>
      </c>
    </row>
    <row r="10">
      <c r="A10" s="6" t="inlineStr">
        <is>
          <t>Other operating income</t>
        </is>
      </c>
      <c r="B10" s="6" t="n">
        <v>60.6</v>
      </c>
      <c r="C10" s="6" t="n">
        <v>1114.9</v>
      </c>
      <c r="D10" s="6" t="n">
        <v>0</v>
      </c>
      <c r="E10" s="6" t="n">
        <v>0</v>
      </c>
      <c r="F10" s="6" t="n">
        <v>0</v>
      </c>
    </row>
    <row r="11">
      <c r="A11" s="5" t="inlineStr">
        <is>
          <t>Total operating income</t>
        </is>
      </c>
      <c r="B11" s="5" t="n">
        <v>5415.3</v>
      </c>
      <c r="C11" s="5" t="n">
        <v>9258.700000000001</v>
      </c>
      <c r="D11" s="5" t="n">
        <v>6135.4</v>
      </c>
      <c r="E11" s="5" t="n">
        <v>5447.1</v>
      </c>
      <c r="F11" s="5" t="n">
        <v>5944.5</v>
      </c>
    </row>
    <row r="12">
      <c r="A12" s="6" t="inlineStr">
        <is>
          <t>General administrative expenses</t>
        </is>
      </c>
      <c r="B12" s="6" t="n">
        <v>-4650.1</v>
      </c>
      <c r="C12" s="6" t="n">
        <v>-4324.9</v>
      </c>
      <c r="D12" s="6" t="n">
        <v>-4064</v>
      </c>
      <c r="E12" s="6" t="n">
        <v>-4069.2</v>
      </c>
      <c r="F12" s="6" t="n">
        <v>-4370.8</v>
      </c>
    </row>
    <row r="13">
      <c r="A13" s="6" t="inlineStr">
        <is>
          <t>Credit impairment gains/(losses)</t>
        </is>
      </c>
      <c r="B13" s="6" t="n">
        <v>101</v>
      </c>
      <c r="C13" s="6" t="n">
        <v>-4761</v>
      </c>
      <c r="D13" s="6" t="n">
        <v>-848.1</v>
      </c>
      <c r="E13" s="6" t="n">
        <v>33.5</v>
      </c>
      <c r="F13" s="6" t="n">
        <v>-124.8</v>
      </c>
    </row>
    <row r="14">
      <c r="A14" s="5" t="inlineStr">
        <is>
          <t>Profit before taxation</t>
        </is>
      </c>
      <c r="B14" s="5" t="n">
        <v>866.2</v>
      </c>
      <c r="C14" s="5" t="n">
        <v>172.7</v>
      </c>
      <c r="D14" s="5" t="n">
        <v>1223.3</v>
      </c>
      <c r="E14" s="5" t="n">
        <v>1411.3</v>
      </c>
      <c r="F14" s="5" t="n">
        <v>1448.9</v>
      </c>
    </row>
    <row r="15">
      <c r="A15" s="6" t="inlineStr">
        <is>
          <t>Taxation (charge)/credit</t>
        </is>
      </c>
      <c r="B15" s="6" t="n">
        <v>-219.7</v>
      </c>
      <c r="C15" s="6" t="n">
        <v>8.6</v>
      </c>
      <c r="D15" s="6" t="n">
        <v>-194.5</v>
      </c>
      <c r="E15" s="6" t="n">
        <v>-117.1</v>
      </c>
      <c r="F15" s="6" t="n">
        <v>0</v>
      </c>
    </row>
    <row r="16">
      <c r="A16" s="5" t="inlineStr">
        <is>
          <t>Profit for the year after taxation</t>
        </is>
      </c>
      <c r="B16" s="5" t="n">
        <v>646.5</v>
      </c>
      <c r="C16" s="5" t="n">
        <v>181.4</v>
      </c>
      <c r="D16" s="5" t="n">
        <v>1028.8</v>
      </c>
      <c r="E16" s="5" t="n">
        <v>1294.2</v>
      </c>
      <c r="F16" s="5" t="n">
        <v>1448.9</v>
      </c>
    </row>
    <row r="17">
      <c r="A17" s="5" t="inlineStr">
        <is>
          <t>Other comprehensive income</t>
        </is>
      </c>
      <c r="B17" s="6" t="n"/>
      <c r="C17" s="6" t="n"/>
      <c r="D17" s="6" t="n"/>
      <c r="E17" s="6" t="n"/>
      <c r="F17" s="6" t="n"/>
    </row>
    <row r="18">
      <c r="A18" s="6" t="inlineStr">
        <is>
          <t>Other comprehensive income</t>
        </is>
      </c>
      <c r="B18" s="6" t="n">
        <v>0</v>
      </c>
      <c r="C18" s="6" t="n">
        <v>0</v>
      </c>
      <c r="D18" s="6" t="n">
        <v>0</v>
      </c>
      <c r="E18" s="6" t="n">
        <v>0</v>
      </c>
      <c r="F18" s="6" t="n">
        <v>0</v>
      </c>
    </row>
    <row r="19">
      <c r="A19" s="5" t="inlineStr">
        <is>
          <t>Total comprehensive income for the year</t>
        </is>
      </c>
      <c r="B19" s="5" t="n">
        <v>646.5</v>
      </c>
      <c r="C19" s="5" t="n">
        <v>181.4</v>
      </c>
      <c r="D19" s="5" t="n">
        <v>1028.8</v>
      </c>
      <c r="E19" s="5" t="n">
        <v>1294.2</v>
      </c>
      <c r="F19" s="5" t="n">
        <v>1448.9</v>
      </c>
    </row>
    <row r="21" ht="460" customHeight="1">
      <c r="A21"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8" ht="460" customHeight="1">
      <c r="A18"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10/11)</t>
        </is>
      </c>
      <c r="B4" s="6" t="n"/>
      <c r="C4" s="6" t="n"/>
      <c r="D4" s="6" t="n"/>
      <c r="E4" s="6" t="n"/>
      <c r="F4" s="6" t="n"/>
    </row>
    <row r="5">
      <c r="A5" s="6" t="inlineStr">
        <is>
          <t>Gross loans and advances to customers</t>
        </is>
      </c>
      <c r="B5" s="6" t="n">
        <v>4775.1</v>
      </c>
      <c r="C5" s="6" t="n">
        <v>4966.4</v>
      </c>
      <c r="D5" s="6" t="n">
        <v>27579.9</v>
      </c>
      <c r="E5" s="6" t="n">
        <v>26466.5</v>
      </c>
      <c r="F5" s="6" t="n">
        <v>4243</v>
      </c>
    </row>
    <row r="6">
      <c r="A6" s="6" t="inlineStr">
        <is>
          <t>Less: IFRS 9 impairment provisions</t>
        </is>
      </c>
      <c r="B6" s="6" t="n">
        <v>-4441.8</v>
      </c>
      <c r="C6" s="6" t="n">
        <v>-4556.9</v>
      </c>
      <c r="D6" s="6" t="n">
        <v>-2901.6</v>
      </c>
      <c r="E6" s="6" t="n">
        <v>-1915.1</v>
      </c>
      <c r="F6" s="6" t="n">
        <v>-1772.2</v>
      </c>
    </row>
    <row r="7">
      <c r="A7" s="5" t="inlineStr">
        <is>
          <t>Net loans and advances to customers</t>
        </is>
      </c>
      <c r="B7" s="5" t="n">
        <v>333.3</v>
      </c>
      <c r="C7" s="5" t="n">
        <v>409.4</v>
      </c>
      <c r="D7" s="5" t="n">
        <v>24678.3</v>
      </c>
      <c r="E7" s="5" t="n">
        <v>24551.4</v>
      </c>
      <c r="F7" s="5" t="n">
        <v>2470.8</v>
      </c>
    </row>
    <row r="8">
      <c r="A8" s="6" t="inlineStr">
        <is>
          <t>Allowance coverage ratio (allowance / gross loans to customers)</t>
        </is>
      </c>
      <c r="B8" s="6" t="inlineStr">
        <is>
          <t>93.0%</t>
        </is>
      </c>
      <c r="C8" s="6" t="inlineStr">
        <is>
          <t>91.8%</t>
        </is>
      </c>
      <c r="D8" s="6" t="inlineStr">
        <is>
          <t>10.5%</t>
        </is>
      </c>
      <c r="E8" s="6" t="inlineStr">
        <is>
          <t>7.2%</t>
        </is>
      </c>
      <c r="F8" s="6" t="inlineStr">
        <is>
          <t>41.8%</t>
        </is>
      </c>
    </row>
    <row r="9">
      <c r="A9" s="5" t="inlineStr">
        <is>
          <t>Total ECL provisions, all financial asset classes, by IFRS 9 stage (Note 11/12)</t>
        </is>
      </c>
      <c r="B9" s="6" t="n"/>
      <c r="C9" s="6" t="n"/>
      <c r="D9" s="6" t="n"/>
      <c r="E9" s="6" t="n"/>
      <c r="F9" s="6" t="n"/>
    </row>
    <row r="10">
      <c r="A10" s="6" t="inlineStr">
        <is>
          <t>Stage 1 (12-month ECL)</t>
        </is>
      </c>
      <c r="B10" s="6" t="n">
        <v>1682.5</v>
      </c>
      <c r="C10" s="6" t="n">
        <v>1878.9</v>
      </c>
      <c r="D10" s="6" t="n">
        <v>265.2</v>
      </c>
      <c r="E10" s="6" t="n">
        <v>316.4</v>
      </c>
      <c r="F10" s="6" t="n">
        <v>356.1</v>
      </c>
    </row>
    <row r="11">
      <c r="A11" s="6" t="inlineStr">
        <is>
          <t>Stage 2 (lifetime ECL, not credit-impaired)</t>
        </is>
      </c>
      <c r="B11" s="6" t="n">
        <v>1339.1</v>
      </c>
      <c r="C11" s="6" t="n">
        <v>1325.8</v>
      </c>
      <c r="D11" s="6" t="n">
        <v>1.8</v>
      </c>
      <c r="E11" s="6" t="n">
        <v>4.2</v>
      </c>
      <c r="F11" s="6" t="n">
        <v>0.9</v>
      </c>
    </row>
    <row r="12">
      <c r="A12" s="6" t="inlineStr">
        <is>
          <t>Stage 3 (lifetime ECL, credit-impaired)</t>
        </is>
      </c>
      <c r="B12" s="6" t="n">
        <v>4451</v>
      </c>
      <c r="C12" s="6" t="n">
        <v>4552.7</v>
      </c>
      <c r="D12" s="6" t="n">
        <v>2898.1</v>
      </c>
      <c r="E12" s="6" t="n">
        <v>1858.4</v>
      </c>
      <c r="F12" s="6" t="n">
        <v>2107.8</v>
      </c>
    </row>
    <row r="13">
      <c r="A13" s="5" t="inlineStr">
        <is>
          <t>Total ECL provisions across all financial assets</t>
        </is>
      </c>
      <c r="B13" s="5" t="n">
        <v>7472.7</v>
      </c>
      <c r="C13" s="5" t="n">
        <v>7757.3</v>
      </c>
      <c r="D13" s="5" t="n">
        <v>3165</v>
      </c>
      <c r="E13" s="5" t="n">
        <v>2179</v>
      </c>
      <c r="F13" s="5" t="n">
        <v>2464.8</v>
      </c>
    </row>
    <row r="14">
      <c r="A14" s="6" t="inlineStr">
        <is>
          <t>Stage 3 share of total ECL provisions</t>
        </is>
      </c>
      <c r="B14" s="6" t="inlineStr">
        <is>
          <t>59.6%</t>
        </is>
      </c>
      <c r="C14" s="6" t="inlineStr">
        <is>
          <t>58.7%</t>
        </is>
      </c>
      <c r="D14" s="6" t="inlineStr">
        <is>
          <t>91.6%</t>
        </is>
      </c>
      <c r="E14" s="6" t="inlineStr">
        <is>
          <t>85.3%</t>
        </is>
      </c>
      <c r="F14" s="6" t="inlineStr">
        <is>
          <t>85.5%</t>
        </is>
      </c>
    </row>
    <row r="16" ht="440" customHeight="1">
      <c r="A16" s="8" t="inlineStr">
        <is>
          <t>Sources - Bank Sepah International Plc's own Note 10/11 (Loans and advances to customers) and Note 11/12 (IFRS 9 Impairment losses, by stage, all financial asset classes):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Sepah International Plc - KM1 Key Metrics</t>
        </is>
      </c>
    </row>
    <row r="2">
      <c r="A2" s="2" t="inlineStr">
        <is>
          <t>The Bank's own 'Table 1 Summary of Key Metrics', year-end (March) column of each edition - EUR'000 as published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TABLE 1  SUMMARY OF KEY METRICS (the Bank's own caption; amounts in EUR'000)</t>
        </is>
      </c>
      <c r="B4" s="6" t="n"/>
      <c r="C4" s="6" t="n"/>
      <c r="D4" s="6" t="n"/>
      <c r="E4" s="6" t="n"/>
      <c r="F4" s="6" t="n"/>
    </row>
    <row r="5">
      <c r="A5" s="6" t="inlineStr">
        <is>
          <t>CET1 (€'000)</t>
        </is>
      </c>
      <c r="B5" s="6" t="n">
        <v>172779</v>
      </c>
      <c r="C5" s="6" t="n">
        <v>172011</v>
      </c>
      <c r="D5" s="6" t="n">
        <v>172027</v>
      </c>
      <c r="E5" s="6" t="n">
        <v>170751</v>
      </c>
      <c r="F5" s="6" t="n">
        <v>169065</v>
      </c>
    </row>
    <row r="6">
      <c r="A6" s="6" t="inlineStr">
        <is>
          <t>Total Risk Exposure (€'000)</t>
        </is>
      </c>
      <c r="B6" s="6" t="n">
        <v>167006</v>
      </c>
      <c r="C6" s="6" t="n">
        <v>188600</v>
      </c>
      <c r="D6" s="6" t="n">
        <v>208649</v>
      </c>
      <c r="E6" s="6" t="n">
        <v>252734</v>
      </c>
      <c r="F6" s="6" t="n">
        <v>277208</v>
      </c>
    </row>
    <row r="7">
      <c r="A7" s="6" t="inlineStr">
        <is>
          <t>CET1 as a % of TRE</t>
        </is>
      </c>
      <c r="B7" s="6" t="inlineStr">
        <is>
          <t>103%</t>
        </is>
      </c>
      <c r="C7" s="6" t="inlineStr">
        <is>
          <t>91%</t>
        </is>
      </c>
      <c r="D7" s="6" t="inlineStr">
        <is>
          <t>82%</t>
        </is>
      </c>
      <c r="E7" s="6" t="inlineStr">
        <is>
          <t>68%</t>
        </is>
      </c>
      <c r="F7" s="6" t="inlineStr">
        <is>
          <t>61%</t>
        </is>
      </c>
    </row>
    <row r="8">
      <c r="A8" s="6" t="inlineStr">
        <is>
          <t>Capital Conservation Buffer</t>
        </is>
      </c>
      <c r="B8" s="6" t="inlineStr">
        <is>
          <t>2.50%</t>
        </is>
      </c>
      <c r="C8" s="6" t="inlineStr">
        <is>
          <t>2.50%</t>
        </is>
      </c>
      <c r="D8" s="6" t="inlineStr">
        <is>
          <t>2.50%</t>
        </is>
      </c>
      <c r="E8" s="6" t="inlineStr">
        <is>
          <t>2.5%</t>
        </is>
      </c>
      <c r="F8" s="6" t="inlineStr">
        <is>
          <t>2.5%</t>
        </is>
      </c>
    </row>
    <row r="9">
      <c r="A9" s="6" t="inlineStr">
        <is>
          <t>Countercyclical buffer %</t>
        </is>
      </c>
      <c r="B9" s="6" t="inlineStr">
        <is>
          <t>-</t>
        </is>
      </c>
      <c r="C9" s="6" t="inlineStr">
        <is>
          <t>-</t>
        </is>
      </c>
      <c r="D9" s="6" t="inlineStr">
        <is>
          <t>-</t>
        </is>
      </c>
      <c r="E9" s="6" t="inlineStr">
        <is>
          <t>-</t>
        </is>
      </c>
      <c r="F9" s="6" t="inlineStr">
        <is>
          <t>0%</t>
        </is>
      </c>
    </row>
    <row r="10">
      <c r="A10" s="6" t="inlineStr">
        <is>
          <t>CET1 available after meeting Minimum Capital Requirement as a % of TRE</t>
        </is>
      </c>
      <c r="B10" s="6" t="inlineStr">
        <is>
          <t>95%</t>
        </is>
      </c>
      <c r="C10" s="6" t="inlineStr">
        <is>
          <t>83%</t>
        </is>
      </c>
      <c r="D10" s="6" t="inlineStr">
        <is>
          <t>74%</t>
        </is>
      </c>
      <c r="E10" s="6" t="inlineStr">
        <is>
          <t>60%</t>
        </is>
      </c>
      <c r="F10" s="6" t="inlineStr">
        <is>
          <t>53%</t>
        </is>
      </c>
    </row>
    <row r="11">
      <c r="A11" s="6" t="inlineStr">
        <is>
          <t>Leverage ratio</t>
        </is>
      </c>
      <c r="B11" s="6" t="inlineStr">
        <is>
          <t>55%</t>
        </is>
      </c>
      <c r="C11" s="6" t="inlineStr">
        <is>
          <t>55%</t>
        </is>
      </c>
      <c r="D11" s="6" t="inlineStr">
        <is>
          <t>54%</t>
        </is>
      </c>
      <c r="E11" s="6" t="inlineStr">
        <is>
          <t>46%</t>
        </is>
      </c>
      <c r="F11" s="6" t="inlineStr">
        <is>
          <t>47%</t>
        </is>
      </c>
    </row>
    <row r="12">
      <c r="A12" s="6" t="inlineStr">
        <is>
          <t>Total HQLA (€'000)</t>
        </is>
      </c>
      <c r="B12" s="6" t="n">
        <v>19041</v>
      </c>
      <c r="C12" s="6" t="n">
        <v>20009</v>
      </c>
      <c r="D12" s="6" t="n">
        <v>16244</v>
      </c>
      <c r="E12" s="6" t="n">
        <v>14609</v>
      </c>
      <c r="F12" s="6" t="n">
        <v>13585</v>
      </c>
    </row>
    <row r="13">
      <c r="A13" s="6" t="inlineStr">
        <is>
          <t>Cash Outflows (€'000)</t>
        </is>
      </c>
      <c r="B13" s="6" t="n">
        <v>3744</v>
      </c>
      <c r="C13" s="6" t="n">
        <v>2782</v>
      </c>
      <c r="D13" s="6" t="n">
        <v>2778</v>
      </c>
      <c r="E13" s="6" t="n">
        <v>53766</v>
      </c>
      <c r="F13" s="6" t="n"/>
    </row>
    <row r="14">
      <c r="A14" s="6" t="inlineStr">
        <is>
          <t>Cash Inflows (€'000)</t>
        </is>
      </c>
      <c r="B14" s="6" t="n">
        <v>152541</v>
      </c>
      <c r="C14" s="6" t="n">
        <v>158931</v>
      </c>
      <c r="D14" s="6" t="n">
        <v>156620</v>
      </c>
      <c r="E14" s="6" t="n">
        <v>255734</v>
      </c>
      <c r="F14" s="6" t="n"/>
    </row>
    <row r="15">
      <c r="A15" s="6" t="inlineStr">
        <is>
          <t>Total net cash outflows (€'000)</t>
        </is>
      </c>
      <c r="B15" s="6" t="n">
        <v>936</v>
      </c>
      <c r="C15" s="6" t="n">
        <v>696</v>
      </c>
      <c r="D15" s="6" t="n">
        <v>695</v>
      </c>
      <c r="E15" s="6" t="n">
        <v>13419</v>
      </c>
      <c r="F15" s="6" t="n">
        <v>918</v>
      </c>
    </row>
    <row r="16">
      <c r="A16" s="6" t="inlineStr">
        <is>
          <t>LCR %</t>
        </is>
      </c>
      <c r="B16" s="6" t="inlineStr">
        <is>
          <t>2034%</t>
        </is>
      </c>
      <c r="C16" s="6" t="inlineStr">
        <is>
          <t>2877%</t>
        </is>
      </c>
      <c r="D16" s="6" t="inlineStr">
        <is>
          <t>2339%</t>
        </is>
      </c>
      <c r="E16" s="6" t="inlineStr">
        <is>
          <t>109%</t>
        </is>
      </c>
      <c r="F16" s="6" t="inlineStr">
        <is>
          <t>1480%</t>
        </is>
      </c>
    </row>
    <row r="17">
      <c r="A17" s="6" t="inlineStr">
        <is>
          <t>Total available stable funding (€'000)</t>
        </is>
      </c>
      <c r="B17" s="6" t="n">
        <v>306143</v>
      </c>
      <c r="C17" s="6" t="n">
        <v>305367</v>
      </c>
      <c r="D17" s="6" t="n">
        <v>304095</v>
      </c>
      <c r="E17" s="6" t="n">
        <v>302584</v>
      </c>
      <c r="F17" s="6" t="n">
        <v>300254</v>
      </c>
    </row>
    <row r="18">
      <c r="A18" s="6" t="inlineStr">
        <is>
          <t>Total required sable funding (€'000)</t>
        </is>
      </c>
      <c r="B18" s="6" t="n">
        <v>52659</v>
      </c>
      <c r="C18" s="6" t="n">
        <v>80677</v>
      </c>
      <c r="D18" s="6" t="n">
        <v>33914</v>
      </c>
      <c r="E18" s="6" t="n">
        <v>66013</v>
      </c>
      <c r="F18" s="6" t="n">
        <v>81302</v>
      </c>
    </row>
    <row r="19">
      <c r="A19" s="6" t="inlineStr">
        <is>
          <t>NSFR %</t>
        </is>
      </c>
      <c r="B19" s="6" t="inlineStr">
        <is>
          <t>581%</t>
        </is>
      </c>
      <c r="C19" s="6" t="inlineStr">
        <is>
          <t>379%</t>
        </is>
      </c>
      <c r="D19" s="6" t="inlineStr">
        <is>
          <t>897%</t>
        </is>
      </c>
      <c r="E19" s="6" t="inlineStr">
        <is>
          <t>458%</t>
        </is>
      </c>
      <c r="F19" s="6" t="inlineStr">
        <is>
          <t>369%</t>
        </is>
      </c>
    </row>
    <row r="21" ht="620" customHeight="1">
      <c r="A21" s="8" t="inlineStr">
        <is>
          <t>Source - Bank Sepah International Plc's own 'Table 1 Summary of Key Metrics', p.5 of each year's Pillar 3 Disclosures, reproduced exactly as printed: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Pillar 3 Disclosures 31 March 2021, p.5 - https://www.banksepah.co.uk/uploads/documents/Pillar-3-Disclosures-31-March-2021.pdf
AMOUNTS ARE IN EURO THOUSANDS (EUR'000), NOT STERLING. The Bank reports in euro and prints this table headed '€000'. It is reproduced in its published currency and is therefore NOT comparable cell-for-cell with the individual metric sheets in this workbook, which are converted to sterling at the Bank's own disclosed year-end rates (see the FX note on those sheets). No conversion, and no derivation of any kind, has been applied to anything on this sheet.
THE COLUMNS IN THE SOURCE ARE QUARTER-ENDS, NOT YEARS. Each edition prints five columns - its own financial year-end followed by the preceding four quarters (e.g. the March-2025 edition prints Mar 25, Dec 24, Sep 24, Jun 24, Mar 24). The Bank's year-end is 31 MARCH, so only the 'Mar' column of each edition is that financial year, and that is the only column used here. The four quarterly columns are not reproduced.
EACH YEAR COMES FROM ITS OWN EDITION, WHICH MATTERS HERE - the same date is printed differently in different editions, and the own-edition figure is the one used:
  March 2022: Total Risk Exposure 252,734 in the March-2022 edition vs 252,058 as the March-2023 edition's comparative; NSFR 458% vs 459%.
  March 2023: CET1 172,027 and TRE 208,649 in the March-2023 edition vs 171,801 and 209,637 as the March-2024 edition's comparatives.
  March 2024: LCR 2877% in the March-2024 edition vs 2875% as the March-2025 edition's comparative.
ROW-SET NOTE. The Bank captions this 'Summary of Key Metrics' and prints no template row numbers. It carries the backbone of the KM1 template - capital, total risk exposure, the capital ratio, the conservation and countercyclical buffers, CET1 available after the minimum requirement, the leverage ratio, the LCR with its HQLA/outflow/inflow components, and the NSFR with its available/required stable funding components - but it does NOT print separate Tier 1 or Total capital rows (the Bank has no AT1 or Tier 2 instruments, so CET1 = Tier 1 = Total capital), nor a leverage exposure measure, nor the SREP or combined-buffer blocks. Row labels are reproduced exactly as the Bank prints them, including 'Total required sable funding', which is spelled that way - missing the 't' - in all five editions. Because these labels are the Bank's own rather than the template's, the workbook verifier's KM1 cross-check matches none of them and reports zero cross-checked cells for this sheet. That is the expected result, not a failure: the rows were not renamed to force agreement.
ROW DIFFERENCES BETWEEN EDITIONS (a row not printed is left blank, never filled from another year): the March-2021 edition prints neither a 'Cash Outflows' nor a 'Cash Inflows' row, and labels its net figure 'Total net cash outflow' in the singular. It also prints the countercyclical buffer as 0%, where every later edition prints a dash - so FY2021 carries a zero and the other four years carry that dash. The two are deliberately not the same cell: at March 2021 the Bank measured its countercyclical buffer and reported nil, and from March 2022 onward it printed a dash instead, saying the line did not apply to it. Flattening both to an empty cell, or both to a zero, would erase a change the Bank itself made. Verified 2026-09-18 by retrieving all five editions and reading each year from its own Table 1, printed page 5, first column (each edition also prints the four preceding quarter-ends, which are not used here).
LATEST-EDITION CHECK, 2026-09-16: the Bank's own documents page (https://www.banksepah.co.uk/information) lists the March 2023, March 2024 and March 2025 Pillar 3 disclosures; March 2025 is the newest and this workbook already holds it. No March-2026 edition has been published. Note that the page no longer links the March-2021 or March-2022 editions even though both URLs still serve the documents, so the citation list above is a better record of what exists than the live page is. Retrieval requires certificate validation to be bypassed - the site's TLS certificate is expired, which makes a default fetch fail with no HTTP status at all; that is a certificate-date problem, not a dead link (see the expired-certificate note elsewhere in this workbook).
ENTITY: Bank Sepah International Plc, the UK-authorised bank, on its own solo basis. No parent figure is used anywhere on this sheet.</t>
        </is>
      </c>
    </row>
  </sheetData>
  <mergeCells count="1">
    <mergeCell ref="A21:F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139.5</v>
      </c>
      <c r="C4" s="6" t="n">
        <v>161.2</v>
      </c>
      <c r="D4" s="6" t="n">
        <v>184.1</v>
      </c>
      <c r="E4" s="6" t="n">
        <v>213.7</v>
      </c>
      <c r="F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Sepah International Plc — RWA Breakdown</t>
        </is>
      </c>
    </row>
    <row r="2">
      <c r="A2" s="2" t="inlineStr">
        <is>
          <t>£m (conv. from EUR) — risk type split, as disclosed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6" t="inlineStr">
        <is>
          <t>Credit risk</t>
        </is>
      </c>
      <c r="B4" s="6" t="n">
        <v>124.6</v>
      </c>
      <c r="C4" s="6" t="n">
        <v>146.7</v>
      </c>
      <c r="D4" s="6" t="n">
        <v>171.5</v>
      </c>
      <c r="E4" s="6" t="n">
        <v>202.6</v>
      </c>
      <c r="F4" s="6" t="n">
        <v>225.3</v>
      </c>
    </row>
    <row r="5">
      <c r="A5" s="6" t="inlineStr">
        <is>
          <t>Market risk</t>
        </is>
      </c>
      <c r="B5" s="6" t="n">
        <v>3</v>
      </c>
      <c r="C5" s="6" t="n">
        <v>2.2</v>
      </c>
      <c r="D5" s="6" t="n">
        <v>1.5</v>
      </c>
      <c r="E5" s="6" t="n">
        <v>1.2</v>
      </c>
      <c r="F5" s="6" t="n">
        <v>1.4</v>
      </c>
    </row>
    <row r="6">
      <c r="A6" s="6" t="inlineStr">
        <is>
          <t>Operational risk</t>
        </is>
      </c>
      <c r="B6" s="6" t="n">
        <v>12</v>
      </c>
      <c r="C6" s="6" t="n">
        <v>12.3</v>
      </c>
      <c r="D6" s="6" t="n">
        <v>11.1</v>
      </c>
      <c r="E6" s="6" t="n">
        <v>9.9</v>
      </c>
      <c r="F6" s="6" t="n">
        <v>9.5</v>
      </c>
    </row>
    <row r="7">
      <c r="A7" s="5" t="inlineStr">
        <is>
          <t>Total Risk Exposure</t>
        </is>
      </c>
      <c r="B7" s="5" t="n">
        <v>139.5</v>
      </c>
      <c r="C7" s="5" t="n">
        <v>161.2</v>
      </c>
      <c r="D7" s="5" t="n">
        <v>184.1</v>
      </c>
      <c r="E7" s="5" t="n">
        <v>213.7</v>
      </c>
      <c r="F7" s="5" t="n">
        <v>236.2</v>
      </c>
    </row>
    <row r="9" ht="62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55%</t>
        </is>
      </c>
      <c r="C4" s="6" t="inlineStr">
        <is>
          <t>55%</t>
        </is>
      </c>
      <c r="D4" s="6" t="inlineStr">
        <is>
          <t>54%</t>
        </is>
      </c>
      <c r="E4" s="6" t="inlineStr">
        <is>
          <t>46%</t>
        </is>
      </c>
      <c r="F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2034%</t>
        </is>
      </c>
      <c r="C4" s="6" t="inlineStr">
        <is>
          <t>2877%</t>
        </is>
      </c>
      <c r="D4" s="6" t="inlineStr">
        <is>
          <t>2339%</t>
        </is>
      </c>
      <c r="E4" s="6" t="inlineStr">
        <is>
          <t>109%</t>
        </is>
      </c>
      <c r="F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581%</t>
        </is>
      </c>
      <c r="C4" s="6" t="inlineStr">
        <is>
          <t>379%</t>
        </is>
      </c>
      <c r="D4" s="6" t="inlineStr">
        <is>
          <t>897%</t>
        </is>
      </c>
      <c r="E4" s="6" t="inlineStr">
        <is>
          <t>458%</t>
        </is>
      </c>
      <c r="F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No standalone FY2021 Pillar 3 document was found.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2026-09-18T13:12:50Z</dcterms:created>
  <dcterms:modified xmlns:dcterms="http://purl.org/dc/terms/" xmlns:xsi="http://www.w3.org/2001/XMLSchema-instance" xsi:type="dcterms:W3CDTF">2026-09-18T13:12:50Z</dcterms:modified>
</cp:coreProperties>
</file>