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355070"/>
        <bgColor rgb="0035507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Arab Bank Europe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'Overview'!H6</f>
            </strRef>
          </tx>
          <spPr>
            <a:ln xmlns:a="http://schemas.openxmlformats.org/drawingml/2006/main">
              <a:prstDash val="solid"/>
            </a:ln>
          </spPr>
          <cat>
            <numRef>
              <f>'Overview'!$I$5:$L$5</f>
            </numRef>
          </cat>
          <val>
            <numRef>
              <f>'Overview'!$I$6:$L$6</f>
            </numRef>
          </val>
        </ser>
        <ser>
          <idx val="1"/>
          <order val="1"/>
          <tx>
            <strRef>
              <f>'Overview'!H7</f>
            </strRef>
          </tx>
          <spPr>
            <a:ln xmlns:a="http://schemas.openxmlformats.org/drawingml/2006/main">
              <a:prstDash val="solid"/>
            </a:ln>
          </spPr>
          <cat>
            <numRef>
              <f>'Overview'!$I$5:$L$5</f>
            </numRef>
          </cat>
          <val>
            <numRef>
              <f>'Overview'!$I$7:$L$7</f>
            </numRef>
          </val>
        </ser>
        <ser>
          <idx val="2"/>
          <order val="2"/>
          <tx>
            <strRef>
              <f>'Overview'!H8</f>
            </strRef>
          </tx>
          <spPr>
            <a:ln xmlns:a="http://schemas.openxmlformats.org/drawingml/2006/main">
              <a:prstDash val="solid"/>
            </a:ln>
          </spPr>
          <cat>
            <numRef>
              <f>'Overview'!$I$5:$L$5</f>
            </numRef>
          </cat>
          <val>
            <numRef>
              <f>'Overview'!$I$8:$L$8</f>
            </numRef>
          </val>
        </ser>
        <ser>
          <idx val="3"/>
          <order val="3"/>
          <tx>
            <strRef>
              <f>'Overview'!H9</f>
            </strRef>
          </tx>
          <spPr>
            <a:ln xmlns:a="http://schemas.openxmlformats.org/drawingml/2006/main">
              <a:prstDash val="solid"/>
            </a:ln>
          </spPr>
          <cat>
            <numRef>
              <f>'Overview'!$I$5:$L$5</f>
            </numRef>
          </cat>
          <val>
            <numRef>
              <f>'Overview'!$I$9:$L$9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Arab Bank Europe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'Overview'!O13</f>
            </strRef>
          </tx>
          <spPr>
            <a:ln xmlns:a="http://schemas.openxmlformats.org/drawingml/2006/main">
              <a:prstDash val="solid"/>
            </a:ln>
          </spPr>
          <cat>
            <numRef>
              <f>'Overview'!$P$12:$S$12</f>
            </numRef>
          </cat>
          <val>
            <numRef>
              <f>'Overview'!$P$13:$S$13</f>
            </numRef>
          </val>
        </ser>
        <ser>
          <idx val="1"/>
          <order val="1"/>
          <tx>
            <strRef>
              <f>'Overview'!O14</f>
            </strRef>
          </tx>
          <spPr>
            <a:ln xmlns:a="http://schemas.openxmlformats.org/drawingml/2006/main">
              <a:prstDash val="solid"/>
            </a:ln>
          </spPr>
          <cat>
            <numRef>
              <f>'Overview'!$P$12:$S$12</f>
            </numRef>
          </cat>
          <val>
            <numRef>
              <f>'Overview'!$P$14:$S$14</f>
            </numRef>
          </val>
        </ser>
        <ser>
          <idx val="2"/>
          <order val="2"/>
          <tx>
            <strRef>
              <f>'Overview'!O15</f>
            </strRef>
          </tx>
          <spPr>
            <a:ln xmlns:a="http://schemas.openxmlformats.org/drawingml/2006/main">
              <a:prstDash val="solid"/>
            </a:ln>
          </spPr>
          <cat>
            <numRef>
              <f>'Overview'!$P$12:$S$12</f>
            </numRef>
          </cat>
          <val>
            <numRef>
              <f>'Overview'!$P$15:$S$15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Arab Bank Europe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'Overview'!V19</f>
            </strRef>
          </tx>
          <spPr>
            <a:ln xmlns:a="http://schemas.openxmlformats.org/drawingml/2006/main">
              <a:prstDash val="solid"/>
            </a:ln>
          </spPr>
          <cat>
            <numRef>
              <f>'Overview'!$W$18:$Z$18</f>
            </numRef>
          </cat>
          <val>
            <numRef>
              <f>'Overview'!$W$19:$Z$19</f>
            </numRef>
          </val>
        </ser>
        <ser>
          <idx val="1"/>
          <order val="1"/>
          <tx>
            <strRef>
              <f>'Overview'!V20</f>
            </strRef>
          </tx>
          <spPr>
            <a:ln xmlns:a="http://schemas.openxmlformats.org/drawingml/2006/main">
              <a:prstDash val="solid"/>
            </a:ln>
          </spPr>
          <cat>
            <numRef>
              <f>'Overview'!$W$18:$Z$18</f>
            </numRef>
          </cat>
          <val>
            <numRef>
              <f>'Overview'!$W$20:$Z$20</f>
            </numRef>
          </val>
        </ser>
        <ser>
          <idx val="2"/>
          <order val="2"/>
          <tx>
            <strRef>
              <f>'Overview'!V21</f>
            </strRef>
          </tx>
          <spPr>
            <a:ln xmlns:a="http://schemas.openxmlformats.org/drawingml/2006/main">
              <a:prstDash val="solid"/>
            </a:ln>
          </spPr>
          <cat>
            <numRef>
              <f>'Overview'!$W$18:$Z$18</f>
            </numRef>
          </cat>
          <val>
            <numRef>
              <f>'Overview'!$W$21:$Z$21</f>
            </numRef>
          </val>
        </ser>
        <ser>
          <idx val="3"/>
          <order val="3"/>
          <tx>
            <strRef>
              <f>'Overview'!V22</f>
            </strRef>
          </tx>
          <spPr>
            <a:ln xmlns:a="http://schemas.openxmlformats.org/drawingml/2006/main">
              <a:prstDash val="solid"/>
            </a:ln>
          </spPr>
          <cat>
            <numRef>
              <f>'Overview'!$W$18:$Z$18</f>
            </numRef>
          </cat>
          <val>
            <numRef>
              <f>'Overview'!$W$22:$Z$22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Arab Bank Europe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'Overview'!AC26</f>
            </strRef>
          </tx>
          <spPr>
            <a:ln xmlns:a="http://schemas.openxmlformats.org/drawingml/2006/main">
              <a:prstDash val="solid"/>
            </a:ln>
          </spPr>
          <cat>
            <numRef>
              <f>'Overview'!$AD$25:$AG$25</f>
            </numRef>
          </cat>
          <val>
            <numRef>
              <f>'Overview'!$AD$26:$AG$26</f>
            </numRef>
          </val>
        </ser>
        <ser>
          <idx val="1"/>
          <order val="1"/>
          <tx>
            <strRef>
              <f>'Overview'!AC27</f>
            </strRef>
          </tx>
          <spPr>
            <a:ln xmlns:a="http://schemas.openxmlformats.org/drawingml/2006/main">
              <a:prstDash val="solid"/>
            </a:ln>
          </spPr>
          <cat>
            <numRef>
              <f>'Overview'!$AD$25:$AG$25</f>
            </numRef>
          </cat>
          <val>
            <numRef>
              <f>'Overview'!$AD$27:$AG$27</f>
            </numRef>
          </val>
        </ser>
        <ser>
          <idx val="2"/>
          <order val="2"/>
          <tx>
            <strRef>
              <f>'Overview'!AC28</f>
            </strRef>
          </tx>
          <spPr>
            <a:ln xmlns:a="http://schemas.openxmlformats.org/drawingml/2006/main">
              <a:prstDash val="solid"/>
            </a:ln>
          </spPr>
          <cat>
            <numRef>
              <f>'Overview'!$AD$25:$AG$25</f>
            </numRef>
          </cat>
          <val>
            <numRef>
              <f>'Overview'!$AD$28:$AG$28</f>
            </numRef>
          </val>
        </ser>
        <ser>
          <idx val="3"/>
          <order val="3"/>
          <tx>
            <strRef>
              <f>'Overview'!AC29</f>
            </strRef>
          </tx>
          <spPr>
            <a:ln xmlns:a="http://schemas.openxmlformats.org/drawingml/2006/main">
              <a:prstDash val="solid"/>
            </a:ln>
          </spPr>
          <cat>
            <numRef>
              <f>'Overview'!$AD$25:$AG$25</f>
            </numRef>
          </cat>
          <val>
            <numRef>
              <f>'Overview'!$AD$29:$AG$29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 (conv. from EUR)</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Arab Bank Europe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'Overview'!AJ6</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'Overview'!$AK$6:$AN$6</f>
            </numRef>
          </val>
          <smooth val="0"/>
        </ser>
        <ser>
          <idx val="1"/>
          <order val="1"/>
          <tx>
            <strRef>
              <f>'Overview'!AJ7</f>
            </strRef>
          </tx>
          <spPr>
            <a:ln xmlns:a="http://schemas.openxmlformats.org/drawingml/2006/main">
              <a:prstDash val="solid"/>
            </a:ln>
          </spPr>
          <marker>
            <symbol val="none"/>
            <spPr>
              <a:ln xmlns:a="http://schemas.openxmlformats.org/drawingml/2006/main">
                <a:prstDash val="solid"/>
              </a:ln>
            </spPr>
          </marker>
          <cat>
            <numRef>
              <f>'Overview'!$AK$5:$AN$5</f>
            </numRef>
          </cat>
          <val>
            <numRef>
              <f>'Overview'!$AK$7:$AN$7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N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hidden="1" width="13" customWidth="1" min="8" max="8"/>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s>
  <sheetData>
    <row r="1">
      <c r="A1" s="1" t="inlineStr">
        <is>
          <t>Arab Bank Europe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 (conv. from EUR))</t>
        </is>
      </c>
    </row>
    <row r="5">
      <c r="A5" s="4" t="inlineStr">
        <is>
          <t>Line item</t>
        </is>
      </c>
      <c r="B5" s="4" t="inlineStr">
        <is>
          <t>FY2024</t>
        </is>
      </c>
      <c r="C5" s="4" t="inlineStr">
        <is>
          <t>FY2023</t>
        </is>
      </c>
      <c r="D5" s="4" t="inlineStr">
        <is>
          <t>FY2022</t>
        </is>
      </c>
      <c r="E5" s="4" t="inlineStr">
        <is>
          <t>FY2021</t>
        </is>
      </c>
      <c r="I5" t="inlineStr">
        <is>
          <t>FY2021</t>
        </is>
      </c>
      <c r="J5" t="inlineStr">
        <is>
          <t>FY2022</t>
        </is>
      </c>
      <c r="K5" t="inlineStr">
        <is>
          <t>FY2023</t>
        </is>
      </c>
      <c r="L5" t="inlineStr">
        <is>
          <t>FY2024</t>
        </is>
      </c>
      <c r="AK5" t="inlineStr">
        <is>
          <t>FY2021</t>
        </is>
      </c>
      <c r="AL5" t="inlineStr">
        <is>
          <t>FY2022</t>
        </is>
      </c>
      <c r="AM5" t="inlineStr">
        <is>
          <t>FY2023</t>
        </is>
      </c>
      <c r="AN5" t="inlineStr">
        <is>
          <t>FY2024</t>
        </is>
      </c>
    </row>
    <row r="6">
      <c r="A6" s="5" t="inlineStr">
        <is>
          <t>Total assets</t>
        </is>
      </c>
      <c r="B6" s="5" t="n">
        <v>2058247</v>
      </c>
      <c r="C6" s="5" t="n">
        <v>1944501.3</v>
      </c>
      <c r="D6" s="5" t="n">
        <v>1918129.8</v>
      </c>
      <c r="E6" s="5" t="n">
        <v>1901112.8</v>
      </c>
      <c r="H6" t="inlineStr">
        <is>
          <t>Total assets</t>
        </is>
      </c>
      <c r="I6" t="n">
        <v>1901112.8</v>
      </c>
      <c r="J6" t="n">
        <v>1918129.8</v>
      </c>
      <c r="K6" t="n">
        <v>1944501.3</v>
      </c>
      <c r="L6" t="n">
        <v>2058247</v>
      </c>
      <c r="AJ6" t="inlineStr">
        <is>
          <t>CET1 Ratio</t>
        </is>
      </c>
      <c r="AK6" t="n">
        <v>15.6</v>
      </c>
      <c r="AL6" t="n">
        <v>15.5</v>
      </c>
      <c r="AM6" t="n">
        <v>17</v>
      </c>
      <c r="AN6" t="n">
        <v>16</v>
      </c>
    </row>
    <row r="7">
      <c r="A7" s="5" t="inlineStr">
        <is>
          <t>Loans and advances to customers</t>
        </is>
      </c>
      <c r="B7" s="5" t="n">
        <v>846188.9</v>
      </c>
      <c r="C7" s="5" t="n">
        <v>807091.6</v>
      </c>
      <c r="D7" s="5" t="n">
        <v>743437.1</v>
      </c>
      <c r="E7" s="5" t="n">
        <v>772523.7</v>
      </c>
      <c r="H7" t="inlineStr">
        <is>
          <t>Loans and advances to customers</t>
        </is>
      </c>
      <c r="I7" t="n">
        <v>772523.7</v>
      </c>
      <c r="J7" t="n">
        <v>743437.1</v>
      </c>
      <c r="K7" t="n">
        <v>807091.6</v>
      </c>
      <c r="L7" t="n">
        <v>846188.9</v>
      </c>
      <c r="AJ7" t="inlineStr">
        <is>
          <t>Total Capital Ratio</t>
        </is>
      </c>
      <c r="AK7" t="n">
        <v>22.4</v>
      </c>
      <c r="AL7" t="n">
        <v>22.7</v>
      </c>
      <c r="AM7" t="n">
        <v>24</v>
      </c>
      <c r="AN7" t="n">
        <v>23</v>
      </c>
    </row>
    <row r="8">
      <c r="A8" s="5" t="inlineStr">
        <is>
          <t>Customer accounts</t>
        </is>
      </c>
      <c r="B8" s="5" t="n">
        <v>1207304.7</v>
      </c>
      <c r="C8" s="5" t="n">
        <v>1065487.5</v>
      </c>
      <c r="D8" s="5" t="n">
        <v>1109292.4</v>
      </c>
      <c r="E8" s="5" t="n">
        <v>977999.5</v>
      </c>
      <c r="H8" t="inlineStr">
        <is>
          <t>Customer accounts</t>
        </is>
      </c>
      <c r="I8" t="n">
        <v>977999.5</v>
      </c>
      <c r="J8" t="n">
        <v>1109292.4</v>
      </c>
      <c r="K8" t="n">
        <v>1065487.5</v>
      </c>
      <c r="L8" t="n">
        <v>1207304.7</v>
      </c>
    </row>
    <row r="9">
      <c r="A9" s="5" t="inlineStr">
        <is>
          <t>Total equity</t>
        </is>
      </c>
      <c r="B9" s="5" t="n">
        <v>265446.7</v>
      </c>
      <c r="C9" s="5" t="n">
        <v>265457.1</v>
      </c>
      <c r="D9" s="5" t="n">
        <v>262351.7</v>
      </c>
      <c r="E9" s="5" t="n">
        <v>246273.6</v>
      </c>
      <c r="H9" t="inlineStr">
        <is>
          <t>Total equity</t>
        </is>
      </c>
      <c r="I9" t="n">
        <v>246273.6</v>
      </c>
      <c r="J9" t="n">
        <v>262351.7</v>
      </c>
      <c r="K9" t="n">
        <v>265457.1</v>
      </c>
      <c r="L9" t="n">
        <v>265446.7</v>
      </c>
    </row>
    <row r="11">
      <c r="A11" s="3" t="inlineStr">
        <is>
          <t>Profit &amp; Loss Summary (£'000 (conv. from EUR))</t>
        </is>
      </c>
    </row>
    <row r="12">
      <c r="A12" s="4" t="inlineStr">
        <is>
          <t>Line item</t>
        </is>
      </c>
      <c r="B12" s="4" t="inlineStr">
        <is>
          <t>FY2024</t>
        </is>
      </c>
      <c r="C12" s="4" t="inlineStr">
        <is>
          <t>FY2023</t>
        </is>
      </c>
      <c r="D12" s="4" t="inlineStr">
        <is>
          <t>FY2022</t>
        </is>
      </c>
      <c r="E12" s="4" t="inlineStr">
        <is>
          <t>FY2021</t>
        </is>
      </c>
      <c r="P12" t="inlineStr">
        <is>
          <t>FY2021</t>
        </is>
      </c>
      <c r="Q12" t="inlineStr">
        <is>
          <t>FY2022</t>
        </is>
      </c>
      <c r="R12" t="inlineStr">
        <is>
          <t>FY2023</t>
        </is>
      </c>
      <c r="S12" t="inlineStr">
        <is>
          <t>FY2024</t>
        </is>
      </c>
    </row>
    <row r="13">
      <c r="A13" s="5" t="inlineStr">
        <is>
          <t>Net Operating Income</t>
        </is>
      </c>
      <c r="B13" s="5" t="n">
        <v>54820.7</v>
      </c>
      <c r="C13" s="5" t="n">
        <v>50014.8</v>
      </c>
      <c r="D13" s="5" t="n">
        <v>36361.7</v>
      </c>
      <c r="E13" s="5" t="n">
        <v>28670.5</v>
      </c>
      <c r="O13" t="inlineStr">
        <is>
          <t>Net Operating Income</t>
        </is>
      </c>
      <c r="P13" t="n">
        <v>28670.5</v>
      </c>
      <c r="Q13" t="n">
        <v>36361.7</v>
      </c>
      <c r="R13" t="n">
        <v>50014.8</v>
      </c>
      <c r="S13" t="n">
        <v>54820.7</v>
      </c>
    </row>
    <row r="14">
      <c r="A14" s="5" t="inlineStr">
        <is>
          <t>Total operating expenses before impairment losses</t>
        </is>
      </c>
      <c r="B14" s="5" t="n">
        <v>-33808.4</v>
      </c>
      <c r="C14" s="5" t="n">
        <v>-35094.6</v>
      </c>
      <c r="D14" s="5" t="n">
        <v>-32303.5</v>
      </c>
      <c r="E14" s="5" t="n">
        <v>-27154.3</v>
      </c>
      <c r="O14" t="inlineStr">
        <is>
          <t>Total operating expenses before impairment losses</t>
        </is>
      </c>
      <c r="P14" t="n">
        <v>-27154.3</v>
      </c>
      <c r="Q14" t="n">
        <v>-32303.5</v>
      </c>
      <c r="R14" t="n">
        <v>-35094.6</v>
      </c>
      <c r="S14" t="n">
        <v>-33808.4</v>
      </c>
    </row>
    <row r="15">
      <c r="A15" s="5" t="inlineStr">
        <is>
          <t>Profit for the year</t>
        </is>
      </c>
      <c r="B15" s="5" t="n">
        <v>14266.7</v>
      </c>
      <c r="C15" s="5" t="n">
        <v>9698.799999999999</v>
      </c>
      <c r="D15" s="5" t="n">
        <v>10596.6</v>
      </c>
      <c r="E15" s="5" t="n">
        <v>654.5</v>
      </c>
      <c r="O15" t="inlineStr">
        <is>
          <t>Profit for the year</t>
        </is>
      </c>
      <c r="P15" t="n">
        <v>654.5</v>
      </c>
      <c r="Q15" t="n">
        <v>10596.6</v>
      </c>
      <c r="R15" t="n">
        <v>9698.799999999999</v>
      </c>
      <c r="S15" t="n">
        <v>14266.7</v>
      </c>
    </row>
    <row r="17">
      <c r="A17" s="3" t="inlineStr">
        <is>
          <t>Statement of Changes in Equity Summary (£'000 (conv. from EUR))</t>
        </is>
      </c>
    </row>
    <row r="18">
      <c r="A18" s="4" t="inlineStr">
        <is>
          <t>Line item</t>
        </is>
      </c>
      <c r="B18" s="4" t="inlineStr">
        <is>
          <t>FY2024</t>
        </is>
      </c>
      <c r="C18" s="4" t="inlineStr">
        <is>
          <t>FY2023</t>
        </is>
      </c>
      <c r="D18" s="4" t="inlineStr">
        <is>
          <t>FY2022</t>
        </is>
      </c>
      <c r="E18" s="4" t="inlineStr">
        <is>
          <t>FY2021</t>
        </is>
      </c>
      <c r="W18" t="inlineStr">
        <is>
          <t>FY2021</t>
        </is>
      </c>
      <c r="X18" t="inlineStr">
        <is>
          <t>FY2022</t>
        </is>
      </c>
      <c r="Y18" t="inlineStr">
        <is>
          <t>FY2023</t>
        </is>
      </c>
      <c r="Z18" t="inlineStr">
        <is>
          <t>FY2024</t>
        </is>
      </c>
    </row>
    <row r="19">
      <c r="A19" s="5" t="inlineStr">
        <is>
          <t>Opening equity</t>
        </is>
      </c>
      <c r="B19" s="5" t="n">
        <v>265457.1</v>
      </c>
      <c r="C19" s="5" t="n">
        <v>262351.7</v>
      </c>
      <c r="D19" s="5" t="n">
        <v>246273.6</v>
      </c>
      <c r="E19" s="5" t="n">
        <v>247635.4</v>
      </c>
      <c r="V19" t="inlineStr">
        <is>
          <t>Opening equity</t>
        </is>
      </c>
      <c r="W19" t="n">
        <v>247635.4</v>
      </c>
      <c r="X19" t="n">
        <v>246273.6</v>
      </c>
      <c r="Y19" t="n">
        <v>262351.7</v>
      </c>
      <c r="Z19" t="n">
        <v>265457.1</v>
      </c>
    </row>
    <row r="20">
      <c r="A20" s="5" t="inlineStr">
        <is>
          <t>Total comprehensive income</t>
        </is>
      </c>
      <c r="B20" s="5" t="n">
        <v>12561.7</v>
      </c>
      <c r="C20" s="5" t="n">
        <v>9077.299999999999</v>
      </c>
      <c r="D20" s="5" t="n">
        <v>2230.9</v>
      </c>
      <c r="E20" s="5" t="n">
        <v>15408.5</v>
      </c>
      <c r="V20" t="inlineStr">
        <is>
          <t>Total comprehensive income</t>
        </is>
      </c>
      <c r="W20" t="n">
        <v>15408.5</v>
      </c>
      <c r="X20" t="n">
        <v>2230.9</v>
      </c>
      <c r="Y20" t="n">
        <v>9077.299999999999</v>
      </c>
      <c r="Z20" t="n">
        <v>12561.7</v>
      </c>
    </row>
    <row r="21">
      <c r="A21" s="5" t="inlineStr">
        <is>
          <t>Other movements, net</t>
        </is>
      </c>
      <c r="B21" s="5" t="n">
        <v>-12572.1</v>
      </c>
      <c r="C21" s="5" t="n">
        <v>-5971.9</v>
      </c>
      <c r="D21" s="5" t="n">
        <v>13847.2</v>
      </c>
      <c r="E21" s="5" t="n">
        <v>-16770.3</v>
      </c>
      <c r="V21" t="inlineStr">
        <is>
          <t>Other movements, net</t>
        </is>
      </c>
      <c r="W21" t="n">
        <v>-16770.3</v>
      </c>
      <c r="X21" t="n">
        <v>13847.2</v>
      </c>
      <c r="Y21" t="n">
        <v>-5971.9</v>
      </c>
      <c r="Z21" t="n">
        <v>-12572.1</v>
      </c>
    </row>
    <row r="22">
      <c r="A22" s="5" t="inlineStr">
        <is>
          <t>Closing equity</t>
        </is>
      </c>
      <c r="B22" s="5" t="n">
        <v>265446.7</v>
      </c>
      <c r="C22" s="5" t="n">
        <v>265457.1</v>
      </c>
      <c r="D22" s="5" t="n">
        <v>262351.7</v>
      </c>
      <c r="E22" s="5" t="n">
        <v>246273.6</v>
      </c>
      <c r="V22" t="inlineStr">
        <is>
          <t>Closing equity</t>
        </is>
      </c>
      <c r="W22" t="n">
        <v>246273.6</v>
      </c>
      <c r="X22" t="n">
        <v>262351.7</v>
      </c>
      <c r="Y22" t="n">
        <v>265457.1</v>
      </c>
      <c r="Z22" t="n">
        <v>265446.7</v>
      </c>
    </row>
    <row r="24">
      <c r="A24" s="3" t="inlineStr">
        <is>
          <t>Cash Flow Summary (£'000 (conv. from EUR))</t>
        </is>
      </c>
    </row>
    <row r="25">
      <c r="A25" s="4" t="inlineStr">
        <is>
          <t>Line item</t>
        </is>
      </c>
      <c r="B25" s="4" t="inlineStr">
        <is>
          <t>FY2024</t>
        </is>
      </c>
      <c r="C25" s="4" t="inlineStr">
        <is>
          <t>FY2023</t>
        </is>
      </c>
      <c r="D25" s="4" t="inlineStr">
        <is>
          <t>FY2022</t>
        </is>
      </c>
      <c r="E25" s="4" t="inlineStr">
        <is>
          <t>FY2021</t>
        </is>
      </c>
      <c r="AD25" t="inlineStr">
        <is>
          <t>FY2021</t>
        </is>
      </c>
      <c r="AE25" t="inlineStr">
        <is>
          <t>FY2022</t>
        </is>
      </c>
      <c r="AF25" t="inlineStr">
        <is>
          <t>FY2023</t>
        </is>
      </c>
      <c r="AG25" t="inlineStr">
        <is>
          <t>FY2024</t>
        </is>
      </c>
    </row>
    <row r="26">
      <c r="A26" s="5" t="inlineStr">
        <is>
          <t>Net cash (outflows)/inflows from operating activities</t>
        </is>
      </c>
      <c r="B26" s="5" t="n">
        <v>126952.8</v>
      </c>
      <c r="C26" s="5" t="n">
        <v>15006.1</v>
      </c>
      <c r="D26" s="5" t="n">
        <v>-8642.1</v>
      </c>
      <c r="E26" s="5" t="n">
        <v>35831.6</v>
      </c>
      <c r="AC26" t="inlineStr">
        <is>
          <t>Net cash (outflows)/inflows from operating activities</t>
        </is>
      </c>
      <c r="AD26" t="n">
        <v>35831.6</v>
      </c>
      <c r="AE26" t="n">
        <v>-8642.1</v>
      </c>
      <c r="AF26" t="n">
        <v>15006.1</v>
      </c>
      <c r="AG26" t="n">
        <v>126952.8</v>
      </c>
    </row>
    <row r="27">
      <c r="A27" s="5" t="inlineStr">
        <is>
          <t>Net cash (outflows)/inflows from investing activities</t>
        </is>
      </c>
      <c r="B27" s="5" t="n">
        <v>-98440.5</v>
      </c>
      <c r="C27" s="5" t="n">
        <v>62012.2</v>
      </c>
      <c r="D27" s="5" t="n">
        <v>-3284.1</v>
      </c>
      <c r="E27" s="5" t="n">
        <v>-1439.6</v>
      </c>
      <c r="AC27" t="inlineStr">
        <is>
          <t>Net cash (outflows)/inflows from investing activities</t>
        </is>
      </c>
      <c r="AD27" t="n">
        <v>-1439.6</v>
      </c>
      <c r="AE27" t="n">
        <v>-3284.1</v>
      </c>
      <c r="AF27" t="n">
        <v>62012.2</v>
      </c>
      <c r="AG27" t="n">
        <v>-98440.5</v>
      </c>
    </row>
    <row r="28">
      <c r="A28" s="5" t="inlineStr">
        <is>
          <t>Net cash outflows from financing activities</t>
        </is>
      </c>
      <c r="B28" s="5" t="n">
        <v>-996.3</v>
      </c>
      <c r="C28" s="5" t="n">
        <v>-697</v>
      </c>
      <c r="D28" s="5" t="n">
        <v>-1147.1</v>
      </c>
      <c r="E28" s="5" t="n">
        <v>-1148.1</v>
      </c>
      <c r="AC28" t="inlineStr">
        <is>
          <t>Net cash outflows from financing activities</t>
        </is>
      </c>
      <c r="AD28" t="n">
        <v>-1148.1</v>
      </c>
      <c r="AE28" t="n">
        <v>-1147.1</v>
      </c>
      <c r="AF28" t="n">
        <v>-697</v>
      </c>
      <c r="AG28" t="n">
        <v>-996.3</v>
      </c>
    </row>
    <row r="29">
      <c r="A29" s="5" t="inlineStr">
        <is>
          <t>Cash and cash equivalents at 31 December</t>
        </is>
      </c>
      <c r="B29" s="5" t="n">
        <v>544747.5</v>
      </c>
      <c r="C29" s="5" t="n">
        <v>542989</v>
      </c>
      <c r="D29" s="5" t="n">
        <v>140867.3</v>
      </c>
      <c r="E29" s="5" t="n">
        <v>146278.7</v>
      </c>
      <c r="AC29" t="inlineStr">
        <is>
          <t>Cash and cash equivalents at 31 December</t>
        </is>
      </c>
      <c r="AD29" t="n">
        <v>146278.7</v>
      </c>
      <c r="AE29" t="n">
        <v>140867.3</v>
      </c>
      <c r="AF29" t="n">
        <v>542989</v>
      </c>
      <c r="AG29" t="n">
        <v>544747.5</v>
      </c>
    </row>
    <row r="31">
      <c r="A31" s="3" t="inlineStr">
        <is>
          <t>Pillar 3 Key Metrics</t>
        </is>
      </c>
    </row>
    <row r="32">
      <c r="A32" s="4" t="inlineStr">
        <is>
          <t>Line item</t>
        </is>
      </c>
      <c r="B32" s="4" t="inlineStr">
        <is>
          <t>FY2024</t>
        </is>
      </c>
      <c r="C32" s="4" t="inlineStr">
        <is>
          <t>FY2023</t>
        </is>
      </c>
      <c r="D32" s="4" t="inlineStr">
        <is>
          <t>FY2022</t>
        </is>
      </c>
      <c r="E32" s="4" t="inlineStr">
        <is>
          <t>FY2021</t>
        </is>
      </c>
    </row>
    <row r="33">
      <c r="A33" s="6" t="inlineStr">
        <is>
          <t>CET1 Ratio</t>
        </is>
      </c>
      <c r="B33" s="6" t="inlineStr">
        <is>
          <t>16%</t>
        </is>
      </c>
      <c r="C33" s="6" t="inlineStr">
        <is>
          <t>17%</t>
        </is>
      </c>
      <c r="D33" s="6" t="inlineStr">
        <is>
          <t>15.5%</t>
        </is>
      </c>
      <c r="E33" s="6" t="inlineStr">
        <is>
          <t>15.6%</t>
        </is>
      </c>
    </row>
    <row r="34">
      <c r="A34" s="6" t="inlineStr">
        <is>
          <t>Total Capital Ratio</t>
        </is>
      </c>
      <c r="B34" s="6" t="inlineStr">
        <is>
          <t>23%</t>
        </is>
      </c>
      <c r="C34" s="6" t="inlineStr">
        <is>
          <t>24%</t>
        </is>
      </c>
      <c r="D34" s="6" t="inlineStr">
        <is>
          <t>22.7%</t>
        </is>
      </c>
      <c r="E34" s="6" t="inlineStr">
        <is>
          <t>22.4%</t>
        </is>
      </c>
    </row>
    <row r="36" ht="45" customHeight="1">
      <c r="A36" s="7" t="inlineStr">
        <is>
          <t>Note: Figures are duplicated from the detail sheets for at-a-glance trend viewing (spend and risk lens: Balance Sheet/P&amp;L/Equity blocks show where the bank's money goes and how it runs itself; Pillar 3 ratios and Asset Quality - see that sheet - show the risk it's taking). ALL £ figures in this workbook are converted from Arab Bank Europe Plc's (Europe Arab Bank plc's) native EUR reporting - see the Cash Flow Statement sheet's source note for the full FX methodology and exact rates used. Ratios (%) are shown exactly as reported in EUR and were not converted. Only 2 of the usual 6 headline ratios are plotted here (CET1 Ratio, Total Capital Ratio, both disclosed for all 4 years) - Tier 1 Ratio, Leverage Ratio, LCR and NSFR are only disclosed for FY2021/FY2022 (LCR)/FY2022 (Leverage, NSFR), via a recovered standalone Pillar 3 document, and not at all for FY2023/FY2024, see the individual Pillar 3 sheets and ENTITY_NOTE for why. FY2025 is excluded entirely - its Annual Report was found on a 2026-09-07 re-check but not yet incorporated (see ENTITY_NOTE for why). 'Other movements, net' in the equity bridge absorbs the FX spot/average rate differential (near-zero in EUR-native terms).</t>
        </is>
      </c>
    </row>
  </sheetData>
  <mergeCells count="1">
    <mergeCell ref="A36:E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E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s>
  <sheetData>
    <row r="1">
      <c r="A1" s="1" t="inlineStr">
        <is>
          <t>Arab Bank Europe Plc — Statement of Financial Position</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Assets</t>
        </is>
      </c>
      <c r="B4" s="6" t="n"/>
      <c r="C4" s="6" t="n"/>
      <c r="D4" s="6" t="n"/>
      <c r="E4" s="6" t="n"/>
    </row>
    <row r="5">
      <c r="A5" s="6" t="inlineStr">
        <is>
          <t>Cash and balances at central banks</t>
        </is>
      </c>
      <c r="B5" s="6" t="n">
        <v>185934.4</v>
      </c>
      <c r="C5" s="6" t="n">
        <v>118712.2</v>
      </c>
      <c r="D5" s="6" t="n">
        <v>140867.3</v>
      </c>
      <c r="E5" s="6" t="n">
        <v>146278.7</v>
      </c>
    </row>
    <row r="6">
      <c r="A6" s="6" t="inlineStr">
        <is>
          <t>Due from banks</t>
        </is>
      </c>
      <c r="B6" s="6" t="n">
        <v>358814</v>
      </c>
      <c r="C6" s="6" t="n">
        <v>424276.8</v>
      </c>
      <c r="D6" s="6" t="n">
        <v>336579.8</v>
      </c>
      <c r="E6" s="6" t="n">
        <v>338421.1</v>
      </c>
    </row>
    <row r="7">
      <c r="A7" s="6" t="inlineStr">
        <is>
          <t>Financial assets at fair value through profit or loss</t>
        </is>
      </c>
      <c r="B7" s="6" t="n">
        <v>8109.8</v>
      </c>
      <c r="C7" s="6" t="n">
        <v>8200.9</v>
      </c>
      <c r="D7" s="6" t="n">
        <v>11142.1</v>
      </c>
      <c r="E7" s="6" t="n">
        <v>25960.4</v>
      </c>
    </row>
    <row r="8">
      <c r="A8" s="6" t="inlineStr">
        <is>
          <t>Financial investments at fair value through OCI</t>
        </is>
      </c>
      <c r="B8" s="6" t="n">
        <v>111442.3</v>
      </c>
      <c r="C8" s="6" t="n">
        <v>87917.5</v>
      </c>
      <c r="D8" s="6" t="n">
        <v>114148.3</v>
      </c>
      <c r="E8" s="6" t="n">
        <v>72295.3</v>
      </c>
    </row>
    <row r="9">
      <c r="A9" s="6" t="inlineStr">
        <is>
          <t>Loans and advances to customers</t>
        </is>
      </c>
      <c r="B9" s="6" t="n">
        <v>846188.9</v>
      </c>
      <c r="C9" s="6" t="n">
        <v>807091.6</v>
      </c>
      <c r="D9" s="6" t="n">
        <v>743437.1</v>
      </c>
      <c r="E9" s="6" t="n">
        <v>772523.7</v>
      </c>
    </row>
    <row r="10">
      <c r="A10" s="6" t="inlineStr">
        <is>
          <t>Financial investments at amortised cost</t>
        </is>
      </c>
      <c r="B10" s="6" t="n">
        <v>425756.7</v>
      </c>
      <c r="C10" s="6" t="n">
        <v>376788.3</v>
      </c>
      <c r="D10" s="6" t="n">
        <v>399162</v>
      </c>
      <c r="E10" s="6" t="n">
        <v>418013.8</v>
      </c>
    </row>
    <row r="11">
      <c r="A11" s="6" t="inlineStr">
        <is>
          <t>Derivative financial assets</t>
        </is>
      </c>
      <c r="B11" s="6" t="n">
        <v>34630.1</v>
      </c>
      <c r="C11" s="6" t="n">
        <v>33742.1</v>
      </c>
      <c r="D11" s="6" t="n">
        <v>46986.8</v>
      </c>
      <c r="E11" s="6" t="n">
        <v>4743.4</v>
      </c>
    </row>
    <row r="12">
      <c r="A12" s="6" t="inlineStr">
        <is>
          <t>Investment in subsidiaries</t>
        </is>
      </c>
      <c r="B12" s="6" t="n">
        <v>61988.6</v>
      </c>
      <c r="C12" s="6" t="n">
        <v>64997</v>
      </c>
      <c r="D12" s="6" t="n">
        <v>91900.3</v>
      </c>
      <c r="E12" s="6" t="n">
        <v>94970.2</v>
      </c>
    </row>
    <row r="13">
      <c r="A13" s="6" t="inlineStr">
        <is>
          <t>Property, plant and equipment</t>
        </is>
      </c>
      <c r="B13" s="6" t="n">
        <v>6516.2</v>
      </c>
      <c r="C13" s="6" t="n">
        <v>5901.7</v>
      </c>
      <c r="D13" s="6" t="n">
        <v>5559.1</v>
      </c>
      <c r="E13" s="6" t="n">
        <v>3346.8</v>
      </c>
    </row>
    <row r="14">
      <c r="A14" s="6" t="inlineStr">
        <is>
          <t>Right-of-use assets</t>
        </is>
      </c>
      <c r="B14" s="6" t="n">
        <v>5367.4</v>
      </c>
      <c r="C14" s="6" t="n">
        <v>6244</v>
      </c>
      <c r="D14" s="6" t="n">
        <v>7312.2</v>
      </c>
      <c r="E14" s="6" t="n">
        <v>2375.1</v>
      </c>
    </row>
    <row r="15">
      <c r="A15" s="6" t="inlineStr">
        <is>
          <t>Other assets</t>
        </is>
      </c>
      <c r="B15" s="6" t="n">
        <v>8725.5</v>
      </c>
      <c r="C15" s="6" t="n">
        <v>5623.5</v>
      </c>
      <c r="D15" s="6" t="n">
        <v>15913.8</v>
      </c>
      <c r="E15" s="6" t="n">
        <v>17340.2</v>
      </c>
    </row>
    <row r="16">
      <c r="A16" s="6" t="inlineStr">
        <is>
          <t>Deferred tax</t>
        </is>
      </c>
      <c r="B16" s="6" t="n">
        <v>4773.1</v>
      </c>
      <c r="C16" s="6" t="n">
        <v>5005.6</v>
      </c>
      <c r="D16" s="6" t="n">
        <v>5121</v>
      </c>
      <c r="E16" s="6" t="n">
        <v>4844.2</v>
      </c>
    </row>
    <row r="17">
      <c r="A17" s="5" t="inlineStr">
        <is>
          <t>Total assets</t>
        </is>
      </c>
      <c r="B17" s="5" t="n">
        <v>2058247</v>
      </c>
      <c r="C17" s="5" t="n">
        <v>1944501.3</v>
      </c>
      <c r="D17" s="5" t="n">
        <v>1918129.8</v>
      </c>
      <c r="E17" s="5" t="n">
        <v>1901112.8</v>
      </c>
    </row>
    <row r="18">
      <c r="A18" s="5" t="inlineStr">
        <is>
          <t>Liabilities</t>
        </is>
      </c>
      <c r="B18" s="6" t="n"/>
      <c r="C18" s="6" t="n"/>
      <c r="D18" s="6" t="n"/>
      <c r="E18" s="6" t="n"/>
    </row>
    <row r="19">
      <c r="A19" s="6" t="inlineStr">
        <is>
          <t>Deposits by banks</t>
        </is>
      </c>
      <c r="B19" s="6" t="n">
        <v>447958.5</v>
      </c>
      <c r="C19" s="6" t="n">
        <v>477655.8</v>
      </c>
      <c r="D19" s="6" t="n">
        <v>398888.9</v>
      </c>
      <c r="E19" s="6" t="n">
        <v>561563.8</v>
      </c>
    </row>
    <row r="20">
      <c r="A20" s="6" t="inlineStr">
        <is>
          <t>Customer accounts</t>
        </is>
      </c>
      <c r="B20" s="6" t="n">
        <v>1207304.7</v>
      </c>
      <c r="C20" s="6" t="n">
        <v>1065487.5</v>
      </c>
      <c r="D20" s="6" t="n">
        <v>1109292.4</v>
      </c>
      <c r="E20" s="6" t="n">
        <v>977999.5</v>
      </c>
    </row>
    <row r="21">
      <c r="A21" s="6" t="inlineStr">
        <is>
          <t>Derivative financial liabilities</t>
        </is>
      </c>
      <c r="B21" s="6" t="n">
        <v>14372.3</v>
      </c>
      <c r="C21" s="6" t="n">
        <v>13662.4</v>
      </c>
      <c r="D21" s="6" t="n">
        <v>17083.4</v>
      </c>
      <c r="E21" s="6" t="n">
        <v>8013.8</v>
      </c>
    </row>
    <row r="22">
      <c r="A22" s="6" t="inlineStr">
        <is>
          <t>Other liabilities</t>
        </is>
      </c>
      <c r="B22" s="6" t="n">
        <v>10748</v>
      </c>
      <c r="C22" s="6" t="n">
        <v>12045.2</v>
      </c>
      <c r="D22" s="6" t="n">
        <v>15278.9</v>
      </c>
      <c r="E22" s="6" t="n">
        <v>7236.1</v>
      </c>
    </row>
    <row r="23">
      <c r="A23" s="6" t="inlineStr">
        <is>
          <t>Current tax liabilities</t>
        </is>
      </c>
      <c r="B23" s="6" t="n">
        <v>1815.9</v>
      </c>
      <c r="C23" s="6" t="n">
        <v>1473.3</v>
      </c>
      <c r="D23" s="6" t="n"/>
      <c r="E23" s="6" t="n"/>
    </row>
    <row r="24">
      <c r="A24" s="6" t="inlineStr">
        <is>
          <t>Lease liabilities</t>
        </is>
      </c>
      <c r="B24" s="6" t="n">
        <v>7176.6</v>
      </c>
      <c r="C24" s="6" t="n">
        <v>8189.6</v>
      </c>
      <c r="D24" s="6" t="n">
        <v>8291.200000000001</v>
      </c>
      <c r="E24" s="6" t="n">
        <v>2488.5</v>
      </c>
    </row>
    <row r="25">
      <c r="A25" s="6" t="inlineStr">
        <is>
          <t>Retirement benefits - defined benefit scheme</t>
        </is>
      </c>
      <c r="B25" s="6" t="n">
        <v>3810.2</v>
      </c>
      <c r="C25" s="6" t="n">
        <v>2686.5</v>
      </c>
      <c r="D25" s="6" t="n">
        <v>3165.7</v>
      </c>
      <c r="E25" s="6" t="n">
        <v>5174.3</v>
      </c>
    </row>
    <row r="26">
      <c r="A26" s="6" t="inlineStr">
        <is>
          <t>Subordinated liabilities</t>
        </is>
      </c>
      <c r="B26" s="6" t="n">
        <v>99614</v>
      </c>
      <c r="C26" s="6" t="n">
        <v>97843.8</v>
      </c>
      <c r="D26" s="6" t="n">
        <v>103777.6</v>
      </c>
      <c r="E26" s="6" t="n">
        <v>92363.3</v>
      </c>
    </row>
    <row r="27">
      <c r="A27" s="5" t="inlineStr">
        <is>
          <t>Total liabilities</t>
        </is>
      </c>
      <c r="B27" s="5" t="n">
        <v>1792800.2</v>
      </c>
      <c r="C27" s="5" t="n">
        <v>1679044.1</v>
      </c>
      <c r="D27" s="5" t="n">
        <v>1655778.1</v>
      </c>
      <c r="E27" s="5" t="n">
        <v>1654839.2</v>
      </c>
    </row>
    <row r="28">
      <c r="A28" s="5" t="inlineStr">
        <is>
          <t>Equity</t>
        </is>
      </c>
      <c r="B28" s="6" t="n"/>
      <c r="C28" s="6" t="n"/>
      <c r="D28" s="6" t="n"/>
      <c r="E28" s="6" t="n"/>
    </row>
    <row r="29">
      <c r="A29" s="6" t="inlineStr">
        <is>
          <t>Share capital</t>
        </is>
      </c>
      <c r="B29" s="6" t="n">
        <v>471111.7</v>
      </c>
      <c r="C29" s="6" t="n">
        <v>493975.2</v>
      </c>
      <c r="D29" s="6" t="n">
        <v>505451.8</v>
      </c>
      <c r="E29" s="6" t="n">
        <v>478708.3</v>
      </c>
    </row>
    <row r="30">
      <c r="A30" s="6" t="inlineStr">
        <is>
          <t>Retained earnings</t>
        </is>
      </c>
      <c r="B30" s="6" t="n">
        <v>-203546.6</v>
      </c>
      <c r="C30" s="6" t="n">
        <v>-227022.3</v>
      </c>
      <c r="D30" s="6" t="n">
        <v>-233642.8</v>
      </c>
      <c r="E30" s="6" t="n">
        <v>-232535.5</v>
      </c>
    </row>
    <row r="31">
      <c r="A31" s="6" t="inlineStr">
        <is>
          <t>Foreign exchange reserve</t>
        </is>
      </c>
      <c r="B31" s="6" t="n"/>
      <c r="C31" s="6" t="n"/>
      <c r="D31" s="6" t="n">
        <v>-14.2</v>
      </c>
      <c r="E31" s="6" t="n">
        <v>-10.9</v>
      </c>
    </row>
    <row r="32">
      <c r="A32" s="6" t="inlineStr">
        <is>
          <t>Fair value reserve</t>
        </is>
      </c>
      <c r="B32" s="6" t="n">
        <v>-2236.5</v>
      </c>
      <c r="C32" s="6" t="n">
        <v>-1598.9</v>
      </c>
      <c r="D32" s="6" t="n">
        <v>-9325.200000000001</v>
      </c>
      <c r="E32" s="6" t="n">
        <v>21.8</v>
      </c>
    </row>
    <row r="33">
      <c r="A33" s="6" t="inlineStr">
        <is>
          <t>Cash flow hedge reserve</t>
        </is>
      </c>
      <c r="B33" s="6" t="n">
        <v>118.2</v>
      </c>
      <c r="C33" s="6" t="n">
        <v>103.1</v>
      </c>
      <c r="D33" s="6" t="n">
        <v>-117.9</v>
      </c>
      <c r="E33" s="6" t="n">
        <v>89.90000000000001</v>
      </c>
    </row>
    <row r="34">
      <c r="A34" s="5" t="inlineStr">
        <is>
          <t>Total equity</t>
        </is>
      </c>
      <c r="B34" s="5" t="n">
        <v>265446.7</v>
      </c>
      <c r="C34" s="5" t="n">
        <v>265457.1</v>
      </c>
      <c r="D34" s="5" t="n">
        <v>262351.7</v>
      </c>
      <c r="E34" s="5" t="n">
        <v>246273.6</v>
      </c>
    </row>
    <row r="35">
      <c r="A35" s="5" t="inlineStr">
        <is>
          <t>Total liabilities and equity</t>
        </is>
      </c>
      <c r="B35" s="5" t="n">
        <v>2058246.9</v>
      </c>
      <c r="C35" s="5" t="n">
        <v>1944501.2</v>
      </c>
      <c r="D35" s="5" t="n">
        <v>1918129.8</v>
      </c>
      <c r="E35" s="5" t="n">
        <v>1901112.8</v>
      </c>
    </row>
    <row r="37" ht="200" customHeight="1">
      <c r="A37" s="8" t="inlineStr">
        <is>
          <t>Sources - Arab Bank Europe Plc's (Europe Arab Bank plc's) own Statement of Financial Position, converted from EUR to £'000 at each year's own period-end spot rate (see FX conversion note below):
FY2024/FY2023: Annual Report and Financial Statements 2024, p.29 (Statement of Financial Position) - https://web.archive.org/web/20250805183352/https://www.eabplc.com/downloads/202502_EABAnnualReport_v3.pdf
FY2022/FY2021: Annual Report and Financial Statements 2022, p.28 (Statement of Financial Position) - https://web.archive.org/web/20240714135652/https://www.eabplc.com/downloads/202304_EABAnnualReport_v7_144ppi.pdf
Presentation change: FY2021/FY2022 carry a separate 'Foreign exchange reserve' equity line (values -13/-16 EUR'000); FY2023/FY2024's own statement drops this line entirely (folded into Retained earnings, see the Statement of Changes in Equity sheet's note on the FY2022 restatement) - left blank for FY2023/FY2024 rather than forced into a still-existing line.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7:E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s>
  <sheetData>
    <row r="1">
      <c r="A1" s="1" t="inlineStr">
        <is>
          <t>Arab Bank Europe Plc — Income Statement and Statement of Comprehensive Income</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Income</t>
        </is>
      </c>
      <c r="B4" s="6" t="n"/>
      <c r="C4" s="6" t="n"/>
      <c r="D4" s="6" t="n"/>
      <c r="E4" s="6" t="n"/>
    </row>
    <row r="5">
      <c r="A5" s="6" t="inlineStr">
        <is>
          <t>Interest and similar income using the effective interest method</t>
        </is>
      </c>
      <c r="B5" s="6" t="n">
        <v>98355.89999999999</v>
      </c>
      <c r="C5" s="6" t="n">
        <v>83673.60000000001</v>
      </c>
      <c r="D5" s="6" t="n">
        <v>48132.6</v>
      </c>
      <c r="E5" s="6" t="n">
        <v>27868.9</v>
      </c>
    </row>
    <row r="6">
      <c r="A6" s="6" t="inlineStr">
        <is>
          <t>Other interest and similar income</t>
        </is>
      </c>
      <c r="B6" s="6" t="n">
        <v>13469.2</v>
      </c>
      <c r="C6" s="6" t="n">
        <v>13784.7</v>
      </c>
      <c r="D6" s="6" t="n">
        <v>365.3</v>
      </c>
      <c r="E6" s="6" t="n">
        <v>1516.2</v>
      </c>
    </row>
    <row r="7">
      <c r="A7" s="6" t="inlineStr">
        <is>
          <t>Interest and similar expense</t>
        </is>
      </c>
      <c r="B7" s="6" t="n">
        <v>-67966</v>
      </c>
      <c r="C7" s="6" t="n">
        <v>-56213.5</v>
      </c>
      <c r="D7" s="6" t="n">
        <v>-19888.2</v>
      </c>
      <c r="E7" s="6" t="n">
        <v>-4328.3</v>
      </c>
    </row>
    <row r="8">
      <c r="A8" s="6" t="inlineStr">
        <is>
          <t>Other interest and similar expense</t>
        </is>
      </c>
      <c r="B8" s="6" t="n"/>
      <c r="C8" s="6" t="n"/>
      <c r="D8" s="6" t="n">
        <v>-869.7</v>
      </c>
      <c r="E8" s="6" t="n">
        <v>-5904.7</v>
      </c>
    </row>
    <row r="9">
      <c r="A9" s="5" t="inlineStr">
        <is>
          <t>Net interest and similar income</t>
        </is>
      </c>
      <c r="B9" s="5" t="n">
        <v>43859.1</v>
      </c>
      <c r="C9" s="5" t="n">
        <v>41244.8</v>
      </c>
      <c r="D9" s="5" t="n">
        <v>27740</v>
      </c>
      <c r="E9" s="5" t="n">
        <v>19152</v>
      </c>
    </row>
    <row r="10">
      <c r="A10" s="6" t="inlineStr">
        <is>
          <t>Fee and commission income</t>
        </is>
      </c>
      <c r="B10" s="6" t="n">
        <v>4325.1</v>
      </c>
      <c r="C10" s="6" t="n">
        <v>4607.6</v>
      </c>
      <c r="D10" s="6" t="n">
        <v>5402.4</v>
      </c>
      <c r="E10" s="6" t="n">
        <v>5910.7</v>
      </c>
    </row>
    <row r="11">
      <c r="A11" s="6" t="inlineStr">
        <is>
          <t>Fee and commission expense</t>
        </is>
      </c>
      <c r="B11" s="6" t="n">
        <v>-428.8</v>
      </c>
      <c r="C11" s="6" t="n">
        <v>-527.8</v>
      </c>
      <c r="D11" s="6" t="n">
        <v>-481.4</v>
      </c>
      <c r="E11" s="6" t="n">
        <v>-520.3</v>
      </c>
    </row>
    <row r="12">
      <c r="A12" s="6" t="inlineStr">
        <is>
          <t>Net trading gains</t>
        </is>
      </c>
      <c r="B12" s="6" t="n">
        <v>3426.9</v>
      </c>
      <c r="C12" s="6" t="n">
        <v>1445.3</v>
      </c>
      <c r="D12" s="6" t="n">
        <v>244.9</v>
      </c>
      <c r="E12" s="6" t="n">
        <v>1118.9</v>
      </c>
    </row>
    <row r="13">
      <c r="A13" s="6" t="inlineStr">
        <is>
          <t>Other operating income</t>
        </is>
      </c>
      <c r="B13" s="6" t="n">
        <v>3638.4</v>
      </c>
      <c r="C13" s="6" t="n">
        <v>3244.8</v>
      </c>
      <c r="D13" s="6" t="n">
        <v>3455.7</v>
      </c>
      <c r="E13" s="6" t="n">
        <v>3009.1</v>
      </c>
    </row>
    <row r="14">
      <c r="A14" s="5" t="inlineStr">
        <is>
          <t>Net Operating Income</t>
        </is>
      </c>
      <c r="B14" s="5" t="n">
        <v>54820.7</v>
      </c>
      <c r="C14" s="5" t="n">
        <v>50014.8</v>
      </c>
      <c r="D14" s="5" t="n">
        <v>36361.7</v>
      </c>
      <c r="E14" s="5" t="n">
        <v>28670.5</v>
      </c>
    </row>
    <row r="15">
      <c r="A15" s="6" t="inlineStr">
        <is>
          <t>Dividend income</t>
        </is>
      </c>
      <c r="B15" s="6" t="n"/>
      <c r="C15" s="6" t="n"/>
      <c r="D15" s="6" t="n">
        <v>10379.8</v>
      </c>
      <c r="E15" s="6" t="n">
        <v>177.2</v>
      </c>
    </row>
    <row r="16">
      <c r="A16" s="5" t="inlineStr">
        <is>
          <t>Total Income</t>
        </is>
      </c>
      <c r="B16" s="5" t="n"/>
      <c r="C16" s="5" t="n"/>
      <c r="D16" s="5" t="n">
        <v>46741.5</v>
      </c>
      <c r="E16" s="5" t="n">
        <v>28847.6</v>
      </c>
    </row>
    <row r="17">
      <c r="A17" s="6" t="inlineStr">
        <is>
          <t>Depreciation of property, plant and equipment and right-of-use assets</t>
        </is>
      </c>
      <c r="B17" s="6" t="n">
        <v>-2730</v>
      </c>
      <c r="C17" s="6" t="n">
        <v>-2595.5</v>
      </c>
      <c r="D17" s="6" t="n">
        <v>-2696.1</v>
      </c>
      <c r="E17" s="6" t="n">
        <v>-2225.7</v>
      </c>
    </row>
    <row r="18">
      <c r="A18" s="6" t="inlineStr">
        <is>
          <t>Other operating expenses</t>
        </is>
      </c>
      <c r="B18" s="6" t="n">
        <v>-31078.3</v>
      </c>
      <c r="C18" s="6" t="n">
        <v>-32499.1</v>
      </c>
      <c r="D18" s="6" t="n">
        <v>-29607.4</v>
      </c>
      <c r="E18" s="6" t="n">
        <v>-24928.6</v>
      </c>
    </row>
    <row r="19">
      <c r="A19" s="5" t="inlineStr">
        <is>
          <t>Total operating expenses before impairment losses</t>
        </is>
      </c>
      <c r="B19" s="5" t="n">
        <v>-33808.4</v>
      </c>
      <c r="C19" s="5" t="n">
        <v>-35094.6</v>
      </c>
      <c r="D19" s="5" t="n">
        <v>-32303.5</v>
      </c>
      <c r="E19" s="5" t="n">
        <v>-27154.3</v>
      </c>
    </row>
    <row r="20">
      <c r="A20" s="5" t="inlineStr">
        <is>
          <t>Operating profit before impairment loss expense and tax expense</t>
        </is>
      </c>
      <c r="B20" s="5" t="n">
        <v>21012.3</v>
      </c>
      <c r="C20" s="5" t="n">
        <v>14920.1</v>
      </c>
      <c r="D20" s="5" t="n">
        <v>14437.1</v>
      </c>
      <c r="E20" s="5" t="n">
        <v>1693.3</v>
      </c>
    </row>
    <row r="21">
      <c r="A21" s="6" t="inlineStr">
        <is>
          <t>Impairment loss expense</t>
        </is>
      </c>
      <c r="B21" s="6" t="n">
        <v>-4567.8</v>
      </c>
      <c r="C21" s="6" t="n">
        <v>-3745.7</v>
      </c>
      <c r="D21" s="6" t="n">
        <v>-3840.6</v>
      </c>
      <c r="E21" s="6" t="n">
        <v>-1347.6</v>
      </c>
    </row>
    <row r="22">
      <c r="A22" s="5" t="inlineStr">
        <is>
          <t>Profit before tax</t>
        </is>
      </c>
      <c r="B22" s="5" t="n">
        <v>16444.5</v>
      </c>
      <c r="C22" s="5" t="n">
        <v>11174.5</v>
      </c>
      <c r="D22" s="5" t="n">
        <v>10596.6</v>
      </c>
      <c r="E22" s="5" t="n">
        <v>345.7</v>
      </c>
    </row>
    <row r="23">
      <c r="A23" s="6" t="inlineStr">
        <is>
          <t>Tax (charge)/credit</t>
        </is>
      </c>
      <c r="B23" s="6" t="n">
        <v>-2177.8</v>
      </c>
      <c r="C23" s="6" t="n">
        <v>-1475.7</v>
      </c>
      <c r="D23" s="6" t="n"/>
      <c r="E23" s="6" t="n">
        <v>308.7</v>
      </c>
    </row>
    <row r="24">
      <c r="A24" s="5" t="inlineStr">
        <is>
          <t>Profit for the year</t>
        </is>
      </c>
      <c r="B24" s="5" t="n">
        <v>14266.7</v>
      </c>
      <c r="C24" s="5" t="n">
        <v>9698.799999999999</v>
      </c>
      <c r="D24" s="5" t="n">
        <v>10596.6</v>
      </c>
      <c r="E24" s="5" t="n">
        <v>654.5</v>
      </c>
    </row>
    <row r="25">
      <c r="A25" s="5" t="inlineStr">
        <is>
          <t>Other comprehensive income</t>
        </is>
      </c>
      <c r="B25" s="6" t="n"/>
      <c r="C25" s="6" t="n"/>
      <c r="D25" s="6" t="n"/>
      <c r="E25" s="6" t="n"/>
    </row>
    <row r="26">
      <c r="A26" s="6" t="inlineStr">
        <is>
          <t>Re-measurement of net defined benefit pension liability</t>
        </is>
      </c>
      <c r="B26" s="6" t="n">
        <v>-999.7</v>
      </c>
      <c r="C26" s="6" t="n">
        <v>-830.7</v>
      </c>
      <c r="D26" s="6" t="n">
        <v>839</v>
      </c>
      <c r="E26" s="6" t="n">
        <v>6945.3</v>
      </c>
    </row>
    <row r="27">
      <c r="A27" s="6" t="inlineStr">
        <is>
          <t>Fair value (loss)/gain taken to equity on investment in subsidiaries</t>
        </is>
      </c>
      <c r="B27" s="6" t="n"/>
      <c r="C27" s="6" t="n">
        <v>-57.3</v>
      </c>
      <c r="D27" s="6" t="n">
        <v>-8061.8</v>
      </c>
      <c r="E27" s="6" t="n">
        <v>8404.700000000001</v>
      </c>
    </row>
    <row r="28">
      <c r="A28" s="6" t="inlineStr">
        <is>
          <t>Fair value (loss)/gain taken to equity on financial investments - debt</t>
        </is>
      </c>
      <c r="B28" s="6" t="n">
        <v>-728.2</v>
      </c>
      <c r="C28" s="6" t="n">
        <v>47.7</v>
      </c>
      <c r="D28" s="6" t="n">
        <v>-935.4</v>
      </c>
      <c r="E28" s="6" t="n">
        <v>-691.4</v>
      </c>
    </row>
    <row r="29">
      <c r="A29" s="6" t="inlineStr">
        <is>
          <t>Fair value (loss)/gain taken to equity on derivatives - cash flow hedge</t>
        </is>
      </c>
      <c r="B29" s="6" t="n">
        <v>20.3</v>
      </c>
      <c r="C29" s="6" t="n">
        <v>218.8</v>
      </c>
      <c r="D29" s="6" t="n">
        <v>-204.8</v>
      </c>
      <c r="E29" s="6" t="n">
        <v>92</v>
      </c>
    </row>
    <row r="30">
      <c r="A30" s="6" t="inlineStr">
        <is>
          <t>Exchange differences on translation of non-Euro denominated operations</t>
        </is>
      </c>
      <c r="B30" s="6" t="n">
        <v>2.5</v>
      </c>
      <c r="C30" s="6" t="n"/>
      <c r="D30" s="6" t="n">
        <v>-2.6</v>
      </c>
      <c r="E30" s="6" t="n">
        <v>3.4</v>
      </c>
    </row>
    <row r="31">
      <c r="A31" s="5" t="inlineStr">
        <is>
          <t>Other comprehensive income/(loss) for the year</t>
        </is>
      </c>
      <c r="B31" s="5" t="n">
        <v>-1705</v>
      </c>
      <c r="C31" s="5" t="n">
        <v>-621.5</v>
      </c>
      <c r="D31" s="5" t="n">
        <v>-8365.6</v>
      </c>
      <c r="E31" s="5" t="n">
        <v>14754</v>
      </c>
    </row>
    <row r="32">
      <c r="A32" s="5" t="inlineStr">
        <is>
          <t>Total comprehensive income for the year</t>
        </is>
      </c>
      <c r="B32" s="5" t="n">
        <v>12561.7</v>
      </c>
      <c r="C32" s="5" t="n">
        <v>9077.299999999999</v>
      </c>
      <c r="D32" s="5" t="n">
        <v>2230.9</v>
      </c>
      <c r="E32" s="5" t="n">
        <v>15408.5</v>
      </c>
    </row>
    <row r="34" ht="260" customHeight="1">
      <c r="A34" s="8" t="inlineStr">
        <is>
          <t>Sources - Arab Bank Europe Plc's (Europe Arab Bank plc's) own Income Statement and Statement of Comprehensive Income, converted from EUR to £'000 at each year's own average rate (see FX conversion note below):
FY2024/FY2023: Annual Report and Financial Statements 2024, pp.26-27 (Income Statement; Statement of Comprehensive Income) - https://web.archive.org/web/20250805183352/https://www.eabplc.com/downloads/202502_EABAnnualReport_v3.pdf
FY2022/FY2021: Annual Report and Financial Statements 2022, pp.25-26 (Income Statement; Statement of Comprehensive Income) - https://web.archive.org/web/20240714135652/https://www.eabplc.com/downloads/202304_EABAnnualReport_v7_144ppi.pdf
Presentation changes across the two reports (both genuine, not gaps): FY2021/FY2022 separately disclose 'Other interest and similar expense', 'Dividend income', and a 'Total Income' subtotal (Net Operating Income + Dividend income) that FY2023/FY2024's report does not carry (Net Operating Income flows straight to expenses) - left blank for FY2023/FY2024 rather than merged into another line. OCI detail: FY2021/FY2022 show an 'Exchange differences on translation of non-Euro denominated operations' line every year; FY2023/FY2024 show it only for FY2024 (blank/nil for FY2023, per the report's own '-' entry). All TOTAL rows (Net interest income, Net Operating Income, Total operating expenses before impairment losses, Profit before tax, Profit for the year, Other comprehensive income, Total comprehensive income) are fully comparable across all 4 years.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34:E3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3"/>
  <sheetViews>
    <sheetView workbookViewId="0">
      <pane ySplit="4" topLeftCell="A5" activePane="bottomLeft" state="frozen"/>
      <selection pane="bottomLef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Arab Bank Europe Plc — Statement of Changes in Equity</t>
        </is>
      </c>
    </row>
    <row r="2">
      <c r="A2" s="2" t="inlineStr">
        <is>
          <t>£'000, converted from EUR - Balance rows at each year-end's spot rate, movement rows at that year's average rate (see FX conversion note at bottom).</t>
        </is>
      </c>
    </row>
    <row r="3">
      <c r="A3" s="4" t="inlineStr">
        <is>
          <t>Movement</t>
        </is>
      </c>
      <c r="B3" s="4" t="inlineStr">
        <is>
          <t>Ordinary share capital</t>
        </is>
      </c>
      <c r="C3" s="4" t="inlineStr">
        <is>
          <t>Fair value reserve</t>
        </is>
      </c>
      <c r="D3" s="4" t="inlineStr">
        <is>
          <t>Cash flow hedge reserve</t>
        </is>
      </c>
      <c r="E3" s="4" t="inlineStr">
        <is>
          <t>Foreign exchange reserve</t>
        </is>
      </c>
      <c r="F3" s="4" t="inlineStr">
        <is>
          <t>Retained earnings</t>
        </is>
      </c>
      <c r="G3" s="4" t="inlineStr">
        <is>
          <t>Total equity</t>
        </is>
      </c>
    </row>
    <row r="4">
      <c r="A4" s="5" t="inlineStr">
        <is>
          <t>Balance at 31 December 2020</t>
        </is>
      </c>
      <c r="B4" s="5" t="n">
        <v>478708.3</v>
      </c>
      <c r="C4" s="5" t="n">
        <v>-7510.7</v>
      </c>
      <c r="D4" s="5" t="n"/>
      <c r="E4" s="5" t="n">
        <v>-14.3</v>
      </c>
      <c r="F4" s="5" t="n">
        <v>-239957.2</v>
      </c>
      <c r="G4" s="5" t="n">
        <v>231226.2</v>
      </c>
    </row>
    <row r="5">
      <c r="A5" s="6" t="inlineStr">
        <is>
          <t>Profit for the year (2021)</t>
        </is>
      </c>
      <c r="B5" s="6" t="n"/>
      <c r="C5" s="6" t="n"/>
      <c r="D5" s="6" t="n"/>
      <c r="E5" s="6" t="n"/>
      <c r="F5" s="6" t="n">
        <v>654.5</v>
      </c>
      <c r="G5" s="6" t="n">
        <v>654.5</v>
      </c>
    </row>
    <row r="6">
      <c r="A6" s="6" t="inlineStr">
        <is>
          <t>Other comprehensive income (2021)</t>
        </is>
      </c>
      <c r="B6" s="6" t="n"/>
      <c r="C6" s="6" t="n">
        <v>-691.4</v>
      </c>
      <c r="D6" s="6" t="n">
        <v>92</v>
      </c>
      <c r="E6" s="6" t="n">
        <v>3.4</v>
      </c>
      <c r="F6" s="6" t="n">
        <v>6945.3</v>
      </c>
      <c r="G6" s="6" t="n">
        <v>6349.3</v>
      </c>
    </row>
    <row r="7">
      <c r="A7" s="6" t="inlineStr">
        <is>
          <t>Changes in fair value (2021)</t>
        </is>
      </c>
      <c r="B7" s="6" t="n"/>
      <c r="C7" s="6" t="n">
        <v>8404.700000000001</v>
      </c>
      <c r="D7" s="6" t="n"/>
      <c r="E7" s="6" t="n"/>
      <c r="F7" s="6" t="n"/>
      <c r="G7" s="6" t="n">
        <v>8404.700000000001</v>
      </c>
    </row>
    <row r="8">
      <c r="A8" s="5" t="inlineStr">
        <is>
          <t>Balance at 31 December 2021</t>
        </is>
      </c>
      <c r="B8" s="5" t="n">
        <v>478708.3</v>
      </c>
      <c r="C8" s="5" t="n">
        <v>21.8</v>
      </c>
      <c r="D8" s="5" t="n">
        <v>89.90000000000001</v>
      </c>
      <c r="E8" s="5" t="n">
        <v>-10.9</v>
      </c>
      <c r="F8" s="5" t="n">
        <v>-232535.5</v>
      </c>
      <c r="G8" s="5" t="n">
        <v>246273.6</v>
      </c>
    </row>
    <row r="9">
      <c r="A9" s="6" t="inlineStr">
        <is>
          <t>Profit for the year (2022)</t>
        </is>
      </c>
      <c r="B9" s="6" t="n"/>
      <c r="C9" s="6" t="n"/>
      <c r="D9" s="6" t="n"/>
      <c r="E9" s="6" t="n"/>
      <c r="F9" s="6" t="n">
        <v>10596.6</v>
      </c>
      <c r="G9" s="6" t="n">
        <v>10596.6</v>
      </c>
    </row>
    <row r="10">
      <c r="A10" s="6" t="inlineStr">
        <is>
          <t>Other comprehensive income (2022)</t>
        </is>
      </c>
      <c r="B10" s="6" t="n"/>
      <c r="C10" s="6" t="n">
        <v>-935.4</v>
      </c>
      <c r="D10" s="6" t="n">
        <v>-204.8</v>
      </c>
      <c r="E10" s="6" t="n">
        <v>-2.6</v>
      </c>
      <c r="F10" s="6" t="n">
        <v>839</v>
      </c>
      <c r="G10" s="6" t="n">
        <v>-302.1</v>
      </c>
    </row>
    <row r="11">
      <c r="A11" s="6" t="inlineStr">
        <is>
          <t>Changes in fair value (2022)</t>
        </is>
      </c>
      <c r="B11" s="6" t="n"/>
      <c r="C11" s="6" t="n">
        <v>-8061.8</v>
      </c>
      <c r="D11" s="6" t="n"/>
      <c r="E11" s="6" t="n"/>
      <c r="F11" s="6" t="n"/>
      <c r="G11" s="6" t="n">
        <v>-8061.8</v>
      </c>
    </row>
    <row r="12">
      <c r="A12" s="5" t="inlineStr">
        <is>
          <t>Balance at 31 December 2022 (as originally reported, FY2022 Annual Report)</t>
        </is>
      </c>
      <c r="B12" s="5" t="n">
        <v>505451.8</v>
      </c>
      <c r="C12" s="5" t="n">
        <v>-9325.200000000001</v>
      </c>
      <c r="D12" s="5" t="n">
        <v>-117.9</v>
      </c>
      <c r="E12" s="5" t="n">
        <v>-14.2</v>
      </c>
      <c r="F12" s="5" t="n">
        <v>-233642.8</v>
      </c>
      <c r="G12" s="5" t="n">
        <v>262351.7</v>
      </c>
    </row>
    <row r="13">
      <c r="A13" s="6" t="inlineStr">
        <is>
          <t>Balance at 31 December 2022 (restated opening balance per FY2024 Annual Report - FX reserve folded into Retained earnings, €1k rounding difference in Fair value reserve; see EQ_SOURCES flag)</t>
        </is>
      </c>
      <c r="B13" s="6" t="n">
        <v>505451.8</v>
      </c>
      <c r="C13" s="6" t="n">
        <v>-9324.299999999999</v>
      </c>
      <c r="D13" s="6" t="n">
        <v>-117.9</v>
      </c>
      <c r="E13" s="6" t="n"/>
      <c r="F13" s="6" t="n">
        <v>-233657.9</v>
      </c>
      <c r="G13" s="6" t="n">
        <v>262351.7</v>
      </c>
    </row>
    <row r="14">
      <c r="A14" s="6" t="inlineStr">
        <is>
          <t>Profit for the year (2023)</t>
        </is>
      </c>
      <c r="B14" s="6" t="n"/>
      <c r="C14" s="6" t="n"/>
      <c r="D14" s="6" t="n"/>
      <c r="E14" s="6" t="n"/>
      <c r="F14" s="6" t="n">
        <v>9698.799999999999</v>
      </c>
      <c r="G14" s="6" t="n">
        <v>9698.799999999999</v>
      </c>
    </row>
    <row r="15">
      <c r="A15" s="6" t="inlineStr">
        <is>
          <t>Other comprehensive income (2023)</t>
        </is>
      </c>
      <c r="B15" s="6" t="n"/>
      <c r="C15" s="6" t="n">
        <v>47.7</v>
      </c>
      <c r="D15" s="6" t="n">
        <v>218.8</v>
      </c>
      <c r="E15" s="6" t="n"/>
      <c r="F15" s="6" t="n">
        <v>-830.7</v>
      </c>
      <c r="G15" s="6" t="n">
        <v>-564.2</v>
      </c>
    </row>
    <row r="16">
      <c r="A16" s="6" t="inlineStr">
        <is>
          <t>Changes in fair value (2023)</t>
        </is>
      </c>
      <c r="B16" s="6" t="n"/>
      <c r="C16" s="6" t="n">
        <v>7478.3</v>
      </c>
      <c r="D16" s="6" t="n"/>
      <c r="E16" s="6" t="n"/>
      <c r="F16" s="6" t="n">
        <v>-7535.6</v>
      </c>
      <c r="G16" s="6" t="n">
        <v>-57.3</v>
      </c>
    </row>
    <row r="17">
      <c r="A17" s="5" t="inlineStr">
        <is>
          <t>Balance at 31 December 2023</t>
        </is>
      </c>
      <c r="B17" s="5" t="n">
        <v>493975.2</v>
      </c>
      <c r="C17" s="5" t="n">
        <v>-1598.9</v>
      </c>
      <c r="D17" s="5" t="n">
        <v>103.1</v>
      </c>
      <c r="E17" s="5" t="n"/>
      <c r="F17" s="5" t="n">
        <v>-227022.3</v>
      </c>
      <c r="G17" s="5" t="n">
        <v>265457.1</v>
      </c>
    </row>
    <row r="18">
      <c r="A18" s="6" t="inlineStr">
        <is>
          <t>Profit for the year (2024)</t>
        </is>
      </c>
      <c r="B18" s="6" t="n"/>
      <c r="C18" s="6" t="n"/>
      <c r="D18" s="6" t="n"/>
      <c r="E18" s="6" t="n"/>
      <c r="F18" s="6" t="n">
        <v>14266.7</v>
      </c>
      <c r="G18" s="6" t="n">
        <v>14266.7</v>
      </c>
    </row>
    <row r="19">
      <c r="A19" s="6" t="inlineStr">
        <is>
          <t>Other comprehensive income (2024)</t>
        </is>
      </c>
      <c r="B19" s="6" t="n"/>
      <c r="C19" s="6" t="n">
        <v>-728.2</v>
      </c>
      <c r="D19" s="6" t="n">
        <v>20.3</v>
      </c>
      <c r="E19" s="6" t="n"/>
      <c r="F19" s="6" t="n">
        <v>-997.1</v>
      </c>
      <c r="G19" s="6" t="n">
        <v>-1705</v>
      </c>
    </row>
    <row r="20">
      <c r="A20" s="5" t="inlineStr">
        <is>
          <t>Total comprehensive income for the year (2024)</t>
        </is>
      </c>
      <c r="B20" s="5" t="n"/>
      <c r="C20" s="5" t="n">
        <v>-728.2</v>
      </c>
      <c r="D20" s="5" t="n">
        <v>20.3</v>
      </c>
      <c r="E20" s="5" t="n"/>
      <c r="F20" s="5" t="n">
        <v>13269.6</v>
      </c>
      <c r="G20" s="5" t="n">
        <v>12561.7</v>
      </c>
    </row>
    <row r="21">
      <c r="A21" s="5" t="inlineStr">
        <is>
          <t>Balance at 31 December 2024</t>
        </is>
      </c>
      <c r="B21" s="5" t="n">
        <v>471111.7</v>
      </c>
      <c r="C21" s="5" t="n">
        <v>-2236.5</v>
      </c>
      <c r="D21" s="5" t="n">
        <v>118.2</v>
      </c>
      <c r="E21" s="5" t="n"/>
      <c r="F21" s="5" t="n">
        <v>-203546.6</v>
      </c>
      <c r="G21" s="5" t="n">
        <v>265446.7</v>
      </c>
    </row>
    <row r="23" ht="280" customHeight="1">
      <c r="A23" s="8" t="inlineStr">
        <is>
          <t>Sources - Arab Bank Europe Plc's (Europe Arab Bank plc's) own Statement of Changes in Equity, converted from EUR to £'000 (movement rows at that year's average rate, Balance rows at that year-end's spot rate - see FX conversion note below):
FY2024/FY2023 + restated FY2022 closing: Annual Report and Financial Statements 2024, p.30 - https://web.archive.org/web/20250805183352/https://www.eabplc.com/downloads/202502_EABAnnualReport_v3.pdf
FY2020 opening/FY2021/FY2022 (as originally reported): Annual Report and Financial Statements 2022, p.29 - https://web.archive.org/web/20240714135652/https://www.eabplc.com/downloads/202304_EABAnnualReport_v7_144ppi.pdf
FLAGGED DISCREPANCY (not silently reconciled): the FY2024 Annual Report's own comparative 'As at 31 December 2022' balance differs from the FY2022 Annual Report's own closing balance for the same date - Fair value reserve €(10,515)k vs. €(10,516)k (€1k), Retained earnings €(263,496)k vs. €(263,479)k (€17k), and the Foreign exchange reserve line (€(16)k in the FY2022 report) is dropped entirely from the FY2024 report's restated column. Total equity is identical in both (€295,854k), so this reads as a reclassification of the FX reserve into Retained earnings with a small residual rounding difference, not a genuine restatement of total equity - but the components genuinely disagree between the two primary sources, so both the originally-reported and restated 31 Dec 2022 balances are shown as separate rows below rather than picking one silently. A second, much smaller rounding artefact: FY2022's own Statement of Comprehensive Income states Total comprehensive income of €2,614k, while summing that year's Statement of Changes in Equity movement rows (Profit €12,416k + OCI €(354)k + Changes in fair value €(9,446)k) gives €2,616k - a €2k difference present in the source tables themselves.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s>
  <sheetData>
    <row r="1">
      <c r="A1" s="1" t="inlineStr">
        <is>
          <t>Arab Bank Europe Plc — Cash Flow Statement</t>
        </is>
      </c>
    </row>
    <row r="2">
      <c r="A2" s="2" t="inlineStr">
        <is>
          <t>£'000, converted from EUR - see source note at bottom for FX methodology and rates used.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Reconciliation of profit before tax to net cash flows from operating activities</t>
        </is>
      </c>
      <c r="B4" s="6" t="n"/>
      <c r="C4" s="6" t="n"/>
      <c r="D4" s="6" t="n"/>
      <c r="E4" s="6" t="n"/>
    </row>
    <row r="5">
      <c r="A5" s="6" t="inlineStr">
        <is>
          <t>Profit before tax</t>
        </is>
      </c>
      <c r="B5" s="6" t="n">
        <v>16444.5</v>
      </c>
      <c r="C5" s="6" t="n">
        <v>11174.5</v>
      </c>
      <c r="D5" s="6" t="n">
        <v>10596.6</v>
      </c>
      <c r="E5" s="6" t="n">
        <v>345.7</v>
      </c>
    </row>
    <row r="6">
      <c r="A6" s="6" t="inlineStr">
        <is>
          <t>Depreciation</t>
        </is>
      </c>
      <c r="B6" s="6" t="n">
        <v>2730</v>
      </c>
      <c r="C6" s="6" t="n">
        <v>2595.5</v>
      </c>
      <c r="D6" s="6" t="n">
        <v>1334.8</v>
      </c>
      <c r="E6" s="6" t="n">
        <v>1170.5</v>
      </c>
    </row>
    <row r="7">
      <c r="A7" s="6" t="inlineStr">
        <is>
          <t>Impairment loss expense</t>
        </is>
      </c>
      <c r="B7" s="6" t="n">
        <v>4548.4</v>
      </c>
      <c r="C7" s="6" t="n">
        <v>4000</v>
      </c>
      <c r="D7" s="6" t="n">
        <v>3840.6</v>
      </c>
      <c r="E7" s="6" t="n">
        <v>1347.6</v>
      </c>
    </row>
    <row r="8">
      <c r="A8" s="6" t="inlineStr">
        <is>
          <t>Loss on disposal/write-off of fixed assets</t>
        </is>
      </c>
      <c r="B8" s="6" t="n"/>
      <c r="C8" s="6" t="n"/>
      <c r="D8" s="6" t="n">
        <v>0</v>
      </c>
      <c r="E8" s="6" t="n">
        <v>908.2</v>
      </c>
    </row>
    <row r="9">
      <c r="A9" s="6" t="inlineStr">
        <is>
          <t>Loss on disposal of subsidiary</t>
        </is>
      </c>
      <c r="B9" s="6" t="n"/>
      <c r="C9" s="6" t="n">
        <v>2859.4</v>
      </c>
      <c r="D9" s="6" t="n"/>
      <c r="E9" s="6" t="n"/>
    </row>
    <row r="10">
      <c r="A10" s="6" t="inlineStr">
        <is>
          <t>Net foreign exchange loss/(gain) on subordinated liability</t>
        </is>
      </c>
      <c r="B10" s="6" t="n">
        <v>6444.5</v>
      </c>
      <c r="C10" s="6" t="n">
        <v>-3583.3</v>
      </c>
      <c r="D10" s="6" t="n">
        <v>6019.5</v>
      </c>
      <c r="E10" s="6" t="n">
        <v>6694.2</v>
      </c>
    </row>
    <row r="11">
      <c r="A11" s="6" t="inlineStr">
        <is>
          <t>Interest expense on lease liabilities</t>
        </is>
      </c>
      <c r="B11" s="6" t="n">
        <v>347.6</v>
      </c>
      <c r="C11" s="6" t="n">
        <v>438.4</v>
      </c>
      <c r="D11" s="6" t="n">
        <v>323.5</v>
      </c>
      <c r="E11" s="6" t="n">
        <v>39.6</v>
      </c>
    </row>
    <row r="12">
      <c r="A12" s="6" t="inlineStr">
        <is>
          <t>Trading gains on securities and derivatives</t>
        </is>
      </c>
      <c r="B12" s="6" t="n">
        <v>-1128.2</v>
      </c>
      <c r="C12" s="6" t="n">
        <v>-395.8</v>
      </c>
      <c r="D12" s="6" t="n"/>
      <c r="E12" s="6" t="n"/>
    </row>
    <row r="13">
      <c r="A13" s="6" t="inlineStr">
        <is>
          <t>Gain on lease modification</t>
        </is>
      </c>
      <c r="B13" s="6" t="n"/>
      <c r="C13" s="6" t="n">
        <v>-345.5</v>
      </c>
      <c r="D13" s="6" t="n"/>
      <c r="E13" s="6" t="n"/>
    </row>
    <row r="14">
      <c r="A14" s="6" t="inlineStr">
        <is>
          <t>FX adjustments on expected credit losses</t>
        </is>
      </c>
      <c r="B14" s="6" t="n">
        <v>1486</v>
      </c>
      <c r="C14" s="6" t="n">
        <v>-2020.8</v>
      </c>
      <c r="D14" s="6" t="n"/>
      <c r="E14" s="6" t="n"/>
    </row>
    <row r="15">
      <c r="A15" s="6" t="inlineStr">
        <is>
          <t>FX adjustments on right-of-use assets</t>
        </is>
      </c>
      <c r="B15" s="6" t="n">
        <v>-287.6</v>
      </c>
      <c r="C15" s="6" t="n"/>
      <c r="D15" s="6" t="n"/>
      <c r="E15" s="6" t="n"/>
    </row>
    <row r="16">
      <c r="A16" s="5" t="inlineStr">
        <is>
          <t>Profit before tax, adjusted for non-cash items - subtotal</t>
        </is>
      </c>
      <c r="B16" s="5" t="n">
        <v>30585.3</v>
      </c>
      <c r="C16" s="5" t="n">
        <v>14722.2</v>
      </c>
      <c r="D16" s="5" t="n">
        <v>22114.9</v>
      </c>
      <c r="E16" s="5" t="n">
        <v>10505.7</v>
      </c>
    </row>
    <row r="17">
      <c r="A17" s="5" t="inlineStr">
        <is>
          <t>Decrease/(Increase) in operating and other assets</t>
        </is>
      </c>
      <c r="B17" s="6" t="n"/>
      <c r="C17" s="6" t="n"/>
      <c r="D17" s="6" t="n"/>
      <c r="E17" s="6" t="n"/>
    </row>
    <row r="18">
      <c r="A18" s="6" t="inlineStr">
        <is>
          <t>Loans advanced to customers</t>
        </is>
      </c>
      <c r="B18" s="6" t="n">
        <v>-83991.89999999999</v>
      </c>
      <c r="C18" s="6" t="n">
        <v>-76541.7</v>
      </c>
      <c r="D18" s="6" t="n">
        <v>65690.89999999999</v>
      </c>
      <c r="E18" s="6" t="n">
        <v>-26778.5</v>
      </c>
    </row>
    <row r="19">
      <c r="A19" s="6" t="inlineStr">
        <is>
          <t>Loans advanced to banks</t>
        </is>
      </c>
      <c r="B19" s="6" t="n"/>
      <c r="C19" s="6" t="n"/>
      <c r="D19" s="6" t="n">
        <v>19969.3</v>
      </c>
      <c r="E19" s="6" t="n">
        <v>178338.5</v>
      </c>
    </row>
    <row r="20">
      <c r="A20" s="6" t="inlineStr">
        <is>
          <t>Fair value through profit or loss and derivatives</t>
        </is>
      </c>
      <c r="B20" s="6" t="n">
        <v>-1428.5</v>
      </c>
      <c r="C20" s="6" t="n">
        <v>12248.3</v>
      </c>
      <c r="D20" s="6" t="n">
        <v>-16446.2</v>
      </c>
      <c r="E20" s="6" t="n">
        <v>105937.4</v>
      </c>
    </row>
    <row r="21">
      <c r="A21" s="6" t="inlineStr">
        <is>
          <t>Fair value through other comprehensive income</t>
        </is>
      </c>
      <c r="B21" s="6" t="n"/>
      <c r="C21" s="6" t="n"/>
      <c r="D21" s="6" t="n">
        <v>-36395</v>
      </c>
      <c r="E21" s="6" t="n">
        <v>-74029.10000000001</v>
      </c>
    </row>
    <row r="22">
      <c r="A22" s="6" t="inlineStr">
        <is>
          <t>Financial investments at amortised cost</t>
        </is>
      </c>
      <c r="B22" s="6" t="n"/>
      <c r="C22" s="6" t="n"/>
      <c r="D22" s="6" t="n">
        <v>40619.6</v>
      </c>
      <c r="E22" s="6" t="n">
        <v>-74140.89999999999</v>
      </c>
    </row>
    <row r="23">
      <c r="A23" s="6" t="inlineStr">
        <is>
          <t>Other assets</t>
        </is>
      </c>
      <c r="B23" s="6" t="n">
        <v>-3440.5</v>
      </c>
      <c r="C23" s="6" t="n">
        <v>-1587.7</v>
      </c>
      <c r="D23" s="6" t="n">
        <v>-2318.9</v>
      </c>
      <c r="E23" s="6" t="n">
        <v>-5277.8</v>
      </c>
    </row>
    <row r="24">
      <c r="A24" s="5" t="inlineStr">
        <is>
          <t>Decrease/(Increase) in operating and other assets - subtotal</t>
        </is>
      </c>
      <c r="B24" s="5" t="n">
        <v>-88860.8</v>
      </c>
      <c r="C24" s="5" t="n">
        <v>-65881.10000000001</v>
      </c>
      <c r="D24" s="5" t="n">
        <v>71119.7</v>
      </c>
      <c r="E24" s="5" t="n">
        <v>104049.7</v>
      </c>
    </row>
    <row r="25">
      <c r="A25" s="5" t="inlineStr">
        <is>
          <t>(Decrease)/Increase in operating and other liabilities</t>
        </is>
      </c>
      <c r="B25" s="6" t="n"/>
      <c r="C25" s="6" t="n"/>
      <c r="D25" s="6" t="n"/>
      <c r="E25" s="6" t="n"/>
    </row>
    <row r="26">
      <c r="A26" s="6" t="inlineStr">
        <is>
          <t>Customer deposits</t>
        </is>
      </c>
      <c r="B26" s="6" t="n">
        <v>195578.5</v>
      </c>
      <c r="C26" s="6" t="n">
        <v>-23447</v>
      </c>
      <c r="D26" s="6" t="n">
        <v>73777.39999999999</v>
      </c>
      <c r="E26" s="6" t="n">
        <v>64535.6</v>
      </c>
    </row>
    <row r="27">
      <c r="A27" s="6" t="inlineStr">
        <is>
          <t>Funds received from banks</t>
        </is>
      </c>
      <c r="B27" s="6" t="n">
        <v>-7764.7</v>
      </c>
      <c r="C27" s="6" t="n">
        <v>85560.8</v>
      </c>
      <c r="D27" s="6" t="n">
        <v>-186761.1</v>
      </c>
      <c r="E27" s="6" t="n">
        <v>-143083.1</v>
      </c>
    </row>
    <row r="28">
      <c r="A28" s="6" t="inlineStr">
        <is>
          <t>Other liabilities and retirement benefit liabilities</t>
        </is>
      </c>
      <c r="B28" s="6" t="n">
        <v>-649.5</v>
      </c>
      <c r="C28" s="6" t="n">
        <v>4051.2</v>
      </c>
      <c r="D28" s="6" t="n">
        <v>11429.5</v>
      </c>
      <c r="E28" s="6" t="n">
        <v>-136.7</v>
      </c>
    </row>
    <row r="29">
      <c r="A29" s="5" t="inlineStr">
        <is>
          <t>(Decrease)/Increase in operating and other liabilities - subtotal</t>
        </is>
      </c>
      <c r="B29" s="5" t="n">
        <v>187163.4</v>
      </c>
      <c r="C29" s="5" t="n">
        <v>66164.89999999999</v>
      </c>
      <c r="D29" s="5" t="n">
        <v>-101553.3</v>
      </c>
      <c r="E29" s="5" t="n">
        <v>-78684.2</v>
      </c>
    </row>
    <row r="30">
      <c r="A30" s="6" t="inlineStr">
        <is>
          <t>Income taxes paid</t>
        </is>
      </c>
      <c r="B30" s="6" t="n">
        <v>-1935.9</v>
      </c>
      <c r="C30" s="6" t="n">
        <v>0</v>
      </c>
      <c r="D30" s="6" t="n">
        <v>0</v>
      </c>
      <c r="E30" s="6" t="n">
        <v>0</v>
      </c>
    </row>
    <row r="31">
      <c r="A31" s="6" t="inlineStr">
        <is>
          <t>Interest paid on lease liabilities</t>
        </is>
      </c>
      <c r="B31" s="6" t="n"/>
      <c r="C31" s="6" t="n"/>
      <c r="D31" s="6" t="n">
        <v>-323.5</v>
      </c>
      <c r="E31" s="6" t="n">
        <v>-39.6</v>
      </c>
    </row>
    <row r="32">
      <c r="A32" s="5" t="inlineStr">
        <is>
          <t>Net cash (outflows)/inflows from operating activities</t>
        </is>
      </c>
      <c r="B32" s="5" t="n">
        <v>126952.8</v>
      </c>
      <c r="C32" s="5" t="n">
        <v>15006.1</v>
      </c>
      <c r="D32" s="5" t="n">
        <v>-8642.1</v>
      </c>
      <c r="E32" s="5" t="n">
        <v>35831.6</v>
      </c>
    </row>
    <row r="33">
      <c r="A33" s="5" t="inlineStr">
        <is>
          <t>Investing activities</t>
        </is>
      </c>
      <c r="B33" s="6" t="n"/>
      <c r="C33" s="6" t="n"/>
      <c r="D33" s="6" t="n"/>
      <c r="E33" s="6" t="n"/>
    </row>
    <row r="34">
      <c r="A34" s="6" t="inlineStr">
        <is>
          <t>Fair value through other comprehensive income (investing)</t>
        </is>
      </c>
      <c r="B34" s="6" t="n">
        <v>-28235.8</v>
      </c>
      <c r="C34" s="6" t="n">
        <v>23678</v>
      </c>
      <c r="D34" s="6" t="n"/>
      <c r="E34" s="6" t="n"/>
    </row>
    <row r="35">
      <c r="A35" s="6" t="inlineStr">
        <is>
          <t>Financial investments at amortised cost (investing)</t>
        </is>
      </c>
      <c r="B35" s="6" t="n">
        <v>-67455.2</v>
      </c>
      <c r="C35" s="6" t="n">
        <v>18428</v>
      </c>
      <c r="D35" s="6" t="n"/>
      <c r="E35" s="6" t="n"/>
    </row>
    <row r="36">
      <c r="A36" s="6" t="inlineStr">
        <is>
          <t>Acquisition of property, plant and equipment</t>
        </is>
      </c>
      <c r="B36" s="6" t="n">
        <v>-2749.5</v>
      </c>
      <c r="C36" s="6" t="n">
        <v>-2092</v>
      </c>
      <c r="D36" s="6" t="n">
        <v>-3284.1</v>
      </c>
      <c r="E36" s="6" t="n">
        <v>-1439.6</v>
      </c>
    </row>
    <row r="37">
      <c r="A37" s="6" t="inlineStr">
        <is>
          <t>Disposal of subsidiaries</t>
        </is>
      </c>
      <c r="B37" s="6" t="n"/>
      <c r="C37" s="6" t="n">
        <v>21998.3</v>
      </c>
      <c r="D37" s="6" t="n"/>
      <c r="E37" s="6" t="n"/>
    </row>
    <row r="38">
      <c r="A38" s="6" t="inlineStr">
        <is>
          <t>Investment in subsidiaries</t>
        </is>
      </c>
      <c r="B38" s="6" t="n"/>
      <c r="C38" s="6" t="n"/>
      <c r="D38" s="6" t="n">
        <v>0</v>
      </c>
      <c r="E38" s="6" t="n">
        <v>0</v>
      </c>
    </row>
    <row r="39">
      <c r="A39" s="5" t="inlineStr">
        <is>
          <t>Net cash (outflows)/inflows from investing activities</t>
        </is>
      </c>
      <c r="B39" s="5" t="n">
        <v>-98440.5</v>
      </c>
      <c r="C39" s="5" t="n">
        <v>62012.2</v>
      </c>
      <c r="D39" s="5" t="n">
        <v>-3284.1</v>
      </c>
      <c r="E39" s="5" t="n">
        <v>-1439.6</v>
      </c>
    </row>
    <row r="40">
      <c r="A40" s="5" t="inlineStr">
        <is>
          <t>Financing activities</t>
        </is>
      </c>
      <c r="B40" s="6" t="n"/>
      <c r="C40" s="6" t="n"/>
      <c r="D40" s="6" t="n"/>
      <c r="E40" s="6" t="n"/>
    </row>
    <row r="41">
      <c r="A41" s="6" t="inlineStr">
        <is>
          <t>Payment of lease liabilities</t>
        </is>
      </c>
      <c r="B41" s="6" t="n">
        <v>-996.3</v>
      </c>
      <c r="C41" s="6" t="n">
        <v>-697</v>
      </c>
      <c r="D41" s="6" t="n">
        <v>-1147.1</v>
      </c>
      <c r="E41" s="6" t="n">
        <v>-1148.1</v>
      </c>
    </row>
    <row r="42">
      <c r="A42" s="5" t="inlineStr">
        <is>
          <t>Net cash outflows from financing activities</t>
        </is>
      </c>
      <c r="B42" s="5" t="n">
        <v>-996.3</v>
      </c>
      <c r="C42" s="5" t="n">
        <v>-697</v>
      </c>
      <c r="D42" s="5" t="n">
        <v>-1147.1</v>
      </c>
      <c r="E42" s="5" t="n">
        <v>-1148.1</v>
      </c>
    </row>
    <row r="43">
      <c r="A43" s="5" t="inlineStr">
        <is>
          <t>Net (decrease)/increase in cash and cash equivalents</t>
        </is>
      </c>
      <c r="B43" s="5" t="n">
        <v>27516.1</v>
      </c>
      <c r="C43" s="5" t="n">
        <v>76321.2</v>
      </c>
      <c r="D43" s="5" t="n">
        <v>-13073.3</v>
      </c>
      <c r="E43" s="5" t="n">
        <v>33243.9</v>
      </c>
    </row>
    <row r="44">
      <c r="A44" s="6" t="inlineStr">
        <is>
          <t>Effect of GBP/EUR translation (£ conversion artefact - see FX note; FY2023 also absorbs an undocumented cash-bridge gap, see ENTITY_NOTE)</t>
        </is>
      </c>
      <c r="B44" s="6" t="n">
        <v>-25757.6</v>
      </c>
      <c r="C44" s="6" t="n">
        <v>-10970.8</v>
      </c>
      <c r="D44" s="6" t="n">
        <v>7661.9</v>
      </c>
      <c r="E44" s="6" t="n">
        <v>-8855.799999999999</v>
      </c>
    </row>
    <row r="45">
      <c r="A45" s="6" t="inlineStr">
        <is>
          <t>Cash and cash equivalents at 1 January</t>
        </is>
      </c>
      <c r="B45" s="6" t="n">
        <v>542989</v>
      </c>
      <c r="C45" s="6" t="n">
        <v>477638.6</v>
      </c>
      <c r="D45" s="6" t="n">
        <v>146278.7</v>
      </c>
      <c r="E45" s="6" t="n">
        <v>121890.6</v>
      </c>
    </row>
    <row r="46">
      <c r="A46" s="5" t="inlineStr">
        <is>
          <t>Cash and cash equivalents at 31 December</t>
        </is>
      </c>
      <c r="B46" s="5" t="n">
        <v>544747.5</v>
      </c>
      <c r="C46" s="5" t="n">
        <v>542989</v>
      </c>
      <c r="D46" s="5" t="n">
        <v>140867.3</v>
      </c>
      <c r="E46" s="5" t="n">
        <v>146278.7</v>
      </c>
    </row>
    <row r="48" ht="380" customHeight="1">
      <c r="A48" s="8" t="inlineStr">
        <is>
          <t>Sources - all figures are Arab Bank Europe Plc's (Europe Arab Bank plc's) own Cash Flow Statement, converted from EUR to £'000 (see FX conversion note below):
FY2024/FY2023: Europe Arab Bank plc Annual Report and Financial Statements 2024, p.31 (Cash Flow Statement) - https://web.archive.org/web/20250805183352/https://www.eabplc.com/downloads/202502_EABAnnualReport_v3.pdf
FY2022/FY2021: Europe Arab Bank plc Annual Report and Financial Statements 2022, p.30 (Cash Flow Statement) - https://web.archive.org/web/20240714135652/https://www.eabplc.com/downloads/202304_EABAnnualReport_v7_144ppi.pdf
Each pair's own report was used for both its own year and its comparative column. FY2023/FY2024 use a materially different note structure to FY2021/FY2022 (new lines: trading gains on securities/derivatives, gain on lease modification, FX adjustments on ECL/ROU, loss on disposal of subsidiary/disposal of subsidiaries) - a genuine presentation evolution, not a gap; blank cells mark a line item that doesn't apply to that year's presentation, section TOTALs are unaffected and fully comparable.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48:E4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s>
  <sheetData>
    <row r="1">
      <c r="A1" s="1" t="inlineStr">
        <is>
          <t>Arab Bank Europe Plc — Asset Quality / Credit Risk Disclosures</t>
        </is>
      </c>
    </row>
    <row r="2">
      <c r="A2" s="2" t="inlineStr">
        <is>
          <t>£'000, converted from EUR at each year's period-end spot rate - loans and advances to customers only (see source note for why no by-product split is disclosed).</t>
        </is>
      </c>
    </row>
    <row r="3">
      <c r="A3" s="4" t="inlineStr">
        <is>
          <t>Line item</t>
        </is>
      </c>
      <c r="B3" s="4" t="inlineStr">
        <is>
          <t>FY2024 (£'000, conv. from EUR)</t>
        </is>
      </c>
      <c r="C3" s="4" t="inlineStr">
        <is>
          <t>FY2023 (£'000, conv. from EUR)</t>
        </is>
      </c>
      <c r="D3" s="4" t="inlineStr">
        <is>
          <t>FY2022 (£'000, conv. from EUR)</t>
        </is>
      </c>
      <c r="E3" s="4" t="inlineStr">
        <is>
          <t>FY2021 (£'000, conv. from EUR)</t>
        </is>
      </c>
    </row>
    <row r="4">
      <c r="A4" s="5" t="inlineStr">
        <is>
          <t>Loans and advances to customers by IFRS 9 stage (gross, £'000)</t>
        </is>
      </c>
      <c r="B4" s="6" t="n"/>
      <c r="C4" s="6" t="n"/>
      <c r="D4" s="6" t="n"/>
      <c r="E4" s="6" t="n"/>
    </row>
    <row r="5">
      <c r="A5" s="6" t="inlineStr">
        <is>
          <t>Stage 1 (performing)</t>
        </is>
      </c>
      <c r="B5" s="6" t="n">
        <v>807271.7</v>
      </c>
      <c r="C5" s="6" t="n">
        <v>736946.9</v>
      </c>
      <c r="D5" s="6" t="n">
        <v>686129.3</v>
      </c>
      <c r="E5" s="6" t="n">
        <v>696438.2</v>
      </c>
    </row>
    <row r="6">
      <c r="A6" s="6" t="inlineStr">
        <is>
          <t>Stage 2 (underperforming / significant increase in credit risk)</t>
        </is>
      </c>
      <c r="B6" s="6" t="n">
        <v>18180</v>
      </c>
      <c r="C6" s="6" t="n">
        <v>17540.5</v>
      </c>
      <c r="D6" s="6" t="n">
        <v>3642.8</v>
      </c>
      <c r="E6" s="6" t="n">
        <v>28908.2</v>
      </c>
    </row>
    <row r="7">
      <c r="A7" s="6" t="inlineStr">
        <is>
          <t>Stage 3 (credit-impaired / non-performing)</t>
        </is>
      </c>
      <c r="B7" s="6" t="n">
        <v>43498.6</v>
      </c>
      <c r="C7" s="6" t="n">
        <v>78912.39999999999</v>
      </c>
      <c r="D7" s="6" t="n">
        <v>108659.2</v>
      </c>
      <c r="E7" s="6" t="n">
        <v>93057</v>
      </c>
    </row>
    <row r="8">
      <c r="A8" s="5" t="inlineStr">
        <is>
          <t>Gross loans and advances to customers</t>
        </is>
      </c>
      <c r="B8" s="5" t="n">
        <v>868950.3</v>
      </c>
      <c r="C8" s="5" t="n">
        <v>833399.8</v>
      </c>
      <c r="D8" s="5" t="n">
        <v>798431.3</v>
      </c>
      <c r="E8" s="5" t="n">
        <v>818403.5</v>
      </c>
    </row>
    <row r="9">
      <c r="A9" s="5" t="inlineStr">
        <is>
          <t>Expected credit loss (ECL) allowance by stage (£'000)</t>
        </is>
      </c>
      <c r="B9" s="6" t="n"/>
      <c r="C9" s="6" t="n"/>
      <c r="D9" s="6" t="n"/>
      <c r="E9" s="6" t="n"/>
    </row>
    <row r="10">
      <c r="A10" s="6" t="inlineStr">
        <is>
          <t>Stage 1 ECL</t>
        </is>
      </c>
      <c r="B10" s="6" t="n">
        <v>2607.7</v>
      </c>
      <c r="C10" s="6" t="n">
        <v>4990.9</v>
      </c>
      <c r="D10" s="6" t="n">
        <v>6157.7</v>
      </c>
      <c r="E10" s="6" t="n">
        <v>2294.4</v>
      </c>
    </row>
    <row r="11">
      <c r="A11" s="6" t="inlineStr">
        <is>
          <t>Stage 2 ECL</t>
        </is>
      </c>
      <c r="B11" s="6" t="n">
        <v>41.3</v>
      </c>
      <c r="C11" s="6" t="n">
        <v>47.7</v>
      </c>
      <c r="D11" s="6" t="n">
        <v>36.4</v>
      </c>
      <c r="E11" s="6" t="n">
        <v>3241</v>
      </c>
    </row>
    <row r="12">
      <c r="A12" s="6" t="inlineStr">
        <is>
          <t>Stage 3 ECL</t>
        </is>
      </c>
      <c r="B12" s="6" t="n">
        <v>27264.2</v>
      </c>
      <c r="C12" s="6" t="n">
        <v>28806.7</v>
      </c>
      <c r="D12" s="6" t="n">
        <v>48800.2</v>
      </c>
      <c r="E12" s="6" t="n">
        <v>40344.3</v>
      </c>
    </row>
    <row r="13">
      <c r="A13" s="5" t="inlineStr">
        <is>
          <t>Total ECL allowance</t>
        </is>
      </c>
      <c r="B13" s="5" t="n">
        <v>29913.2</v>
      </c>
      <c r="C13" s="5" t="n">
        <v>33845.2</v>
      </c>
      <c r="D13" s="5" t="n">
        <v>54994.2</v>
      </c>
      <c r="E13" s="5" t="n">
        <v>45879.7</v>
      </c>
    </row>
    <row r="14">
      <c r="A14" s="6" t="inlineStr">
        <is>
          <t>Interest receivable (added after ECL - FY2023/FY2024 presentation only, see AQ_SOURCES)</t>
        </is>
      </c>
      <c r="B14" s="6" t="n">
        <v>7151.8</v>
      </c>
      <c r="C14" s="6" t="n">
        <v>7537</v>
      </c>
      <c r="D14" s="6" t="n"/>
      <c r="E14" s="6" t="n"/>
    </row>
    <row r="15">
      <c r="A15" s="5" t="inlineStr">
        <is>
          <t>Net loans and advances to customers</t>
        </is>
      </c>
      <c r="B15" s="5" t="n">
        <v>846188.9</v>
      </c>
      <c r="C15" s="5" t="n">
        <v>807091.6</v>
      </c>
      <c r="D15" s="5" t="n">
        <v>743437.1</v>
      </c>
      <c r="E15" s="5" t="n">
        <v>772523.7</v>
      </c>
    </row>
    <row r="16">
      <c r="A16" s="5" t="inlineStr">
        <is>
          <t>Asset quality ratios (computed from £-converted figures above)</t>
        </is>
      </c>
      <c r="B16" s="6" t="n"/>
      <c r="C16" s="6" t="n"/>
      <c r="D16" s="6" t="n"/>
      <c r="E16" s="6" t="n"/>
    </row>
    <row r="17">
      <c r="A17" s="6" t="inlineStr">
        <is>
          <t>ECL coverage ratio (Total ECL / Gross loans)</t>
        </is>
      </c>
      <c r="B17" s="6" t="inlineStr">
        <is>
          <t>3.44%</t>
        </is>
      </c>
      <c r="C17" s="6" t="inlineStr">
        <is>
          <t>4.06%</t>
        </is>
      </c>
      <c r="D17" s="6" t="inlineStr">
        <is>
          <t>6.89%</t>
        </is>
      </c>
      <c r="E17" s="6" t="inlineStr">
        <is>
          <t>5.61%</t>
        </is>
      </c>
    </row>
    <row r="18">
      <c r="A18" s="6" t="inlineStr">
        <is>
          <t>Stage 3 / NPL ratio (Stage 3 gross / Gross loans)</t>
        </is>
      </c>
      <c r="B18" s="6" t="inlineStr">
        <is>
          <t>5.01%</t>
        </is>
      </c>
      <c r="C18" s="6" t="inlineStr">
        <is>
          <t>9.47%</t>
        </is>
      </c>
      <c r="D18" s="6" t="inlineStr">
        <is>
          <t>13.61%</t>
        </is>
      </c>
      <c r="E18" s="6" t="inlineStr">
        <is>
          <t>11.37%</t>
        </is>
      </c>
    </row>
    <row r="19">
      <c r="A19" s="6" t="inlineStr">
        <is>
          <t>Stage 3 coverage ratio (Stage 3 ECL / Stage 3 gross)</t>
        </is>
      </c>
      <c r="B19" s="6" t="inlineStr">
        <is>
          <t>62.68%</t>
        </is>
      </c>
      <c r="C19" s="6" t="inlineStr">
        <is>
          <t>36.50%</t>
        </is>
      </c>
      <c r="D19" s="6" t="inlineStr">
        <is>
          <t>44.91%</t>
        </is>
      </c>
      <c r="E19" s="6" t="inlineStr">
        <is>
          <t>43.35%</t>
        </is>
      </c>
    </row>
    <row r="21" ht="220" customHeight="1">
      <c r="A21" s="8" t="inlineStr">
        <is>
          <t>Sources - Arab Bank Europe Plc's (Europe Arab Bank plc's) own Note 34/33 'Credit risk - Quality of Assets' table, 'Loans and advances to customers' column only (the note's other columns - cash/due from banks, financial investments at amortised cost, guarantees/LCs/unused facilities - are not loan-book exposures and are excluded here), converted from EUR to £'000 at each year's period-end spot rate:
FY2024/FY2023: Annual Report and Financial Statements 2024, pp.75-76 (Note 33, Credit risk, Quality of Assets) - https://web.archive.org/web/20250805183352/https://www.eabplc.com/downloads/202502_EABAnnualReport_v3.pdf
FY2022/FY2021: Annual Report and Financial Statements 2022, pp.72-73 (Note 34, Credit risk, Quality of Assets) - https://web.archive.org/web/20240714135652/https://www.eabplc.com/downloads/202304_EABAnnualReport_v7_144ppi.pdf
No by-product split is disclosed anywhere in either report - only the by-IFRS-9-stage breakdown shown here. FY2023/FY2024's table separately discloses an 'Interest Receivable' amount added after ECL to reach the net figure; FY2021/FY2022's table has no such line (net = gross - ECL exactly that year) - left blank for FY2021/FY2022 rather than forced to zero. Ratios (ECL coverage, Stage 3/NPL, Stage 3 coverage) are computed from the £-converted gross/ECL figures above, consistent with this project's convention elsewhere.
ENTITY NOTE: Arab Bank Europe Plc, FRN 446951, company 05575857 (incorporated 2005, trades and files financial statements under the name "Europe Arab Bank plc" - the PRA list's word order is reversed vs. Companies House/FCA register, confirmed as the same entity via FRN and company number match, not a guess). Wholly-owned subsidiary of Arab Bank plc (Jordan); UNLIKE many single-foreign-parent subsidiaries in this series, it does NOT take the FRS 101/102 cash-flow-statement exemption - a full Cash Flow Statement is published every year. eabplc.com's TLS configuration originally rejected every automated fetch attempted; re-checked 2026-09-07 (HD-081 item 4) and the domain now serves valid TLS but has migrated wholesale to arabbankeurope.com with a blanket 301 redirect to that site's homepage for every old eabplc.com URL (including PDF paths that Google's index still shows as live, e.g. Pillar3EABplc2023.pdf and Pillar3EAB_PLC_2024.pdf - both 301 to the new homepage, not obtainable, and neither is in the Wayback Machine), so most sourcing still relies on Wayback Machine snapshots. The FY2022 Annual Report (giving FY2021+FY2022) and the FY2024 Annual Report (giving FY2023+FY2024) remain the two Annual Reports used throughout this workbook. The FY2021 and FY2023 standalone Annual Reports were still not obtainable on re-check. The FY2025 Annual Report, previously unobtainable, WAS found on re-check (2026-09-07) live at arabbankeurope.com/downloads/annual-report-2025/ (Companies House confirms this FY2025 filing, filed 10 May 2026) - not incorporated into this workbook (YEARS remains FY2021-FY2024; adding a 5th year requires a full statement transcription across every ST- sheet, out of scope for this correctness re-check - flagged for a future year-extension ticket). The generic 'Pillar3.pdf' previously found archived but truncated/corrupted on every retry attempted was RE-CHECKED 2026-09-07 and now downloads intact from its Wayback snapshot (https://web.archive.org/web/20240714131343/https://www.eabplc.com/downloads/Pillar3.pdf, 35pp, EAB Group's own standalone Pillar 3 disclosure as at 31 Dec 2022 with a 31 Dec 2021 comparative) - it gives full entity-level ("EAB plc**", i.e. Arab Bank Europe Plc solo, not the wider EAB Group) capital/RWA/leverage/LCR/NSFR amounts for FY2021 and FY2022, previously all marked 'Not publicly disclosed'; see the individual Pillar 3 metric sheets and the RWA Breakdown sheet for the recovered figures and their citation. No equivalent standalone document could be recovered for FY2023 or FY2024, so those two years remain limited to the Annual Report's own two headline ratios. Pillar 3 disclosure for FY2023/FY2024 is consequently still thin: only two ratios (Capital adequacy/Total Capital ratio, Common Equity Tier 1 ratio) are stated for those years, as headline percentages in the Annual Report's own 'Other Key Performance Indicators' table (note 37 does not add any £/€ breakdown for those two years - CET1/Total Capital amounts, RWA, leverage, LCR and NSFR for FY2023/FY2024 are not disclosed anywhere in the sourced documents; MREL is not disclosed for any year) - the same narrative-KPI-only pattern seen at AIB Group (UK) and Bank of Ireland (UK), now only for FY2023/FY2024 rather than all four years. A genuine, undocumented cash bridge gap exists between FY2022's closing balance (per the FY2022 Annual Report, €158,856k) and FY2023's opening balance (per the FY2024 Annual Report's own comparative column, €538,633k) - the FY2023 Annual Report itself, which would show what happened during that year, was not obtainable (re-checked 2026-09-07, both eabplc.com direct and a broader Wayback search: still not archived anywhere). The FY2023 column shows a 'Loss on disposal of subsidiary' (€3,294k) and 'Disposal of subsidiaries' (€25,342k) line item not present in any other year, consistent with a subsidiary disposal/deconsolidation event during FY2023, but this does not come close to explaining the full €379,777k gap; the FY2025 Annual Report found on re-check (see above) only carries FY2024/FY2025 comparatives, one year too late to shed any light on FY2023, and contains no restatement note referencing FY2023 or FY2022 - left unbridged and flagged rather than silently forced to reconcile.
FX CONVERSION NOTE: Arab Bank Europe Plc (trading/registered as "Europe Arab Bank plc") reports in Euros (its functional currency, per its own Annual Report) - this is the first EUR-reporting workbook in this series. Converted to £ following the same methodology used for this project's earlier USD-reporting banks (SMBC BI, Zenith, UBA UK, Access Bank UK, Union Bank of India UK): point-in-time/balance figures use the Bank of England GBP/EUR SPOT rate as at that fiscal year-end (31 December); flow figures (every cash flow statement line item) use the AVERAGE of the daily spot rates over that calendar year - both from Bank of England daily reference rates via poundsterlinglive.com's published archive. Rates used (£1 = €X): 31 Dec 2020 spot 1.1118 (FY2021 opening cash only); FY2021 spot 1.1907 / average 1.1628; FY2022 spot 1.1277 / average 1.1717; FY2023 spot 1.1539 / average 1.1520; FY2024 spot 1.2099 / average 1.1824. All % ratios (CET1/Total Capital ratios - see ENTITY_NOTE for why this is all that's disclosed) are shown EXACTLY as reported in EUR and were NOT converted - a ratio is dimensionless and currency-invariant. Because stocks and flows are converted at different rates (standard practice for translating foreign-currency financial statements), a programmatically-computed 'Effect of GBP/EUR translation' reconciling line is included so opening + all flows + this line = closing exactly in £ terms.</t>
        </is>
      </c>
    </row>
  </sheetData>
  <mergeCells count="1">
    <mergeCell ref="A21:E2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Common Equity Tier 1 (CET1)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CET1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Common Equity Tier 1 (CET1) ratio</t>
        </is>
      </c>
      <c r="B4" s="6" t="inlineStr">
        <is>
          <t>16%</t>
        </is>
      </c>
      <c r="C4" s="6" t="inlineStr">
        <is>
          <t>17%</t>
        </is>
      </c>
      <c r="D4" s="6" t="inlineStr">
        <is>
          <t>15.5%</t>
        </is>
      </c>
      <c r="E4" s="6" t="inlineStr">
        <is>
          <t>15.6%</t>
        </is>
      </c>
    </row>
    <row r="5" ht="60" customHeight="1">
      <c r="A5" s="7" t="inlineStr">
        <is>
          <t>Note: FY2021/FY2022 values (15.6%/15.5%) are the recovered Pillar3.pdf's own precise figures on the same 'EAB plc' entity-only basis, rather than the Annual Report's rounded whole-percent KPI table (which shows 16% for both years) - both are the Bank's own disclosures and are consistent once rounded, so the more precise source is preferred. FY2023/FY2024 (17%/16%)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capital (£'000)</t>
        </is>
      </c>
      <c r="B4" s="6" t="inlineStr">
        <is>
          <t>Not publicly disclosed</t>
        </is>
      </c>
      <c r="C4" s="6" t="inlineStr">
        <is>
          <t>Not publicly disclosed</t>
        </is>
      </c>
      <c r="D4" s="6" t="n">
        <v>224350.4</v>
      </c>
      <c r="E4" s="6" t="n">
        <v>211640.2</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Additional Tier 1 (AT1) capital is nil in both FY2021 and FY2022 per Pillar3.pdf, so Tier 1 = CET1 exactly in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Tier 1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Tier 1 ratio</t>
        </is>
      </c>
      <c r="B4" s="6" t="inlineStr">
        <is>
          <t>Not publicly disclosed</t>
        </is>
      </c>
      <c r="C4" s="6" t="inlineStr">
        <is>
          <t>Not publicly disclosed</t>
        </is>
      </c>
      <c r="D4" s="6" t="inlineStr">
        <is>
          <t>15.5%</t>
        </is>
      </c>
      <c r="E4" s="6" t="inlineStr">
        <is>
          <t>15.6%</t>
        </is>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 Tier 1 ratio = CET1 ratio in both FY2021 and FY2022 since AT1 is nil (see Tier 1 Capital sheet). For FY2023/FY2024, the KPI table's 'Capital adequacy ratio' is Total Capital, not Tier 1 - not substituted here since that would misrepresent a different metric.</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Total capital (£'000)</t>
        </is>
      </c>
      <c r="B4" s="6" t="inlineStr">
        <is>
          <t>Not publicly disclosed</t>
        </is>
      </c>
      <c r="C4" s="6" t="inlineStr">
        <is>
          <t>Not publicly disclosed</t>
        </is>
      </c>
      <c r="D4" s="6" t="n">
        <v>328101.4</v>
      </c>
      <c r="E4" s="6" t="n">
        <v>304022.8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Capital Ratio</t>
        </is>
      </c>
    </row>
    <row r="2">
      <c r="A2" s="2" t="inlineStr">
        <is>
          <t>Entity-level basis, % of RWA</t>
        </is>
      </c>
    </row>
    <row r="3">
      <c r="A3" s="4" t="inlineStr">
        <is>
          <t>Metric</t>
        </is>
      </c>
      <c r="B3" s="4" t="inlineStr">
        <is>
          <t>FY2024</t>
        </is>
      </c>
      <c r="C3" s="4" t="inlineStr">
        <is>
          <t>FY2023</t>
        </is>
      </c>
      <c r="D3" s="4" t="inlineStr">
        <is>
          <t>FY2022</t>
        </is>
      </c>
      <c r="E3" s="4" t="inlineStr">
        <is>
          <t>FY2021</t>
        </is>
      </c>
    </row>
    <row r="4">
      <c r="A4" s="6" t="inlineStr">
        <is>
          <t>Capital adequacy (Total Capital) ratio</t>
        </is>
      </c>
      <c r="B4" s="6" t="inlineStr">
        <is>
          <t>23%</t>
        </is>
      </c>
      <c r="C4" s="6" t="inlineStr">
        <is>
          <t>24%</t>
        </is>
      </c>
      <c r="D4" s="6" t="inlineStr">
        <is>
          <t>22.7%</t>
        </is>
      </c>
      <c r="E4" s="6" t="inlineStr">
        <is>
          <t>22.4%</t>
        </is>
      </c>
    </row>
    <row r="5" ht="60" customHeight="1">
      <c r="A5" s="7" t="inlineStr">
        <is>
          <t>Note: FY2021/FY2022 values (22.4%/22.7%) are the recovered Pillar3.pdf's own precise figures on the same 'EAB plc' entity-only basis, rather than the Annual Report's rounded whole-percent KPI table (which shows 22%/23%) - both are the Bank's own disclosures and are consistent once rounded, so the more precise source is preferred. FY2023/FY2024 (24%/23%) remain from the Annual Report's KPI table, the only source found for those two years.</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Total RWAs</t>
        </is>
      </c>
    </row>
    <row r="2">
      <c r="A2" s="2" t="inlineStr">
        <is>
          <t>Entity-level basis, £'000</t>
        </is>
      </c>
    </row>
    <row r="3">
      <c r="A3" s="4" t="inlineStr">
        <is>
          <t>Metric</t>
        </is>
      </c>
      <c r="B3" s="4" t="inlineStr">
        <is>
          <t>FY2024</t>
        </is>
      </c>
      <c r="C3" s="4" t="inlineStr">
        <is>
          <t>FY2023</t>
        </is>
      </c>
      <c r="D3" s="4" t="inlineStr">
        <is>
          <t>FY2022</t>
        </is>
      </c>
      <c r="E3" s="4" t="inlineStr">
        <is>
          <t>FY2021</t>
        </is>
      </c>
    </row>
    <row r="4">
      <c r="A4" s="6" t="inlineStr">
        <is>
          <t>Total risk-weighted assets (£'000)</t>
        </is>
      </c>
      <c r="B4" s="6" t="inlineStr">
        <is>
          <t>Not publicly disclosed</t>
        </is>
      </c>
      <c r="C4" s="6" t="inlineStr">
        <is>
          <t>Not publicly disclosed</t>
        </is>
      </c>
      <c r="D4" s="6" t="n">
        <v>1446306.6</v>
      </c>
      <c r="E4" s="6" t="n">
        <v>1357184.8</v>
      </c>
    </row>
    <row r="5" ht="60" customHeight="1">
      <c r="A5" s="7" t="inlineStr">
        <is>
          <t>Note: FY2021/FY2022 now sourced from the recovered standalone Pillar3.pdf (see PILLAR3_SOURCES below and ENTITY_NOTE). FY2023/FY2024 remain 'Not publicly disclosed' - the Bank's only capital disclosure for those two years is the Annual Report's 'Other Key Performance Indicators' table's two headline ratios (Capital adequacy ratio, Common Equity Tier 1 ratio); no standalone Pillar 3 document could be recovered for either year despite a re-check of both eabplc.com/arabbankeurope.com directly and a broader Wayback CDX search (2026-09-07, HD-081 item 4).</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Arab Bank Europe Plc — RWA Breakdown</t>
        </is>
      </c>
    </row>
    <row r="2">
      <c r="A2" s="2" t="inlineStr">
        <is>
          <t>Entity-level basis</t>
        </is>
      </c>
    </row>
    <row r="3">
      <c r="A3" s="4" t="inlineStr">
        <is>
          <t>Line item</t>
        </is>
      </c>
      <c r="B3" s="4" t="inlineStr">
        <is>
          <t>FY2024 (£'000)</t>
        </is>
      </c>
      <c r="C3" s="4" t="inlineStr">
        <is>
          <t>FY2023 (£'000)</t>
        </is>
      </c>
      <c r="D3" s="4" t="inlineStr">
        <is>
          <t>FY2022 (£'000)</t>
        </is>
      </c>
      <c r="E3" s="4" t="inlineStr">
        <is>
          <t>FY2021 (£'000)</t>
        </is>
      </c>
    </row>
    <row r="4">
      <c r="A4" s="6" t="inlineStr">
        <is>
          <t>Credit risk (excluding counterparty credit risk)</t>
        </is>
      </c>
      <c r="B4" s="6" t="n"/>
      <c r="C4" s="6" t="n"/>
      <c r="D4" s="6" t="n">
        <v>1225503.2</v>
      </c>
      <c r="E4" s="6" t="n">
        <v>1155622.7</v>
      </c>
    </row>
    <row r="5">
      <c r="A5" s="6" t="inlineStr">
        <is>
          <t>Counterparty credit risk</t>
        </is>
      </c>
      <c r="B5" s="6" t="n"/>
      <c r="C5" s="6" t="n"/>
      <c r="D5" s="6" t="n">
        <v>10641.1</v>
      </c>
      <c r="E5" s="6" t="n">
        <v>3359.4</v>
      </c>
    </row>
    <row r="6">
      <c r="A6" s="6" t="inlineStr">
        <is>
          <t>Credit valuation adjustment</t>
        </is>
      </c>
      <c r="B6" s="6" t="n"/>
      <c r="C6" s="6" t="n"/>
      <c r="D6" s="6" t="n">
        <v>886.8</v>
      </c>
      <c r="E6" s="6" t="n">
        <v>8398.4</v>
      </c>
    </row>
    <row r="7">
      <c r="A7" s="6" t="inlineStr">
        <is>
          <t>Securitisation exposures in the non-trading book</t>
        </is>
      </c>
      <c r="B7" s="6" t="n"/>
      <c r="C7" s="6" t="n"/>
      <c r="D7" s="6" t="n">
        <v>144542</v>
      </c>
      <c r="E7" s="6" t="n">
        <v>141093.5</v>
      </c>
    </row>
    <row r="8">
      <c r="A8" s="6" t="inlineStr">
        <is>
          <t>Position, foreign exchange and commodities risks</t>
        </is>
      </c>
      <c r="B8" s="6" t="n"/>
      <c r="C8" s="6" t="n"/>
      <c r="D8" s="6" t="n">
        <v>5320.6</v>
      </c>
      <c r="E8" s="6" t="n">
        <v>0</v>
      </c>
    </row>
    <row r="9">
      <c r="A9" s="6" t="inlineStr">
        <is>
          <t>Operational risk</t>
        </is>
      </c>
      <c r="B9" s="6" t="n"/>
      <c r="C9" s="6" t="n"/>
      <c r="D9" s="6" t="n">
        <v>59413</v>
      </c>
      <c r="E9" s="6" t="n">
        <v>47871</v>
      </c>
    </row>
    <row r="10">
      <c r="A10" s="5" t="inlineStr">
        <is>
          <t>Total risk-weighted assets</t>
        </is>
      </c>
      <c r="B10" s="5" t="n"/>
      <c r="C10" s="5" t="n"/>
      <c r="D10" s="5" t="n">
        <v>1446306.6</v>
      </c>
      <c r="E10" s="5" t="n">
        <v>1357184.8</v>
      </c>
    </row>
    <row r="12" ht="200" customHeight="1">
      <c r="A12" s="8" t="inlineStr">
        <is>
          <t>FY2022/FY2021: recovered Pillar3.pdf's 'Overview of RWA' table, 'EAB PLC' entity-only RWA columns (not the 'EAB Group' columns, for consistency with the rest of this workbook), converted from EUR to £'000 at each year's period-end spot rate.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
FY2023/FY2024: Not disclosed in either sourced Annual Report (FY2021/FY2022 or FY2023/FY2024) - the Bank's only capital disclosure anywhere in these documents is the 'Other Key Performance Indicators' table's two headline ratios (Capital adequacy/Total Capital ratio, CET1 ratio - see the Total Capital Ratio and CET1 Ratio Pillar 3 sheets). No RWA amount, UK OV1 exposure-class breakdown, or standalone Pillar 3 document was obtainable (see ENTITY_NOTE on the Cash Flow Statement sheet).</t>
        </is>
      </c>
    </row>
  </sheetData>
  <mergeCells count="1">
    <mergeCell ref="A12:E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Leverage Ratio</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Leverage ratio excluding claims on central banks</t>
        </is>
      </c>
      <c r="B4" s="6" t="inlineStr">
        <is>
          <t>Not publicly disclosed</t>
        </is>
      </c>
      <c r="C4" s="6" t="inlineStr">
        <is>
          <t>Not publicly disclosed</t>
        </is>
      </c>
      <c r="D4" s="6" t="inlineStr">
        <is>
          <t>11.7%</t>
        </is>
      </c>
      <c r="E4" s="6" t="inlineStr">
        <is>
          <t>Not publicly disclosed</t>
        </is>
      </c>
    </row>
    <row r="5" ht="60" customHeight="1">
      <c r="A5" s="7" t="inlineStr">
        <is>
          <t>Note: FY2022 only - Pillar3.pdf's own FY2021 comparative is flagged 'n/a': the PRA's leverage ratio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LCR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Liquidity Coverage Ratio</t>
        </is>
      </c>
      <c r="B4" s="6" t="inlineStr">
        <is>
          <t>Not publicly disclosed</t>
        </is>
      </c>
      <c r="C4" s="6" t="inlineStr">
        <is>
          <t>Not publicly disclosed</t>
        </is>
      </c>
      <c r="D4" s="6" t="inlineStr">
        <is>
          <t>218%</t>
        </is>
      </c>
      <c r="E4" s="6" t="inlineStr">
        <is>
          <t>267%</t>
        </is>
      </c>
    </row>
    <row r="5" ht="60" customHeight="1">
      <c r="A5" s="7" t="inlineStr">
        <is>
          <t>Note: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NSFR</t>
        </is>
      </c>
    </row>
    <row r="2">
      <c r="A2" s="2" t="inlineStr">
        <is>
          <t>Entity-level basis</t>
        </is>
      </c>
    </row>
    <row r="3">
      <c r="A3" s="4" t="inlineStr">
        <is>
          <t>Metric</t>
        </is>
      </c>
      <c r="B3" s="4" t="inlineStr">
        <is>
          <t>FY2024</t>
        </is>
      </c>
      <c r="C3" s="4" t="inlineStr">
        <is>
          <t>FY2023</t>
        </is>
      </c>
      <c r="D3" s="4" t="inlineStr">
        <is>
          <t>FY2022</t>
        </is>
      </c>
      <c r="E3" s="4" t="inlineStr">
        <is>
          <t>FY2021</t>
        </is>
      </c>
    </row>
    <row r="4">
      <c r="A4" s="6" t="inlineStr">
        <is>
          <t>Net Stable Funding Ratio</t>
        </is>
      </c>
      <c r="B4" s="6" t="inlineStr">
        <is>
          <t>Not publicly disclosed</t>
        </is>
      </c>
      <c r="C4" s="6" t="inlineStr">
        <is>
          <t>Not publicly disclosed</t>
        </is>
      </c>
      <c r="D4" s="6" t="inlineStr">
        <is>
          <t>120%</t>
        </is>
      </c>
      <c r="E4" s="6" t="inlineStr">
        <is>
          <t>Not publicly disclosed</t>
        </is>
      </c>
    </row>
    <row r="5" ht="60" customHeight="1">
      <c r="A5" s="7" t="inlineStr">
        <is>
          <t>Note: FY2022 only - Pillar3.pdf's own FY2021 comparative is flagged 'n/a': the PRA's NSFR disclosure template only took effect from 1 Jan 2022, so no FY2021 comparative was ever produced (not a sourcing gap). FY2023/FY2024: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t>
        </is>
      </c>
    </row>
    <row r="7" ht="14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Arab Bank Europe Plc — MREL Ratio</t>
        </is>
      </c>
    </row>
    <row r="2">
      <c r="A2" s="2" t="inlineStr"/>
    </row>
    <row r="3">
      <c r="A3" s="4" t="inlineStr">
        <is>
          <t>Metric</t>
        </is>
      </c>
      <c r="B3" s="4" t="inlineStr">
        <is>
          <t>FY2024</t>
        </is>
      </c>
      <c r="C3" s="4" t="inlineStr">
        <is>
          <t>FY2023</t>
        </is>
      </c>
      <c r="D3" s="4" t="inlineStr">
        <is>
          <t>FY2022</t>
        </is>
      </c>
      <c r="E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row>
    <row r="5" ht="60" customHeight="1">
      <c r="A5" s="7" t="inlineStr">
        <is>
          <t>Note: Not disclosed in any of the two sourced Annual Reports (FY2021/FY2022 or FY2023/FY2024) - the Bank's only capital/liquidity disclosure is the 'Other Key Performance Indicators' table's two headline ratios (Capital adequacy ratio, Common Equity Tier 1 ratio). No standalone Pillar 3 document was obtainable (see ENTITY_NOTE on the Cash Flow Statement sheet) and no other figure for this metric appears anywhere in either report. Not disclosed in the recovered Pillar3.pdf either (no MREL section anywhere in that document) - EAB plc is likely below the MREL threshold that would require this disclosure.</t>
        </is>
      </c>
    </row>
    <row r="7" ht="150" customHeight="1">
      <c r="A7" s="8" t="inlineStr">
        <is>
          <t>Sources - Arab Bank Europe Plc's (Europe Arab Bank plc's) own Annual Report, 'Other Key Performance Indicators' table (% ratios only - see ENTITY_NOTE on the Cash Flow Statement sheet for why no £/€ breakdown, RWA, leverage, LCR, NSFR, or MREL figure could be sourced):
FY2024/FY2023: Annual Report and Financial Statements 2024, p.6 - https://web.archive.org/web/20250805183352/https://www.eabplc.com/downloads/202502_EABAnnualReport_v3.pdf
FY2022/FY2021: Annual Report and Financial Statements 2022, p.9 - https://web.archive.org/web/20240714135652/https://www.eabplc.com/downloads/202304_EABAnnualReport_v7_144ppi.pdf
FY2022/FY2021 (this row only): Europe Arab Bank plc's standalone Pillar 3 Disclosures as at 31 December 2022, PDF page 8 of 35 ('Overview of key metrics' table), 'EAB plc**' entity-only column (** = 'EAB plc regulatory numbers are based on entity only basis', per the document's own footnote) - not the wider 'EAB Group' column, for consistency with every other sheet in this workbook, which is entity-only throughout. https://web.archive.org/web/20240714131343/https://www.eabplc.com/downloads/Pillar3.pdf
Recovered 2026-09-07 (HD-081 item 4 re-check) - this document was previously found archived at the same Wayback URL but was corrupted/truncated on every earlier download attempt; it now downloads intact as a readable 35-page PDF. No equivalent standalone document could be found for FY2023 or FY2024 (see ENTITY_NOTE).</t>
        </is>
      </c>
    </row>
  </sheetData>
  <mergeCells count="2">
    <mergeCell ref="A5:E5"/>
    <mergeCell ref="A7:E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2026-09-07T15:57:11Z</dcterms:created>
  <dcterms:modified xmlns:dcterms="http://purl.org/dc/terms/" xmlns:xsi="http://www.w3.org/2001/XMLSchema-instance" xsi:type="dcterms:W3CDTF">2026-09-07T15:57:11Z</dcterms:modified>
</cp:coreProperties>
</file>