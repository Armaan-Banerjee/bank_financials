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355070"/>
        <bgColor rgb="0035507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 Bank Europe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'Overview'!H6</f>
            </strRef>
          </tx>
          <spPr>
            <a:ln>
              <a:prstDash val="solid"/>
            </a:ln>
          </spPr>
          <cat>
            <numRef>
              <f>'Overview'!$I$5:$L$5</f>
            </numRef>
          </cat>
          <val>
            <numRef>
              <f>'Overview'!$I$6:$L$6</f>
            </numRef>
          </val>
        </ser>
        <ser>
          <idx val="1"/>
          <order val="1"/>
          <tx>
            <strRef>
              <f>'Overview'!H7</f>
            </strRef>
          </tx>
          <spPr>
            <a:ln>
              <a:prstDash val="solid"/>
            </a:ln>
          </spPr>
          <cat>
            <numRef>
              <f>'Overview'!$I$5:$L$5</f>
            </numRef>
          </cat>
          <val>
            <numRef>
              <f>'Overview'!$I$7:$L$7</f>
            </numRef>
          </val>
        </ser>
        <ser>
          <idx val="2"/>
          <order val="2"/>
          <tx>
            <strRef>
              <f>'Overview'!H8</f>
            </strRef>
          </tx>
          <spPr>
            <a:ln>
              <a:prstDash val="solid"/>
            </a:ln>
          </spPr>
          <cat>
            <numRef>
              <f>'Overview'!$I$5:$L$5</f>
            </numRef>
          </cat>
          <val>
            <numRef>
              <f>'Overview'!$I$8:$L$8</f>
            </numRef>
          </val>
        </ser>
        <ser>
          <idx val="3"/>
          <order val="3"/>
          <tx>
            <strRef>
              <f>'Overview'!H9</f>
            </strRef>
          </tx>
          <spPr>
            <a:ln>
              <a:prstDash val="solid"/>
            </a:ln>
          </spPr>
          <cat>
            <numRef>
              <f>'Overview'!$I$5:$L$5</f>
            </numRef>
          </cat>
          <val>
            <numRef>
              <f>'Overview'!$I$9:$L$9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 (conv. from EUR)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Arab Bank Europe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'Overview'!O6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'Overview'!$P$6:$S$6</f>
            </numRef>
          </val>
          <smooth val="0"/>
        </ser>
        <ser>
          <idx val="1"/>
          <order val="1"/>
          <tx>
            <strRef>
              <f>'Overview'!O7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'Overview'!$P$5:$S$5</f>
            </numRef>
          </cat>
          <val>
            <numRef>
              <f>'Overview'!$P$7:$S$7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40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>
      <c r="A1" s="1" t="inlineStr">
        <is>
          <t>Arab Bank Europe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 (conv. from EUR))</t>
        </is>
      </c>
    </row>
    <row r="5">
      <c r="A5" s="4" t="inlineStr">
        <is>
          <t>Line item</t>
        </is>
      </c>
      <c r="B5" s="4" t="inlineStr">
        <is>
          <t>FY2024</t>
        </is>
      </c>
      <c r="C5" s="4" t="inlineStr">
        <is>
          <t>FY2023</t>
        </is>
      </c>
      <c r="D5" s="4" t="inlineStr">
        <is>
          <t>FY2022</t>
        </is>
      </c>
      <c r="E5" s="4" t="inlineStr">
        <is>
          <t>FY2021</t>
        </is>
      </c>
      <c r="I5" t="inlineStr">
        <is>
          <t>FY2021</t>
        </is>
      </c>
      <c r="J5" t="inlineStr">
        <is>
          <t>FY2022</t>
        </is>
      </c>
      <c r="K5" t="inlineStr">
        <is>
          <t>FY2023</t>
        </is>
      </c>
      <c r="L5" t="inlineStr">
        <is>
          <t>FY2024</t>
        </is>
      </c>
      <c r="P5" t="inlineStr">
        <is>
          <t>FY2021</t>
        </is>
      </c>
      <c r="Q5" t="inlineStr">
        <is>
          <t>FY2022</t>
        </is>
      </c>
      <c r="R5" t="inlineStr">
        <is>
          <t>FY2023</t>
        </is>
      </c>
      <c r="S5" t="inlineStr">
        <is>
          <t>FY2024</t>
        </is>
      </c>
    </row>
    <row r="6">
      <c r="A6" s="5" t="inlineStr">
        <is>
          <t>Net cash (outflows)/inflows from operating activities</t>
        </is>
      </c>
      <c r="B6" s="5" t="n">
        <v>126952.8</v>
      </c>
      <c r="C6" s="5" t="n">
        <v>15006.1</v>
      </c>
      <c r="D6" s="5" t="n">
        <v>-8642.1</v>
      </c>
      <c r="E6" s="5" t="n">
        <v>35831.6</v>
      </c>
      <c r="H6" t="inlineStr">
        <is>
          <t>Net cash (outflows)/inflows from operating activities</t>
        </is>
      </c>
      <c r="I6" t="n">
        <v>35831.6</v>
      </c>
      <c r="J6" t="n">
        <v>-8642.1</v>
      </c>
      <c r="K6" t="n">
        <v>15006.1</v>
      </c>
      <c r="L6" t="n">
        <v>126952.8</v>
      </c>
      <c r="O6" t="inlineStr">
        <is>
          <t>CET1 Ratio</t>
        </is>
      </c>
      <c r="P6" t="n">
        <v>16</v>
      </c>
      <c r="Q6" t="n">
        <v>16</v>
      </c>
      <c r="R6" t="n">
        <v>17</v>
      </c>
      <c r="S6" t="n">
        <v>16</v>
      </c>
    </row>
    <row r="7">
      <c r="A7" s="5" t="inlineStr">
        <is>
          <t>Net cash (outflows)/inflows from investing activities</t>
        </is>
      </c>
      <c r="B7" s="5" t="n">
        <v>-98440.5</v>
      </c>
      <c r="C7" s="5" t="n">
        <v>62012.2</v>
      </c>
      <c r="D7" s="5" t="n">
        <v>-3284.1</v>
      </c>
      <c r="E7" s="5" t="n">
        <v>-1439.6</v>
      </c>
      <c r="H7" t="inlineStr">
        <is>
          <t>Net cash (outflows)/inflows from investing activities</t>
        </is>
      </c>
      <c r="I7" t="n">
        <v>-1439.6</v>
      </c>
      <c r="J7" t="n">
        <v>-3284.1</v>
      </c>
      <c r="K7" t="n">
        <v>62012.2</v>
      </c>
      <c r="L7" t="n">
        <v>-98440.5</v>
      </c>
      <c r="O7" t="inlineStr">
        <is>
          <t>Total Capital Ratio</t>
        </is>
      </c>
      <c r="P7" t="n">
        <v>22</v>
      </c>
      <c r="Q7" t="n">
        <v>23</v>
      </c>
      <c r="R7" t="n">
        <v>24</v>
      </c>
      <c r="S7" t="n">
        <v>23</v>
      </c>
    </row>
    <row r="8">
      <c r="A8" s="5" t="inlineStr">
        <is>
          <t>Net cash outflows from financing activities</t>
        </is>
      </c>
      <c r="B8" s="5" t="n">
        <v>-996.3</v>
      </c>
      <c r="C8" s="5" t="n">
        <v>-697</v>
      </c>
      <c r="D8" s="5" t="n">
        <v>-1147.1</v>
      </c>
      <c r="E8" s="5" t="n">
        <v>-1148.1</v>
      </c>
      <c r="H8" t="inlineStr">
        <is>
          <t>Net cash outflows from financing activities</t>
        </is>
      </c>
      <c r="I8" t="n">
        <v>-1148.1</v>
      </c>
      <c r="J8" t="n">
        <v>-1147.1</v>
      </c>
      <c r="K8" t="n">
        <v>-697</v>
      </c>
      <c r="L8" t="n">
        <v>-996.3</v>
      </c>
    </row>
    <row r="9">
      <c r="A9" s="5" t="inlineStr">
        <is>
          <t>Cash and cash equivalents at 31 December</t>
        </is>
      </c>
      <c r="B9" s="5" t="n">
        <v>544747.5</v>
      </c>
      <c r="C9" s="5" t="n">
        <v>542989</v>
      </c>
      <c r="D9" s="5" t="n">
        <v>140867.3</v>
      </c>
      <c r="E9" s="5" t="n">
        <v>146278.7</v>
      </c>
      <c r="H9" t="inlineStr">
        <is>
          <t>Cash and cash equivalents at 31 December</t>
        </is>
      </c>
      <c r="I9" t="n">
        <v>146278.7</v>
      </c>
      <c r="J9" t="n">
        <v>140867.3</v>
      </c>
      <c r="K9" t="n">
        <v>542989</v>
      </c>
      <c r="L9" t="n">
        <v>544747.5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FY2024</t>
        </is>
      </c>
      <c r="C12" s="4" t="inlineStr">
        <is>
          <t>FY2023</t>
        </is>
      </c>
      <c r="D12" s="4" t="inlineStr">
        <is>
          <t>FY2022</t>
        </is>
      </c>
      <c r="E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16%</t>
        </is>
      </c>
      <c r="C13" s="6" t="inlineStr">
        <is>
          <t>17%</t>
        </is>
      </c>
      <c r="D13" s="6" t="inlineStr">
        <is>
          <t>16%</t>
        </is>
      </c>
      <c r="E13" s="6" t="inlineStr">
        <is>
          <t>16%</t>
        </is>
      </c>
    </row>
    <row r="14">
      <c r="A14" s="6" t="inlineStr">
        <is>
          <t>Total Capital Ratio</t>
        </is>
      </c>
      <c r="B14" s="6" t="inlineStr">
        <is>
          <t>23%</t>
        </is>
      </c>
      <c r="C14" s="6" t="inlineStr">
        <is>
          <t>24%</t>
        </is>
      </c>
      <c r="D14" s="6" t="inlineStr">
        <is>
          <t>23%</t>
        </is>
      </c>
      <c r="E14" s="6" t="inlineStr">
        <is>
          <t>22%</t>
        </is>
      </c>
    </row>
    <row r="16" ht="45" customHeight="1">
      <c r="A16" s="7" t="inlineStr">
        <is>
          <t>Note: Figures are duplicated from the detail sheets for at-a-glance trend viewing. ALL £ figures in this workbook are converted from Arab Bank Europe Plc's (Europe Arab Bank plc's) native EUR reporting - see the Cash Flow Statement sheet's source note for the full FX methodology and exact rates used. Ratios (%) are shown exactly as reported in EUR and were not converted. Only 2 of the usual 6 headline ratios are plotted here (CET1 Ratio, Total Capital Ratio) - Tier 1 Ratio, Leverage Ratio, LCR and NSFR are not publicly disclosed for this entity, see the individual Pillar 3 sheets and ENTITY_NOTE for why. FY2025 is excluded entirely (no accessible Annual Report found - see ENTITY_NOTE).</t>
        </is>
      </c>
    </row>
  </sheetData>
  <mergeCells count="1">
    <mergeCell ref="A16:E1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Cash Flow Statement</t>
        </is>
      </c>
    </row>
    <row r="2">
      <c r="A2" s="2" t="inlineStr">
        <is>
          <t>£'000, converted from EUR - see source note at bottom for FX methodology and rates used.</t>
        </is>
      </c>
    </row>
    <row r="3">
      <c r="A3" s="4" t="inlineStr">
        <is>
          <t>Line item</t>
        </is>
      </c>
      <c r="B3" s="4" t="inlineStr">
        <is>
          <t>FY2024 (£'000, conv. from EUR)</t>
        </is>
      </c>
      <c r="C3" s="4" t="inlineStr">
        <is>
          <t>FY2023 (£'000, conv. from EUR)</t>
        </is>
      </c>
      <c r="D3" s="4" t="inlineStr">
        <is>
          <t>FY2022 (£'000, conv. from EUR)</t>
        </is>
      </c>
      <c r="E3" s="4" t="inlineStr">
        <is>
          <t>FY2021 (£'000, conv. from EUR)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</row>
    <row r="5">
      <c r="A5" s="6" t="inlineStr">
        <is>
          <t>Profit before tax</t>
        </is>
      </c>
      <c r="B5" s="6" t="n">
        <v>16444.5</v>
      </c>
      <c r="C5" s="6" t="n">
        <v>11174.5</v>
      </c>
      <c r="D5" s="6" t="n">
        <v>10596.6</v>
      </c>
      <c r="E5" s="6" t="n">
        <v>345.7</v>
      </c>
    </row>
    <row r="6">
      <c r="A6" s="6" t="inlineStr">
        <is>
          <t>Depreciation</t>
        </is>
      </c>
      <c r="B6" s="6" t="n">
        <v>2730</v>
      </c>
      <c r="C6" s="6" t="n">
        <v>2595.5</v>
      </c>
      <c r="D6" s="6" t="n">
        <v>1334.8</v>
      </c>
      <c r="E6" s="6" t="n">
        <v>1170.5</v>
      </c>
    </row>
    <row r="7">
      <c r="A7" s="6" t="inlineStr">
        <is>
          <t>Impairment loss expense</t>
        </is>
      </c>
      <c r="B7" s="6" t="n">
        <v>4548.4</v>
      </c>
      <c r="C7" s="6" t="n">
        <v>4000</v>
      </c>
      <c r="D7" s="6" t="n">
        <v>3840.6</v>
      </c>
      <c r="E7" s="6" t="n">
        <v>1347.6</v>
      </c>
    </row>
    <row r="8">
      <c r="A8" s="6" t="inlineStr">
        <is>
          <t>Loss on disposal/write-off of fixed assets</t>
        </is>
      </c>
      <c r="B8" s="6" t="n"/>
      <c r="C8" s="6" t="n"/>
      <c r="D8" s="6" t="n">
        <v>0</v>
      </c>
      <c r="E8" s="6" t="n">
        <v>908.2</v>
      </c>
    </row>
    <row r="9">
      <c r="A9" s="6" t="inlineStr">
        <is>
          <t>Loss on disposal of subsidiary</t>
        </is>
      </c>
      <c r="B9" s="6" t="n"/>
      <c r="C9" s="6" t="n">
        <v>2859.4</v>
      </c>
      <c r="D9" s="6" t="n"/>
      <c r="E9" s="6" t="n"/>
    </row>
    <row r="10">
      <c r="A10" s="6" t="inlineStr">
        <is>
          <t>Net foreign exchange loss/(gain) on subordinated liability</t>
        </is>
      </c>
      <c r="B10" s="6" t="n">
        <v>6444.5</v>
      </c>
      <c r="C10" s="6" t="n">
        <v>-3583.3</v>
      </c>
      <c r="D10" s="6" t="n">
        <v>6019.5</v>
      </c>
      <c r="E10" s="6" t="n">
        <v>6694.2</v>
      </c>
    </row>
    <row r="11">
      <c r="A11" s="6" t="inlineStr">
        <is>
          <t>Interest expense on lease liabilities</t>
        </is>
      </c>
      <c r="B11" s="6" t="n">
        <v>347.6</v>
      </c>
      <c r="C11" s="6" t="n">
        <v>438.4</v>
      </c>
      <c r="D11" s="6" t="n">
        <v>323.5</v>
      </c>
      <c r="E11" s="6" t="n">
        <v>39.6</v>
      </c>
    </row>
    <row r="12">
      <c r="A12" s="6" t="inlineStr">
        <is>
          <t>Trading gains on securities and derivatives</t>
        </is>
      </c>
      <c r="B12" s="6" t="n">
        <v>-1128.2</v>
      </c>
      <c r="C12" s="6" t="n">
        <v>-395.8</v>
      </c>
      <c r="D12" s="6" t="n"/>
      <c r="E12" s="6" t="n"/>
    </row>
    <row r="13">
      <c r="A13" s="6" t="inlineStr">
        <is>
          <t>Gain on lease modification</t>
        </is>
      </c>
      <c r="B13" s="6" t="n"/>
      <c r="C13" s="6" t="n">
        <v>-345.5</v>
      </c>
      <c r="D13" s="6" t="n"/>
      <c r="E13" s="6" t="n"/>
    </row>
    <row r="14">
      <c r="A14" s="6" t="inlineStr">
        <is>
          <t>FX adjustments on expected credit losses</t>
        </is>
      </c>
      <c r="B14" s="6" t="n">
        <v>1486</v>
      </c>
      <c r="C14" s="6" t="n">
        <v>-2020.8</v>
      </c>
      <c r="D14" s="6" t="n"/>
      <c r="E14" s="6" t="n"/>
    </row>
    <row r="15">
      <c r="A15" s="6" t="inlineStr">
        <is>
          <t>FX adjustments on right-of-use assets</t>
        </is>
      </c>
      <c r="B15" s="6" t="n">
        <v>-287.6</v>
      </c>
      <c r="C15" s="6" t="n"/>
      <c r="D15" s="6" t="n"/>
      <c r="E15" s="6" t="n"/>
    </row>
    <row r="16">
      <c r="A16" s="5" t="inlineStr">
        <is>
          <t>Profit before tax, adjusted for non-cash items - subtotal</t>
        </is>
      </c>
      <c r="B16" s="5" t="n">
        <v>30585.3</v>
      </c>
      <c r="C16" s="5" t="n">
        <v>14722.2</v>
      </c>
      <c r="D16" s="5" t="n">
        <v>22114.9</v>
      </c>
      <c r="E16" s="5" t="n">
        <v>10505.7</v>
      </c>
    </row>
    <row r="17">
      <c r="A17" s="5" t="inlineStr">
        <is>
          <t>Decrease/(Increase) in operating and other assets</t>
        </is>
      </c>
      <c r="B17" s="6" t="n"/>
      <c r="C17" s="6" t="n"/>
      <c r="D17" s="6" t="n"/>
      <c r="E17" s="6" t="n"/>
    </row>
    <row r="18">
      <c r="A18" s="6" t="inlineStr">
        <is>
          <t>Loans advanced to customers</t>
        </is>
      </c>
      <c r="B18" s="6" t="n">
        <v>-83991.89999999999</v>
      </c>
      <c r="C18" s="6" t="n">
        <v>-76541.7</v>
      </c>
      <c r="D18" s="6" t="n">
        <v>65690.89999999999</v>
      </c>
      <c r="E18" s="6" t="n">
        <v>-26778.5</v>
      </c>
    </row>
    <row r="19">
      <c r="A19" s="6" t="inlineStr">
        <is>
          <t>Loans advanced to banks</t>
        </is>
      </c>
      <c r="B19" s="6" t="n"/>
      <c r="C19" s="6" t="n"/>
      <c r="D19" s="6" t="n">
        <v>19969.3</v>
      </c>
      <c r="E19" s="6" t="n">
        <v>178338.5</v>
      </c>
    </row>
    <row r="20">
      <c r="A20" s="6" t="inlineStr">
        <is>
          <t>Fair value through profit or loss and derivatives</t>
        </is>
      </c>
      <c r="B20" s="6" t="n">
        <v>-1428.5</v>
      </c>
      <c r="C20" s="6" t="n">
        <v>12248.3</v>
      </c>
      <c r="D20" s="6" t="n">
        <v>-16446.2</v>
      </c>
      <c r="E20" s="6" t="n">
        <v>105937.4</v>
      </c>
    </row>
    <row r="21">
      <c r="A21" s="6" t="inlineStr">
        <is>
          <t>Fair value through other comprehensive income</t>
        </is>
      </c>
      <c r="B21" s="6" t="n"/>
      <c r="C21" s="6" t="n"/>
      <c r="D21" s="6" t="n">
        <v>-36395</v>
      </c>
      <c r="E21" s="6" t="n">
        <v>-74029.10000000001</v>
      </c>
    </row>
    <row r="22">
      <c r="A22" s="6" t="inlineStr">
        <is>
          <t>Financial investments at amortised cost</t>
        </is>
      </c>
      <c r="B22" s="6" t="n"/>
      <c r="C22" s="6" t="n"/>
      <c r="D22" s="6" t="n">
        <v>40619.6</v>
      </c>
      <c r="E22" s="6" t="n">
        <v>-74140.89999999999</v>
      </c>
    </row>
    <row r="23">
      <c r="A23" s="6" t="inlineStr">
        <is>
          <t>Other assets</t>
        </is>
      </c>
      <c r="B23" s="6" t="n">
        <v>-3440.5</v>
      </c>
      <c r="C23" s="6" t="n">
        <v>-1587.7</v>
      </c>
      <c r="D23" s="6" t="n">
        <v>-2318.9</v>
      </c>
      <c r="E23" s="6" t="n">
        <v>-5277.8</v>
      </c>
    </row>
    <row r="24">
      <c r="A24" s="5" t="inlineStr">
        <is>
          <t>Decrease/(Increase) in operating and other assets - subtotal</t>
        </is>
      </c>
      <c r="B24" s="5" t="n">
        <v>-88860.8</v>
      </c>
      <c r="C24" s="5" t="n">
        <v>-65881.10000000001</v>
      </c>
      <c r="D24" s="5" t="n">
        <v>71119.7</v>
      </c>
      <c r="E24" s="5" t="n">
        <v>104049.7</v>
      </c>
    </row>
    <row r="25">
      <c r="A25" s="5" t="inlineStr">
        <is>
          <t>(Decrease)/Increase in operating and other liabilities</t>
        </is>
      </c>
      <c r="B25" s="6" t="n"/>
      <c r="C25" s="6" t="n"/>
      <c r="D25" s="6" t="n"/>
      <c r="E25" s="6" t="n"/>
    </row>
    <row r="26">
      <c r="A26" s="6" t="inlineStr">
        <is>
          <t>Customer deposits</t>
        </is>
      </c>
      <c r="B26" s="6" t="n">
        <v>195578.5</v>
      </c>
      <c r="C26" s="6" t="n">
        <v>-23447</v>
      </c>
      <c r="D26" s="6" t="n">
        <v>73777.39999999999</v>
      </c>
      <c r="E26" s="6" t="n">
        <v>64535.6</v>
      </c>
    </row>
    <row r="27">
      <c r="A27" s="6" t="inlineStr">
        <is>
          <t>Funds received from banks</t>
        </is>
      </c>
      <c r="B27" s="6" t="n">
        <v>-7764.7</v>
      </c>
      <c r="C27" s="6" t="n">
        <v>85560.8</v>
      </c>
      <c r="D27" s="6" t="n">
        <v>-186761.1</v>
      </c>
      <c r="E27" s="6" t="n">
        <v>-143083.1</v>
      </c>
    </row>
    <row r="28">
      <c r="A28" s="6" t="inlineStr">
        <is>
          <t>Other liabilities and retirement benefit liabilities</t>
        </is>
      </c>
      <c r="B28" s="6" t="n">
        <v>-649.5</v>
      </c>
      <c r="C28" s="6" t="n">
        <v>4051.2</v>
      </c>
      <c r="D28" s="6" t="n">
        <v>11429.5</v>
      </c>
      <c r="E28" s="6" t="n">
        <v>-136.7</v>
      </c>
    </row>
    <row r="29">
      <c r="A29" s="5" t="inlineStr">
        <is>
          <t>(Decrease)/Increase in operating and other liabilities - subtotal</t>
        </is>
      </c>
      <c r="B29" s="5" t="n">
        <v>187163.4</v>
      </c>
      <c r="C29" s="5" t="n">
        <v>66164.89999999999</v>
      </c>
      <c r="D29" s="5" t="n">
        <v>-101553.3</v>
      </c>
      <c r="E29" s="5" t="n">
        <v>-78684.2</v>
      </c>
    </row>
    <row r="30">
      <c r="A30" s="6" t="inlineStr">
        <is>
          <t>Income taxes paid</t>
        </is>
      </c>
      <c r="B30" s="6" t="n">
        <v>-1935.9</v>
      </c>
      <c r="C30" s="6" t="n">
        <v>0</v>
      </c>
      <c r="D30" s="6" t="n">
        <v>0</v>
      </c>
      <c r="E30" s="6" t="n">
        <v>0</v>
      </c>
    </row>
    <row r="31">
      <c r="A31" s="6" t="inlineStr">
        <is>
          <t>Interest paid on lease liabilities</t>
        </is>
      </c>
      <c r="B31" s="6" t="n"/>
      <c r="C31" s="6" t="n"/>
      <c r="D31" s="6" t="n">
        <v>-323.5</v>
      </c>
      <c r="E31" s="6" t="n">
        <v>-39.6</v>
      </c>
    </row>
    <row r="32">
      <c r="A32" s="5" t="inlineStr">
        <is>
          <t>Net cash (outflows)/inflows from operating activities</t>
        </is>
      </c>
      <c r="B32" s="5" t="n">
        <v>126952.8</v>
      </c>
      <c r="C32" s="5" t="n">
        <v>15006.1</v>
      </c>
      <c r="D32" s="5" t="n">
        <v>-8642.1</v>
      </c>
      <c r="E32" s="5" t="n">
        <v>35831.6</v>
      </c>
    </row>
    <row r="33">
      <c r="A33" s="5" t="inlineStr">
        <is>
          <t>Investing activities</t>
        </is>
      </c>
      <c r="B33" s="6" t="n"/>
      <c r="C33" s="6" t="n"/>
      <c r="D33" s="6" t="n"/>
      <c r="E33" s="6" t="n"/>
    </row>
    <row r="34">
      <c r="A34" s="6" t="inlineStr">
        <is>
          <t>Fair value through other comprehensive income (investing)</t>
        </is>
      </c>
      <c r="B34" s="6" t="n">
        <v>-28235.8</v>
      </c>
      <c r="C34" s="6" t="n">
        <v>23678</v>
      </c>
      <c r="D34" s="6" t="n"/>
      <c r="E34" s="6" t="n"/>
    </row>
    <row r="35">
      <c r="A35" s="6" t="inlineStr">
        <is>
          <t>Financial investments at amortised cost (investing)</t>
        </is>
      </c>
      <c r="B35" s="6" t="n">
        <v>-67455.2</v>
      </c>
      <c r="C35" s="6" t="n">
        <v>18428</v>
      </c>
      <c r="D35" s="6" t="n"/>
      <c r="E35" s="6" t="n"/>
    </row>
    <row r="36">
      <c r="A36" s="6" t="inlineStr">
        <is>
          <t>Acquisition of property, plant and equipment</t>
        </is>
      </c>
      <c r="B36" s="6" t="n">
        <v>-2749.5</v>
      </c>
      <c r="C36" s="6" t="n">
        <v>-2092</v>
      </c>
      <c r="D36" s="6" t="n">
        <v>-3284.1</v>
      </c>
      <c r="E36" s="6" t="n">
        <v>-1439.6</v>
      </c>
    </row>
    <row r="37">
      <c r="A37" s="6" t="inlineStr">
        <is>
          <t>Disposal of subsidiaries</t>
        </is>
      </c>
      <c r="B37" s="6" t="n"/>
      <c r="C37" s="6" t="n">
        <v>21998.3</v>
      </c>
      <c r="D37" s="6" t="n"/>
      <c r="E37" s="6" t="n"/>
    </row>
    <row r="38">
      <c r="A38" s="6" t="inlineStr">
        <is>
          <t>Investment in subsidiaries</t>
        </is>
      </c>
      <c r="B38" s="6" t="n"/>
      <c r="C38" s="6" t="n"/>
      <c r="D38" s="6" t="n">
        <v>0</v>
      </c>
      <c r="E38" s="6" t="n">
        <v>0</v>
      </c>
    </row>
    <row r="39">
      <c r="A39" s="5" t="inlineStr">
        <is>
          <t>Net cash (outflows)/inflows from investing activities</t>
        </is>
      </c>
      <c r="B39" s="5" t="n">
        <v>-98440.5</v>
      </c>
      <c r="C39" s="5" t="n">
        <v>62012.2</v>
      </c>
      <c r="D39" s="5" t="n">
        <v>-3284.1</v>
      </c>
      <c r="E39" s="5" t="n">
        <v>-1439.6</v>
      </c>
    </row>
    <row r="40">
      <c r="A40" s="5" t="inlineStr">
        <is>
          <t>Financing activities</t>
        </is>
      </c>
      <c r="B40" s="6" t="n"/>
      <c r="C40" s="6" t="n"/>
      <c r="D40" s="6" t="n"/>
      <c r="E40" s="6" t="n"/>
    </row>
    <row r="41">
      <c r="A41" s="6" t="inlineStr">
        <is>
          <t>Payment of lease liabilities</t>
        </is>
      </c>
      <c r="B41" s="6" t="n">
        <v>-996.3</v>
      </c>
      <c r="C41" s="6" t="n">
        <v>-697</v>
      </c>
      <c r="D41" s="6" t="n">
        <v>-1147.1</v>
      </c>
      <c r="E41" s="6" t="n">
        <v>-1148.1</v>
      </c>
    </row>
    <row r="42">
      <c r="A42" s="5" t="inlineStr">
        <is>
          <t>Net cash outflows from financing activities</t>
        </is>
      </c>
      <c r="B42" s="5" t="n">
        <v>-996.3</v>
      </c>
      <c r="C42" s="5" t="n">
        <v>-697</v>
      </c>
      <c r="D42" s="5" t="n">
        <v>-1147.1</v>
      </c>
      <c r="E42" s="5" t="n">
        <v>-1148.1</v>
      </c>
    </row>
    <row r="43">
      <c r="A43" s="5" t="inlineStr">
        <is>
          <t>Net (decrease)/increase in cash and cash equivalents</t>
        </is>
      </c>
      <c r="B43" s="5" t="n">
        <v>27516.1</v>
      </c>
      <c r="C43" s="5" t="n">
        <v>76321.2</v>
      </c>
      <c r="D43" s="5" t="n">
        <v>-13073.3</v>
      </c>
      <c r="E43" s="5" t="n">
        <v>33243.9</v>
      </c>
    </row>
    <row r="44">
      <c r="A44" s="6" t="inlineStr">
        <is>
          <t>Effect of GBP/EUR translation (£ conversion artefact - see FX note; FY2023 also absorbs an undocumented cash-bridge gap, see ENTITY_NOTE)</t>
        </is>
      </c>
      <c r="B44" s="6" t="n">
        <v>-25757.6</v>
      </c>
      <c r="C44" s="6" t="n">
        <v>-10970.8</v>
      </c>
      <c r="D44" s="6" t="n">
        <v>7661.9</v>
      </c>
      <c r="E44" s="6" t="n">
        <v>-8855.799999999999</v>
      </c>
    </row>
    <row r="45">
      <c r="A45" s="6" t="inlineStr">
        <is>
          <t>Cash and cash equivalents at 1 January</t>
        </is>
      </c>
      <c r="B45" s="6" t="n">
        <v>542989</v>
      </c>
      <c r="C45" s="6" t="n">
        <v>477638.6</v>
      </c>
      <c r="D45" s="6" t="n">
        <v>146278.7</v>
      </c>
      <c r="E45" s="6" t="n">
        <v>121890.6</v>
      </c>
    </row>
    <row r="46">
      <c r="A46" s="5" t="inlineStr">
        <is>
          <t>Cash and cash equivalents at 31 December</t>
        </is>
      </c>
      <c r="B46" s="5" t="n">
        <v>544747.5</v>
      </c>
      <c r="C46" s="5" t="n">
        <v>542989</v>
      </c>
      <c r="D46" s="5" t="n">
        <v>140867.3</v>
      </c>
      <c r="E46" s="5" t="n">
        <v>146278.7</v>
      </c>
    </row>
    <row r="48" ht="380" customHeight="1">
      <c r="A48" s="8" t="inlineStr">
        <is>
          <t>Sources - all figures are Arab Bank Europe Plc's (Europe Arab Bank plc's) own Cash Flow Statement, converted from EUR to £'000 (see FX conversion note below):
FY2024/FY2023: Europe Arab Bank plc Annual Report and Financial Statements 2024, p.31 (Cash Flow Statement) - https://web.archive.org/web/20250805183352/https://www.eabplc.com/downloads/202502_EABAnnualReport_v3.pdf
FY2022/FY2021: Europe Arab Bank plc Annual Report and Financial Statements 2022, p.30 (Cash Flow Statement) - https://web.archive.org/web/20240714135652/https://www.eabplc.com/downloads/202304_EABAnnualReport_v7_144ppi.pdf
Each pair's own report was used for both its own year and its comparative column. FY2023/FY2024 use a materially different note structure to FY2021/FY2022 (new lines: trading gains on securities/derivatives, gain on lease modification, FX adjustments on ECL/ROU, loss on disposal of subsidiary/disposal of subsidiaries) - a genuine presentation evolution, not a gap; blank cells mark a line item that doesn't apply to that year's presentation, section TOTALs are unaffected and fully comparable.
ENTITY NOTE: Arab Bank Europe Plc, FRN 446951, company 05575857 (incorporated 2005, trades and files financial statements under the name "Europe Arab Bank plc" - the PRA list's word order is reversed vs. Companies House/FCA register, confirmed as the same entity via FRN and company number match, not a guess). Wholly-owned subsidiary of Arab Bank plc (Jordan); UNLIKE many single-foreign-parent subsidiaries in this series, it does NOT take the FRS 101/102 cash-flow-statement exemption - a full Cash Flow Statement is published every year. eabplc.com's TLS configuration rejects every automated fetch attempted (both direct and via Wayback-triggered re-crawl), so sourcing relied entirely on Wayback Machine snapshots already in the archive; only the FY2022 Annual Report (giving FY2021+FY2022) and the FY2024 Annual Report (giving FY2023+FY2024) were found archived - the FY2021, FY2023, and FY2025 standalone Annual Reports, and every standalone Pillar 3 document (only a generic 'Pillar3.pdf' was found archived, and that download was itself truncated/corrupted on every retry attempted), were not obtainable. FY2025 is therefore excluded entirely (Companies House confirms a FY2025 filing exists, filed 10 May 2026, but no accessible copy was found). Pillar 3 disclosure is consequently very thin: only two ratios (Capital adequacy/Total Capital ratio, Common Equity Tier 1 ratio) are ever stated, and only as headline percentages in the Annual Report's own 'Other Key Performance Indicators' table (note 37 does not add any £/€ breakdown - CET1/Total Capital amounts, RWA, leverage, LCR, NSFR and MREL are not disclosed anywhere in the sourced documents) - the same narrative-KPI-only pattern seen at AIB Group (UK) and Bank of Ireland (UK). A genuine, undocumented cash bridge gap exists between FY2022's closing balance (per the FY2022 Annual Report, €158,856k) and FY2023's opening balance (per the FY2024 Annual Report's own comparative column, €538,633k) - the FY2023 Annual Report itself, which would show what happened during that year, was not obtainable. The FY2023 column shows a 'Loss on disposal of subsidiary' (€3,294k) and 'Disposal of subsidiaries' (€25,342k) line item not present in any other year, consistent with a subsidiary disposal/deconsolidation event during FY2023, but this does not come close to explaining the full €379,777k gap - left unbridged and flagged rather than silently forced to reconcile.
FX CONVERSION NOTE: Arab Bank Europe Plc (trading/registered as "Europe Arab Bank plc") reports in Euros (its functional currency, per its own Annual Report) - this is the first EUR-reporting workbook in this series. Converted to £ following the same methodology used for this project's earlier USD-reporting banks (SMBC BI, Zenith, UBA UK, Access Bank UK, Union Bank of India UK): point-in-time/balance figures use the Bank of England GBP/EUR SPOT rate as at that fiscal year-end (31 December); flow figures (every cash flow statement line item) use the AVERAGE of the daily spot rates over that calendar year - both from Bank of England daily reference rates via poundsterlinglive.com's published archive. Rates used (£1 = €X): 31 Dec 2020 spot 1.1118 (FY2021 opening cash only); FY2021 spot 1.1907 / average 1.1628; FY2022 spot 1.1277 / average 1.1717; FY2023 spot 1.1539 / average 1.1520; FY2024 spot 1.2099 / average 1.1824. All % ratios (CET1/Total Capital ratios - see ENTITY_NOTE for why this is all that's disclosed) are shown EXACTLY as reported in EUR and were NOT converted - a ratio is dimensionless and currency-invariant. Because stocks and flows are converted at different rates (standard practice for translating foreign-currency financial statements), a programmatically-computed 'Effect of GBP/EUR translation' reconciling line is included so opening + all flows + this line = closing exactly in £ terms.</t>
        </is>
      </c>
    </row>
  </sheetData>
  <mergeCells count="1">
    <mergeCell ref="A48:E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CET1 Capital</t>
        </is>
      </c>
    </row>
    <row r="2">
      <c r="A2" s="2" t="inlineStr">
        <is>
          <t>Entity-level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Common Equity Tier 1 (CET1) capital (£'000)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4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CET1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16%</t>
        </is>
      </c>
      <c r="C4" s="6" t="inlineStr">
        <is>
          <t>17%</t>
        </is>
      </c>
      <c r="D4" s="6" t="inlineStr">
        <is>
          <t>16%</t>
        </is>
      </c>
      <c r="E4" s="6" t="inlineStr">
        <is>
          <t>16%</t>
        </is>
      </c>
    </row>
    <row r="6" ht="140" customHeight="1">
      <c r="A6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1">
    <mergeCell ref="A6:E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Tier 1 Capital</t>
        </is>
      </c>
    </row>
    <row r="2">
      <c r="A2" s="2" t="inlineStr">
        <is>
          <t>Entity-level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Tier 1 capital (£'000)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4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Tier 1 Ratio</t>
        </is>
      </c>
    </row>
    <row r="2">
      <c r="A2" s="2" t="inlineStr">
        <is>
          <t>Entity-level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 Note: the KPI table's 'Capital adequacy ratio' is Total Capital, not Tier 1 - not substituted here since that would misrepresent a different metric.</t>
        </is>
      </c>
    </row>
    <row r="7" ht="14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Total Capital</t>
        </is>
      </c>
    </row>
    <row r="2">
      <c r="A2" s="2" t="inlineStr">
        <is>
          <t>Entity-level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Total capital (£'000)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4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Total Capital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Capital adequacy (Total Capital) ratio</t>
        </is>
      </c>
      <c r="B4" s="6" t="inlineStr">
        <is>
          <t>23%</t>
        </is>
      </c>
      <c r="C4" s="6" t="inlineStr">
        <is>
          <t>24%</t>
        </is>
      </c>
      <c r="D4" s="6" t="inlineStr">
        <is>
          <t>23%</t>
        </is>
      </c>
      <c r="E4" s="6" t="inlineStr">
        <is>
          <t>22%</t>
        </is>
      </c>
    </row>
    <row r="6" ht="140" customHeight="1">
      <c r="A6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1">
    <mergeCell ref="A6:E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Total RWAs</t>
        </is>
      </c>
    </row>
    <row r="2">
      <c r="A2" s="2" t="inlineStr">
        <is>
          <t>Entity-level basis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Total risk-weighted assets (£'000)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4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5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LCR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5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5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Arab Bank Europe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</row>
    <row r="5" ht="60" customHeight="1">
      <c r="A5" s="7" t="inlineStr">
        <is>
          <t>Note: Not disclosed in any of the two sourced Annual Reports (FY2021/FY2022 or FY2023/FY2024) - the Bank's only capital/liquidity disclosure is the 'Other Key Performance Indicators' table's two headline ratios (Capital adequacy ratio, Common Equity Tier 1 ratio). No standalone Pillar 3 document was obtainable (see ENTITY_NOTE on the Cash Flow Statement sheet) and no other figure for this metric appears anywhere in either report.</t>
        </is>
      </c>
    </row>
    <row r="7" ht="150" customHeight="1">
      <c r="A7" s="8" t="inlineStr">
        <is>
          <t>Sources - Arab Bank Europe Plc's (Europe Arab Bank plc's) own Annual Report, 'Other Key Performance Indicators' table (% ratios only - see ENTITY_NOTE on the Cash Flow Statement sheet for why no £/€ breakdown, RWA, leverage, LCR, NSFR, or MREL figure could be sourced):
FY2024/FY2023: Annual Report and Financial Statements 2024, p.6 - https://web.archive.org/web/20250805183352/https://www.eabplc.com/downloads/202502_EABAnnualReport_v3.pdf
FY2022/FY2021: Annual Report and Financial Statements 2022, p.9 - https://web.archive.org/web/20240714135652/https://www.eabplc.com/downloads/202304_EABAnnualReport_v7_144ppi.pdf</t>
        </is>
      </c>
    </row>
  </sheetData>
  <mergeCells count="2">
    <mergeCell ref="A5:E5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2026-08-27T08:26:15Z</dcterms:created>
  <dcterms:modified xsi:type="dcterms:W3CDTF">2026-08-27T08:26:15Z</dcterms:modified>
</cp:coreProperties>
</file>