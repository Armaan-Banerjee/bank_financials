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Y6" t="inlineStr">
        <is>
          <t>CET1 Ratio</t>
        </is>
      </c>
      <c r="BB6" t="n">
        <v>17.79</v>
      </c>
      <c r="BC6" t="n">
        <v>22.47</v>
      </c>
      <c r="BD6" t="n">
        <v>25.05</v>
      </c>
      <c r="BE6" t="n">
        <v>26.07</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Y7" t="inlineStr">
        <is>
          <t>Tier 1 Ratio</t>
        </is>
      </c>
      <c r="BB7" t="n">
        <v>17.79</v>
      </c>
      <c r="BC7" t="n">
        <v>22.47</v>
      </c>
      <c r="BD7" t="n">
        <v>25.05</v>
      </c>
      <c r="BE7" t="n">
        <v>26.07</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Y8" t="inlineStr">
        <is>
          <t>Total Capital Ratio</t>
        </is>
      </c>
      <c r="BB8" t="n">
        <v>21.25</v>
      </c>
      <c r="BC8" t="n">
        <v>26.08</v>
      </c>
      <c r="BD8" t="n">
        <v>28.65</v>
      </c>
      <c r="BE8" t="n">
        <v>29.67</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Y9" t="inlineStr">
        <is>
          <t>Leverage Ratio</t>
        </is>
      </c>
      <c r="BB9" t="n">
        <v>6.83</v>
      </c>
      <c r="BC9" t="n">
        <v>9.84</v>
      </c>
      <c r="BD9" t="n">
        <v>19.64</v>
      </c>
      <c r="BE9" t="n">
        <v>14.12</v>
      </c>
    </row>
    <row r="10">
      <c r="AY10" t="inlineStr">
        <is>
          <t>LCR</t>
        </is>
      </c>
      <c r="BB10" t="n">
        <v>243.08</v>
      </c>
      <c r="BC10" t="n">
        <v>240.65</v>
      </c>
      <c r="BD10" t="n">
        <v>383.17</v>
      </c>
      <c r="BE10" t="n">
        <v>409.09</v>
      </c>
    </row>
    <row r="11">
      <c r="A11" s="3" t="inlineStr">
        <is>
          <t>Profit &amp; Loss Summary ($'000)</t>
        </is>
      </c>
      <c r="AY11" t="inlineStr">
        <is>
          <t>NSFR</t>
        </is>
      </c>
      <c r="BC11" t="n">
        <v>274.71</v>
      </c>
      <c r="BD11" t="n">
        <v>286.37</v>
      </c>
      <c r="BE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382303</v>
      </c>
      <c r="C19" s="5" t="n">
        <v>336454</v>
      </c>
      <c r="D19" s="5" t="n">
        <v>300139</v>
      </c>
      <c r="E19" s="5" t="n">
        <v>284897</v>
      </c>
      <c r="F19" s="5" t="n">
        <v>250659</v>
      </c>
      <c r="G19" s="5" t="n"/>
      <c r="H19" s="5" t="n"/>
      <c r="AE19" t="inlineStr">
        <is>
          <t>Opening equity</t>
        </is>
      </c>
      <c r="AH19" t="n">
        <v>250659</v>
      </c>
      <c r="AI19" t="n">
        <v>284897</v>
      </c>
      <c r="AJ19" t="n">
        <v>300139</v>
      </c>
      <c r="AK19" t="n">
        <v>336454</v>
      </c>
      <c r="AL19" t="n">
        <v>382303</v>
      </c>
    </row>
    <row r="20">
      <c r="A20" s="5" t="inlineStr">
        <is>
          <t>Total comprehensive income for the year</t>
        </is>
      </c>
      <c r="B20" s="5" t="n">
        <v>40366</v>
      </c>
      <c r="C20" s="5" t="n">
        <v>45849</v>
      </c>
      <c r="D20" s="5" t="n">
        <v>36315</v>
      </c>
      <c r="E20" s="5" t="n">
        <v>46146</v>
      </c>
      <c r="F20" s="5" t="n">
        <v>37886</v>
      </c>
      <c r="G20" s="5" t="n"/>
      <c r="H20" s="5" t="n"/>
      <c r="AE20" t="inlineStr">
        <is>
          <t>Total comprehensive income for the year</t>
        </is>
      </c>
      <c r="AH20" t="n">
        <v>37886</v>
      </c>
      <c r="AI20" t="n">
        <v>46146</v>
      </c>
      <c r="AJ20" t="n">
        <v>36315</v>
      </c>
      <c r="AK20" t="n">
        <v>45849</v>
      </c>
      <c r="AL20" t="n">
        <v>40366</v>
      </c>
    </row>
    <row r="21">
      <c r="A21" s="5" t="inlineStr">
        <is>
          <t>Other equity movements, net</t>
        </is>
      </c>
      <c r="B21" s="5" t="n">
        <v>0</v>
      </c>
      <c r="C21" s="5" t="n">
        <v>0</v>
      </c>
      <c r="D21" s="5" t="n">
        <v>0</v>
      </c>
      <c r="E21" s="5" t="n">
        <v>-30904</v>
      </c>
      <c r="F21" s="5" t="n">
        <v>-3205</v>
      </c>
      <c r="G21" s="5" t="n"/>
      <c r="H21" s="5" t="n"/>
      <c r="AE21" t="inlineStr">
        <is>
          <t>Other equity movements, net</t>
        </is>
      </c>
      <c r="AH21" t="n">
        <v>-3205</v>
      </c>
      <c r="AI21" t="n">
        <v>-30904</v>
      </c>
      <c r="AJ21" t="n">
        <v>0</v>
      </c>
      <c r="AK21" t="n">
        <v>0</v>
      </c>
      <c r="AL21" t="n">
        <v>0</v>
      </c>
    </row>
    <row r="22">
      <c r="A22" s="5" t="inlineStr">
        <is>
          <t>Closing equity</t>
        </is>
      </c>
      <c r="B22" s="5" t="n">
        <v>422669</v>
      </c>
      <c r="C22" s="5" t="n">
        <v>382303</v>
      </c>
      <c r="D22" s="5" t="n">
        <v>336454</v>
      </c>
      <c r="E22" s="5" t="n">
        <v>300139</v>
      </c>
      <c r="F22" s="5" t="n">
        <v>285340</v>
      </c>
      <c r="G22" s="5" t="n"/>
      <c r="H22" s="5" t="n"/>
      <c r="AE22" t="inlineStr">
        <is>
          <t>Closing equity</t>
        </is>
      </c>
      <c r="AH22" t="n">
        <v>285340</v>
      </c>
      <c r="AI22" t="n">
        <v>300139</v>
      </c>
      <c r="AJ22" t="n">
        <v>336454</v>
      </c>
      <c r="AK22" t="n">
        <v>382303</v>
      </c>
      <c r="AL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cashflow from/(used in) operating activities</t>
        </is>
      </c>
      <c r="B26" s="5" t="n">
        <v>-803241</v>
      </c>
      <c r="C26" s="5" t="n">
        <v>694986</v>
      </c>
      <c r="D26" s="5" t="n"/>
      <c r="E26" s="5" t="n"/>
      <c r="F26" s="5" t="n"/>
      <c r="G26" s="5" t="n"/>
      <c r="H26" s="5" t="n"/>
      <c r="AO26" t="inlineStr">
        <is>
          <t>Net cashflow from/(used in) operating activities</t>
        </is>
      </c>
      <c r="AU26" t="n">
        <v>694986</v>
      </c>
      <c r="AV26" t="n">
        <v>-803241</v>
      </c>
    </row>
    <row r="27">
      <c r="A27" s="5" t="inlineStr">
        <is>
          <t>Net cash from/(used in) investing activities</t>
        </is>
      </c>
      <c r="B27" s="5" t="n">
        <v>881596</v>
      </c>
      <c r="C27" s="5" t="n">
        <v>-821525</v>
      </c>
      <c r="D27" s="5" t="n">
        <v>1105637</v>
      </c>
      <c r="E27" s="5" t="n">
        <v>-131630</v>
      </c>
      <c r="F27" s="5" t="n">
        <v>-388856</v>
      </c>
      <c r="G27" s="5" t="n"/>
      <c r="H27" s="5" t="n"/>
      <c r="AO27" t="inlineStr">
        <is>
          <t>Net cash from/(used in) investing activities</t>
        </is>
      </c>
      <c r="AR27" t="n">
        <v>-388856</v>
      </c>
      <c r="AS27" t="n">
        <v>-131630</v>
      </c>
      <c r="AT27" t="n">
        <v>1105637</v>
      </c>
      <c r="AU27" t="n">
        <v>-821525</v>
      </c>
      <c r="AV27" t="n">
        <v>881596</v>
      </c>
    </row>
    <row r="28">
      <c r="A28" s="5" t="inlineStr">
        <is>
          <t>Net cash used in financing activities</t>
        </is>
      </c>
      <c r="B28" s="5" t="n">
        <v>-6773</v>
      </c>
      <c r="C28" s="5" t="n">
        <v>-6436</v>
      </c>
      <c r="D28" s="5" t="n">
        <v>-6728</v>
      </c>
      <c r="E28" s="5" t="n">
        <v>-6685</v>
      </c>
      <c r="F28" s="5" t="n">
        <v>-6531</v>
      </c>
      <c r="G28" s="5" t="n"/>
      <c r="H28" s="5" t="n"/>
      <c r="AO28" t="inlineStr">
        <is>
          <t>Net cash used in financing activities</t>
        </is>
      </c>
      <c r="AR28" t="n">
        <v>-6531</v>
      </c>
      <c r="AS28" t="n">
        <v>-6685</v>
      </c>
      <c r="AT28" t="n">
        <v>-6728</v>
      </c>
      <c r="AU28" t="n">
        <v>-6436</v>
      </c>
      <c r="AV28" t="n">
        <v>-6773</v>
      </c>
    </row>
    <row r="29">
      <c r="A29" s="5" t="inlineStr">
        <is>
          <t>Cash and cash equivalents at end of year</t>
        </is>
      </c>
      <c r="B29" s="5" t="n">
        <v>434840</v>
      </c>
      <c r="C29" s="5" t="n">
        <v>362738</v>
      </c>
      <c r="D29" s="5" t="n">
        <v>495731</v>
      </c>
      <c r="E29" s="5" t="n">
        <v>522342</v>
      </c>
      <c r="F29" s="5" t="n">
        <v>365332</v>
      </c>
      <c r="G29" s="5" t="n"/>
      <c r="H29" s="5" t="n"/>
      <c r="AO29" t="inlineStr">
        <is>
          <t>Cash and cash equivalents at end of year</t>
        </is>
      </c>
      <c r="AR29" t="n">
        <v>365332</v>
      </c>
      <c r="AS29" t="n">
        <v>522342</v>
      </c>
      <c r="AT29" t="n">
        <v>495731</v>
      </c>
      <c r="AU29" t="n">
        <v>362738</v>
      </c>
      <c r="AV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n"/>
      <c r="C33" s="6" t="inlineStr">
        <is>
          <t>26.07%</t>
        </is>
      </c>
      <c r="D33" s="6" t="inlineStr">
        <is>
          <t>25.05%</t>
        </is>
      </c>
      <c r="E33" s="6" t="inlineStr">
        <is>
          <t>22.47%</t>
        </is>
      </c>
      <c r="F33" s="6" t="inlineStr">
        <is>
          <t>17.79%</t>
        </is>
      </c>
      <c r="G33" s="6" t="n"/>
      <c r="H33" s="6" t="n"/>
    </row>
    <row r="34">
      <c r="A34" s="6" t="inlineStr">
        <is>
          <t>Tier 1 Ratio</t>
        </is>
      </c>
      <c r="B34" s="6" t="n"/>
      <c r="C34" s="6" t="inlineStr">
        <is>
          <t>26.07%</t>
        </is>
      </c>
      <c r="D34" s="6" t="inlineStr">
        <is>
          <t>25.05%</t>
        </is>
      </c>
      <c r="E34" s="6" t="inlineStr">
        <is>
          <t>22.47%</t>
        </is>
      </c>
      <c r="F34" s="6" t="inlineStr">
        <is>
          <t>17.79%</t>
        </is>
      </c>
      <c r="G34" s="6" t="n"/>
      <c r="H34" s="6" t="n"/>
    </row>
    <row r="35">
      <c r="A35" s="6" t="inlineStr">
        <is>
          <t>Total Capital Ratio</t>
        </is>
      </c>
      <c r="B35" s="6" t="n"/>
      <c r="C35" s="6" t="inlineStr">
        <is>
          <t>29.67%</t>
        </is>
      </c>
      <c r="D35" s="6" t="inlineStr">
        <is>
          <t>28.65%</t>
        </is>
      </c>
      <c r="E35" s="6" t="inlineStr">
        <is>
          <t>26.08%</t>
        </is>
      </c>
      <c r="F35" s="6" t="inlineStr">
        <is>
          <t>21.25%</t>
        </is>
      </c>
      <c r="G35" s="6" t="n"/>
      <c r="H35" s="6" t="n"/>
    </row>
    <row r="36">
      <c r="A36" s="6" t="inlineStr">
        <is>
          <t>Leverage Ratio</t>
        </is>
      </c>
      <c r="B36" s="6" t="n"/>
      <c r="C36" s="6" t="inlineStr">
        <is>
          <t>14.12%</t>
        </is>
      </c>
      <c r="D36" s="6" t="inlineStr">
        <is>
          <t>19.64%</t>
        </is>
      </c>
      <c r="E36" s="6" t="inlineStr">
        <is>
          <t>9.84%</t>
        </is>
      </c>
      <c r="F36" s="6" t="inlineStr">
        <is>
          <t>6.83%</t>
        </is>
      </c>
      <c r="G36" s="6" t="n"/>
      <c r="H36" s="6" t="n"/>
    </row>
    <row r="37">
      <c r="A37" s="6" t="inlineStr">
        <is>
          <t>LCR</t>
        </is>
      </c>
      <c r="B37" s="6" t="n"/>
      <c r="C37" s="6" t="inlineStr">
        <is>
          <t>409.09%</t>
        </is>
      </c>
      <c r="D37" s="6" t="inlineStr">
        <is>
          <t>383.17%</t>
        </is>
      </c>
      <c r="E37" s="6" t="inlineStr">
        <is>
          <t>240.65%</t>
        </is>
      </c>
      <c r="F37" s="6" t="inlineStr">
        <is>
          <t>243.08%</t>
        </is>
      </c>
      <c r="G37" s="6" t="n"/>
      <c r="H37" s="6" t="n"/>
    </row>
    <row r="38">
      <c r="A38" s="6" t="inlineStr">
        <is>
          <t>NSFR</t>
        </is>
      </c>
      <c r="B38" s="6" t="n"/>
      <c r="C38" s="6" t="inlineStr">
        <is>
          <t>213%</t>
        </is>
      </c>
      <c r="D38" s="6" t="inlineStr">
        <is>
          <t>286.37%</t>
        </is>
      </c>
      <c r="E38" s="6" t="inlineStr">
        <is>
          <t>274.71%</t>
        </is>
      </c>
      <c r="F38" s="6" t="n"/>
      <c r="G38" s="6" t="n"/>
      <c r="H38" s="6" t="n"/>
    </row>
    <row r="40" ht="45"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6" t="inlineStr">
        <is>
          <t>Profit for the year before taxation</t>
        </is>
      </c>
      <c r="B4" s="6" t="n">
        <v>54184</v>
      </c>
      <c r="C4" s="6" t="n">
        <v>61068</v>
      </c>
      <c r="D4" s="6" t="n">
        <v>47553</v>
      </c>
      <c r="E4" s="6" t="n">
        <v>47584</v>
      </c>
      <c r="F4" s="6" t="n">
        <v>39555</v>
      </c>
      <c r="G4" s="6" t="n"/>
      <c r="H4" s="6" t="n"/>
    </row>
    <row r="5">
      <c r="A5" s="5" t="inlineStr">
        <is>
          <t>Adjustment to reconcile profit to cash flow from operating activities</t>
        </is>
      </c>
      <c r="B5" s="6" t="n"/>
      <c r="C5" s="6" t="n"/>
      <c r="D5" s="6" t="n"/>
      <c r="E5" s="6" t="n"/>
      <c r="F5" s="6" t="n"/>
      <c r="G5" s="6" t="n"/>
      <c r="H5" s="6" t="n"/>
    </row>
    <row r="6">
      <c r="A6" s="6" t="inlineStr">
        <is>
          <t>Depreciation of property and equipment</t>
        </is>
      </c>
      <c r="B6" s="6" t="n">
        <v>1235</v>
      </c>
      <c r="C6" s="6" t="n">
        <v>1305</v>
      </c>
      <c r="D6" s="6" t="n">
        <v>1553</v>
      </c>
      <c r="E6" s="6" t="n">
        <v>1577</v>
      </c>
      <c r="F6" s="6" t="n">
        <v>1869</v>
      </c>
      <c r="G6" s="6" t="n"/>
      <c r="H6" s="6" t="n"/>
    </row>
    <row r="7">
      <c r="A7" s="6" t="inlineStr">
        <is>
          <t>Amortisation of intangible assets</t>
        </is>
      </c>
      <c r="B7" s="6" t="n">
        <v>209</v>
      </c>
      <c r="C7" s="6" t="n">
        <v>710</v>
      </c>
      <c r="D7" s="6" t="n">
        <v>835</v>
      </c>
      <c r="E7" s="6" t="n">
        <v>1060</v>
      </c>
      <c r="F7" s="6" t="n">
        <v>1214</v>
      </c>
      <c r="G7" s="6" t="n"/>
      <c r="H7" s="6" t="n"/>
    </row>
    <row r="8">
      <c r="A8" s="6" t="inlineStr">
        <is>
          <t>Interest expenses on subordinated liability</t>
        </is>
      </c>
      <c r="B8" s="6" t="n">
        <v>5475</v>
      </c>
      <c r="C8" s="6" t="n">
        <v>5490</v>
      </c>
      <c r="D8" s="6" t="n">
        <v>5475</v>
      </c>
      <c r="E8" s="6" t="n">
        <v>11863</v>
      </c>
      <c r="F8" s="6" t="n">
        <v>5641</v>
      </c>
      <c r="G8" s="6" t="n"/>
      <c r="H8" s="6" t="n"/>
    </row>
    <row r="9">
      <c r="A9" s="6" t="inlineStr">
        <is>
          <t>Net gains/(loss) from sale of investment securities</t>
        </is>
      </c>
      <c r="B9" s="6" t="n">
        <v>354</v>
      </c>
      <c r="C9" s="6" t="n">
        <v>-242</v>
      </c>
      <c r="D9" s="6" t="n">
        <v>747</v>
      </c>
      <c r="E9" s="6" t="n">
        <v>2509</v>
      </c>
      <c r="F9" s="6" t="n">
        <v>-407</v>
      </c>
      <c r="G9" s="6" t="n"/>
      <c r="H9" s="6" t="n"/>
    </row>
    <row r="10">
      <c r="A10" s="6" t="inlineStr">
        <is>
          <t>Net gains on sale of financial assets at FVTPL</t>
        </is>
      </c>
      <c r="B10" s="6" t="n">
        <v>-103</v>
      </c>
      <c r="C10" s="6" t="n">
        <v>-29</v>
      </c>
      <c r="D10" s="6" t="n"/>
      <c r="E10" s="6" t="n"/>
      <c r="F10" s="6" t="n"/>
      <c r="G10" s="6" t="n"/>
      <c r="H10" s="6" t="n"/>
    </row>
    <row r="11">
      <c r="A11" s="6" t="inlineStr">
        <is>
          <t>Foreign currency revaluation (gains)/losses</t>
        </is>
      </c>
      <c r="B11" s="6" t="n">
        <v>-6402</v>
      </c>
      <c r="C11" s="6" t="n">
        <v>3201</v>
      </c>
      <c r="D11" s="6" t="n">
        <v>5820</v>
      </c>
      <c r="E11" s="6" t="n">
        <v>3830</v>
      </c>
      <c r="F11" s="6" t="n">
        <v>1828</v>
      </c>
      <c r="G11" s="6" t="n"/>
      <c r="H11" s="6" t="n"/>
    </row>
    <row r="12">
      <c r="A12" s="6" t="inlineStr">
        <is>
          <t>Credit impairment losses/(gains)</t>
        </is>
      </c>
      <c r="B12" s="6" t="n">
        <v>5280</v>
      </c>
      <c r="C12" s="6" t="n">
        <v>1786</v>
      </c>
      <c r="D12" s="6" t="n">
        <v>10653</v>
      </c>
      <c r="E12" s="6" t="n">
        <v>1145</v>
      </c>
      <c r="F12" s="6" t="n">
        <v>-1356</v>
      </c>
      <c r="G12" s="6" t="n"/>
      <c r="H12" s="6" t="n"/>
    </row>
    <row r="13">
      <c r="A13" s="5" t="inlineStr">
        <is>
          <t>Operating cash flow before changes in operating assets/liabilities</t>
        </is>
      </c>
      <c r="B13" s="5" t="n">
        <v>60231</v>
      </c>
      <c r="C13" s="5" t="n">
        <v>73291</v>
      </c>
      <c r="D13" s="5" t="n">
        <v>72636</v>
      </c>
      <c r="E13" s="5" t="n">
        <v>69569</v>
      </c>
      <c r="F13" s="5" t="n">
        <v>48344</v>
      </c>
      <c r="G13" s="5" t="n"/>
      <c r="H13" s="5" t="n"/>
    </row>
    <row r="14">
      <c r="A14" s="5" t="inlineStr">
        <is>
          <t>Net (increase)/decrease in assets relating to operating activities</t>
        </is>
      </c>
      <c r="B14" s="6" t="n"/>
      <c r="C14" s="6" t="n"/>
      <c r="D14" s="6" t="n"/>
      <c r="E14" s="6" t="n"/>
      <c r="F14" s="6" t="n"/>
      <c r="G14" s="6" t="n"/>
      <c r="H14" s="6" t="n"/>
    </row>
    <row r="15">
      <c r="A15" s="6" t="inlineStr">
        <is>
          <t>Loans and advances to banks</t>
        </is>
      </c>
      <c r="B15" s="6" t="n">
        <v>66031</v>
      </c>
      <c r="C15" s="6" t="n">
        <v>36161</v>
      </c>
      <c r="D15" s="6" t="n">
        <v>22101</v>
      </c>
      <c r="E15" s="6" t="n">
        <v>-76514</v>
      </c>
      <c r="F15" s="6" t="n">
        <v>-253447</v>
      </c>
      <c r="G15" s="6" t="n"/>
      <c r="H15" s="6" t="n"/>
    </row>
    <row r="16">
      <c r="A16" s="6" t="inlineStr">
        <is>
          <t>Loans and advances to customers</t>
        </is>
      </c>
      <c r="B16" s="6" t="n">
        <v>-342955</v>
      </c>
      <c r="C16" s="6" t="n">
        <v>-74019</v>
      </c>
      <c r="D16" s="6" t="n">
        <v>-139867</v>
      </c>
      <c r="E16" s="6" t="n">
        <v>105948</v>
      </c>
      <c r="F16" s="6" t="n">
        <v>64374</v>
      </c>
      <c r="G16" s="6" t="n"/>
      <c r="H16" s="6" t="n"/>
    </row>
    <row r="17">
      <c r="A17" s="6" t="inlineStr">
        <is>
          <t>Financial assets held at fair value through profit or loss</t>
        </is>
      </c>
      <c r="B17" s="6" t="n">
        <v>-453774</v>
      </c>
      <c r="C17" s="6" t="n">
        <v>3250</v>
      </c>
      <c r="D17" s="6" t="n">
        <v>-5643</v>
      </c>
      <c r="E17" s="6" t="n">
        <v>-12895</v>
      </c>
      <c r="F17" s="6" t="n">
        <v>15583</v>
      </c>
      <c r="G17" s="6" t="n"/>
      <c r="H17" s="6" t="n"/>
    </row>
    <row r="18">
      <c r="A18" s="6" t="inlineStr">
        <is>
          <t>Other assets</t>
        </is>
      </c>
      <c r="B18" s="6" t="n">
        <v>-1391</v>
      </c>
      <c r="C18" s="6" t="n">
        <v>-30</v>
      </c>
      <c r="D18" s="6" t="n">
        <v>-851</v>
      </c>
      <c r="E18" s="6" t="n">
        <v>-159</v>
      </c>
      <c r="F18" s="6" t="n">
        <v>-342</v>
      </c>
      <c r="G18" s="6" t="n"/>
      <c r="H18" s="6" t="n"/>
    </row>
    <row r="19">
      <c r="A19" s="5" t="inlineStr">
        <is>
          <t>Net (increase)/decrease in assets relating to operating activities</t>
        </is>
      </c>
      <c r="B19" s="5" t="n">
        <v>-732089</v>
      </c>
      <c r="C19" s="5" t="n">
        <v>-34638</v>
      </c>
      <c r="D19" s="5" t="n">
        <v>-124260</v>
      </c>
      <c r="E19" s="5" t="n">
        <v>16380</v>
      </c>
      <c r="F19" s="5" t="n">
        <v>-173832</v>
      </c>
      <c r="G19" s="5" t="n"/>
      <c r="H19" s="5" t="n"/>
    </row>
    <row r="20">
      <c r="A20" s="5" t="inlineStr">
        <is>
          <t>Net (decrease)/increase in liabilities relating to operating activities</t>
        </is>
      </c>
      <c r="B20" s="6" t="n"/>
      <c r="C20" s="6" t="n"/>
      <c r="D20" s="6" t="n"/>
      <c r="E20" s="6" t="n"/>
      <c r="F20" s="6" t="n"/>
      <c r="G20" s="6" t="n"/>
      <c r="H20" s="6" t="n"/>
    </row>
    <row r="21">
      <c r="A21" s="6" t="inlineStr">
        <is>
          <t>Deposits from banks</t>
        </is>
      </c>
      <c r="B21" s="6" t="n">
        <v>-729803</v>
      </c>
      <c r="C21" s="6" t="n">
        <v>804463</v>
      </c>
      <c r="D21" s="6" t="n">
        <v>-1050768</v>
      </c>
      <c r="E21" s="6" t="n">
        <v>101289</v>
      </c>
      <c r="F21" s="6" t="n">
        <v>226547</v>
      </c>
      <c r="G21" s="6" t="n"/>
      <c r="H21" s="6" t="n"/>
    </row>
    <row r="22">
      <c r="A22" s="6" t="inlineStr">
        <is>
          <t>Deposits from customers</t>
        </is>
      </c>
      <c r="B22" s="6" t="n">
        <v>612657</v>
      </c>
      <c r="C22" s="6" t="n">
        <v>-189309</v>
      </c>
      <c r="D22" s="6" t="n">
        <v>41248</v>
      </c>
      <c r="E22" s="6" t="n">
        <v>288002</v>
      </c>
      <c r="F22" s="6" t="n">
        <v>-17623</v>
      </c>
      <c r="G22" s="6" t="n"/>
      <c r="H22" s="6" t="n"/>
    </row>
    <row r="23">
      <c r="A23" s="6" t="inlineStr">
        <is>
          <t>Other liabilities</t>
        </is>
      </c>
      <c r="B23" s="6" t="n">
        <v>-11466</v>
      </c>
      <c r="C23" s="6" t="n">
        <v>66946</v>
      </c>
      <c r="D23" s="6" t="n">
        <v>-41705</v>
      </c>
      <c r="E23" s="6" t="n">
        <v>-91730</v>
      </c>
      <c r="F23" s="6" t="n">
        <v>42690</v>
      </c>
      <c r="G23" s="6" t="n"/>
      <c r="H23" s="6" t="n"/>
    </row>
    <row r="24">
      <c r="A24" s="6" t="inlineStr">
        <is>
          <t>Financial liabilities at fair value through profit or loss</t>
        </is>
      </c>
      <c r="B24" s="6" t="n">
        <v>3775</v>
      </c>
      <c r="C24" s="6" t="n">
        <v>-17087</v>
      </c>
      <c r="D24" s="6" t="n">
        <v>-17048</v>
      </c>
      <c r="E24" s="6" t="n">
        <v>6824</v>
      </c>
      <c r="F24" s="6" t="n">
        <v>17705</v>
      </c>
      <c r="G24" s="6" t="n"/>
      <c r="H24" s="6" t="n"/>
    </row>
    <row r="25">
      <c r="A25" s="6" t="inlineStr">
        <is>
          <t>Income taxes paid</t>
        </is>
      </c>
      <c r="B25" s="6" t="n">
        <v>-6545</v>
      </c>
      <c r="C25" s="6" t="n">
        <v>-8679</v>
      </c>
      <c r="D25" s="6" t="n">
        <v>-5819</v>
      </c>
      <c r="E25" s="6" t="n">
        <v>-2568</v>
      </c>
      <c r="F25" s="6" t="n">
        <v>-2032</v>
      </c>
      <c r="G25" s="6" t="n"/>
      <c r="H25" s="6" t="n"/>
    </row>
    <row r="26">
      <c r="A26" s="5" t="inlineStr">
        <is>
          <t>Net (decrease)/increase in liabilities relating to operating activities</t>
        </is>
      </c>
      <c r="B26" s="5" t="n">
        <v>-131383</v>
      </c>
      <c r="C26" s="5" t="n">
        <v>656333</v>
      </c>
      <c r="D26" s="5" t="n">
        <v>-1074092</v>
      </c>
      <c r="E26" s="5" t="n">
        <v>301817</v>
      </c>
      <c r="F26" s="5" t="n">
        <v>267286</v>
      </c>
      <c r="G26" s="5" t="n"/>
      <c r="H26" s="5" t="n"/>
    </row>
    <row r="27">
      <c r="A27" s="5" t="inlineStr">
        <is>
          <t>Net cashflow from/(used in) operating activities</t>
        </is>
      </c>
      <c r="B27" s="5" t="n">
        <v>-803241</v>
      </c>
      <c r="C27" s="5" t="n">
        <v>694986</v>
      </c>
      <c r="D27" s="5" t="n"/>
      <c r="E27" s="5" t="n"/>
      <c r="F27" s="5" t="n"/>
      <c r="G27" s="5" t="n"/>
      <c r="H27" s="5" t="n"/>
    </row>
    <row r="28">
      <c r="A28" s="5" t="inlineStr">
        <is>
          <t>Cash flows from/(used in) investing activities</t>
        </is>
      </c>
      <c r="B28" s="6" t="n"/>
      <c r="C28" s="6" t="n"/>
      <c r="D28" s="6" t="n"/>
      <c r="E28" s="6" t="n"/>
      <c r="F28" s="6" t="n"/>
      <c r="G28" s="6" t="n"/>
      <c r="H28" s="6" t="n"/>
    </row>
    <row r="29">
      <c r="A29" s="6" t="inlineStr">
        <is>
          <t>Acquisition of property, plant and equipment</t>
        </is>
      </c>
      <c r="B29" s="6" t="n">
        <v>-53</v>
      </c>
      <c r="C29" s="6" t="n">
        <v>-124</v>
      </c>
      <c r="D29" s="6" t="n">
        <v>-186</v>
      </c>
      <c r="E29" s="6" t="n">
        <v>-87</v>
      </c>
      <c r="F29" s="6" t="n">
        <v>-148</v>
      </c>
      <c r="G29" s="6" t="n"/>
      <c r="H29" s="6" t="n"/>
    </row>
    <row r="30">
      <c r="A30" s="6" t="inlineStr">
        <is>
          <t>Acquisition of intangible assets</t>
        </is>
      </c>
      <c r="B30" s="6" t="n">
        <v>-25</v>
      </c>
      <c r="C30" s="6" t="n">
        <v>-6</v>
      </c>
      <c r="D30" s="6" t="n">
        <v>-175</v>
      </c>
      <c r="E30" s="6" t="n">
        <v>-379</v>
      </c>
      <c r="F30" s="6" t="n">
        <v>-214</v>
      </c>
      <c r="G30" s="6" t="n"/>
      <c r="H30" s="6" t="n"/>
    </row>
    <row r="31">
      <c r="A31" s="6" t="inlineStr">
        <is>
          <t>Proceeds from sale/maturity of investment securities</t>
        </is>
      </c>
      <c r="B31" s="6" t="n">
        <v>2625721</v>
      </c>
      <c r="C31" s="6" t="n">
        <v>2958773</v>
      </c>
      <c r="D31" s="6" t="n"/>
      <c r="E31" s="6" t="n"/>
      <c r="F31" s="6" t="n"/>
      <c r="G31" s="6" t="n"/>
      <c r="H31" s="6" t="n"/>
    </row>
    <row r="32">
      <c r="A32" s="6" t="inlineStr">
        <is>
          <t>Purchase of investment securities</t>
        </is>
      </c>
      <c r="B32" s="6" t="n">
        <v>-1744047</v>
      </c>
      <c r="C32" s="6" t="n">
        <v>-3780169</v>
      </c>
      <c r="D32" s="6" t="n"/>
      <c r="E32" s="6" t="n"/>
      <c r="F32" s="6" t="n"/>
      <c r="G32" s="6" t="n"/>
      <c r="H32" s="6" t="n"/>
    </row>
    <row r="33">
      <c r="A33" s="6" t="inlineStr">
        <is>
          <t>Proceeds from/(purchase of) financial investments at amortised cost</t>
        </is>
      </c>
      <c r="B33" s="6" t="n"/>
      <c r="C33" s="6" t="n"/>
      <c r="D33" s="6" t="n">
        <v>1105995</v>
      </c>
      <c r="E33" s="6" t="n">
        <v>-131164</v>
      </c>
      <c r="F33" s="6" t="n">
        <v>-388494</v>
      </c>
      <c r="G33" s="6" t="n"/>
      <c r="H33" s="6" t="n"/>
    </row>
    <row r="34">
      <c r="A34" s="6" t="inlineStr">
        <is>
          <t>Proceeds from sale of property and equipment</t>
        </is>
      </c>
      <c r="B34" s="6" t="n"/>
      <c r="C34" s="6" t="n"/>
      <c r="D34" s="6" t="n">
        <v>3</v>
      </c>
      <c r="E34" s="6" t="n"/>
      <c r="F34" s="6" t="n"/>
      <c r="G34" s="6" t="n"/>
      <c r="H34" s="6" t="n"/>
    </row>
    <row r="35">
      <c r="A35" s="5" t="inlineStr">
        <is>
          <t>Net cash from/(used in) investing activities</t>
        </is>
      </c>
      <c r="B35" s="5" t="n">
        <v>881596</v>
      </c>
      <c r="C35" s="5" t="n">
        <v>-821525</v>
      </c>
      <c r="D35" s="5" t="n">
        <v>1105637</v>
      </c>
      <c r="E35" s="5" t="n">
        <v>-131630</v>
      </c>
      <c r="F35" s="5" t="n">
        <v>-388856</v>
      </c>
      <c r="G35" s="5" t="n"/>
      <c r="H35" s="5" t="n"/>
    </row>
    <row r="36">
      <c r="A36" s="5" t="inlineStr">
        <is>
          <t>Cash flows used in financing activities</t>
        </is>
      </c>
      <c r="B36" s="6" t="n"/>
      <c r="C36" s="6" t="n"/>
      <c r="D36" s="6" t="n"/>
      <c r="E36" s="6" t="n"/>
      <c r="F36" s="6" t="n"/>
      <c r="G36" s="6" t="n"/>
      <c r="H36" s="6" t="n"/>
    </row>
    <row r="37">
      <c r="A37" s="6" t="inlineStr">
        <is>
          <t>Interest paid on subordinated liability</t>
        </is>
      </c>
      <c r="B37" s="6" t="n">
        <v>-5460</v>
      </c>
      <c r="C37" s="6" t="n">
        <v>-5505</v>
      </c>
      <c r="D37" s="6" t="n">
        <v>-5475</v>
      </c>
      <c r="E37" s="6" t="n">
        <v>-5460</v>
      </c>
      <c r="F37" s="6" t="n">
        <v>-4810</v>
      </c>
      <c r="G37" s="6" t="n"/>
      <c r="H37" s="6" t="n"/>
    </row>
    <row r="38">
      <c r="A38" s="6" t="inlineStr">
        <is>
          <t>Principal element of lease payment</t>
        </is>
      </c>
      <c r="B38" s="6" t="n">
        <v>-1313</v>
      </c>
      <c r="C38" s="6" t="n">
        <v>-931</v>
      </c>
      <c r="D38" s="6" t="n">
        <v>-1253</v>
      </c>
      <c r="E38" s="6" t="n">
        <v>-1225</v>
      </c>
      <c r="F38" s="6" t="n">
        <v>-1721</v>
      </c>
      <c r="G38" s="6" t="n"/>
      <c r="H38" s="6" t="n"/>
    </row>
    <row r="39">
      <c r="A39" s="5" t="inlineStr">
        <is>
          <t>Net cash used in financing activities</t>
        </is>
      </c>
      <c r="B39" s="5" t="n">
        <v>-6773</v>
      </c>
      <c r="C39" s="5" t="n">
        <v>-6436</v>
      </c>
      <c r="D39" s="5" t="n">
        <v>-6728</v>
      </c>
      <c r="E39" s="5" t="n">
        <v>-6685</v>
      </c>
      <c r="F39" s="5" t="n">
        <v>-6531</v>
      </c>
      <c r="G39" s="5" t="n"/>
      <c r="H39" s="5" t="n"/>
    </row>
    <row r="40">
      <c r="A40" s="5" t="inlineStr">
        <is>
          <t>Net increase/(decrease) in cash and cash equivalents</t>
        </is>
      </c>
      <c r="B40" s="5" t="n">
        <v>71582</v>
      </c>
      <c r="C40" s="5" t="n">
        <v>-132975</v>
      </c>
      <c r="D40" s="5" t="n">
        <v>-26809</v>
      </c>
      <c r="E40" s="5" t="n">
        <v>249451</v>
      </c>
      <c r="F40" s="5" t="n">
        <v>-253589</v>
      </c>
      <c r="G40" s="5" t="n"/>
      <c r="H40" s="5" t="n"/>
    </row>
    <row r="41">
      <c r="A41" s="6" t="inlineStr">
        <is>
          <t>Cash and cash equivalents at the beginning of the year</t>
        </is>
      </c>
      <c r="B41" s="6" t="n">
        <v>362738</v>
      </c>
      <c r="C41" s="6" t="n">
        <v>495731</v>
      </c>
      <c r="D41" s="6" t="n">
        <v>522342</v>
      </c>
      <c r="E41" s="6" t="n">
        <v>274093</v>
      </c>
      <c r="F41" s="6" t="n">
        <v>621026</v>
      </c>
      <c r="G41" s="6" t="n"/>
      <c r="H41" s="6" t="n"/>
    </row>
    <row r="42">
      <c r="A42" s="6" t="inlineStr">
        <is>
          <t>Exchange difference</t>
        </is>
      </c>
      <c r="B42" s="6" t="n">
        <v>520</v>
      </c>
      <c r="C42" s="6" t="n">
        <v>-18</v>
      </c>
      <c r="D42" s="6" t="n">
        <v>197</v>
      </c>
      <c r="E42" s="6" t="n">
        <v>-1202</v>
      </c>
      <c r="F42" s="6" t="n"/>
      <c r="G42" s="6" t="n"/>
      <c r="H42" s="6" t="n"/>
    </row>
    <row r="43">
      <c r="A43" s="6" t="inlineStr">
        <is>
          <t>Effect of GBP/USD translation (FY2021 only - see currency note)</t>
        </is>
      </c>
      <c r="B43" s="6" t="n"/>
      <c r="C43" s="6" t="n"/>
      <c r="D43" s="6" t="n"/>
      <c r="E43" s="6" t="n"/>
      <c r="F43" s="6" t="n">
        <v>-2105</v>
      </c>
      <c r="G43" s="6" t="n"/>
      <c r="H43" s="6" t="n"/>
    </row>
    <row r="44">
      <c r="A44" s="5" t="inlineStr">
        <is>
          <t>Cash and cash equivalents at the end of the year</t>
        </is>
      </c>
      <c r="B44" s="5" t="n">
        <v>434840</v>
      </c>
      <c r="C44" s="5" t="n">
        <v>362738</v>
      </c>
      <c r="D44" s="5" t="n">
        <v>495731</v>
      </c>
      <c r="E44" s="5" t="n">
        <v>522342</v>
      </c>
      <c r="F44" s="5" t="n">
        <v>365332</v>
      </c>
      <c r="G44" s="5" t="n"/>
      <c r="H44" s="5" t="n"/>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H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Gross carrying amount by IFRS 9 stage</t>
        </is>
      </c>
      <c r="B4" s="6" t="n"/>
      <c r="C4" s="6" t="n"/>
      <c r="D4" s="6" t="n"/>
      <c r="E4" s="6" t="n"/>
      <c r="F4" s="6" t="n"/>
      <c r="G4" s="6" t="n"/>
      <c r="H4" s="6" t="n"/>
    </row>
    <row r="5">
      <c r="A5" s="6" t="inlineStr">
        <is>
          <t>Stage 1 (12-month ECL)</t>
        </is>
      </c>
      <c r="B5" s="6" t="n">
        <v>908653</v>
      </c>
      <c r="C5" s="6" t="n">
        <v>586279</v>
      </c>
      <c r="D5" s="6" t="n"/>
      <c r="E5" s="6" t="n"/>
      <c r="F5" s="6" t="n">
        <v>550279</v>
      </c>
      <c r="G5" s="6" t="n"/>
      <c r="H5" s="6" t="n"/>
    </row>
    <row r="6">
      <c r="A6" s="6" t="inlineStr">
        <is>
          <t>Stage 2 (Lifetime ECL, not credit-impaired)</t>
        </is>
      </c>
      <c r="B6" s="6" t="n">
        <v>25017</v>
      </c>
      <c r="C6" s="6" t="n">
        <v>2512</v>
      </c>
      <c r="D6" s="6" t="n"/>
      <c r="E6" s="6" t="n"/>
      <c r="F6" s="6" t="n">
        <v>2002</v>
      </c>
      <c r="G6" s="6" t="n"/>
      <c r="H6" s="6" t="n"/>
    </row>
    <row r="7">
      <c r="A7" s="6" t="inlineStr">
        <is>
          <t>Stage 3 / Default (Lifetime ECL, credit-impaired)</t>
        </is>
      </c>
      <c r="B7" s="6" t="n">
        <v>26187</v>
      </c>
      <c r="C7" s="6" t="n">
        <v>27797</v>
      </c>
      <c r="D7" s="6" t="n"/>
      <c r="E7" s="6" t="n"/>
      <c r="F7" s="6" t="n">
        <v>32507</v>
      </c>
      <c r="G7" s="6" t="n"/>
      <c r="H7" s="6" t="n"/>
    </row>
    <row r="8">
      <c r="A8" s="6" t="inlineStr">
        <is>
          <t>Gross carrying amount (Corporate + Individual, FY2023/FY2022 - no Stage 1/2/3 split disclosed)</t>
        </is>
      </c>
      <c r="B8" s="6" t="n"/>
      <c r="C8" s="6" t="n"/>
      <c r="D8" s="6" t="n">
        <v>543982</v>
      </c>
      <c r="E8" s="6" t="n">
        <v>404298</v>
      </c>
      <c r="F8" s="6" t="n"/>
      <c r="G8" s="6" t="n"/>
      <c r="H8" s="6" t="n"/>
    </row>
    <row r="9">
      <c r="A9" s="5" t="inlineStr">
        <is>
          <t>Total gross carrying amount</t>
        </is>
      </c>
      <c r="B9" s="5" t="n">
        <v>959857</v>
      </c>
      <c r="C9" s="5" t="n">
        <v>616589</v>
      </c>
      <c r="D9" s="5" t="n">
        <v>543982</v>
      </c>
      <c r="E9" s="5" t="n">
        <v>404298</v>
      </c>
      <c r="F9" s="5" t="n">
        <v>584788</v>
      </c>
      <c r="G9" s="5" t="n"/>
      <c r="H9" s="5" t="n"/>
    </row>
    <row r="10">
      <c r="A10" s="5" t="inlineStr">
        <is>
          <t>Loss allowance</t>
        </is>
      </c>
      <c r="B10" s="6" t="n"/>
      <c r="C10" s="6" t="n"/>
      <c r="D10" s="6" t="n"/>
      <c r="E10" s="6" t="n"/>
      <c r="F10" s="6" t="n"/>
      <c r="G10" s="6" t="n"/>
      <c r="H10" s="6" t="n"/>
    </row>
    <row r="11">
      <c r="A11" s="6" t="inlineStr">
        <is>
          <t>Stage 1 loss allowance</t>
        </is>
      </c>
      <c r="B11" s="6" t="n">
        <v>-11165</v>
      </c>
      <c r="C11" s="6" t="n">
        <v>-7004</v>
      </c>
      <c r="D11" s="6" t="n"/>
      <c r="E11" s="6" t="n"/>
      <c r="F11" s="6" t="n">
        <v>-3704</v>
      </c>
      <c r="G11" s="6" t="n"/>
      <c r="H11" s="6" t="n"/>
    </row>
    <row r="12">
      <c r="A12" s="6" t="inlineStr">
        <is>
          <t>Stage 2 loss allowance</t>
        </is>
      </c>
      <c r="B12" s="6" t="n">
        <v>-1131</v>
      </c>
      <c r="C12" s="6" t="n">
        <v>-77</v>
      </c>
      <c r="D12" s="6" t="n"/>
      <c r="E12" s="6" t="n"/>
      <c r="F12" s="6" t="n">
        <v>-63</v>
      </c>
      <c r="G12" s="6" t="n"/>
      <c r="H12" s="6" t="n"/>
    </row>
    <row r="13">
      <c r="A13" s="6" t="inlineStr">
        <is>
          <t>Stage 3 loss allowance</t>
        </is>
      </c>
      <c r="B13" s="6" t="n">
        <v>-8552</v>
      </c>
      <c r="C13" s="6" t="n">
        <v>-8329</v>
      </c>
      <c r="D13" s="6" t="n"/>
      <c r="E13" s="6" t="n"/>
      <c r="F13" s="6" t="n">
        <v>-12477</v>
      </c>
      <c r="G13" s="6" t="n"/>
      <c r="H13" s="6" t="n"/>
    </row>
    <row r="14">
      <c r="A14" s="6" t="inlineStr">
        <is>
          <t>12-month ECL allowance (FY2023/FY2022 - no Stage 1/2/3 split disclosed)</t>
        </is>
      </c>
      <c r="B14" s="6" t="n"/>
      <c r="C14" s="6" t="n"/>
      <c r="D14" s="6" t="n">
        <v>-6621</v>
      </c>
      <c r="E14" s="6" t="n">
        <v>-2999</v>
      </c>
      <c r="F14" s="6" t="n"/>
      <c r="G14" s="6" t="n"/>
      <c r="H14" s="6" t="n"/>
    </row>
    <row r="15">
      <c r="A15" s="6" t="inlineStr">
        <is>
          <t>Lifetime ECL allowance (FY2023/FY2022 - no Stage 1/2/3 split disclosed)</t>
        </is>
      </c>
      <c r="B15" s="6" t="n"/>
      <c r="C15" s="6" t="n"/>
      <c r="D15" s="6" t="n">
        <v>-7414</v>
      </c>
      <c r="E15" s="6" t="n">
        <v>-567</v>
      </c>
      <c r="F15" s="6" t="n"/>
      <c r="G15" s="6" t="n"/>
      <c r="H15" s="6" t="n"/>
    </row>
    <row r="16">
      <c r="A16" s="5" t="inlineStr">
        <is>
          <t>Total loss allowance</t>
        </is>
      </c>
      <c r="B16" s="5" t="n">
        <v>-20848</v>
      </c>
      <c r="C16" s="5" t="n">
        <v>-15410</v>
      </c>
      <c r="D16" s="5" t="n">
        <v>-14035</v>
      </c>
      <c r="E16" s="5" t="n">
        <v>-3566</v>
      </c>
      <c r="F16" s="5" t="n">
        <v>-16244</v>
      </c>
      <c r="G16" s="5" t="n"/>
      <c r="H16" s="5" t="n"/>
    </row>
    <row r="17">
      <c r="A17" s="5" t="inlineStr">
        <is>
          <t>Net loans and advances to customers</t>
        </is>
      </c>
      <c r="B17" s="5" t="n">
        <v>939009</v>
      </c>
      <c r="C17" s="5" t="n">
        <v>601178</v>
      </c>
      <c r="D17" s="5" t="n">
        <v>529947</v>
      </c>
      <c r="E17" s="5" t="n">
        <v>400733</v>
      </c>
      <c r="F17" s="5" t="n">
        <v>568544</v>
      </c>
      <c r="G17" s="5" t="n"/>
      <c r="H17" s="5" t="n"/>
    </row>
    <row r="18">
      <c r="A18" s="5" t="inlineStr">
        <is>
          <t>Composition and non-performing accounts</t>
        </is>
      </c>
      <c r="B18" s="6" t="n"/>
      <c r="C18" s="6" t="n"/>
      <c r="D18" s="6" t="n"/>
      <c r="E18" s="6" t="n"/>
      <c r="F18" s="6" t="n"/>
      <c r="G18" s="6" t="n"/>
      <c r="H18" s="6" t="n"/>
    </row>
    <row r="19">
      <c r="A19" s="6" t="inlineStr">
        <is>
          <t>Corporate</t>
        </is>
      </c>
      <c r="B19" s="6" t="n">
        <v>757997</v>
      </c>
      <c r="C19" s="6" t="n">
        <v>466491</v>
      </c>
      <c r="D19" s="6" t="n">
        <v>390231</v>
      </c>
      <c r="E19" s="6" t="n">
        <v>279069</v>
      </c>
      <c r="F19" s="6" t="n"/>
      <c r="G19" s="6" t="n"/>
      <c r="H19" s="6" t="n"/>
    </row>
    <row r="20">
      <c r="A20" s="6" t="inlineStr">
        <is>
          <t>Individual</t>
        </is>
      </c>
      <c r="B20" s="6" t="n">
        <v>201860</v>
      </c>
      <c r="C20" s="6" t="n">
        <v>150098</v>
      </c>
      <c r="D20" s="6" t="n">
        <v>153751</v>
      </c>
      <c r="E20" s="6" t="n">
        <v>125229</v>
      </c>
      <c r="F20" s="6" t="n"/>
      <c r="G20" s="6" t="n"/>
      <c r="H20" s="6" t="n"/>
    </row>
    <row r="21">
      <c r="A21" s="6" t="inlineStr">
        <is>
          <t>Non-performing accounts (within maturity analysis)</t>
        </is>
      </c>
      <c r="B21" s="6" t="n">
        <v>26187</v>
      </c>
      <c r="C21" s="6" t="n">
        <v>27797</v>
      </c>
      <c r="D21" s="6" t="n">
        <v>22645</v>
      </c>
      <c r="E21" s="6" t="n">
        <v>5397</v>
      </c>
      <c r="F21" s="6" t="n">
        <v>32507</v>
      </c>
      <c r="G21" s="6" t="n"/>
      <c r="H21" s="6" t="n"/>
    </row>
    <row r="22">
      <c r="A22" s="6" t="inlineStr">
        <is>
          <t>Stage 3 / non-performing coverage ratio (loss allowance / non-performing accounts)</t>
        </is>
      </c>
      <c r="B22" s="6" t="inlineStr">
        <is>
          <t>32.66%</t>
        </is>
      </c>
      <c r="C22" s="6" t="inlineStr">
        <is>
          <t>29.96%</t>
        </is>
      </c>
      <c r="D22" s="6" t="n"/>
      <c r="E22" s="6" t="n"/>
      <c r="F22" s="6" t="inlineStr">
        <is>
          <t>38.38%</t>
        </is>
      </c>
      <c r="G22" s="6" t="n"/>
      <c r="H22" s="6" t="n"/>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60" customHeight="1">
      <c r="A5" s="7" t="inlineStr">
        <is>
          <t>Note: Tier 1 capital equals CET1 capital for this Bank - it holds no Additional Tier 1 instruments.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n"/>
      <c r="C4" s="6" t="inlineStr">
        <is>
          <t>26.07%</t>
        </is>
      </c>
      <c r="D4" s="6" t="inlineStr">
        <is>
          <t>25.05%</t>
        </is>
      </c>
      <c r="E4" s="6" t="inlineStr">
        <is>
          <t>22.47%</t>
        </is>
      </c>
      <c r="F4" s="6" t="inlineStr">
        <is>
          <t>17.79%</t>
        </is>
      </c>
      <c r="G4" s="6" t="inlineStr">
        <is>
          <t>20.20%</t>
        </is>
      </c>
      <c r="H4" s="6" t="inlineStr">
        <is>
          <t>19.49%</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60"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UK OV1 template (FY2024-FY2021)</t>
        </is>
      </c>
      <c r="B4" s="6" t="n"/>
      <c r="C4" s="6" t="n"/>
      <c r="D4" s="6" t="n"/>
      <c r="E4" s="6" t="n"/>
      <c r="F4" s="6" t="n"/>
      <c r="G4" s="6" t="n"/>
      <c r="H4" s="6" t="n"/>
    </row>
    <row r="5">
      <c r="A5" s="6" t="inlineStr">
        <is>
          <t>Credit risk (excluding CCR)</t>
        </is>
      </c>
      <c r="B5" s="6" t="n"/>
      <c r="C5" s="6" t="n">
        <v>1196695</v>
      </c>
      <c r="D5" s="6" t="n">
        <v>1060740</v>
      </c>
      <c r="E5" s="6" t="n">
        <v>967989</v>
      </c>
      <c r="F5" s="6" t="n">
        <v>1293719</v>
      </c>
      <c r="G5" s="6" t="n"/>
      <c r="H5" s="6" t="n"/>
    </row>
    <row r="6">
      <c r="A6" s="6" t="inlineStr">
        <is>
          <t>Counterparty Credit Risk (CCR)</t>
        </is>
      </c>
      <c r="B6" s="6" t="n"/>
      <c r="C6" s="6" t="n">
        <v>4007</v>
      </c>
      <c r="D6" s="6" t="n">
        <v>8023</v>
      </c>
      <c r="E6" s="6" t="n">
        <v>23857</v>
      </c>
      <c r="F6" s="6" t="n">
        <v>11788</v>
      </c>
      <c r="G6" s="6" t="n"/>
      <c r="H6" s="6" t="n"/>
    </row>
    <row r="7">
      <c r="A7" s="6" t="inlineStr">
        <is>
          <t>Of which CVA</t>
        </is>
      </c>
      <c r="B7" s="6" t="n"/>
      <c r="C7" s="6" t="n">
        <v>611</v>
      </c>
      <c r="D7" s="6" t="n">
        <v>922</v>
      </c>
      <c r="E7" s="6" t="n">
        <v>5202</v>
      </c>
      <c r="F7" s="6" t="n">
        <v>1774</v>
      </c>
      <c r="G7" s="6" t="n"/>
      <c r="H7" s="6" t="n"/>
    </row>
    <row r="8">
      <c r="A8" s="6" t="inlineStr">
        <is>
          <t>Settlement risk</t>
        </is>
      </c>
      <c r="B8" s="6" t="n"/>
      <c r="C8" s="6" t="n">
        <v>30</v>
      </c>
      <c r="D8" s="6" t="n">
        <v>2</v>
      </c>
      <c r="E8" s="6" t="n">
        <v>55</v>
      </c>
      <c r="F8" s="6" t="n">
        <v>14</v>
      </c>
      <c r="G8" s="6" t="n"/>
      <c r="H8" s="6" t="n"/>
    </row>
    <row r="9">
      <c r="A9" s="6" t="inlineStr">
        <is>
          <t>Market risk</t>
        </is>
      </c>
      <c r="B9" s="6" t="n"/>
      <c r="C9" s="6" t="n">
        <v>4235</v>
      </c>
      <c r="D9" s="6" t="n">
        <v>9945</v>
      </c>
      <c r="E9" s="6" t="n">
        <v>98823</v>
      </c>
      <c r="F9" s="6" t="n">
        <v>80096</v>
      </c>
      <c r="G9" s="6" t="n"/>
      <c r="H9" s="6" t="n"/>
    </row>
    <row r="10">
      <c r="A10" s="6" t="inlineStr">
        <is>
          <t>Operational risk</t>
        </is>
      </c>
      <c r="B10" s="6" t="n"/>
      <c r="C10" s="6" t="n">
        <v>190020</v>
      </c>
      <c r="D10" s="6" t="n">
        <v>155846</v>
      </c>
      <c r="E10" s="6" t="n">
        <v>134759</v>
      </c>
      <c r="F10" s="6" t="n">
        <v>149967</v>
      </c>
      <c r="G10" s="6" t="n"/>
      <c r="H10" s="6" t="n"/>
    </row>
    <row r="11">
      <c r="A11" s="5" t="inlineStr">
        <is>
          <t>Total RWAs</t>
        </is>
      </c>
      <c r="B11" s="5" t="n"/>
      <c r="C11" s="5" t="n">
        <v>1395598</v>
      </c>
      <c r="D11" s="5" t="n">
        <v>1235478</v>
      </c>
      <c r="E11" s="5" t="n">
        <v>1230686</v>
      </c>
      <c r="F11" s="5" t="n">
        <v>1537358</v>
      </c>
      <c r="G11" s="5" t="n"/>
      <c r="H11" s="5" t="n"/>
    </row>
    <row r="12">
      <c r="A12" s="5" t="inlineStr">
        <is>
          <t>Table 11 EU OV1 (FY2020)</t>
        </is>
      </c>
      <c r="B12" s="6" t="n"/>
      <c r="C12" s="6" t="n"/>
      <c r="D12" s="6" t="n"/>
      <c r="E12" s="6" t="n"/>
      <c r="F12" s="6" t="n"/>
      <c r="G12" s="6" t="n"/>
      <c r="H12" s="6" t="n"/>
    </row>
    <row r="13">
      <c r="A13" s="6" t="inlineStr">
        <is>
          <t>Credit risk (excluding CCR)</t>
        </is>
      </c>
      <c r="B13" s="6" t="n"/>
      <c r="C13" s="6" t="n"/>
      <c r="D13" s="6" t="n"/>
      <c r="E13" s="6" t="n"/>
      <c r="F13" s="6" t="n"/>
      <c r="G13" s="6" t="n">
        <v>1042450</v>
      </c>
      <c r="H13" s="6" t="n"/>
    </row>
    <row r="14">
      <c r="A14" s="6" t="inlineStr">
        <is>
          <t>Counterparty Credit Risk (CCR)</t>
        </is>
      </c>
      <c r="B14" s="6" t="n"/>
      <c r="C14" s="6" t="n"/>
      <c r="D14" s="6" t="n"/>
      <c r="E14" s="6" t="n"/>
      <c r="F14" s="6" t="n"/>
      <c r="G14" s="6" t="n">
        <v>13681</v>
      </c>
      <c r="H14" s="6" t="n"/>
    </row>
    <row r="15">
      <c r="A15" s="6" t="inlineStr">
        <is>
          <t>Of which CVA</t>
        </is>
      </c>
      <c r="B15" s="6" t="n"/>
      <c r="C15" s="6" t="n"/>
      <c r="D15" s="6" t="n"/>
      <c r="E15" s="6" t="n"/>
      <c r="F15" s="6" t="n"/>
      <c r="G15" s="6" t="n">
        <v>1921</v>
      </c>
      <c r="H15" s="6" t="n"/>
    </row>
    <row r="16">
      <c r="A16" s="6" t="inlineStr">
        <is>
          <t>Settlement risk</t>
        </is>
      </c>
      <c r="B16" s="6" t="n"/>
      <c r="C16" s="6" t="n"/>
      <c r="D16" s="6" t="n"/>
      <c r="E16" s="6" t="n"/>
      <c r="F16" s="6" t="n"/>
      <c r="G16" s="6" t="n">
        <v>0</v>
      </c>
      <c r="H16" s="6" t="n"/>
    </row>
    <row r="17">
      <c r="A17" s="6" t="inlineStr">
        <is>
          <t>Market risk</t>
        </is>
      </c>
      <c r="B17" s="6" t="n"/>
      <c r="C17" s="6" t="n"/>
      <c r="D17" s="6" t="n"/>
      <c r="E17" s="6" t="n"/>
      <c r="F17" s="6" t="n"/>
      <c r="G17" s="6" t="n">
        <v>18446</v>
      </c>
      <c r="H17" s="6" t="n"/>
    </row>
    <row r="18">
      <c r="A18" s="6" t="inlineStr">
        <is>
          <t>Operational risk</t>
        </is>
      </c>
      <c r="B18" s="6" t="n"/>
      <c r="C18" s="6" t="n"/>
      <c r="D18" s="6" t="n"/>
      <c r="E18" s="6" t="n"/>
      <c r="F18" s="6" t="n"/>
      <c r="G18" s="6" t="n">
        <v>151513</v>
      </c>
      <c r="H18" s="6" t="n"/>
    </row>
    <row r="19">
      <c r="A19" s="5" t="inlineStr">
        <is>
          <t>Total RWAs</t>
        </is>
      </c>
      <c r="B19" s="5" t="n"/>
      <c r="C19" s="5" t="n"/>
      <c r="D19" s="5" t="n"/>
      <c r="E19" s="5" t="n"/>
      <c r="F19" s="5" t="n"/>
      <c r="G19" s="5" t="n">
        <v>1228011</v>
      </c>
      <c r="H19" s="5" t="n"/>
    </row>
    <row r="20">
      <c r="A20" s="5" t="inlineStr">
        <is>
          <t>Table 1 Analysis of Pillar 1 Capital Requirement (FY2019, pre-OV1 template)</t>
        </is>
      </c>
      <c r="B20" s="6" t="n"/>
      <c r="C20" s="6" t="n"/>
      <c r="D20" s="6" t="n"/>
      <c r="E20" s="6" t="n"/>
      <c r="F20" s="6" t="n"/>
      <c r="G20" s="6" t="n"/>
      <c r="H20" s="6" t="n"/>
    </row>
    <row r="21">
      <c r="A21" s="6" t="inlineStr">
        <is>
          <t>Credit risk (including CCR)</t>
        </is>
      </c>
      <c r="B21" s="6" t="n"/>
      <c r="C21" s="6" t="n"/>
      <c r="D21" s="6" t="n"/>
      <c r="E21" s="6" t="n"/>
      <c r="F21" s="6" t="n"/>
      <c r="G21" s="6" t="n"/>
      <c r="H21" s="6" t="n">
        <v>1011400</v>
      </c>
    </row>
    <row r="22">
      <c r="A22" s="6" t="inlineStr">
        <is>
          <t>Settlement risk</t>
        </is>
      </c>
      <c r="B22" s="6" t="n"/>
      <c r="C22" s="6" t="n"/>
      <c r="D22" s="6" t="n"/>
      <c r="E22" s="6" t="n"/>
      <c r="F22" s="6" t="n"/>
      <c r="G22" s="6" t="n"/>
      <c r="H22" s="6" t="n">
        <v>8</v>
      </c>
    </row>
    <row r="23">
      <c r="A23" s="6" t="inlineStr">
        <is>
          <t>Market risk</t>
        </is>
      </c>
      <c r="B23" s="6" t="n"/>
      <c r="C23" s="6" t="n"/>
      <c r="D23" s="6" t="n"/>
      <c r="E23" s="6" t="n"/>
      <c r="F23" s="6" t="n"/>
      <c r="G23" s="6" t="n"/>
      <c r="H23" s="6" t="n">
        <v>14534</v>
      </c>
    </row>
    <row r="24">
      <c r="A24" s="6" t="inlineStr">
        <is>
          <t>Operational risk</t>
        </is>
      </c>
      <c r="B24" s="6" t="n"/>
      <c r="C24" s="6" t="n"/>
      <c r="D24" s="6" t="n"/>
      <c r="E24" s="6" t="n"/>
      <c r="F24" s="6" t="n"/>
      <c r="G24" s="6" t="n"/>
      <c r="H24" s="6" t="n">
        <v>142881</v>
      </c>
    </row>
    <row r="25">
      <c r="A25" s="6" t="inlineStr">
        <is>
          <t>Of which CVA</t>
        </is>
      </c>
      <c r="B25" s="6" t="n"/>
      <c r="C25" s="6" t="n"/>
      <c r="D25" s="6" t="n"/>
      <c r="E25" s="6" t="n"/>
      <c r="F25" s="6" t="n"/>
      <c r="G25" s="6" t="n"/>
      <c r="H25" s="6" t="n">
        <v>592</v>
      </c>
    </row>
    <row r="26">
      <c r="A26" s="5" t="inlineStr">
        <is>
          <t>Total RWAs</t>
        </is>
      </c>
      <c r="B26" s="5" t="n"/>
      <c r="C26" s="5" t="n"/>
      <c r="D26" s="5" t="n"/>
      <c r="E26" s="5" t="n"/>
      <c r="F26" s="5" t="n"/>
      <c r="G26" s="5" t="n"/>
      <c r="H26" s="5" t="n">
        <v>1169415</v>
      </c>
    </row>
    <row r="28" ht="340" customHeight="1">
      <c r="A28"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https://web.archive.org/web/20251203042809id_/https://www.fbnbank.co.uk/wp-content/uploads/2025/09/FirstBank-UK-Pillar-3-Dec-2024-1.pdf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https://web.archive.org/web/20240527034030id_/https://www.fbnbank.co.uk/wp-content/uploads/2019/06/FirstBank-UK-Pillar-3-Dec-2023.pdf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https://web.archive.org/web/20240718195901id_/https://www.fbnbank.co.uk/wp-content/uploads/2019/06/FBNUK-Pillar-3-Disclosures_-2021.pdf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https://web.archive.org/web/20231206074745id_/https://www.fbnbank.co.uk/wp-content/uploads/2019/06/FBNUK_Pillar-3-Disclosures_2020.pdf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https://web.archive.org/web/20200918094410id_/https://www.fbnbank.co.uk/wp-content/uploads/2019/06/FBNUK-Pillar-3-Dec-19-FINAL-Published_v3.pdf (via Wayback Machine archive). Converted to $ at the FY2019 year-end spot rate (£1 = $1.3210); DATA rows sum to $1,169,415k, matching the Total RWAs sheet's FY2019 figure of $1,169,414k within $1k rounding.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8:H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n"/>
      <c r="C4" s="6" t="inlineStr">
        <is>
          <t>14.12%</t>
        </is>
      </c>
      <c r="D4" s="6" t="inlineStr">
        <is>
          <t>19.64%</t>
        </is>
      </c>
      <c r="E4" s="6" t="inlineStr">
        <is>
          <t>9.84%</t>
        </is>
      </c>
      <c r="F4" s="6" t="inlineStr">
        <is>
          <t>6.83%</t>
        </is>
      </c>
      <c r="G4" s="6" t="inlineStr">
        <is>
          <t>6.75%</t>
        </is>
      </c>
      <c r="H4" s="6" t="inlineStr">
        <is>
          <t>4.98%</t>
        </is>
      </c>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 (12-month trailing average)</t>
        </is>
      </c>
      <c r="B4" s="6" t="n"/>
      <c r="C4" s="6" t="inlineStr">
        <is>
          <t>409.09%</t>
        </is>
      </c>
      <c r="D4" s="6" t="inlineStr">
        <is>
          <t>383.17%</t>
        </is>
      </c>
      <c r="E4" s="6" t="inlineStr">
        <is>
          <t>240.65%</t>
        </is>
      </c>
      <c r="F4" s="6" t="inlineStr">
        <is>
          <t>243.08%</t>
        </is>
      </c>
      <c r="G4" s="6" t="inlineStr">
        <is>
          <t>252.76%</t>
        </is>
      </c>
      <c r="H4" s="6" t="n"/>
    </row>
    <row r="6" ht="14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n"/>
      <c r="C4" s="6" t="inlineStr">
        <is>
          <t>213%</t>
        </is>
      </c>
      <c r="D4" s="6" t="inlineStr">
        <is>
          <t>286.37%</t>
        </is>
      </c>
      <c r="E4" s="6" t="inlineStr">
        <is>
          <t>274.71%</t>
        </is>
      </c>
      <c r="F4" s="6" t="n"/>
      <c r="G4" s="6" t="n"/>
      <c r="H4" s="6" t="n"/>
    </row>
    <row r="5" ht="60" customHeight="1">
      <c r="A5" s="7" t="inlineStr">
        <is>
          <t>Note: FY2021 not disclosed: the CRR2 NSFR rules commenced 1 January 2022 and the Bank's own Pillar 3 Disclosures (Dec 2022) state prior-period NSFR data is 'not available on an equivalent basis'.</t>
        </is>
      </c>
    </row>
    <row r="7" ht="14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has in fact withdrawn its Pillar 3 documents from its own website entirely - even the FY2024 URL cited above (last archived 18 October 2025) now returns 404, and no Pillar 3 file appears anywhere under fbnbank.co.uk/wp-content/uploads/2026/, in the site's WordPress media index, or in the Wayback CDX index for the domain (whose newest Pillar 3 capture is the Dec-2024 report).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https://web.archive.org/web/20240219211830id_/https://www.fbnbank.co.uk/wp-content/uploads/2019/06/FirstBank-UK-Pillar-3-Dec-2022-V1.0.pdf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2026-09-16T00:11:29Z</dcterms:created>
  <dcterms:modified xmlns:dcterms="http://purl.org/dc/terms/" xmlns:xsi="http://www.w3.org/2001/XMLSchema-instance" xsi:type="dcterms:W3CDTF">2026-09-16T00:11:29Z</dcterms:modified>
</cp:coreProperties>
</file>