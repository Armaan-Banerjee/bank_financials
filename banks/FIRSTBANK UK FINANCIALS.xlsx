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Y6" t="inlineStr">
        <is>
          <t>CET1 Ratio</t>
        </is>
      </c>
      <c r="BB6" t="n">
        <v>17.79</v>
      </c>
      <c r="BC6" t="n">
        <v>22.47</v>
      </c>
      <c r="BD6" t="n">
        <v>25.05</v>
      </c>
      <c r="BE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Y7" t="inlineStr">
        <is>
          <t>Tier 1 Ratio</t>
        </is>
      </c>
      <c r="BB7" t="n">
        <v>17.79</v>
      </c>
      <c r="BC7" t="n">
        <v>22.47</v>
      </c>
      <c r="BD7" t="n">
        <v>25.05</v>
      </c>
      <c r="BE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Y8" t="inlineStr">
        <is>
          <t>Total Capital Ratio</t>
        </is>
      </c>
      <c r="BB8" t="n">
        <v>21.25</v>
      </c>
      <c r="BC8" t="n">
        <v>26.08</v>
      </c>
      <c r="BD8" t="n">
        <v>28.65</v>
      </c>
      <c r="BE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Y9" t="inlineStr">
        <is>
          <t>Leverage Ratio</t>
        </is>
      </c>
      <c r="BB9" t="n">
        <v>6.83</v>
      </c>
      <c r="BC9" t="n">
        <v>9.84</v>
      </c>
      <c r="BD9" t="n">
        <v>19.64</v>
      </c>
      <c r="BE9" t="n">
        <v>14.12</v>
      </c>
    </row>
    <row r="10">
      <c r="AY10" t="inlineStr">
        <is>
          <t>LCR</t>
        </is>
      </c>
      <c r="BB10" t="n">
        <v>243.08</v>
      </c>
      <c r="BC10" t="n">
        <v>240.65</v>
      </c>
      <c r="BD10" t="n">
        <v>383.17</v>
      </c>
      <c r="BE10" t="n">
        <v>409.09</v>
      </c>
    </row>
    <row r="11">
      <c r="A11" s="3" t="inlineStr">
        <is>
          <t>Profit &amp; Loss Summary ($'000)</t>
        </is>
      </c>
      <c r="AY11" t="inlineStr">
        <is>
          <t>NSFR</t>
        </is>
      </c>
      <c r="BC11" t="n">
        <v>274.71</v>
      </c>
      <c r="BD11" t="n">
        <v>286.37</v>
      </c>
      <c r="BE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382303</v>
      </c>
      <c r="C19" s="5" t="n">
        <v>336454</v>
      </c>
      <c r="D19" s="5" t="n">
        <v>300139</v>
      </c>
      <c r="E19" s="5" t="n">
        <v>284897</v>
      </c>
      <c r="F19" s="5" t="n">
        <v>250659</v>
      </c>
      <c r="G19" s="5" t="n"/>
      <c r="H19" s="5" t="n"/>
      <c r="AE19" t="inlineStr">
        <is>
          <t>Opening equity</t>
        </is>
      </c>
      <c r="AH19" t="n">
        <v>250659</v>
      </c>
      <c r="AI19" t="n">
        <v>284897</v>
      </c>
      <c r="AJ19" t="n">
        <v>300139</v>
      </c>
      <c r="AK19" t="n">
        <v>336454</v>
      </c>
      <c r="AL19" t="n">
        <v>382303</v>
      </c>
    </row>
    <row r="20">
      <c r="A20" s="5" t="inlineStr">
        <is>
          <t>Total comprehensive income for the year</t>
        </is>
      </c>
      <c r="B20" s="5" t="n">
        <v>40366</v>
      </c>
      <c r="C20" s="5" t="n">
        <v>45849</v>
      </c>
      <c r="D20" s="5" t="n">
        <v>36315</v>
      </c>
      <c r="E20" s="5" t="n">
        <v>46146</v>
      </c>
      <c r="F20" s="5" t="n">
        <v>37886</v>
      </c>
      <c r="G20" s="5" t="n"/>
      <c r="H20" s="5" t="n"/>
      <c r="AE20" t="inlineStr">
        <is>
          <t>Total comprehensive income for the year</t>
        </is>
      </c>
      <c r="AH20" t="n">
        <v>37886</v>
      </c>
      <c r="AI20" t="n">
        <v>46146</v>
      </c>
      <c r="AJ20" t="n">
        <v>36315</v>
      </c>
      <c r="AK20" t="n">
        <v>45849</v>
      </c>
      <c r="AL20" t="n">
        <v>40366</v>
      </c>
    </row>
    <row r="21">
      <c r="A21" s="5" t="inlineStr">
        <is>
          <t>Other equity movements, net</t>
        </is>
      </c>
      <c r="B21" s="5" t="n">
        <v>0</v>
      </c>
      <c r="C21" s="5" t="n">
        <v>0</v>
      </c>
      <c r="D21" s="5" t="n">
        <v>0</v>
      </c>
      <c r="E21" s="5" t="n">
        <v>-30904</v>
      </c>
      <c r="F21" s="5" t="n">
        <v>-3205</v>
      </c>
      <c r="G21" s="5" t="n"/>
      <c r="H21" s="5" t="n"/>
      <c r="AE21" t="inlineStr">
        <is>
          <t>Other equity movements, net</t>
        </is>
      </c>
      <c r="AH21" t="n">
        <v>-3205</v>
      </c>
      <c r="AI21" t="n">
        <v>-30904</v>
      </c>
      <c r="AJ21" t="n">
        <v>0</v>
      </c>
      <c r="AK21" t="n">
        <v>0</v>
      </c>
      <c r="AL21" t="n">
        <v>0</v>
      </c>
    </row>
    <row r="22">
      <c r="A22" s="5" t="inlineStr">
        <is>
          <t>Closing equity</t>
        </is>
      </c>
      <c r="B22" s="5" t="n">
        <v>422669</v>
      </c>
      <c r="C22" s="5" t="n">
        <v>382303</v>
      </c>
      <c r="D22" s="5" t="n">
        <v>336454</v>
      </c>
      <c r="E22" s="5" t="n">
        <v>300139</v>
      </c>
      <c r="F22" s="5" t="n">
        <v>285340</v>
      </c>
      <c r="G22" s="5" t="n"/>
      <c r="H22" s="5" t="n"/>
      <c r="AE22" t="inlineStr">
        <is>
          <t>Closing equity</t>
        </is>
      </c>
      <c r="AH22" t="n">
        <v>285340</v>
      </c>
      <c r="AI22" t="n">
        <v>300139</v>
      </c>
      <c r="AJ22" t="n">
        <v>336454</v>
      </c>
      <c r="AK22" t="n">
        <v>382303</v>
      </c>
      <c r="AL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cashflow from/(used in) operating activities</t>
        </is>
      </c>
      <c r="B26" s="5" t="n">
        <v>-803241</v>
      </c>
      <c r="C26" s="5" t="n">
        <v>694986</v>
      </c>
      <c r="D26" s="5" t="n"/>
      <c r="E26" s="5" t="n"/>
      <c r="F26" s="5" t="n"/>
      <c r="G26" s="5" t="n"/>
      <c r="H26" s="5" t="n"/>
      <c r="AO26" t="inlineStr">
        <is>
          <t>Net cashflow from/(used in) operating activities</t>
        </is>
      </c>
      <c r="AU26" t="n">
        <v>694986</v>
      </c>
      <c r="AV26" t="n">
        <v>-803241</v>
      </c>
    </row>
    <row r="27">
      <c r="A27" s="5" t="inlineStr">
        <is>
          <t>Net cash from/(used in) investing activities</t>
        </is>
      </c>
      <c r="B27" s="5" t="n">
        <v>881596</v>
      </c>
      <c r="C27" s="5" t="n">
        <v>-821525</v>
      </c>
      <c r="D27" s="5" t="n">
        <v>1105637</v>
      </c>
      <c r="E27" s="5" t="n">
        <v>-131630</v>
      </c>
      <c r="F27" s="5" t="n">
        <v>-388856</v>
      </c>
      <c r="G27" s="5" t="n"/>
      <c r="H27" s="5" t="n"/>
      <c r="AO27" t="inlineStr">
        <is>
          <t>Net cash from/(used in) investing activities</t>
        </is>
      </c>
      <c r="AR27" t="n">
        <v>-388856</v>
      </c>
      <c r="AS27" t="n">
        <v>-131630</v>
      </c>
      <c r="AT27" t="n">
        <v>1105637</v>
      </c>
      <c r="AU27" t="n">
        <v>-821525</v>
      </c>
      <c r="AV27" t="n">
        <v>881596</v>
      </c>
    </row>
    <row r="28">
      <c r="A28" s="5" t="inlineStr">
        <is>
          <t>Net cash used in financing activities</t>
        </is>
      </c>
      <c r="B28" s="5" t="n">
        <v>-6773</v>
      </c>
      <c r="C28" s="5" t="n">
        <v>-6436</v>
      </c>
      <c r="D28" s="5" t="n">
        <v>-6728</v>
      </c>
      <c r="E28" s="5" t="n">
        <v>-6685</v>
      </c>
      <c r="F28" s="5" t="n">
        <v>-6531</v>
      </c>
      <c r="G28" s="5" t="n"/>
      <c r="H28" s="5" t="n"/>
      <c r="AO28" t="inlineStr">
        <is>
          <t>Net cash used in financing activities</t>
        </is>
      </c>
      <c r="AR28" t="n">
        <v>-6531</v>
      </c>
      <c r="AS28" t="n">
        <v>-6685</v>
      </c>
      <c r="AT28" t="n">
        <v>-6728</v>
      </c>
      <c r="AU28" t="n">
        <v>-6436</v>
      </c>
      <c r="AV28" t="n">
        <v>-6773</v>
      </c>
    </row>
    <row r="29">
      <c r="A29" s="5" t="inlineStr">
        <is>
          <t>Cash and cash equivalents at end of year</t>
        </is>
      </c>
      <c r="B29" s="5" t="n">
        <v>434840</v>
      </c>
      <c r="C29" s="5" t="n">
        <v>362738</v>
      </c>
      <c r="D29" s="5" t="n">
        <v>495731</v>
      </c>
      <c r="E29" s="5" t="n">
        <v>522342</v>
      </c>
      <c r="F29" s="5" t="n">
        <v>365332</v>
      </c>
      <c r="G29" s="5" t="n"/>
      <c r="H29" s="5" t="n"/>
      <c r="AO29" t="inlineStr">
        <is>
          <t>Cash and cash equivalents at end of year</t>
        </is>
      </c>
      <c r="AR29" t="n">
        <v>365332</v>
      </c>
      <c r="AS29" t="n">
        <v>522342</v>
      </c>
      <c r="AT29" t="n">
        <v>495731</v>
      </c>
      <c r="AU29" t="n">
        <v>362738</v>
      </c>
      <c r="AV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n"/>
      <c r="C33" s="6" t="inlineStr">
        <is>
          <t>26.07%</t>
        </is>
      </c>
      <c r="D33" s="6" t="inlineStr">
        <is>
          <t>25.05%</t>
        </is>
      </c>
      <c r="E33" s="6" t="inlineStr">
        <is>
          <t>22.47%</t>
        </is>
      </c>
      <c r="F33" s="6" t="inlineStr">
        <is>
          <t>17.79%</t>
        </is>
      </c>
      <c r="G33" s="6" t="n"/>
      <c r="H33" s="6" t="n"/>
    </row>
    <row r="34">
      <c r="A34" s="6" t="inlineStr">
        <is>
          <t>Tier 1 Ratio</t>
        </is>
      </c>
      <c r="B34" s="6" t="n"/>
      <c r="C34" s="6" t="inlineStr">
        <is>
          <t>26.07%</t>
        </is>
      </c>
      <c r="D34" s="6" t="inlineStr">
        <is>
          <t>25.05%</t>
        </is>
      </c>
      <c r="E34" s="6" t="inlineStr">
        <is>
          <t>22.47%</t>
        </is>
      </c>
      <c r="F34" s="6" t="inlineStr">
        <is>
          <t>17.79%</t>
        </is>
      </c>
      <c r="G34" s="6" t="n"/>
      <c r="H34" s="6" t="n"/>
    </row>
    <row r="35">
      <c r="A35" s="6" t="inlineStr">
        <is>
          <t>Total Capital Ratio</t>
        </is>
      </c>
      <c r="B35" s="6" t="n"/>
      <c r="C35" s="6" t="inlineStr">
        <is>
          <t>29.67%</t>
        </is>
      </c>
      <c r="D35" s="6" t="inlineStr">
        <is>
          <t>28.65%</t>
        </is>
      </c>
      <c r="E35" s="6" t="inlineStr">
        <is>
          <t>26.08%</t>
        </is>
      </c>
      <c r="F35" s="6" t="inlineStr">
        <is>
          <t>21.25%</t>
        </is>
      </c>
      <c r="G35" s="6" t="n"/>
      <c r="H35" s="6" t="n"/>
    </row>
    <row r="36">
      <c r="A36" s="6" t="inlineStr">
        <is>
          <t>Leverage Ratio</t>
        </is>
      </c>
      <c r="B36" s="6" t="n"/>
      <c r="C36" s="6" t="inlineStr">
        <is>
          <t>14.12%</t>
        </is>
      </c>
      <c r="D36" s="6" t="inlineStr">
        <is>
          <t>19.64%</t>
        </is>
      </c>
      <c r="E36" s="6" t="inlineStr">
        <is>
          <t>9.84%</t>
        </is>
      </c>
      <c r="F36" s="6" t="inlineStr">
        <is>
          <t>6.83%</t>
        </is>
      </c>
      <c r="G36" s="6" t="n"/>
      <c r="H36" s="6" t="n"/>
    </row>
    <row r="37">
      <c r="A37" s="6" t="inlineStr">
        <is>
          <t>LCR</t>
        </is>
      </c>
      <c r="B37" s="6" t="n"/>
      <c r="C37" s="6" t="inlineStr">
        <is>
          <t>409.09%</t>
        </is>
      </c>
      <c r="D37" s="6" t="inlineStr">
        <is>
          <t>383.17%</t>
        </is>
      </c>
      <c r="E37" s="6" t="inlineStr">
        <is>
          <t>240.65%</t>
        </is>
      </c>
      <c r="F37" s="6" t="inlineStr">
        <is>
          <t>243.08%</t>
        </is>
      </c>
      <c r="G37" s="6" t="n"/>
      <c r="H37" s="6" t="n"/>
    </row>
    <row r="38">
      <c r="A38" s="6" t="inlineStr">
        <is>
          <t>NSFR</t>
        </is>
      </c>
      <c r="B38" s="6" t="n"/>
      <c r="C38" s="6" t="inlineStr">
        <is>
          <t>213%</t>
        </is>
      </c>
      <c r="D38" s="6" t="inlineStr">
        <is>
          <t>286.37%</t>
        </is>
      </c>
      <c r="E38" s="6" t="inlineStr">
        <is>
          <t>274.71%</t>
        </is>
      </c>
      <c r="F38" s="6" t="n"/>
      <c r="G38" s="6" t="n"/>
      <c r="H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6" t="inlineStr">
        <is>
          <t>Profit for the year before taxation</t>
        </is>
      </c>
      <c r="B4" s="6" t="n">
        <v>54184</v>
      </c>
      <c r="C4" s="6" t="n">
        <v>61068</v>
      </c>
      <c r="D4" s="6" t="n">
        <v>47553</v>
      </c>
      <c r="E4" s="6" t="n">
        <v>47584</v>
      </c>
      <c r="F4" s="6" t="n">
        <v>39555</v>
      </c>
    </row>
    <row r="5">
      <c r="A5" s="5" t="inlineStr">
        <is>
          <t>Adjustment to reconcile profit to cash flow from operating activities</t>
        </is>
      </c>
      <c r="B5" s="6" t="n"/>
      <c r="C5" s="6" t="n"/>
      <c r="D5" s="6" t="n"/>
      <c r="E5" s="6" t="n"/>
      <c r="F5" s="6" t="n"/>
    </row>
    <row r="6">
      <c r="A6" s="6" t="inlineStr">
        <is>
          <t>Depreciation of property and equipment</t>
        </is>
      </c>
      <c r="B6" s="6" t="n">
        <v>1235</v>
      </c>
      <c r="C6" s="6" t="n">
        <v>1305</v>
      </c>
      <c r="D6" s="6" t="n">
        <v>1553</v>
      </c>
      <c r="E6" s="6" t="n">
        <v>1577</v>
      </c>
      <c r="F6" s="6" t="n">
        <v>1869</v>
      </c>
    </row>
    <row r="7">
      <c r="A7" s="6" t="inlineStr">
        <is>
          <t>Amortisation of intangible assets</t>
        </is>
      </c>
      <c r="B7" s="6" t="n">
        <v>209</v>
      </c>
      <c r="C7" s="6" t="n">
        <v>710</v>
      </c>
      <c r="D7" s="6" t="n">
        <v>835</v>
      </c>
      <c r="E7" s="6" t="n">
        <v>1060</v>
      </c>
      <c r="F7" s="6" t="n">
        <v>1214</v>
      </c>
    </row>
    <row r="8">
      <c r="A8" s="6" t="inlineStr">
        <is>
          <t>Interest expenses on subordinated liability</t>
        </is>
      </c>
      <c r="B8" s="6" t="n">
        <v>5475</v>
      </c>
      <c r="C8" s="6" t="n">
        <v>5490</v>
      </c>
      <c r="D8" s="6" t="n">
        <v>5475</v>
      </c>
      <c r="E8" s="6" t="n">
        <v>11863</v>
      </c>
      <c r="F8" s="6" t="n">
        <v>5641</v>
      </c>
    </row>
    <row r="9">
      <c r="A9" s="6" t="inlineStr">
        <is>
          <t>Net gains/(loss) from sale of investment securities</t>
        </is>
      </c>
      <c r="B9" s="6" t="n">
        <v>354</v>
      </c>
      <c r="C9" s="6" t="n">
        <v>-242</v>
      </c>
      <c r="D9" s="6" t="n">
        <v>747</v>
      </c>
      <c r="E9" s="6" t="n">
        <v>2509</v>
      </c>
      <c r="F9" s="6" t="n">
        <v>-407</v>
      </c>
    </row>
    <row r="10">
      <c r="A10" s="6" t="inlineStr">
        <is>
          <t>Net gains on sale of financial assets at FVTPL</t>
        </is>
      </c>
      <c r="B10" s="6" t="n">
        <v>-103</v>
      </c>
      <c r="C10" s="6" t="n">
        <v>-29</v>
      </c>
      <c r="D10" s="6" t="n"/>
      <c r="E10" s="6" t="n"/>
      <c r="F10" s="6" t="n"/>
    </row>
    <row r="11">
      <c r="A11" s="6" t="inlineStr">
        <is>
          <t>Foreign currency revaluation (gains)/losses</t>
        </is>
      </c>
      <c r="B11" s="6" t="n">
        <v>-6402</v>
      </c>
      <c r="C11" s="6" t="n">
        <v>3201</v>
      </c>
      <c r="D11" s="6" t="n">
        <v>5820</v>
      </c>
      <c r="E11" s="6" t="n">
        <v>3830</v>
      </c>
      <c r="F11" s="6" t="n">
        <v>1828</v>
      </c>
    </row>
    <row r="12">
      <c r="A12" s="6" t="inlineStr">
        <is>
          <t>Credit impairment losses/(gains)</t>
        </is>
      </c>
      <c r="B12" s="6" t="n">
        <v>5280</v>
      </c>
      <c r="C12" s="6" t="n">
        <v>1786</v>
      </c>
      <c r="D12" s="6" t="n">
        <v>10653</v>
      </c>
      <c r="E12" s="6" t="n">
        <v>1145</v>
      </c>
      <c r="F12" s="6" t="n">
        <v>-1356</v>
      </c>
    </row>
    <row r="13">
      <c r="A13" s="5" t="inlineStr">
        <is>
          <t>Operating cash flow before changes in operating assets/liabilities</t>
        </is>
      </c>
      <c r="B13" s="5" t="n">
        <v>60231</v>
      </c>
      <c r="C13" s="5" t="n">
        <v>73291</v>
      </c>
      <c r="D13" s="5" t="n">
        <v>72636</v>
      </c>
      <c r="E13" s="5" t="n">
        <v>69569</v>
      </c>
      <c r="F13" s="5" t="n">
        <v>48344</v>
      </c>
    </row>
    <row r="14">
      <c r="A14" s="5" t="inlineStr">
        <is>
          <t>Net (increase)/decrease in assets relating to operating activities</t>
        </is>
      </c>
      <c r="B14" s="6" t="n"/>
      <c r="C14" s="6" t="n"/>
      <c r="D14" s="6" t="n"/>
      <c r="E14" s="6" t="n"/>
      <c r="F14" s="6" t="n"/>
    </row>
    <row r="15">
      <c r="A15" s="6" t="inlineStr">
        <is>
          <t>Loans and advances to banks</t>
        </is>
      </c>
      <c r="B15" s="6" t="n">
        <v>66031</v>
      </c>
      <c r="C15" s="6" t="n">
        <v>36161</v>
      </c>
      <c r="D15" s="6" t="n">
        <v>22101</v>
      </c>
      <c r="E15" s="6" t="n">
        <v>-76514</v>
      </c>
      <c r="F15" s="6" t="n">
        <v>-253447</v>
      </c>
    </row>
    <row r="16">
      <c r="A16" s="6" t="inlineStr">
        <is>
          <t>Loans and advances to customers</t>
        </is>
      </c>
      <c r="B16" s="6" t="n">
        <v>-342955</v>
      </c>
      <c r="C16" s="6" t="n">
        <v>-74019</v>
      </c>
      <c r="D16" s="6" t="n">
        <v>-139867</v>
      </c>
      <c r="E16" s="6" t="n">
        <v>105948</v>
      </c>
      <c r="F16" s="6" t="n">
        <v>64374</v>
      </c>
    </row>
    <row r="17">
      <c r="A17" s="6" t="inlineStr">
        <is>
          <t>Financial assets held at fair value through profit or loss</t>
        </is>
      </c>
      <c r="B17" s="6" t="n">
        <v>-453774</v>
      </c>
      <c r="C17" s="6" t="n">
        <v>3250</v>
      </c>
      <c r="D17" s="6" t="n">
        <v>-5643</v>
      </c>
      <c r="E17" s="6" t="n">
        <v>-12895</v>
      </c>
      <c r="F17" s="6" t="n">
        <v>15583</v>
      </c>
    </row>
    <row r="18">
      <c r="A18" s="6" t="inlineStr">
        <is>
          <t>Other assets</t>
        </is>
      </c>
      <c r="B18" s="6" t="n">
        <v>-1391</v>
      </c>
      <c r="C18" s="6" t="n">
        <v>-30</v>
      </c>
      <c r="D18" s="6" t="n">
        <v>-851</v>
      </c>
      <c r="E18" s="6" t="n">
        <v>-159</v>
      </c>
      <c r="F18" s="6" t="n">
        <v>-342</v>
      </c>
    </row>
    <row r="19">
      <c r="A19" s="5" t="inlineStr">
        <is>
          <t>Net (increase)/decrease in assets relating to operating activities</t>
        </is>
      </c>
      <c r="B19" s="5" t="n">
        <v>-732089</v>
      </c>
      <c r="C19" s="5" t="n">
        <v>-34638</v>
      </c>
      <c r="D19" s="5" t="n">
        <v>-124260</v>
      </c>
      <c r="E19" s="5" t="n">
        <v>16380</v>
      </c>
      <c r="F19" s="5" t="n">
        <v>-173832</v>
      </c>
    </row>
    <row r="20">
      <c r="A20" s="5" t="inlineStr">
        <is>
          <t>Net (decrease)/increase in liabilities relating to operating activities</t>
        </is>
      </c>
      <c r="B20" s="6" t="n"/>
      <c r="C20" s="6" t="n"/>
      <c r="D20" s="6" t="n"/>
      <c r="E20" s="6" t="n"/>
      <c r="F20" s="6" t="n"/>
    </row>
    <row r="21">
      <c r="A21" s="6" t="inlineStr">
        <is>
          <t>Deposits from banks</t>
        </is>
      </c>
      <c r="B21" s="6" t="n">
        <v>-729803</v>
      </c>
      <c r="C21" s="6" t="n">
        <v>804463</v>
      </c>
      <c r="D21" s="6" t="n">
        <v>-1050768</v>
      </c>
      <c r="E21" s="6" t="n">
        <v>101289</v>
      </c>
      <c r="F21" s="6" t="n">
        <v>226547</v>
      </c>
    </row>
    <row r="22">
      <c r="A22" s="6" t="inlineStr">
        <is>
          <t>Deposits from customers</t>
        </is>
      </c>
      <c r="B22" s="6" t="n">
        <v>612657</v>
      </c>
      <c r="C22" s="6" t="n">
        <v>-189309</v>
      </c>
      <c r="D22" s="6" t="n">
        <v>41248</v>
      </c>
      <c r="E22" s="6" t="n">
        <v>288002</v>
      </c>
      <c r="F22" s="6" t="n">
        <v>-17623</v>
      </c>
    </row>
    <row r="23">
      <c r="A23" s="6" t="inlineStr">
        <is>
          <t>Other liabilities</t>
        </is>
      </c>
      <c r="B23" s="6" t="n">
        <v>-11466</v>
      </c>
      <c r="C23" s="6" t="n">
        <v>66946</v>
      </c>
      <c r="D23" s="6" t="n">
        <v>-41705</v>
      </c>
      <c r="E23" s="6" t="n">
        <v>-91730</v>
      </c>
      <c r="F23" s="6" t="n">
        <v>42690</v>
      </c>
    </row>
    <row r="24">
      <c r="A24" s="6" t="inlineStr">
        <is>
          <t>Financial liabilities at fair value through profit or loss</t>
        </is>
      </c>
      <c r="B24" s="6" t="n">
        <v>3775</v>
      </c>
      <c r="C24" s="6" t="n">
        <v>-17087</v>
      </c>
      <c r="D24" s="6" t="n">
        <v>-17048</v>
      </c>
      <c r="E24" s="6" t="n">
        <v>6824</v>
      </c>
      <c r="F24" s="6" t="n">
        <v>17705</v>
      </c>
    </row>
    <row r="25">
      <c r="A25" s="6" t="inlineStr">
        <is>
          <t>Income taxes paid</t>
        </is>
      </c>
      <c r="B25" s="6" t="n">
        <v>-6545</v>
      </c>
      <c r="C25" s="6" t="n">
        <v>-8679</v>
      </c>
      <c r="D25" s="6" t="n">
        <v>-5819</v>
      </c>
      <c r="E25" s="6" t="n">
        <v>-2568</v>
      </c>
      <c r="F25" s="6" t="n">
        <v>-2032</v>
      </c>
    </row>
    <row r="26">
      <c r="A26" s="5" t="inlineStr">
        <is>
          <t>Net (decrease)/increase in liabilities relating to operating activities</t>
        </is>
      </c>
      <c r="B26" s="5" t="n">
        <v>-131383</v>
      </c>
      <c r="C26" s="5" t="n">
        <v>656333</v>
      </c>
      <c r="D26" s="5" t="n">
        <v>-1074092</v>
      </c>
      <c r="E26" s="5" t="n">
        <v>301817</v>
      </c>
      <c r="F26" s="5" t="n">
        <v>267286</v>
      </c>
    </row>
    <row r="27">
      <c r="A27" s="5" t="inlineStr">
        <is>
          <t>Net cashflow from/(used in) operating activities</t>
        </is>
      </c>
      <c r="B27" s="5" t="n">
        <v>-803241</v>
      </c>
      <c r="C27" s="5" t="n">
        <v>694986</v>
      </c>
      <c r="D27" s="5" t="n"/>
      <c r="E27" s="5" t="n"/>
      <c r="F27" s="5" t="n"/>
    </row>
    <row r="28">
      <c r="A28" s="5" t="inlineStr">
        <is>
          <t>Cash flows from/(used in) investing activities</t>
        </is>
      </c>
      <c r="B28" s="6" t="n"/>
      <c r="C28" s="6" t="n"/>
      <c r="D28" s="6" t="n"/>
      <c r="E28" s="6" t="n"/>
      <c r="F28" s="6" t="n"/>
    </row>
    <row r="29">
      <c r="A29" s="6" t="inlineStr">
        <is>
          <t>Acquisition of property, plant and equipment</t>
        </is>
      </c>
      <c r="B29" s="6" t="n">
        <v>-53</v>
      </c>
      <c r="C29" s="6" t="n">
        <v>-124</v>
      </c>
      <c r="D29" s="6" t="n">
        <v>-186</v>
      </c>
      <c r="E29" s="6" t="n">
        <v>-87</v>
      </c>
      <c r="F29" s="6" t="n">
        <v>-148</v>
      </c>
    </row>
    <row r="30">
      <c r="A30" s="6" t="inlineStr">
        <is>
          <t>Acquisition of intangible assets</t>
        </is>
      </c>
      <c r="B30" s="6" t="n">
        <v>-25</v>
      </c>
      <c r="C30" s="6" t="n">
        <v>-6</v>
      </c>
      <c r="D30" s="6" t="n">
        <v>-175</v>
      </c>
      <c r="E30" s="6" t="n">
        <v>-379</v>
      </c>
      <c r="F30" s="6" t="n">
        <v>-214</v>
      </c>
    </row>
    <row r="31">
      <c r="A31" s="6" t="inlineStr">
        <is>
          <t>Proceeds from sale/maturity of investment securities</t>
        </is>
      </c>
      <c r="B31" s="6" t="n">
        <v>2625721</v>
      </c>
      <c r="C31" s="6" t="n">
        <v>2958773</v>
      </c>
      <c r="D31" s="6" t="n"/>
      <c r="E31" s="6" t="n"/>
      <c r="F31" s="6" t="n"/>
    </row>
    <row r="32">
      <c r="A32" s="6" t="inlineStr">
        <is>
          <t>Purchase of investment securities</t>
        </is>
      </c>
      <c r="B32" s="6" t="n">
        <v>-1744047</v>
      </c>
      <c r="C32" s="6" t="n">
        <v>-3780169</v>
      </c>
      <c r="D32" s="6" t="n"/>
      <c r="E32" s="6" t="n"/>
      <c r="F32" s="6" t="n"/>
    </row>
    <row r="33">
      <c r="A33" s="6" t="inlineStr">
        <is>
          <t>Proceeds from/(purchase of) financial investments at amortised cost</t>
        </is>
      </c>
      <c r="B33" s="6" t="n"/>
      <c r="C33" s="6" t="n"/>
      <c r="D33" s="6" t="n">
        <v>1105995</v>
      </c>
      <c r="E33" s="6" t="n">
        <v>-131164</v>
      </c>
      <c r="F33" s="6" t="n">
        <v>-388494</v>
      </c>
    </row>
    <row r="34">
      <c r="A34" s="6" t="inlineStr">
        <is>
          <t>Proceeds from sale of property and equipment</t>
        </is>
      </c>
      <c r="B34" s="6" t="n"/>
      <c r="C34" s="6" t="n"/>
      <c r="D34" s="6" t="n">
        <v>3</v>
      </c>
      <c r="E34" s="6" t="n"/>
      <c r="F34" s="6" t="n"/>
    </row>
    <row r="35">
      <c r="A35" s="5" t="inlineStr">
        <is>
          <t>Net cash from/(used in) investing activities</t>
        </is>
      </c>
      <c r="B35" s="5" t="n">
        <v>881596</v>
      </c>
      <c r="C35" s="5" t="n">
        <v>-821525</v>
      </c>
      <c r="D35" s="5" t="n">
        <v>1105637</v>
      </c>
      <c r="E35" s="5" t="n">
        <v>-131630</v>
      </c>
      <c r="F35" s="5" t="n">
        <v>-388856</v>
      </c>
    </row>
    <row r="36">
      <c r="A36" s="5" t="inlineStr">
        <is>
          <t>Cash flows used in financing activities</t>
        </is>
      </c>
      <c r="B36" s="6" t="n"/>
      <c r="C36" s="6" t="n"/>
      <c r="D36" s="6" t="n"/>
      <c r="E36" s="6" t="n"/>
      <c r="F36" s="6" t="n"/>
    </row>
    <row r="37">
      <c r="A37" s="6" t="inlineStr">
        <is>
          <t>Interest paid on subordinated liability</t>
        </is>
      </c>
      <c r="B37" s="6" t="n">
        <v>-5460</v>
      </c>
      <c r="C37" s="6" t="n">
        <v>-5505</v>
      </c>
      <c r="D37" s="6" t="n">
        <v>-5475</v>
      </c>
      <c r="E37" s="6" t="n">
        <v>-5460</v>
      </c>
      <c r="F37" s="6" t="n">
        <v>-4810</v>
      </c>
    </row>
    <row r="38">
      <c r="A38" s="6" t="inlineStr">
        <is>
          <t>Principal element of lease payment</t>
        </is>
      </c>
      <c r="B38" s="6" t="n">
        <v>-1313</v>
      </c>
      <c r="C38" s="6" t="n">
        <v>-931</v>
      </c>
      <c r="D38" s="6" t="n">
        <v>-1253</v>
      </c>
      <c r="E38" s="6" t="n">
        <v>-1225</v>
      </c>
      <c r="F38" s="6" t="n">
        <v>-1721</v>
      </c>
    </row>
    <row r="39">
      <c r="A39" s="5" t="inlineStr">
        <is>
          <t>Net cash used in financing activities</t>
        </is>
      </c>
      <c r="B39" s="5" t="n">
        <v>-6773</v>
      </c>
      <c r="C39" s="5" t="n">
        <v>-6436</v>
      </c>
      <c r="D39" s="5" t="n">
        <v>-6728</v>
      </c>
      <c r="E39" s="5" t="n">
        <v>-6685</v>
      </c>
      <c r="F39" s="5" t="n">
        <v>-6531</v>
      </c>
    </row>
    <row r="40">
      <c r="A40" s="5" t="inlineStr">
        <is>
          <t>Net increase/(decrease) in cash and cash equivalents</t>
        </is>
      </c>
      <c r="B40" s="5" t="n">
        <v>71582</v>
      </c>
      <c r="C40" s="5" t="n">
        <v>-132975</v>
      </c>
      <c r="D40" s="5" t="n">
        <v>-26809</v>
      </c>
      <c r="E40" s="5" t="n">
        <v>249451</v>
      </c>
      <c r="F40" s="5" t="n">
        <v>-253589</v>
      </c>
    </row>
    <row r="41">
      <c r="A41" s="6" t="inlineStr">
        <is>
          <t>Cash and cash equivalents at the beginning of the year</t>
        </is>
      </c>
      <c r="B41" s="6" t="n">
        <v>362738</v>
      </c>
      <c r="C41" s="6" t="n">
        <v>495731</v>
      </c>
      <c r="D41" s="6" t="n">
        <v>522342</v>
      </c>
      <c r="E41" s="6" t="n">
        <v>274093</v>
      </c>
      <c r="F41" s="6" t="n">
        <v>621026</v>
      </c>
    </row>
    <row r="42">
      <c r="A42" s="6" t="inlineStr">
        <is>
          <t>Exchange difference</t>
        </is>
      </c>
      <c r="B42" s="6" t="n">
        <v>520</v>
      </c>
      <c r="C42" s="6" t="n">
        <v>-18</v>
      </c>
      <c r="D42" s="6" t="n">
        <v>197</v>
      </c>
      <c r="E42" s="6" t="n">
        <v>-1202</v>
      </c>
      <c r="F42" s="6" t="n"/>
    </row>
    <row r="43">
      <c r="A43" s="6" t="inlineStr">
        <is>
          <t>Effect of GBP/USD translation (FY2021 only - see currency note)</t>
        </is>
      </c>
      <c r="B43" s="6" t="n"/>
      <c r="C43" s="6" t="n"/>
      <c r="D43" s="6" t="n"/>
      <c r="E43" s="6" t="n"/>
      <c r="F43" s="6" t="n">
        <v>-2105</v>
      </c>
    </row>
    <row r="44">
      <c r="A44" s="5" t="inlineStr">
        <is>
          <t>Cash and cash equivalents at the end of the year</t>
        </is>
      </c>
      <c r="B44" s="5" t="n">
        <v>434840</v>
      </c>
      <c r="C44" s="5" t="n">
        <v>362738</v>
      </c>
      <c r="D44" s="5" t="n">
        <v>495731</v>
      </c>
      <c r="E44" s="5" t="n">
        <v>522342</v>
      </c>
      <c r="F44" s="5" t="n">
        <v>365332</v>
      </c>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5" t="inlineStr">
        <is>
          <t>Gross carrying amount by IFRS 9 stage</t>
        </is>
      </c>
      <c r="B4" s="6" t="n"/>
      <c r="C4" s="6" t="n"/>
      <c r="D4" s="6" t="n"/>
      <c r="E4" s="6" t="n"/>
      <c r="F4" s="6" t="n"/>
    </row>
    <row r="5">
      <c r="A5" s="6" t="inlineStr">
        <is>
          <t>Stage 1 (12-month ECL)</t>
        </is>
      </c>
      <c r="B5" s="6" t="n">
        <v>908653</v>
      </c>
      <c r="C5" s="6" t="n">
        <v>586279</v>
      </c>
      <c r="D5" s="6" t="n"/>
      <c r="E5" s="6" t="n"/>
      <c r="F5" s="6" t="n">
        <v>550279</v>
      </c>
    </row>
    <row r="6">
      <c r="A6" s="6" t="inlineStr">
        <is>
          <t>Stage 2 (Lifetime ECL, not credit-impaired)</t>
        </is>
      </c>
      <c r="B6" s="6" t="n">
        <v>25017</v>
      </c>
      <c r="C6" s="6" t="n">
        <v>2512</v>
      </c>
      <c r="D6" s="6" t="n"/>
      <c r="E6" s="6" t="n"/>
      <c r="F6" s="6" t="n">
        <v>2002</v>
      </c>
    </row>
    <row r="7">
      <c r="A7" s="6" t="inlineStr">
        <is>
          <t>Stage 3 / Default (Lifetime ECL, credit-impaired)</t>
        </is>
      </c>
      <c r="B7" s="6" t="n">
        <v>26187</v>
      </c>
      <c r="C7" s="6" t="n">
        <v>27797</v>
      </c>
      <c r="D7" s="6" t="n"/>
      <c r="E7" s="6" t="n"/>
      <c r="F7" s="6" t="n">
        <v>32507</v>
      </c>
    </row>
    <row r="8">
      <c r="A8" s="6" t="inlineStr">
        <is>
          <t>Gross carrying amount (Corporate + Individual, FY2023/FY2022 - no Stage 1/2/3 split disclosed)</t>
        </is>
      </c>
      <c r="B8" s="6" t="n"/>
      <c r="C8" s="6" t="n"/>
      <c r="D8" s="6" t="n">
        <v>543982</v>
      </c>
      <c r="E8" s="6" t="n">
        <v>404298</v>
      </c>
      <c r="F8" s="6" t="n"/>
    </row>
    <row r="9">
      <c r="A9" s="5" t="inlineStr">
        <is>
          <t>Total gross carrying amount</t>
        </is>
      </c>
      <c r="B9" s="5" t="n">
        <v>959857</v>
      </c>
      <c r="C9" s="5" t="n">
        <v>616589</v>
      </c>
      <c r="D9" s="5" t="n">
        <v>543982</v>
      </c>
      <c r="E9" s="5" t="n">
        <v>404298</v>
      </c>
      <c r="F9" s="5" t="n">
        <v>584788</v>
      </c>
    </row>
    <row r="10">
      <c r="A10" s="5" t="inlineStr">
        <is>
          <t>Loss allowance</t>
        </is>
      </c>
      <c r="B10" s="6" t="n"/>
      <c r="C10" s="6" t="n"/>
      <c r="D10" s="6" t="n"/>
      <c r="E10" s="6" t="n"/>
      <c r="F10" s="6" t="n"/>
    </row>
    <row r="11">
      <c r="A11" s="6" t="inlineStr">
        <is>
          <t>Stage 1 loss allowance</t>
        </is>
      </c>
      <c r="B11" s="6" t="n">
        <v>-11165</v>
      </c>
      <c r="C11" s="6" t="n">
        <v>-7004</v>
      </c>
      <c r="D11" s="6" t="n"/>
      <c r="E11" s="6" t="n"/>
      <c r="F11" s="6" t="n">
        <v>-3704</v>
      </c>
    </row>
    <row r="12">
      <c r="A12" s="6" t="inlineStr">
        <is>
          <t>Stage 2 loss allowance</t>
        </is>
      </c>
      <c r="B12" s="6" t="n">
        <v>-1131</v>
      </c>
      <c r="C12" s="6" t="n">
        <v>-77</v>
      </c>
      <c r="D12" s="6" t="n"/>
      <c r="E12" s="6" t="n"/>
      <c r="F12" s="6" t="n">
        <v>-63</v>
      </c>
    </row>
    <row r="13">
      <c r="A13" s="6" t="inlineStr">
        <is>
          <t>Stage 3 loss allowance</t>
        </is>
      </c>
      <c r="B13" s="6" t="n">
        <v>-8552</v>
      </c>
      <c r="C13" s="6" t="n">
        <v>-8329</v>
      </c>
      <c r="D13" s="6" t="n"/>
      <c r="E13" s="6" t="n"/>
      <c r="F13" s="6" t="n">
        <v>-12477</v>
      </c>
    </row>
    <row r="14">
      <c r="A14" s="6" t="inlineStr">
        <is>
          <t>12-month ECL allowance (FY2023/FY2022 - no Stage 1/2/3 split disclosed)</t>
        </is>
      </c>
      <c r="B14" s="6" t="n"/>
      <c r="C14" s="6" t="n"/>
      <c r="D14" s="6" t="n">
        <v>-6621</v>
      </c>
      <c r="E14" s="6" t="n">
        <v>-2999</v>
      </c>
      <c r="F14" s="6" t="n"/>
    </row>
    <row r="15">
      <c r="A15" s="6" t="inlineStr">
        <is>
          <t>Lifetime ECL allowance (FY2023/FY2022 - no Stage 1/2/3 split disclosed)</t>
        </is>
      </c>
      <c r="B15" s="6" t="n"/>
      <c r="C15" s="6" t="n"/>
      <c r="D15" s="6" t="n">
        <v>-7414</v>
      </c>
      <c r="E15" s="6" t="n">
        <v>-567</v>
      </c>
      <c r="F15" s="6" t="n"/>
    </row>
    <row r="16">
      <c r="A16" s="5" t="inlineStr">
        <is>
          <t>Total loss allowance</t>
        </is>
      </c>
      <c r="B16" s="5" t="n">
        <v>-20848</v>
      </c>
      <c r="C16" s="5" t="n">
        <v>-15410</v>
      </c>
      <c r="D16" s="5" t="n">
        <v>-14035</v>
      </c>
      <c r="E16" s="5" t="n">
        <v>-3566</v>
      </c>
      <c r="F16" s="5" t="n">
        <v>-16244</v>
      </c>
    </row>
    <row r="17">
      <c r="A17" s="5" t="inlineStr">
        <is>
          <t>Net loans and advances to customers</t>
        </is>
      </c>
      <c r="B17" s="5" t="n">
        <v>939009</v>
      </c>
      <c r="C17" s="5" t="n">
        <v>601178</v>
      </c>
      <c r="D17" s="5" t="n">
        <v>529947</v>
      </c>
      <c r="E17" s="5" t="n">
        <v>400733</v>
      </c>
      <c r="F17" s="5" t="n">
        <v>568544</v>
      </c>
    </row>
    <row r="18">
      <c r="A18" s="5" t="inlineStr">
        <is>
          <t>Composition and non-performing accounts</t>
        </is>
      </c>
      <c r="B18" s="6" t="n"/>
      <c r="C18" s="6" t="n"/>
      <c r="D18" s="6" t="n"/>
      <c r="E18" s="6" t="n"/>
      <c r="F18" s="6" t="n"/>
    </row>
    <row r="19">
      <c r="A19" s="6" t="inlineStr">
        <is>
          <t>Corporate</t>
        </is>
      </c>
      <c r="B19" s="6" t="n">
        <v>757997</v>
      </c>
      <c r="C19" s="6" t="n">
        <v>466491</v>
      </c>
      <c r="D19" s="6" t="n">
        <v>390231</v>
      </c>
      <c r="E19" s="6" t="n">
        <v>279069</v>
      </c>
      <c r="F19" s="6" t="n"/>
    </row>
    <row r="20">
      <c r="A20" s="6" t="inlineStr">
        <is>
          <t>Individual</t>
        </is>
      </c>
      <c r="B20" s="6" t="n">
        <v>201860</v>
      </c>
      <c r="C20" s="6" t="n">
        <v>150098</v>
      </c>
      <c r="D20" s="6" t="n">
        <v>153751</v>
      </c>
      <c r="E20" s="6" t="n">
        <v>125229</v>
      </c>
      <c r="F20" s="6" t="n"/>
    </row>
    <row r="21">
      <c r="A21" s="6" t="inlineStr">
        <is>
          <t>Non-performing accounts (within maturity analysis)</t>
        </is>
      </c>
      <c r="B21" s="6" t="n">
        <v>26187</v>
      </c>
      <c r="C21" s="6" t="n">
        <v>27797</v>
      </c>
      <c r="D21" s="6" t="n">
        <v>22645</v>
      </c>
      <c r="E21" s="6" t="n">
        <v>5397</v>
      </c>
      <c r="F21" s="6" t="n">
        <v>32507</v>
      </c>
    </row>
    <row r="22">
      <c r="A22" s="6" t="inlineStr">
        <is>
          <t>Stage 3 / non-performing coverage ratio (loss allowance / non-performing accounts)</t>
        </is>
      </c>
      <c r="B22" s="6" t="inlineStr">
        <is>
          <t>32.66%</t>
        </is>
      </c>
      <c r="C22" s="6" t="inlineStr">
        <is>
          <t>29.96%</t>
        </is>
      </c>
      <c r="D22" s="6" t="n"/>
      <c r="E22" s="6" t="n"/>
      <c r="F22" s="6" t="inlineStr">
        <is>
          <t>38.38%</t>
        </is>
      </c>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KM1 Key Metrics</t>
        </is>
      </c>
    </row>
    <row r="2">
      <c r="A2" s="2" t="inlineStr">
        <is>
          <t>The Bank's own UK KM1 key-metrics template (individual/solo basis), reproduced in its own row order, row numbers, labels and precision, each year from its own edition. THE TABLE IS IN TWO CURRENCY BLOCKS: FY2024-FY2023 as published in US dollars, FY2022-FY2019 as published in pounds sterling. Amounts are not comparable across the two blocks; the ratio rows are. FY2025 carries no template figures - no Pillar 3 has been published for it, and the top row says so in the column itself. See the note for the Bank's own row-number shift, its '(%)'-labelled amount row, and the FY2023 leverage-ratio restatement.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[Edition status for this year - not a KM1 template row]</t>
        </is>
      </c>
      <c r="B4" s="6" t="inlineStr">
        <is>
          <t>Not published yet – FY2025 Pillar 3 pending; the Bank's own AR2025 puts it in the future tense</t>
        </is>
      </c>
      <c r="C4" s="6" t="n"/>
      <c r="D4" s="6" t="n"/>
      <c r="E4" s="6" t="n"/>
      <c r="F4" s="6" t="n"/>
      <c r="G4" s="6" t="n"/>
      <c r="H4" s="6" t="n"/>
    </row>
    <row r="5">
      <c r="A5" s="5" t="inlineStr">
        <is>
          <t>US DOLLAR BLOCK — FY2024 and FY2023, as published by the Bank in US dollars</t>
        </is>
      </c>
      <c r="B5" s="6" t="n"/>
      <c r="C5" s="6" t="n"/>
      <c r="D5" s="6" t="n"/>
      <c r="E5" s="6" t="n"/>
      <c r="F5" s="6" t="n"/>
      <c r="G5" s="6" t="n"/>
      <c r="H5" s="6" t="n"/>
    </row>
    <row r="6">
      <c r="A6" s="5" t="inlineStr">
        <is>
          <t>Available own funds (amounts)</t>
        </is>
      </c>
      <c r="B6" s="6" t="n"/>
      <c r="C6" s="6" t="n"/>
      <c r="D6" s="6" t="n"/>
      <c r="E6" s="6" t="n"/>
      <c r="F6" s="6" t="n"/>
      <c r="G6" s="6" t="n"/>
      <c r="H6" s="6" t="n"/>
    </row>
    <row r="7">
      <c r="A7" s="6" t="inlineStr">
        <is>
          <t>1  Common Equity Tier 1 (CET1) capital: Instruments and reserves ($'000)</t>
        </is>
      </c>
      <c r="B7" s="6" t="n"/>
      <c r="C7" s="6" t="n">
        <v>382235</v>
      </c>
      <c r="D7" s="6" t="n">
        <v>336454</v>
      </c>
      <c r="E7" s="6" t="n"/>
      <c r="F7" s="6" t="n"/>
      <c r="G7" s="6" t="n"/>
      <c r="H7" s="6" t="n"/>
    </row>
    <row r="8">
      <c r="A8" s="6" t="inlineStr">
        <is>
          <t>2  Common Equity Tier 1 (CET1) capital ($'000)</t>
        </is>
      </c>
      <c r="B8" s="6" t="n"/>
      <c r="C8" s="6" t="n">
        <v>363763</v>
      </c>
      <c r="D8" s="6" t="n">
        <v>309460</v>
      </c>
      <c r="E8" s="6" t="n"/>
      <c r="F8" s="6" t="n"/>
      <c r="G8" s="6" t="n"/>
      <c r="H8" s="6" t="n"/>
    </row>
    <row r="9">
      <c r="A9" s="6" t="inlineStr">
        <is>
          <t>3  Total capital (TC = T1 + T2) ($'000)</t>
        </is>
      </c>
      <c r="B9" s="6" t="n"/>
      <c r="C9" s="6" t="n">
        <v>414074</v>
      </c>
      <c r="D9" s="6" t="n">
        <v>353999</v>
      </c>
      <c r="E9" s="6" t="n"/>
      <c r="F9" s="6" t="n"/>
      <c r="G9" s="6" t="n"/>
      <c r="H9" s="6" t="n"/>
    </row>
    <row r="10">
      <c r="A10" s="5" t="inlineStr">
        <is>
          <t>Risk-Weighted exposure amounts</t>
        </is>
      </c>
      <c r="B10" s="6" t="n"/>
      <c r="C10" s="6" t="n"/>
      <c r="D10" s="6" t="n"/>
      <c r="E10" s="6" t="n"/>
      <c r="F10" s="6" t="n"/>
      <c r="G10" s="6" t="n"/>
      <c r="H10" s="6" t="n"/>
    </row>
    <row r="11">
      <c r="A11" s="6" t="inlineStr">
        <is>
          <t>4  Total risk-weighted exposure amounts ($'000)</t>
        </is>
      </c>
      <c r="B11" s="6" t="n"/>
      <c r="C11" s="6" t="n">
        <v>1395598</v>
      </c>
      <c r="D11" s="6" t="n">
        <v>1235478</v>
      </c>
      <c r="E11" s="6" t="n"/>
      <c r="F11" s="6" t="n"/>
      <c r="G11" s="6" t="n"/>
      <c r="H11" s="6" t="n"/>
    </row>
    <row r="12">
      <c r="A12" s="5" t="inlineStr">
        <is>
          <t>Capital ratios (as a percentage of risk-weighted exposure amount)</t>
        </is>
      </c>
      <c r="B12" s="6" t="n"/>
      <c r="C12" s="6" t="n"/>
      <c r="D12" s="6" t="n"/>
      <c r="E12" s="6" t="n"/>
      <c r="F12" s="6" t="n"/>
      <c r="G12" s="6" t="n"/>
      <c r="H12" s="6" t="n"/>
    </row>
    <row r="13">
      <c r="A13" s="6" t="inlineStr">
        <is>
          <t>5  Common Equity Tier 1 ratio (%)</t>
        </is>
      </c>
      <c r="B13" s="6" t="n"/>
      <c r="C13" s="6" t="inlineStr">
        <is>
          <t>26.07%</t>
        </is>
      </c>
      <c r="D13" s="6" t="inlineStr">
        <is>
          <t>25.05%</t>
        </is>
      </c>
      <c r="E13" s="6" t="n"/>
      <c r="F13" s="6" t="n"/>
      <c r="G13" s="6" t="n"/>
      <c r="H13" s="6" t="n"/>
    </row>
    <row r="14">
      <c r="A14" s="6" t="inlineStr">
        <is>
          <t>6  Tier 1 ratio (%)</t>
        </is>
      </c>
      <c r="B14" s="6" t="n"/>
      <c r="C14" s="6" t="inlineStr">
        <is>
          <t>26.07%</t>
        </is>
      </c>
      <c r="D14" s="6" t="inlineStr">
        <is>
          <t>25.05%</t>
        </is>
      </c>
      <c r="E14" s="6" t="n"/>
      <c r="F14" s="6" t="n"/>
      <c r="G14" s="6" t="n"/>
      <c r="H14" s="6" t="n"/>
    </row>
    <row r="15">
      <c r="A15" s="6" t="inlineStr">
        <is>
          <t>7  Total capital ratio (%)</t>
        </is>
      </c>
      <c r="B15" s="6" t="n"/>
      <c r="C15" s="6" t="inlineStr">
        <is>
          <t>29.67%</t>
        </is>
      </c>
      <c r="D15" s="6" t="inlineStr">
        <is>
          <t>28.65%</t>
        </is>
      </c>
      <c r="E15" s="6" t="n"/>
      <c r="F15" s="6" t="n"/>
      <c r="G15" s="6" t="n"/>
      <c r="H15" s="6" t="n"/>
    </row>
    <row r="16">
      <c r="A16" s="5" t="inlineStr">
        <is>
          <t>Additional own funds requirements based on SREP (as a percentage of risk-weighted exposure amount)</t>
        </is>
      </c>
      <c r="B16" s="6" t="n"/>
      <c r="C16" s="6" t="n"/>
      <c r="D16" s="6" t="n"/>
      <c r="E16" s="6" t="n"/>
      <c r="F16" s="6" t="n"/>
      <c r="G16" s="6" t="n"/>
      <c r="H16" s="6" t="n"/>
    </row>
    <row r="17">
      <c r="A17" s="6" t="inlineStr">
        <is>
          <t>UK 7a  Additional CET1 SREP requirements (%)</t>
        </is>
      </c>
      <c r="B17" s="6" t="n"/>
      <c r="C17" s="6" t="inlineStr">
        <is>
          <t>4.82%</t>
        </is>
      </c>
      <c r="D17" s="6" t="inlineStr">
        <is>
          <t>4.82%</t>
        </is>
      </c>
      <c r="E17" s="6" t="n"/>
      <c r="F17" s="6" t="n"/>
      <c r="G17" s="6" t="n"/>
      <c r="H17" s="6" t="n"/>
    </row>
    <row r="18">
      <c r="A18" s="6" t="inlineStr">
        <is>
          <t>UK 7c  Additional T2 SREP requirements (%)</t>
        </is>
      </c>
      <c r="B18" s="6" t="n"/>
      <c r="C18" s="6" t="inlineStr">
        <is>
          <t>1.61%</t>
        </is>
      </c>
      <c r="D18" s="6" t="inlineStr">
        <is>
          <t>1.61%</t>
        </is>
      </c>
      <c r="E18" s="6" t="n"/>
      <c r="F18" s="6" t="n"/>
      <c r="G18" s="6" t="n"/>
      <c r="H18" s="6" t="n"/>
    </row>
    <row r="19">
      <c r="A19" s="6" t="inlineStr">
        <is>
          <t>UK 7d  Total SREP own funds requirements (%)</t>
        </is>
      </c>
      <c r="B19" s="6" t="n"/>
      <c r="C19" s="6" t="inlineStr">
        <is>
          <t>14.42%</t>
        </is>
      </c>
      <c r="D19" s="6" t="inlineStr">
        <is>
          <t>14.42%</t>
        </is>
      </c>
      <c r="E19" s="6" t="n"/>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of which: capital conservation buffer</t>
        </is>
      </c>
      <c r="B21" s="6" t="n"/>
      <c r="C21" s="6" t="inlineStr">
        <is>
          <t>2.50%</t>
        </is>
      </c>
      <c r="D21" s="6" t="inlineStr">
        <is>
          <t>2.50%</t>
        </is>
      </c>
      <c r="E21" s="6" t="n"/>
      <c r="F21" s="6" t="n"/>
      <c r="G21" s="6" t="n"/>
      <c r="H21" s="6" t="n"/>
    </row>
    <row r="22">
      <c r="A22" s="6" t="inlineStr">
        <is>
          <t>9  Institution specific countercyclical capital buffer (%)</t>
        </is>
      </c>
      <c r="B22" s="6" t="n"/>
      <c r="C22" s="6" t="inlineStr">
        <is>
          <t>0.14%</t>
        </is>
      </c>
      <c r="D22" s="6" t="inlineStr">
        <is>
          <t>0.09%</t>
        </is>
      </c>
      <c r="E22" s="6" t="n"/>
      <c r="F22" s="6" t="n"/>
      <c r="G22" s="6" t="n"/>
      <c r="H22" s="6" t="n"/>
    </row>
    <row r="23">
      <c r="A23" s="6" t="inlineStr">
        <is>
          <t>11  Combined buffer requirement (%)</t>
        </is>
      </c>
      <c r="B23" s="6" t="n"/>
      <c r="C23" s="6" t="inlineStr">
        <is>
          <t>2.64%</t>
        </is>
      </c>
      <c r="D23" s="6" t="inlineStr">
        <is>
          <t>2.59%</t>
        </is>
      </c>
      <c r="E23" s="6" t="n"/>
      <c r="F23" s="6" t="n"/>
      <c r="G23" s="6" t="n"/>
      <c r="H23" s="6" t="n"/>
    </row>
    <row r="24">
      <c r="A24" s="6" t="inlineStr">
        <is>
          <t>UK 11a  Overall capital requirements (%)</t>
        </is>
      </c>
      <c r="B24" s="6" t="n"/>
      <c r="C24" s="6" t="inlineStr">
        <is>
          <t>17.06%</t>
        </is>
      </c>
      <c r="D24" s="6" t="inlineStr">
        <is>
          <t>17.01%</t>
        </is>
      </c>
      <c r="E24" s="6" t="n"/>
      <c r="F24" s="6" t="n"/>
      <c r="G24" s="6" t="n"/>
      <c r="H24" s="6" t="n"/>
    </row>
    <row r="25">
      <c r="A25" s="6" t="inlineStr">
        <is>
          <t>12  CET1 available after meeting the total SREP own funds requirements (%) [prints an amount, $'000]</t>
        </is>
      </c>
      <c r="B25" s="6" t="n"/>
      <c r="C25" s="6" t="n">
        <v>129093</v>
      </c>
      <c r="D25" s="6" t="n">
        <v>101715</v>
      </c>
      <c r="E25" s="6" t="n"/>
      <c r="F25" s="6" t="n"/>
      <c r="G25" s="6" t="n"/>
      <c r="H25" s="6" t="n"/>
    </row>
    <row r="26">
      <c r="A26" s="5" t="inlineStr">
        <is>
          <t>Leverage</t>
        </is>
      </c>
      <c r="B26" s="6" t="n"/>
      <c r="C26" s="6" t="n"/>
      <c r="D26" s="6" t="n"/>
      <c r="E26" s="6" t="n"/>
      <c r="F26" s="6" t="n"/>
      <c r="G26" s="6" t="n"/>
      <c r="H26" s="6" t="n"/>
    </row>
    <row r="27">
      <c r="A27" s="6" t="inlineStr">
        <is>
          <t>13  Leverage ratio total exposure measure ($'000)</t>
        </is>
      </c>
      <c r="B27" s="6" t="n"/>
      <c r="C27" s="6" t="n">
        <v>2575327</v>
      </c>
      <c r="D27" s="6" t="n">
        <v>1567144</v>
      </c>
      <c r="E27" s="6" t="n"/>
      <c r="F27" s="6" t="n"/>
      <c r="G27" s="6" t="n"/>
      <c r="H27" s="6" t="n"/>
    </row>
    <row r="28">
      <c r="A28" s="6" t="inlineStr">
        <is>
          <t>14  Leverage ratio</t>
        </is>
      </c>
      <c r="B28" s="6" t="n"/>
      <c r="C28" s="6" t="inlineStr">
        <is>
          <t>14.12%</t>
        </is>
      </c>
      <c r="D28" s="6" t="inlineStr">
        <is>
          <t>19.75%</t>
        </is>
      </c>
      <c r="E28" s="6" t="n"/>
      <c r="F28" s="6" t="n"/>
      <c r="G28" s="6" t="n"/>
      <c r="H28" s="6" t="n"/>
    </row>
    <row r="29">
      <c r="A29" s="5" t="inlineStr">
        <is>
          <t>Liquidity Coverage Ratio</t>
        </is>
      </c>
      <c r="B29" s="6" t="n"/>
      <c r="C29" s="6" t="n"/>
      <c r="D29" s="6" t="n"/>
      <c r="E29" s="6" t="n"/>
      <c r="F29" s="6" t="n"/>
      <c r="G29" s="6" t="n"/>
      <c r="H29" s="6" t="n"/>
    </row>
    <row r="30">
      <c r="A30" s="6" t="inlineStr">
        <is>
          <t>15  Total high-quality liquid assets (HQLA) (Weighted value -average) ($'000)</t>
        </is>
      </c>
      <c r="B30" s="6" t="n"/>
      <c r="C30" s="6" t="n">
        <v>1400356</v>
      </c>
      <c r="D30" s="6" t="n">
        <v>1084674</v>
      </c>
      <c r="E30" s="6" t="n"/>
      <c r="F30" s="6" t="n"/>
      <c r="G30" s="6" t="n"/>
      <c r="H30" s="6" t="n"/>
    </row>
    <row r="31">
      <c r="A31" s="6" t="inlineStr">
        <is>
          <t>UK 16a  Cash outflows - Total weighted value ($'000)</t>
        </is>
      </c>
      <c r="B31" s="6" t="n"/>
      <c r="C31" s="6" t="n">
        <v>685809</v>
      </c>
      <c r="D31" s="6" t="n">
        <v>620176</v>
      </c>
      <c r="E31" s="6" t="n"/>
      <c r="F31" s="6" t="n"/>
      <c r="G31" s="6" t="n"/>
      <c r="H31" s="6" t="n"/>
    </row>
    <row r="32">
      <c r="A32" s="6" t="inlineStr">
        <is>
          <t>UK 16b  Cash inflows - Total weighted value ($'000)</t>
        </is>
      </c>
      <c r="B32" s="6" t="n"/>
      <c r="C32" s="6" t="n">
        <v>343498</v>
      </c>
      <c r="D32" s="6" t="n">
        <v>337095</v>
      </c>
      <c r="E32" s="6" t="n"/>
      <c r="F32" s="6" t="n"/>
      <c r="G32" s="6" t="n"/>
      <c r="H32" s="6" t="n"/>
    </row>
    <row r="33">
      <c r="A33" s="6" t="inlineStr">
        <is>
          <t>16  Total net cash outflows (adjusted value) ($'000)</t>
        </is>
      </c>
      <c r="B33" s="6" t="n"/>
      <c r="C33" s="6" t="n">
        <v>342311</v>
      </c>
      <c r="D33" s="6" t="n">
        <v>283081</v>
      </c>
      <c r="E33" s="6" t="n"/>
      <c r="F33" s="6" t="n"/>
      <c r="G33" s="6" t="n"/>
      <c r="H33" s="6" t="n"/>
    </row>
    <row r="34">
      <c r="A34" s="6" t="inlineStr">
        <is>
          <t>17  Liquidity coverage ratio (%)</t>
        </is>
      </c>
      <c r="B34" s="6" t="n"/>
      <c r="C34" s="6" t="inlineStr">
        <is>
          <t>409.09%</t>
        </is>
      </c>
      <c r="D34" s="6" t="inlineStr">
        <is>
          <t>383.17%</t>
        </is>
      </c>
      <c r="E34" s="6" t="n"/>
      <c r="F34" s="6" t="n"/>
      <c r="G34" s="6" t="n"/>
      <c r="H34" s="6" t="n"/>
    </row>
    <row r="35">
      <c r="A35" s="5" t="inlineStr">
        <is>
          <t>Net Stable Funding Ratio</t>
        </is>
      </c>
      <c r="B35" s="6" t="n"/>
      <c r="C35" s="6" t="n"/>
      <c r="D35" s="6" t="n"/>
      <c r="E35" s="6" t="n"/>
      <c r="F35" s="6" t="n"/>
      <c r="G35" s="6" t="n"/>
      <c r="H35" s="6" t="n"/>
    </row>
    <row r="36">
      <c r="A36" s="6" t="inlineStr">
        <is>
          <t>18  Total available stable funding ($'000)</t>
        </is>
      </c>
      <c r="B36" s="6" t="n"/>
      <c r="C36" s="6" t="n">
        <v>1423612</v>
      </c>
      <c r="D36" s="6" t="n">
        <v>1506379</v>
      </c>
      <c r="E36" s="6" t="n"/>
      <c r="F36" s="6" t="n"/>
      <c r="G36" s="6" t="n"/>
      <c r="H36" s="6" t="n"/>
    </row>
    <row r="37">
      <c r="A37" s="6" t="inlineStr">
        <is>
          <t>19  Total required stable funding ($'000)</t>
        </is>
      </c>
      <c r="B37" s="6" t="n"/>
      <c r="C37" s="6" t="n">
        <v>669559</v>
      </c>
      <c r="D37" s="6" t="n">
        <v>526030</v>
      </c>
      <c r="E37" s="6" t="n"/>
      <c r="F37" s="6" t="n"/>
      <c r="G37" s="6" t="n"/>
      <c r="H37" s="6" t="n"/>
    </row>
    <row r="38">
      <c r="A38" s="6" t="inlineStr">
        <is>
          <t>20  NSFR ratio (%)</t>
        </is>
      </c>
      <c r="B38" s="6" t="n"/>
      <c r="C38" s="6" t="inlineStr">
        <is>
          <t>213%</t>
        </is>
      </c>
      <c r="D38" s="6" t="inlineStr">
        <is>
          <t>286.37%</t>
        </is>
      </c>
      <c r="E38" s="6" t="n"/>
      <c r="F38" s="6" t="n"/>
      <c r="G38" s="6" t="n"/>
      <c r="H38" s="6" t="n"/>
    </row>
    <row r="39">
      <c r="A39" s="5" t="inlineStr">
        <is>
          <t>POUND STERLING BLOCK — FY2022 to FY2019, as published by the Bank in pounds sterling</t>
        </is>
      </c>
      <c r="B39" s="6" t="n"/>
      <c r="C39" s="6" t="n"/>
      <c r="D39" s="6" t="n"/>
      <c r="E39" s="6" t="n"/>
      <c r="F39" s="6" t="n"/>
      <c r="G39" s="6" t="n"/>
      <c r="H39" s="6" t="n"/>
    </row>
    <row r="40">
      <c r="A40" s="5" t="inlineStr">
        <is>
          <t xml:space="preserve">Available own funds (amounts) </t>
        </is>
      </c>
      <c r="B40" s="6" t="n"/>
      <c r="C40" s="6" t="n"/>
      <c r="D40" s="6" t="n"/>
      <c r="E40" s="6" t="n"/>
      <c r="F40" s="6" t="n"/>
      <c r="G40" s="6" t="n"/>
      <c r="H40" s="6" t="n"/>
    </row>
    <row r="41">
      <c r="A41" s="6" t="inlineStr">
        <is>
          <t>1  Common Equity Tier 1 (CET1) capital: Instruments and reserves (£'000)</t>
        </is>
      </c>
      <c r="B41" s="6" t="n"/>
      <c r="C41" s="6" t="n"/>
      <c r="D41" s="6" t="n"/>
      <c r="E41" s="6" t="n">
        <v>247363</v>
      </c>
      <c r="F41" s="6" t="n">
        <v>211035</v>
      </c>
      <c r="G41" s="6" t="n">
        <v>183485</v>
      </c>
      <c r="H41" s="6" t="n">
        <v>167034</v>
      </c>
    </row>
    <row r="42">
      <c r="A42" s="6" t="inlineStr">
        <is>
          <t>2  Common Equity Tier 1 (CET1) capital (£'000)</t>
        </is>
      </c>
      <c r="B42" s="6" t="n"/>
      <c r="C42" s="6" t="n"/>
      <c r="D42" s="6" t="n"/>
      <c r="E42" s="6" t="n">
        <v>229026</v>
      </c>
      <c r="F42" s="6" t="n">
        <v>201907</v>
      </c>
      <c r="G42" s="6" t="n">
        <v>181579</v>
      </c>
      <c r="H42" s="6" t="n">
        <v>172577</v>
      </c>
    </row>
    <row r="43">
      <c r="A43" s="6" t="inlineStr">
        <is>
          <t>3  Total capital (TC = T1 + T2) (£'000)</t>
        </is>
      </c>
      <c r="B43" s="6" t="n"/>
      <c r="C43" s="6" t="n"/>
      <c r="D43" s="6" t="n"/>
      <c r="E43" s="6" t="n">
        <v>265764</v>
      </c>
      <c r="F43" s="6" t="n">
        <v>241216</v>
      </c>
      <c r="G43" s="6" t="n">
        <v>216165</v>
      </c>
      <c r="H43" s="6" t="n">
        <v>205132</v>
      </c>
    </row>
    <row r="44">
      <c r="A44" s="5" t="inlineStr">
        <is>
          <t xml:space="preserve">Risk-Weighted exposure amounts </t>
        </is>
      </c>
      <c r="B44" s="6" t="n"/>
      <c r="C44" s="6" t="n"/>
      <c r="D44" s="6" t="n"/>
      <c r="E44" s="6" t="n"/>
      <c r="F44" s="6" t="n"/>
      <c r="G44" s="6" t="n"/>
      <c r="H44" s="6" t="n"/>
    </row>
    <row r="45">
      <c r="A45" s="6" t="inlineStr">
        <is>
          <t>4  Total risk-weighted exposure amounts (£'000)</t>
        </is>
      </c>
      <c r="B45" s="6" t="n"/>
      <c r="C45" s="6" t="n"/>
      <c r="D45" s="6" t="n"/>
      <c r="E45" s="6" t="n">
        <v>1019070</v>
      </c>
      <c r="F45" s="6" t="n">
        <v>1135077</v>
      </c>
      <c r="G45" s="6" t="n">
        <v>898917</v>
      </c>
      <c r="H45" s="6" t="n">
        <v>885249</v>
      </c>
    </row>
    <row r="46">
      <c r="A46" s="5" t="inlineStr">
        <is>
          <t xml:space="preserve">Capital ratios (as a percentage of risk-weighted exposure amount) </t>
        </is>
      </c>
      <c r="B46" s="6" t="n"/>
      <c r="C46" s="6" t="n"/>
      <c r="D46" s="6" t="n"/>
      <c r="E46" s="6" t="n"/>
      <c r="F46" s="6" t="n"/>
      <c r="G46" s="6" t="n"/>
      <c r="H46" s="6" t="n"/>
    </row>
    <row r="47">
      <c r="A47" s="6" t="inlineStr">
        <is>
          <t xml:space="preserve">5  Common Equity Tier 1 ratio (%) </t>
        </is>
      </c>
      <c r="B47" s="6" t="n"/>
      <c r="C47" s="6" t="n"/>
      <c r="D47" s="6" t="n"/>
      <c r="E47" s="6" t="inlineStr">
        <is>
          <t>22.47%</t>
        </is>
      </c>
      <c r="F47" s="6" t="inlineStr">
        <is>
          <t>17.79%</t>
        </is>
      </c>
      <c r="G47" s="6" t="inlineStr">
        <is>
          <t>20.20%</t>
        </is>
      </c>
      <c r="H47" s="6" t="inlineStr">
        <is>
          <t>19.49%</t>
        </is>
      </c>
    </row>
    <row r="48">
      <c r="A48" s="6" t="inlineStr">
        <is>
          <t xml:space="preserve">6  Tier 1 ratio (%) </t>
        </is>
      </c>
      <c r="B48" s="6" t="n"/>
      <c r="C48" s="6" t="n"/>
      <c r="D48" s="6" t="n"/>
      <c r="E48" s="6" t="inlineStr">
        <is>
          <t>22.47%</t>
        </is>
      </c>
      <c r="F48" s="6" t="inlineStr">
        <is>
          <t>17.79%</t>
        </is>
      </c>
      <c r="G48" s="6" t="inlineStr">
        <is>
          <t>20.20%</t>
        </is>
      </c>
      <c r="H48" s="6" t="inlineStr">
        <is>
          <t>19.49%</t>
        </is>
      </c>
    </row>
    <row r="49">
      <c r="A49" s="6" t="inlineStr">
        <is>
          <t xml:space="preserve">7  Total capital ratio (%) </t>
        </is>
      </c>
      <c r="B49" s="6" t="n"/>
      <c r="C49" s="6" t="n"/>
      <c r="D49" s="6" t="n"/>
      <c r="E49" s="6" t="inlineStr">
        <is>
          <t>26.08%</t>
        </is>
      </c>
      <c r="F49" s="6" t="inlineStr">
        <is>
          <t>21.25%</t>
        </is>
      </c>
      <c r="G49" s="6" t="inlineStr">
        <is>
          <t>24.05%</t>
        </is>
      </c>
      <c r="H49" s="6" t="inlineStr">
        <is>
          <t>23.17%</t>
        </is>
      </c>
    </row>
    <row r="50">
      <c r="A50" s="5" t="inlineStr">
        <is>
          <t xml:space="preserve">Additional own funds requirements based on SREP (as a percentage of risk-weighted exposure amount) </t>
        </is>
      </c>
      <c r="B50" s="6" t="n"/>
      <c r="C50" s="6" t="n"/>
      <c r="D50" s="6" t="n"/>
      <c r="E50" s="6" t="n"/>
      <c r="F50" s="6" t="n"/>
      <c r="G50" s="6" t="n"/>
      <c r="H50" s="6" t="n"/>
    </row>
    <row r="51">
      <c r="A51" s="6" t="inlineStr">
        <is>
          <t xml:space="preserve">UK 7a  Additional CET1 SREP requirements (%) </t>
        </is>
      </c>
      <c r="B51" s="6" t="n"/>
      <c r="C51" s="6" t="n"/>
      <c r="D51" s="6" t="n"/>
      <c r="E51" s="6" t="inlineStr">
        <is>
          <t>4.82%</t>
        </is>
      </c>
      <c r="F51" s="6" t="inlineStr">
        <is>
          <t>4.39%</t>
        </is>
      </c>
      <c r="G51" s="6" t="inlineStr">
        <is>
          <t>5.54%</t>
        </is>
      </c>
      <c r="H51" s="6" t="inlineStr">
        <is>
          <t>5.03%</t>
        </is>
      </c>
    </row>
    <row r="52">
      <c r="A52" s="6" t="inlineStr">
        <is>
          <t xml:space="preserve">UK 7c  Additional T2 SREP requirements (%) </t>
        </is>
      </c>
      <c r="B52" s="6" t="n"/>
      <c r="C52" s="6" t="n"/>
      <c r="D52" s="6" t="n"/>
      <c r="E52" s="6" t="inlineStr">
        <is>
          <t>1.61%</t>
        </is>
      </c>
      <c r="F52" s="6" t="inlineStr">
        <is>
          <t>1.46%</t>
        </is>
      </c>
      <c r="G52" s="6" t="inlineStr">
        <is>
          <t>1.85%</t>
        </is>
      </c>
      <c r="H52" s="6" t="inlineStr">
        <is>
          <t>1.68%</t>
        </is>
      </c>
    </row>
    <row r="53">
      <c r="A53" s="6" t="inlineStr">
        <is>
          <t xml:space="preserve">UK 7d  Total SREP own funds requirements (%) </t>
        </is>
      </c>
      <c r="B53" s="6" t="n"/>
      <c r="C53" s="6" t="n"/>
      <c r="D53" s="6" t="n"/>
      <c r="E53" s="6" t="inlineStr">
        <is>
          <t>14.42%</t>
        </is>
      </c>
      <c r="F53" s="6" t="inlineStr">
        <is>
          <t>13.85%</t>
        </is>
      </c>
      <c r="G53" s="6" t="inlineStr">
        <is>
          <t>15.39%</t>
        </is>
      </c>
      <c r="H53" s="6" t="inlineStr">
        <is>
          <t>14.71%</t>
        </is>
      </c>
    </row>
    <row r="54">
      <c r="A54" s="5" t="inlineStr">
        <is>
          <t xml:space="preserve">Combined buffer requirement (as a percentage of risk-weighted exposure amount) </t>
        </is>
      </c>
      <c r="B54" s="6" t="n"/>
      <c r="C54" s="6" t="n"/>
      <c r="D54" s="6" t="n"/>
      <c r="E54" s="6" t="n"/>
      <c r="F54" s="6" t="n"/>
      <c r="G54" s="6" t="n"/>
      <c r="H54" s="6" t="n"/>
    </row>
    <row r="55">
      <c r="A55" s="6" t="inlineStr">
        <is>
          <t xml:space="preserve">8  of which: capital conservation buffer </t>
        </is>
      </c>
      <c r="B55" s="6" t="n"/>
      <c r="C55" s="6" t="n"/>
      <c r="D55" s="6" t="n"/>
      <c r="E55" s="6" t="inlineStr">
        <is>
          <t>2.50%</t>
        </is>
      </c>
      <c r="F55" s="6" t="inlineStr">
        <is>
          <t>2.50%</t>
        </is>
      </c>
      <c r="G55" s="6" t="inlineStr">
        <is>
          <t>2.50%</t>
        </is>
      </c>
      <c r="H55" s="6" t="inlineStr">
        <is>
          <t>2.50%</t>
        </is>
      </c>
    </row>
    <row r="56">
      <c r="A56" s="6" t="inlineStr">
        <is>
          <t xml:space="preserve">9  Institution specific countercyclical capital buffer (%) </t>
        </is>
      </c>
      <c r="B56" s="6" t="n"/>
      <c r="C56" s="6" t="n"/>
      <c r="D56" s="6" t="n"/>
      <c r="E56" s="6" t="inlineStr">
        <is>
          <t>0.05%</t>
        </is>
      </c>
      <c r="F56" s="6" t="inlineStr">
        <is>
          <t>0.00%</t>
        </is>
      </c>
      <c r="G56" s="6" t="inlineStr">
        <is>
          <t>0.00%</t>
        </is>
      </c>
      <c r="H56" s="6" t="inlineStr">
        <is>
          <t>0.06%</t>
        </is>
      </c>
    </row>
    <row r="57">
      <c r="A57" s="6" t="inlineStr">
        <is>
          <t xml:space="preserve">11  Combined buffer requirement (%) </t>
        </is>
      </c>
      <c r="B57" s="6" t="n"/>
      <c r="C57" s="6" t="n"/>
      <c r="D57" s="6" t="n"/>
      <c r="E57" s="6" t="inlineStr">
        <is>
          <t>2.55%</t>
        </is>
      </c>
      <c r="F57" s="6" t="inlineStr">
        <is>
          <t>2.50%</t>
        </is>
      </c>
      <c r="G57" s="6" t="inlineStr">
        <is>
          <t>2.50%</t>
        </is>
      </c>
      <c r="H57" s="6" t="inlineStr">
        <is>
          <t>2.56%</t>
        </is>
      </c>
    </row>
    <row r="58">
      <c r="A58" s="6" t="inlineStr">
        <is>
          <t xml:space="preserve">UK 11a  Overall capital requirements (%) </t>
        </is>
      </c>
      <c r="B58" s="6" t="n"/>
      <c r="C58" s="6" t="n"/>
      <c r="D58" s="6" t="n"/>
      <c r="E58" s="6" t="inlineStr">
        <is>
          <t>16.97%</t>
        </is>
      </c>
      <c r="F58" s="6" t="inlineStr">
        <is>
          <t>16.35%</t>
        </is>
      </c>
      <c r="G58" s="6" t="inlineStr">
        <is>
          <t>17.89%</t>
        </is>
      </c>
      <c r="H58" s="6" t="inlineStr">
        <is>
          <t>17.27%</t>
        </is>
      </c>
    </row>
    <row r="59">
      <c r="A59" s="6" t="inlineStr">
        <is>
          <t>12  CET1 available after meeting the total SREP own funds requirements (%) [prints an amount, £'000]</t>
        </is>
      </c>
      <c r="B59" s="6" t="n"/>
      <c r="C59" s="6" t="n"/>
      <c r="D59" s="6" t="n"/>
      <c r="E59" s="6" t="n">
        <v>57670</v>
      </c>
      <c r="F59" s="6" t="n">
        <v>15875</v>
      </c>
      <c r="G59" s="6" t="n">
        <v>23886</v>
      </c>
      <c r="H59" s="6" t="n">
        <v>21797</v>
      </c>
    </row>
    <row r="60">
      <c r="A60" s="5" t="inlineStr">
        <is>
          <t xml:space="preserve">Leverage </t>
        </is>
      </c>
      <c r="B60" s="6" t="n"/>
      <c r="C60" s="6" t="n"/>
      <c r="D60" s="6" t="n"/>
      <c r="E60" s="6" t="n"/>
      <c r="F60" s="6" t="n"/>
      <c r="G60" s="6" t="n"/>
      <c r="H60" s="6" t="n"/>
    </row>
    <row r="61">
      <c r="A61" s="6" t="inlineStr">
        <is>
          <t>13  Leverage ratio total exposure measure (£'000)</t>
        </is>
      </c>
      <c r="B61" s="6" t="n"/>
      <c r="C61" s="6" t="n"/>
      <c r="D61" s="6" t="n"/>
      <c r="E61" s="6" t="n">
        <v>2327282</v>
      </c>
      <c r="F61" s="6" t="n">
        <v>2749530</v>
      </c>
      <c r="G61" s="6" t="n">
        <v>2444955</v>
      </c>
      <c r="H61" s="6" t="n">
        <v>2809165</v>
      </c>
    </row>
    <row r="62">
      <c r="A62" s="6" t="inlineStr">
        <is>
          <t xml:space="preserve">14  Leverage ratio </t>
        </is>
      </c>
      <c r="B62" s="6" t="n"/>
      <c r="C62" s="6" t="n"/>
      <c r="D62" s="6" t="n"/>
      <c r="E62" s="6" t="inlineStr">
        <is>
          <t>9.84%</t>
        </is>
      </c>
      <c r="F62" s="6" t="inlineStr">
        <is>
          <t>6.83%</t>
        </is>
      </c>
      <c r="G62" s="6" t="inlineStr">
        <is>
          <t>6.75%</t>
        </is>
      </c>
      <c r="H62" s="6" t="inlineStr">
        <is>
          <t>4.98%</t>
        </is>
      </c>
    </row>
    <row r="63">
      <c r="A63" s="5" t="inlineStr">
        <is>
          <t>Additional own funds requirements to address risks of excessive leverage (as a percentage of leverage ratio total exposure amount) — printed in the FY2021 edition only</t>
        </is>
      </c>
      <c r="B63" s="6" t="n"/>
      <c r="C63" s="6" t="n"/>
      <c r="D63" s="6" t="n"/>
      <c r="E63" s="6" t="n"/>
      <c r="F63" s="6" t="n"/>
      <c r="G63" s="6" t="n"/>
      <c r="H63" s="6" t="n"/>
    </row>
    <row r="64">
      <c r="A64" s="6" t="inlineStr">
        <is>
          <t>UK 14a  Additional CET1 leverage ratio requirements (%)</t>
        </is>
      </c>
      <c r="B64" s="6" t="n"/>
      <c r="C64" s="6" t="n"/>
      <c r="D64" s="6" t="n"/>
      <c r="E64" s="6" t="n"/>
      <c r="F64" s="6" t="inlineStr">
        <is>
          <t>0.00%</t>
        </is>
      </c>
      <c r="G64" s="6" t="inlineStr">
        <is>
          <t>0.00%</t>
        </is>
      </c>
      <c r="H64" s="6" t="inlineStr">
        <is>
          <t>0.00%</t>
        </is>
      </c>
    </row>
    <row r="65">
      <c r="A65" s="6" t="inlineStr">
        <is>
          <t>UK 14b  Additional AT1 leverage ratio requirements (%)</t>
        </is>
      </c>
      <c r="B65" s="6" t="n"/>
      <c r="C65" s="6" t="n"/>
      <c r="D65" s="6" t="n"/>
      <c r="E65" s="6" t="n"/>
      <c r="F65" s="6" t="inlineStr">
        <is>
          <t>0.00%</t>
        </is>
      </c>
      <c r="G65" s="6" t="inlineStr">
        <is>
          <t>0.00%</t>
        </is>
      </c>
      <c r="H65" s="6" t="inlineStr">
        <is>
          <t>0.00%</t>
        </is>
      </c>
    </row>
    <row r="66">
      <c r="A66" s="6" t="inlineStr">
        <is>
          <t>UK 14c  Additional T2 leverage ratio requirements (%)</t>
        </is>
      </c>
      <c r="B66" s="6" t="n"/>
      <c r="C66" s="6" t="n"/>
      <c r="D66" s="6" t="n"/>
      <c r="E66" s="6" t="n"/>
      <c r="F66" s="6" t="inlineStr">
        <is>
          <t>0.00%</t>
        </is>
      </c>
      <c r="G66" s="6" t="inlineStr">
        <is>
          <t>0.00%</t>
        </is>
      </c>
      <c r="H66" s="6" t="inlineStr">
        <is>
          <t>0.00%</t>
        </is>
      </c>
    </row>
    <row r="67">
      <c r="A67" s="6" t="inlineStr">
        <is>
          <t>UK 14d  Total SREP leverage ratio requirements (%)</t>
        </is>
      </c>
      <c r="B67" s="6" t="n"/>
      <c r="C67" s="6" t="n"/>
      <c r="D67" s="6" t="n"/>
      <c r="E67" s="6" t="n"/>
      <c r="F67" s="6" t="inlineStr">
        <is>
          <t>0.00%</t>
        </is>
      </c>
      <c r="G67" s="6" t="inlineStr">
        <is>
          <t>0.00%</t>
        </is>
      </c>
      <c r="H67" s="6" t="inlineStr">
        <is>
          <t>0.00%</t>
        </is>
      </c>
    </row>
    <row r="68">
      <c r="A68" s="6" t="inlineStr">
        <is>
          <t>UK 14e  Applicable leverage buffer</t>
        </is>
      </c>
      <c r="B68" s="6" t="n"/>
      <c r="C68" s="6" t="n"/>
      <c r="D68" s="6" t="n"/>
      <c r="E68" s="6" t="n"/>
      <c r="F68" s="6" t="inlineStr">
        <is>
          <t>0.00%</t>
        </is>
      </c>
      <c r="G68" s="6" t="inlineStr">
        <is>
          <t>0.00%</t>
        </is>
      </c>
      <c r="H68" s="6" t="inlineStr">
        <is>
          <t>0.00%</t>
        </is>
      </c>
    </row>
    <row r="69">
      <c r="A69" s="6" t="inlineStr">
        <is>
          <t>UK 14f  Overall leverage ratio requirements (%)</t>
        </is>
      </c>
      <c r="B69" s="6" t="n"/>
      <c r="C69" s="6" t="n"/>
      <c r="D69" s="6" t="n"/>
      <c r="E69" s="6" t="n"/>
      <c r="F69" s="6" t="inlineStr">
        <is>
          <t>0.00%</t>
        </is>
      </c>
      <c r="G69" s="6" t="inlineStr">
        <is>
          <t>0.00%</t>
        </is>
      </c>
      <c r="H69" s="6" t="inlineStr">
        <is>
          <t>0.00%</t>
        </is>
      </c>
    </row>
    <row r="70">
      <c r="A70" s="5" t="inlineStr">
        <is>
          <t xml:space="preserve">Liquidity Coverage Ratio </t>
        </is>
      </c>
      <c r="B70" s="6" t="n"/>
      <c r="C70" s="6" t="n"/>
      <c r="D70" s="6" t="n"/>
      <c r="E70" s="6" t="n"/>
      <c r="F70" s="6" t="n"/>
      <c r="G70" s="6" t="n"/>
      <c r="H70" s="6" t="n"/>
    </row>
    <row r="71">
      <c r="A71" s="6" t="inlineStr">
        <is>
          <t>15  Total high-quality liquid assets (HQLA) (Weighted value -average) (£'000)</t>
        </is>
      </c>
      <c r="B71" s="6" t="n"/>
      <c r="C71" s="6" t="n"/>
      <c r="D71" s="6" t="n"/>
      <c r="E71" s="6" t="n">
        <v>1580997</v>
      </c>
      <c r="F71" s="6" t="n">
        <v>1198742</v>
      </c>
      <c r="G71" s="6" t="n">
        <v>1334462</v>
      </c>
      <c r="H71" s="6" t="n"/>
    </row>
    <row r="72">
      <c r="A72" s="6" t="inlineStr">
        <is>
          <t>UK 16a  Cash outflows - Total weighted value (£'000)</t>
        </is>
      </c>
      <c r="B72" s="6" t="n"/>
      <c r="C72" s="6" t="n"/>
      <c r="D72" s="6" t="n"/>
      <c r="E72" s="6" t="n">
        <v>926814</v>
      </c>
      <c r="F72" s="6" t="n">
        <v>788438</v>
      </c>
      <c r="G72" s="6" t="n">
        <v>846608</v>
      </c>
      <c r="H72" s="6" t="n"/>
    </row>
    <row r="73">
      <c r="A73" s="6" t="inlineStr">
        <is>
          <t>UK 16b  Cash inflows - Total weighted value (£'000)</t>
        </is>
      </c>
      <c r="B73" s="6" t="n"/>
      <c r="C73" s="6" t="n"/>
      <c r="D73" s="6" t="n"/>
      <c r="E73" s="6" t="n">
        <v>269843</v>
      </c>
      <c r="F73" s="6" t="n">
        <v>295280</v>
      </c>
      <c r="G73" s="6" t="n">
        <v>318660</v>
      </c>
      <c r="H73" s="6" t="n"/>
    </row>
    <row r="74">
      <c r="A74" s="6" t="inlineStr">
        <is>
          <t>16  Total net cash outflows (adjusted value) (£'000)</t>
        </is>
      </c>
      <c r="B74" s="6" t="n"/>
      <c r="C74" s="6" t="n"/>
      <c r="D74" s="6" t="n"/>
      <c r="E74" s="6" t="n">
        <v>656972</v>
      </c>
      <c r="F74" s="6" t="n">
        <v>493157</v>
      </c>
      <c r="G74" s="6" t="n">
        <v>527948</v>
      </c>
      <c r="H74" s="6" t="n"/>
    </row>
    <row r="75">
      <c r="A75" s="6" t="inlineStr">
        <is>
          <t xml:space="preserve">17  Liquidity coverage ratio (%) </t>
        </is>
      </c>
      <c r="B75" s="6" t="n"/>
      <c r="C75" s="6" t="n"/>
      <c r="D75" s="6" t="n"/>
      <c r="E75" s="6" t="inlineStr">
        <is>
          <t>240.65%</t>
        </is>
      </c>
      <c r="F75" s="6" t="inlineStr">
        <is>
          <t>243.08%</t>
        </is>
      </c>
      <c r="G75" s="6" t="inlineStr">
        <is>
          <t>252.76%</t>
        </is>
      </c>
      <c r="H75" s="6" t="n"/>
    </row>
    <row r="76">
      <c r="A76" s="5" t="inlineStr">
        <is>
          <t>Net Stable Funding Ratio (FY2021 and earlier: the CRR2 NSFR rules commenced 1 January 2022 and no comparable prior figure is published)</t>
        </is>
      </c>
      <c r="B76" s="6" t="n"/>
      <c r="C76" s="6" t="n"/>
      <c r="D76" s="6" t="n"/>
      <c r="E76" s="6" t="n"/>
      <c r="F76" s="6" t="n"/>
      <c r="G76" s="6" t="n"/>
      <c r="H76" s="6" t="n"/>
    </row>
    <row r="77">
      <c r="A77" s="6" t="inlineStr">
        <is>
          <t>18  Total available stable funding (£'000)</t>
        </is>
      </c>
      <c r="B77" s="6" t="n"/>
      <c r="C77" s="6" t="n"/>
      <c r="D77" s="6" t="n"/>
      <c r="E77" s="6" t="n">
        <v>1089789</v>
      </c>
      <c r="F77" s="6" t="n"/>
      <c r="G77" s="6" t="n"/>
      <c r="H77" s="6" t="n"/>
    </row>
    <row r="78">
      <c r="A78" s="6" t="inlineStr">
        <is>
          <t>19  Total required stable funding (£'000)</t>
        </is>
      </c>
      <c r="B78" s="6" t="n"/>
      <c r="C78" s="6" t="n"/>
      <c r="D78" s="6" t="n"/>
      <c r="E78" s="6" t="n">
        <v>396700</v>
      </c>
      <c r="F78" s="6" t="n"/>
      <c r="G78" s="6" t="n"/>
      <c r="H78" s="6" t="n"/>
    </row>
    <row r="79">
      <c r="A79" s="6" t="inlineStr">
        <is>
          <t xml:space="preserve">20  NSFR ratio (%) </t>
        </is>
      </c>
      <c r="B79" s="6" t="n"/>
      <c r="C79" s="6" t="n"/>
      <c r="D79" s="6" t="n"/>
      <c r="E79" s="6" t="inlineStr">
        <is>
          <t>274.71%</t>
        </is>
      </c>
      <c r="F79" s="6" t="n"/>
      <c r="G79" s="6" t="n"/>
      <c r="H79" s="6" t="n"/>
    </row>
    <row r="81" ht="900" customHeight="1">
      <c r="A81" s="8" t="inlineStr">
        <is>
          <t>Sources - FirstBank UK Limited Pillar 3 Disclosures (UK KM1 - Key Metrics, Table 1 - Key Metrics):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KM1 key-metrics table by edition (printed folios, not PDF sheet indices): FY2024 = Pillar 3 Disclosures 31st December 2024, folio 3 ($'000). FY2023 = Pillar 3 Disclosures 31st December 2023, folio 3 ($'000). FY2022 = Pillar 3 Disclosures 31st December 2022, folio 19 (£'000). FY2021, FY2020 and FY2019 = Pillar 3 Disclosures 31st December 2021, folio 9 (£'000) - that edition prints a five-column table covering 2021, 2020, 2019, 2018 and 2017, and the three columns falling inside this workbook's year range are taken from it.
LATEST-EDITION CHECK (2026-09-17): the Bank's website carries prose referring to a disclosures archive but no link behind it anywhere on the site, and its WordPress media API returns zero items even with no search filter - the API is disabled, which is an instrument failure and NOT evidence that documents are absent. The FY2025 Annual Report was retrieved and read in full; its text layer is rich (over 450,000 characters) and contains no key-metrics table. The newest Pillar 3 edition remains FY2024.
KM1 KEY METRICS SHEET - WHAT THIS IS AND HOW IT WAS BUILT
This is the Bank's own UK KM1 key-metrics template, with the Bank's own row numbers, reproduced from each year's OWN edition rather than from a later edition's comparative column.
THE TABLE IS SPLIT INTO TWO CURRENCY BLOCKS BECAUSE THE BANK CHANGED PRESENTATION CURRENCY, and the two blocks are NOT merged into one row. FY2024 and FY2023 were published in US dollars; FY2022, FY2021, FY2020 and FY2019 were published in pounds sterling. Converting either block onto the other's currency would be a computation, not a transcription, so each block is shown in the currency its own edition printed. The amounts are therefore NOT comparable across the two blocks, and the ratios - which are currency-free - are the only rows that run continuously from FY2024 to FY2019. Note that the Bank itself restated FY2022 into dollars as the FY2023 edition's comparative; that restatement is not used here, because FY2022's own edition is the sterling one.
THE BANK'S ROW NUMBERING IS SHIFTED AGAINST THE PUBLISHED TEMPLATE, AND IS REPRODUCED AS PRINTED. In the UK KM1 template, row 1 is 'Common Equity Tier 1 (CET1) capital'. This Bank prints row 1 as 'Common Equity Tier 1 (CET1) capital: Instruments and reserves' - a larger, pre-deduction figure - and prints the actual CET1 capital figure on row 2, with no separate Tier 1 capital row at all. The CET1 Capital metric sheet in this workbook correctly carries the row-2 figure (FY2024: 363,763), so an automated cross-check that maps template row 1 to the CET1 Capital sheet will report a disagreement against this sheet's row 1 (FY2024: 382,235). That disagreement is expected and is a property of the source's numbering, not an error in either transcription. The rows are NOT renumbered to make the check pass.
ROW 12 IS LABELLED '(%)' BUT PRINTS AN AMOUNT in every edition (FY2024: 129,093; FY2022: 57,670). The mislabelling is the Bank's own and is reproduced rather than corrected; the values are amounts in the block's currency.
FY2023 LEVERAGE RATIO DIVERGES BETWEEN EDITIONS AND BOTH FIGURES ARE CORRECT AS PUBLISHED. The FY2023 edition prints a 19.75% leverage ratio on a total exposure measure of 1,567,144. The FY2024 edition restates the same year to 19.64% on an exposure measure of 1,575,739. This sheet carries the FY2023 edition's own 19.75%, because each year comes from its own edition; the Leverage Ratio metric sheet carries the later restated 19.64%. The cross-check will flag this. It is a genuine cross-edition restatement - corroborated by the exposure measure moving in the same edition - and is documented here rather than silenced by editing either figure.
ROW-SET DRIFT. Rows UK 14a-UK 14f (additional own funds requirements to address the risk of excessive leverage) appear only in the FY2021 edition, where they are printed as 0.00% for every year that edition covers. They are absent from the FY2022, FY2023 and FY2024 editions and are left blank for those years rather than carried forward as zeros.
DEFECTIVE NSFR BLOCK IN THE FY2021 EDITION. That edition's Net Stable Funding Ratio section does not print rows 18, 19 and 20 at all: it repeats the labels of rows 15, UK 16a and UK 16b with no values beneath them. The CRR2 NSFR rules commenced on 1 January 2022 and the Bank's own FY2022 edition states that prior periods are not available on a comparable basis, so FY2021 and earlier NSFR rows are blank. The duplicated labels are recorded as a source defect and are not reproduced as rows.
FY2025 CARRIES NO TEMPLATE FIGURES. No FY2025 Pillar 3 disclosure has been published, and the FY2025 Annual Report contains no key-metrics table - confirmed by reading its full text layer, not by a failed search.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 a column that is merely empty cannot be told apart, by a reader or by a census, from one nobody has examined. The Bank's own rows below it are untouched: same order, same row numbers, same labels, same precision, same two currency blocks.</t>
        </is>
      </c>
    </row>
  </sheetData>
  <mergeCells count="1">
    <mergeCell ref="A81:H8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yet – AR2025 labels only a CET1 ratio; FY2025 Pillar 3 pending</t>
        </is>
      </c>
      <c r="C4" s="6" t="inlineStr">
        <is>
          <t>26.07%</t>
        </is>
      </c>
      <c r="D4" s="6" t="inlineStr">
        <is>
          <t>25.05%</t>
        </is>
      </c>
      <c r="E4" s="6" t="inlineStr">
        <is>
          <t>22.47%</t>
        </is>
      </c>
      <c r="F4" s="6" t="inlineStr">
        <is>
          <t>17.79%</t>
        </is>
      </c>
      <c r="G4" s="6" t="inlineStr">
        <is>
          <t>20.20%</t>
        </is>
      </c>
      <c r="H4" s="6" t="inlineStr">
        <is>
          <t>19.49%</t>
        </is>
      </c>
    </row>
    <row r="5">
      <c r="A5" s="6" t="inlineStr">
        <is>
          <t>Tier 1 ratio — Annual Report 2025 memo: the ratio the Bank prints on this capital, captioned there as the CET 1 ratio (Tier 1 = CET1: no AT1 in issue)</t>
        </is>
      </c>
      <c r="B5" s="6" t="inlineStr">
        <is>
          <t>22.0%</t>
        </is>
      </c>
      <c r="C5" s="6" t="n"/>
      <c r="D5" s="6" t="n"/>
      <c r="E5" s="6" t="n"/>
      <c r="F5" s="6" t="n"/>
      <c r="G5" s="6" t="n"/>
      <c r="H5" s="6" t="n"/>
    </row>
    <row r="6" ht="60" customHeight="1">
      <c r="A6"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WHY FY2025 IS SPLIT ACROSS TWO ROWS. The Annual Report 2025 never uses the words 'Tier 1 ratio'. Its Strategic Report 'Capital and Liquidity Management' table (printed p.8) labels $413mn as 'CET 1 Capital' and prints a 'CET 1 Ratio' of 22.0% on it; note 32 'Capital management' (printed p.109) labels the SAME amount, $413,014,692, 'Tier one capital', and shows the capital stack running Tier one capital -&gt; Available tier two capital -&gt; Total available capital with no Additional Tier 1 line anywhere. On the Bank's own numbers, therefore, Tier 1 capital and CET1 capital are the same $413.0m (which is why this workbook's CET1 Capital and Tier 1 Capital sheets both carry it for FY2025), and the ratio struck on it is the same 22.0%. That identity is shown on its own labelled memo row rather than dropped into the series above it, because the series above is what the Bank labels a Tier 1 ratio - and for FY2025 it labels nothing that way. Nothing is computed here: 22.0% is the Bank's own printed figure, not capital divided by RWA.</t>
        </is>
      </c>
    </row>
    <row r="8" ht="140" customHeight="1">
      <c r="A8"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[No category RWA breakdown published for this year - see note below]</t>
        </is>
      </c>
      <c r="B4" s="6" t="inlineStr">
        <is>
          <t>Not published yet – FY2025 Pillar 3 pending; AR2025 gives a total RWA only, no OV1 split</t>
        </is>
      </c>
      <c r="C4" s="6" t="n"/>
      <c r="D4" s="6" t="n"/>
      <c r="E4" s="6" t="n"/>
      <c r="F4" s="6" t="n"/>
      <c r="G4" s="6" t="n"/>
      <c r="H4" s="6" t="n"/>
    </row>
    <row r="5">
      <c r="A5" s="5" t="inlineStr">
        <is>
          <t>UK OV1 template (FY2024-FY2021)</t>
        </is>
      </c>
      <c r="B5" s="6" t="n"/>
      <c r="C5" s="6" t="n"/>
      <c r="D5" s="6" t="n"/>
      <c r="E5" s="6" t="n"/>
      <c r="F5" s="6" t="n"/>
      <c r="G5" s="6" t="n"/>
      <c r="H5" s="6" t="n"/>
    </row>
    <row r="6">
      <c r="A6" s="6" t="inlineStr">
        <is>
          <t>Credit risk (excluding CCR)</t>
        </is>
      </c>
      <c r="B6" s="6" t="n"/>
      <c r="C6" s="6" t="n">
        <v>1196695</v>
      </c>
      <c r="D6" s="6" t="n">
        <v>1060740</v>
      </c>
      <c r="E6" s="6" t="n">
        <v>967989</v>
      </c>
      <c r="F6" s="6" t="n">
        <v>1293719</v>
      </c>
      <c r="G6" s="6" t="n"/>
      <c r="H6" s="6" t="n"/>
    </row>
    <row r="7">
      <c r="A7" s="6" t="inlineStr">
        <is>
          <t>Counterparty Credit Risk (CCR)</t>
        </is>
      </c>
      <c r="B7" s="6" t="n"/>
      <c r="C7" s="6" t="n">
        <v>4007</v>
      </c>
      <c r="D7" s="6" t="n">
        <v>8023</v>
      </c>
      <c r="E7" s="6" t="n">
        <v>23857</v>
      </c>
      <c r="F7" s="6" t="n">
        <v>11788</v>
      </c>
      <c r="G7" s="6" t="n"/>
      <c r="H7" s="6" t="n"/>
    </row>
    <row r="8">
      <c r="A8" s="6" t="inlineStr">
        <is>
          <t>Of which CVA</t>
        </is>
      </c>
      <c r="B8" s="6" t="n"/>
      <c r="C8" s="6" t="n">
        <v>611</v>
      </c>
      <c r="D8" s="6" t="n">
        <v>922</v>
      </c>
      <c r="E8" s="6" t="n">
        <v>5202</v>
      </c>
      <c r="F8" s="6" t="n">
        <v>1774</v>
      </c>
      <c r="G8" s="6" t="n"/>
      <c r="H8" s="6" t="n"/>
    </row>
    <row r="9">
      <c r="A9" s="6" t="inlineStr">
        <is>
          <t>Settlement risk</t>
        </is>
      </c>
      <c r="B9" s="6" t="n"/>
      <c r="C9" s="6" t="n">
        <v>30</v>
      </c>
      <c r="D9" s="6" t="n">
        <v>2</v>
      </c>
      <c r="E9" s="6" t="n">
        <v>55</v>
      </c>
      <c r="F9" s="6" t="n">
        <v>14</v>
      </c>
      <c r="G9" s="6" t="n"/>
      <c r="H9" s="6" t="n"/>
    </row>
    <row r="10">
      <c r="A10" s="6" t="inlineStr">
        <is>
          <t>Market risk</t>
        </is>
      </c>
      <c r="B10" s="6" t="n"/>
      <c r="C10" s="6" t="n">
        <v>4235</v>
      </c>
      <c r="D10" s="6" t="n">
        <v>9945</v>
      </c>
      <c r="E10" s="6" t="n">
        <v>98823</v>
      </c>
      <c r="F10" s="6" t="n">
        <v>80096</v>
      </c>
      <c r="G10" s="6" t="n"/>
      <c r="H10" s="6" t="n"/>
    </row>
    <row r="11">
      <c r="A11" s="6" t="inlineStr">
        <is>
          <t>Operational risk</t>
        </is>
      </c>
      <c r="B11" s="6" t="n"/>
      <c r="C11" s="6" t="n">
        <v>190020</v>
      </c>
      <c r="D11" s="6" t="n">
        <v>155846</v>
      </c>
      <c r="E11" s="6" t="n">
        <v>134759</v>
      </c>
      <c r="F11" s="6" t="n">
        <v>149967</v>
      </c>
      <c r="G11" s="6" t="n"/>
      <c r="H11" s="6" t="n"/>
    </row>
    <row r="12">
      <c r="A12" s="5" t="inlineStr">
        <is>
          <t>Total RWAs</t>
        </is>
      </c>
      <c r="B12" s="5" t="n"/>
      <c r="C12" s="5" t="n">
        <v>1395598</v>
      </c>
      <c r="D12" s="5" t="n">
        <v>1235478</v>
      </c>
      <c r="E12" s="5" t="n">
        <v>1230686</v>
      </c>
      <c r="F12" s="5" t="n">
        <v>1537358</v>
      </c>
      <c r="G12" s="5" t="n"/>
      <c r="H12" s="5" t="n"/>
    </row>
    <row r="13">
      <c r="A13" s="5" t="inlineStr">
        <is>
          <t>Table 11 EU OV1 (FY2020)</t>
        </is>
      </c>
      <c r="B13" s="6" t="n"/>
      <c r="C13" s="6" t="n"/>
      <c r="D13" s="6" t="n"/>
      <c r="E13" s="6" t="n"/>
      <c r="F13" s="6" t="n"/>
      <c r="G13" s="6" t="n"/>
      <c r="H13" s="6" t="n"/>
    </row>
    <row r="14">
      <c r="A14" s="6" t="inlineStr">
        <is>
          <t>Credit risk (excluding CCR)</t>
        </is>
      </c>
      <c r="B14" s="6" t="n"/>
      <c r="C14" s="6" t="n"/>
      <c r="D14" s="6" t="n"/>
      <c r="E14" s="6" t="n"/>
      <c r="F14" s="6" t="n"/>
      <c r="G14" s="6" t="n">
        <v>1042450</v>
      </c>
      <c r="H14" s="6" t="n"/>
    </row>
    <row r="15">
      <c r="A15" s="6" t="inlineStr">
        <is>
          <t>Counterparty Credit Risk (CCR)</t>
        </is>
      </c>
      <c r="B15" s="6" t="n"/>
      <c r="C15" s="6" t="n"/>
      <c r="D15" s="6" t="n"/>
      <c r="E15" s="6" t="n"/>
      <c r="F15" s="6" t="n"/>
      <c r="G15" s="6" t="n">
        <v>13681</v>
      </c>
      <c r="H15" s="6" t="n"/>
    </row>
    <row r="16">
      <c r="A16" s="6" t="inlineStr">
        <is>
          <t>Of which CVA</t>
        </is>
      </c>
      <c r="B16" s="6" t="n"/>
      <c r="C16" s="6" t="n"/>
      <c r="D16" s="6" t="n"/>
      <c r="E16" s="6" t="n"/>
      <c r="F16" s="6" t="n"/>
      <c r="G16" s="6" t="n">
        <v>1921</v>
      </c>
      <c r="H16" s="6" t="n"/>
    </row>
    <row r="17">
      <c r="A17" s="6" t="inlineStr">
        <is>
          <t>Settlement risk</t>
        </is>
      </c>
      <c r="B17" s="6" t="n"/>
      <c r="C17" s="6" t="n"/>
      <c r="D17" s="6" t="n"/>
      <c r="E17" s="6" t="n"/>
      <c r="F17" s="6" t="n"/>
      <c r="G17" s="6" t="n">
        <v>0</v>
      </c>
      <c r="H17" s="6" t="n"/>
    </row>
    <row r="18">
      <c r="A18" s="6" t="inlineStr">
        <is>
          <t>Market risk</t>
        </is>
      </c>
      <c r="B18" s="6" t="n"/>
      <c r="C18" s="6" t="n"/>
      <c r="D18" s="6" t="n"/>
      <c r="E18" s="6" t="n"/>
      <c r="F18" s="6" t="n"/>
      <c r="G18" s="6" t="n">
        <v>18446</v>
      </c>
      <c r="H18" s="6" t="n"/>
    </row>
    <row r="19">
      <c r="A19" s="6" t="inlineStr">
        <is>
          <t>Operational risk</t>
        </is>
      </c>
      <c r="B19" s="6" t="n"/>
      <c r="C19" s="6" t="n"/>
      <c r="D19" s="6" t="n"/>
      <c r="E19" s="6" t="n"/>
      <c r="F19" s="6" t="n"/>
      <c r="G19" s="6" t="n">
        <v>151513</v>
      </c>
      <c r="H19" s="6" t="n"/>
    </row>
    <row r="20">
      <c r="A20" s="5" t="inlineStr">
        <is>
          <t>Total RWAs</t>
        </is>
      </c>
      <c r="B20" s="5" t="n"/>
      <c r="C20" s="5" t="n"/>
      <c r="D20" s="5" t="n"/>
      <c r="E20" s="5" t="n"/>
      <c r="F20" s="5" t="n"/>
      <c r="G20" s="5" t="n">
        <v>1228011</v>
      </c>
      <c r="H20" s="5" t="n"/>
    </row>
    <row r="21">
      <c r="A21" s="5" t="inlineStr">
        <is>
          <t>Table 1 Analysis of Pillar 1 Capital Requirement (FY2019, pre-OV1 template)</t>
        </is>
      </c>
      <c r="B21" s="6" t="n"/>
      <c r="C21" s="6" t="n"/>
      <c r="D21" s="6" t="n"/>
      <c r="E21" s="6" t="n"/>
      <c r="F21" s="6" t="n"/>
      <c r="G21" s="6" t="n"/>
      <c r="H21" s="6" t="n"/>
    </row>
    <row r="22">
      <c r="A22" s="6" t="inlineStr">
        <is>
          <t>Credit risk (including CCR)</t>
        </is>
      </c>
      <c r="B22" s="6" t="n"/>
      <c r="C22" s="6" t="n"/>
      <c r="D22" s="6" t="n"/>
      <c r="E22" s="6" t="n"/>
      <c r="F22" s="6" t="n"/>
      <c r="G22" s="6" t="n"/>
      <c r="H22" s="6" t="n">
        <v>1011400</v>
      </c>
    </row>
    <row r="23">
      <c r="A23" s="6" t="inlineStr">
        <is>
          <t>Settlement risk</t>
        </is>
      </c>
      <c r="B23" s="6" t="n"/>
      <c r="C23" s="6" t="n"/>
      <c r="D23" s="6" t="n"/>
      <c r="E23" s="6" t="n"/>
      <c r="F23" s="6" t="n"/>
      <c r="G23" s="6" t="n"/>
      <c r="H23" s="6" t="n">
        <v>8</v>
      </c>
    </row>
    <row r="24">
      <c r="A24" s="6" t="inlineStr">
        <is>
          <t>Market risk</t>
        </is>
      </c>
      <c r="B24" s="6" t="n"/>
      <c r="C24" s="6" t="n"/>
      <c r="D24" s="6" t="n"/>
      <c r="E24" s="6" t="n"/>
      <c r="F24" s="6" t="n"/>
      <c r="G24" s="6" t="n"/>
      <c r="H24" s="6" t="n">
        <v>14534</v>
      </c>
    </row>
    <row r="25">
      <c r="A25" s="6" t="inlineStr">
        <is>
          <t>Operational risk</t>
        </is>
      </c>
      <c r="B25" s="6" t="n"/>
      <c r="C25" s="6" t="n"/>
      <c r="D25" s="6" t="n"/>
      <c r="E25" s="6" t="n"/>
      <c r="F25" s="6" t="n"/>
      <c r="G25" s="6" t="n"/>
      <c r="H25" s="6" t="n">
        <v>142881</v>
      </c>
    </row>
    <row r="26">
      <c r="A26" s="6" t="inlineStr">
        <is>
          <t>Of which CVA</t>
        </is>
      </c>
      <c r="B26" s="6" t="n"/>
      <c r="C26" s="6" t="n"/>
      <c r="D26" s="6" t="n"/>
      <c r="E26" s="6" t="n"/>
      <c r="F26" s="6" t="n"/>
      <c r="G26" s="6" t="n"/>
      <c r="H26" s="6" t="n">
        <v>592</v>
      </c>
    </row>
    <row r="27">
      <c r="A27" s="5" t="inlineStr">
        <is>
          <t>Total RWAs</t>
        </is>
      </c>
      <c r="B27" s="5" t="n"/>
      <c r="C27" s="5" t="n"/>
      <c r="D27" s="5" t="n"/>
      <c r="E27" s="5" t="n"/>
      <c r="F27" s="5" t="n"/>
      <c r="G27" s="5" t="n"/>
      <c r="H27" s="5" t="n">
        <v>1169415</v>
      </c>
    </row>
    <row r="29" ht="340" customHeight="1">
      <c r="A29"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9:H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yet – FY2025 Pillar 3 pending; AR2025 says it "will be published ... after the approval of these Financial Statements"</t>
        </is>
      </c>
      <c r="C4" s="6" t="inlineStr">
        <is>
          <t>14.12%</t>
        </is>
      </c>
      <c r="D4" s="6" t="inlineStr">
        <is>
          <t>19.64%</t>
        </is>
      </c>
      <c r="E4" s="6" t="inlineStr">
        <is>
          <t>9.84%</t>
        </is>
      </c>
      <c r="F4" s="6" t="inlineStr">
        <is>
          <t>6.83%</t>
        </is>
      </c>
      <c r="G4" s="6" t="inlineStr">
        <is>
          <t>6.75%</t>
        </is>
      </c>
      <c r="H4" s="6" t="inlineStr">
        <is>
          <t>4.98%</t>
        </is>
      </c>
    </row>
    <row r="5" ht="60" customHeight="1">
      <c r="A5"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FY2025 Annual Report names the leverage ratio only as a metric the Bank monitors ('Leverage Ratio: Measures the Bank's core capital ...' in the risk-management section); it prints no value for it in any year column, and none is derived here from the capital and exposure figures elsewhere in the report.</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trailing average)</t>
        </is>
      </c>
      <c r="B4" s="6" t="inlineStr">
        <is>
          <t>Not published yet – FY2025 Pillar 3 pending; AR2025's "Liquidity Capital Ratio (Pillar 1)" is a different measure, not the LCR</t>
        </is>
      </c>
      <c r="C4" s="6" t="inlineStr">
        <is>
          <t>409.09%</t>
        </is>
      </c>
      <c r="D4" s="6" t="inlineStr">
        <is>
          <t>383.17%</t>
        </is>
      </c>
      <c r="E4" s="6" t="inlineStr">
        <is>
          <t>240.65%</t>
        </is>
      </c>
      <c r="F4" s="6" t="inlineStr">
        <is>
          <t>243.08%</t>
        </is>
      </c>
      <c r="G4" s="6" t="inlineStr">
        <is>
          <t>252.76%</t>
        </is>
      </c>
    </row>
    <row r="5" ht="60" customHeight="1">
      <c r="A5"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ANNUAL REPORT'S 282% IS NOT AN LCR AND HAS NOT BEEN USED AS ONE. The FY2025 Strategic Report's 'Capital and Liquidity Management' table (printed p.8) prints a line called 'Liquidity Capital Ratio (Pillar 1)' of 282% (2024: 278%). That is a different measure on a different basis: this workbook's FY2024 LCR, taken from the Bank's own FY2024 Pillar 3 KM1, is 409.09% for the very same year, so the two cannot be the same ratio. The report's narrative separately says only that 'the liquidity coverage ratio [provided] ample buffer above the 100% regulatory minimum' - a qualitative statement with no figure attached.</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yet – FY2025 Pillar 3 pending; AR2025 says it "will be published ... after the approval of these Financial Statements"</t>
        </is>
      </c>
      <c r="C4" s="6" t="inlineStr">
        <is>
          <t>213%</t>
        </is>
      </c>
      <c r="D4" s="6" t="inlineStr">
        <is>
          <t>286.37%</t>
        </is>
      </c>
      <c r="E4" s="6" t="inlineStr">
        <is>
          <t>274.71%</t>
        </is>
      </c>
    </row>
    <row r="5" ht="60" customHeight="1">
      <c r="A5" s="7" t="inlineStr">
        <is>
          <t>Note: FY2021 not disclosed: the CRR2 NSFR rules commenced 1 January 2022 and the Bank's own Pillar 3 Disclosures (Dec 2022) state prior-period NSFR data is 'not available on an equivalent basis'.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FY2025 Annual Report names the NSFR only as a metric the Bank monitors ('Net Stable Funding Ratio (NSFR): Measures the ...' in the liquidity-risk section, and again in a list of limits it adheres to). It prints no NSFR value in any year column.</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published yet – FY2025 Pillar 3 pending (AR2025: 'will be published' after approval of the Financial Statements); AR2025 itself has no MREL figure.</t>
        </is>
      </c>
      <c r="C4" s="6" t="inlineStr">
        <is>
          <t>Not published – FirstBank UK Pillar 3 FY2024 (text search, 2026-09-19) has no MREL figure or mention.</t>
        </is>
      </c>
      <c r="D4" s="6" t="inlineStr">
        <is>
          <t>Not published – FirstBank UK Pillar 3 FY2023 (text search, 2026-09-19) has no MREL figure or mention.</t>
        </is>
      </c>
      <c r="E4" s="6" t="inlineStr">
        <is>
          <t>Not applicable – FirstBank UK Pillar 3 FY2022, MREL paragraph: Bank of England set MREL 'equal to the capital requirements (comprising Pillar 1 and Pillar 2A)'; no separate ratio.</t>
        </is>
      </c>
      <c r="F4" s="6" t="inlineStr">
        <is>
          <t>Not applicable – FirstBank UK Pillar 3 FY2021, MREL paragraph: Bank of England set MREL 'equal to the capital requirements (comprising Pillar 1 and Pillar 2A)'; no separate ratio.</t>
        </is>
      </c>
      <c r="G4" s="6" t="inlineStr">
        <is>
          <t>Not applicable – FirstBank UK Pillar 3 FY2020, MREL paragraph: Bank of England set MREL 'equal to the capital requirements (comprising Pillar 1 and Pillar 2A)'; no separate ratio.</t>
        </is>
      </c>
      <c r="H4" s="6" t="inlineStr">
        <is>
          <t>Not published – FirstBank UK Pillar 3 FY2019 (text search, 2026-09-19) has no MREL figure or mention.</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2026-10-08T11:29:18Z</dcterms:created>
  <dcterms:modified xmlns:dcterms="http://purl.org/dc/terms/" xmlns:xsi="http://www.w3.org/2001/XMLSchema-instance" xsi:type="dcterms:W3CDTF">2026-10-08T11:29:18Z</dcterms:modified>
</cp:coreProperties>
</file>