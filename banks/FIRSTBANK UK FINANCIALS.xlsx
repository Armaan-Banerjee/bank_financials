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6" t="inlineStr">
        <is>
          <t>Profit for the year before taxation</t>
        </is>
      </c>
      <c r="B4" s="6" t="n">
        <v>54184</v>
      </c>
      <c r="C4" s="6" t="n">
        <v>61068</v>
      </c>
      <c r="D4" s="6" t="n">
        <v>47553</v>
      </c>
      <c r="E4" s="6" t="n">
        <v>47584</v>
      </c>
      <c r="F4" s="6" t="n">
        <v>39555</v>
      </c>
      <c r="G4" s="6" t="n"/>
      <c r="H4" s="6" t="n"/>
    </row>
    <row r="5">
      <c r="A5" s="5" t="inlineStr">
        <is>
          <t>Adjustment to reconcile profit to cash flow from operating activities</t>
        </is>
      </c>
      <c r="B5" s="6" t="n"/>
      <c r="C5" s="6" t="n"/>
      <c r="D5" s="6" t="n"/>
      <c r="E5" s="6" t="n"/>
      <c r="F5" s="6" t="n"/>
      <c r="G5" s="6" t="n"/>
      <c r="H5" s="6" t="n"/>
    </row>
    <row r="6">
      <c r="A6" s="6" t="inlineStr">
        <is>
          <t>Depreciation of property and equipment</t>
        </is>
      </c>
      <c r="B6" s="6" t="n">
        <v>1235</v>
      </c>
      <c r="C6" s="6" t="n">
        <v>1305</v>
      </c>
      <c r="D6" s="6" t="n">
        <v>1553</v>
      </c>
      <c r="E6" s="6" t="n">
        <v>1577</v>
      </c>
      <c r="F6" s="6" t="n">
        <v>1869</v>
      </c>
      <c r="G6" s="6" t="n"/>
      <c r="H6" s="6" t="n"/>
    </row>
    <row r="7">
      <c r="A7" s="6" t="inlineStr">
        <is>
          <t>Amortisation of intangible assets</t>
        </is>
      </c>
      <c r="B7" s="6" t="n">
        <v>209</v>
      </c>
      <c r="C7" s="6" t="n">
        <v>710</v>
      </c>
      <c r="D7" s="6" t="n">
        <v>835</v>
      </c>
      <c r="E7" s="6" t="n">
        <v>1060</v>
      </c>
      <c r="F7" s="6" t="n">
        <v>1214</v>
      </c>
      <c r="G7" s="6" t="n"/>
      <c r="H7" s="6" t="n"/>
    </row>
    <row r="8">
      <c r="A8" s="6" t="inlineStr">
        <is>
          <t>Interest expenses on subordinated liability</t>
        </is>
      </c>
      <c r="B8" s="6" t="n">
        <v>5475</v>
      </c>
      <c r="C8" s="6" t="n">
        <v>5490</v>
      </c>
      <c r="D8" s="6" t="n">
        <v>5475</v>
      </c>
      <c r="E8" s="6" t="n">
        <v>11863</v>
      </c>
      <c r="F8" s="6" t="n">
        <v>5641</v>
      </c>
      <c r="G8" s="6" t="n"/>
      <c r="H8" s="6" t="n"/>
    </row>
    <row r="9">
      <c r="A9" s="6" t="inlineStr">
        <is>
          <t>Net gains/(loss) from sale of investment securities</t>
        </is>
      </c>
      <c r="B9" s="6" t="n">
        <v>354</v>
      </c>
      <c r="C9" s="6" t="n">
        <v>-242</v>
      </c>
      <c r="D9" s="6" t="n">
        <v>747</v>
      </c>
      <c r="E9" s="6" t="n">
        <v>2509</v>
      </c>
      <c r="F9" s="6" t="n">
        <v>-407</v>
      </c>
      <c r="G9" s="6" t="n"/>
      <c r="H9" s="6" t="n"/>
    </row>
    <row r="10">
      <c r="A10" s="6" t="inlineStr">
        <is>
          <t>Net gains on sale of financial assets at FVTPL</t>
        </is>
      </c>
      <c r="B10" s="6" t="n">
        <v>-103</v>
      </c>
      <c r="C10" s="6" t="n">
        <v>-29</v>
      </c>
      <c r="D10" s="6" t="n"/>
      <c r="E10" s="6" t="n"/>
      <c r="F10" s="6" t="n"/>
      <c r="G10" s="6" t="n"/>
      <c r="H10" s="6" t="n"/>
    </row>
    <row r="11">
      <c r="A11" s="6" t="inlineStr">
        <is>
          <t>Foreign currency revaluation (gains)/losses</t>
        </is>
      </c>
      <c r="B11" s="6" t="n">
        <v>-6402</v>
      </c>
      <c r="C11" s="6" t="n">
        <v>3201</v>
      </c>
      <c r="D11" s="6" t="n">
        <v>5820</v>
      </c>
      <c r="E11" s="6" t="n">
        <v>3830</v>
      </c>
      <c r="F11" s="6" t="n">
        <v>1828</v>
      </c>
      <c r="G11" s="6" t="n"/>
      <c r="H11" s="6" t="n"/>
    </row>
    <row r="12">
      <c r="A12" s="6" t="inlineStr">
        <is>
          <t>Credit impairment losses/(gains)</t>
        </is>
      </c>
      <c r="B12" s="6" t="n">
        <v>5280</v>
      </c>
      <c r="C12" s="6" t="n">
        <v>1786</v>
      </c>
      <c r="D12" s="6" t="n">
        <v>10653</v>
      </c>
      <c r="E12" s="6" t="n">
        <v>1145</v>
      </c>
      <c r="F12" s="6" t="n">
        <v>-1356</v>
      </c>
      <c r="G12" s="6" t="n"/>
      <c r="H12" s="6" t="n"/>
    </row>
    <row r="13">
      <c r="A13" s="5" t="inlineStr">
        <is>
          <t>Operating cash flow before changes in operating assets/liabilities</t>
        </is>
      </c>
      <c r="B13" s="5" t="n">
        <v>60231</v>
      </c>
      <c r="C13" s="5" t="n">
        <v>73291</v>
      </c>
      <c r="D13" s="5" t="n">
        <v>72636</v>
      </c>
      <c r="E13" s="5" t="n">
        <v>69569</v>
      </c>
      <c r="F13" s="5" t="n">
        <v>48344</v>
      </c>
      <c r="G13" s="5" t="n"/>
      <c r="H13" s="5" t="n"/>
    </row>
    <row r="14">
      <c r="A14" s="5" t="inlineStr">
        <is>
          <t>Net (increase)/decrease in assets relating to operating activities</t>
        </is>
      </c>
      <c r="B14" s="6" t="n"/>
      <c r="C14" s="6" t="n"/>
      <c r="D14" s="6" t="n"/>
      <c r="E14" s="6" t="n"/>
      <c r="F14" s="6" t="n"/>
      <c r="G14" s="6" t="n"/>
      <c r="H14" s="6" t="n"/>
    </row>
    <row r="15">
      <c r="A15" s="6" t="inlineStr">
        <is>
          <t>Loans and advances to banks</t>
        </is>
      </c>
      <c r="B15" s="6" t="n">
        <v>66031</v>
      </c>
      <c r="C15" s="6" t="n">
        <v>36161</v>
      </c>
      <c r="D15" s="6" t="n">
        <v>22101</v>
      </c>
      <c r="E15" s="6" t="n">
        <v>-76514</v>
      </c>
      <c r="F15" s="6" t="n">
        <v>-253447</v>
      </c>
      <c r="G15" s="6" t="n"/>
      <c r="H15" s="6" t="n"/>
    </row>
    <row r="16">
      <c r="A16" s="6" t="inlineStr">
        <is>
          <t>Loans and advances to customers</t>
        </is>
      </c>
      <c r="B16" s="6" t="n">
        <v>-342955</v>
      </c>
      <c r="C16" s="6" t="n">
        <v>-74019</v>
      </c>
      <c r="D16" s="6" t="n">
        <v>-139867</v>
      </c>
      <c r="E16" s="6" t="n">
        <v>105948</v>
      </c>
      <c r="F16" s="6" t="n">
        <v>64374</v>
      </c>
      <c r="G16" s="6" t="n"/>
      <c r="H16" s="6" t="n"/>
    </row>
    <row r="17">
      <c r="A17" s="6" t="inlineStr">
        <is>
          <t>Financial assets held at fair value through profit or loss</t>
        </is>
      </c>
      <c r="B17" s="6" t="n">
        <v>-453774</v>
      </c>
      <c r="C17" s="6" t="n">
        <v>3250</v>
      </c>
      <c r="D17" s="6" t="n">
        <v>-5643</v>
      </c>
      <c r="E17" s="6" t="n">
        <v>-12895</v>
      </c>
      <c r="F17" s="6" t="n">
        <v>15583</v>
      </c>
      <c r="G17" s="6" t="n"/>
      <c r="H17" s="6" t="n"/>
    </row>
    <row r="18">
      <c r="A18" s="6" t="inlineStr">
        <is>
          <t>Other assets</t>
        </is>
      </c>
      <c r="B18" s="6" t="n">
        <v>-1391</v>
      </c>
      <c r="C18" s="6" t="n">
        <v>-30</v>
      </c>
      <c r="D18" s="6" t="n">
        <v>-851</v>
      </c>
      <c r="E18" s="6" t="n">
        <v>-159</v>
      </c>
      <c r="F18" s="6" t="n">
        <v>-342</v>
      </c>
      <c r="G18" s="6" t="n"/>
      <c r="H18" s="6" t="n"/>
    </row>
    <row r="19">
      <c r="A19" s="5" t="inlineStr">
        <is>
          <t>Net (increase)/decrease in assets relating to operating activities</t>
        </is>
      </c>
      <c r="B19" s="5" t="n">
        <v>-732089</v>
      </c>
      <c r="C19" s="5" t="n">
        <v>-34638</v>
      </c>
      <c r="D19" s="5" t="n">
        <v>-124260</v>
      </c>
      <c r="E19" s="5" t="n">
        <v>16380</v>
      </c>
      <c r="F19" s="5" t="n">
        <v>-173832</v>
      </c>
      <c r="G19" s="5" t="n"/>
      <c r="H19" s="5" t="n"/>
    </row>
    <row r="20">
      <c r="A20" s="5" t="inlineStr">
        <is>
          <t>Net (decrease)/increase in liabilities relating to operating activities</t>
        </is>
      </c>
      <c r="B20" s="6" t="n"/>
      <c r="C20" s="6" t="n"/>
      <c r="D20" s="6" t="n"/>
      <c r="E20" s="6" t="n"/>
      <c r="F20" s="6" t="n"/>
      <c r="G20" s="6" t="n"/>
      <c r="H20" s="6" t="n"/>
    </row>
    <row r="21">
      <c r="A21" s="6" t="inlineStr">
        <is>
          <t>Deposits from banks</t>
        </is>
      </c>
      <c r="B21" s="6" t="n">
        <v>-729803</v>
      </c>
      <c r="C21" s="6" t="n">
        <v>804463</v>
      </c>
      <c r="D21" s="6" t="n">
        <v>-1050768</v>
      </c>
      <c r="E21" s="6" t="n">
        <v>101289</v>
      </c>
      <c r="F21" s="6" t="n">
        <v>226547</v>
      </c>
      <c r="G21" s="6" t="n"/>
      <c r="H21" s="6" t="n"/>
    </row>
    <row r="22">
      <c r="A22" s="6" t="inlineStr">
        <is>
          <t>Deposits from customers</t>
        </is>
      </c>
      <c r="B22" s="6" t="n">
        <v>612657</v>
      </c>
      <c r="C22" s="6" t="n">
        <v>-189309</v>
      </c>
      <c r="D22" s="6" t="n">
        <v>41248</v>
      </c>
      <c r="E22" s="6" t="n">
        <v>288002</v>
      </c>
      <c r="F22" s="6" t="n">
        <v>-17623</v>
      </c>
      <c r="G22" s="6" t="n"/>
      <c r="H22" s="6" t="n"/>
    </row>
    <row r="23">
      <c r="A23" s="6" t="inlineStr">
        <is>
          <t>Other liabilities</t>
        </is>
      </c>
      <c r="B23" s="6" t="n">
        <v>-11466</v>
      </c>
      <c r="C23" s="6" t="n">
        <v>66946</v>
      </c>
      <c r="D23" s="6" t="n">
        <v>-41705</v>
      </c>
      <c r="E23" s="6" t="n">
        <v>-91730</v>
      </c>
      <c r="F23" s="6" t="n">
        <v>42690</v>
      </c>
      <c r="G23" s="6" t="n"/>
      <c r="H23" s="6" t="n"/>
    </row>
    <row r="24">
      <c r="A24" s="6" t="inlineStr">
        <is>
          <t>Financial liabilities at fair value through profit or loss</t>
        </is>
      </c>
      <c r="B24" s="6" t="n">
        <v>3775</v>
      </c>
      <c r="C24" s="6" t="n">
        <v>-17087</v>
      </c>
      <c r="D24" s="6" t="n">
        <v>-17048</v>
      </c>
      <c r="E24" s="6" t="n">
        <v>6824</v>
      </c>
      <c r="F24" s="6" t="n">
        <v>17705</v>
      </c>
      <c r="G24" s="6" t="n"/>
      <c r="H24" s="6" t="n"/>
    </row>
    <row r="25">
      <c r="A25" s="6" t="inlineStr">
        <is>
          <t>Income taxes paid</t>
        </is>
      </c>
      <c r="B25" s="6" t="n">
        <v>-6545</v>
      </c>
      <c r="C25" s="6" t="n">
        <v>-8679</v>
      </c>
      <c r="D25" s="6" t="n">
        <v>-5819</v>
      </c>
      <c r="E25" s="6" t="n">
        <v>-2568</v>
      </c>
      <c r="F25" s="6" t="n">
        <v>-2032</v>
      </c>
      <c r="G25" s="6" t="n"/>
      <c r="H25" s="6" t="n"/>
    </row>
    <row r="26">
      <c r="A26" s="5" t="inlineStr">
        <is>
          <t>Net (decrease)/increase in liabilities relating to operating activities</t>
        </is>
      </c>
      <c r="B26" s="5" t="n">
        <v>-131383</v>
      </c>
      <c r="C26" s="5" t="n">
        <v>656333</v>
      </c>
      <c r="D26" s="5" t="n">
        <v>-1074092</v>
      </c>
      <c r="E26" s="5" t="n">
        <v>301817</v>
      </c>
      <c r="F26" s="5" t="n">
        <v>267286</v>
      </c>
      <c r="G26" s="5" t="n"/>
      <c r="H26" s="5" t="n"/>
    </row>
    <row r="27">
      <c r="A27" s="5" t="inlineStr">
        <is>
          <t>Net cashflow from/(used in) operating activities</t>
        </is>
      </c>
      <c r="B27" s="5" t="n">
        <v>-803241</v>
      </c>
      <c r="C27" s="5" t="n">
        <v>694986</v>
      </c>
      <c r="D27" s="5" t="n"/>
      <c r="E27" s="5" t="n"/>
      <c r="F27" s="5" t="n"/>
      <c r="G27" s="5" t="n"/>
      <c r="H27" s="5" t="n"/>
    </row>
    <row r="28">
      <c r="A28" s="5" t="inlineStr">
        <is>
          <t>Cash flows from/(used in) investing activities</t>
        </is>
      </c>
      <c r="B28" s="6" t="n"/>
      <c r="C28" s="6" t="n"/>
      <c r="D28" s="6" t="n"/>
      <c r="E28" s="6" t="n"/>
      <c r="F28" s="6" t="n"/>
      <c r="G28" s="6" t="n"/>
      <c r="H28" s="6" t="n"/>
    </row>
    <row r="29">
      <c r="A29" s="6" t="inlineStr">
        <is>
          <t>Acquisition of property, plant and equipment</t>
        </is>
      </c>
      <c r="B29" s="6" t="n">
        <v>-53</v>
      </c>
      <c r="C29" s="6" t="n">
        <v>-124</v>
      </c>
      <c r="D29" s="6" t="n">
        <v>-186</v>
      </c>
      <c r="E29" s="6" t="n">
        <v>-87</v>
      </c>
      <c r="F29" s="6" t="n">
        <v>-148</v>
      </c>
      <c r="G29" s="6" t="n"/>
      <c r="H29" s="6" t="n"/>
    </row>
    <row r="30">
      <c r="A30" s="6" t="inlineStr">
        <is>
          <t>Acquisition of intangible assets</t>
        </is>
      </c>
      <c r="B30" s="6" t="n">
        <v>-25</v>
      </c>
      <c r="C30" s="6" t="n">
        <v>-6</v>
      </c>
      <c r="D30" s="6" t="n">
        <v>-175</v>
      </c>
      <c r="E30" s="6" t="n">
        <v>-379</v>
      </c>
      <c r="F30" s="6" t="n">
        <v>-214</v>
      </c>
      <c r="G30" s="6" t="n"/>
      <c r="H30" s="6" t="n"/>
    </row>
    <row r="31">
      <c r="A31" s="6" t="inlineStr">
        <is>
          <t>Proceeds from sale/maturity of investment securities</t>
        </is>
      </c>
      <c r="B31" s="6" t="n">
        <v>2625721</v>
      </c>
      <c r="C31" s="6" t="n">
        <v>2958773</v>
      </c>
      <c r="D31" s="6" t="n"/>
      <c r="E31" s="6" t="n"/>
      <c r="F31" s="6" t="n"/>
      <c r="G31" s="6" t="n"/>
      <c r="H31" s="6" t="n"/>
    </row>
    <row r="32">
      <c r="A32" s="6" t="inlineStr">
        <is>
          <t>Purchase of investment securities</t>
        </is>
      </c>
      <c r="B32" s="6" t="n">
        <v>-1744047</v>
      </c>
      <c r="C32" s="6" t="n">
        <v>-3780169</v>
      </c>
      <c r="D32" s="6" t="n"/>
      <c r="E32" s="6" t="n"/>
      <c r="F32" s="6" t="n"/>
      <c r="G32" s="6" t="n"/>
      <c r="H32" s="6" t="n"/>
    </row>
    <row r="33">
      <c r="A33" s="6" t="inlineStr">
        <is>
          <t>Proceeds from/(purchase of) financial investments at amortised cost</t>
        </is>
      </c>
      <c r="B33" s="6" t="n"/>
      <c r="C33" s="6" t="n"/>
      <c r="D33" s="6" t="n">
        <v>1105995</v>
      </c>
      <c r="E33" s="6" t="n">
        <v>-131164</v>
      </c>
      <c r="F33" s="6" t="n">
        <v>-388494</v>
      </c>
      <c r="G33" s="6" t="n"/>
      <c r="H33" s="6" t="n"/>
    </row>
    <row r="34">
      <c r="A34" s="6" t="inlineStr">
        <is>
          <t>Proceeds from sale of property and equipment</t>
        </is>
      </c>
      <c r="B34" s="6" t="n"/>
      <c r="C34" s="6" t="n"/>
      <c r="D34" s="6" t="n">
        <v>3</v>
      </c>
      <c r="E34" s="6" t="n"/>
      <c r="F34" s="6" t="n"/>
      <c r="G34" s="6" t="n"/>
      <c r="H34" s="6" t="n"/>
    </row>
    <row r="35">
      <c r="A35" s="5" t="inlineStr">
        <is>
          <t>Net cash from/(used in) investing activities</t>
        </is>
      </c>
      <c r="B35" s="5" t="n">
        <v>881596</v>
      </c>
      <c r="C35" s="5" t="n">
        <v>-821525</v>
      </c>
      <c r="D35" s="5" t="n">
        <v>1105637</v>
      </c>
      <c r="E35" s="5" t="n">
        <v>-131630</v>
      </c>
      <c r="F35" s="5" t="n">
        <v>-388856</v>
      </c>
      <c r="G35" s="5" t="n"/>
      <c r="H35" s="5" t="n"/>
    </row>
    <row r="36">
      <c r="A36" s="5" t="inlineStr">
        <is>
          <t>Cash flows used in financing activities</t>
        </is>
      </c>
      <c r="B36" s="6" t="n"/>
      <c r="C36" s="6" t="n"/>
      <c r="D36" s="6" t="n"/>
      <c r="E36" s="6" t="n"/>
      <c r="F36" s="6" t="n"/>
      <c r="G36" s="6" t="n"/>
      <c r="H36" s="6" t="n"/>
    </row>
    <row r="37">
      <c r="A37" s="6" t="inlineStr">
        <is>
          <t>Interest paid on subordinated liability</t>
        </is>
      </c>
      <c r="B37" s="6" t="n">
        <v>-5460</v>
      </c>
      <c r="C37" s="6" t="n">
        <v>-5505</v>
      </c>
      <c r="D37" s="6" t="n">
        <v>-5475</v>
      </c>
      <c r="E37" s="6" t="n">
        <v>-5460</v>
      </c>
      <c r="F37" s="6" t="n">
        <v>-4810</v>
      </c>
      <c r="G37" s="6" t="n"/>
      <c r="H37" s="6" t="n"/>
    </row>
    <row r="38">
      <c r="A38" s="6" t="inlineStr">
        <is>
          <t>Principal element of lease payment</t>
        </is>
      </c>
      <c r="B38" s="6" t="n">
        <v>-1313</v>
      </c>
      <c r="C38" s="6" t="n">
        <v>-931</v>
      </c>
      <c r="D38" s="6" t="n">
        <v>-1253</v>
      </c>
      <c r="E38" s="6" t="n">
        <v>-1225</v>
      </c>
      <c r="F38" s="6" t="n">
        <v>-1721</v>
      </c>
      <c r="G38" s="6" t="n"/>
      <c r="H38" s="6" t="n"/>
    </row>
    <row r="39">
      <c r="A39" s="5" t="inlineStr">
        <is>
          <t>Net cash used in financing activities</t>
        </is>
      </c>
      <c r="B39" s="5" t="n">
        <v>-6773</v>
      </c>
      <c r="C39" s="5" t="n">
        <v>-6436</v>
      </c>
      <c r="D39" s="5" t="n">
        <v>-6728</v>
      </c>
      <c r="E39" s="5" t="n">
        <v>-6685</v>
      </c>
      <c r="F39" s="5" t="n">
        <v>-6531</v>
      </c>
      <c r="G39" s="5" t="n"/>
      <c r="H39" s="5" t="n"/>
    </row>
    <row r="40">
      <c r="A40" s="5" t="inlineStr">
        <is>
          <t>Net increase/(decrease) in cash and cash equivalents</t>
        </is>
      </c>
      <c r="B40" s="5" t="n">
        <v>71582</v>
      </c>
      <c r="C40" s="5" t="n">
        <v>-132975</v>
      </c>
      <c r="D40" s="5" t="n">
        <v>-26809</v>
      </c>
      <c r="E40" s="5" t="n">
        <v>249451</v>
      </c>
      <c r="F40" s="5" t="n">
        <v>-253589</v>
      </c>
      <c r="G40" s="5" t="n"/>
      <c r="H40" s="5" t="n"/>
    </row>
    <row r="41">
      <c r="A41" s="6" t="inlineStr">
        <is>
          <t>Cash and cash equivalents at the beginning of the year</t>
        </is>
      </c>
      <c r="B41" s="6" t="n">
        <v>362738</v>
      </c>
      <c r="C41" s="6" t="n">
        <v>495731</v>
      </c>
      <c r="D41" s="6" t="n">
        <v>522342</v>
      </c>
      <c r="E41" s="6" t="n">
        <v>274093</v>
      </c>
      <c r="F41" s="6" t="n">
        <v>621026</v>
      </c>
      <c r="G41" s="6" t="n"/>
      <c r="H41" s="6" t="n"/>
    </row>
    <row r="42">
      <c r="A42" s="6" t="inlineStr">
        <is>
          <t>Exchange difference</t>
        </is>
      </c>
      <c r="B42" s="6" t="n">
        <v>520</v>
      </c>
      <c r="C42" s="6" t="n">
        <v>-18</v>
      </c>
      <c r="D42" s="6" t="n">
        <v>197</v>
      </c>
      <c r="E42" s="6" t="n">
        <v>-1202</v>
      </c>
      <c r="F42" s="6" t="n"/>
      <c r="G42" s="6" t="n"/>
      <c r="H42" s="6" t="n"/>
    </row>
    <row r="43">
      <c r="A43" s="6" t="inlineStr">
        <is>
          <t>Effect of GBP/USD translation (FY2021 only - see currency note)</t>
        </is>
      </c>
      <c r="B43" s="6" t="n"/>
      <c r="C43" s="6" t="n"/>
      <c r="D43" s="6" t="n"/>
      <c r="E43" s="6" t="n"/>
      <c r="F43" s="6" t="n">
        <v>-2105</v>
      </c>
      <c r="G43" s="6" t="n"/>
      <c r="H43" s="6" t="n"/>
    </row>
    <row r="44">
      <c r="A44" s="5" t="inlineStr">
        <is>
          <t>Cash and cash equivalents at the end of the year</t>
        </is>
      </c>
      <c r="B44" s="5" t="n">
        <v>434840</v>
      </c>
      <c r="C44" s="5" t="n">
        <v>362738</v>
      </c>
      <c r="D44" s="5" t="n">
        <v>495731</v>
      </c>
      <c r="E44" s="5" t="n">
        <v>522342</v>
      </c>
      <c r="F44" s="5" t="n">
        <v>365332</v>
      </c>
      <c r="G44" s="5" t="n"/>
      <c r="H44" s="5" t="n"/>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H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Gross carrying amount by IFRS 9 stage</t>
        </is>
      </c>
      <c r="B4" s="6" t="n"/>
      <c r="C4" s="6" t="n"/>
      <c r="D4" s="6" t="n"/>
      <c r="E4" s="6" t="n"/>
      <c r="F4" s="6" t="n"/>
      <c r="G4" s="6" t="n"/>
      <c r="H4" s="6" t="n"/>
    </row>
    <row r="5">
      <c r="A5" s="6" t="inlineStr">
        <is>
          <t>Stage 1 (12-month ECL)</t>
        </is>
      </c>
      <c r="B5" s="6" t="n">
        <v>908653</v>
      </c>
      <c r="C5" s="6" t="n">
        <v>586279</v>
      </c>
      <c r="D5" s="6" t="n"/>
      <c r="E5" s="6" t="n"/>
      <c r="F5" s="6" t="n">
        <v>550279</v>
      </c>
      <c r="G5" s="6" t="n"/>
      <c r="H5" s="6" t="n"/>
    </row>
    <row r="6">
      <c r="A6" s="6" t="inlineStr">
        <is>
          <t>Stage 2 (Lifetime ECL, not credit-impaired)</t>
        </is>
      </c>
      <c r="B6" s="6" t="n">
        <v>25017</v>
      </c>
      <c r="C6" s="6" t="n">
        <v>2512</v>
      </c>
      <c r="D6" s="6" t="n"/>
      <c r="E6" s="6" t="n"/>
      <c r="F6" s="6" t="n">
        <v>2002</v>
      </c>
      <c r="G6" s="6" t="n"/>
      <c r="H6" s="6" t="n"/>
    </row>
    <row r="7">
      <c r="A7" s="6" t="inlineStr">
        <is>
          <t>Stage 3 / Default (Lifetime ECL, credit-impaired)</t>
        </is>
      </c>
      <c r="B7" s="6" t="n">
        <v>26187</v>
      </c>
      <c r="C7" s="6" t="n">
        <v>27797</v>
      </c>
      <c r="D7" s="6" t="n"/>
      <c r="E7" s="6" t="n"/>
      <c r="F7" s="6" t="n">
        <v>32507</v>
      </c>
      <c r="G7" s="6" t="n"/>
      <c r="H7" s="6" t="n"/>
    </row>
    <row r="8">
      <c r="A8" s="6" t="inlineStr">
        <is>
          <t>Gross carrying amount (Corporate + Individual, FY2023/FY2022 - no Stage 1/2/3 split disclosed)</t>
        </is>
      </c>
      <c r="B8" s="6" t="n"/>
      <c r="C8" s="6" t="n"/>
      <c r="D8" s="6" t="n">
        <v>543982</v>
      </c>
      <c r="E8" s="6" t="n">
        <v>404298</v>
      </c>
      <c r="F8" s="6" t="n"/>
      <c r="G8" s="6" t="n"/>
      <c r="H8" s="6" t="n"/>
    </row>
    <row r="9">
      <c r="A9" s="5" t="inlineStr">
        <is>
          <t>Total gross carrying amount</t>
        </is>
      </c>
      <c r="B9" s="5" t="n">
        <v>959857</v>
      </c>
      <c r="C9" s="5" t="n">
        <v>616589</v>
      </c>
      <c r="D9" s="5" t="n">
        <v>543982</v>
      </c>
      <c r="E9" s="5" t="n">
        <v>404298</v>
      </c>
      <c r="F9" s="5" t="n">
        <v>584788</v>
      </c>
      <c r="G9" s="5" t="n"/>
      <c r="H9" s="5" t="n"/>
    </row>
    <row r="10">
      <c r="A10" s="5" t="inlineStr">
        <is>
          <t>Loss allowance</t>
        </is>
      </c>
      <c r="B10" s="6" t="n"/>
      <c r="C10" s="6" t="n"/>
      <c r="D10" s="6" t="n"/>
      <c r="E10" s="6" t="n"/>
      <c r="F10" s="6" t="n"/>
      <c r="G10" s="6" t="n"/>
      <c r="H10" s="6" t="n"/>
    </row>
    <row r="11">
      <c r="A11" s="6" t="inlineStr">
        <is>
          <t>Stage 1 loss allowance</t>
        </is>
      </c>
      <c r="B11" s="6" t="n">
        <v>-11165</v>
      </c>
      <c r="C11" s="6" t="n">
        <v>-7004</v>
      </c>
      <c r="D11" s="6" t="n"/>
      <c r="E11" s="6" t="n"/>
      <c r="F11" s="6" t="n">
        <v>-3704</v>
      </c>
      <c r="G11" s="6" t="n"/>
      <c r="H11" s="6" t="n"/>
    </row>
    <row r="12">
      <c r="A12" s="6" t="inlineStr">
        <is>
          <t>Stage 2 loss allowance</t>
        </is>
      </c>
      <c r="B12" s="6" t="n">
        <v>-1131</v>
      </c>
      <c r="C12" s="6" t="n">
        <v>-77</v>
      </c>
      <c r="D12" s="6" t="n"/>
      <c r="E12" s="6" t="n"/>
      <c r="F12" s="6" t="n">
        <v>-63</v>
      </c>
      <c r="G12" s="6" t="n"/>
      <c r="H12" s="6" t="n"/>
    </row>
    <row r="13">
      <c r="A13" s="6" t="inlineStr">
        <is>
          <t>Stage 3 loss allowance</t>
        </is>
      </c>
      <c r="B13" s="6" t="n">
        <v>-8552</v>
      </c>
      <c r="C13" s="6" t="n">
        <v>-8329</v>
      </c>
      <c r="D13" s="6" t="n"/>
      <c r="E13" s="6" t="n"/>
      <c r="F13" s="6" t="n">
        <v>-12477</v>
      </c>
      <c r="G13" s="6" t="n"/>
      <c r="H13" s="6" t="n"/>
    </row>
    <row r="14">
      <c r="A14" s="6" t="inlineStr">
        <is>
          <t>12-month ECL allowance (FY2023/FY2022 - no Stage 1/2/3 split disclosed)</t>
        </is>
      </c>
      <c r="B14" s="6" t="n"/>
      <c r="C14" s="6" t="n"/>
      <c r="D14" s="6" t="n">
        <v>-6621</v>
      </c>
      <c r="E14" s="6" t="n">
        <v>-2999</v>
      </c>
      <c r="F14" s="6" t="n"/>
      <c r="G14" s="6" t="n"/>
      <c r="H14" s="6" t="n"/>
    </row>
    <row r="15">
      <c r="A15" s="6" t="inlineStr">
        <is>
          <t>Lifetime ECL allowance (FY2023/FY2022 - no Stage 1/2/3 split disclosed)</t>
        </is>
      </c>
      <c r="B15" s="6" t="n"/>
      <c r="C15" s="6" t="n"/>
      <c r="D15" s="6" t="n">
        <v>-7414</v>
      </c>
      <c r="E15" s="6" t="n">
        <v>-567</v>
      </c>
      <c r="F15" s="6" t="n"/>
      <c r="G15" s="6" t="n"/>
      <c r="H15" s="6" t="n"/>
    </row>
    <row r="16">
      <c r="A16" s="5" t="inlineStr">
        <is>
          <t>Total loss allowance</t>
        </is>
      </c>
      <c r="B16" s="5" t="n">
        <v>-20848</v>
      </c>
      <c r="C16" s="5" t="n">
        <v>-15410</v>
      </c>
      <c r="D16" s="5" t="n">
        <v>-14035</v>
      </c>
      <c r="E16" s="5" t="n">
        <v>-3566</v>
      </c>
      <c r="F16" s="5" t="n">
        <v>-16244</v>
      </c>
      <c r="G16" s="5" t="n"/>
      <c r="H16" s="5" t="n"/>
    </row>
    <row r="17">
      <c r="A17" s="5" t="inlineStr">
        <is>
          <t>Net loans and advances to customers</t>
        </is>
      </c>
      <c r="B17" s="5" t="n">
        <v>939009</v>
      </c>
      <c r="C17" s="5" t="n">
        <v>601178</v>
      </c>
      <c r="D17" s="5" t="n">
        <v>529947</v>
      </c>
      <c r="E17" s="5" t="n">
        <v>400733</v>
      </c>
      <c r="F17" s="5" t="n">
        <v>568544</v>
      </c>
      <c r="G17" s="5" t="n"/>
      <c r="H17" s="5" t="n"/>
    </row>
    <row r="18">
      <c r="A18" s="5" t="inlineStr">
        <is>
          <t>Composition and non-performing accounts</t>
        </is>
      </c>
      <c r="B18" s="6" t="n"/>
      <c r="C18" s="6" t="n"/>
      <c r="D18" s="6" t="n"/>
      <c r="E18" s="6" t="n"/>
      <c r="F18" s="6" t="n"/>
      <c r="G18" s="6" t="n"/>
      <c r="H18" s="6" t="n"/>
    </row>
    <row r="19">
      <c r="A19" s="6" t="inlineStr">
        <is>
          <t>Corporate</t>
        </is>
      </c>
      <c r="B19" s="6" t="n">
        <v>757997</v>
      </c>
      <c r="C19" s="6" t="n">
        <v>466491</v>
      </c>
      <c r="D19" s="6" t="n">
        <v>390231</v>
      </c>
      <c r="E19" s="6" t="n">
        <v>279069</v>
      </c>
      <c r="F19" s="6" t="n"/>
      <c r="G19" s="6" t="n"/>
      <c r="H19" s="6" t="n"/>
    </row>
    <row r="20">
      <c r="A20" s="6" t="inlineStr">
        <is>
          <t>Individual</t>
        </is>
      </c>
      <c r="B20" s="6" t="n">
        <v>201860</v>
      </c>
      <c r="C20" s="6" t="n">
        <v>150098</v>
      </c>
      <c r="D20" s="6" t="n">
        <v>153751</v>
      </c>
      <c r="E20" s="6" t="n">
        <v>125229</v>
      </c>
      <c r="F20" s="6" t="n"/>
      <c r="G20" s="6" t="n"/>
      <c r="H20" s="6" t="n"/>
    </row>
    <row r="21">
      <c r="A21" s="6" t="inlineStr">
        <is>
          <t>Non-performing accounts (within maturity analysis)</t>
        </is>
      </c>
      <c r="B21" s="6" t="n">
        <v>26187</v>
      </c>
      <c r="C21" s="6" t="n">
        <v>27797</v>
      </c>
      <c r="D21" s="6" t="n">
        <v>22645</v>
      </c>
      <c r="E21" s="6" t="n">
        <v>5397</v>
      </c>
      <c r="F21" s="6" t="n">
        <v>32507</v>
      </c>
      <c r="G21" s="6" t="n"/>
      <c r="H21" s="6" t="n"/>
    </row>
    <row r="22">
      <c r="A22" s="6" t="inlineStr">
        <is>
          <t>Stage 3 / non-performing coverage ratio (loss allowance / non-performing accounts)</t>
        </is>
      </c>
      <c r="B22" s="6" t="inlineStr">
        <is>
          <t>32.66%</t>
        </is>
      </c>
      <c r="C22" s="6" t="inlineStr">
        <is>
          <t>29.96%</t>
        </is>
      </c>
      <c r="D22" s="6" t="n"/>
      <c r="E22" s="6" t="n"/>
      <c r="F22" s="6" t="inlineStr">
        <is>
          <t>38.38%</t>
        </is>
      </c>
      <c r="G22" s="6" t="n"/>
      <c r="H22" s="6" t="n"/>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is blank - no Pillar 3 has been published for it.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US DOLLAR BLOCK — FY2024 and FY2023, as published by the Bank in US dollars</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Instruments and reserves ($'000)</t>
        </is>
      </c>
      <c r="B6" s="6" t="n"/>
      <c r="C6" s="6" t="n">
        <v>382235</v>
      </c>
      <c r="D6" s="6" t="n">
        <v>336454</v>
      </c>
      <c r="E6" s="6" t="n"/>
      <c r="F6" s="6" t="n"/>
      <c r="G6" s="6" t="n"/>
      <c r="H6" s="6" t="n"/>
    </row>
    <row r="7">
      <c r="A7" s="6" t="inlineStr">
        <is>
          <t>2  Common Equity Tier 1 (CET1) capital ($'000)</t>
        </is>
      </c>
      <c r="B7" s="6" t="n"/>
      <c r="C7" s="6" t="n">
        <v>363763</v>
      </c>
      <c r="D7" s="6" t="n">
        <v>309460</v>
      </c>
      <c r="E7" s="6" t="n"/>
      <c r="F7" s="6" t="n"/>
      <c r="G7" s="6" t="n"/>
      <c r="H7" s="6" t="n"/>
    </row>
    <row r="8">
      <c r="A8" s="6" t="inlineStr">
        <is>
          <t>3  Total capital (TC = T1 + T2) ($'000)</t>
        </is>
      </c>
      <c r="B8" s="6" t="n"/>
      <c r="C8" s="6" t="n">
        <v>414074</v>
      </c>
      <c r="D8" s="6" t="n">
        <v>353999</v>
      </c>
      <c r="E8" s="6" t="n"/>
      <c r="F8" s="6" t="n"/>
      <c r="G8" s="6" t="n"/>
      <c r="H8" s="6" t="n"/>
    </row>
    <row r="9">
      <c r="A9" s="5" t="inlineStr">
        <is>
          <t>Risk-Weighted exposure amounts</t>
        </is>
      </c>
      <c r="B9" s="6" t="n"/>
      <c r="C9" s="6" t="n"/>
      <c r="D9" s="6" t="n"/>
      <c r="E9" s="6" t="n"/>
      <c r="F9" s="6" t="n"/>
      <c r="G9" s="6" t="n"/>
      <c r="H9" s="6" t="n"/>
    </row>
    <row r="10">
      <c r="A10" s="6" t="inlineStr">
        <is>
          <t>4  Total risk-weighted exposure amounts ($'000)</t>
        </is>
      </c>
      <c r="B10" s="6" t="n"/>
      <c r="C10" s="6" t="n">
        <v>1395598</v>
      </c>
      <c r="D10" s="6" t="n">
        <v>1235478</v>
      </c>
      <c r="E10" s="6" t="n"/>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n"/>
      <c r="C12" s="6" t="inlineStr">
        <is>
          <t>26.07%</t>
        </is>
      </c>
      <c r="D12" s="6" t="inlineStr">
        <is>
          <t>25.05%</t>
        </is>
      </c>
      <c r="E12" s="6" t="n"/>
      <c r="F12" s="6" t="n"/>
      <c r="G12" s="6" t="n"/>
      <c r="H12" s="6" t="n"/>
    </row>
    <row r="13">
      <c r="A13" s="6" t="inlineStr">
        <is>
          <t>6  Tier 1 ratio (%)</t>
        </is>
      </c>
      <c r="B13" s="6" t="n"/>
      <c r="C13" s="6" t="inlineStr">
        <is>
          <t>26.07%</t>
        </is>
      </c>
      <c r="D13" s="6" t="inlineStr">
        <is>
          <t>25.05%</t>
        </is>
      </c>
      <c r="E13" s="6" t="n"/>
      <c r="F13" s="6" t="n"/>
      <c r="G13" s="6" t="n"/>
      <c r="H13" s="6" t="n"/>
    </row>
    <row r="14">
      <c r="A14" s="6" t="inlineStr">
        <is>
          <t>7  Total capital ratio (%)</t>
        </is>
      </c>
      <c r="B14" s="6" t="n"/>
      <c r="C14" s="6" t="inlineStr">
        <is>
          <t>29.67%</t>
        </is>
      </c>
      <c r="D14" s="6" t="inlineStr">
        <is>
          <t>28.65%</t>
        </is>
      </c>
      <c r="E14" s="6" t="n"/>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n"/>
      <c r="C16" s="6" t="inlineStr">
        <is>
          <t>4.82%</t>
        </is>
      </c>
      <c r="D16" s="6" t="inlineStr">
        <is>
          <t>4.82%</t>
        </is>
      </c>
      <c r="E16" s="6" t="n"/>
      <c r="F16" s="6" t="n"/>
      <c r="G16" s="6" t="n"/>
      <c r="H16" s="6" t="n"/>
    </row>
    <row r="17">
      <c r="A17" s="6" t="inlineStr">
        <is>
          <t>UK 7c  Additional T2 SREP requirements (%)</t>
        </is>
      </c>
      <c r="B17" s="6" t="n"/>
      <c r="C17" s="6" t="inlineStr">
        <is>
          <t>1.61%</t>
        </is>
      </c>
      <c r="D17" s="6" t="inlineStr">
        <is>
          <t>1.61%</t>
        </is>
      </c>
      <c r="E17" s="6" t="n"/>
      <c r="F17" s="6" t="n"/>
      <c r="G17" s="6" t="n"/>
      <c r="H17" s="6" t="n"/>
    </row>
    <row r="18">
      <c r="A18" s="6" t="inlineStr">
        <is>
          <t>UK 7d  Total SREP own funds requirements (%)</t>
        </is>
      </c>
      <c r="B18" s="6" t="n"/>
      <c r="C18" s="6" t="inlineStr">
        <is>
          <t>14.42%</t>
        </is>
      </c>
      <c r="D18" s="6" t="inlineStr">
        <is>
          <t>14.42%</t>
        </is>
      </c>
      <c r="E18" s="6" t="n"/>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of which: capital conservation buffer</t>
        </is>
      </c>
      <c r="B20" s="6" t="n"/>
      <c r="C20" s="6" t="inlineStr">
        <is>
          <t>2.50%</t>
        </is>
      </c>
      <c r="D20" s="6" t="inlineStr">
        <is>
          <t>2.50%</t>
        </is>
      </c>
      <c r="E20" s="6" t="n"/>
      <c r="F20" s="6" t="n"/>
      <c r="G20" s="6" t="n"/>
      <c r="H20" s="6" t="n"/>
    </row>
    <row r="21">
      <c r="A21" s="6" t="inlineStr">
        <is>
          <t>9  Institution specific countercyclical capital buffer (%)</t>
        </is>
      </c>
      <c r="B21" s="6" t="n"/>
      <c r="C21" s="6" t="inlineStr">
        <is>
          <t>0.14%</t>
        </is>
      </c>
      <c r="D21" s="6" t="inlineStr">
        <is>
          <t>0.09%</t>
        </is>
      </c>
      <c r="E21" s="6" t="n"/>
      <c r="F21" s="6" t="n"/>
      <c r="G21" s="6" t="n"/>
      <c r="H21" s="6" t="n"/>
    </row>
    <row r="22">
      <c r="A22" s="6" t="inlineStr">
        <is>
          <t>11  Combined buffer requirement (%)</t>
        </is>
      </c>
      <c r="B22" s="6" t="n"/>
      <c r="C22" s="6" t="inlineStr">
        <is>
          <t>2.64%</t>
        </is>
      </c>
      <c r="D22" s="6" t="inlineStr">
        <is>
          <t>2.59%</t>
        </is>
      </c>
      <c r="E22" s="6" t="n"/>
      <c r="F22" s="6" t="n"/>
      <c r="G22" s="6" t="n"/>
      <c r="H22" s="6" t="n"/>
    </row>
    <row r="23">
      <c r="A23" s="6" t="inlineStr">
        <is>
          <t>UK 11a  Overall capital requirements (%)</t>
        </is>
      </c>
      <c r="B23" s="6" t="n"/>
      <c r="C23" s="6" t="inlineStr">
        <is>
          <t>17.06%</t>
        </is>
      </c>
      <c r="D23" s="6" t="inlineStr">
        <is>
          <t>17.01%</t>
        </is>
      </c>
      <c r="E23" s="6" t="n"/>
      <c r="F23" s="6" t="n"/>
      <c r="G23" s="6" t="n"/>
      <c r="H23" s="6" t="n"/>
    </row>
    <row r="24">
      <c r="A24" s="6" t="inlineStr">
        <is>
          <t>12  CET1 available after meeting the total SREP own funds requirements (%) [prints an amount, $'000]</t>
        </is>
      </c>
      <c r="B24" s="6" t="n"/>
      <c r="C24" s="6" t="n">
        <v>129093</v>
      </c>
      <c r="D24" s="6" t="n">
        <v>101715</v>
      </c>
      <c r="E24" s="6" t="n"/>
      <c r="F24" s="6" t="n"/>
      <c r="G24" s="6" t="n"/>
      <c r="H24" s="6" t="n"/>
    </row>
    <row r="25">
      <c r="A25" s="5" t="inlineStr">
        <is>
          <t>Leverage</t>
        </is>
      </c>
      <c r="B25" s="6" t="n"/>
      <c r="C25" s="6" t="n"/>
      <c r="D25" s="6" t="n"/>
      <c r="E25" s="6" t="n"/>
      <c r="F25" s="6" t="n"/>
      <c r="G25" s="6" t="n"/>
      <c r="H25" s="6" t="n"/>
    </row>
    <row r="26">
      <c r="A26" s="6" t="inlineStr">
        <is>
          <t>13  Leverage ratio total exposure measure ($'000)</t>
        </is>
      </c>
      <c r="B26" s="6" t="n"/>
      <c r="C26" s="6" t="n">
        <v>2575327</v>
      </c>
      <c r="D26" s="6" t="n">
        <v>1567144</v>
      </c>
      <c r="E26" s="6" t="n"/>
      <c r="F26" s="6" t="n"/>
      <c r="G26" s="6" t="n"/>
      <c r="H26" s="6" t="n"/>
    </row>
    <row r="27">
      <c r="A27" s="6" t="inlineStr">
        <is>
          <t>14  Leverage ratio</t>
        </is>
      </c>
      <c r="B27" s="6" t="n"/>
      <c r="C27" s="6" t="inlineStr">
        <is>
          <t>14.12%</t>
        </is>
      </c>
      <c r="D27" s="6" t="inlineStr">
        <is>
          <t>19.75%</t>
        </is>
      </c>
      <c r="E27" s="6" t="n"/>
      <c r="F27" s="6" t="n"/>
      <c r="G27" s="6" t="n"/>
      <c r="H27" s="6" t="n"/>
    </row>
    <row r="28">
      <c r="A28" s="5" t="inlineStr">
        <is>
          <t>Liquidity Coverage Ratio</t>
        </is>
      </c>
      <c r="B28" s="6" t="n"/>
      <c r="C28" s="6" t="n"/>
      <c r="D28" s="6" t="n"/>
      <c r="E28" s="6" t="n"/>
      <c r="F28" s="6" t="n"/>
      <c r="G28" s="6" t="n"/>
      <c r="H28" s="6" t="n"/>
    </row>
    <row r="29">
      <c r="A29" s="6" t="inlineStr">
        <is>
          <t>15  Total high-quality liquid assets (HQLA) (Weighted value -average) ($'000)</t>
        </is>
      </c>
      <c r="B29" s="6" t="n"/>
      <c r="C29" s="6" t="n">
        <v>1400356</v>
      </c>
      <c r="D29" s="6" t="n">
        <v>1084674</v>
      </c>
      <c r="E29" s="6" t="n"/>
      <c r="F29" s="6" t="n"/>
      <c r="G29" s="6" t="n"/>
      <c r="H29" s="6" t="n"/>
    </row>
    <row r="30">
      <c r="A30" s="6" t="inlineStr">
        <is>
          <t>UK 16a  Cash outflows - Total weighted value ($'000)</t>
        </is>
      </c>
      <c r="B30" s="6" t="n"/>
      <c r="C30" s="6" t="n">
        <v>685809</v>
      </c>
      <c r="D30" s="6" t="n">
        <v>620176</v>
      </c>
      <c r="E30" s="6" t="n"/>
      <c r="F30" s="6" t="n"/>
      <c r="G30" s="6" t="n"/>
      <c r="H30" s="6" t="n"/>
    </row>
    <row r="31">
      <c r="A31" s="6" t="inlineStr">
        <is>
          <t>UK 16b  Cash inflows - Total weighted value ($'000)</t>
        </is>
      </c>
      <c r="B31" s="6" t="n"/>
      <c r="C31" s="6" t="n">
        <v>343498</v>
      </c>
      <c r="D31" s="6" t="n">
        <v>337095</v>
      </c>
      <c r="E31" s="6" t="n"/>
      <c r="F31" s="6" t="n"/>
      <c r="G31" s="6" t="n"/>
      <c r="H31" s="6" t="n"/>
    </row>
    <row r="32">
      <c r="A32" s="6" t="inlineStr">
        <is>
          <t>16  Total net cash outflows (adjusted value) ($'000)</t>
        </is>
      </c>
      <c r="B32" s="6" t="n"/>
      <c r="C32" s="6" t="n">
        <v>342311</v>
      </c>
      <c r="D32" s="6" t="n">
        <v>283081</v>
      </c>
      <c r="E32" s="6" t="n"/>
      <c r="F32" s="6" t="n"/>
      <c r="G32" s="6" t="n"/>
      <c r="H32" s="6" t="n"/>
    </row>
    <row r="33">
      <c r="A33" s="6" t="inlineStr">
        <is>
          <t>17  Liquidity coverage ratio (%)</t>
        </is>
      </c>
      <c r="B33" s="6" t="n"/>
      <c r="C33" s="6" t="inlineStr">
        <is>
          <t>409.09%</t>
        </is>
      </c>
      <c r="D33" s="6" t="inlineStr">
        <is>
          <t>383.17%</t>
        </is>
      </c>
      <c r="E33" s="6" t="n"/>
      <c r="F33" s="6" t="n"/>
      <c r="G33" s="6" t="n"/>
      <c r="H33" s="6" t="n"/>
    </row>
    <row r="34">
      <c r="A34" s="5" t="inlineStr">
        <is>
          <t>Net Stable Funding Ratio</t>
        </is>
      </c>
      <c r="B34" s="6" t="n"/>
      <c r="C34" s="6" t="n"/>
      <c r="D34" s="6" t="n"/>
      <c r="E34" s="6" t="n"/>
      <c r="F34" s="6" t="n"/>
      <c r="G34" s="6" t="n"/>
      <c r="H34" s="6" t="n"/>
    </row>
    <row r="35">
      <c r="A35" s="6" t="inlineStr">
        <is>
          <t>18  Total available stable funding ($'000)</t>
        </is>
      </c>
      <c r="B35" s="6" t="n"/>
      <c r="C35" s="6" t="n">
        <v>1423612</v>
      </c>
      <c r="D35" s="6" t="n">
        <v>1506379</v>
      </c>
      <c r="E35" s="6" t="n"/>
      <c r="F35" s="6" t="n"/>
      <c r="G35" s="6" t="n"/>
      <c r="H35" s="6" t="n"/>
    </row>
    <row r="36">
      <c r="A36" s="6" t="inlineStr">
        <is>
          <t>19  Total required stable funding ($'000)</t>
        </is>
      </c>
      <c r="B36" s="6" t="n"/>
      <c r="C36" s="6" t="n">
        <v>669559</v>
      </c>
      <c r="D36" s="6" t="n">
        <v>526030</v>
      </c>
      <c r="E36" s="6" t="n"/>
      <c r="F36" s="6" t="n"/>
      <c r="G36" s="6" t="n"/>
      <c r="H36" s="6" t="n"/>
    </row>
    <row r="37">
      <c r="A37" s="6" t="inlineStr">
        <is>
          <t>20  NSFR ratio (%)</t>
        </is>
      </c>
      <c r="B37" s="6" t="n"/>
      <c r="C37" s="6" t="inlineStr">
        <is>
          <t>213%</t>
        </is>
      </c>
      <c r="D37" s="6" t="inlineStr">
        <is>
          <t>286.37%</t>
        </is>
      </c>
      <c r="E37" s="6" t="n"/>
      <c r="F37" s="6" t="n"/>
      <c r="G37" s="6" t="n"/>
      <c r="H37" s="6" t="n"/>
    </row>
    <row r="38">
      <c r="A38" s="5" t="inlineStr">
        <is>
          <t>POUND STERLING BLOCK — FY2022 to FY2019, as published by the Bank in pounds sterling</t>
        </is>
      </c>
      <c r="B38" s="6" t="n"/>
      <c r="C38" s="6" t="n"/>
      <c r="D38" s="6" t="n"/>
      <c r="E38" s="6" t="n"/>
      <c r="F38" s="6" t="n"/>
      <c r="G38" s="6" t="n"/>
      <c r="H38" s="6" t="n"/>
    </row>
    <row r="39">
      <c r="A39" s="5" t="inlineStr">
        <is>
          <t xml:space="preserve">Available own funds (amounts) </t>
        </is>
      </c>
      <c r="B39" s="6" t="n"/>
      <c r="C39" s="6" t="n"/>
      <c r="D39" s="6" t="n"/>
      <c r="E39" s="6" t="n"/>
      <c r="F39" s="6" t="n"/>
      <c r="G39" s="6" t="n"/>
      <c r="H39" s="6" t="n"/>
    </row>
    <row r="40">
      <c r="A40" s="6" t="inlineStr">
        <is>
          <t>1  Common Equity Tier 1 (CET1) capital: Instruments and reserves (£'000)</t>
        </is>
      </c>
      <c r="B40" s="6" t="n"/>
      <c r="C40" s="6" t="n"/>
      <c r="D40" s="6" t="n"/>
      <c r="E40" s="6" t="n">
        <v>247363</v>
      </c>
      <c r="F40" s="6" t="n">
        <v>211035</v>
      </c>
      <c r="G40" s="6" t="n">
        <v>183485</v>
      </c>
      <c r="H40" s="6" t="n">
        <v>167034</v>
      </c>
    </row>
    <row r="41">
      <c r="A41" s="6" t="inlineStr">
        <is>
          <t>2  Common Equity Tier 1 (CET1) capital (£'000)</t>
        </is>
      </c>
      <c r="B41" s="6" t="n"/>
      <c r="C41" s="6" t="n"/>
      <c r="D41" s="6" t="n"/>
      <c r="E41" s="6" t="n">
        <v>229026</v>
      </c>
      <c r="F41" s="6" t="n">
        <v>201907</v>
      </c>
      <c r="G41" s="6" t="n">
        <v>181579</v>
      </c>
      <c r="H41" s="6" t="n">
        <v>172577</v>
      </c>
    </row>
    <row r="42">
      <c r="A42" s="6" t="inlineStr">
        <is>
          <t>3  Total capital (TC = T1 + T2) (£'000)</t>
        </is>
      </c>
      <c r="B42" s="6" t="n"/>
      <c r="C42" s="6" t="n"/>
      <c r="D42" s="6" t="n"/>
      <c r="E42" s="6" t="n">
        <v>265764</v>
      </c>
      <c r="F42" s="6" t="n">
        <v>241216</v>
      </c>
      <c r="G42" s="6" t="n">
        <v>216165</v>
      </c>
      <c r="H42" s="6" t="n">
        <v>205132</v>
      </c>
    </row>
    <row r="43">
      <c r="A43" s="5" t="inlineStr">
        <is>
          <t xml:space="preserve">Risk-Weighted exposure amounts </t>
        </is>
      </c>
      <c r="B43" s="6" t="n"/>
      <c r="C43" s="6" t="n"/>
      <c r="D43" s="6" t="n"/>
      <c r="E43" s="6" t="n"/>
      <c r="F43" s="6" t="n"/>
      <c r="G43" s="6" t="n"/>
      <c r="H43" s="6" t="n"/>
    </row>
    <row r="44">
      <c r="A44" s="6" t="inlineStr">
        <is>
          <t>4  Total risk-weighted exposure amounts (£'000)</t>
        </is>
      </c>
      <c r="B44" s="6" t="n"/>
      <c r="C44" s="6" t="n"/>
      <c r="D44" s="6" t="n"/>
      <c r="E44" s="6" t="n">
        <v>1019070</v>
      </c>
      <c r="F44" s="6" t="n">
        <v>1135077</v>
      </c>
      <c r="G44" s="6" t="n">
        <v>898917</v>
      </c>
      <c r="H44" s="6" t="n">
        <v>885249</v>
      </c>
    </row>
    <row r="45">
      <c r="A45" s="5" t="inlineStr">
        <is>
          <t xml:space="preserve">Capital ratios (as a percentage of risk-weighted exposure amount) </t>
        </is>
      </c>
      <c r="B45" s="6" t="n"/>
      <c r="C45" s="6" t="n"/>
      <c r="D45" s="6" t="n"/>
      <c r="E45" s="6" t="n"/>
      <c r="F45" s="6" t="n"/>
      <c r="G45" s="6" t="n"/>
      <c r="H45" s="6" t="n"/>
    </row>
    <row r="46">
      <c r="A46" s="6" t="inlineStr">
        <is>
          <t xml:space="preserve">5  Common Equity Tier 1 ratio (%) </t>
        </is>
      </c>
      <c r="B46" s="6" t="n"/>
      <c r="C46" s="6" t="n"/>
      <c r="D46" s="6" t="n"/>
      <c r="E46" s="6" t="inlineStr">
        <is>
          <t>22.47%</t>
        </is>
      </c>
      <c r="F46" s="6" t="inlineStr">
        <is>
          <t>17.79%</t>
        </is>
      </c>
      <c r="G46" s="6" t="inlineStr">
        <is>
          <t>20.20%</t>
        </is>
      </c>
      <c r="H46" s="6" t="inlineStr">
        <is>
          <t>19.49%</t>
        </is>
      </c>
    </row>
    <row r="47">
      <c r="A47" s="6" t="inlineStr">
        <is>
          <t xml:space="preserve">6  Tier 1 ratio (%) </t>
        </is>
      </c>
      <c r="B47" s="6" t="n"/>
      <c r="C47" s="6" t="n"/>
      <c r="D47" s="6" t="n"/>
      <c r="E47" s="6" t="inlineStr">
        <is>
          <t>22.47%</t>
        </is>
      </c>
      <c r="F47" s="6" t="inlineStr">
        <is>
          <t>17.79%</t>
        </is>
      </c>
      <c r="G47" s="6" t="inlineStr">
        <is>
          <t>20.20%</t>
        </is>
      </c>
      <c r="H47" s="6" t="inlineStr">
        <is>
          <t>19.49%</t>
        </is>
      </c>
    </row>
    <row r="48">
      <c r="A48" s="6" t="inlineStr">
        <is>
          <t xml:space="preserve">7  Total capital ratio (%) </t>
        </is>
      </c>
      <c r="B48" s="6" t="n"/>
      <c r="C48" s="6" t="n"/>
      <c r="D48" s="6" t="n"/>
      <c r="E48" s="6" t="inlineStr">
        <is>
          <t>26.08%</t>
        </is>
      </c>
      <c r="F48" s="6" t="inlineStr">
        <is>
          <t>21.25%</t>
        </is>
      </c>
      <c r="G48" s="6" t="inlineStr">
        <is>
          <t>24.05%</t>
        </is>
      </c>
      <c r="H48" s="6" t="inlineStr">
        <is>
          <t>23.17%</t>
        </is>
      </c>
    </row>
    <row r="49">
      <c r="A49" s="5" t="inlineStr">
        <is>
          <t xml:space="preserve">Additional own funds requirements based on SREP (as a percentage of risk-weighted exposure amount) </t>
        </is>
      </c>
      <c r="B49" s="6" t="n"/>
      <c r="C49" s="6" t="n"/>
      <c r="D49" s="6" t="n"/>
      <c r="E49" s="6" t="n"/>
      <c r="F49" s="6" t="n"/>
      <c r="G49" s="6" t="n"/>
      <c r="H49" s="6" t="n"/>
    </row>
    <row r="50">
      <c r="A50" s="6" t="inlineStr">
        <is>
          <t xml:space="preserve">UK 7a  Additional CET1 SREP requirements (%) </t>
        </is>
      </c>
      <c r="B50" s="6" t="n"/>
      <c r="C50" s="6" t="n"/>
      <c r="D50" s="6" t="n"/>
      <c r="E50" s="6" t="inlineStr">
        <is>
          <t>4.82%</t>
        </is>
      </c>
      <c r="F50" s="6" t="inlineStr">
        <is>
          <t>4.39%</t>
        </is>
      </c>
      <c r="G50" s="6" t="inlineStr">
        <is>
          <t>5.54%</t>
        </is>
      </c>
      <c r="H50" s="6" t="inlineStr">
        <is>
          <t>5.03%</t>
        </is>
      </c>
    </row>
    <row r="51">
      <c r="A51" s="6" t="inlineStr">
        <is>
          <t xml:space="preserve">UK 7c  Additional T2 SREP requirements (%) </t>
        </is>
      </c>
      <c r="B51" s="6" t="n"/>
      <c r="C51" s="6" t="n"/>
      <c r="D51" s="6" t="n"/>
      <c r="E51" s="6" t="inlineStr">
        <is>
          <t>1.61%</t>
        </is>
      </c>
      <c r="F51" s="6" t="inlineStr">
        <is>
          <t>1.46%</t>
        </is>
      </c>
      <c r="G51" s="6" t="inlineStr">
        <is>
          <t>1.85%</t>
        </is>
      </c>
      <c r="H51" s="6" t="inlineStr">
        <is>
          <t>1.68%</t>
        </is>
      </c>
    </row>
    <row r="52">
      <c r="A52" s="6" t="inlineStr">
        <is>
          <t xml:space="preserve">UK 7d  Total SREP own funds requirements (%) </t>
        </is>
      </c>
      <c r="B52" s="6" t="n"/>
      <c r="C52" s="6" t="n"/>
      <c r="D52" s="6" t="n"/>
      <c r="E52" s="6" t="inlineStr">
        <is>
          <t>14.42%</t>
        </is>
      </c>
      <c r="F52" s="6" t="inlineStr">
        <is>
          <t>13.85%</t>
        </is>
      </c>
      <c r="G52" s="6" t="inlineStr">
        <is>
          <t>15.39%</t>
        </is>
      </c>
      <c r="H52" s="6" t="inlineStr">
        <is>
          <t>14.71%</t>
        </is>
      </c>
    </row>
    <row r="53">
      <c r="A53" s="5" t="inlineStr">
        <is>
          <t xml:space="preserve">Combined buffer requirement (as a percentage of risk-weighted exposure amount) </t>
        </is>
      </c>
      <c r="B53" s="6" t="n"/>
      <c r="C53" s="6" t="n"/>
      <c r="D53" s="6" t="n"/>
      <c r="E53" s="6" t="n"/>
      <c r="F53" s="6" t="n"/>
      <c r="G53" s="6" t="n"/>
      <c r="H53" s="6" t="n"/>
    </row>
    <row r="54">
      <c r="A54" s="6" t="inlineStr">
        <is>
          <t xml:space="preserve">8  of which: capital conservation buffer </t>
        </is>
      </c>
      <c r="B54" s="6" t="n"/>
      <c r="C54" s="6" t="n"/>
      <c r="D54" s="6" t="n"/>
      <c r="E54" s="6" t="inlineStr">
        <is>
          <t>2.50%</t>
        </is>
      </c>
      <c r="F54" s="6" t="inlineStr">
        <is>
          <t>2.50%</t>
        </is>
      </c>
      <c r="G54" s="6" t="inlineStr">
        <is>
          <t>2.50%</t>
        </is>
      </c>
      <c r="H54" s="6" t="inlineStr">
        <is>
          <t>2.50%</t>
        </is>
      </c>
    </row>
    <row r="55">
      <c r="A55" s="6" t="inlineStr">
        <is>
          <t xml:space="preserve">9  Institution specific countercyclical capital buffer (%) </t>
        </is>
      </c>
      <c r="B55" s="6" t="n"/>
      <c r="C55" s="6" t="n"/>
      <c r="D55" s="6" t="n"/>
      <c r="E55" s="6" t="inlineStr">
        <is>
          <t>0.05%</t>
        </is>
      </c>
      <c r="F55" s="6" t="inlineStr">
        <is>
          <t>0.00%</t>
        </is>
      </c>
      <c r="G55" s="6" t="inlineStr">
        <is>
          <t>0.00%</t>
        </is>
      </c>
      <c r="H55" s="6" t="inlineStr">
        <is>
          <t>0.06%</t>
        </is>
      </c>
    </row>
    <row r="56">
      <c r="A56" s="6" t="inlineStr">
        <is>
          <t xml:space="preserve">11  Combined buffer requirement (%) </t>
        </is>
      </c>
      <c r="B56" s="6" t="n"/>
      <c r="C56" s="6" t="n"/>
      <c r="D56" s="6" t="n"/>
      <c r="E56" s="6" t="inlineStr">
        <is>
          <t>2.55%</t>
        </is>
      </c>
      <c r="F56" s="6" t="inlineStr">
        <is>
          <t>2.50%</t>
        </is>
      </c>
      <c r="G56" s="6" t="inlineStr">
        <is>
          <t>2.50%</t>
        </is>
      </c>
      <c r="H56" s="6" t="inlineStr">
        <is>
          <t>2.56%</t>
        </is>
      </c>
    </row>
    <row r="57">
      <c r="A57" s="6" t="inlineStr">
        <is>
          <t xml:space="preserve">UK 11a  Overall capital requirements (%) </t>
        </is>
      </c>
      <c r="B57" s="6" t="n"/>
      <c r="C57" s="6" t="n"/>
      <c r="D57" s="6" t="n"/>
      <c r="E57" s="6" t="inlineStr">
        <is>
          <t>16.97%</t>
        </is>
      </c>
      <c r="F57" s="6" t="inlineStr">
        <is>
          <t>16.35%</t>
        </is>
      </c>
      <c r="G57" s="6" t="inlineStr">
        <is>
          <t>17.89%</t>
        </is>
      </c>
      <c r="H57" s="6" t="inlineStr">
        <is>
          <t>17.27%</t>
        </is>
      </c>
    </row>
    <row r="58">
      <c r="A58" s="6" t="inlineStr">
        <is>
          <t>12  CET1 available after meeting the total SREP own funds requirements (%) [prints an amount, £'000]</t>
        </is>
      </c>
      <c r="B58" s="6" t="n"/>
      <c r="C58" s="6" t="n"/>
      <c r="D58" s="6" t="n"/>
      <c r="E58" s="6" t="n">
        <v>57670</v>
      </c>
      <c r="F58" s="6" t="n">
        <v>15875</v>
      </c>
      <c r="G58" s="6" t="n">
        <v>23886</v>
      </c>
      <c r="H58" s="6" t="n">
        <v>21797</v>
      </c>
    </row>
    <row r="59">
      <c r="A59" s="5" t="inlineStr">
        <is>
          <t xml:space="preserve">Leverage </t>
        </is>
      </c>
      <c r="B59" s="6" t="n"/>
      <c r="C59" s="6" t="n"/>
      <c r="D59" s="6" t="n"/>
      <c r="E59" s="6" t="n"/>
      <c r="F59" s="6" t="n"/>
      <c r="G59" s="6" t="n"/>
      <c r="H59" s="6" t="n"/>
    </row>
    <row r="60">
      <c r="A60" s="6" t="inlineStr">
        <is>
          <t>13  Leverage ratio total exposure measure (£'000)</t>
        </is>
      </c>
      <c r="B60" s="6" t="n"/>
      <c r="C60" s="6" t="n"/>
      <c r="D60" s="6" t="n"/>
      <c r="E60" s="6" t="n">
        <v>2327282</v>
      </c>
      <c r="F60" s="6" t="n">
        <v>2749530</v>
      </c>
      <c r="G60" s="6" t="n">
        <v>2444955</v>
      </c>
      <c r="H60" s="6" t="n">
        <v>2809165</v>
      </c>
    </row>
    <row r="61">
      <c r="A61" s="6" t="inlineStr">
        <is>
          <t xml:space="preserve">14  Leverage ratio </t>
        </is>
      </c>
      <c r="B61" s="6" t="n"/>
      <c r="C61" s="6" t="n"/>
      <c r="D61" s="6" t="n"/>
      <c r="E61" s="6" t="inlineStr">
        <is>
          <t>9.84%</t>
        </is>
      </c>
      <c r="F61" s="6" t="inlineStr">
        <is>
          <t>6.83%</t>
        </is>
      </c>
      <c r="G61" s="6" t="inlineStr">
        <is>
          <t>6.75%</t>
        </is>
      </c>
      <c r="H61" s="6" t="inlineStr">
        <is>
          <t>4.98%</t>
        </is>
      </c>
    </row>
    <row r="62">
      <c r="A62" s="5" t="inlineStr">
        <is>
          <t>Additional own funds requirements to address risks of excessive leverage (as a percentage of leverage ratio total exposure amount) — printed in the FY2021 edition only</t>
        </is>
      </c>
      <c r="B62" s="6" t="n"/>
      <c r="C62" s="6" t="n"/>
      <c r="D62" s="6" t="n"/>
      <c r="E62" s="6" t="n"/>
      <c r="F62" s="6" t="n"/>
      <c r="G62" s="6" t="n"/>
      <c r="H62" s="6" t="n"/>
    </row>
    <row r="63">
      <c r="A63" s="6" t="inlineStr">
        <is>
          <t>UK 14a  Additional CET1 leverage ratio requirements (%)</t>
        </is>
      </c>
      <c r="B63" s="6" t="n"/>
      <c r="C63" s="6" t="n"/>
      <c r="D63" s="6" t="n"/>
      <c r="E63" s="6" t="n"/>
      <c r="F63" s="6" t="inlineStr">
        <is>
          <t>0.00%</t>
        </is>
      </c>
      <c r="G63" s="6" t="inlineStr">
        <is>
          <t>0.00%</t>
        </is>
      </c>
      <c r="H63" s="6" t="inlineStr">
        <is>
          <t>0.00%</t>
        </is>
      </c>
    </row>
    <row r="64">
      <c r="A64" s="6" t="inlineStr">
        <is>
          <t>UK 14b  Additional AT1 leverage ratio requirements (%)</t>
        </is>
      </c>
      <c r="B64" s="6" t="n"/>
      <c r="C64" s="6" t="n"/>
      <c r="D64" s="6" t="n"/>
      <c r="E64" s="6" t="n"/>
      <c r="F64" s="6" t="inlineStr">
        <is>
          <t>0.00%</t>
        </is>
      </c>
      <c r="G64" s="6" t="inlineStr">
        <is>
          <t>0.00%</t>
        </is>
      </c>
      <c r="H64" s="6" t="inlineStr">
        <is>
          <t>0.00%</t>
        </is>
      </c>
    </row>
    <row r="65">
      <c r="A65" s="6" t="inlineStr">
        <is>
          <t>UK 14c  Additional T2 leverage ratio requirements (%)</t>
        </is>
      </c>
      <c r="B65" s="6" t="n"/>
      <c r="C65" s="6" t="n"/>
      <c r="D65" s="6" t="n"/>
      <c r="E65" s="6" t="n"/>
      <c r="F65" s="6" t="inlineStr">
        <is>
          <t>0.00%</t>
        </is>
      </c>
      <c r="G65" s="6" t="inlineStr">
        <is>
          <t>0.00%</t>
        </is>
      </c>
      <c r="H65" s="6" t="inlineStr">
        <is>
          <t>0.00%</t>
        </is>
      </c>
    </row>
    <row r="66">
      <c r="A66" s="6" t="inlineStr">
        <is>
          <t>UK 14d  Total SREP leverage ratio requirements (%)</t>
        </is>
      </c>
      <c r="B66" s="6" t="n"/>
      <c r="C66" s="6" t="n"/>
      <c r="D66" s="6" t="n"/>
      <c r="E66" s="6" t="n"/>
      <c r="F66" s="6" t="inlineStr">
        <is>
          <t>0.00%</t>
        </is>
      </c>
      <c r="G66" s="6" t="inlineStr">
        <is>
          <t>0.00%</t>
        </is>
      </c>
      <c r="H66" s="6" t="inlineStr">
        <is>
          <t>0.00%</t>
        </is>
      </c>
    </row>
    <row r="67">
      <c r="A67" s="6" t="inlineStr">
        <is>
          <t>UK 14e  Applicable leverage buffer</t>
        </is>
      </c>
      <c r="B67" s="6" t="n"/>
      <c r="C67" s="6" t="n"/>
      <c r="D67" s="6" t="n"/>
      <c r="E67" s="6" t="n"/>
      <c r="F67" s="6" t="inlineStr">
        <is>
          <t>0.00%</t>
        </is>
      </c>
      <c r="G67" s="6" t="inlineStr">
        <is>
          <t>0.00%</t>
        </is>
      </c>
      <c r="H67" s="6" t="inlineStr">
        <is>
          <t>0.00%</t>
        </is>
      </c>
    </row>
    <row r="68">
      <c r="A68" s="6" t="inlineStr">
        <is>
          <t>UK 14f  Overall leverage ratio requirements (%)</t>
        </is>
      </c>
      <c r="B68" s="6" t="n"/>
      <c r="C68" s="6" t="n"/>
      <c r="D68" s="6" t="n"/>
      <c r="E68" s="6" t="n"/>
      <c r="F68" s="6" t="inlineStr">
        <is>
          <t>0.00%</t>
        </is>
      </c>
      <c r="G68" s="6" t="inlineStr">
        <is>
          <t>0.00%</t>
        </is>
      </c>
      <c r="H68" s="6" t="inlineStr">
        <is>
          <t>0.00%</t>
        </is>
      </c>
    </row>
    <row r="69">
      <c r="A69" s="5" t="inlineStr">
        <is>
          <t xml:space="preserve">Liquidity Coverage Ratio </t>
        </is>
      </c>
      <c r="B69" s="6" t="n"/>
      <c r="C69" s="6" t="n"/>
      <c r="D69" s="6" t="n"/>
      <c r="E69" s="6" t="n"/>
      <c r="F69" s="6" t="n"/>
      <c r="G69" s="6" t="n"/>
      <c r="H69" s="6" t="n"/>
    </row>
    <row r="70">
      <c r="A70" s="6" t="inlineStr">
        <is>
          <t>15  Total high-quality liquid assets (HQLA) (Weighted value -average) (£'000)</t>
        </is>
      </c>
      <c r="B70" s="6" t="n"/>
      <c r="C70" s="6" t="n"/>
      <c r="D70" s="6" t="n"/>
      <c r="E70" s="6" t="n">
        <v>1580997</v>
      </c>
      <c r="F70" s="6" t="n">
        <v>1198742</v>
      </c>
      <c r="G70" s="6" t="n">
        <v>1334462</v>
      </c>
      <c r="H70" s="6" t="n"/>
    </row>
    <row r="71">
      <c r="A71" s="6" t="inlineStr">
        <is>
          <t>UK 16a  Cash outflows - Total weighted value (£'000)</t>
        </is>
      </c>
      <c r="B71" s="6" t="n"/>
      <c r="C71" s="6" t="n"/>
      <c r="D71" s="6" t="n"/>
      <c r="E71" s="6" t="n">
        <v>926814</v>
      </c>
      <c r="F71" s="6" t="n">
        <v>788438</v>
      </c>
      <c r="G71" s="6" t="n">
        <v>846608</v>
      </c>
      <c r="H71" s="6" t="n"/>
    </row>
    <row r="72">
      <c r="A72" s="6" t="inlineStr">
        <is>
          <t>UK 16b  Cash inflows - Total weighted value (£'000)</t>
        </is>
      </c>
      <c r="B72" s="6" t="n"/>
      <c r="C72" s="6" t="n"/>
      <c r="D72" s="6" t="n"/>
      <c r="E72" s="6" t="n">
        <v>269843</v>
      </c>
      <c r="F72" s="6" t="n">
        <v>295280</v>
      </c>
      <c r="G72" s="6" t="n">
        <v>318660</v>
      </c>
      <c r="H72" s="6" t="n"/>
    </row>
    <row r="73">
      <c r="A73" s="6" t="inlineStr">
        <is>
          <t>16  Total net cash outflows (adjusted value) (£'000)</t>
        </is>
      </c>
      <c r="B73" s="6" t="n"/>
      <c r="C73" s="6" t="n"/>
      <c r="D73" s="6" t="n"/>
      <c r="E73" s="6" t="n">
        <v>656972</v>
      </c>
      <c r="F73" s="6" t="n">
        <v>493157</v>
      </c>
      <c r="G73" s="6" t="n">
        <v>527948</v>
      </c>
      <c r="H73" s="6" t="n"/>
    </row>
    <row r="74">
      <c r="A74" s="6" t="inlineStr">
        <is>
          <t xml:space="preserve">17  Liquidity coverage ratio (%) </t>
        </is>
      </c>
      <c r="B74" s="6" t="n"/>
      <c r="C74" s="6" t="n"/>
      <c r="D74" s="6" t="n"/>
      <c r="E74" s="6" t="inlineStr">
        <is>
          <t>240.65%</t>
        </is>
      </c>
      <c r="F74" s="6" t="inlineStr">
        <is>
          <t>243.08%</t>
        </is>
      </c>
      <c r="G74" s="6" t="inlineStr">
        <is>
          <t>252.76%</t>
        </is>
      </c>
      <c r="H74" s="6" t="n"/>
    </row>
    <row r="75">
      <c r="A75" s="5" t="inlineStr">
        <is>
          <t>Net Stable Funding Ratio (FY2021 and earlier: the CRR2 NSFR rules commenced 1 January 2022 and no comparable prior figure is published)</t>
        </is>
      </c>
      <c r="B75" s="6" t="n"/>
      <c r="C75" s="6" t="n"/>
      <c r="D75" s="6" t="n"/>
      <c r="E75" s="6" t="n"/>
      <c r="F75" s="6" t="n"/>
      <c r="G75" s="6" t="n"/>
      <c r="H75" s="6" t="n"/>
    </row>
    <row r="76">
      <c r="A76" s="6" t="inlineStr">
        <is>
          <t>18  Total available stable funding (£'000)</t>
        </is>
      </c>
      <c r="B76" s="6" t="n"/>
      <c r="C76" s="6" t="n"/>
      <c r="D76" s="6" t="n"/>
      <c r="E76" s="6" t="n">
        <v>1089789</v>
      </c>
      <c r="F76" s="6" t="n"/>
      <c r="G76" s="6" t="n"/>
      <c r="H76" s="6" t="n"/>
    </row>
    <row r="77">
      <c r="A77" s="6" t="inlineStr">
        <is>
          <t>19  Total required stable funding (£'000)</t>
        </is>
      </c>
      <c r="B77" s="6" t="n"/>
      <c r="C77" s="6" t="n"/>
      <c r="D77" s="6" t="n"/>
      <c r="E77" s="6" t="n">
        <v>396700</v>
      </c>
      <c r="F77" s="6" t="n"/>
      <c r="G77" s="6" t="n"/>
      <c r="H77" s="6" t="n"/>
    </row>
    <row r="78">
      <c r="A78" s="6" t="inlineStr">
        <is>
          <t xml:space="preserve">20  NSFR ratio (%) </t>
        </is>
      </c>
      <c r="B78" s="6" t="n"/>
      <c r="C78" s="6" t="n"/>
      <c r="D78" s="6" t="n"/>
      <c r="E78" s="6" t="inlineStr">
        <is>
          <t>274.71%</t>
        </is>
      </c>
      <c r="F78" s="6" t="n"/>
      <c r="G78" s="6" t="n"/>
      <c r="H78" s="6" t="n"/>
    </row>
    <row r="80" ht="900" customHeight="1">
      <c r="A80"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
FY2023 LEVERAGE RATIO DIVERGES BETWEEN EDITIONS AND BOTH FIGURES ARE CORRECT AS PUBLISHED. The FY2023 edition prints a 19.75% leverage ratio on a total exposure measure of 1,567,144. The FY2024 edition restates the same year to 19.64% on an exposure measure of 1,575,739. This sheet carries the FY2023 edition's own 19.75%, because each year comes from its own edition; the Leverage Ratio metric sheet carries the later restated 19.64%. The cross-check will flag this. It is a genuine cross-edition restatement - corroborated by the exposure measure moving in the same edition - and is documented here rather than silenced by editing either figure.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IS BLANK. No FY2025 Pillar 3 disclosure has been published, and the FY2025 Annual Report contains no key-metrics table - confirmed by reading its full text layer, not by a failed search.</t>
        </is>
      </c>
    </row>
  </sheetData>
  <mergeCells count="1">
    <mergeCell ref="A80:H8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UK OV1 template (FY2024-FY2021)</t>
        </is>
      </c>
      <c r="B4" s="6" t="n"/>
      <c r="C4" s="6" t="n"/>
      <c r="D4" s="6" t="n"/>
      <c r="E4" s="6" t="n"/>
      <c r="F4" s="6" t="n"/>
      <c r="G4" s="6" t="n"/>
      <c r="H4" s="6" t="n"/>
    </row>
    <row r="5">
      <c r="A5" s="6" t="inlineStr">
        <is>
          <t>Credit risk (excluding CCR)</t>
        </is>
      </c>
      <c r="B5" s="6" t="n"/>
      <c r="C5" s="6" t="n">
        <v>1196695</v>
      </c>
      <c r="D5" s="6" t="n">
        <v>1060740</v>
      </c>
      <c r="E5" s="6" t="n">
        <v>967989</v>
      </c>
      <c r="F5" s="6" t="n">
        <v>1293719</v>
      </c>
      <c r="G5" s="6" t="n"/>
      <c r="H5" s="6" t="n"/>
    </row>
    <row r="6">
      <c r="A6" s="6" t="inlineStr">
        <is>
          <t>Counterparty Credit Risk (CCR)</t>
        </is>
      </c>
      <c r="B6" s="6" t="n"/>
      <c r="C6" s="6" t="n">
        <v>4007</v>
      </c>
      <c r="D6" s="6" t="n">
        <v>8023</v>
      </c>
      <c r="E6" s="6" t="n">
        <v>23857</v>
      </c>
      <c r="F6" s="6" t="n">
        <v>11788</v>
      </c>
      <c r="G6" s="6" t="n"/>
      <c r="H6" s="6" t="n"/>
    </row>
    <row r="7">
      <c r="A7" s="6" t="inlineStr">
        <is>
          <t>Of which CVA</t>
        </is>
      </c>
      <c r="B7" s="6" t="n"/>
      <c r="C7" s="6" t="n">
        <v>611</v>
      </c>
      <c r="D7" s="6" t="n">
        <v>922</v>
      </c>
      <c r="E7" s="6" t="n">
        <v>5202</v>
      </c>
      <c r="F7" s="6" t="n">
        <v>1774</v>
      </c>
      <c r="G7" s="6" t="n"/>
      <c r="H7" s="6" t="n"/>
    </row>
    <row r="8">
      <c r="A8" s="6" t="inlineStr">
        <is>
          <t>Settlement risk</t>
        </is>
      </c>
      <c r="B8" s="6" t="n"/>
      <c r="C8" s="6" t="n">
        <v>30</v>
      </c>
      <c r="D8" s="6" t="n">
        <v>2</v>
      </c>
      <c r="E8" s="6" t="n">
        <v>55</v>
      </c>
      <c r="F8" s="6" t="n">
        <v>14</v>
      </c>
      <c r="G8" s="6" t="n"/>
      <c r="H8" s="6" t="n"/>
    </row>
    <row r="9">
      <c r="A9" s="6" t="inlineStr">
        <is>
          <t>Market risk</t>
        </is>
      </c>
      <c r="B9" s="6" t="n"/>
      <c r="C9" s="6" t="n">
        <v>4235</v>
      </c>
      <c r="D9" s="6" t="n">
        <v>9945</v>
      </c>
      <c r="E9" s="6" t="n">
        <v>98823</v>
      </c>
      <c r="F9" s="6" t="n">
        <v>80096</v>
      </c>
      <c r="G9" s="6" t="n"/>
      <c r="H9" s="6" t="n"/>
    </row>
    <row r="10">
      <c r="A10" s="6" t="inlineStr">
        <is>
          <t>Operational risk</t>
        </is>
      </c>
      <c r="B10" s="6" t="n"/>
      <c r="C10" s="6" t="n">
        <v>190020</v>
      </c>
      <c r="D10" s="6" t="n">
        <v>155846</v>
      </c>
      <c r="E10" s="6" t="n">
        <v>134759</v>
      </c>
      <c r="F10" s="6" t="n">
        <v>149967</v>
      </c>
      <c r="G10" s="6" t="n"/>
      <c r="H10" s="6" t="n"/>
    </row>
    <row r="11">
      <c r="A11" s="5" t="inlineStr">
        <is>
          <t>Total RWAs</t>
        </is>
      </c>
      <c r="B11" s="5" t="n"/>
      <c r="C11" s="5" t="n">
        <v>1395598</v>
      </c>
      <c r="D11" s="5" t="n">
        <v>1235478</v>
      </c>
      <c r="E11" s="5" t="n">
        <v>1230686</v>
      </c>
      <c r="F11" s="5" t="n">
        <v>1537358</v>
      </c>
      <c r="G11" s="5" t="n"/>
      <c r="H11" s="5" t="n"/>
    </row>
    <row r="12">
      <c r="A12" s="5" t="inlineStr">
        <is>
          <t>Table 11 EU OV1 (FY2020)</t>
        </is>
      </c>
      <c r="B12" s="6" t="n"/>
      <c r="C12" s="6" t="n"/>
      <c r="D12" s="6" t="n"/>
      <c r="E12" s="6" t="n"/>
      <c r="F12" s="6" t="n"/>
      <c r="G12" s="6" t="n"/>
      <c r="H12" s="6" t="n"/>
    </row>
    <row r="13">
      <c r="A13" s="6" t="inlineStr">
        <is>
          <t>Credit risk (excluding CCR)</t>
        </is>
      </c>
      <c r="B13" s="6" t="n"/>
      <c r="C13" s="6" t="n"/>
      <c r="D13" s="6" t="n"/>
      <c r="E13" s="6" t="n"/>
      <c r="F13" s="6" t="n"/>
      <c r="G13" s="6" t="n">
        <v>1042450</v>
      </c>
      <c r="H13" s="6" t="n"/>
    </row>
    <row r="14">
      <c r="A14" s="6" t="inlineStr">
        <is>
          <t>Counterparty Credit Risk (CCR)</t>
        </is>
      </c>
      <c r="B14" s="6" t="n"/>
      <c r="C14" s="6" t="n"/>
      <c r="D14" s="6" t="n"/>
      <c r="E14" s="6" t="n"/>
      <c r="F14" s="6" t="n"/>
      <c r="G14" s="6" t="n">
        <v>13681</v>
      </c>
      <c r="H14" s="6" t="n"/>
    </row>
    <row r="15">
      <c r="A15" s="6" t="inlineStr">
        <is>
          <t>Of which CVA</t>
        </is>
      </c>
      <c r="B15" s="6" t="n"/>
      <c r="C15" s="6" t="n"/>
      <c r="D15" s="6" t="n"/>
      <c r="E15" s="6" t="n"/>
      <c r="F15" s="6" t="n"/>
      <c r="G15" s="6" t="n">
        <v>1921</v>
      </c>
      <c r="H15" s="6" t="n"/>
    </row>
    <row r="16">
      <c r="A16" s="6" t="inlineStr">
        <is>
          <t>Settlement risk</t>
        </is>
      </c>
      <c r="B16" s="6" t="n"/>
      <c r="C16" s="6" t="n"/>
      <c r="D16" s="6" t="n"/>
      <c r="E16" s="6" t="n"/>
      <c r="F16" s="6" t="n"/>
      <c r="G16" s="6" t="n">
        <v>0</v>
      </c>
      <c r="H16" s="6" t="n"/>
    </row>
    <row r="17">
      <c r="A17" s="6" t="inlineStr">
        <is>
          <t>Market risk</t>
        </is>
      </c>
      <c r="B17" s="6" t="n"/>
      <c r="C17" s="6" t="n"/>
      <c r="D17" s="6" t="n"/>
      <c r="E17" s="6" t="n"/>
      <c r="F17" s="6" t="n"/>
      <c r="G17" s="6" t="n">
        <v>18446</v>
      </c>
      <c r="H17" s="6" t="n"/>
    </row>
    <row r="18">
      <c r="A18" s="6" t="inlineStr">
        <is>
          <t>Operational risk</t>
        </is>
      </c>
      <c r="B18" s="6" t="n"/>
      <c r="C18" s="6" t="n"/>
      <c r="D18" s="6" t="n"/>
      <c r="E18" s="6" t="n"/>
      <c r="F18" s="6" t="n"/>
      <c r="G18" s="6" t="n">
        <v>151513</v>
      </c>
      <c r="H18" s="6" t="n"/>
    </row>
    <row r="19">
      <c r="A19" s="5" t="inlineStr">
        <is>
          <t>Total RWAs</t>
        </is>
      </c>
      <c r="B19" s="5" t="n"/>
      <c r="C19" s="5" t="n"/>
      <c r="D19" s="5" t="n"/>
      <c r="E19" s="5" t="n"/>
      <c r="F19" s="5" t="n"/>
      <c r="G19" s="5" t="n">
        <v>1228011</v>
      </c>
      <c r="H19" s="5" t="n"/>
    </row>
    <row r="20">
      <c r="A20" s="5" t="inlineStr">
        <is>
          <t>Table 1 Analysis of Pillar 1 Capital Requirement (FY2019, pre-OV1 template)</t>
        </is>
      </c>
      <c r="B20" s="6" t="n"/>
      <c r="C20" s="6" t="n"/>
      <c r="D20" s="6" t="n"/>
      <c r="E20" s="6" t="n"/>
      <c r="F20" s="6" t="n"/>
      <c r="G20" s="6" t="n"/>
      <c r="H20" s="6" t="n"/>
    </row>
    <row r="21">
      <c r="A21" s="6" t="inlineStr">
        <is>
          <t>Credit risk (including CCR)</t>
        </is>
      </c>
      <c r="B21" s="6" t="n"/>
      <c r="C21" s="6" t="n"/>
      <c r="D21" s="6" t="n"/>
      <c r="E21" s="6" t="n"/>
      <c r="F21" s="6" t="n"/>
      <c r="G21" s="6" t="n"/>
      <c r="H21" s="6" t="n">
        <v>1011400</v>
      </c>
    </row>
    <row r="22">
      <c r="A22" s="6" t="inlineStr">
        <is>
          <t>Settlement risk</t>
        </is>
      </c>
      <c r="B22" s="6" t="n"/>
      <c r="C22" s="6" t="n"/>
      <c r="D22" s="6" t="n"/>
      <c r="E22" s="6" t="n"/>
      <c r="F22" s="6" t="n"/>
      <c r="G22" s="6" t="n"/>
      <c r="H22" s="6" t="n">
        <v>8</v>
      </c>
    </row>
    <row r="23">
      <c r="A23" s="6" t="inlineStr">
        <is>
          <t>Market risk</t>
        </is>
      </c>
      <c r="B23" s="6" t="n"/>
      <c r="C23" s="6" t="n"/>
      <c r="D23" s="6" t="n"/>
      <c r="E23" s="6" t="n"/>
      <c r="F23" s="6" t="n"/>
      <c r="G23" s="6" t="n"/>
      <c r="H23" s="6" t="n">
        <v>14534</v>
      </c>
    </row>
    <row r="24">
      <c r="A24" s="6" t="inlineStr">
        <is>
          <t>Operational risk</t>
        </is>
      </c>
      <c r="B24" s="6" t="n"/>
      <c r="C24" s="6" t="n"/>
      <c r="D24" s="6" t="n"/>
      <c r="E24" s="6" t="n"/>
      <c r="F24" s="6" t="n"/>
      <c r="G24" s="6" t="n"/>
      <c r="H24" s="6" t="n">
        <v>142881</v>
      </c>
    </row>
    <row r="25">
      <c r="A25" s="6" t="inlineStr">
        <is>
          <t>Of which CVA</t>
        </is>
      </c>
      <c r="B25" s="6" t="n"/>
      <c r="C25" s="6" t="n"/>
      <c r="D25" s="6" t="n"/>
      <c r="E25" s="6" t="n"/>
      <c r="F25" s="6" t="n"/>
      <c r="G25" s="6" t="n"/>
      <c r="H25" s="6" t="n">
        <v>592</v>
      </c>
    </row>
    <row r="26">
      <c r="A26" s="5" t="inlineStr">
        <is>
          <t>Total RWAs</t>
        </is>
      </c>
      <c r="B26" s="5" t="n"/>
      <c r="C26" s="5" t="n"/>
      <c r="D26" s="5" t="n"/>
      <c r="E26" s="5" t="n"/>
      <c r="F26" s="5" t="n"/>
      <c r="G26" s="5" t="n"/>
      <c r="H26" s="5" t="n">
        <v>1169415</v>
      </c>
    </row>
    <row r="28" ht="340" customHeight="1">
      <c r="A28"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8:H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n"/>
      <c r="C4" s="6" t="inlineStr">
        <is>
          <t>14.12%</t>
        </is>
      </c>
      <c r="D4" s="6" t="inlineStr">
        <is>
          <t>19.64%</t>
        </is>
      </c>
      <c r="E4" s="6" t="inlineStr">
        <is>
          <t>9.84%</t>
        </is>
      </c>
      <c r="F4" s="6" t="inlineStr">
        <is>
          <t>6.83%</t>
        </is>
      </c>
      <c r="G4" s="6" t="inlineStr">
        <is>
          <t>6.75%</t>
        </is>
      </c>
      <c r="H4" s="6" t="inlineStr">
        <is>
          <t>4.98%</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trailing average)</t>
        </is>
      </c>
      <c r="B4" s="6" t="n"/>
      <c r="C4" s="6" t="inlineStr">
        <is>
          <t>409.09%</t>
        </is>
      </c>
      <c r="D4" s="6" t="inlineStr">
        <is>
          <t>383.17%</t>
        </is>
      </c>
      <c r="E4" s="6" t="inlineStr">
        <is>
          <t>240.65%</t>
        </is>
      </c>
      <c r="F4" s="6" t="inlineStr">
        <is>
          <t>243.08%</t>
        </is>
      </c>
      <c r="G4" s="6" t="inlineStr">
        <is>
          <t>252.76%</t>
        </is>
      </c>
      <c r="H4" s="6" t="n"/>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n"/>
      <c r="C4" s="6" t="inlineStr">
        <is>
          <t>213%</t>
        </is>
      </c>
      <c r="D4" s="6" t="inlineStr">
        <is>
          <t>286.37%</t>
        </is>
      </c>
      <c r="E4" s="6" t="inlineStr">
        <is>
          <t>274.71%</t>
        </is>
      </c>
      <c r="F4" s="6" t="n"/>
      <c r="G4" s="6" t="n"/>
      <c r="H4" s="6" t="n"/>
    </row>
    <row r="5" ht="60" customHeight="1">
      <c r="A5" s="7" t="inlineStr">
        <is>
          <t>Note: FY2021 not disclosed: the CRR2 NSFR rules commenced 1 January 2022 and the Bank's own Pillar 3 Disclosures (Dec 2022) state prior-period NSFR data is 'not available on an equivalent basis'.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2026-09-17T18:14:38Z</dcterms:created>
  <dcterms:modified xmlns:dcterms="http://purl.org/dc/terms/" xmlns:xsi="http://www.w3.org/2001/XMLSchema-instance" xsi:type="dcterms:W3CDTF">2026-09-17T18:14:38Z</dcterms:modified>
</cp:coreProperties>
</file>