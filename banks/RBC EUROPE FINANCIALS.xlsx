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53258000</v>
      </c>
      <c r="C6" s="5" t="n">
        <v>52030428</v>
      </c>
      <c r="D6" s="5" t="n">
        <v>54013806</v>
      </c>
      <c r="E6" s="5" t="n">
        <v>53313467</v>
      </c>
      <c r="F6" s="5" t="n">
        <v>49173176</v>
      </c>
      <c r="G6" s="5" t="n"/>
      <c r="H6" s="5" t="n"/>
      <c r="I6" s="5" t="n"/>
      <c r="J6" s="5" t="n"/>
      <c r="K6" s="5" t="n"/>
      <c r="L6" s="5" t="n"/>
      <c r="M6" s="5" t="n"/>
      <c r="P6" t="inlineStr">
        <is>
          <t>Total assets</t>
        </is>
      </c>
      <c r="X6" t="n">
        <v>49173176</v>
      </c>
      <c r="Y6" t="n">
        <v>53313467</v>
      </c>
      <c r="Z6" t="n">
        <v>54013806</v>
      </c>
      <c r="AA6" t="n">
        <v>52030428</v>
      </c>
      <c r="AB6" t="n">
        <v>53258000</v>
      </c>
      <c r="BX6" t="inlineStr">
        <is>
          <t>CET1 Ratio</t>
        </is>
      </c>
      <c r="BY6" t="n">
        <v>17.2</v>
      </c>
      <c r="BZ6" t="n">
        <v>20.6</v>
      </c>
      <c r="CA6" t="n">
        <v>17</v>
      </c>
      <c r="CB6" t="n">
        <v>14.4</v>
      </c>
      <c r="CC6" t="n">
        <v>14.3</v>
      </c>
      <c r="CD6" t="n">
        <v>14.4</v>
      </c>
      <c r="CE6" t="n">
        <v>16.2</v>
      </c>
      <c r="CF6" t="n">
        <v>15.05</v>
      </c>
      <c r="CG6" t="n">
        <v>15.46</v>
      </c>
      <c r="CH6" t="n">
        <v>15.02</v>
      </c>
      <c r="CI6" t="n">
        <v>12.07</v>
      </c>
      <c r="CJ6" t="n">
        <v>13.81</v>
      </c>
    </row>
    <row r="7">
      <c r="A7" s="5" t="inlineStr">
        <is>
          <t>Loans and advances</t>
        </is>
      </c>
      <c r="B7" s="5" t="n">
        <v>8781847</v>
      </c>
      <c r="C7" s="5" t="n">
        <v>7810517</v>
      </c>
      <c r="D7" s="5" t="n">
        <v>7905674</v>
      </c>
      <c r="E7" s="5" t="n">
        <v>8022378</v>
      </c>
      <c r="F7" s="5" t="n">
        <v>7034028</v>
      </c>
      <c r="G7" s="5" t="n"/>
      <c r="H7" s="5" t="n"/>
      <c r="I7" s="5" t="n"/>
      <c r="J7" s="5" t="n"/>
      <c r="K7" s="5" t="n"/>
      <c r="L7" s="5" t="n"/>
      <c r="M7" s="5" t="n"/>
      <c r="P7" t="inlineStr">
        <is>
          <t>Loans and advances</t>
        </is>
      </c>
      <c r="X7" t="n">
        <v>7034028</v>
      </c>
      <c r="Y7" t="n">
        <v>8022378</v>
      </c>
      <c r="Z7" t="n">
        <v>7905674</v>
      </c>
      <c r="AA7" t="n">
        <v>7810517</v>
      </c>
      <c r="AB7" t="n">
        <v>8781847</v>
      </c>
      <c r="BX7" t="inlineStr">
        <is>
          <t>Tier 1 Ratio</t>
        </is>
      </c>
      <c r="BY7" t="n">
        <v>17.2</v>
      </c>
      <c r="BZ7" t="n">
        <v>20.6</v>
      </c>
      <c r="CA7" t="n">
        <v>17</v>
      </c>
      <c r="CB7" t="n">
        <v>14.4</v>
      </c>
      <c r="CC7" t="n">
        <v>16.1</v>
      </c>
      <c r="CD7" t="n">
        <v>18</v>
      </c>
      <c r="CE7" t="n">
        <v>20</v>
      </c>
      <c r="CF7" t="n">
        <v>18.4</v>
      </c>
      <c r="CG7" t="n">
        <v>18.82</v>
      </c>
      <c r="CH7" t="n">
        <v>18.15</v>
      </c>
      <c r="CI7" t="n">
        <v>14.56</v>
      </c>
      <c r="CJ7" t="n">
        <v>16.15</v>
      </c>
    </row>
    <row r="8">
      <c r="A8" s="5" t="inlineStr">
        <is>
          <t>Deposits by customers</t>
        </is>
      </c>
      <c r="B8" s="5" t="n">
        <v>12589815</v>
      </c>
      <c r="C8" s="5" t="n">
        <v>12134787</v>
      </c>
      <c r="D8" s="5" t="n">
        <v>11557114</v>
      </c>
      <c r="E8" s="5" t="n">
        <v>11060215</v>
      </c>
      <c r="F8" s="5" t="n">
        <v>5600093</v>
      </c>
      <c r="G8" s="5" t="n"/>
      <c r="H8" s="5" t="n"/>
      <c r="I8" s="5" t="n"/>
      <c r="J8" s="5" t="n"/>
      <c r="K8" s="5" t="n"/>
      <c r="L8" s="5" t="n"/>
      <c r="M8" s="5" t="n"/>
      <c r="P8" t="inlineStr">
        <is>
          <t>Deposits by customers</t>
        </is>
      </c>
      <c r="X8" t="n">
        <v>5600093</v>
      </c>
      <c r="Y8" t="n">
        <v>11060215</v>
      </c>
      <c r="Z8" t="n">
        <v>11557114</v>
      </c>
      <c r="AA8" t="n">
        <v>12134787</v>
      </c>
      <c r="AB8" t="n">
        <v>12589815</v>
      </c>
      <c r="BX8" t="inlineStr">
        <is>
          <t>Total Capital Ratio</t>
        </is>
      </c>
      <c r="BY8" t="n">
        <v>22</v>
      </c>
      <c r="BZ8" t="n">
        <v>26.1</v>
      </c>
      <c r="CA8" t="n">
        <v>22</v>
      </c>
      <c r="CB8" t="n">
        <v>17.3</v>
      </c>
      <c r="CC8" t="n">
        <v>19</v>
      </c>
      <c r="CD8" t="n">
        <v>18.9</v>
      </c>
      <c r="CE8" t="n">
        <v>21</v>
      </c>
      <c r="CF8" t="n">
        <v>19.21</v>
      </c>
      <c r="CG8" t="n">
        <v>19.8</v>
      </c>
      <c r="CH8" t="n">
        <v>19.01</v>
      </c>
      <c r="CI8" t="n">
        <v>15.2</v>
      </c>
      <c r="CJ8" t="n">
        <v>18.37</v>
      </c>
    </row>
    <row r="9">
      <c r="A9" s="5" t="inlineStr">
        <is>
          <t>Total equity</t>
        </is>
      </c>
      <c r="B9" s="5" t="n">
        <v>3156622</v>
      </c>
      <c r="C9" s="5" t="n">
        <v>1781844</v>
      </c>
      <c r="D9" s="5" t="n">
        <v>1763502</v>
      </c>
      <c r="E9" s="5" t="n">
        <v>1707383</v>
      </c>
      <c r="F9" s="5" t="n">
        <v>1647297</v>
      </c>
      <c r="G9" s="5" t="n"/>
      <c r="H9" s="5" t="n"/>
      <c r="I9" s="5" t="n"/>
      <c r="J9" s="5" t="n"/>
      <c r="K9" s="5" t="n"/>
      <c r="L9" s="5" t="n"/>
      <c r="M9" s="5" t="n"/>
      <c r="P9" t="inlineStr">
        <is>
          <t>Total equity</t>
        </is>
      </c>
      <c r="X9" t="n">
        <v>1647297</v>
      </c>
      <c r="Y9" t="n">
        <v>1707383</v>
      </c>
      <c r="Z9" t="n">
        <v>1763502</v>
      </c>
      <c r="AA9" t="n">
        <v>1781844</v>
      </c>
      <c r="AB9" t="n">
        <v>3156622</v>
      </c>
      <c r="BX9" t="inlineStr">
        <is>
          <t>Leverage Ratio</t>
        </is>
      </c>
      <c r="CF9" t="n">
        <v>3.51</v>
      </c>
      <c r="CG9" t="n">
        <v>4.12</v>
      </c>
      <c r="CH9" t="n">
        <v>4.27</v>
      </c>
      <c r="CI9" t="n">
        <v>4.09</v>
      </c>
      <c r="CJ9" t="n">
        <v>4.51</v>
      </c>
    </row>
    <row r="10">
      <c r="BX10" t="inlineStr">
        <is>
          <t>LCR</t>
        </is>
      </c>
      <c r="CG10" t="n">
        <v>125</v>
      </c>
      <c r="CH10" t="n">
        <v>127</v>
      </c>
      <c r="CI10" t="n">
        <v>134</v>
      </c>
      <c r="CJ10" t="n">
        <v>132</v>
      </c>
    </row>
    <row r="11">
      <c r="A11" s="3" t="inlineStr">
        <is>
          <t>Profit &amp; Loss Summary (£'000)</t>
        </is>
      </c>
      <c r="BX11" t="inlineStr">
        <is>
          <t>NSFR</t>
        </is>
      </c>
      <c r="CG11" t="n">
        <v>111</v>
      </c>
      <c r="CH11" t="n">
        <v>124</v>
      </c>
      <c r="CI11" t="n">
        <v>112</v>
      </c>
      <c r="CJ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c r="H13" s="5" t="n"/>
      <c r="I13" s="5" t="n"/>
      <c r="J13" s="5" t="n"/>
      <c r="K13" s="5" t="n"/>
      <c r="L13" s="5" t="n"/>
      <c r="M13" s="5" t="n"/>
      <c r="AE13" t="inlineStr">
        <is>
          <t>Total operating income</t>
        </is>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c r="H14" s="5" t="n"/>
      <c r="I14" s="5" t="n"/>
      <c r="J14" s="5" t="n"/>
      <c r="K14" s="5" t="n"/>
      <c r="L14" s="5" t="n"/>
      <c r="M14" s="5" t="n"/>
      <c r="AE14" t="inlineStr">
        <is>
          <t>Total operating expenses</t>
        </is>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c r="H15" s="5" t="n"/>
      <c r="I15" s="5" t="n"/>
      <c r="J15" s="5" t="n"/>
      <c r="K15" s="5" t="n"/>
      <c r="L15" s="5" t="n"/>
      <c r="M15" s="5" t="n"/>
      <c r="AE15" t="inlineStr">
        <is>
          <t>Net (loss)/profit</t>
        </is>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1781844</v>
      </c>
      <c r="C19" s="5" t="n">
        <v>1763502</v>
      </c>
      <c r="D19" s="5" t="n">
        <v>1707383</v>
      </c>
      <c r="E19" s="5" t="n">
        <v>1647297</v>
      </c>
      <c r="F19" s="5" t="n">
        <v>1565586</v>
      </c>
      <c r="G19" s="5" t="n"/>
      <c r="H19" s="5" t="n"/>
      <c r="I19" s="5" t="n"/>
      <c r="J19" s="5" t="n"/>
      <c r="K19" s="5" t="n"/>
      <c r="L19" s="5" t="n"/>
      <c r="M19" s="5" t="n"/>
      <c r="AT19" t="inlineStr">
        <is>
          <t>Opening equity</t>
        </is>
      </c>
      <c r="BB19" t="n">
        <v>1565586</v>
      </c>
      <c r="BC19" t="n">
        <v>1647297</v>
      </c>
      <c r="BD19" t="n">
        <v>1707383</v>
      </c>
      <c r="BE19" t="n">
        <v>1763502</v>
      </c>
      <c r="BF19" t="n">
        <v>1781844</v>
      </c>
    </row>
    <row r="20">
      <c r="A20" s="5" t="inlineStr">
        <is>
          <t>Total comprehensive (loss)/income for the year</t>
        </is>
      </c>
      <c r="B20" s="5" t="n">
        <v>-38961</v>
      </c>
      <c r="C20" s="5" t="n">
        <v>49619</v>
      </c>
      <c r="D20" s="5" t="n">
        <v>86246</v>
      </c>
      <c r="E20" s="5" t="n">
        <v>77734</v>
      </c>
      <c r="F20" s="5" t="n">
        <v>94638</v>
      </c>
      <c r="G20" s="5" t="n"/>
      <c r="H20" s="5" t="n"/>
      <c r="I20" s="5" t="n"/>
      <c r="J20" s="5" t="n"/>
      <c r="K20" s="5" t="n"/>
      <c r="L20" s="5" t="n"/>
      <c r="M20" s="5" t="n"/>
      <c r="AT20" t="inlineStr">
        <is>
          <t>Total comprehensive (loss)/income for the year</t>
        </is>
      </c>
      <c r="BB20" t="n">
        <v>94638</v>
      </c>
      <c r="BC20" t="n">
        <v>77734</v>
      </c>
      <c r="BD20" t="n">
        <v>86246</v>
      </c>
      <c r="BE20" t="n">
        <v>49619</v>
      </c>
      <c r="BF20" t="n">
        <v>-38961</v>
      </c>
    </row>
    <row r="21">
      <c r="A21" s="5" t="inlineStr">
        <is>
          <t>Other equity movements, net</t>
        </is>
      </c>
      <c r="B21" s="5" t="n">
        <v>1413739</v>
      </c>
      <c r="C21" s="5" t="n">
        <v>-31277</v>
      </c>
      <c r="D21" s="5" t="n">
        <v>-30127</v>
      </c>
      <c r="E21" s="5" t="n">
        <v>-17648</v>
      </c>
      <c r="F21" s="5" t="n">
        <v>-12927</v>
      </c>
      <c r="G21" s="5" t="n"/>
      <c r="H21" s="5" t="n"/>
      <c r="I21" s="5" t="n"/>
      <c r="J21" s="5" t="n"/>
      <c r="K21" s="5" t="n"/>
      <c r="L21" s="5" t="n"/>
      <c r="M21" s="5" t="n"/>
      <c r="AT21" t="inlineStr">
        <is>
          <t>Other equity movements, net</t>
        </is>
      </c>
      <c r="BB21" t="n">
        <v>-12927</v>
      </c>
      <c r="BC21" t="n">
        <v>-17648</v>
      </c>
      <c r="BD21" t="n">
        <v>-30127</v>
      </c>
      <c r="BE21" t="n">
        <v>-31277</v>
      </c>
      <c r="BF21" t="n">
        <v>1413739</v>
      </c>
    </row>
    <row r="22">
      <c r="A22" s="5" t="inlineStr">
        <is>
          <t>Closing equity</t>
        </is>
      </c>
      <c r="B22" s="5" t="n">
        <v>3156622</v>
      </c>
      <c r="C22" s="5" t="n">
        <v>1781844</v>
      </c>
      <c r="D22" s="5" t="n">
        <v>1763502</v>
      </c>
      <c r="E22" s="5" t="n">
        <v>1707383</v>
      </c>
      <c r="F22" s="5" t="n">
        <v>1647297</v>
      </c>
      <c r="G22" s="5" t="n"/>
      <c r="H22" s="5" t="n"/>
      <c r="I22" s="5" t="n"/>
      <c r="J22" s="5" t="n"/>
      <c r="K22" s="5" t="n"/>
      <c r="L22" s="5" t="n"/>
      <c r="M22" s="5" t="n"/>
      <c r="AT22" t="inlineStr">
        <is>
          <t>Closing equity</t>
        </is>
      </c>
      <c r="BB22" t="n">
        <v>1647297</v>
      </c>
      <c r="BC22" t="n">
        <v>1707383</v>
      </c>
      <c r="BD22" t="n">
        <v>1763502</v>
      </c>
      <c r="BE22" t="n">
        <v>1781844</v>
      </c>
      <c r="BF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(outflow)/inflow from operating activities</t>
        </is>
      </c>
      <c r="B26" s="5" t="n">
        <v>-2827725</v>
      </c>
      <c r="C26" s="5" t="n">
        <v>-4638153</v>
      </c>
      <c r="D26" s="5" t="n">
        <v>-1165304</v>
      </c>
      <c r="E26" s="5" t="n">
        <v>5441607</v>
      </c>
      <c r="F26" s="5" t="n">
        <v>3898171</v>
      </c>
      <c r="G26" s="5" t="n"/>
      <c r="H26" s="5" t="n"/>
      <c r="I26" s="5" t="n"/>
      <c r="J26" s="5" t="n"/>
      <c r="K26" s="5" t="n"/>
      <c r="L26" s="5" t="n"/>
      <c r="M26" s="5" t="n"/>
      <c r="BI26" t="inlineStr">
        <is>
          <t>Net cash (outflow)/inflow from operating activities</t>
        </is>
      </c>
      <c r="BQ26" t="n">
        <v>3898171</v>
      </c>
      <c r="BR26" t="n">
        <v>5441607</v>
      </c>
      <c r="BS26" t="n">
        <v>-1165304</v>
      </c>
      <c r="BT26" t="n">
        <v>-4638153</v>
      </c>
      <c r="BU26" t="n">
        <v>-2827725</v>
      </c>
    </row>
    <row r="27">
      <c r="A27" s="5" t="inlineStr">
        <is>
          <t>Net cash from investing activities</t>
        </is>
      </c>
      <c r="B27" s="5" t="n">
        <v>-1153173</v>
      </c>
      <c r="C27" s="5" t="n">
        <v>0</v>
      </c>
      <c r="D27" s="5" t="n">
        <v>0</v>
      </c>
      <c r="E27" s="5" t="n">
        <v>0</v>
      </c>
      <c r="F27" s="5" t="n">
        <v>0</v>
      </c>
      <c r="G27" s="5" t="n"/>
      <c r="H27" s="5" t="n"/>
      <c r="I27" s="5" t="n"/>
      <c r="J27" s="5" t="n"/>
      <c r="K27" s="5" t="n"/>
      <c r="L27" s="5" t="n"/>
      <c r="M27" s="5" t="n"/>
      <c r="BI27" t="inlineStr">
        <is>
          <t>Net cash from investing activities</t>
        </is>
      </c>
      <c r="BQ27" t="n">
        <v>0</v>
      </c>
      <c r="BR27" t="n">
        <v>0</v>
      </c>
      <c r="BS27" t="n">
        <v>0</v>
      </c>
      <c r="BT27" t="n">
        <v>0</v>
      </c>
      <c r="BU27" t="n">
        <v>-1153173</v>
      </c>
    </row>
    <row r="28">
      <c r="A28" s="5" t="inlineStr">
        <is>
          <t>Net cash inflow/(outflow) from financing activities</t>
        </is>
      </c>
      <c r="B28" s="5" t="n">
        <v>1715050</v>
      </c>
      <c r="C28" s="5" t="n">
        <v>-36915</v>
      </c>
      <c r="D28" s="5" t="n">
        <v>-35017</v>
      </c>
      <c r="E28" s="5" t="n">
        <v>-19285</v>
      </c>
      <c r="F28" s="5" t="n">
        <v>-14281</v>
      </c>
      <c r="G28" s="5" t="n"/>
      <c r="H28" s="5" t="n"/>
      <c r="I28" s="5" t="n"/>
      <c r="J28" s="5" t="n"/>
      <c r="K28" s="5" t="n"/>
      <c r="L28" s="5" t="n"/>
      <c r="M28" s="5" t="n"/>
      <c r="BI28" t="inlineStr">
        <is>
          <t>Net cash inflow/(outflow) from financing activities</t>
        </is>
      </c>
      <c r="BQ28" t="n">
        <v>-14281</v>
      </c>
      <c r="BR28" t="n">
        <v>-19285</v>
      </c>
      <c r="BS28" t="n">
        <v>-35017</v>
      </c>
      <c r="BT28" t="n">
        <v>-36915</v>
      </c>
      <c r="BU28" t="n">
        <v>1715050</v>
      </c>
    </row>
    <row r="29">
      <c r="A29" s="5" t="inlineStr">
        <is>
          <t>Cash and cash equivalents at end of year</t>
        </is>
      </c>
      <c r="B29" s="5" t="n">
        <v>2534127</v>
      </c>
      <c r="C29" s="5" t="n">
        <v>4455652</v>
      </c>
      <c r="D29" s="5" t="n">
        <v>9347772</v>
      </c>
      <c r="E29" s="5" t="n">
        <v>10594230</v>
      </c>
      <c r="F29" s="5" t="n">
        <v>5171908</v>
      </c>
      <c r="G29" s="5" t="n"/>
      <c r="H29" s="5" t="n"/>
      <c r="I29" s="5" t="n"/>
      <c r="J29" s="5" t="n"/>
      <c r="K29" s="5" t="n"/>
      <c r="L29" s="5" t="n"/>
      <c r="M29" s="5" t="n"/>
      <c r="BI29" t="inlineStr">
        <is>
          <t>Cash and cash equivalents at end of year</t>
        </is>
      </c>
      <c r="BQ29" t="n">
        <v>5171908</v>
      </c>
      <c r="BR29" t="n">
        <v>10594230</v>
      </c>
      <c r="BS29" t="n">
        <v>9347772</v>
      </c>
      <c r="BT29" t="n">
        <v>4455652</v>
      </c>
      <c r="BU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n"/>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n"/>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c r="M4" s="6" t="n"/>
    </row>
    <row r="5">
      <c r="A5" s="6" t="inlineStr">
        <is>
          <t>Stage 1 (performing)</t>
        </is>
      </c>
      <c r="B5" s="6" t="n">
        <v>6996170</v>
      </c>
      <c r="C5" s="6" t="n">
        <v>6887944</v>
      </c>
      <c r="D5" s="6" t="n">
        <v>7571126</v>
      </c>
      <c r="E5" s="6" t="n">
        <v>7623302</v>
      </c>
      <c r="F5" s="6" t="n">
        <v>6320002</v>
      </c>
      <c r="G5" s="6" t="n"/>
      <c r="H5" s="6" t="n"/>
      <c r="I5" s="6" t="n"/>
      <c r="J5" s="6" t="n"/>
      <c r="K5" s="6" t="n"/>
      <c r="L5" s="6" t="n"/>
      <c r="M5" s="6" t="n"/>
    </row>
    <row r="6">
      <c r="A6" s="6" t="inlineStr">
        <is>
          <t>Stage 2 (performing)</t>
        </is>
      </c>
      <c r="B6" s="6" t="n">
        <v>1095341</v>
      </c>
      <c r="C6" s="6" t="n">
        <v>456335</v>
      </c>
      <c r="D6" s="6" t="n">
        <v>1802</v>
      </c>
      <c r="E6" s="6" t="n">
        <v>15858</v>
      </c>
      <c r="F6" s="6" t="n">
        <v>28989</v>
      </c>
      <c r="G6" s="6" t="n"/>
      <c r="H6" s="6" t="n"/>
      <c r="I6" s="6" t="n"/>
      <c r="J6" s="6" t="n"/>
      <c r="K6" s="6" t="n"/>
      <c r="L6" s="6" t="n"/>
      <c r="M6" s="6" t="n"/>
    </row>
    <row r="7">
      <c r="A7" s="6" t="inlineStr">
        <is>
          <t>Stage 3 (impaired)</t>
        </is>
      </c>
      <c r="B7" s="6" t="n">
        <v>89817</v>
      </c>
      <c r="C7" s="6" t="n">
        <v>35799</v>
      </c>
      <c r="D7" s="6" t="n">
        <v>44262</v>
      </c>
      <c r="E7" s="6" t="n">
        <v>0</v>
      </c>
      <c r="F7" s="6" t="n">
        <v>14669</v>
      </c>
      <c r="G7" s="6" t="n"/>
      <c r="H7" s="6" t="n"/>
      <c r="I7" s="6" t="n"/>
      <c r="J7" s="6" t="n"/>
      <c r="K7" s="6" t="n"/>
      <c r="L7" s="6" t="n"/>
      <c r="M7" s="6" t="n"/>
    </row>
    <row r="8">
      <c r="A8" s="5" t="inlineStr">
        <is>
          <t>Total gross carrying amount</t>
        </is>
      </c>
      <c r="B8" s="5" t="n">
        <v>8181328</v>
      </c>
      <c r="C8" s="5" t="n">
        <v>7380078</v>
      </c>
      <c r="D8" s="5" t="n">
        <v>7617190</v>
      </c>
      <c r="E8" s="5" t="n">
        <v>7639160</v>
      </c>
      <c r="F8" s="5" t="n">
        <v>6363660</v>
      </c>
      <c r="G8" s="5" t="n"/>
      <c r="H8" s="5" t="n"/>
      <c r="I8" s="5" t="n"/>
      <c r="J8" s="5" t="n"/>
      <c r="K8" s="5" t="n"/>
      <c r="L8" s="5" t="n"/>
      <c r="M8" s="5" t="n"/>
    </row>
    <row r="9">
      <c r="A9" s="5" t="inlineStr">
        <is>
          <t>Allowance for credit losses - loans and advances to customers only</t>
        </is>
      </c>
      <c r="B9" s="6" t="n"/>
      <c r="C9" s="6" t="n"/>
      <c r="D9" s="6" t="n"/>
      <c r="E9" s="6" t="n"/>
      <c r="F9" s="6" t="n"/>
      <c r="G9" s="6" t="n"/>
      <c r="H9" s="6" t="n"/>
      <c r="I9" s="6" t="n"/>
      <c r="J9" s="6" t="n"/>
      <c r="K9" s="6" t="n"/>
      <c r="L9" s="6" t="n"/>
      <c r="M9" s="6" t="n"/>
    </row>
    <row r="10">
      <c r="A10" s="6" t="inlineStr">
        <is>
          <t>Opening balance</t>
        </is>
      </c>
      <c r="B10" s="6" t="n">
        <v>4386</v>
      </c>
      <c r="C10" s="6" t="n">
        <v>8543</v>
      </c>
      <c r="D10" s="6" t="n">
        <v>4097</v>
      </c>
      <c r="E10" s="6" t="n">
        <v>8150</v>
      </c>
      <c r="F10" s="6" t="n">
        <v>17194</v>
      </c>
      <c r="G10" s="6" t="n"/>
      <c r="H10" s="6" t="n"/>
      <c r="I10" s="6" t="n"/>
      <c r="J10" s="6" t="n"/>
      <c r="K10" s="6" t="n"/>
      <c r="L10" s="6" t="n"/>
      <c r="M10" s="6" t="n"/>
    </row>
    <row r="11">
      <c r="A11" s="6" t="inlineStr">
        <is>
          <t>Provision for credit losses / net movement</t>
        </is>
      </c>
      <c r="B11" s="6" t="n">
        <v>49163</v>
      </c>
      <c r="C11" s="6" t="n">
        <v>-3019</v>
      </c>
      <c r="D11" s="6" t="n">
        <v>-3981</v>
      </c>
      <c r="E11" s="6" t="n">
        <v>-7056</v>
      </c>
      <c r="F11" s="6" t="n"/>
      <c r="G11" s="6" t="n"/>
      <c r="H11" s="6" t="n"/>
      <c r="I11" s="6" t="n"/>
      <c r="J11" s="6" t="n"/>
      <c r="K11" s="6" t="n"/>
      <c r="L11" s="6" t="n"/>
      <c r="M11" s="6" t="n"/>
    </row>
    <row r="12">
      <c r="A12" s="6" t="inlineStr">
        <is>
          <t>Net write-offs</t>
        </is>
      </c>
      <c r="B12" s="6" t="n">
        <v>-30000</v>
      </c>
      <c r="C12" s="6" t="n">
        <v>-868</v>
      </c>
      <c r="D12" s="6" t="n"/>
      <c r="E12" s="6" t="n">
        <v>-1469</v>
      </c>
      <c r="F12" s="6" t="n"/>
      <c r="G12" s="6" t="n"/>
      <c r="H12" s="6" t="n"/>
      <c r="I12" s="6" t="n"/>
      <c r="J12" s="6" t="n"/>
      <c r="K12" s="6" t="n"/>
      <c r="L12" s="6" t="n"/>
      <c r="M12" s="6" t="n"/>
    </row>
    <row r="13">
      <c r="A13" s="6" t="inlineStr">
        <is>
          <t>Exchange rate and other</t>
        </is>
      </c>
      <c r="B13" s="6" t="n">
        <v>128</v>
      </c>
      <c r="C13" s="6" t="n">
        <v>-86</v>
      </c>
      <c r="D13" s="6" t="n">
        <v>-72</v>
      </c>
      <c r="E13" s="6" t="n">
        <v>-519</v>
      </c>
      <c r="F13" s="6" t="n"/>
      <c r="G13" s="6" t="n"/>
      <c r="H13" s="6" t="n"/>
      <c r="I13" s="6" t="n"/>
      <c r="J13" s="6" t="n"/>
      <c r="K13" s="6" t="n"/>
      <c r="L13" s="6" t="n"/>
      <c r="M13" s="6" t="n"/>
    </row>
    <row r="14">
      <c r="A14" s="5" t="inlineStr">
        <is>
          <t>Closing balance</t>
        </is>
      </c>
      <c r="B14" s="5" t="n">
        <v>23677</v>
      </c>
      <c r="C14" s="5" t="n">
        <v>4386</v>
      </c>
      <c r="D14" s="5" t="n">
        <v>8543</v>
      </c>
      <c r="E14" s="5" t="n">
        <v>4097</v>
      </c>
      <c r="F14" s="5" t="n">
        <v>8150</v>
      </c>
      <c r="G14" s="5" t="n"/>
      <c r="H14" s="5" t="n"/>
      <c r="I14" s="5" t="n"/>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c r="M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c r="M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c r="M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c r="M19" s="6" t="n"/>
    </row>
    <row r="20">
      <c r="A20" s="6" t="inlineStr">
        <is>
          <t>Individually impaired</t>
        </is>
      </c>
      <c r="B20" s="6" t="n"/>
      <c r="C20" s="6" t="n"/>
      <c r="D20" s="6" t="n"/>
      <c r="E20" s="6" t="n"/>
      <c r="F20" s="6" t="n"/>
      <c r="G20" s="6" t="n"/>
      <c r="H20" s="6" t="n"/>
      <c r="I20" s="6" t="n"/>
      <c r="J20" s="6" t="n">
        <v>-88</v>
      </c>
      <c r="K20" s="6" t="n"/>
      <c r="L20" s="6" t="n"/>
      <c r="M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c r="M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c r="M22" s="5" t="n"/>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45993</v>
      </c>
      <c r="C4" s="6" t="n">
        <v>42872</v>
      </c>
      <c r="D4" s="6" t="n">
        <v>40693</v>
      </c>
      <c r="E4" s="6" t="n">
        <v>40753</v>
      </c>
      <c r="F4" s="6" t="n"/>
      <c r="G4" s="6" t="n"/>
      <c r="H4" s="6" t="n"/>
      <c r="I4" s="6" t="n"/>
      <c r="J4" s="6" t="n"/>
      <c r="K4" s="6" t="n"/>
      <c r="L4" s="6" t="n"/>
      <c r="M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c r="M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c r="M6" s="6" t="n"/>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c r="M7" s="6" t="n"/>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c r="G4" s="6" t="n"/>
      <c r="H4" s="6" t="n"/>
      <c r="I4" s="6" t="n"/>
      <c r="J4" s="6" t="n"/>
      <c r="K4" s="6" t="n"/>
      <c r="L4" s="6" t="n"/>
      <c r="M4" s="6" t="n"/>
    </row>
    <row r="5">
      <c r="A5" s="6" t="inlineStr">
        <is>
          <t>Total net cash outflows, adjusted value</t>
        </is>
      </c>
      <c r="B5" s="6" t="n">
        <v>9632</v>
      </c>
      <c r="C5" s="6" t="n">
        <v>8036</v>
      </c>
      <c r="D5" s="6" t="n">
        <v>9031</v>
      </c>
      <c r="E5" s="6" t="n">
        <v>8696</v>
      </c>
      <c r="F5" s="6" t="n"/>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c r="G4" s="6" t="n"/>
      <c r="H4" s="6" t="n"/>
      <c r="I4" s="6" t="n"/>
      <c r="J4" s="6" t="n"/>
      <c r="K4" s="6" t="n"/>
      <c r="L4" s="6" t="n"/>
      <c r="M4" s="6" t="n"/>
    </row>
    <row r="5">
      <c r="A5" s="6" t="inlineStr">
        <is>
          <t>Total required stable funding</t>
        </is>
      </c>
      <c r="B5" s="6" t="n">
        <v>16780</v>
      </c>
      <c r="C5" s="6" t="n">
        <v>15158</v>
      </c>
      <c r="D5" s="6" t="n">
        <v>13654</v>
      </c>
      <c r="E5" s="6" t="n">
        <v>17081</v>
      </c>
      <c r="F5" s="6" t="n"/>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identified in the five annual RBCEL Pillar 3 disclosures reviewed.</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2026-09-05T18:36:48Z</dcterms:created>
  <dcterms:modified xmlns:dcterms="http://purl.org/dc/terms/" xmlns:xsi="http://www.w3.org/2001/XMLSchema-instance" xsi:type="dcterms:W3CDTF">2026-09-05T18:36:48Z</dcterms:modified>
</cp:coreProperties>
</file>